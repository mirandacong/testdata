
<file path=[Content_Types].xml><?xml version="1.0" encoding="utf-8"?>
<Types xmlns="http://schemas.openxmlformats.org/package/2006/content-types">
  <Default ContentType="application/vnd.openxmlformats-officedocument.spreadsheetml.printerSettings" Extension="bin"/>
  <Default ContentType="image/x-emf" Extension="emf"/>
  <Default ContentType="image/gif" Extension="gif"/>
  <Default ContentType="image/jpeg" Extension="jpeg"/>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ml.chart+xml" PartName="/xl/charts/chart1.xml"/>
  <Override ContentType="application/vnd.openxmlformats-officedocument.drawingml.chart+xml" PartName="/xl/charts/chart2.xml"/>
  <Override ContentType="application/vnd.openxmlformats-officedocument.drawingml.chart+xml" PartName="/xl/charts/chart3.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6.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updateLinks="never" codeName="ThisWorkbook"/>
  <bookViews>
    <workbookView xWindow="14505" yWindow="-15" windowWidth="14310" windowHeight="6720" tabRatio="790"/>
  </bookViews>
  <sheets>
    <sheet name="ImportantDisclosures" sheetId="280" r:id="rId1"/>
    <sheet name="Summary" sheetId="247" r:id="rId2"/>
    <sheet name="Operations" sheetId="5" r:id="rId3"/>
    <sheet name="Financials" sheetId="10" r:id="rId4"/>
    <sheet name="Price Relationships" sheetId="4" r:id="rId5"/>
    <sheet name="debt schedule" sheetId="258" r:id="rId6"/>
    <sheet name="MW-Cache" sheetId="225" state="veryHidden" r:id="rId7"/>
    <sheet name="Estimates" sheetId="270" r:id="rId8"/>
    <sheet name="__FDSCACHE__" sheetId="257" state="veryHidden" r:id="rId9"/>
    <sheet name="Variance" sheetId="271" r:id="rId10"/>
    <sheet name="Segment EBITDA" sheetId="160" r:id="rId11"/>
    <sheet name="Mills" sheetId="50" r:id="rId12"/>
    <sheet name="IndexInformation" sheetId="281" r:id="rId13"/>
    <sheet name="ModPubIndex" sheetId="282" r:id="rId14"/>
  </sheets>
  <definedNames>
    <definedName name="__FDS_HYPERLINK_TOGGLE_STATE__" hidden="1">"ON"</definedName>
    <definedName name="__FDS_UNIQUE_RANGE_ID_GENERATOR_COUNTER" localSheetId="7" hidden="1">255</definedName>
    <definedName name="__FDS_UNIQUE_RANGE_ID_GENERATOR_COUNTER" localSheetId="9" hidden="1">153</definedName>
    <definedName name="__FDS_UNIQUE_RANGE_ID_GENERATOR_COUNTER" hidden="1">11</definedName>
    <definedName name="__IntlFixup" hidden="1">TRUE</definedName>
    <definedName name="_bdm.0CC409ABA8004591AC72D94951EE0741.edm" localSheetId="1" hidden="1">Summary!$B$7:$N$57</definedName>
    <definedName name="_bdm.0F1C0983F3E4496991FE418F174AF950.edm" localSheetId="1" hidden="1">Summary!$B$7:$N$57</definedName>
    <definedName name="_bdm.0F46942AF5414357B1CC84C4B415BB27.edm" localSheetId="7" hidden="1">Estimates!$B$4:$B$31</definedName>
    <definedName name="_bdm.10BDB3F9E9BE461087E6294AF4DD4C96.edm" localSheetId="7" hidden="1">Estimates!$B$3:$P$31</definedName>
    <definedName name="_bdm.184E26EC70D94124AAD606DFC56A79D1.edm" localSheetId="1" hidden="1">Summary!$B$2:$N$55</definedName>
    <definedName name="_bdm.1C6E2AD3ADC942E5A87F08E11A6E01DC.edm" localSheetId="7" hidden="1">Estimates!$B$4:$P$31</definedName>
    <definedName name="_bdm.22A19F4CEA314B5BBD8DD54945ADC884.edm" localSheetId="1" hidden="1">Summary!$B$7:$N$62</definedName>
    <definedName name="_bdm.2931589645384895B37204A6EC1AFDCE.edm" localSheetId="1" hidden="1">Summary!$B$5:$N$55</definedName>
    <definedName name="_bdm.35DFB75339114A2A80E0B11A10633355.edm" localSheetId="1" hidden="1">Summary!$B$2:$N$57</definedName>
    <definedName name="_bdm.4AD96243CA514C65BA652CCC556356D8.edm" localSheetId="1" hidden="1">Summary!$B$5:$N$58</definedName>
    <definedName name="_bdm.559AF8057288403C9D0D6075F36B548E.edm" localSheetId="3" hidden="1">Financials!$A$1:$AH$1</definedName>
    <definedName name="_bdm.56DB4E8AF2BD41E6A26A7E0C71C0D22A.edm" localSheetId="7" hidden="1">Estimates!$1:$1048576</definedName>
    <definedName name="_bdm.586FF38C62B5454E9765CA6B9D07482C.edm" localSheetId="9" hidden="1">Variance!$B$1:$J$26</definedName>
    <definedName name="_bdm.589ACE02AC7E40C3BB65728033C01865.edm" localSheetId="1" hidden="1">Summary!$B$5:$M$56</definedName>
    <definedName name="_bdm.599088157C344E72B55F26CFA6CC364E.edm" hidden="1">Financials!$1:$1048576</definedName>
    <definedName name="_bdm.5C8E85F552664E8D9726B420F7394B04.edm" localSheetId="3" hidden="1">Financials!$A$7:$AH$98</definedName>
    <definedName name="_bdm.607A9CC4F88A48B48D82CE924D9F3302.edm" localSheetId="3" hidden="1">Financials!$A$7:$AW$102</definedName>
    <definedName name="_bdm.62DC389466AD43EFA81C621EBB7BEBF7.edm" localSheetId="2" hidden="1">Operations!$A$1:$AR$183</definedName>
    <definedName name="_bdm.6B9C80D3A9B0408CA6B910C8F2705981.edm" localSheetId="9" hidden="1">Variance!$B$2:$J$26</definedName>
    <definedName name="_bdm.6D4DD0E515F5435D822BDA7EF46DE789.edm" localSheetId="1" hidden="1">Summary!$B$7:$N$57</definedName>
    <definedName name="_bdm.85E01B8C2FCC48659FA9EF40A47353BB.edm" localSheetId="3" hidden="1">Financials!$A$7:$AR$92</definedName>
    <definedName name="_bdm.85E1AF2082294BB4BD81903A608D35EC.edm" localSheetId="2" hidden="1">Operations!$B$16:$AR$183</definedName>
    <definedName name="_bdm.8B003D9FFA814E3B93EA02C228E3D59F.edm" localSheetId="9" hidden="1">Variance!$B$2:$J$26</definedName>
    <definedName name="_bdm.8E3B4F1F80DB4ED58814B1E5335C9F49.edm" localSheetId="2" hidden="1">Operations!$A$4:$AH$187</definedName>
    <definedName name="_bdm.922247AFC47A42D6BC7F64FD21B700C3.edm" localSheetId="3" hidden="1">Financials!$A$7:$AR$102</definedName>
    <definedName name="_bdm.98015399910E45169E1BDF1448FC15C5.edm" localSheetId="9" hidden="1">Variance!$B$1:$J$26</definedName>
    <definedName name="_bdm.A85DB89AEA214FCC8A6B0551ED8E2163.edm" localSheetId="7" hidden="1">Estimates!$B$3:$P$31</definedName>
    <definedName name="_bdm.ACD84B638A4B48DE88B76BA48F0F5C37.edm" localSheetId="1" hidden="1">Summary!$B$7:$N$62</definedName>
    <definedName name="_bdm.AD5F642071E44EECAE81C2E359D06761.edm" localSheetId="1" hidden="1">Summary!$B$5:$N$55</definedName>
    <definedName name="_bdm.B69E185CF2DF44A38068FD9E0B313631.edm" localSheetId="3" hidden="1">Financials!$A$1:$AC$1</definedName>
    <definedName name="_bdm.BA833C26678D4ED1A850CED54B0C23E9.edm" hidden="1">Variance!$1:$1048576</definedName>
    <definedName name="_bdm.BA9665A42FA84C8ABC1AF7854D6E5E59.edm" localSheetId="2" hidden="1">Operations!$A$16:$AR$183</definedName>
    <definedName name="_bdm.C15E5706508442AA82BC20EE18649D24.edm" localSheetId="3" hidden="1">Financials!$A$7:$BB$102</definedName>
    <definedName name="_bdm.C5DF25C7C47F4CE69FC6AE187B2F14D6.edm" localSheetId="9" hidden="1">Variance!$B$1:$J$26</definedName>
    <definedName name="_bdm.C625681415F94D039CE343F0D1F27945.edm" localSheetId="3" hidden="1">Financials!$A$1:$AC$1</definedName>
    <definedName name="_bdm.CF7155E7C7A64FF689D3FC8CD8C00282.edm" hidden="1">Summary!$1:$1048576</definedName>
    <definedName name="_bdm.D7A44DF8233C44FC9B8948C867DE6FD1.edm" localSheetId="9" hidden="1">Variance!$B$2:$J$26</definedName>
    <definedName name="_bdm.D8DEEEA9F8314E97AB19CB242DF3E9D4.edm" hidden="1">Operations!$1:$1048576</definedName>
    <definedName name="_bdm.E1EEE83E023A4F32B46D4C18E2519F82.edm" localSheetId="1" hidden="1">Summary!$B$61:$E$72</definedName>
    <definedName name="_bdm.ED13FD0040D341F1BA6F180C9EEB8BB1.edm" localSheetId="3" hidden="1">Financials!$A$1:$AC$1</definedName>
    <definedName name="_bdm.F0E8B4C5B47143E697CE95D4F62100A7.edm" localSheetId="3" hidden="1">Financials!$A$7:$AM$102</definedName>
    <definedName name="_bdm.F9102CFCD7174E9784B97DAD6372E706.edm" localSheetId="2" hidden="1">Operations!$A$4:$AH$183</definedName>
    <definedName name="_bdm.FF8CFA9BBA564A9BB7B104E285AACA95.edm" localSheetId="3" hidden="1">Financials!$A$7:$AC$98</definedName>
    <definedName name="_Order1" hidden="1">0</definedName>
    <definedName name="_Order2" hidden="1">255</definedName>
    <definedName name="_Regression_Int" hidden="1">1</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dditionalInstructions">IndexInformation!$B$42</definedName>
    <definedName name="Address" localSheetId="0">ImportantDisclosures!$A$2:$A$2</definedName>
    <definedName name="ANA" localSheetId="13">ModPubIndex!$A$7</definedName>
    <definedName name="anscount" hidden="1">1</definedName>
    <definedName name="AS2DocOpenMode" hidden="1">"AS2DocumentEdit"</definedName>
    <definedName name="Authors" localSheetId="0">ImportantDisclosures!$A$7</definedName>
    <definedName name="Authors" localSheetId="12">IndexInformation!$B$18</definedName>
    <definedName name="BRO" localSheetId="13">ModPubIndex!$A$1</definedName>
    <definedName name="CBWorkbookPriority" hidden="1">-1763748355</definedName>
    <definedName name="Change" localSheetId="7" hidden="1">Estimates!Change</definedName>
    <definedName name="Change" localSheetId="9" hidden="1">Variance!Change</definedName>
    <definedName name="Change" hidden="1">Estimates!Change</definedName>
    <definedName name="Change1" localSheetId="7" hidden="1">Estimates!Change1</definedName>
    <definedName name="Change1" localSheetId="9" hidden="1">Variance!Change1</definedName>
    <definedName name="Change1" hidden="1">Estimates!Change1</definedName>
    <definedName name="Change2" localSheetId="7" hidden="1">Estimates!Change2</definedName>
    <definedName name="Change2" localSheetId="9" hidden="1">Variance!Change2</definedName>
    <definedName name="Change2" hidden="1">Estimates!Change2</definedName>
    <definedName name="Change3" localSheetId="7" hidden="1">Estimates!Change3</definedName>
    <definedName name="Change3" localSheetId="9" hidden="1">Variance!Change3</definedName>
    <definedName name="Change3" hidden="1">Estimates!Change3</definedName>
    <definedName name="Change4" localSheetId="7" hidden="1">Estimates!Change4</definedName>
    <definedName name="Change4" localSheetId="9" hidden="1">Variance!Change4</definedName>
    <definedName name="Change4" hidden="1">Estimates!Change4</definedName>
    <definedName name="Change5" localSheetId="7" hidden="1">Estimates!Change5</definedName>
    <definedName name="Change5" localSheetId="9" hidden="1">Variance!Change5</definedName>
    <definedName name="Change5" hidden="1">Estimates!Change5</definedName>
    <definedName name="ChangeRange" localSheetId="7" hidden="1">Estimates!ChangeRange</definedName>
    <definedName name="ChangeRange" localSheetId="9" hidden="1">Variance!ChangeRange</definedName>
    <definedName name="ChangeRange2" localSheetId="7" hidden="1">Estimates!ChangeRange2</definedName>
    <definedName name="ChangeRange2" localSheetId="9" hidden="1">Variance!ChangeRange2</definedName>
    <definedName name="ChangeRange2" hidden="1">Estimates!ChangeRange2</definedName>
    <definedName name="Company_Code" hidden="1">"USSLP"</definedName>
    <definedName name="CopyrightStamp">ImportantDisclosures!$A$27</definedName>
    <definedName name="COU" localSheetId="13">ModPubIndex!$A$5</definedName>
    <definedName name="CQEnd" localSheetId="12">IndexInformation!$B$31</definedName>
    <definedName name="cu102.ShareScalingFactor" hidden="1">1000000</definedName>
    <definedName name="cu103.EmployeeScalingFactor" hidden="1">1000</definedName>
    <definedName name="cu107.DPSSymbol" hidden="1">"US$"</definedName>
    <definedName name="cu107.EPSSymbol" hidden="1">"US$"</definedName>
    <definedName name="cu107.RepSymbol" hidden="1">"US$"</definedName>
    <definedName name="cu42.CurrFinancialMth" hidden="1">12</definedName>
    <definedName name="cu42.CurrFinancialYear" hidden="1">2005</definedName>
    <definedName name="cu61.ScalingFactor" hidden="1">"M"</definedName>
    <definedName name="cu71.ScalingFactor" hidden="1">1000000</definedName>
    <definedName name="Currency" localSheetId="12">IndexInformation!$B$24</definedName>
    <definedName name="CurrentStockPrice" localSheetId="12">IndexInformation!$B$23</definedName>
    <definedName name="CurrQtrEPS" localSheetId="12">IndexInformation!$B$29</definedName>
    <definedName name="CurrYearEPS" localSheetId="12">IndexInformation!$B$11</definedName>
    <definedName name="CurrYearTotalRevenue" localSheetId="12">IndexInformation!$B$10</definedName>
    <definedName name="CurrYearTotalRevenueActual" localSheetId="12">IndexInformation!$B$32</definedName>
    <definedName name="CUSHeadFont" hidden="1">16777215</definedName>
    <definedName name="CUSHeading" hidden="1">8421504</definedName>
    <definedName name="CUSIP" localSheetId="12">IndexInformation!$B$20</definedName>
    <definedName name="CUSItemFont" hidden="1">9868950</definedName>
    <definedName name="CUSItemHeading" hidden="1">16777215</definedName>
    <definedName name="CustomView" hidden="1">"optAllRows"</definedName>
    <definedName name="CYEnd" localSheetId="12">IndexInformation!$B$30</definedName>
    <definedName name="Date" localSheetId="0">ImportantDisclosures!$A$8</definedName>
    <definedName name="Deleted" localSheetId="12">IndexInformation!$B$27</definedName>
    <definedName name="Description" localSheetId="12">IndexInformation!$B$7</definedName>
    <definedName name="DfltCUSHeadFont" hidden="1">16777215</definedName>
    <definedName name="DfltCUSHeading" hidden="1">8421504</definedName>
    <definedName name="DfltCUSItemHeading" hidden="1">16777215</definedName>
    <definedName name="DfltFinalColumn" hidden="1">16777215</definedName>
    <definedName name="DfltFinalHeadFont" hidden="1">16777215</definedName>
    <definedName name="DfltFinalHeading" hidden="1">8421504</definedName>
    <definedName name="DfltInterimColumn" hidden="1">16777215</definedName>
    <definedName name="DfltInterimHeadFont" hidden="1">8388608</definedName>
    <definedName name="DfltInterimHeading" hidden="1">16777215</definedName>
    <definedName name="DfltQuarterlyColumn" hidden="1">16777215</definedName>
    <definedName name="DfltQuarterlyHeadFont" hidden="1">8388608</definedName>
    <definedName name="DfltQuarterlyHeading" hidden="1">16777215</definedName>
    <definedName name="DfltSectionHeadFont" hidden="1">0</definedName>
    <definedName name="DfltSectionHeading" hidden="1">12632256</definedName>
    <definedName name="Discipline" localSheetId="12">IndexInformation!$B$3</definedName>
    <definedName name="DISCIPLINE" localSheetId="13">ModPubIndex!$A$12</definedName>
    <definedName name="DisclosuresText">ImportantDisclosures!$A$22</definedName>
    <definedName name="Distribution" localSheetId="12">IndexInformation!$B$26</definedName>
    <definedName name="DistTable" localSheetId="0">ImportantDisclosures!#REF!</definedName>
    <definedName name="DistTablePreamble" localSheetId="0">ImportantDisclosures!#REF!</definedName>
    <definedName name="DOCDAT" localSheetId="13">ModPubIndex!$A$2</definedName>
    <definedName name="DOCTIME" localSheetId="13">ModPubIndex!$A$3</definedName>
    <definedName name="DocType" localSheetId="12">IndexInformation!$B$5</definedName>
    <definedName name="EMAIL_ALERT" localSheetId="13">ModPubIndex!$A$10</definedName>
    <definedName name="EmailAlert" localSheetId="12">IndexInformation!$B$28</definedName>
    <definedName name="esnrc67c1_values" localSheetId="7" hidden="1">{"IND","COMPANIES",TRUE}</definedName>
    <definedName name="esnrc67c1_values" localSheetId="9" hidden="1">{"IND","COMPANIES",TRUE}</definedName>
    <definedName name="esnrc67c1_values" hidden="1">{"IND","COMPANIES",TRUE}</definedName>
    <definedName name="FinalColumn" hidden="1">16777215</definedName>
    <definedName name="FinalHeadFont" hidden="1">16777215</definedName>
    <definedName name="FinalHeading" hidden="1">8421504</definedName>
    <definedName name="FiveYearGrowthRate" localSheetId="12">IndexInformation!$B$16</definedName>
    <definedName name="FollowingYearEPS" localSheetId="12">IndexInformation!$B$15</definedName>
    <definedName name="FollowingYearTotalRevenue" localSheetId="12">IndexInformation!$B$14</definedName>
    <definedName name="FollowingYearTotalRevenueActual" localSheetId="12">IndexInformation!$B$34</definedName>
    <definedName name="H" localSheetId="7" hidden="1">{"'Sheet1'!$A$1:$J$121"}</definedName>
    <definedName name="H" localSheetId="9" hidden="1">{"'Sheet1'!$A$1:$J$121"}</definedName>
    <definedName name="H" hidden="1">{"'Sheet1'!$A$1:$J$121"}</definedName>
    <definedName name="HL" localSheetId="13">ModPubIndex!$A$8</definedName>
    <definedName name="HTML_CodePage" hidden="1">1252</definedName>
    <definedName name="HTML_Control" localSheetId="5" hidden="1">{"'Harrah's'!$B$1:$S$38"}</definedName>
    <definedName name="HTML_Control" localSheetId="7" hidden="1">{"'Sheet1'!$A$1:$J$121"}</definedName>
    <definedName name="HTML_Control" localSheetId="9" hidden="1">{"'Sheet1'!$A$1:$J$121"}</definedName>
    <definedName name="HTML_Control" hidden="1">{"'Harrah's'!$B$1:$S$38"}</definedName>
    <definedName name="HTML_Description" hidden="1">""</definedName>
    <definedName name="HTML_Email" hidden="1">""</definedName>
    <definedName name="HTML_Header" localSheetId="7" hidden="1">"Sheet1"</definedName>
    <definedName name="HTML_Header" localSheetId="9" hidden="1">"Sheet1"</definedName>
    <definedName name="HTML_Header" hidden="1">"Harrah's"</definedName>
    <definedName name="HTML_LastUpdate" localSheetId="7" hidden="1">"10/21/99"</definedName>
    <definedName name="HTML_LastUpdate" localSheetId="9" hidden="1">"10/21/99"</definedName>
    <definedName name="HTML_LastUpdate" hidden="1">"1/10/00"</definedName>
    <definedName name="HTML_LineAfter" hidden="1">FALSE</definedName>
    <definedName name="HTML_LineBefore" hidden="1">FALSE</definedName>
    <definedName name="HTML_Name" localSheetId="7" hidden="1">"Paulette Peoples"</definedName>
    <definedName name="HTML_Name" localSheetId="9" hidden="1">"Paulette Peoples"</definedName>
    <definedName name="HTML_Name" hidden="1">"MSFC"</definedName>
    <definedName name="HTML_OBDlg2" hidden="1">TRUE</definedName>
    <definedName name="HTML_OBDlg4" hidden="1">TRUE</definedName>
    <definedName name="HTML_OS" hidden="1">0</definedName>
    <definedName name="HTML_PathFile" localSheetId="7" hidden="1">"\\Bhincres01\groups\Mkt_Dev\EXECMKTR\RIGS\RigBible\Web NA.htm"</definedName>
    <definedName name="HTML_PathFile" localSheetId="9" hidden="1">"\\Bhincres01\groups\Mkt_Dev\EXECMKTR\RIGS\RigBible\Web NA.htm"</definedName>
    <definedName name="HTML_PathFile" hidden="1">"I:\GAMING\HET.htm"</definedName>
    <definedName name="HTML_Title" localSheetId="7" hidden="1">"Total North America"</definedName>
    <definedName name="HTML_Title" localSheetId="9" hidden="1">"Total North America"</definedName>
    <definedName name="HTML_Title" hidden="1">"CASINO"</definedName>
    <definedName name="IND" localSheetId="13">ModPubIndex!$A$9</definedName>
    <definedName name="Industry" localSheetId="0">ImportantDisclosures!$A$12</definedName>
    <definedName name="IndustryId">IndexInformation!$B$40</definedName>
    <definedName name="IndustryRating" localSheetId="0">ImportantDisclosures!$A$13</definedName>
    <definedName name="InterimColumn" hidden="1">16777215</definedName>
    <definedName name="InterimHeadFont" hidden="1">8388608</definedName>
    <definedName name="InterimHeading" hidden="1">16777215</definedName>
    <definedName name="iQShowHideColumns" hidden="1">"iQHideSelected"</definedName>
    <definedName name="K2_WBEVMODE" hidden="1">-1</definedName>
    <definedName name="KeepVersions" localSheetId="12">IndexInformation!$B$8</definedName>
    <definedName name="l" localSheetId="7" hidden="1">{"IND","COMPANIES",TRUE}</definedName>
    <definedName name="l" localSheetId="9" hidden="1">{"IND","COMPANIES",TRUE}</definedName>
    <definedName name="l" hidden="1">{"IND","COMPANIES",TRUE}</definedName>
    <definedName name="LanguageCode">IndexInformation!$B$38</definedName>
    <definedName name="LastCell" localSheetId="0">ImportantDisclosures!$A$22</definedName>
    <definedName name="limcount" hidden="1">1</definedName>
    <definedName name="ListOffset" hidden="1">1</definedName>
    <definedName name="MacroVersion" localSheetId="12">IndexInformation!$B$1</definedName>
    <definedName name="Malaysia" localSheetId="7" hidden="1">{"'Sheet1'!$A$1:$J$121"}</definedName>
    <definedName name="Malaysia" localSheetId="9" hidden="1">{"'Sheet1'!$A$1:$J$121"}</definedName>
    <definedName name="Malaysia" hidden="1">{"'Sheet1'!$A$1:$J$121"}</definedName>
    <definedName name="ModelPrice" localSheetId="0">ImportantDisclosures!$A$14</definedName>
    <definedName name="Multiplier" localSheetId="12">IndexInformation!$B$35</definedName>
    <definedName name="NextYearEPS" localSheetId="12">IndexInformation!$B$13</definedName>
    <definedName name="NextYearTotalRevenue" localSheetId="12">IndexInformation!$B$12</definedName>
    <definedName name="NextYearTotalRevenueActual" localSheetId="12">IndexInformation!$B$33</definedName>
    <definedName name="NUEestimates">Estimates!$B$3:$V$36</definedName>
    <definedName name="NUESummary">Summary!$B$5:$P$60</definedName>
    <definedName name="NUEvariance">Variance!$B$2:$K$30</definedName>
    <definedName name="ObjectType">IndexInformation!$B$37</definedName>
    <definedName name="PANA" localSheetId="13">ModPubIndex!$A$11</definedName>
    <definedName name="PathName" localSheetId="12">IndexInformation!$B$25</definedName>
    <definedName name="PRODUCT" localSheetId="13">ModPubIndex!$A$6</definedName>
    <definedName name="PSYM" localSheetId="13">ModPubIndex!$A$4</definedName>
    <definedName name="PUB_UserID" hidden="1">"MAYERX"</definedName>
    <definedName name="PublishDate" localSheetId="12">IndexInformation!$B$2</definedName>
    <definedName name="QuarterlyColumn" hidden="1">16777215</definedName>
    <definedName name="QuarterlyHeadFont" hidden="1">8388608</definedName>
    <definedName name="QuarterlyHeading" hidden="1">16777215</definedName>
    <definedName name="RangeChange" localSheetId="7" hidden="1">Estimates!RangeChange</definedName>
    <definedName name="RangeChange" localSheetId="9" hidden="1">Variance!RangeChange</definedName>
    <definedName name="RangeChange" hidden="1">Estimates!RangeChange</definedName>
    <definedName name="Rating" localSheetId="12">IndexInformation!$B$9</definedName>
    <definedName name="RatingsDefined" localSheetId="0">ImportantDisclosures!$A$21</definedName>
    <definedName name="RatingsDefs" localSheetId="0">ImportantDisclosures!#REF!</definedName>
    <definedName name="RegACDisclosure" localSheetId="0">ImportantDisclosures!#REF!</definedName>
    <definedName name="ResearchTopic" localSheetId="12">IndexInformation!$B$4</definedName>
    <definedName name="RIC" localSheetId="12">IndexInformation!$B$21</definedName>
    <definedName name="s" localSheetId="7" hidden="1">{"IND","COMPANIES",TRUE}</definedName>
    <definedName name="s" localSheetId="9" hidden="1">{"IND","COMPANIES",TRUE}</definedName>
    <definedName name="s" hidden="1">{"IND","COMPANIES",TRUE}</definedName>
    <definedName name="SECSettlement" localSheetId="0">ImportantDisclosures!#REF!</definedName>
    <definedName name="SectionHeadFont" hidden="1">0</definedName>
    <definedName name="SectionHeading" hidden="1">12632256</definedName>
    <definedName name="SEDOL" localSheetId="12">IndexInformation!$B$22</definedName>
    <definedName name="sencount" hidden="1">1</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1</definedName>
    <definedName name="solver_nwt" hidden="1">1</definedName>
    <definedName name="solver_pre" hidden="1">0.000001</definedName>
    <definedName name="solver_rel1" hidden="1">2</definedName>
    <definedName name="solver_rel2" hidden="1">3</definedName>
    <definedName name="solver_rhs2" hidden="1">0</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106.196</definedName>
    <definedName name="SourceDefined" localSheetId="0">ImportantDisclosures!$A$19</definedName>
    <definedName name="StockRating" localSheetId="0">ImportantDisclosures!$A$11</definedName>
    <definedName name="SubjectCode" localSheetId="12">IndexInformation!$B$6</definedName>
    <definedName name="SubmitterUserId">IndexInformation!$B$39</definedName>
    <definedName name="SUPPRESSED" localSheetId="13">ModPubIndex!$A$13</definedName>
    <definedName name="TargetPrice" localSheetId="0">ImportantDisclosures!$A$15</definedName>
    <definedName name="TemplateRegion">IndexInformation!$B$36</definedName>
    <definedName name="Ticker" localSheetId="0">ImportantDisclosures!$A$10</definedName>
    <definedName name="TickerRegion">IndexInformation!$B$41</definedName>
    <definedName name="Tickers" localSheetId="12">IndexInformation!$B$19</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pdateReason" localSheetId="12">IndexInformation!$B$17</definedName>
    <definedName name="USRegDisclosures" localSheetId="0">ImportantDisclosures!#REF!</definedName>
    <definedName name="var" localSheetId="7" hidden="1">{"fdsup://directions/FAT Viewer?action=UPDATE&amp;creator=factset&amp;DYN_ARGS=TRUE&amp;DOC_NAME=FAT:FQL_AUDITING_CLIENT_TEMPLATE.FAT&amp;display_string=Audit&amp;VAR:KEY=APIDQTEHSB&amp;VAR:QUERY=RkZfREVCVChRVFIsNDA3NTUp&amp;WINDOW=FIRST_POPUP&amp;HEIGHT=450&amp;WIDTH=450&amp;START_MAXIMIZED=FALS","E&amp;VAR:CALENDAR=US&amp;VAR:SYMBOL=WLT&amp;VAR:INDEX=0"}</definedName>
    <definedName name="var" localSheetId="9" hidden="1">{"fdsup://directions/FAT Viewer?action=UPDATE&amp;creator=factset&amp;DYN_ARGS=TRUE&amp;DOC_NAME=FAT:FQL_AUDITING_CLIENT_TEMPLATE.FAT&amp;display_string=Audit&amp;VAR:KEY=APIDQTEHSB&amp;VAR:QUERY=RkZfREVCVChRVFIsNDA3NTUp&amp;WINDOW=FIRST_POPUP&amp;HEIGHT=450&amp;WIDTH=450&amp;START_MAXIMIZED=FALS","E&amp;VAR:CALENDAR=US&amp;VAR:SYMBOL=WLT&amp;VAR:INDEX=0"}</definedName>
    <definedName name="var" hidden="1">{"fdsup://directions/FAT Viewer?action=UPDATE&amp;creator=factset&amp;DYN_ARGS=TRUE&amp;DOC_NAME=FAT:FQL_AUDITING_CLIENT_TEMPLATE.FAT&amp;display_string=Audit&amp;VAR:KEY=APIDQTEHSB&amp;VAR:QUERY=RkZfREVCVChRVFIsNDA3NTUp&amp;WINDOW=FIRST_POPUP&amp;HEIGHT=450&amp;WIDTH=450&amp;START_MAXIMIZED=FALS","E&amp;VAR:CALENDAR=US&amp;VAR:SYMBOL=WLT&amp;VAR:INDEX=0"}</definedName>
    <definedName name="Z_08BAB49F_44A8_4F04_A2E3_24B12C6D0857_.wvu.Cols" localSheetId="5" hidden="1">'debt schedule'!$I:$I</definedName>
    <definedName name="Z_08BAB49F_44A8_4F04_A2E3_24B12C6D0857_.wvu.Cols" localSheetId="3" hidden="1">Financials!$DD:$DJ</definedName>
    <definedName name="Z_08BAB49F_44A8_4F04_A2E3_24B12C6D0857_.wvu.Cols" localSheetId="2" hidden="1">Operations!$E:$AH</definedName>
    <definedName name="Z_08BAB49F_44A8_4F04_A2E3_24B12C6D0857_.wvu.PrintArea" localSheetId="5" hidden="1">'debt schedule'!$A$1:$BG$131</definedName>
    <definedName name="Z_08BAB49F_44A8_4F04_A2E3_24B12C6D0857_.wvu.PrintArea" localSheetId="3" hidden="1">Financials!$A$7:$AM$102</definedName>
    <definedName name="Z_08BAB49F_44A8_4F04_A2E3_24B12C6D0857_.wvu.PrintArea" localSheetId="2" hidden="1">Operations!$A$1:$AR$183</definedName>
    <definedName name="Z_08BAB49F_44A8_4F04_A2E3_24B12C6D0857_.wvu.PrintArea" localSheetId="10" hidden="1">'Segment EBITDA'!$A$2:$N$76</definedName>
    <definedName name="Z_08BAB49F_44A8_4F04_A2E3_24B12C6D0857_.wvu.PrintArea" localSheetId="1" hidden="1">Summary!$B$2:$M$59</definedName>
    <definedName name="Z_08BAB49F_44A8_4F04_A2E3_24B12C6D0857_.wvu.Rows" localSheetId="3" hidden="1">Financials!$2:$3,Financials!$53:$53</definedName>
    <definedName name="Z_08BAB49F_44A8_4F04_A2E3_24B12C6D0857_.wvu.Rows" localSheetId="4" hidden="1">'Price Relationships'!$3:$4</definedName>
    <definedName name="Z_368738C6_094A_4775_ABFA_FF624C412B5C_.wvu.Cols" localSheetId="3" hidden="1">Financials!$D:$N,Financials!$AE:$BQ</definedName>
    <definedName name="Z_369D7CB1_F197_472C_B000_1EA674ACAF81_.wvu.Cols" localSheetId="3" hidden="1">Financials!$J:$N</definedName>
    <definedName name="Z_369D7CB1_F197_472C_B000_1EA674ACAF81_.wvu.Cols" localSheetId="2" hidden="1">Operations!$E:$G</definedName>
    <definedName name="Z_4482C16F_8DC0_49F3_9E1F_335117126152_.wvu.Cols" localSheetId="5" hidden="1">'debt schedule'!$I:$I</definedName>
    <definedName name="Z_4482C16F_8DC0_49F3_9E1F_335117126152_.wvu.Cols" localSheetId="3" hidden="1">Financials!$DD:$DJ</definedName>
    <definedName name="Z_4482C16F_8DC0_49F3_9E1F_335117126152_.wvu.Cols" localSheetId="2" hidden="1">Operations!$E:$AH</definedName>
    <definedName name="Z_4482C16F_8DC0_49F3_9E1F_335117126152_.wvu.PrintArea" localSheetId="5" hidden="1">'debt schedule'!$A$1:$BG$131</definedName>
    <definedName name="Z_4482C16F_8DC0_49F3_9E1F_335117126152_.wvu.PrintArea" localSheetId="3" hidden="1">Financials!$A$7:$AM$102</definedName>
    <definedName name="Z_4482C16F_8DC0_49F3_9E1F_335117126152_.wvu.PrintArea" localSheetId="2" hidden="1">Operations!$A$1:$AR$183</definedName>
    <definedName name="Z_4482C16F_8DC0_49F3_9E1F_335117126152_.wvu.PrintArea" localSheetId="10" hidden="1">'Segment EBITDA'!$A$2:$N$76</definedName>
    <definedName name="Z_4482C16F_8DC0_49F3_9E1F_335117126152_.wvu.PrintArea" localSheetId="1" hidden="1">Summary!$B$2:$M$59</definedName>
    <definedName name="Z_4482C16F_8DC0_49F3_9E1F_335117126152_.wvu.Rows" localSheetId="3" hidden="1">Financials!$2:$3,Financials!$53:$53</definedName>
    <definedName name="Z_4482C16F_8DC0_49F3_9E1F_335117126152_.wvu.Rows" localSheetId="4" hidden="1">'Price Relationships'!$3:$4</definedName>
    <definedName name="Z_DF927CC8_17A7_49F4_AF19_6FEA0A559180_.wvu.Cols" localSheetId="3" hidden="1">Financials!$J:$N</definedName>
    <definedName name="Z_DF927CC8_17A7_49F4_AF19_6FEA0A559180_.wvu.Cols" localSheetId="2" hidden="1">Operations!$E:$G</definedName>
    <definedName name="Z_F0E00C01_02B2_4D25_A4C9_B87C65D689F9_.wvu.Cols" localSheetId="3" hidden="1">Financials!$AE:$AH</definedName>
    <definedName name="Z_F0E00C01_02B2_4D25_A4C9_B87C65D689F9_.wvu.Cols" localSheetId="2" hidden="1">Operations!$E:$G,Operations!$T:$W</definedName>
    <definedName name="Z_F0E00C01_02B2_4D25_A4C9_B87C65D689F9_.wvu.PrintArea" localSheetId="3" hidden="1">Financials!$A$1:$AH$253</definedName>
    <definedName name="Z_F0E00C01_02B2_4D25_A4C9_B87C65D689F9_.wvu.PrintArea" localSheetId="2" hidden="1">Operations!$A$1:$AH$183</definedName>
  </definedNames>
  <calcPr calcId="145621"/>
  <customWorkbookViews>
    <customWorkbookView name="test - Personal View" guid="{369D7CB1-F197-472C-B000-1EA674ACAF81}" mergeInterval="0" personalView="1" maximized="1" windowWidth="1020" windowHeight="622" tabRatio="689" activeSheetId="10"/>
    <customWorkbookView name="akapoor - Personal View" guid="{8CD74A7C-EE7C-4CDA-B006-4B657758A1C4}" mergeInterval="0" personalView="1" maximized="1" windowWidth="1020" windowHeight="576" tabRatio="689" activeSheetId="4"/>
    <customWorkbookView name="vmawandia - Personal View" guid="{F0E00C01-02B2-4D25-A4C9-B87C65D689F9}" mergeInterval="0" personalView="1" maximized="1" windowWidth="1020" windowHeight="604" tabRatio="689" activeSheetId="4"/>
    <customWorkbookView name="akumar - Personal View" guid="{BEEBC639-4DDE-40F8-AE77-92CE3209F3B9}" mergeInterval="0" personalView="1" maximized="1" windowWidth="1020" windowHeight="602" tabRatio="689" activeSheetId="4"/>
    <customWorkbookView name="IWayUser - Personal View" guid="{368738C6-094A-4775-ABFA-FF624C412B5C}" mergeInterval="0" personalView="1" maximized="1" windowWidth="1020" windowHeight="586" tabRatio="689" activeSheetId="4"/>
    <customWorkbookView name="vikashm - Personal View" guid="{DF927CC8-17A7-49F4-AF19-6FEA0A559180}" mergeInterval="0" personalView="1" maximized="1" windowWidth="1020" windowHeight="622" tabRatio="689" activeSheetId="5"/>
    <customWorkbookView name="Unhide all tabs" guid="{08BAB49F-44A8-4F04-A2E3-24B12C6D0857}" maximized="1" windowWidth="1024" windowHeight="1029" tabRatio="869" activeSheetId="247"/>
    <customWorkbookView name="Publishing" guid="{4482C16F-8DC0-49F3-9E1F-335117126152}" maximized="1" windowWidth="1024" windowHeight="1029" tabRatio="869" activeSheetId="247"/>
  </customWorkbookViews>
</workbook>
</file>

<file path=xl/calcChain.xml><?xml version="1.0" encoding="utf-8"?>
<calcChain xmlns="http://schemas.openxmlformats.org/spreadsheetml/2006/main">
  <c r="H31" i="270" l="1"/>
  <c r="V31" i="270" s="1"/>
  <c r="G31" i="270"/>
  <c r="U31" i="270" s="1"/>
  <c r="F31" i="270"/>
  <c r="E31" i="270"/>
  <c r="S31" i="270" s="1"/>
  <c r="D31" i="270"/>
  <c r="R31" i="270" s="1"/>
  <c r="C31" i="270"/>
  <c r="H30" i="270"/>
  <c r="V30" i="270" s="1"/>
  <c r="G30" i="270"/>
  <c r="U30" i="270" s="1"/>
  <c r="F30" i="270"/>
  <c r="T30" i="270" s="1"/>
  <c r="E30" i="270"/>
  <c r="S30" i="270" s="1"/>
  <c r="D30" i="270"/>
  <c r="R30" i="270" s="1"/>
  <c r="C30" i="270"/>
  <c r="Q30" i="270" s="1"/>
  <c r="H29" i="270"/>
  <c r="V29" i="270" s="1"/>
  <c r="G29" i="270"/>
  <c r="U29" i="270" s="1"/>
  <c r="F29" i="270"/>
  <c r="T29" i="270" s="1"/>
  <c r="E29" i="270"/>
  <c r="S29" i="270" s="1"/>
  <c r="D29" i="270"/>
  <c r="R29" i="270" s="1"/>
  <c r="C29" i="270"/>
  <c r="Q29" i="270" s="1"/>
  <c r="H28" i="270"/>
  <c r="V28" i="270" s="1"/>
  <c r="G28" i="270"/>
  <c r="U28" i="270" s="1"/>
  <c r="F28" i="270"/>
  <c r="T28" i="270" s="1"/>
  <c r="E28" i="270"/>
  <c r="S28" i="270" s="1"/>
  <c r="D28" i="270"/>
  <c r="R28" i="270" s="1"/>
  <c r="C28" i="270"/>
  <c r="Q28" i="270" s="1"/>
  <c r="H27" i="270"/>
  <c r="V27" i="270" s="1"/>
  <c r="G27" i="270"/>
  <c r="U27" i="270" s="1"/>
  <c r="F27" i="270"/>
  <c r="T27" i="270" s="1"/>
  <c r="E27" i="270"/>
  <c r="S27" i="270" s="1"/>
  <c r="D27" i="270"/>
  <c r="R27" i="270" s="1"/>
  <c r="C27" i="270"/>
  <c r="Q27" i="270" s="1"/>
  <c r="H26" i="270"/>
  <c r="V26" i="270" s="1"/>
  <c r="G26" i="270"/>
  <c r="U26" i="270" s="1"/>
  <c r="F26" i="270"/>
  <c r="T26" i="270" s="1"/>
  <c r="E26" i="270"/>
  <c r="S26" i="270" s="1"/>
  <c r="D26" i="270"/>
  <c r="R26" i="270" s="1"/>
  <c r="C26" i="270"/>
  <c r="Q26" i="270" s="1"/>
  <c r="H25" i="270"/>
  <c r="V25" i="270" s="1"/>
  <c r="G25" i="270"/>
  <c r="U25" i="270" s="1"/>
  <c r="F25" i="270"/>
  <c r="T25" i="270" s="1"/>
  <c r="E25" i="270"/>
  <c r="S25" i="270" s="1"/>
  <c r="D25" i="270"/>
  <c r="R25" i="270" s="1"/>
  <c r="C25" i="270"/>
  <c r="Q25" i="270" s="1"/>
  <c r="H24" i="270"/>
  <c r="V24" i="270" s="1"/>
  <c r="G24" i="270"/>
  <c r="U24" i="270" s="1"/>
  <c r="F24" i="270"/>
  <c r="T24" i="270" s="1"/>
  <c r="E24" i="270"/>
  <c r="S24" i="270" s="1"/>
  <c r="D24" i="270"/>
  <c r="R24" i="270" s="1"/>
  <c r="C24" i="270"/>
  <c r="Q24" i="270" s="1"/>
  <c r="U21" i="270"/>
  <c r="T21" i="270"/>
  <c r="Q21" i="270"/>
  <c r="V20" i="270"/>
  <c r="S20" i="270"/>
  <c r="R20" i="270"/>
  <c r="U19" i="270"/>
  <c r="T19" i="270"/>
  <c r="Q19" i="270"/>
  <c r="H21" i="270"/>
  <c r="V21" i="270" s="1"/>
  <c r="G21" i="270"/>
  <c r="F21" i="270"/>
  <c r="E21" i="270"/>
  <c r="S21" i="270" s="1"/>
  <c r="D21" i="270"/>
  <c r="R21" i="270" s="1"/>
  <c r="C21" i="270"/>
  <c r="H20" i="270"/>
  <c r="G20" i="270"/>
  <c r="U20" i="270" s="1"/>
  <c r="F20" i="270"/>
  <c r="T20" i="270" s="1"/>
  <c r="E20" i="270"/>
  <c r="D20" i="270"/>
  <c r="C20" i="270"/>
  <c r="Q20" i="270" s="1"/>
  <c r="H19" i="270"/>
  <c r="V19" i="270" s="1"/>
  <c r="G19" i="270"/>
  <c r="F19" i="270"/>
  <c r="E19" i="270"/>
  <c r="S19" i="270" s="1"/>
  <c r="D19" i="270"/>
  <c r="R19" i="270" s="1"/>
  <c r="C19" i="270"/>
  <c r="U16" i="270"/>
  <c r="T16" i="270"/>
  <c r="Q16" i="270"/>
  <c r="V15" i="270"/>
  <c r="S15" i="270"/>
  <c r="R15" i="270"/>
  <c r="U14" i="270"/>
  <c r="T14" i="270"/>
  <c r="Q14" i="270"/>
  <c r="H16" i="270"/>
  <c r="V16" i="270" s="1"/>
  <c r="G16" i="270"/>
  <c r="F16" i="270"/>
  <c r="E16" i="270"/>
  <c r="S16" i="270" s="1"/>
  <c r="D16" i="270"/>
  <c r="R16" i="270" s="1"/>
  <c r="C16" i="270"/>
  <c r="H15" i="270"/>
  <c r="G15" i="270"/>
  <c r="U15" i="270" s="1"/>
  <c r="F15" i="270"/>
  <c r="T15" i="270" s="1"/>
  <c r="E15" i="270"/>
  <c r="D15" i="270"/>
  <c r="C15" i="270"/>
  <c r="Q15" i="270" s="1"/>
  <c r="H14" i="270"/>
  <c r="V14" i="270" s="1"/>
  <c r="G14" i="270"/>
  <c r="F14" i="270"/>
  <c r="E14" i="270"/>
  <c r="S14" i="270" s="1"/>
  <c r="D14" i="270"/>
  <c r="R14" i="270" s="1"/>
  <c r="C14" i="270"/>
  <c r="H9" i="270"/>
  <c r="V9" i="270" s="1"/>
  <c r="G9" i="270"/>
  <c r="U9" i="270" s="1"/>
  <c r="F9" i="270"/>
  <c r="T9" i="270" s="1"/>
  <c r="E9" i="270"/>
  <c r="S9" i="270" s="1"/>
  <c r="D9" i="270"/>
  <c r="R9" i="270" s="1"/>
  <c r="C9" i="270"/>
  <c r="Q9" i="270" s="1"/>
  <c r="H8" i="270"/>
  <c r="V8" i="270" s="1"/>
  <c r="G8" i="270"/>
  <c r="G10" i="270" s="1"/>
  <c r="U10" i="270" s="1"/>
  <c r="F8" i="270"/>
  <c r="T8" i="270" s="1"/>
  <c r="E8" i="270"/>
  <c r="S8" i="270" s="1"/>
  <c r="D8" i="270"/>
  <c r="R8" i="270" s="1"/>
  <c r="C8" i="270"/>
  <c r="Q8" i="270" s="1"/>
  <c r="H7" i="270"/>
  <c r="V7" i="270" s="1"/>
  <c r="G7" i="270"/>
  <c r="U7" i="270" s="1"/>
  <c r="F7" i="270"/>
  <c r="T7" i="270" s="1"/>
  <c r="E7" i="270"/>
  <c r="S7" i="270" s="1"/>
  <c r="D7" i="270"/>
  <c r="R7" i="270" s="1"/>
  <c r="C7" i="270"/>
  <c r="Q7" i="270" s="1"/>
  <c r="V4" i="270"/>
  <c r="U4" i="270"/>
  <c r="T4" i="270"/>
  <c r="S4" i="270"/>
  <c r="R4" i="270"/>
  <c r="Q4" i="270"/>
  <c r="O4" i="270"/>
  <c r="N4" i="270"/>
  <c r="M4" i="270"/>
  <c r="L4" i="270"/>
  <c r="K4" i="270"/>
  <c r="J4" i="270"/>
  <c r="U8" i="270" l="1"/>
  <c r="E10" i="270"/>
  <c r="S10" i="270" s="1"/>
  <c r="F10" i="270"/>
  <c r="T10" i="270" s="1"/>
  <c r="T31" i="270"/>
  <c r="C10" i="270"/>
  <c r="Q10" i="270" s="1"/>
  <c r="Q31" i="270"/>
  <c r="D10" i="270"/>
  <c r="R10" i="270" s="1"/>
  <c r="H10" i="270"/>
  <c r="V10" i="270" s="1"/>
  <c r="D62" i="50" l="1"/>
  <c r="D59" i="50"/>
  <c r="T56" i="50"/>
  <c r="S56" i="50"/>
  <c r="O53" i="50"/>
  <c r="N53" i="50"/>
  <c r="M53" i="50"/>
  <c r="L53" i="50"/>
  <c r="J53" i="50"/>
  <c r="I53" i="50"/>
  <c r="H53" i="50"/>
  <c r="G53" i="50"/>
  <c r="F53" i="50"/>
  <c r="D50" i="50"/>
  <c r="T45" i="50"/>
  <c r="S45" i="50"/>
  <c r="P45" i="50"/>
  <c r="P53" i="50" s="1"/>
  <c r="I45" i="50"/>
  <c r="H45" i="50"/>
  <c r="R37" i="50"/>
  <c r="R45" i="50" s="1"/>
  <c r="R56" i="50" s="1"/>
  <c r="D56" i="50" s="1"/>
  <c r="O102" i="160"/>
  <c r="N102" i="160"/>
  <c r="M102" i="160"/>
  <c r="L102" i="160"/>
  <c r="K102" i="160"/>
  <c r="J102" i="160"/>
  <c r="I102" i="160"/>
  <c r="H102" i="160"/>
  <c r="G102" i="160"/>
  <c r="F102" i="160"/>
  <c r="E102" i="160"/>
  <c r="O54" i="160"/>
  <c r="N54" i="160"/>
  <c r="M54" i="160"/>
  <c r="L54" i="160"/>
  <c r="K54" i="160"/>
  <c r="J54" i="160"/>
  <c r="I54" i="160"/>
  <c r="H54" i="160"/>
  <c r="G54" i="160"/>
  <c r="F54" i="160"/>
  <c r="E54" i="160"/>
  <c r="O52" i="160"/>
  <c r="N52" i="160"/>
  <c r="N95" i="160" s="1"/>
  <c r="M52" i="160"/>
  <c r="L52" i="160"/>
  <c r="K52" i="160"/>
  <c r="K95" i="160" s="1"/>
  <c r="O51" i="160"/>
  <c r="N51" i="160"/>
  <c r="M51" i="160"/>
  <c r="L51" i="160"/>
  <c r="L94" i="160" s="1"/>
  <c r="K51" i="160"/>
  <c r="K94" i="160" s="1"/>
  <c r="O50" i="160"/>
  <c r="N50" i="160"/>
  <c r="M50" i="160"/>
  <c r="M93" i="160" s="1"/>
  <c r="L50" i="160"/>
  <c r="L93" i="160" s="1"/>
  <c r="K50" i="160"/>
  <c r="J51" i="160"/>
  <c r="I51" i="160"/>
  <c r="I94" i="160" s="1"/>
  <c r="H51" i="160"/>
  <c r="H94" i="160" s="1"/>
  <c r="G51" i="160"/>
  <c r="F51" i="160"/>
  <c r="E51" i="160"/>
  <c r="E94" i="160" s="1"/>
  <c r="D51" i="160"/>
  <c r="D94" i="160" s="1"/>
  <c r="J50" i="160"/>
  <c r="I50" i="160"/>
  <c r="H50" i="160"/>
  <c r="H93" i="160" s="1"/>
  <c r="G50" i="160"/>
  <c r="G93" i="160" s="1"/>
  <c r="F50" i="160"/>
  <c r="E50" i="160"/>
  <c r="D50" i="160"/>
  <c r="D93" i="160" s="1"/>
  <c r="N38" i="160"/>
  <c r="N73" i="160" s="1"/>
  <c r="K37" i="160"/>
  <c r="K72" i="160" s="1"/>
  <c r="L36" i="160"/>
  <c r="L43" i="160" s="1"/>
  <c r="G36" i="160"/>
  <c r="G57" i="160" s="1"/>
  <c r="D33" i="160"/>
  <c r="O31" i="160"/>
  <c r="N31" i="160"/>
  <c r="M31" i="160"/>
  <c r="L31" i="160"/>
  <c r="K31" i="160"/>
  <c r="O30" i="160"/>
  <c r="N30" i="160"/>
  <c r="M30" i="160"/>
  <c r="L30" i="160"/>
  <c r="K30" i="160"/>
  <c r="O29" i="160"/>
  <c r="O33" i="160" s="1"/>
  <c r="N29" i="160"/>
  <c r="N33" i="160" s="1"/>
  <c r="M29" i="160"/>
  <c r="M33" i="160" s="1"/>
  <c r="L29" i="160"/>
  <c r="K29" i="160"/>
  <c r="K33" i="160" s="1"/>
  <c r="J30" i="160"/>
  <c r="I30" i="160"/>
  <c r="H30" i="160"/>
  <c r="G30" i="160"/>
  <c r="F30" i="160"/>
  <c r="E30" i="160"/>
  <c r="D30" i="160"/>
  <c r="D37" i="160" s="1"/>
  <c r="J29" i="160"/>
  <c r="J33" i="160" s="1"/>
  <c r="I29" i="160"/>
  <c r="I33" i="160" s="1"/>
  <c r="H29" i="160"/>
  <c r="G29" i="160"/>
  <c r="G33" i="160" s="1"/>
  <c r="F29" i="160"/>
  <c r="F33" i="160" s="1"/>
  <c r="E29" i="160"/>
  <c r="E33" i="160" s="1"/>
  <c r="D29" i="160"/>
  <c r="O26" i="160"/>
  <c r="N26" i="160"/>
  <c r="N68" i="160" s="1"/>
  <c r="M26" i="160"/>
  <c r="M68" i="160" s="1"/>
  <c r="L26" i="160"/>
  <c r="K26" i="160"/>
  <c r="J26" i="160"/>
  <c r="J68" i="160" s="1"/>
  <c r="I26" i="160"/>
  <c r="I68" i="160" s="1"/>
  <c r="H26" i="160"/>
  <c r="G26" i="160"/>
  <c r="F26" i="160"/>
  <c r="E26" i="160"/>
  <c r="D26" i="160"/>
  <c r="O23" i="160"/>
  <c r="N23" i="160"/>
  <c r="M23" i="160"/>
  <c r="M38" i="160" s="1"/>
  <c r="L23" i="160"/>
  <c r="K23" i="160"/>
  <c r="O22" i="160"/>
  <c r="O37" i="160" s="1"/>
  <c r="N22" i="160"/>
  <c r="M22" i="160"/>
  <c r="L22" i="160"/>
  <c r="K22" i="160"/>
  <c r="O21" i="160"/>
  <c r="O36" i="160" s="1"/>
  <c r="N21" i="160"/>
  <c r="M21" i="160"/>
  <c r="L21" i="160"/>
  <c r="L24" i="160" s="1"/>
  <c r="K21" i="160"/>
  <c r="K36" i="160" s="1"/>
  <c r="J22" i="160"/>
  <c r="J79" i="160" s="1"/>
  <c r="I22" i="160"/>
  <c r="H22" i="160"/>
  <c r="G22" i="160"/>
  <c r="F22" i="160"/>
  <c r="F79" i="160" s="1"/>
  <c r="E22" i="160"/>
  <c r="J21" i="160"/>
  <c r="I21" i="160"/>
  <c r="I78" i="160" s="1"/>
  <c r="H21" i="160"/>
  <c r="H24" i="160" s="1"/>
  <c r="G21" i="160"/>
  <c r="F21" i="160"/>
  <c r="F36" i="160" s="1"/>
  <c r="E21" i="160"/>
  <c r="E78" i="160" s="1"/>
  <c r="O18" i="160"/>
  <c r="N18" i="160"/>
  <c r="M18" i="160"/>
  <c r="L18" i="160"/>
  <c r="K18" i="160"/>
  <c r="J18" i="160"/>
  <c r="I18" i="160"/>
  <c r="H18" i="160"/>
  <c r="G18" i="160"/>
  <c r="O16" i="160"/>
  <c r="N16" i="160"/>
  <c r="M16" i="160"/>
  <c r="L16" i="160"/>
  <c r="K16" i="160"/>
  <c r="O15" i="160"/>
  <c r="N15" i="160"/>
  <c r="M15" i="160"/>
  <c r="L15" i="160"/>
  <c r="K15" i="160"/>
  <c r="O14" i="160"/>
  <c r="N14" i="160"/>
  <c r="M14" i="160"/>
  <c r="L14" i="160"/>
  <c r="K14" i="160"/>
  <c r="J15" i="160"/>
  <c r="I15" i="160"/>
  <c r="H15" i="160"/>
  <c r="G15" i="160"/>
  <c r="F15" i="160"/>
  <c r="E15" i="160"/>
  <c r="D15" i="160"/>
  <c r="D65" i="160" s="1"/>
  <c r="J14" i="160"/>
  <c r="I14" i="160"/>
  <c r="H14" i="160"/>
  <c r="G14" i="160"/>
  <c r="F14" i="160"/>
  <c r="F18" i="160" s="1"/>
  <c r="E14" i="160"/>
  <c r="E18" i="160" s="1"/>
  <c r="D14" i="160"/>
  <c r="D64" i="160" s="1"/>
  <c r="O11" i="160"/>
  <c r="N11" i="160"/>
  <c r="M11" i="160"/>
  <c r="L11" i="160"/>
  <c r="K11" i="160"/>
  <c r="O10" i="160"/>
  <c r="N10" i="160"/>
  <c r="M10" i="160"/>
  <c r="L10" i="160"/>
  <c r="K10" i="160"/>
  <c r="O9" i="160"/>
  <c r="N9" i="160"/>
  <c r="M9" i="160"/>
  <c r="L9" i="160"/>
  <c r="K9" i="160"/>
  <c r="J10" i="160"/>
  <c r="I10" i="160"/>
  <c r="H10" i="160"/>
  <c r="G10" i="160"/>
  <c r="F10" i="160"/>
  <c r="E10" i="160"/>
  <c r="D10" i="160"/>
  <c r="J9" i="160"/>
  <c r="I9" i="160"/>
  <c r="H9" i="160"/>
  <c r="G9" i="160"/>
  <c r="F9" i="160"/>
  <c r="E9" i="160"/>
  <c r="D9" i="160"/>
  <c r="O6" i="160"/>
  <c r="N6" i="160"/>
  <c r="M6" i="160"/>
  <c r="L6" i="160"/>
  <c r="K6" i="160"/>
  <c r="J6" i="160"/>
  <c r="I6" i="160"/>
  <c r="H6" i="160"/>
  <c r="G6" i="160"/>
  <c r="F6" i="160"/>
  <c r="E6" i="160"/>
  <c r="X30" i="271"/>
  <c r="W30" i="271"/>
  <c r="V30" i="271"/>
  <c r="U30" i="271"/>
  <c r="T30" i="271"/>
  <c r="S30" i="271"/>
  <c r="R30" i="271"/>
  <c r="Q30" i="271"/>
  <c r="X29" i="271"/>
  <c r="W29" i="271"/>
  <c r="V29" i="271"/>
  <c r="U29" i="271"/>
  <c r="T29" i="271"/>
  <c r="S29" i="271"/>
  <c r="R29" i="271"/>
  <c r="Q29" i="271"/>
  <c r="J30" i="271"/>
  <c r="J29" i="271"/>
  <c r="G30" i="271"/>
  <c r="G29" i="271"/>
  <c r="D30" i="271"/>
  <c r="E29" i="271"/>
  <c r="D29" i="271"/>
  <c r="C29" i="271"/>
  <c r="K29" i="271" s="1"/>
  <c r="D27" i="271"/>
  <c r="D26" i="271"/>
  <c r="C26" i="271"/>
  <c r="C27" i="271" s="1"/>
  <c r="D25" i="271"/>
  <c r="C25" i="271"/>
  <c r="E25" i="271" s="1"/>
  <c r="AA27" i="271"/>
  <c r="Z27" i="271"/>
  <c r="Y27" i="271"/>
  <c r="X27" i="271"/>
  <c r="W27" i="271"/>
  <c r="V27" i="271"/>
  <c r="U27" i="271"/>
  <c r="T27" i="271"/>
  <c r="S27" i="271"/>
  <c r="R27" i="271"/>
  <c r="Q27" i="271"/>
  <c r="X26" i="271"/>
  <c r="W26" i="271"/>
  <c r="V26" i="271"/>
  <c r="U26" i="271"/>
  <c r="T26" i="271"/>
  <c r="S26" i="271"/>
  <c r="R26" i="271"/>
  <c r="Q26" i="271"/>
  <c r="X25" i="271"/>
  <c r="W25" i="271"/>
  <c r="V25" i="271"/>
  <c r="U25" i="271"/>
  <c r="T25" i="271"/>
  <c r="S25" i="271"/>
  <c r="R25" i="271"/>
  <c r="Q25" i="271"/>
  <c r="Y24" i="271"/>
  <c r="X24" i="271"/>
  <c r="W24" i="271"/>
  <c r="V24" i="271"/>
  <c r="U24" i="271"/>
  <c r="T24" i="271"/>
  <c r="S24" i="271"/>
  <c r="R24" i="271"/>
  <c r="Q24" i="271"/>
  <c r="AB23" i="271"/>
  <c r="AA23" i="271"/>
  <c r="Z23" i="271"/>
  <c r="Y23" i="271"/>
  <c r="X23" i="271"/>
  <c r="W23" i="271"/>
  <c r="V23" i="271"/>
  <c r="U23" i="271"/>
  <c r="T23" i="271"/>
  <c r="S23" i="271"/>
  <c r="R23" i="271"/>
  <c r="Q23" i="271"/>
  <c r="J27" i="271"/>
  <c r="J26" i="271"/>
  <c r="K25" i="271"/>
  <c r="J25" i="271"/>
  <c r="J24" i="271"/>
  <c r="K24" i="271" s="1"/>
  <c r="J23" i="271"/>
  <c r="G27" i="271"/>
  <c r="H26" i="271"/>
  <c r="G26" i="271"/>
  <c r="G25" i="271"/>
  <c r="H25" i="271" s="1"/>
  <c r="H24" i="271"/>
  <c r="G24" i="271"/>
  <c r="G23" i="271"/>
  <c r="E24" i="271"/>
  <c r="D24" i="271"/>
  <c r="D23" i="271"/>
  <c r="C23" i="271"/>
  <c r="H23" i="271" s="1"/>
  <c r="D21" i="271"/>
  <c r="E20" i="271"/>
  <c r="D20" i="271"/>
  <c r="C20" i="271"/>
  <c r="X21" i="271"/>
  <c r="W21" i="271"/>
  <c r="V21" i="271"/>
  <c r="U21" i="271"/>
  <c r="T21" i="271"/>
  <c r="S21" i="271"/>
  <c r="R21" i="271"/>
  <c r="Q21" i="271"/>
  <c r="X20" i="271"/>
  <c r="W20" i="271"/>
  <c r="V20" i="271"/>
  <c r="U20" i="271"/>
  <c r="T20" i="271"/>
  <c r="S20" i="271"/>
  <c r="R20" i="271"/>
  <c r="Q20" i="271"/>
  <c r="AB19" i="271"/>
  <c r="AA19" i="271"/>
  <c r="Z19" i="271"/>
  <c r="Y19" i="271"/>
  <c r="X19" i="271"/>
  <c r="W19" i="271"/>
  <c r="V19" i="271"/>
  <c r="U19" i="271"/>
  <c r="T19" i="271"/>
  <c r="S19" i="271"/>
  <c r="R19" i="271"/>
  <c r="Q19" i="271"/>
  <c r="X18" i="271"/>
  <c r="W18" i="271"/>
  <c r="V18" i="271"/>
  <c r="U18" i="271"/>
  <c r="T18" i="271"/>
  <c r="S18" i="271"/>
  <c r="R18" i="271"/>
  <c r="Q18" i="271"/>
  <c r="J21" i="271"/>
  <c r="J20" i="271"/>
  <c r="K20" i="271" s="1"/>
  <c r="J19" i="271"/>
  <c r="K19" i="271" s="1"/>
  <c r="J18" i="271"/>
  <c r="K18" i="271" s="1"/>
  <c r="G21" i="271"/>
  <c r="G20" i="271"/>
  <c r="H20" i="271" s="1"/>
  <c r="G19" i="271"/>
  <c r="H19" i="271" s="1"/>
  <c r="G18" i="271"/>
  <c r="H18" i="271" s="1"/>
  <c r="D19" i="271"/>
  <c r="E19" i="271" s="1"/>
  <c r="D18" i="271"/>
  <c r="E18" i="271" s="1"/>
  <c r="X15" i="271"/>
  <c r="W15" i="271"/>
  <c r="V15" i="271"/>
  <c r="U15" i="271"/>
  <c r="T15" i="271"/>
  <c r="S15" i="271"/>
  <c r="R15" i="271"/>
  <c r="Q15" i="271"/>
  <c r="AB14" i="271"/>
  <c r="AA14" i="271"/>
  <c r="Z14" i="271"/>
  <c r="Y14" i="271"/>
  <c r="X14" i="271"/>
  <c r="W14" i="271"/>
  <c r="V14" i="271"/>
  <c r="U14" i="271"/>
  <c r="T14" i="271"/>
  <c r="S14" i="271"/>
  <c r="R14" i="271"/>
  <c r="Q14" i="271"/>
  <c r="X13" i="271"/>
  <c r="W13" i="271"/>
  <c r="V13" i="271"/>
  <c r="U13" i="271"/>
  <c r="T13" i="271"/>
  <c r="S13" i="271"/>
  <c r="R13" i="271"/>
  <c r="Q13" i="271"/>
  <c r="X12" i="271"/>
  <c r="W12" i="271"/>
  <c r="V12" i="271"/>
  <c r="U12" i="271"/>
  <c r="T12" i="271"/>
  <c r="S12" i="271"/>
  <c r="R12" i="271"/>
  <c r="Q12" i="271"/>
  <c r="J15" i="271"/>
  <c r="K15" i="271" s="1"/>
  <c r="J14" i="271"/>
  <c r="K14" i="271" s="1"/>
  <c r="J13" i="271"/>
  <c r="K13" i="271" s="1"/>
  <c r="J12" i="271"/>
  <c r="K12" i="271" s="1"/>
  <c r="G15" i="271"/>
  <c r="H15" i="271" s="1"/>
  <c r="G14" i="271"/>
  <c r="H14" i="271" s="1"/>
  <c r="G13" i="271"/>
  <c r="H13" i="271" s="1"/>
  <c r="H12" i="271"/>
  <c r="G12" i="271"/>
  <c r="D15" i="271"/>
  <c r="E15" i="271" s="1"/>
  <c r="E14" i="271"/>
  <c r="D14" i="271"/>
  <c r="D13" i="271"/>
  <c r="E13" i="271" s="1"/>
  <c r="E12" i="271"/>
  <c r="D12" i="271"/>
  <c r="D9" i="271"/>
  <c r="E9" i="271" s="1"/>
  <c r="C9" i="271"/>
  <c r="X8" i="271"/>
  <c r="W8" i="271"/>
  <c r="V8" i="271"/>
  <c r="U8" i="271"/>
  <c r="T8" i="271"/>
  <c r="S8" i="271"/>
  <c r="R8" i="271"/>
  <c r="Q8" i="271"/>
  <c r="X7" i="271"/>
  <c r="X9" i="271" s="1"/>
  <c r="W7" i="271"/>
  <c r="W9" i="271" s="1"/>
  <c r="V7" i="271"/>
  <c r="V9" i="271" s="1"/>
  <c r="U7" i="271"/>
  <c r="U9" i="271" s="1"/>
  <c r="T7" i="271"/>
  <c r="T9" i="271" s="1"/>
  <c r="S7" i="271"/>
  <c r="S9" i="271" s="1"/>
  <c r="R7" i="271"/>
  <c r="R9" i="271" s="1"/>
  <c r="Q7" i="271"/>
  <c r="Q9" i="271" s="1"/>
  <c r="AB6" i="271"/>
  <c r="AA6" i="271"/>
  <c r="Z6" i="271"/>
  <c r="Y6" i="271"/>
  <c r="X6" i="271"/>
  <c r="W6" i="271"/>
  <c r="V6" i="271"/>
  <c r="U6" i="271"/>
  <c r="T6" i="271"/>
  <c r="S6" i="271"/>
  <c r="R6" i="271"/>
  <c r="Q6" i="271"/>
  <c r="K8" i="271"/>
  <c r="J8" i="271"/>
  <c r="J7" i="271"/>
  <c r="K7" i="271" s="1"/>
  <c r="K6" i="271"/>
  <c r="J6" i="271"/>
  <c r="H8" i="271"/>
  <c r="G8" i="271"/>
  <c r="G7" i="271"/>
  <c r="H7" i="271" s="1"/>
  <c r="H6" i="271"/>
  <c r="G6" i="271"/>
  <c r="E8" i="271"/>
  <c r="D8" i="271"/>
  <c r="E7" i="271"/>
  <c r="D7" i="271"/>
  <c r="E6" i="271"/>
  <c r="D6" i="271"/>
  <c r="O3" i="271"/>
  <c r="N3" i="271"/>
  <c r="M3" i="271"/>
  <c r="D58" i="50" l="1"/>
  <c r="D61" i="50" s="1"/>
  <c r="D64" i="50" s="1"/>
  <c r="D55" i="50"/>
  <c r="D53" i="50"/>
  <c r="D52" i="50" s="1"/>
  <c r="K71" i="160"/>
  <c r="K40" i="160"/>
  <c r="K43" i="160"/>
  <c r="K57" i="160"/>
  <c r="O71" i="160"/>
  <c r="O40" i="160"/>
  <c r="O43" i="160"/>
  <c r="O57" i="160"/>
  <c r="M73" i="160"/>
  <c r="M45" i="160"/>
  <c r="M59" i="160"/>
  <c r="F71" i="160"/>
  <c r="F43" i="160"/>
  <c r="F57" i="160"/>
  <c r="O72" i="160"/>
  <c r="O58" i="160"/>
  <c r="O44" i="160"/>
  <c r="D72" i="160"/>
  <c r="D58" i="160"/>
  <c r="D44" i="160"/>
  <c r="D18" i="160"/>
  <c r="G65" i="160"/>
  <c r="G79" i="160"/>
  <c r="G84" i="160" s="1"/>
  <c r="J24" i="160"/>
  <c r="G64" i="160"/>
  <c r="G78" i="160"/>
  <c r="G83" i="160" s="1"/>
  <c r="E37" i="160"/>
  <c r="E79" i="160"/>
  <c r="E84" i="160" s="1"/>
  <c r="E65" i="160"/>
  <c r="I37" i="160"/>
  <c r="I79" i="160"/>
  <c r="I84" i="160" s="1"/>
  <c r="I65" i="160"/>
  <c r="M36" i="160"/>
  <c r="M78" i="160"/>
  <c r="M83" i="160" s="1"/>
  <c r="M64" i="160"/>
  <c r="L37" i="160"/>
  <c r="L40" i="160" s="1"/>
  <c r="L79" i="160"/>
  <c r="L84" i="160" s="1"/>
  <c r="L65" i="160"/>
  <c r="K38" i="160"/>
  <c r="K80" i="160"/>
  <c r="K85" i="160" s="1"/>
  <c r="K66" i="160"/>
  <c r="O38" i="160"/>
  <c r="O80" i="160"/>
  <c r="O85" i="160" s="1"/>
  <c r="O66" i="160"/>
  <c r="D68" i="160"/>
  <c r="H68" i="160"/>
  <c r="L68" i="160"/>
  <c r="D36" i="160"/>
  <c r="D78" i="160"/>
  <c r="D83" i="160" s="1"/>
  <c r="H33" i="160"/>
  <c r="J37" i="160"/>
  <c r="E93" i="160"/>
  <c r="I93" i="160"/>
  <c r="L98" i="160" s="1"/>
  <c r="F94" i="160"/>
  <c r="J94" i="160"/>
  <c r="L99" i="160" s="1"/>
  <c r="N93" i="160"/>
  <c r="M94" i="160"/>
  <c r="L95" i="160"/>
  <c r="K58" i="160"/>
  <c r="N59" i="160"/>
  <c r="J65" i="160"/>
  <c r="H36" i="160"/>
  <c r="H78" i="160"/>
  <c r="H83" i="160" s="1"/>
  <c r="H64" i="160"/>
  <c r="F84" i="160"/>
  <c r="J84" i="160"/>
  <c r="N78" i="160"/>
  <c r="N83" i="160" s="1"/>
  <c r="N64" i="160"/>
  <c r="M79" i="160"/>
  <c r="M84" i="160" s="1"/>
  <c r="M65" i="160"/>
  <c r="L80" i="160"/>
  <c r="L85" i="160" s="1"/>
  <c r="L66" i="160"/>
  <c r="L38" i="160"/>
  <c r="E24" i="160"/>
  <c r="I24" i="160"/>
  <c r="M24" i="160"/>
  <c r="E68" i="160"/>
  <c r="G71" i="160"/>
  <c r="F37" i="160"/>
  <c r="F40" i="160" s="1"/>
  <c r="F93" i="160"/>
  <c r="J98" i="160" s="1"/>
  <c r="J93" i="160"/>
  <c r="G94" i="160"/>
  <c r="K99" i="160" s="1"/>
  <c r="K93" i="160"/>
  <c r="N94" i="160"/>
  <c r="M95" i="160"/>
  <c r="E64" i="160"/>
  <c r="E83" i="160"/>
  <c r="K64" i="160"/>
  <c r="K78" i="160"/>
  <c r="K83" i="160" s="1"/>
  <c r="O64" i="160"/>
  <c r="O78" i="160"/>
  <c r="O83" i="160" s="1"/>
  <c r="N65" i="160"/>
  <c r="N79" i="160"/>
  <c r="N84" i="160" s="1"/>
  <c r="M66" i="160"/>
  <c r="M80" i="160"/>
  <c r="M85" i="160" s="1"/>
  <c r="N24" i="160"/>
  <c r="F68" i="160"/>
  <c r="I36" i="160"/>
  <c r="G37" i="160"/>
  <c r="G40" i="160" s="1"/>
  <c r="L71" i="160"/>
  <c r="M37" i="160"/>
  <c r="K98" i="160"/>
  <c r="H99" i="160"/>
  <c r="L57" i="160"/>
  <c r="I64" i="160"/>
  <c r="I83" i="160"/>
  <c r="M88" i="160" s="1"/>
  <c r="F24" i="160"/>
  <c r="F64" i="160"/>
  <c r="F78" i="160"/>
  <c r="F83" i="160" s="1"/>
  <c r="J64" i="160"/>
  <c r="J78" i="160"/>
  <c r="J83" i="160" s="1"/>
  <c r="H65" i="160"/>
  <c r="H79" i="160"/>
  <c r="H84" i="160" s="1"/>
  <c r="L64" i="160"/>
  <c r="L78" i="160"/>
  <c r="L83" i="160" s="1"/>
  <c r="K65" i="160"/>
  <c r="K79" i="160"/>
  <c r="K84" i="160" s="1"/>
  <c r="O89" i="160" s="1"/>
  <c r="O65" i="160"/>
  <c r="O79" i="160"/>
  <c r="O84" i="160" s="1"/>
  <c r="N66" i="160"/>
  <c r="N80" i="160"/>
  <c r="N85" i="160" s="1"/>
  <c r="G24" i="160"/>
  <c r="K24" i="160"/>
  <c r="O24" i="160"/>
  <c r="G68" i="160"/>
  <c r="K68" i="160"/>
  <c r="O68" i="160"/>
  <c r="D79" i="160"/>
  <c r="D84" i="160" s="1"/>
  <c r="L33" i="160"/>
  <c r="E36" i="160"/>
  <c r="J36" i="160"/>
  <c r="H37" i="160"/>
  <c r="N36" i="160"/>
  <c r="N37" i="160"/>
  <c r="G43" i="160"/>
  <c r="K44" i="160"/>
  <c r="N45" i="160"/>
  <c r="H98" i="160"/>
  <c r="I99" i="160"/>
  <c r="M99" i="160"/>
  <c r="M100" i="160"/>
  <c r="L100" i="160"/>
  <c r="K100" i="160"/>
  <c r="N100" i="160"/>
  <c r="F65" i="160"/>
  <c r="H27" i="271"/>
  <c r="E27" i="271"/>
  <c r="K27" i="271"/>
  <c r="K23" i="271"/>
  <c r="G9" i="271"/>
  <c r="H9" i="271" s="1"/>
  <c r="J9" i="271"/>
  <c r="K9" i="271" s="1"/>
  <c r="C21" i="271"/>
  <c r="C30" i="271"/>
  <c r="H29" i="271"/>
  <c r="E23" i="271"/>
  <c r="K26" i="271"/>
  <c r="E26" i="271"/>
  <c r="CY156" i="258"/>
  <c r="CX156" i="258"/>
  <c r="CV156" i="258"/>
  <c r="CY155" i="258"/>
  <c r="CX155" i="258"/>
  <c r="CW155" i="258"/>
  <c r="CV155" i="258"/>
  <c r="CY154" i="258"/>
  <c r="CY157" i="258" s="1"/>
  <c r="CX154" i="258"/>
  <c r="CX157" i="258" s="1"/>
  <c r="CW154" i="258"/>
  <c r="CV154" i="258"/>
  <c r="CV157" i="258" s="1"/>
  <c r="CT156" i="258"/>
  <c r="CS156" i="258"/>
  <c r="CQ156" i="258"/>
  <c r="CT155" i="258"/>
  <c r="CS155" i="258"/>
  <c r="CR155" i="258"/>
  <c r="CQ155" i="258"/>
  <c r="CT154" i="258"/>
  <c r="CT157" i="258" s="1"/>
  <c r="CS154" i="258"/>
  <c r="CS157" i="258" s="1"/>
  <c r="CR154" i="258"/>
  <c r="CQ154" i="258"/>
  <c r="CQ157" i="258" s="1"/>
  <c r="CO156" i="258"/>
  <c r="CN156" i="258"/>
  <c r="CL156" i="258"/>
  <c r="CO155" i="258"/>
  <c r="CN155" i="258"/>
  <c r="CM155" i="258"/>
  <c r="CL155" i="258"/>
  <c r="CO154" i="258"/>
  <c r="CO157" i="258" s="1"/>
  <c r="CN154" i="258"/>
  <c r="CN157" i="258" s="1"/>
  <c r="CM154" i="258"/>
  <c r="CL154" i="258"/>
  <c r="CL157" i="258" s="1"/>
  <c r="CJ156" i="258"/>
  <c r="CI156" i="258"/>
  <c r="CG156" i="258"/>
  <c r="CJ155" i="258"/>
  <c r="CI155" i="258"/>
  <c r="CH155" i="258"/>
  <c r="CG155" i="258"/>
  <c r="CJ154" i="258"/>
  <c r="CJ157" i="258" s="1"/>
  <c r="CI154" i="258"/>
  <c r="CI157" i="258" s="1"/>
  <c r="CH154" i="258"/>
  <c r="CG154" i="258"/>
  <c r="CG157" i="258" s="1"/>
  <c r="CE156" i="258"/>
  <c r="CD156" i="258"/>
  <c r="CB156" i="258"/>
  <c r="CE155" i="258"/>
  <c r="CD155" i="258"/>
  <c r="CC155" i="258"/>
  <c r="CB155" i="258"/>
  <c r="CE154" i="258"/>
  <c r="CE157" i="258" s="1"/>
  <c r="CD154" i="258"/>
  <c r="CD157" i="258" s="1"/>
  <c r="CC154" i="258"/>
  <c r="CB154" i="258"/>
  <c r="CB157" i="258" s="1"/>
  <c r="BZ156" i="258"/>
  <c r="BY156" i="258"/>
  <c r="BX156" i="258"/>
  <c r="BW156" i="258"/>
  <c r="BZ155" i="258"/>
  <c r="BY155" i="258"/>
  <c r="BX155" i="258"/>
  <c r="BW155" i="258"/>
  <c r="BZ154" i="258"/>
  <c r="BZ157" i="258" s="1"/>
  <c r="BY154" i="258"/>
  <c r="BY157" i="258" s="1"/>
  <c r="BX154" i="258"/>
  <c r="BX157" i="258" s="1"/>
  <c r="BW154" i="258"/>
  <c r="BW157" i="258" s="1"/>
  <c r="BU156" i="258"/>
  <c r="BT156" i="258"/>
  <c r="BU155" i="258"/>
  <c r="BT155" i="258"/>
  <c r="BS155" i="258"/>
  <c r="BR155" i="258"/>
  <c r="BU154" i="258"/>
  <c r="BU157" i="258" s="1"/>
  <c r="BT154" i="258"/>
  <c r="BT157" i="258" s="1"/>
  <c r="BS154" i="258"/>
  <c r="BR154" i="258"/>
  <c r="BP156" i="258"/>
  <c r="BO156" i="258"/>
  <c r="BP155" i="258"/>
  <c r="BO155" i="258"/>
  <c r="BN155" i="258"/>
  <c r="BM155" i="258"/>
  <c r="BP154" i="258"/>
  <c r="BP157" i="258" s="1"/>
  <c r="BO154" i="258"/>
  <c r="BO157" i="258" s="1"/>
  <c r="BN154" i="258"/>
  <c r="BM154" i="258"/>
  <c r="BK156" i="258"/>
  <c r="BJ156" i="258"/>
  <c r="BK155" i="258"/>
  <c r="BJ155" i="258"/>
  <c r="BI155" i="258"/>
  <c r="BH155" i="258"/>
  <c r="BK154" i="258"/>
  <c r="BK157" i="258" s="1"/>
  <c r="BJ154" i="258"/>
  <c r="BJ157" i="258" s="1"/>
  <c r="BI154" i="258"/>
  <c r="BH154" i="258"/>
  <c r="BF155" i="258"/>
  <c r="BE155" i="258"/>
  <c r="BD155" i="258"/>
  <c r="BC155" i="258"/>
  <c r="BF154" i="258"/>
  <c r="BE154" i="258"/>
  <c r="BD154" i="258"/>
  <c r="BC154" i="258"/>
  <c r="BA155" i="258"/>
  <c r="AZ155" i="258"/>
  <c r="AY155" i="258"/>
  <c r="AX155" i="258"/>
  <c r="BA154" i="258"/>
  <c r="AZ154" i="258"/>
  <c r="AY154" i="258"/>
  <c r="AX154" i="258"/>
  <c r="AV155" i="258"/>
  <c r="AU155" i="258"/>
  <c r="AT155" i="258"/>
  <c r="AS155" i="258"/>
  <c r="AV154" i="258"/>
  <c r="AU154" i="258"/>
  <c r="AT154" i="258"/>
  <c r="AS154" i="258"/>
  <c r="CL148" i="258"/>
  <c r="CJ148" i="258"/>
  <c r="CI148" i="258"/>
  <c r="CH148" i="258"/>
  <c r="CG148" i="258"/>
  <c r="CE148" i="258"/>
  <c r="CD148" i="258"/>
  <c r="CC148" i="258"/>
  <c r="CB148" i="258"/>
  <c r="CF148" i="258" s="1"/>
  <c r="BZ148" i="258"/>
  <c r="BY148" i="258"/>
  <c r="BX148" i="258"/>
  <c r="BW148" i="258"/>
  <c r="BU148" i="258"/>
  <c r="BT148" i="258"/>
  <c r="BS148" i="258"/>
  <c r="BR148" i="258"/>
  <c r="BP148" i="258"/>
  <c r="BO148" i="258"/>
  <c r="BN148" i="258"/>
  <c r="BM148" i="258"/>
  <c r="BK148" i="258"/>
  <c r="BJ148" i="258"/>
  <c r="BI148" i="258"/>
  <c r="BH148" i="258"/>
  <c r="BL148" i="258" s="1"/>
  <c r="BF148" i="258"/>
  <c r="BE148" i="258"/>
  <c r="BD148" i="258"/>
  <c r="BC148" i="258"/>
  <c r="BG148" i="258" s="1"/>
  <c r="BA148" i="258"/>
  <c r="AZ148" i="258"/>
  <c r="AY148" i="258"/>
  <c r="AX148" i="258"/>
  <c r="AV148" i="258"/>
  <c r="AU148" i="258"/>
  <c r="AT148" i="258"/>
  <c r="AS148" i="258"/>
  <c r="AQ142" i="258"/>
  <c r="AQ141" i="258"/>
  <c r="CL142" i="258"/>
  <c r="CK142" i="258"/>
  <c r="CJ142" i="258"/>
  <c r="CI142" i="258"/>
  <c r="CH142" i="258"/>
  <c r="CG142" i="258"/>
  <c r="CF142" i="258"/>
  <c r="CE142" i="258"/>
  <c r="CD142" i="258"/>
  <c r="CC142" i="258"/>
  <c r="CB142" i="258"/>
  <c r="BZ142" i="258"/>
  <c r="BY142" i="258"/>
  <c r="BX142" i="258"/>
  <c r="BW142" i="258"/>
  <c r="BU142" i="258"/>
  <c r="BT142" i="258"/>
  <c r="BS142" i="258"/>
  <c r="BR142" i="258"/>
  <c r="BP142" i="258"/>
  <c r="BO142" i="258"/>
  <c r="BN142" i="258"/>
  <c r="BM142" i="258"/>
  <c r="BK142" i="258"/>
  <c r="BJ142" i="258"/>
  <c r="BI142" i="258"/>
  <c r="BH142" i="258"/>
  <c r="BF142" i="258"/>
  <c r="BE142" i="258"/>
  <c r="BD142" i="258"/>
  <c r="BC142" i="258"/>
  <c r="BA142" i="258"/>
  <c r="AZ142" i="258"/>
  <c r="AY142" i="258"/>
  <c r="AX142" i="258"/>
  <c r="AW142" i="258"/>
  <c r="AV142" i="258"/>
  <c r="AU142" i="258"/>
  <c r="AT142" i="258"/>
  <c r="AS142" i="258"/>
  <c r="CL141" i="258"/>
  <c r="CK141" i="258"/>
  <c r="CJ141" i="258"/>
  <c r="CI141" i="258"/>
  <c r="CH141" i="258"/>
  <c r="CG141" i="258"/>
  <c r="CF141" i="258"/>
  <c r="CE141" i="258"/>
  <c r="CD141" i="258"/>
  <c r="CC141" i="258"/>
  <c r="CB141" i="258"/>
  <c r="BZ141" i="258"/>
  <c r="CA141" i="258" s="1"/>
  <c r="BY141" i="258"/>
  <c r="BX141" i="258"/>
  <c r="BW141" i="258"/>
  <c r="BU141" i="258"/>
  <c r="BV141" i="258" s="1"/>
  <c r="BT141" i="258"/>
  <c r="BS141" i="258"/>
  <c r="BR141" i="258"/>
  <c r="BQ141" i="258"/>
  <c r="BP141" i="258"/>
  <c r="BO141" i="258"/>
  <c r="BN141" i="258"/>
  <c r="BM141" i="258"/>
  <c r="BK141" i="258"/>
  <c r="BL141" i="258" s="1"/>
  <c r="BJ141" i="258"/>
  <c r="BI141" i="258"/>
  <c r="BH141" i="258"/>
  <c r="BF141" i="258"/>
  <c r="BG141" i="258" s="1"/>
  <c r="BE141" i="258"/>
  <c r="BD141" i="258"/>
  <c r="BC141" i="258"/>
  <c r="BA141" i="258"/>
  <c r="BB141" i="258" s="1"/>
  <c r="AZ141" i="258"/>
  <c r="AY141" i="258"/>
  <c r="AX141" i="258"/>
  <c r="AW141" i="258"/>
  <c r="AV141" i="258"/>
  <c r="AU141" i="258"/>
  <c r="AT141" i="258"/>
  <c r="AS141" i="258"/>
  <c r="CY135" i="258"/>
  <c r="CX135" i="258"/>
  <c r="CW141" i="258" s="1"/>
  <c r="CW135" i="258"/>
  <c r="CV135" i="258"/>
  <c r="CZ135" i="258" s="1"/>
  <c r="CT135" i="258"/>
  <c r="CS135" i="258"/>
  <c r="CR141" i="258" s="1"/>
  <c r="CR135" i="258"/>
  <c r="CQ135" i="258"/>
  <c r="CU135" i="258" s="1"/>
  <c r="CO135" i="258"/>
  <c r="CN135" i="258"/>
  <c r="CM141" i="258" s="1"/>
  <c r="CM135" i="258"/>
  <c r="CL135" i="258"/>
  <c r="CL136" i="258" s="1"/>
  <c r="CJ135" i="258"/>
  <c r="CI135" i="258"/>
  <c r="CH135" i="258"/>
  <c r="CG135" i="258"/>
  <c r="CG136" i="258" s="1"/>
  <c r="CE135" i="258"/>
  <c r="CD135" i="258"/>
  <c r="CC135" i="258"/>
  <c r="CB135" i="258"/>
  <c r="BZ135" i="258"/>
  <c r="BY135" i="258"/>
  <c r="BX135" i="258"/>
  <c r="BW135" i="258"/>
  <c r="CA135" i="258" s="1"/>
  <c r="BU135" i="258"/>
  <c r="BT135" i="258"/>
  <c r="BS135" i="258"/>
  <c r="BR135" i="258"/>
  <c r="BV135" i="258" s="1"/>
  <c r="BP135" i="258"/>
  <c r="BO135" i="258"/>
  <c r="BN135" i="258"/>
  <c r="BM135" i="258"/>
  <c r="BQ135" i="258" s="1"/>
  <c r="BK135" i="258"/>
  <c r="BJ135" i="258"/>
  <c r="BI135" i="258"/>
  <c r="BH135" i="258"/>
  <c r="BF135" i="258"/>
  <c r="BE135" i="258"/>
  <c r="BD135" i="258"/>
  <c r="BC135" i="258"/>
  <c r="BA135" i="258"/>
  <c r="AZ135" i="258"/>
  <c r="AY135" i="258"/>
  <c r="AX135" i="258"/>
  <c r="BB135" i="258" s="1"/>
  <c r="AV135" i="258"/>
  <c r="AT135" i="258"/>
  <c r="AS135" i="258"/>
  <c r="CZ134" i="258"/>
  <c r="CU134" i="258"/>
  <c r="CP134" i="258"/>
  <c r="CK134" i="258"/>
  <c r="CF134" i="258"/>
  <c r="CA134" i="258"/>
  <c r="BV134" i="258"/>
  <c r="BQ134" i="258"/>
  <c r="BL134" i="258"/>
  <c r="BE134" i="258"/>
  <c r="BD134" i="258"/>
  <c r="BC134" i="258"/>
  <c r="BG134" i="258" s="1"/>
  <c r="BA134" i="258"/>
  <c r="AZ134" i="258"/>
  <c r="AY134" i="258"/>
  <c r="AX134" i="258"/>
  <c r="BB134" i="258" s="1"/>
  <c r="AV134" i="258"/>
  <c r="AU134" i="258"/>
  <c r="AT134" i="258"/>
  <c r="AS134" i="258"/>
  <c r="CY133" i="258"/>
  <c r="CX133" i="258"/>
  <c r="CV133" i="258"/>
  <c r="CT133" i="258"/>
  <c r="CS133" i="258"/>
  <c r="CQ133" i="258"/>
  <c r="CO133" i="258"/>
  <c r="CN133" i="258"/>
  <c r="CL133" i="258"/>
  <c r="CJ133" i="258"/>
  <c r="CI133" i="258"/>
  <c r="CG133" i="258"/>
  <c r="CE133" i="258"/>
  <c r="CD133" i="258"/>
  <c r="CB133" i="258"/>
  <c r="BZ133" i="258"/>
  <c r="BY133" i="258"/>
  <c r="BX133" i="258"/>
  <c r="BW133" i="258"/>
  <c r="BU133" i="258"/>
  <c r="BT133" i="258"/>
  <c r="BP133" i="258"/>
  <c r="BO133" i="258"/>
  <c r="BK133" i="258"/>
  <c r="BJ133" i="258"/>
  <c r="BF133" i="258"/>
  <c r="BE133" i="258"/>
  <c r="BD133" i="258"/>
  <c r="BC133" i="258"/>
  <c r="BA133" i="258"/>
  <c r="AZ133" i="258"/>
  <c r="AY133" i="258"/>
  <c r="AX133" i="258"/>
  <c r="BB133" i="258" s="1"/>
  <c r="AV133" i="258"/>
  <c r="AU133" i="258"/>
  <c r="AT133" i="258"/>
  <c r="AS133" i="258"/>
  <c r="BA129" i="258"/>
  <c r="AZ129" i="258"/>
  <c r="AY129" i="258"/>
  <c r="AX129" i="258"/>
  <c r="AV129" i="258"/>
  <c r="AU129" i="258"/>
  <c r="AT129" i="258"/>
  <c r="AS129" i="258"/>
  <c r="AW129" i="258" s="1"/>
  <c r="CC129" i="258"/>
  <c r="BY129" i="258"/>
  <c r="BY128" i="258"/>
  <c r="BK129" i="258"/>
  <c r="BJ129" i="258"/>
  <c r="BI129" i="258"/>
  <c r="BJ128" i="258"/>
  <c r="BI128" i="258"/>
  <c r="BF129" i="258"/>
  <c r="BE129" i="258"/>
  <c r="BE125" i="258" s="1"/>
  <c r="BD129" i="258"/>
  <c r="BC129" i="258"/>
  <c r="BE128" i="258"/>
  <c r="CL127" i="258"/>
  <c r="CM126" i="258" s="1"/>
  <c r="CK127" i="258"/>
  <c r="CJ127" i="258"/>
  <c r="CI127" i="258"/>
  <c r="CJ126" i="258" s="1"/>
  <c r="CH127" i="258"/>
  <c r="CI126" i="258" s="1"/>
  <c r="CG127" i="258"/>
  <c r="CH126" i="258" s="1"/>
  <c r="CF127" i="258"/>
  <c r="CE127" i="258"/>
  <c r="CD127" i="258"/>
  <c r="CC127" i="258"/>
  <c r="CB127" i="258"/>
  <c r="CA127" i="258"/>
  <c r="BZ127" i="258"/>
  <c r="BY127" i="258"/>
  <c r="BX127" i="258"/>
  <c r="BW127" i="258"/>
  <c r="BX126" i="258" s="1"/>
  <c r="BV127" i="258"/>
  <c r="BU127" i="258"/>
  <c r="BT127" i="258"/>
  <c r="BS127" i="258"/>
  <c r="BT126" i="258" s="1"/>
  <c r="BR127" i="258"/>
  <c r="BS126" i="258" s="1"/>
  <c r="BQ127" i="258"/>
  <c r="BP127" i="258"/>
  <c r="BO127" i="258"/>
  <c r="BP126" i="258" s="1"/>
  <c r="BN127" i="258"/>
  <c r="BO126" i="258" s="1"/>
  <c r="BM127" i="258"/>
  <c r="BN126" i="258" s="1"/>
  <c r="BL127" i="258"/>
  <c r="BK127" i="258"/>
  <c r="BJ127" i="258"/>
  <c r="BI127" i="258"/>
  <c r="BH127" i="258"/>
  <c r="BG127" i="258"/>
  <c r="BH126" i="258" s="1"/>
  <c r="BF127" i="258"/>
  <c r="BE127" i="258"/>
  <c r="BD127" i="258"/>
  <c r="BC127" i="258"/>
  <c r="BD126" i="258" s="1"/>
  <c r="BB127" i="258"/>
  <c r="BA127" i="258"/>
  <c r="AZ127" i="258"/>
  <c r="AY127" i="258"/>
  <c r="AZ126" i="258" s="1"/>
  <c r="AX127" i="258"/>
  <c r="AY126" i="258" s="1"/>
  <c r="AW127" i="258"/>
  <c r="AV127" i="258"/>
  <c r="AU127" i="258"/>
  <c r="AV126" i="258" s="1"/>
  <c r="AT127" i="258"/>
  <c r="AU126" i="258" s="1"/>
  <c r="AS127" i="258"/>
  <c r="AT126" i="258" s="1"/>
  <c r="AR127" i="258"/>
  <c r="AQ127" i="258"/>
  <c r="CL126" i="258"/>
  <c r="CG126" i="258"/>
  <c r="CE126" i="258"/>
  <c r="CD126" i="258"/>
  <c r="CD149" i="258" s="1"/>
  <c r="CC126" i="258"/>
  <c r="CC149" i="258" s="1"/>
  <c r="CB126" i="258"/>
  <c r="BZ126" i="258"/>
  <c r="BY126" i="258"/>
  <c r="BY149" i="258" s="1"/>
  <c r="BW126" i="258"/>
  <c r="BU126" i="258"/>
  <c r="BR126" i="258"/>
  <c r="BM126" i="258"/>
  <c r="BK126" i="258"/>
  <c r="BJ126" i="258"/>
  <c r="BJ149" i="258" s="1"/>
  <c r="BI126" i="258"/>
  <c r="BI149" i="258" s="1"/>
  <c r="BF126" i="258"/>
  <c r="BE126" i="258"/>
  <c r="BE149" i="258" s="1"/>
  <c r="BC126" i="258"/>
  <c r="BA126" i="258"/>
  <c r="AX126" i="258"/>
  <c r="AS126" i="258"/>
  <c r="CY122" i="258"/>
  <c r="CX122" i="258"/>
  <c r="CW122" i="258"/>
  <c r="CV122" i="258"/>
  <c r="CZ122" i="258" s="1"/>
  <c r="CT122" i="258"/>
  <c r="CS122" i="258"/>
  <c r="CR122" i="258"/>
  <c r="CQ122" i="258"/>
  <c r="CO122" i="258"/>
  <c r="CN122" i="258"/>
  <c r="CM122" i="258"/>
  <c r="CL122" i="258"/>
  <c r="CP122" i="258" s="1"/>
  <c r="CJ122" i="258"/>
  <c r="CI122" i="258"/>
  <c r="CH122" i="258"/>
  <c r="CG122" i="258"/>
  <c r="CK122" i="258" s="1"/>
  <c r="CE122" i="258"/>
  <c r="CD122" i="258"/>
  <c r="CC122" i="258"/>
  <c r="CB122" i="258"/>
  <c r="CF122" i="258" s="1"/>
  <c r="BZ122" i="258"/>
  <c r="BY122" i="258"/>
  <c r="BX122" i="258"/>
  <c r="BW122" i="258"/>
  <c r="BU122" i="258"/>
  <c r="BT122" i="258"/>
  <c r="BS122" i="258"/>
  <c r="BR122" i="258"/>
  <c r="BP122" i="258"/>
  <c r="BO122" i="258"/>
  <c r="BN122" i="258"/>
  <c r="BM122" i="258"/>
  <c r="BQ122" i="258" s="1"/>
  <c r="BK122" i="258"/>
  <c r="BJ122" i="258"/>
  <c r="BI122" i="258"/>
  <c r="BH122" i="258"/>
  <c r="BL122" i="258" s="1"/>
  <c r="BF122" i="258"/>
  <c r="BE122" i="258"/>
  <c r="BD122" i="258"/>
  <c r="BC122" i="258"/>
  <c r="BA122" i="258"/>
  <c r="AZ122" i="258"/>
  <c r="AY122" i="258"/>
  <c r="AX122" i="258"/>
  <c r="AV122" i="258"/>
  <c r="AT122" i="258"/>
  <c r="AS122" i="258"/>
  <c r="BB117" i="258"/>
  <c r="BA117" i="258"/>
  <c r="AZ117" i="258"/>
  <c r="AY117" i="258"/>
  <c r="AX117" i="258"/>
  <c r="AW117" i="258"/>
  <c r="AV117" i="258"/>
  <c r="AU117" i="258"/>
  <c r="AT117" i="258"/>
  <c r="AS117" i="258"/>
  <c r="AR117" i="258"/>
  <c r="AQ117" i="258"/>
  <c r="BP113" i="258"/>
  <c r="BP114" i="258" s="1"/>
  <c r="BP112" i="258"/>
  <c r="BR112" i="258"/>
  <c r="BS110" i="258" s="1"/>
  <c r="BQ112" i="258"/>
  <c r="BR110" i="258" s="1"/>
  <c r="BP110" i="258"/>
  <c r="BO110" i="258"/>
  <c r="BO113" i="258" s="1"/>
  <c r="BO114" i="258" s="1"/>
  <c r="BO105" i="258"/>
  <c r="BO106" i="258" s="1"/>
  <c r="BP102" i="258"/>
  <c r="BP104" i="258" s="1"/>
  <c r="BQ104" i="258" s="1"/>
  <c r="BR102" i="258" s="1"/>
  <c r="BO102" i="258"/>
  <c r="BC96" i="258"/>
  <c r="BB96" i="258"/>
  <c r="AR96" i="258"/>
  <c r="BD94" i="258"/>
  <c r="BD96" i="258" s="1"/>
  <c r="BE94" i="258" s="1"/>
  <c r="BC94" i="258"/>
  <c r="AS94" i="258"/>
  <c r="AS88" i="258"/>
  <c r="AS89" i="258" s="1"/>
  <c r="AS90" i="258" s="1"/>
  <c r="AR88" i="258"/>
  <c r="AS86" i="258"/>
  <c r="AR80" i="258"/>
  <c r="BA78" i="258"/>
  <c r="AS78" i="258"/>
  <c r="AS80" i="258" s="1"/>
  <c r="AT78" i="258" s="1"/>
  <c r="AS72" i="258"/>
  <c r="AR72" i="258"/>
  <c r="AT70" i="258"/>
  <c r="AT72" i="258" s="1"/>
  <c r="AU70" i="258" s="1"/>
  <c r="AS70" i="258"/>
  <c r="AS64" i="258"/>
  <c r="AS65" i="258" s="1"/>
  <c r="AS66" i="258" s="1"/>
  <c r="AR64" i="258"/>
  <c r="AT62" i="258"/>
  <c r="AS62" i="258"/>
  <c r="AR56" i="258"/>
  <c r="AS54" i="258"/>
  <c r="AR48" i="258"/>
  <c r="AS46" i="258"/>
  <c r="AS48" i="258" s="1"/>
  <c r="AT46" i="258" s="1"/>
  <c r="AS40" i="258"/>
  <c r="AT38" i="258" s="1"/>
  <c r="AR40" i="258"/>
  <c r="AS38" i="258"/>
  <c r="AS41" i="258" s="1"/>
  <c r="AS42" i="258" s="1"/>
  <c r="AR32" i="258"/>
  <c r="AT30" i="258"/>
  <c r="AS30" i="258"/>
  <c r="AS32" i="258" s="1"/>
  <c r="AS33" i="258" s="1"/>
  <c r="AS34" i="258" s="1"/>
  <c r="BF25" i="258"/>
  <c r="BF24" i="258"/>
  <c r="AV25" i="258"/>
  <c r="BG24" i="258"/>
  <c r="AR24" i="258"/>
  <c r="AU21" i="258"/>
  <c r="AV22" i="258"/>
  <c r="AV24" i="258" s="1"/>
  <c r="AW24" i="258" s="1"/>
  <c r="AV21" i="258"/>
  <c r="AV26" i="258" s="1"/>
  <c r="CY21" i="258"/>
  <c r="CX21" i="258"/>
  <c r="CW21" i="258"/>
  <c r="CV21" i="258"/>
  <c r="CT21" i="258"/>
  <c r="CS21" i="258"/>
  <c r="CR21" i="258"/>
  <c r="CQ21" i="258"/>
  <c r="CO21" i="258"/>
  <c r="CN21" i="258"/>
  <c r="CM21" i="258"/>
  <c r="CL21" i="258"/>
  <c r="CJ21" i="258"/>
  <c r="CI21" i="258"/>
  <c r="CH21" i="258"/>
  <c r="CG21" i="258"/>
  <c r="CE21" i="258"/>
  <c r="CD21" i="258"/>
  <c r="CC21" i="258"/>
  <c r="CB21" i="258"/>
  <c r="BZ21" i="258"/>
  <c r="BY21" i="258"/>
  <c r="BX21" i="258"/>
  <c r="BW21" i="258"/>
  <c r="BU21" i="258"/>
  <c r="BT21" i="258"/>
  <c r="BS21" i="258"/>
  <c r="BR21" i="258"/>
  <c r="BP21" i="258"/>
  <c r="BO21" i="258"/>
  <c r="BN21" i="258"/>
  <c r="BM21" i="258"/>
  <c r="BH22" i="258"/>
  <c r="BK21" i="258"/>
  <c r="BJ21" i="258"/>
  <c r="BI21" i="258"/>
  <c r="BH21" i="258"/>
  <c r="BF21" i="258"/>
  <c r="BF26" i="258" s="1"/>
  <c r="BE21" i="258"/>
  <c r="BD21" i="258"/>
  <c r="BC21" i="258"/>
  <c r="AX22" i="258"/>
  <c r="BA21" i="258"/>
  <c r="AZ21" i="258"/>
  <c r="AY21" i="258"/>
  <c r="AX21" i="258"/>
  <c r="AS22" i="258"/>
  <c r="AT21" i="258"/>
  <c r="AS21" i="258"/>
  <c r="CY18" i="258"/>
  <c r="CX18" i="258"/>
  <c r="CW18" i="258"/>
  <c r="CV18" i="258"/>
  <c r="CT18" i="258"/>
  <c r="CS18" i="258"/>
  <c r="CR18" i="258"/>
  <c r="CQ18" i="258"/>
  <c r="CO18" i="258"/>
  <c r="CN18" i="258"/>
  <c r="CM18" i="258"/>
  <c r="CL18" i="258"/>
  <c r="CJ18" i="258"/>
  <c r="CI18" i="258"/>
  <c r="CH18" i="258"/>
  <c r="CG18" i="258"/>
  <c r="CE18" i="258"/>
  <c r="CD18" i="258"/>
  <c r="CC18" i="258"/>
  <c r="CB18" i="258"/>
  <c r="BZ18" i="258"/>
  <c r="BY18" i="258"/>
  <c r="BX18" i="258"/>
  <c r="BW18" i="258"/>
  <c r="BU18" i="258"/>
  <c r="BT18" i="258"/>
  <c r="BS18" i="258"/>
  <c r="BR18" i="258"/>
  <c r="BP18" i="258"/>
  <c r="BO18" i="258"/>
  <c r="BN18" i="258"/>
  <c r="BM18" i="258"/>
  <c r="BK18" i="258"/>
  <c r="BJ18" i="258"/>
  <c r="BI18" i="258"/>
  <c r="BH18" i="258"/>
  <c r="BF18" i="258"/>
  <c r="BE18" i="258"/>
  <c r="BD18" i="258"/>
  <c r="BC18" i="258"/>
  <c r="BA18" i="258"/>
  <c r="AZ18" i="258"/>
  <c r="AY18" i="258"/>
  <c r="AX18" i="258"/>
  <c r="AV18" i="258"/>
  <c r="AU18" i="258"/>
  <c r="AT18" i="258"/>
  <c r="AS18" i="258"/>
  <c r="AQ18" i="258"/>
  <c r="BD14" i="258"/>
  <c r="AX15" i="258"/>
  <c r="AX16" i="258" s="1"/>
  <c r="AX120" i="258" s="1"/>
  <c r="AX14" i="258"/>
  <c r="AV14" i="258"/>
  <c r="AT14" i="258"/>
  <c r="AS14" i="258"/>
  <c r="CN13" i="258"/>
  <c r="BU13" i="258"/>
  <c r="BV13" i="258" s="1"/>
  <c r="BW10" i="258" s="1"/>
  <c r="BT13" i="258"/>
  <c r="BU10" i="258" s="1"/>
  <c r="BU14" i="258" s="1"/>
  <c r="BU15" i="258" s="1"/>
  <c r="BO13" i="258"/>
  <c r="BP10" i="258" s="1"/>
  <c r="BP13" i="258" s="1"/>
  <c r="BQ13" i="258" s="1"/>
  <c r="BR10" i="258" s="1"/>
  <c r="BB13" i="258"/>
  <c r="AW13" i="258"/>
  <c r="AZ12" i="258"/>
  <c r="AX12" i="258"/>
  <c r="AX156" i="258" s="1"/>
  <c r="AS12" i="258"/>
  <c r="AS156" i="258" s="1"/>
  <c r="AX10" i="258"/>
  <c r="AX9" i="258"/>
  <c r="AS10" i="258"/>
  <c r="AS9" i="258"/>
  <c r="AS15" i="258" s="1"/>
  <c r="CX10" i="258"/>
  <c r="CX13" i="258" s="1"/>
  <c r="CY9" i="258"/>
  <c r="CX9" i="258"/>
  <c r="CW9" i="258"/>
  <c r="CV9" i="258"/>
  <c r="CS10" i="258"/>
  <c r="CS13" i="258" s="1"/>
  <c r="CT9" i="258"/>
  <c r="CS9" i="258"/>
  <c r="CR9" i="258"/>
  <c r="CQ9" i="258"/>
  <c r="CN10" i="258"/>
  <c r="CO9" i="258"/>
  <c r="CN9" i="258"/>
  <c r="CM9" i="258"/>
  <c r="CL9" i="258"/>
  <c r="CI10" i="258"/>
  <c r="CJ9" i="258"/>
  <c r="CI9" i="258"/>
  <c r="CH9" i="258"/>
  <c r="CG9" i="258"/>
  <c r="CD10" i="258"/>
  <c r="CD13" i="258" s="1"/>
  <c r="CE10" i="258" s="1"/>
  <c r="CE9" i="258"/>
  <c r="CD9" i="258"/>
  <c r="CC9" i="258"/>
  <c r="CB9" i="258"/>
  <c r="BZ9" i="258"/>
  <c r="BY9" i="258"/>
  <c r="BX9" i="258"/>
  <c r="BW9" i="258"/>
  <c r="BT10" i="258"/>
  <c r="BU9" i="258"/>
  <c r="BT9" i="258"/>
  <c r="BS9" i="258"/>
  <c r="BR9" i="258"/>
  <c r="BO10" i="258"/>
  <c r="BP9" i="258"/>
  <c r="BO9" i="258"/>
  <c r="BN9" i="258"/>
  <c r="BM9" i="258"/>
  <c r="BJ10" i="258"/>
  <c r="BK9" i="258"/>
  <c r="BJ9" i="258"/>
  <c r="BI9" i="258"/>
  <c r="BH9" i="258"/>
  <c r="BE12" i="258"/>
  <c r="BD12" i="258"/>
  <c r="BE11" i="258"/>
  <c r="BD11" i="258"/>
  <c r="BC11" i="258"/>
  <c r="BE10" i="258"/>
  <c r="BE13" i="258" s="1"/>
  <c r="BD10" i="258"/>
  <c r="BC10" i="258"/>
  <c r="BC12" i="258" s="1"/>
  <c r="BF9" i="258"/>
  <c r="BE9" i="258"/>
  <c r="BD9" i="258"/>
  <c r="BD15" i="258" s="1"/>
  <c r="BC9" i="258"/>
  <c r="BA11" i="258"/>
  <c r="AZ11" i="258"/>
  <c r="AZ156" i="258" s="1"/>
  <c r="AY11" i="258"/>
  <c r="BA10" i="258"/>
  <c r="BA12" i="258" s="1"/>
  <c r="AZ10" i="258"/>
  <c r="AZ14" i="258" s="1"/>
  <c r="AY10" i="258"/>
  <c r="AY12" i="258" s="1"/>
  <c r="BA9" i="258"/>
  <c r="AZ9" i="258"/>
  <c r="AY9" i="258"/>
  <c r="AV11" i="258"/>
  <c r="AU11" i="258"/>
  <c r="AT11" i="258"/>
  <c r="AV10" i="258"/>
  <c r="AV12" i="258" s="1"/>
  <c r="AU10" i="258"/>
  <c r="AU14" i="258" s="1"/>
  <c r="AT10" i="258"/>
  <c r="AT12" i="258" s="1"/>
  <c r="AV9" i="258"/>
  <c r="AV15" i="258" s="1"/>
  <c r="AU9" i="258"/>
  <c r="AU15" i="258" s="1"/>
  <c r="AT9" i="258"/>
  <c r="AT15" i="258" s="1"/>
  <c r="CZ6" i="258"/>
  <c r="CU6" i="258"/>
  <c r="CP6" i="258"/>
  <c r="CK6" i="258"/>
  <c r="CF6" i="258"/>
  <c r="CA6" i="258"/>
  <c r="BV6" i="258"/>
  <c r="BQ6" i="258"/>
  <c r="BL6" i="258"/>
  <c r="BG6" i="258"/>
  <c r="BC6" i="258"/>
  <c r="BB6" i="258"/>
  <c r="AW6" i="258"/>
  <c r="AR6" i="258"/>
  <c r="CZ4" i="258"/>
  <c r="CY4" i="258"/>
  <c r="CX4" i="258"/>
  <c r="CW4" i="258"/>
  <c r="CV4" i="258"/>
  <c r="CU4" i="258"/>
  <c r="CT4" i="258"/>
  <c r="CS4" i="258"/>
  <c r="CR4" i="258"/>
  <c r="CQ4" i="258"/>
  <c r="CP4" i="258"/>
  <c r="CO4" i="258"/>
  <c r="CN4" i="258"/>
  <c r="CM4" i="258"/>
  <c r="CL4" i="258"/>
  <c r="CK4" i="258"/>
  <c r="CJ4" i="258"/>
  <c r="CI4" i="258"/>
  <c r="CH4" i="258"/>
  <c r="CG4" i="258"/>
  <c r="CF4" i="258"/>
  <c r="CE4" i="258"/>
  <c r="CD4" i="258"/>
  <c r="CC4" i="258"/>
  <c r="CB4" i="258"/>
  <c r="CA4" i="258"/>
  <c r="BZ4" i="258"/>
  <c r="BY4" i="258"/>
  <c r="BX4" i="258"/>
  <c r="BW4" i="258"/>
  <c r="BV4" i="258"/>
  <c r="BU4" i="258"/>
  <c r="BT4" i="258"/>
  <c r="BS4" i="258"/>
  <c r="BR4" i="258"/>
  <c r="BQ4" i="258"/>
  <c r="BP4" i="258"/>
  <c r="BO4" i="258"/>
  <c r="BN4" i="258"/>
  <c r="BM4" i="258"/>
  <c r="BL4" i="258"/>
  <c r="BK4" i="258"/>
  <c r="BJ4" i="258"/>
  <c r="BI4" i="258"/>
  <c r="BH4" i="258"/>
  <c r="BG4" i="258"/>
  <c r="BF4" i="258"/>
  <c r="BE4" i="258"/>
  <c r="BD4" i="258"/>
  <c r="BC4" i="258"/>
  <c r="BB4" i="258"/>
  <c r="BA4" i="258"/>
  <c r="AZ4" i="258"/>
  <c r="AY4" i="258"/>
  <c r="AX4" i="258"/>
  <c r="AW4" i="258"/>
  <c r="AV4" i="258"/>
  <c r="AU4" i="258"/>
  <c r="AT4" i="258"/>
  <c r="AS4" i="258"/>
  <c r="AR4" i="258"/>
  <c r="AQ4" i="258"/>
  <c r="AP4" i="258"/>
  <c r="AO4" i="258"/>
  <c r="AN4" i="258"/>
  <c r="CU3" i="258"/>
  <c r="CT3" i="258"/>
  <c r="CS3" i="258"/>
  <c r="CR3" i="258"/>
  <c r="CQ3" i="258"/>
  <c r="CO3" i="258"/>
  <c r="CP3" i="258" s="1"/>
  <c r="CN3" i="258"/>
  <c r="CM3" i="258"/>
  <c r="CL3" i="258"/>
  <c r="CK3" i="258"/>
  <c r="CJ3" i="258"/>
  <c r="CI3" i="258"/>
  <c r="CH3" i="258"/>
  <c r="CG3" i="258"/>
  <c r="CE3" i="258"/>
  <c r="CF3" i="258" s="1"/>
  <c r="CD3" i="258"/>
  <c r="CC3" i="258"/>
  <c r="CB3" i="258"/>
  <c r="CA3" i="258"/>
  <c r="BV3" i="258"/>
  <c r="BQ3" i="258"/>
  <c r="BL3" i="258"/>
  <c r="BG3" i="258"/>
  <c r="BB3" i="258"/>
  <c r="AW3" i="258"/>
  <c r="AR3" i="258"/>
  <c r="R39" i="4"/>
  <c r="M23" i="4"/>
  <c r="M19" i="4"/>
  <c r="K69" i="4"/>
  <c r="K68" i="4"/>
  <c r="K67" i="4"/>
  <c r="K66" i="4"/>
  <c r="K65" i="4"/>
  <c r="K86" i="4" s="1"/>
  <c r="K64" i="4"/>
  <c r="K63" i="4"/>
  <c r="K62" i="4"/>
  <c r="K61" i="4"/>
  <c r="K85" i="4" s="1"/>
  <c r="K60" i="4"/>
  <c r="K59" i="4"/>
  <c r="K58" i="4"/>
  <c r="K57" i="4"/>
  <c r="K84" i="4" s="1"/>
  <c r="K56" i="4"/>
  <c r="K55" i="4"/>
  <c r="K54" i="4"/>
  <c r="K53" i="4"/>
  <c r="K83" i="4" s="1"/>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M25" i="4" s="1"/>
  <c r="K24" i="4"/>
  <c r="M24" i="4" s="1"/>
  <c r="K23" i="4"/>
  <c r="K22" i="4"/>
  <c r="M22" i="4" s="1"/>
  <c r="K21" i="4"/>
  <c r="M21" i="4" s="1"/>
  <c r="K20" i="4"/>
  <c r="M20" i="4" s="1"/>
  <c r="K19" i="4"/>
  <c r="K18" i="4"/>
  <c r="M18" i="4" s="1"/>
  <c r="K17" i="4"/>
  <c r="K16" i="4"/>
  <c r="K15" i="4"/>
  <c r="K14" i="4"/>
  <c r="K13" i="4"/>
  <c r="K12" i="4"/>
  <c r="K11" i="4"/>
  <c r="K10" i="4"/>
  <c r="K9" i="4"/>
  <c r="K8" i="4"/>
  <c r="K7" i="4"/>
  <c r="K6" i="4"/>
  <c r="K5" i="4"/>
  <c r="I69" i="4"/>
  <c r="I68" i="4"/>
  <c r="I67" i="4"/>
  <c r="I66" i="4"/>
  <c r="I65" i="4"/>
  <c r="I86" i="4" s="1"/>
  <c r="I64" i="4"/>
  <c r="I63" i="4"/>
  <c r="I62" i="4"/>
  <c r="I61" i="4"/>
  <c r="I85" i="4" s="1"/>
  <c r="I60" i="4"/>
  <c r="I59" i="4"/>
  <c r="I58" i="4"/>
  <c r="I57" i="4"/>
  <c r="I84" i="4" s="1"/>
  <c r="I56" i="4"/>
  <c r="I55" i="4"/>
  <c r="I54" i="4"/>
  <c r="I53" i="4"/>
  <c r="I83" i="4" s="1"/>
  <c r="I52" i="4"/>
  <c r="I51" i="4"/>
  <c r="I50" i="4"/>
  <c r="I49" i="4"/>
  <c r="I48" i="4"/>
  <c r="I47" i="4"/>
  <c r="I46" i="4"/>
  <c r="I45" i="4"/>
  <c r="I44" i="4"/>
  <c r="I43" i="4"/>
  <c r="I42" i="4"/>
  <c r="I41" i="4"/>
  <c r="I40" i="4"/>
  <c r="I39" i="4"/>
  <c r="I38" i="4"/>
  <c r="I37" i="4"/>
  <c r="I36" i="4"/>
  <c r="I35" i="4"/>
  <c r="I34" i="4"/>
  <c r="I33" i="4"/>
  <c r="I32" i="4"/>
  <c r="I31" i="4"/>
  <c r="I30" i="4"/>
  <c r="I29" i="4"/>
  <c r="I28" i="4"/>
  <c r="I27" i="4"/>
  <c r="I26" i="4"/>
  <c r="G69" i="4"/>
  <c r="G68" i="4"/>
  <c r="G67" i="4"/>
  <c r="G66" i="4"/>
  <c r="G65" i="4"/>
  <c r="G86" i="4" s="1"/>
  <c r="G64" i="4"/>
  <c r="G63" i="4"/>
  <c r="G62" i="4"/>
  <c r="G61" i="4"/>
  <c r="G85" i="4" s="1"/>
  <c r="G60" i="4"/>
  <c r="G59" i="4"/>
  <c r="G58" i="4"/>
  <c r="G57" i="4"/>
  <c r="G84" i="4" s="1"/>
  <c r="G56" i="4"/>
  <c r="G55" i="4"/>
  <c r="G54" i="4"/>
  <c r="G53" i="4"/>
  <c r="G83" i="4" s="1"/>
  <c r="G52" i="4"/>
  <c r="G51" i="4"/>
  <c r="G50" i="4"/>
  <c r="G49" i="4"/>
  <c r="G48" i="4"/>
  <c r="G47" i="4"/>
  <c r="G46" i="4"/>
  <c r="G45" i="4"/>
  <c r="G44" i="4"/>
  <c r="G43" i="4"/>
  <c r="G42" i="4"/>
  <c r="G41" i="4"/>
  <c r="G40" i="4"/>
  <c r="G39" i="4"/>
  <c r="G38" i="4"/>
  <c r="G37" i="4"/>
  <c r="G36" i="4"/>
  <c r="G35" i="4"/>
  <c r="G34" i="4"/>
  <c r="G33" i="4"/>
  <c r="G32" i="4"/>
  <c r="G31" i="4"/>
  <c r="G30" i="4"/>
  <c r="G29" i="4"/>
  <c r="G28" i="4"/>
  <c r="G27" i="4"/>
  <c r="G26" i="4"/>
  <c r="E69" i="4"/>
  <c r="E68" i="4"/>
  <c r="E67" i="4"/>
  <c r="E66" i="4"/>
  <c r="E65" i="4"/>
  <c r="E86" i="4" s="1"/>
  <c r="E64" i="4"/>
  <c r="E63" i="4"/>
  <c r="E62" i="4"/>
  <c r="E61" i="4"/>
  <c r="E85" i="4" s="1"/>
  <c r="E60" i="4"/>
  <c r="E59" i="4"/>
  <c r="E58" i="4"/>
  <c r="E57" i="4"/>
  <c r="E84" i="4" s="1"/>
  <c r="E56" i="4"/>
  <c r="E55" i="4"/>
  <c r="E54" i="4"/>
  <c r="E53" i="4"/>
  <c r="E83" i="4" s="1"/>
  <c r="E52" i="4"/>
  <c r="E51" i="4"/>
  <c r="E50" i="4"/>
  <c r="E49" i="4"/>
  <c r="E48" i="4"/>
  <c r="E47" i="4"/>
  <c r="E46" i="4"/>
  <c r="E45" i="4"/>
  <c r="E44" i="4"/>
  <c r="E43" i="4"/>
  <c r="E42" i="4"/>
  <c r="E41" i="4"/>
  <c r="E40" i="4"/>
  <c r="E39" i="4"/>
  <c r="E38" i="4"/>
  <c r="E37" i="4"/>
  <c r="E36" i="4"/>
  <c r="E35" i="4"/>
  <c r="E34" i="4"/>
  <c r="E33" i="4"/>
  <c r="E32" i="4"/>
  <c r="E31" i="4"/>
  <c r="E30" i="4"/>
  <c r="E29" i="4"/>
  <c r="E28" i="4"/>
  <c r="E27" i="4"/>
  <c r="E26" i="4"/>
  <c r="C69" i="4"/>
  <c r="M69" i="4" s="1"/>
  <c r="C68" i="4"/>
  <c r="M68" i="4" s="1"/>
  <c r="C67" i="4"/>
  <c r="M67" i="4" s="1"/>
  <c r="C66" i="4"/>
  <c r="M66" i="4" s="1"/>
  <c r="C65" i="4"/>
  <c r="C86" i="4" s="1"/>
  <c r="C64" i="4"/>
  <c r="M64" i="4" s="1"/>
  <c r="C63" i="4"/>
  <c r="M63" i="4" s="1"/>
  <c r="C62" i="4"/>
  <c r="M62" i="4" s="1"/>
  <c r="C61" i="4"/>
  <c r="C85" i="4" s="1"/>
  <c r="C60" i="4"/>
  <c r="M60" i="4" s="1"/>
  <c r="C59" i="4"/>
  <c r="M59" i="4" s="1"/>
  <c r="C58" i="4"/>
  <c r="M58" i="4" s="1"/>
  <c r="C57" i="4"/>
  <c r="C84" i="4" s="1"/>
  <c r="C56" i="4"/>
  <c r="M56" i="4" s="1"/>
  <c r="C55" i="4"/>
  <c r="M55" i="4" s="1"/>
  <c r="C54" i="4"/>
  <c r="M54" i="4" s="1"/>
  <c r="C53" i="4"/>
  <c r="C83" i="4" s="1"/>
  <c r="C52" i="4"/>
  <c r="M52" i="4" s="1"/>
  <c r="C51" i="4"/>
  <c r="M51" i="4" s="1"/>
  <c r="C50" i="4"/>
  <c r="M50" i="4" s="1"/>
  <c r="C49" i="4"/>
  <c r="M49" i="4" s="1"/>
  <c r="C48" i="4"/>
  <c r="M48" i="4" s="1"/>
  <c r="C47" i="4"/>
  <c r="M47" i="4" s="1"/>
  <c r="C46" i="4"/>
  <c r="M46" i="4" s="1"/>
  <c r="C45" i="4"/>
  <c r="M45" i="4" s="1"/>
  <c r="C44" i="4"/>
  <c r="M44" i="4" s="1"/>
  <c r="C43" i="4"/>
  <c r="M43" i="4" s="1"/>
  <c r="C42" i="4"/>
  <c r="M42" i="4" s="1"/>
  <c r="C41" i="4"/>
  <c r="M41" i="4" s="1"/>
  <c r="C40" i="4"/>
  <c r="M40" i="4" s="1"/>
  <c r="C39" i="4"/>
  <c r="M39" i="4" s="1"/>
  <c r="C38" i="4"/>
  <c r="M38" i="4" s="1"/>
  <c r="C37" i="4"/>
  <c r="M37" i="4" s="1"/>
  <c r="C36" i="4"/>
  <c r="M36" i="4" s="1"/>
  <c r="C35" i="4"/>
  <c r="M35" i="4" s="1"/>
  <c r="C34" i="4"/>
  <c r="M34" i="4" s="1"/>
  <c r="C33" i="4"/>
  <c r="M33" i="4" s="1"/>
  <c r="C32" i="4"/>
  <c r="M32" i="4" s="1"/>
  <c r="C31" i="4"/>
  <c r="M31" i="4" s="1"/>
  <c r="C30" i="4"/>
  <c r="M30" i="4" s="1"/>
  <c r="C29" i="4"/>
  <c r="M29" i="4" s="1"/>
  <c r="C28" i="4"/>
  <c r="M28" i="4" s="1"/>
  <c r="C27" i="4"/>
  <c r="M27" i="4" s="1"/>
  <c r="C26" i="4"/>
  <c r="M26" i="4" s="1"/>
  <c r="AE79" i="4"/>
  <c r="AH70" i="4"/>
  <c r="AH69" i="4"/>
  <c r="AI70" i="4" s="1"/>
  <c r="AA25" i="4"/>
  <c r="AA24" i="4"/>
  <c r="AA23" i="4"/>
  <c r="AA22" i="4"/>
  <c r="AA21" i="4"/>
  <c r="AA20" i="4"/>
  <c r="AA19" i="4"/>
  <c r="AA18" i="4"/>
  <c r="W44" i="4"/>
  <c r="W43" i="4"/>
  <c r="W42" i="4"/>
  <c r="W41" i="4"/>
  <c r="W40" i="4"/>
  <c r="W39" i="4"/>
  <c r="W38" i="4"/>
  <c r="W37" i="4"/>
  <c r="W36" i="4"/>
  <c r="W35" i="4"/>
  <c r="W34" i="4"/>
  <c r="W33" i="4"/>
  <c r="W32" i="4"/>
  <c r="W31" i="4"/>
  <c r="W30" i="4"/>
  <c r="W29" i="4"/>
  <c r="W28" i="4"/>
  <c r="W27" i="4"/>
  <c r="W26" i="4"/>
  <c r="U25" i="4"/>
  <c r="U24" i="4"/>
  <c r="U23" i="4"/>
  <c r="U22" i="4"/>
  <c r="U21" i="4"/>
  <c r="U20" i="4"/>
  <c r="U19" i="4"/>
  <c r="U18" i="4"/>
  <c r="S65" i="4"/>
  <c r="S25" i="4"/>
  <c r="S24" i="4"/>
  <c r="S23" i="4"/>
  <c r="S22" i="4"/>
  <c r="S21" i="4"/>
  <c r="S20" i="4"/>
  <c r="S19" i="4"/>
  <c r="S18" i="4"/>
  <c r="L69" i="4"/>
  <c r="L68" i="4"/>
  <c r="L67" i="4"/>
  <c r="L66" i="4"/>
  <c r="L65" i="4"/>
  <c r="L64" i="4"/>
  <c r="L63" i="4"/>
  <c r="L62" i="4"/>
  <c r="L61" i="4"/>
  <c r="L60" i="4"/>
  <c r="L59" i="4"/>
  <c r="L58" i="4"/>
  <c r="L57" i="4"/>
  <c r="L56" i="4"/>
  <c r="L55" i="4"/>
  <c r="L54" i="4"/>
  <c r="L53" i="4"/>
  <c r="L52" i="4"/>
  <c r="L51" i="4"/>
  <c r="L50" i="4"/>
  <c r="L49" i="4"/>
  <c r="L48" i="4"/>
  <c r="L47" i="4"/>
  <c r="L46" i="4"/>
  <c r="L45"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6" i="4"/>
  <c r="J69" i="4"/>
  <c r="J68" i="4"/>
  <c r="J67" i="4"/>
  <c r="J66" i="4"/>
  <c r="J65" i="4"/>
  <c r="J64" i="4"/>
  <c r="J63" i="4"/>
  <c r="J62" i="4"/>
  <c r="J61" i="4"/>
  <c r="J60" i="4"/>
  <c r="J59" i="4"/>
  <c r="J58" i="4"/>
  <c r="J57" i="4"/>
  <c r="J56" i="4"/>
  <c r="J55" i="4"/>
  <c r="J54" i="4"/>
  <c r="J53" i="4"/>
  <c r="J52" i="4"/>
  <c r="J51" i="4"/>
  <c r="J50" i="4"/>
  <c r="J49" i="4"/>
  <c r="J48" i="4"/>
  <c r="J47" i="4"/>
  <c r="J46" i="4"/>
  <c r="J45" i="4"/>
  <c r="J44" i="4"/>
  <c r="J43" i="4"/>
  <c r="J42" i="4"/>
  <c r="J41" i="4"/>
  <c r="J40" i="4"/>
  <c r="J39" i="4"/>
  <c r="J38" i="4"/>
  <c r="J37" i="4"/>
  <c r="J36" i="4"/>
  <c r="J35" i="4"/>
  <c r="J34" i="4"/>
  <c r="J33" i="4"/>
  <c r="J32" i="4"/>
  <c r="J31" i="4"/>
  <c r="J30" i="4"/>
  <c r="J29" i="4"/>
  <c r="J28" i="4"/>
  <c r="J27" i="4"/>
  <c r="J26" i="4"/>
  <c r="J25" i="4"/>
  <c r="J24" i="4"/>
  <c r="J23" i="4"/>
  <c r="J22" i="4"/>
  <c r="J21" i="4"/>
  <c r="J20" i="4"/>
  <c r="J19" i="4"/>
  <c r="J18" i="4"/>
  <c r="H69" i="4"/>
  <c r="H68" i="4"/>
  <c r="H67" i="4"/>
  <c r="H66" i="4"/>
  <c r="H65" i="4"/>
  <c r="H64" i="4"/>
  <c r="H63" i="4"/>
  <c r="H62" i="4"/>
  <c r="H61" i="4"/>
  <c r="H60" i="4"/>
  <c r="H59" i="4"/>
  <c r="H58" i="4"/>
  <c r="H57" i="4"/>
  <c r="H56" i="4"/>
  <c r="H55" i="4"/>
  <c r="H54" i="4"/>
  <c r="H53" i="4"/>
  <c r="H52" i="4"/>
  <c r="H51" i="4"/>
  <c r="H50" i="4"/>
  <c r="H49" i="4"/>
  <c r="H48" i="4"/>
  <c r="H47" i="4"/>
  <c r="H46" i="4"/>
  <c r="H45" i="4"/>
  <c r="H44" i="4"/>
  <c r="H43" i="4"/>
  <c r="H42" i="4"/>
  <c r="H41" i="4"/>
  <c r="H40" i="4"/>
  <c r="H39" i="4"/>
  <c r="H38" i="4"/>
  <c r="H37" i="4"/>
  <c r="H36" i="4"/>
  <c r="H35" i="4"/>
  <c r="H34" i="4"/>
  <c r="H33" i="4"/>
  <c r="H32" i="4"/>
  <c r="H31" i="4"/>
  <c r="H30" i="4"/>
  <c r="H29" i="4"/>
  <c r="H28" i="4"/>
  <c r="H27" i="4"/>
  <c r="H26" i="4"/>
  <c r="H25" i="4"/>
  <c r="H24" i="4"/>
  <c r="H23" i="4"/>
  <c r="H22" i="4"/>
  <c r="H21" i="4"/>
  <c r="H20" i="4"/>
  <c r="H19" i="4"/>
  <c r="H18"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AH68" i="4"/>
  <c r="AI67" i="4"/>
  <c r="AH67" i="4"/>
  <c r="AI66" i="4"/>
  <c r="AH66" i="4"/>
  <c r="AI65" i="4"/>
  <c r="AH65" i="4"/>
  <c r="P70" i="4"/>
  <c r="O70" i="4"/>
  <c r="O69" i="4"/>
  <c r="O68" i="4"/>
  <c r="P68" i="4" s="1"/>
  <c r="O67" i="4"/>
  <c r="P67" i="4" s="1"/>
  <c r="O66" i="4"/>
  <c r="O65" i="4"/>
  <c r="P65" i="4" s="1"/>
  <c r="O64" i="4"/>
  <c r="AI64" i="4"/>
  <c r="AI63" i="4"/>
  <c r="AI62" i="4"/>
  <c r="AI61" i="4"/>
  <c r="AI60" i="4"/>
  <c r="AI59" i="4"/>
  <c r="AI58" i="4"/>
  <c r="AI57" i="4"/>
  <c r="AI56" i="4"/>
  <c r="AI55" i="4"/>
  <c r="AI54" i="4"/>
  <c r="AI53" i="4"/>
  <c r="AI52" i="4"/>
  <c r="AI51" i="4"/>
  <c r="AI50" i="4"/>
  <c r="AN80" i="4"/>
  <c r="AM80" i="4"/>
  <c r="AL80" i="4"/>
  <c r="AN79" i="4"/>
  <c r="AM79" i="4"/>
  <c r="AL79" i="4"/>
  <c r="AN78" i="4"/>
  <c r="AM78" i="4"/>
  <c r="AL78" i="4"/>
  <c r="AO78" i="4" s="1"/>
  <c r="AN77" i="4"/>
  <c r="AM77" i="4"/>
  <c r="AL77" i="4"/>
  <c r="AN76" i="4"/>
  <c r="AM76" i="4"/>
  <c r="AL76" i="4"/>
  <c r="AN75" i="4"/>
  <c r="AM75" i="4"/>
  <c r="AL75" i="4"/>
  <c r="AN74" i="4"/>
  <c r="AM74" i="4"/>
  <c r="AL74" i="4"/>
  <c r="AO74" i="4" s="1"/>
  <c r="AN73" i="4"/>
  <c r="AM73" i="4"/>
  <c r="AL73" i="4"/>
  <c r="AO73" i="4" s="1"/>
  <c r="AN72" i="4"/>
  <c r="AM72" i="4"/>
  <c r="AL72" i="4"/>
  <c r="AO72" i="4" s="1"/>
  <c r="AN71" i="4"/>
  <c r="AM71" i="4"/>
  <c r="AL71" i="4"/>
  <c r="AO71" i="4" s="1"/>
  <c r="AN70" i="4"/>
  <c r="AM70" i="4"/>
  <c r="AL70" i="4"/>
  <c r="AO70" i="4" s="1"/>
  <c r="AN69" i="4"/>
  <c r="AM69" i="4"/>
  <c r="AL69" i="4"/>
  <c r="AO69" i="4" s="1"/>
  <c r="AN68" i="4"/>
  <c r="AM68" i="4"/>
  <c r="AL68" i="4"/>
  <c r="AO68" i="4" s="1"/>
  <c r="AN67" i="4"/>
  <c r="AM67" i="4"/>
  <c r="AL67" i="4"/>
  <c r="AO67" i="4" s="1"/>
  <c r="AN66" i="4"/>
  <c r="AM66" i="4"/>
  <c r="AL66" i="4"/>
  <c r="AO66" i="4" s="1"/>
  <c r="AN65" i="4"/>
  <c r="AM65" i="4"/>
  <c r="AL65" i="4"/>
  <c r="AO65" i="4" s="1"/>
  <c r="AN64" i="4"/>
  <c r="AM64" i="4"/>
  <c r="AL64" i="4"/>
  <c r="AO64" i="4" s="1"/>
  <c r="AN63" i="4"/>
  <c r="AM63" i="4"/>
  <c r="AL63" i="4"/>
  <c r="AO63" i="4" s="1"/>
  <c r="AN62" i="4"/>
  <c r="AM62" i="4"/>
  <c r="AL62" i="4"/>
  <c r="AO62" i="4" s="1"/>
  <c r="AN61" i="4"/>
  <c r="AM61" i="4"/>
  <c r="AL61" i="4"/>
  <c r="AO61" i="4" s="1"/>
  <c r="AN60" i="4"/>
  <c r="AM60" i="4"/>
  <c r="AL60" i="4"/>
  <c r="AO60" i="4" s="1"/>
  <c r="AN59" i="4"/>
  <c r="AM59" i="4"/>
  <c r="AL59" i="4"/>
  <c r="AO59" i="4" s="1"/>
  <c r="AN58" i="4"/>
  <c r="AM58" i="4"/>
  <c r="AL58" i="4"/>
  <c r="AO58" i="4" s="1"/>
  <c r="AN57" i="4"/>
  <c r="AM57" i="4"/>
  <c r="AL57" i="4"/>
  <c r="AO57" i="4" s="1"/>
  <c r="AN56" i="4"/>
  <c r="AM56" i="4"/>
  <c r="AL56" i="4"/>
  <c r="AO56" i="4" s="1"/>
  <c r="AN55" i="4"/>
  <c r="AM55" i="4"/>
  <c r="AL55" i="4"/>
  <c r="AO55" i="4" s="1"/>
  <c r="AN54" i="4"/>
  <c r="AM54" i="4"/>
  <c r="AL54" i="4"/>
  <c r="AO54" i="4" s="1"/>
  <c r="AN53" i="4"/>
  <c r="AM53" i="4"/>
  <c r="AL53" i="4"/>
  <c r="AO53" i="4" s="1"/>
  <c r="AN52" i="4"/>
  <c r="AM52" i="4"/>
  <c r="AL52" i="4"/>
  <c r="AO52" i="4" s="1"/>
  <c r="AN51" i="4"/>
  <c r="AM51" i="4"/>
  <c r="AL51" i="4"/>
  <c r="AO51" i="4" s="1"/>
  <c r="AN50" i="4"/>
  <c r="AM50" i="4"/>
  <c r="AL50" i="4"/>
  <c r="AO50" i="4" s="1"/>
  <c r="AN49" i="4"/>
  <c r="AM49" i="4"/>
  <c r="AL49" i="4"/>
  <c r="AO49" i="4" s="1"/>
  <c r="AN48" i="4"/>
  <c r="AM48" i="4"/>
  <c r="AL48" i="4"/>
  <c r="AO48" i="4" s="1"/>
  <c r="AN47" i="4"/>
  <c r="AM47" i="4"/>
  <c r="AL47" i="4"/>
  <c r="AO47" i="4" s="1"/>
  <c r="AN46" i="4"/>
  <c r="AM46" i="4"/>
  <c r="AL46" i="4"/>
  <c r="AO46" i="4" s="1"/>
  <c r="AN45" i="4"/>
  <c r="AM45" i="4"/>
  <c r="AL45" i="4"/>
  <c r="AO45" i="4" s="1"/>
  <c r="AN44" i="4"/>
  <c r="AM44" i="4"/>
  <c r="AL44" i="4"/>
  <c r="AO44" i="4" s="1"/>
  <c r="AN43" i="4"/>
  <c r="AM43" i="4"/>
  <c r="AL43" i="4"/>
  <c r="AO43" i="4" s="1"/>
  <c r="AI49" i="4"/>
  <c r="AI48" i="4"/>
  <c r="AI47" i="4"/>
  <c r="AI46" i="4"/>
  <c r="AI45" i="4"/>
  <c r="AI44" i="4"/>
  <c r="AI43" i="4"/>
  <c r="AI42" i="4"/>
  <c r="AI41" i="4"/>
  <c r="AI40" i="4"/>
  <c r="AI39" i="4"/>
  <c r="AI38" i="4"/>
  <c r="AI37" i="4"/>
  <c r="AI36" i="4"/>
  <c r="AI35" i="4"/>
  <c r="AI34" i="4"/>
  <c r="AA14" i="4"/>
  <c r="AA12" i="4"/>
  <c r="AA10" i="4"/>
  <c r="AA8" i="4"/>
  <c r="U15" i="4"/>
  <c r="U13" i="4"/>
  <c r="U11" i="4"/>
  <c r="U9" i="4"/>
  <c r="U7" i="4"/>
  <c r="S14" i="4"/>
  <c r="S12" i="4"/>
  <c r="S10" i="4"/>
  <c r="S8" i="4"/>
  <c r="AD58" i="4"/>
  <c r="AE54" i="4"/>
  <c r="AC47" i="4"/>
  <c r="AD43" i="4"/>
  <c r="AE39" i="4"/>
  <c r="AC25" i="4"/>
  <c r="AC24" i="4"/>
  <c r="AC23" i="4"/>
  <c r="AC22" i="4"/>
  <c r="AE21" i="4"/>
  <c r="AC21" i="4"/>
  <c r="AC20" i="4"/>
  <c r="AC19" i="4"/>
  <c r="AC18" i="4"/>
  <c r="AC17" i="4"/>
  <c r="AC16" i="4"/>
  <c r="AC15" i="4"/>
  <c r="AE14" i="4"/>
  <c r="AC14" i="4"/>
  <c r="AD13" i="4"/>
  <c r="AC13" i="4"/>
  <c r="AC12" i="4"/>
  <c r="AC11" i="4"/>
  <c r="AC10" i="4"/>
  <c r="AE9" i="4"/>
  <c r="AC9" i="4"/>
  <c r="AD8" i="4"/>
  <c r="AC8" i="4"/>
  <c r="AC7" i="4"/>
  <c r="AG6" i="4"/>
  <c r="AC4" i="4"/>
  <c r="AA4" i="4"/>
  <c r="Y4" i="4"/>
  <c r="W4" i="4"/>
  <c r="U4" i="4"/>
  <c r="S4" i="4"/>
  <c r="AH264" i="10"/>
  <c r="AH265" i="10" s="1"/>
  <c r="AC265" i="10"/>
  <c r="AC264" i="10"/>
  <c r="X264" i="10"/>
  <c r="X265" i="10" s="1"/>
  <c r="S265" i="10"/>
  <c r="S264" i="10"/>
  <c r="N264" i="10"/>
  <c r="CF262" i="10"/>
  <c r="CA262" i="10"/>
  <c r="BV262" i="10"/>
  <c r="BQ262" i="10"/>
  <c r="BL262" i="10"/>
  <c r="BG262" i="10"/>
  <c r="BB262" i="10"/>
  <c r="AW262" i="10"/>
  <c r="AR262" i="10"/>
  <c r="AM262" i="10"/>
  <c r="AH262" i="10"/>
  <c r="AC262" i="10"/>
  <c r="X262" i="10"/>
  <c r="S262" i="10"/>
  <c r="AH259" i="10"/>
  <c r="AH260" i="10" s="1"/>
  <c r="AC259" i="10"/>
  <c r="AC260" i="10" s="1"/>
  <c r="X259" i="10"/>
  <c r="X260" i="10" s="1"/>
  <c r="S259" i="10"/>
  <c r="S260" i="10" s="1"/>
  <c r="CF257" i="10"/>
  <c r="CA257" i="10"/>
  <c r="BV257" i="10"/>
  <c r="BQ257" i="10"/>
  <c r="BL257" i="10"/>
  <c r="BG257" i="10"/>
  <c r="BB257" i="10"/>
  <c r="AW257" i="10"/>
  <c r="AR257" i="10"/>
  <c r="AM257" i="10"/>
  <c r="AH257" i="10"/>
  <c r="AC257" i="10"/>
  <c r="X257" i="10"/>
  <c r="S257" i="10"/>
  <c r="BL254" i="10"/>
  <c r="BL255" i="10" s="1"/>
  <c r="BL253" i="10"/>
  <c r="BG253" i="10"/>
  <c r="BG254" i="10" s="1"/>
  <c r="BG255" i="10" s="1"/>
  <c r="BB253" i="10"/>
  <c r="BB254" i="10" s="1"/>
  <c r="BB255" i="10" s="1"/>
  <c r="AW253" i="10"/>
  <c r="AW254" i="10" s="1"/>
  <c r="AW255" i="10" s="1"/>
  <c r="AR254" i="10"/>
  <c r="AR255" i="10" s="1"/>
  <c r="AR253" i="10"/>
  <c r="AM253" i="10"/>
  <c r="AM254" i="10" s="1"/>
  <c r="AM255" i="10" s="1"/>
  <c r="AH253" i="10"/>
  <c r="AH254" i="10" s="1"/>
  <c r="AH255" i="10" s="1"/>
  <c r="AC255" i="10"/>
  <c r="AC253" i="10"/>
  <c r="AC254" i="10" s="1"/>
  <c r="X254" i="10"/>
  <c r="X255" i="10" s="1"/>
  <c r="X253" i="10"/>
  <c r="S253" i="10"/>
  <c r="S254" i="10" s="1"/>
  <c r="S255" i="10" s="1"/>
  <c r="BF250" i="10"/>
  <c r="AT250" i="10"/>
  <c r="AS250" i="10"/>
  <c r="CN249" i="10"/>
  <c r="CO249" i="10" s="1"/>
  <c r="CQ249" i="10" s="1"/>
  <c r="CR249" i="10" s="1"/>
  <c r="CS249" i="10" s="1"/>
  <c r="CT249" i="10" s="1"/>
  <c r="CV249" i="10" s="1"/>
  <c r="CW249" i="10" s="1"/>
  <c r="CX249" i="10" s="1"/>
  <c r="CY249" i="10" s="1"/>
  <c r="CM249" i="10"/>
  <c r="CL249" i="10"/>
  <c r="CJ249" i="10"/>
  <c r="CI249" i="10"/>
  <c r="CH249" i="10"/>
  <c r="CG249" i="10"/>
  <c r="CE249" i="10"/>
  <c r="CD249" i="10"/>
  <c r="CC249" i="10"/>
  <c r="CB249" i="10"/>
  <c r="BZ249" i="10"/>
  <c r="BY249" i="10"/>
  <c r="BX249" i="10"/>
  <c r="BW249" i="10"/>
  <c r="BU249" i="10"/>
  <c r="BT249" i="10"/>
  <c r="BS249" i="10"/>
  <c r="BR249" i="10"/>
  <c r="BP249" i="10"/>
  <c r="AZ249" i="10"/>
  <c r="AY249" i="10"/>
  <c r="AX249" i="10"/>
  <c r="AV249" i="10"/>
  <c r="AU249" i="10"/>
  <c r="AT249" i="10"/>
  <c r="AS249" i="10"/>
  <c r="AQ249" i="10"/>
  <c r="AP249" i="10"/>
  <c r="AP245" i="10"/>
  <c r="AO245" i="10"/>
  <c r="AP244" i="10"/>
  <c r="AO244" i="10"/>
  <c r="CY243" i="10"/>
  <c r="CT243" i="10"/>
  <c r="CO243" i="10"/>
  <c r="CM243" i="10"/>
  <c r="CL243" i="10"/>
  <c r="CJ243" i="10"/>
  <c r="CI243" i="10"/>
  <c r="CH243" i="10"/>
  <c r="CG243" i="10"/>
  <c r="CE243" i="10"/>
  <c r="CD243" i="10"/>
  <c r="CC243" i="10"/>
  <c r="CB243" i="10"/>
  <c r="BZ243" i="10"/>
  <c r="BY243" i="10"/>
  <c r="BX243" i="10"/>
  <c r="BW243" i="10"/>
  <c r="BU243" i="10"/>
  <c r="BT243" i="10"/>
  <c r="BS243" i="10"/>
  <c r="BR243" i="10"/>
  <c r="BP243" i="10"/>
  <c r="BO243" i="10"/>
  <c r="BN243" i="10"/>
  <c r="BM243" i="10"/>
  <c r="BK243" i="10"/>
  <c r="BJ243" i="10"/>
  <c r="BI243" i="10"/>
  <c r="BH243" i="10"/>
  <c r="BF243" i="10"/>
  <c r="BE243" i="10"/>
  <c r="BD243" i="10"/>
  <c r="BC243" i="10"/>
  <c r="BA243" i="10"/>
  <c r="AZ243" i="10"/>
  <c r="AY243" i="10"/>
  <c r="AX243" i="10"/>
  <c r="AV243" i="10"/>
  <c r="AU243" i="10"/>
  <c r="AT243" i="10"/>
  <c r="AS243" i="10"/>
  <c r="AQ243" i="10"/>
  <c r="AP243" i="10"/>
  <c r="AP247" i="10" s="1"/>
  <c r="N232" i="10"/>
  <c r="M232" i="10"/>
  <c r="L232" i="10"/>
  <c r="CZ230" i="10"/>
  <c r="CU230" i="10"/>
  <c r="CP230" i="10"/>
  <c r="CH230" i="10"/>
  <c r="CI230" i="10" s="1"/>
  <c r="CJ230" i="10" s="1"/>
  <c r="CD230" i="10"/>
  <c r="CE230" i="10" s="1"/>
  <c r="CC230" i="10"/>
  <c r="BX230" i="10"/>
  <c r="BS230" i="10"/>
  <c r="BN230" i="10"/>
  <c r="BO230" i="10" s="1"/>
  <c r="BP230" i="10" s="1"/>
  <c r="BI230" i="10"/>
  <c r="BD230" i="10"/>
  <c r="BE230" i="10" s="1"/>
  <c r="AZ230" i="10"/>
  <c r="BA230" i="10" s="1"/>
  <c r="AY230" i="10"/>
  <c r="AW230" i="10"/>
  <c r="AR230" i="10"/>
  <c r="AM230" i="10"/>
  <c r="AH230" i="10"/>
  <c r="AA230" i="10"/>
  <c r="AB230" i="10" s="1"/>
  <c r="W230" i="10"/>
  <c r="V230" i="10"/>
  <c r="S230" i="10"/>
  <c r="AS228" i="10"/>
  <c r="AI228" i="10"/>
  <c r="X228" i="10"/>
  <c r="T228" i="10"/>
  <c r="O228" i="10"/>
  <c r="N228" i="10"/>
  <c r="J228" i="10"/>
  <c r="CZ226" i="10"/>
  <c r="CZ223" i="10"/>
  <c r="CZ219" i="10"/>
  <c r="CZ218" i="10"/>
  <c r="CZ217" i="10"/>
  <c r="CU226" i="10"/>
  <c r="CU223" i="10"/>
  <c r="CU219" i="10"/>
  <c r="CU218" i="10"/>
  <c r="CU217" i="10"/>
  <c r="CP223" i="10"/>
  <c r="CP219" i="10"/>
  <c r="CP218" i="10"/>
  <c r="CP217" i="10"/>
  <c r="CL226" i="10"/>
  <c r="CH226" i="10"/>
  <c r="CG226" i="10"/>
  <c r="CG228" i="10" s="1"/>
  <c r="CB226" i="10"/>
  <c r="BW226" i="10"/>
  <c r="BR226" i="10"/>
  <c r="BS226" i="10" s="1"/>
  <c r="BN226" i="10"/>
  <c r="BM226" i="10"/>
  <c r="BL226" i="10"/>
  <c r="BJ226" i="10"/>
  <c r="BK226" i="10" s="1"/>
  <c r="BH226" i="10"/>
  <c r="BI226" i="10" s="1"/>
  <c r="BG226" i="10"/>
  <c r="BD226" i="10"/>
  <c r="BE226" i="10" s="1"/>
  <c r="BF226" i="10" s="1"/>
  <c r="BB226" i="10"/>
  <c r="AY226" i="10"/>
  <c r="AZ226" i="10" s="1"/>
  <c r="BA226" i="10" s="1"/>
  <c r="AR226" i="10"/>
  <c r="AQ226" i="10" s="1"/>
  <c r="AO226" i="10"/>
  <c r="AP226" i="10" s="1"/>
  <c r="AD226" i="10"/>
  <c r="AD228" i="10" s="1"/>
  <c r="Y226" i="10"/>
  <c r="Y228" i="10" s="1"/>
  <c r="R226" i="10"/>
  <c r="U225" i="10"/>
  <c r="U224" i="10"/>
  <c r="V224" i="10" s="1"/>
  <c r="CQ225" i="10"/>
  <c r="CM225" i="10"/>
  <c r="CR225" i="10" s="1"/>
  <c r="CW225" i="10" s="1"/>
  <c r="CI225" i="10"/>
  <c r="CJ225" i="10" s="1"/>
  <c r="CO225" i="10" s="1"/>
  <c r="CT225" i="10" s="1"/>
  <c r="CY225" i="10" s="1"/>
  <c r="CH225" i="10"/>
  <c r="CJ224" i="10"/>
  <c r="CI224" i="10"/>
  <c r="CH224" i="10"/>
  <c r="CD225" i="10"/>
  <c r="CC225" i="10"/>
  <c r="CD224" i="10"/>
  <c r="CC224" i="10"/>
  <c r="BY225" i="10"/>
  <c r="BZ225" i="10" s="1"/>
  <c r="BX225" i="10"/>
  <c r="BZ224" i="10"/>
  <c r="BY224" i="10"/>
  <c r="BX224" i="10"/>
  <c r="BT225" i="10"/>
  <c r="BS225" i="10"/>
  <c r="BT224" i="10"/>
  <c r="BS224" i="10"/>
  <c r="BO225" i="10"/>
  <c r="BP225" i="10" s="1"/>
  <c r="BN225" i="10"/>
  <c r="BP224" i="10"/>
  <c r="BO224" i="10"/>
  <c r="BN224" i="10"/>
  <c r="BI225" i="10"/>
  <c r="BI224" i="10"/>
  <c r="BD225" i="10"/>
  <c r="BE225" i="10" s="1"/>
  <c r="BF225" i="10" s="1"/>
  <c r="BF224" i="10"/>
  <c r="BE224" i="10"/>
  <c r="BD224" i="10"/>
  <c r="AY225" i="10"/>
  <c r="AY224" i="10"/>
  <c r="AT226" i="10"/>
  <c r="AU226" i="10" s="1"/>
  <c r="AV226" i="10" s="1"/>
  <c r="AV225" i="10"/>
  <c r="AU225" i="10"/>
  <c r="AT225" i="10"/>
  <c r="AT224" i="10"/>
  <c r="AO225" i="10"/>
  <c r="AO224" i="10"/>
  <c r="AP224" i="10" s="1"/>
  <c r="AQ224" i="10" s="1"/>
  <c r="AL226" i="10"/>
  <c r="AK226" i="10"/>
  <c r="AJ226" i="10"/>
  <c r="AJ225" i="10"/>
  <c r="AK225" i="10" s="1"/>
  <c r="AL225" i="10" s="1"/>
  <c r="AJ224" i="10"/>
  <c r="AK224" i="10" s="1"/>
  <c r="AL224" i="10" s="1"/>
  <c r="AE225" i="10"/>
  <c r="AF225" i="10" s="1"/>
  <c r="AG225" i="10" s="1"/>
  <c r="AG224" i="10"/>
  <c r="AF224" i="10"/>
  <c r="AE224" i="10"/>
  <c r="AA225" i="10"/>
  <c r="AB225" i="10" s="1"/>
  <c r="Z225" i="10"/>
  <c r="Z224" i="10"/>
  <c r="Q225" i="10"/>
  <c r="R225" i="10" s="1"/>
  <c r="P225" i="10"/>
  <c r="P224" i="10"/>
  <c r="M225" i="10"/>
  <c r="K225" i="10"/>
  <c r="L225" i="10" s="1"/>
  <c r="L224" i="10"/>
  <c r="M224" i="10" s="1"/>
  <c r="K224" i="10"/>
  <c r="CK223" i="10"/>
  <c r="CK219" i="10"/>
  <c r="CK217" i="10"/>
  <c r="CF223" i="10"/>
  <c r="CF222" i="10"/>
  <c r="CF221" i="10"/>
  <c r="CF217" i="10"/>
  <c r="CA223" i="10"/>
  <c r="CA221" i="10"/>
  <c r="CA217" i="10"/>
  <c r="BV223" i="10"/>
  <c r="BV221" i="10"/>
  <c r="BV219" i="10"/>
  <c r="BV217" i="10"/>
  <c r="BQ223" i="10"/>
  <c r="BQ219" i="10"/>
  <c r="BQ218" i="10"/>
  <c r="BL223" i="10"/>
  <c r="BG223" i="10"/>
  <c r="BG222" i="10"/>
  <c r="BG221" i="10"/>
  <c r="BA223" i="10"/>
  <c r="BA222" i="10"/>
  <c r="AV223" i="10"/>
  <c r="AV221" i="10"/>
  <c r="AQ223" i="10"/>
  <c r="AP223" i="10"/>
  <c r="AM223" i="10"/>
  <c r="AM222" i="10"/>
  <c r="AH223" i="10"/>
  <c r="AE223" i="10"/>
  <c r="AB223" i="10"/>
  <c r="AB222" i="10"/>
  <c r="AB221" i="10"/>
  <c r="S223" i="10"/>
  <c r="CJ222" i="10"/>
  <c r="CK222" i="10" s="1"/>
  <c r="CJ221" i="10"/>
  <c r="CK221" i="10" s="1"/>
  <c r="BY222" i="10"/>
  <c r="BZ222" i="10" s="1"/>
  <c r="BX222" i="10"/>
  <c r="BT222" i="10"/>
  <c r="BU222" i="10" s="1"/>
  <c r="BP222" i="10"/>
  <c r="BQ222" i="10" s="1"/>
  <c r="BN222" i="10"/>
  <c r="BO222" i="10" s="1"/>
  <c r="BK222" i="10"/>
  <c r="AZ222" i="10"/>
  <c r="AY222" i="10"/>
  <c r="AT222" i="10"/>
  <c r="AU222" i="10" s="1"/>
  <c r="AV222" i="10" s="1"/>
  <c r="AQ220" i="10"/>
  <c r="AO222" i="10"/>
  <c r="AQ222" i="10" s="1"/>
  <c r="AO221" i="10"/>
  <c r="AP221" i="10" s="1"/>
  <c r="AO220" i="10"/>
  <c r="AF222" i="10"/>
  <c r="AG222" i="10" s="1"/>
  <c r="R222" i="10"/>
  <c r="R221" i="10"/>
  <c r="P222" i="10"/>
  <c r="K222" i="10"/>
  <c r="L222" i="10" s="1"/>
  <c r="M222" i="10" s="1"/>
  <c r="BL221" i="10"/>
  <c r="AZ221" i="10"/>
  <c r="BA221" i="10" s="1"/>
  <c r="AR221" i="10"/>
  <c r="AQ221" i="10" s="1"/>
  <c r="AP220" i="10"/>
  <c r="AP219" i="10"/>
  <c r="AQ219" i="10" s="1"/>
  <c r="AP218" i="10"/>
  <c r="AQ218" i="10" s="1"/>
  <c r="AL221" i="10"/>
  <c r="AH221" i="10"/>
  <c r="AE221" i="10"/>
  <c r="V226" i="10"/>
  <c r="W226" i="10" s="1"/>
  <c r="V225" i="10"/>
  <c r="W225" i="10" s="1"/>
  <c r="V223" i="10"/>
  <c r="W223" i="10" s="1"/>
  <c r="V222" i="10"/>
  <c r="W222" i="10" s="1"/>
  <c r="V221" i="10"/>
  <c r="W221" i="10" s="1"/>
  <c r="M221" i="10"/>
  <c r="CY222" i="10"/>
  <c r="CX222" i="10"/>
  <c r="CW222" i="10"/>
  <c r="CV222" i="10"/>
  <c r="CY221" i="10"/>
  <c r="CX221" i="10"/>
  <c r="CW221" i="10"/>
  <c r="CZ221" i="10" s="1"/>
  <c r="CV221" i="10"/>
  <c r="CT222" i="10"/>
  <c r="CS222" i="10"/>
  <c r="CR222" i="10"/>
  <c r="CQ222" i="10"/>
  <c r="CU222" i="10" s="1"/>
  <c r="CT221" i="10"/>
  <c r="CS221" i="10"/>
  <c r="CR221" i="10"/>
  <c r="CQ221" i="10"/>
  <c r="CO222" i="10"/>
  <c r="CN222" i="10"/>
  <c r="CM222" i="10"/>
  <c r="CO221" i="10"/>
  <c r="CN221" i="10"/>
  <c r="CM221" i="10"/>
  <c r="CP221" i="10" s="1"/>
  <c r="CH220" i="10"/>
  <c r="BY220" i="10"/>
  <c r="BX220" i="10"/>
  <c r="BS220" i="10"/>
  <c r="BO221" i="10"/>
  <c r="BO220" i="10"/>
  <c r="BP220" i="10" s="1"/>
  <c r="BN220" i="10"/>
  <c r="BI220" i="10"/>
  <c r="BD220" i="10"/>
  <c r="BE220" i="10" s="1"/>
  <c r="AY220" i="10"/>
  <c r="CI219" i="10"/>
  <c r="CJ219" i="10" s="1"/>
  <c r="CI218" i="10"/>
  <c r="BZ219" i="10"/>
  <c r="CA219" i="10" s="1"/>
  <c r="BL219" i="10"/>
  <c r="BL228" i="10" s="1"/>
  <c r="BG219" i="10"/>
  <c r="BB219" i="10"/>
  <c r="S219" i="10"/>
  <c r="S228" i="10" s="1"/>
  <c r="CH218" i="10"/>
  <c r="CC220" i="10"/>
  <c r="CC219" i="10"/>
  <c r="CC218" i="10"/>
  <c r="BX218" i="10"/>
  <c r="BT218" i="10"/>
  <c r="BE218" i="10"/>
  <c r="BF218" i="10" s="1"/>
  <c r="BD218" i="10"/>
  <c r="AY218" i="10"/>
  <c r="AO218" i="10"/>
  <c r="AF219" i="10"/>
  <c r="AG219" i="10" s="1"/>
  <c r="AE219" i="10"/>
  <c r="AE218" i="10"/>
  <c r="Z218" i="10"/>
  <c r="W219" i="10"/>
  <c r="V219" i="10"/>
  <c r="U218" i="10"/>
  <c r="U228" i="10" s="1"/>
  <c r="P218" i="10"/>
  <c r="P228" i="10" s="1"/>
  <c r="BM217" i="10"/>
  <c r="BM228" i="10" s="1"/>
  <c r="BI218" i="10"/>
  <c r="BJ218" i="10" s="1"/>
  <c r="BK218" i="10" s="1"/>
  <c r="BH217" i="10"/>
  <c r="BH228" i="10" s="1"/>
  <c r="BG217" i="10"/>
  <c r="BG228" i="10" s="1"/>
  <c r="BC217" i="10"/>
  <c r="BC228" i="10" s="1"/>
  <c r="BB217" i="10"/>
  <c r="BB228" i="10" s="1"/>
  <c r="AX217" i="10"/>
  <c r="AX228" i="10" s="1"/>
  <c r="AW217" i="10"/>
  <c r="AW228" i="10" s="1"/>
  <c r="AT220" i="10"/>
  <c r="AU219" i="10"/>
  <c r="AT219" i="10"/>
  <c r="AT218" i="10"/>
  <c r="AU218" i="10" s="1"/>
  <c r="AU217" i="10"/>
  <c r="AT217" i="10"/>
  <c r="AR217" i="10"/>
  <c r="AN217" i="10"/>
  <c r="AN228" i="10" s="1"/>
  <c r="AM217" i="10"/>
  <c r="AM228" i="10" s="1"/>
  <c r="AJ220" i="10"/>
  <c r="AK220" i="10" s="1"/>
  <c r="AL220" i="10" s="1"/>
  <c r="AJ219" i="10"/>
  <c r="AK219" i="10" s="1"/>
  <c r="AL219" i="10" s="1"/>
  <c r="AJ218" i="10"/>
  <c r="AK218" i="10" s="1"/>
  <c r="AL218" i="10" s="1"/>
  <c r="AJ217" i="10"/>
  <c r="AJ228" i="10" s="1"/>
  <c r="AH217" i="10"/>
  <c r="AE217" i="10"/>
  <c r="AC217" i="10"/>
  <c r="AC228" i="10" s="1"/>
  <c r="AB217" i="10"/>
  <c r="W217" i="10"/>
  <c r="S217" i="10"/>
  <c r="K218" i="10"/>
  <c r="L218" i="10" s="1"/>
  <c r="M218" i="10" s="1"/>
  <c r="K217" i="10"/>
  <c r="K228" i="10" s="1"/>
  <c r="CY214" i="10"/>
  <c r="CO214" i="10"/>
  <c r="BW214" i="10"/>
  <c r="BG214" i="10"/>
  <c r="BC214" i="10"/>
  <c r="AS214" i="10"/>
  <c r="AC214" i="10"/>
  <c r="Y214" i="10"/>
  <c r="T214" i="10"/>
  <c r="S214" i="10"/>
  <c r="O214" i="10"/>
  <c r="N214" i="10"/>
  <c r="J214" i="10"/>
  <c r="CZ212" i="10"/>
  <c r="CZ211" i="10"/>
  <c r="CZ210" i="10"/>
  <c r="CU212" i="10"/>
  <c r="CU211" i="10"/>
  <c r="CU210" i="10"/>
  <c r="CP211" i="10"/>
  <c r="CP210" i="10"/>
  <c r="CL212" i="10"/>
  <c r="CP212" i="10" s="1"/>
  <c r="CG212" i="10"/>
  <c r="CG214" i="10" s="1"/>
  <c r="CB212" i="10"/>
  <c r="CB214" i="10" s="1"/>
  <c r="BX212" i="10"/>
  <c r="BW212" i="10"/>
  <c r="BR212" i="10"/>
  <c r="BM212" i="10"/>
  <c r="BM214" i="10" s="1"/>
  <c r="BL212" i="10"/>
  <c r="BL214" i="10" s="1"/>
  <c r="BH212" i="10"/>
  <c r="BG212" i="10"/>
  <c r="BD212" i="10"/>
  <c r="BC212" i="10"/>
  <c r="BB212" i="10"/>
  <c r="AX212" i="10"/>
  <c r="AX214" i="10" s="1"/>
  <c r="AW212" i="10"/>
  <c r="AW214" i="10" s="1"/>
  <c r="AT212" i="10"/>
  <c r="AU212" i="10" s="1"/>
  <c r="AV212" i="10" s="1"/>
  <c r="AR212" i="10"/>
  <c r="AR214" i="10" s="1"/>
  <c r="AN212" i="10"/>
  <c r="AO212" i="10" s="1"/>
  <c r="AM212" i="10"/>
  <c r="AM214" i="10" s="1"/>
  <c r="AI212" i="10"/>
  <c r="AD212" i="10"/>
  <c r="AE212" i="10" s="1"/>
  <c r="AF212" i="10" s="1"/>
  <c r="AC212" i="10"/>
  <c r="Z212" i="10"/>
  <c r="Y212" i="10"/>
  <c r="X212" i="10"/>
  <c r="V212" i="10"/>
  <c r="W212" i="10" s="1"/>
  <c r="U212" i="10"/>
  <c r="S212" i="10"/>
  <c r="Q212" i="10"/>
  <c r="R212" i="10" s="1"/>
  <c r="P212" i="10"/>
  <c r="BO211" i="10"/>
  <c r="BN211" i="10"/>
  <c r="BD211" i="10"/>
  <c r="BB211" i="10"/>
  <c r="BB214" i="10" s="1"/>
  <c r="AY211" i="10"/>
  <c r="AN211" i="10"/>
  <c r="AO211" i="10" s="1"/>
  <c r="AP211" i="10" s="1"/>
  <c r="AM211" i="10"/>
  <c r="AJ211" i="10"/>
  <c r="AK211" i="10" s="1"/>
  <c r="AL211" i="10" s="1"/>
  <c r="AI211" i="10"/>
  <c r="AH211" i="10"/>
  <c r="AH214" i="10" s="1"/>
  <c r="AF211" i="10"/>
  <c r="AG211" i="10" s="1"/>
  <c r="AE211" i="10"/>
  <c r="X211" i="10"/>
  <c r="X214" i="10" s="1"/>
  <c r="V211" i="10"/>
  <c r="W211" i="10" s="1"/>
  <c r="U211" i="10"/>
  <c r="R211" i="10"/>
  <c r="R210" i="10"/>
  <c r="M211" i="10"/>
  <c r="BQ210" i="10"/>
  <c r="BH210" i="10"/>
  <c r="BH214" i="10" s="1"/>
  <c r="BF210" i="10"/>
  <c r="AN210" i="10"/>
  <c r="AN214" i="10" s="1"/>
  <c r="P210" i="10"/>
  <c r="P209" i="10"/>
  <c r="P214" i="10" s="1"/>
  <c r="L210" i="10"/>
  <c r="M210" i="10" s="1"/>
  <c r="CY209" i="10"/>
  <c r="CX209" i="10"/>
  <c r="CX214" i="10" s="1"/>
  <c r="CW209" i="10"/>
  <c r="CW214" i="10" s="1"/>
  <c r="CV209" i="10"/>
  <c r="CV214" i="10" s="1"/>
  <c r="CT209" i="10"/>
  <c r="CT214" i="10" s="1"/>
  <c r="CS209" i="10"/>
  <c r="CS214" i="10" s="1"/>
  <c r="CR209" i="10"/>
  <c r="CR214" i="10" s="1"/>
  <c r="CQ209" i="10"/>
  <c r="CQ214" i="10" s="1"/>
  <c r="CO209" i="10"/>
  <c r="CN209" i="10"/>
  <c r="CN214" i="10" s="1"/>
  <c r="CM209" i="10"/>
  <c r="CM214" i="10" s="1"/>
  <c r="CH211" i="10"/>
  <c r="CI211" i="10" s="1"/>
  <c r="CH210" i="10"/>
  <c r="CI210" i="10" s="1"/>
  <c r="CH209" i="10"/>
  <c r="CI209" i="10" s="1"/>
  <c r="CC211" i="10"/>
  <c r="CD211" i="10" s="1"/>
  <c r="CC210" i="10"/>
  <c r="CD210" i="10" s="1"/>
  <c r="CC209" i="10"/>
  <c r="BX211" i="10"/>
  <c r="BY211" i="10" s="1"/>
  <c r="BX210" i="10"/>
  <c r="BY210" i="10" s="1"/>
  <c r="BX209" i="10"/>
  <c r="BY209" i="10" s="1"/>
  <c r="BS211" i="10"/>
  <c r="BT211" i="10" s="1"/>
  <c r="BS210" i="10"/>
  <c r="BT210" i="10" s="1"/>
  <c r="BS209" i="10"/>
  <c r="BT209" i="10" s="1"/>
  <c r="BN209" i="10"/>
  <c r="BJ211" i="10"/>
  <c r="BK211" i="10" s="1"/>
  <c r="BI211" i="10"/>
  <c r="BI210" i="10"/>
  <c r="BI209" i="10"/>
  <c r="BE209" i="10"/>
  <c r="BD209" i="10"/>
  <c r="AY210" i="10"/>
  <c r="AY209" i="10"/>
  <c r="AZ209" i="10" s="1"/>
  <c r="AT211" i="10"/>
  <c r="AU211" i="10" s="1"/>
  <c r="AV211" i="10" s="1"/>
  <c r="AU210" i="10"/>
  <c r="AV210" i="10" s="1"/>
  <c r="AT210" i="10"/>
  <c r="AT209" i="10"/>
  <c r="AO209" i="10"/>
  <c r="AJ210" i="10"/>
  <c r="AK209" i="10"/>
  <c r="AJ209" i="10"/>
  <c r="AE210" i="10"/>
  <c r="AE209" i="10"/>
  <c r="AF209" i="10" s="1"/>
  <c r="Z211" i="10"/>
  <c r="AA211" i="10" s="1"/>
  <c r="AB211" i="10" s="1"/>
  <c r="AA210" i="10"/>
  <c r="AB210" i="10" s="1"/>
  <c r="Z210" i="10"/>
  <c r="Z209" i="10"/>
  <c r="U210" i="10"/>
  <c r="V210" i="10" s="1"/>
  <c r="U209" i="10"/>
  <c r="U214" i="10" s="1"/>
  <c r="Q209" i="10"/>
  <c r="Q214" i="10" s="1"/>
  <c r="K209" i="10"/>
  <c r="K214" i="10" s="1"/>
  <c r="AV204" i="10"/>
  <c r="AU204" i="10"/>
  <c r="AT204" i="10"/>
  <c r="AS204" i="10"/>
  <c r="AW204" i="10" s="1"/>
  <c r="AO204" i="10"/>
  <c r="AP204" i="10" s="1"/>
  <c r="AJ204" i="10"/>
  <c r="AK204" i="10" s="1"/>
  <c r="AL204" i="10" s="1"/>
  <c r="AF204" i="10"/>
  <c r="AG204" i="10" s="1"/>
  <c r="AE204" i="10"/>
  <c r="AA204" i="10"/>
  <c r="Z204" i="10"/>
  <c r="AB204" i="10" s="1"/>
  <c r="Y204" i="10"/>
  <c r="X204" i="10"/>
  <c r="V204" i="10"/>
  <c r="W204" i="10" s="1"/>
  <c r="U204" i="10"/>
  <c r="Q204" i="10"/>
  <c r="P204" i="10"/>
  <c r="K204" i="10"/>
  <c r="L204" i="10" s="1"/>
  <c r="M204" i="10" s="1"/>
  <c r="CY204" i="10"/>
  <c r="CX204" i="10"/>
  <c r="CW204" i="10"/>
  <c r="CV204" i="10"/>
  <c r="CZ204" i="10" s="1"/>
  <c r="CT204" i="10"/>
  <c r="CS204" i="10"/>
  <c r="CR204" i="10"/>
  <c r="CQ204" i="10"/>
  <c r="CO204" i="10"/>
  <c r="CN204" i="10"/>
  <c r="CM204" i="10"/>
  <c r="CL204" i="10"/>
  <c r="CP204" i="10" s="1"/>
  <c r="CJ204" i="10"/>
  <c r="CI204" i="10"/>
  <c r="CH204" i="10"/>
  <c r="CG204" i="10"/>
  <c r="CK204" i="10" s="1"/>
  <c r="CE204" i="10"/>
  <c r="CD204" i="10"/>
  <c r="CC204" i="10"/>
  <c r="CB204" i="10"/>
  <c r="CF204" i="10" s="1"/>
  <c r="BZ204" i="10"/>
  <c r="BY204" i="10"/>
  <c r="BX204" i="10"/>
  <c r="BW204" i="10"/>
  <c r="BU204" i="10"/>
  <c r="BT204" i="10"/>
  <c r="BS204" i="10"/>
  <c r="BR204" i="10"/>
  <c r="BP204" i="10"/>
  <c r="BO204" i="10"/>
  <c r="BN204" i="10"/>
  <c r="BM204" i="10"/>
  <c r="BQ204" i="10" s="1"/>
  <c r="BK204" i="10"/>
  <c r="BJ204" i="10"/>
  <c r="BI204" i="10"/>
  <c r="BH204" i="10"/>
  <c r="BL204" i="10" s="1"/>
  <c r="BF204" i="10"/>
  <c r="BE204" i="10"/>
  <c r="BD204" i="10"/>
  <c r="BC204" i="10"/>
  <c r="BA204" i="10"/>
  <c r="AZ204" i="10"/>
  <c r="AY204" i="10"/>
  <c r="CL203" i="10"/>
  <c r="BR203" i="10"/>
  <c r="AM203" i="10"/>
  <c r="AH203" i="10"/>
  <c r="X203" i="10"/>
  <c r="N203" i="10"/>
  <c r="J203" i="10"/>
  <c r="BB202" i="10"/>
  <c r="BB201" i="10"/>
  <c r="CL201" i="10"/>
  <c r="CG201" i="10"/>
  <c r="CB201" i="10"/>
  <c r="CB203" i="10" s="1"/>
  <c r="BW201" i="10"/>
  <c r="BW203" i="10" s="1"/>
  <c r="BS201" i="10"/>
  <c r="BT201" i="10" s="1"/>
  <c r="BR201" i="10"/>
  <c r="BM201" i="10"/>
  <c r="BL201" i="10"/>
  <c r="BL203" i="10" s="1"/>
  <c r="BH201" i="10"/>
  <c r="BG201" i="10"/>
  <c r="BC201" i="10"/>
  <c r="BC203" i="10" s="1"/>
  <c r="AX201" i="10"/>
  <c r="AX203" i="10" s="1"/>
  <c r="AW201" i="10"/>
  <c r="AW203" i="10" s="1"/>
  <c r="AT201" i="10"/>
  <c r="AU201" i="10" s="1"/>
  <c r="AS201" i="10"/>
  <c r="AS203" i="10" s="1"/>
  <c r="AR201" i="10"/>
  <c r="AR203" i="10" s="1"/>
  <c r="AN201" i="10"/>
  <c r="AM201" i="10"/>
  <c r="AI201" i="10"/>
  <c r="AJ201" i="10" s="1"/>
  <c r="AK201" i="10" s="1"/>
  <c r="AL201" i="10" s="1"/>
  <c r="AH201" i="10"/>
  <c r="AC201" i="10"/>
  <c r="AC203" i="10" s="1"/>
  <c r="X201" i="10"/>
  <c r="N201" i="10"/>
  <c r="K201" i="10"/>
  <c r="L201" i="10" s="1"/>
  <c r="M200" i="10"/>
  <c r="K200" i="10"/>
  <c r="L200" i="10" s="1"/>
  <c r="AK200" i="10"/>
  <c r="AL200" i="10" s="1"/>
  <c r="AJ200" i="10"/>
  <c r="AJ199" i="10"/>
  <c r="AK199" i="10" s="1"/>
  <c r="AL199" i="10" s="1"/>
  <c r="M199" i="10"/>
  <c r="CH200" i="10"/>
  <c r="CI200" i="10" s="1"/>
  <c r="CH199" i="10"/>
  <c r="CI199" i="10" s="1"/>
  <c r="CH198" i="10"/>
  <c r="CI198" i="10" s="1"/>
  <c r="CC200" i="10"/>
  <c r="CD200" i="10" s="1"/>
  <c r="CC199" i="10"/>
  <c r="CD199" i="10" s="1"/>
  <c r="CC198" i="10"/>
  <c r="BX200" i="10"/>
  <c r="BY200" i="10" s="1"/>
  <c r="BX199" i="10"/>
  <c r="BY199" i="10" s="1"/>
  <c r="BX198" i="10"/>
  <c r="BS200" i="10"/>
  <c r="BT200" i="10" s="1"/>
  <c r="BS199" i="10"/>
  <c r="BT199" i="10" s="1"/>
  <c r="BS198" i="10"/>
  <c r="BT198" i="10" s="1"/>
  <c r="BN200" i="10"/>
  <c r="BO200" i="10" s="1"/>
  <c r="BN199" i="10"/>
  <c r="BO199" i="10" s="1"/>
  <c r="BN198" i="10"/>
  <c r="BI200" i="10"/>
  <c r="BJ200" i="10" s="1"/>
  <c r="BK200" i="10" s="1"/>
  <c r="BJ199" i="10"/>
  <c r="BK199" i="10" s="1"/>
  <c r="BI199" i="10"/>
  <c r="BI198" i="10"/>
  <c r="BD200" i="10"/>
  <c r="BE200" i="10" s="1"/>
  <c r="BD199" i="10"/>
  <c r="BE199" i="10" s="1"/>
  <c r="BF199" i="10" s="1"/>
  <c r="BE198" i="10"/>
  <c r="BD198" i="10"/>
  <c r="AY200" i="10"/>
  <c r="AY199" i="10"/>
  <c r="AZ199" i="10" s="1"/>
  <c r="AY198" i="10"/>
  <c r="AU200" i="10"/>
  <c r="AV200" i="10" s="1"/>
  <c r="AT200" i="10"/>
  <c r="AT199" i="10"/>
  <c r="AT198" i="10"/>
  <c r="AU198" i="10" s="1"/>
  <c r="AO200" i="10"/>
  <c r="AP200" i="10" s="1"/>
  <c r="AQ200" i="10" s="1"/>
  <c r="AP199" i="10"/>
  <c r="AQ199" i="10" s="1"/>
  <c r="AO199" i="10"/>
  <c r="AO198" i="10"/>
  <c r="AM198" i="10"/>
  <c r="AJ198" i="10"/>
  <c r="AE200" i="10"/>
  <c r="AE199" i="10"/>
  <c r="AF199" i="10" s="1"/>
  <c r="AD199" i="10"/>
  <c r="AE198" i="10"/>
  <c r="AF198" i="10" s="1"/>
  <c r="AD198" i="10"/>
  <c r="AA200" i="10"/>
  <c r="Z200" i="10"/>
  <c r="AA199" i="10"/>
  <c r="Z199" i="10"/>
  <c r="Y199" i="10"/>
  <c r="AB199" i="10" s="1"/>
  <c r="AA198" i="10"/>
  <c r="Z198" i="10"/>
  <c r="Y198" i="10"/>
  <c r="AB198" i="10" s="1"/>
  <c r="V200" i="10"/>
  <c r="U200" i="10"/>
  <c r="T200" i="10"/>
  <c r="W200" i="10" s="1"/>
  <c r="R200" i="10"/>
  <c r="Q200" i="10"/>
  <c r="P200" i="10"/>
  <c r="O200" i="10"/>
  <c r="V199" i="10"/>
  <c r="U199" i="10"/>
  <c r="W199" i="10" s="1"/>
  <c r="T199" i="10"/>
  <c r="R199" i="10"/>
  <c r="Q199" i="10"/>
  <c r="P199" i="10"/>
  <c r="O199" i="10"/>
  <c r="T198" i="10"/>
  <c r="R198" i="10"/>
  <c r="Q198" i="10"/>
  <c r="P198" i="10"/>
  <c r="O198" i="10"/>
  <c r="L198" i="10"/>
  <c r="L203" i="10" s="1"/>
  <c r="K198" i="10"/>
  <c r="K203" i="10" s="1"/>
  <c r="CZ195" i="10"/>
  <c r="CU195" i="10"/>
  <c r="CP195" i="10"/>
  <c r="CH195" i="10"/>
  <c r="CI195" i="10" s="1"/>
  <c r="CC195" i="10"/>
  <c r="CD195" i="10" s="1"/>
  <c r="BX195" i="10"/>
  <c r="BY195" i="10" s="1"/>
  <c r="BS195" i="10"/>
  <c r="BT195" i="10" s="1"/>
  <c r="BN195" i="10"/>
  <c r="BO195" i="10" s="1"/>
  <c r="BI195" i="10"/>
  <c r="BJ195" i="10" s="1"/>
  <c r="BK195" i="10" s="1"/>
  <c r="BE195" i="10"/>
  <c r="BF195" i="10" s="1"/>
  <c r="BD195" i="10"/>
  <c r="AY195" i="10"/>
  <c r="AT195" i="10"/>
  <c r="AU195" i="10" s="1"/>
  <c r="AO195" i="10"/>
  <c r="AP195" i="10" s="1"/>
  <c r="AQ195" i="10" s="1"/>
  <c r="AK195" i="10"/>
  <c r="AL195" i="10" s="1"/>
  <c r="AJ195" i="10"/>
  <c r="AF195" i="10"/>
  <c r="AG195" i="10" s="1"/>
  <c r="AC195" i="10"/>
  <c r="Y195" i="10"/>
  <c r="X195" i="10"/>
  <c r="U195" i="10"/>
  <c r="R195" i="10"/>
  <c r="M195" i="10"/>
  <c r="CL194" i="10"/>
  <c r="CG194" i="10"/>
  <c r="CH194" i="10" s="1"/>
  <c r="CB194" i="10"/>
  <c r="CC194" i="10" s="1"/>
  <c r="CD194" i="10" s="1"/>
  <c r="BX194" i="10"/>
  <c r="BW194" i="10"/>
  <c r="BR194" i="10"/>
  <c r="BM194" i="10"/>
  <c r="BN194" i="10" s="1"/>
  <c r="BL194" i="10"/>
  <c r="BH194" i="10"/>
  <c r="BG194" i="10"/>
  <c r="BD194" i="10"/>
  <c r="BC194" i="10"/>
  <c r="BB194" i="10"/>
  <c r="AX194" i="10"/>
  <c r="AY194" i="10" s="1"/>
  <c r="AW194" i="10"/>
  <c r="AS194" i="10"/>
  <c r="AT194" i="10" s="1"/>
  <c r="AR194" i="10"/>
  <c r="AQ194" i="10" s="1"/>
  <c r="AN194" i="10"/>
  <c r="AO194" i="10" s="1"/>
  <c r="AP194" i="10" s="1"/>
  <c r="AM194" i="10"/>
  <c r="AJ194" i="10"/>
  <c r="AK194" i="10" s="1"/>
  <c r="AL194" i="10" s="1"/>
  <c r="AI194" i="10"/>
  <c r="AH194" i="10"/>
  <c r="AC194" i="10"/>
  <c r="X194" i="10"/>
  <c r="AE193" i="10"/>
  <c r="AF193" i="10" s="1"/>
  <c r="AG193" i="10" s="1"/>
  <c r="AA193" i="10"/>
  <c r="AB193" i="10" s="1"/>
  <c r="Z193" i="10"/>
  <c r="U193" i="10"/>
  <c r="P193" i="10"/>
  <c r="Q193" i="10" s="1"/>
  <c r="K193" i="10"/>
  <c r="L193" i="10" s="1"/>
  <c r="M193" i="10" s="1"/>
  <c r="CY193" i="10"/>
  <c r="CX193" i="10"/>
  <c r="CW193" i="10"/>
  <c r="CV193" i="10"/>
  <c r="CZ193" i="10" s="1"/>
  <c r="CZ264" i="10" s="1"/>
  <c r="CT193" i="10"/>
  <c r="CS193" i="10"/>
  <c r="CR193" i="10"/>
  <c r="CQ193" i="10"/>
  <c r="CU193" i="10" s="1"/>
  <c r="CU264" i="10" s="1"/>
  <c r="CO193" i="10"/>
  <c r="CN193" i="10"/>
  <c r="CM193" i="10"/>
  <c r="CL193" i="10"/>
  <c r="CP193" i="10" s="1"/>
  <c r="CP264" i="10" s="1"/>
  <c r="CG193" i="10"/>
  <c r="CB193" i="10"/>
  <c r="CC193" i="10" s="1"/>
  <c r="BW193" i="10"/>
  <c r="BS193" i="10"/>
  <c r="BR193" i="10"/>
  <c r="BM193" i="10"/>
  <c r="BL193" i="10"/>
  <c r="BH193" i="10"/>
  <c r="BI193" i="10" s="1"/>
  <c r="BG193" i="10"/>
  <c r="BC193" i="10"/>
  <c r="BD193" i="10" s="1"/>
  <c r="BE193" i="10" s="1"/>
  <c r="BB193" i="10"/>
  <c r="AY193" i="10"/>
  <c r="AX193" i="10"/>
  <c r="AW193" i="10"/>
  <c r="AS193" i="10"/>
  <c r="AT193" i="10" s="1"/>
  <c r="AR193" i="10"/>
  <c r="AN193" i="10"/>
  <c r="AO193" i="10" s="1"/>
  <c r="AM193" i="10"/>
  <c r="AJ193" i="10"/>
  <c r="AK193" i="10" s="1"/>
  <c r="R189" i="10"/>
  <c r="Q189" i="10"/>
  <c r="P189" i="10"/>
  <c r="O189" i="10"/>
  <c r="M189" i="10"/>
  <c r="L189" i="10"/>
  <c r="K189" i="10"/>
  <c r="J189" i="10"/>
  <c r="O188" i="10"/>
  <c r="J188" i="10"/>
  <c r="CD169" i="10"/>
  <c r="CC169" i="10"/>
  <c r="CB169" i="10"/>
  <c r="BZ169" i="10"/>
  <c r="BO169" i="10"/>
  <c r="BN169" i="10"/>
  <c r="BD169" i="10"/>
  <c r="BC169" i="10"/>
  <c r="BA169" i="10"/>
  <c r="AZ169" i="10"/>
  <c r="AY169" i="10"/>
  <c r="AU169" i="10"/>
  <c r="AO169" i="10"/>
  <c r="AL169" i="10"/>
  <c r="AK169" i="10"/>
  <c r="AJ169" i="10"/>
  <c r="AI169" i="10"/>
  <c r="AG169" i="10"/>
  <c r="AF169" i="10"/>
  <c r="AE169" i="10"/>
  <c r="AD169" i="10"/>
  <c r="AB169" i="10"/>
  <c r="AA169" i="10"/>
  <c r="Z169" i="10"/>
  <c r="Y169" i="10"/>
  <c r="W169" i="10"/>
  <c r="V169" i="10"/>
  <c r="U169" i="10"/>
  <c r="T169" i="10"/>
  <c r="Q169" i="10"/>
  <c r="P169" i="10"/>
  <c r="O169" i="10"/>
  <c r="M169" i="10"/>
  <c r="L169" i="10"/>
  <c r="K169" i="10"/>
  <c r="J169" i="10"/>
  <c r="AE168" i="10"/>
  <c r="CD167" i="10"/>
  <c r="CC167" i="10"/>
  <c r="CD168" i="10" s="1"/>
  <c r="CB167" i="10"/>
  <c r="CC168" i="10" s="1"/>
  <c r="BZ167" i="10"/>
  <c r="BO167" i="10"/>
  <c r="BN167" i="10"/>
  <c r="BO168" i="10" s="1"/>
  <c r="BD167" i="10"/>
  <c r="BC167" i="10"/>
  <c r="BD168" i="10" s="1"/>
  <c r="BA167" i="10"/>
  <c r="AZ167" i="10"/>
  <c r="AY167" i="10"/>
  <c r="AZ168" i="10" s="1"/>
  <c r="AU167" i="10"/>
  <c r="AO167" i="10"/>
  <c r="AL167" i="10"/>
  <c r="AK167" i="10"/>
  <c r="AJ167" i="10"/>
  <c r="AK168" i="10" s="1"/>
  <c r="AI167" i="10"/>
  <c r="AG167" i="10"/>
  <c r="AF167" i="10"/>
  <c r="AF168" i="10" s="1"/>
  <c r="AE167" i="10"/>
  <c r="AD167" i="10"/>
  <c r="AB167" i="10"/>
  <c r="AA167" i="10"/>
  <c r="Z167" i="10"/>
  <c r="Y167" i="10"/>
  <c r="W167" i="10"/>
  <c r="V167" i="10"/>
  <c r="U167" i="10"/>
  <c r="T167" i="10"/>
  <c r="R167" i="10"/>
  <c r="Q167" i="10"/>
  <c r="P167" i="10"/>
  <c r="O167" i="10"/>
  <c r="M167" i="10"/>
  <c r="L167" i="10"/>
  <c r="K167" i="10"/>
  <c r="J167" i="10"/>
  <c r="M160" i="10"/>
  <c r="L160" i="10"/>
  <c r="K160" i="10"/>
  <c r="CJ160" i="10"/>
  <c r="CI160" i="10"/>
  <c r="CH160" i="10"/>
  <c r="CE160" i="10"/>
  <c r="CD160" i="10"/>
  <c r="CC160" i="10"/>
  <c r="BZ160" i="10"/>
  <c r="BY160" i="10"/>
  <c r="BX160" i="10"/>
  <c r="BU160" i="10"/>
  <c r="BT160" i="10"/>
  <c r="BS160" i="10"/>
  <c r="BP160" i="10"/>
  <c r="BO160" i="10"/>
  <c r="BN160" i="10"/>
  <c r="BK160" i="10"/>
  <c r="BJ160" i="10"/>
  <c r="BI160" i="10"/>
  <c r="BF160" i="10"/>
  <c r="BE160" i="10"/>
  <c r="BD160" i="10"/>
  <c r="BA160" i="10"/>
  <c r="AZ160" i="10"/>
  <c r="AY160" i="10"/>
  <c r="AV160" i="10"/>
  <c r="AU160" i="10"/>
  <c r="AT160" i="10"/>
  <c r="AQ160" i="10"/>
  <c r="AP160" i="10"/>
  <c r="AO160" i="10"/>
  <c r="AL160" i="10"/>
  <c r="AK160" i="10"/>
  <c r="AJ160" i="10"/>
  <c r="AG160" i="10"/>
  <c r="AF160" i="10"/>
  <c r="AE160" i="10"/>
  <c r="AB160" i="10"/>
  <c r="AA160" i="10"/>
  <c r="Z160" i="10"/>
  <c r="W160" i="10"/>
  <c r="V160" i="10"/>
  <c r="U160" i="10"/>
  <c r="R160" i="10"/>
  <c r="Q160" i="10"/>
  <c r="P160" i="10"/>
  <c r="CJ159" i="10"/>
  <c r="CI159" i="10"/>
  <c r="CH159" i="10"/>
  <c r="CE159" i="10"/>
  <c r="CD159" i="10"/>
  <c r="CC159" i="10"/>
  <c r="BZ159" i="10"/>
  <c r="BY159" i="10"/>
  <c r="BX159" i="10"/>
  <c r="BU159" i="10"/>
  <c r="BT159" i="10"/>
  <c r="BS159" i="10"/>
  <c r="BP159" i="10"/>
  <c r="BO159" i="10"/>
  <c r="BN159" i="10"/>
  <c r="BK159" i="10"/>
  <c r="BJ159" i="10"/>
  <c r="BI159" i="10"/>
  <c r="BF159" i="10"/>
  <c r="BE159" i="10"/>
  <c r="BD159" i="10"/>
  <c r="BA159" i="10"/>
  <c r="AZ159" i="10"/>
  <c r="AY159" i="10"/>
  <c r="AV159" i="10"/>
  <c r="AU159" i="10"/>
  <c r="AT159" i="10"/>
  <c r="AQ159" i="10"/>
  <c r="AP159" i="10"/>
  <c r="AO159" i="10"/>
  <c r="AL159" i="10"/>
  <c r="AK159" i="10"/>
  <c r="AJ159" i="10"/>
  <c r="AG159" i="10"/>
  <c r="AF159" i="10"/>
  <c r="AE159" i="10"/>
  <c r="AB159" i="10"/>
  <c r="AA159" i="10"/>
  <c r="Z159" i="10"/>
  <c r="W159" i="10"/>
  <c r="V159" i="10"/>
  <c r="U159" i="10"/>
  <c r="R159" i="10"/>
  <c r="Q159" i="10"/>
  <c r="P159" i="10"/>
  <c r="M159" i="10"/>
  <c r="L159" i="10"/>
  <c r="K159" i="10"/>
  <c r="J157" i="10"/>
  <c r="Z157" i="10"/>
  <c r="Y157" i="10"/>
  <c r="X157" i="10"/>
  <c r="V157" i="10"/>
  <c r="U157" i="10"/>
  <c r="T157" i="10"/>
  <c r="P157" i="10"/>
  <c r="O157" i="10"/>
  <c r="N157" i="10"/>
  <c r="M157" i="10"/>
  <c r="L157" i="10"/>
  <c r="K157" i="10"/>
  <c r="M156" i="10"/>
  <c r="L156" i="10"/>
  <c r="K156" i="10"/>
  <c r="CJ156" i="10"/>
  <c r="CI156" i="10"/>
  <c r="CH156" i="10"/>
  <c r="CE156" i="10"/>
  <c r="CD156" i="10"/>
  <c r="CC156" i="10"/>
  <c r="BZ156" i="10"/>
  <c r="BY156" i="10"/>
  <c r="BX156" i="10"/>
  <c r="BU156" i="10"/>
  <c r="BT156" i="10"/>
  <c r="BS156" i="10"/>
  <c r="BP156" i="10"/>
  <c r="BO156" i="10"/>
  <c r="BN156" i="10"/>
  <c r="BK156" i="10"/>
  <c r="BJ156" i="10"/>
  <c r="BI156" i="10"/>
  <c r="BF156" i="10"/>
  <c r="BE156" i="10"/>
  <c r="BD156" i="10"/>
  <c r="BA156" i="10"/>
  <c r="AZ156" i="10"/>
  <c r="AY156" i="10"/>
  <c r="AV156" i="10"/>
  <c r="AU156" i="10"/>
  <c r="AT156" i="10"/>
  <c r="AQ156" i="10"/>
  <c r="AP156" i="10"/>
  <c r="AO156" i="10"/>
  <c r="AL156" i="10"/>
  <c r="AK156" i="10"/>
  <c r="AJ156" i="10"/>
  <c r="AG156" i="10"/>
  <c r="AF156" i="10"/>
  <c r="AE156" i="10"/>
  <c r="AC156" i="10"/>
  <c r="AB156" i="10"/>
  <c r="AA156" i="10"/>
  <c r="Z156" i="10"/>
  <c r="Y156" i="10"/>
  <c r="W156" i="10"/>
  <c r="V156" i="10"/>
  <c r="U156" i="10"/>
  <c r="R156" i="10"/>
  <c r="Q156" i="10"/>
  <c r="P156" i="10"/>
  <c r="N155" i="10"/>
  <c r="CL149" i="10"/>
  <c r="CJ149" i="10"/>
  <c r="CJ162" i="10" s="1"/>
  <c r="CI149" i="10"/>
  <c r="CI162" i="10" s="1"/>
  <c r="CH149" i="10"/>
  <c r="CG149" i="10"/>
  <c r="CE149" i="10"/>
  <c r="CE162" i="10" s="1"/>
  <c r="CD149" i="10"/>
  <c r="CC149" i="10"/>
  <c r="CB149" i="10"/>
  <c r="BZ149" i="10"/>
  <c r="BY149" i="10"/>
  <c r="BX149" i="10"/>
  <c r="BX162" i="10" s="1"/>
  <c r="BW149" i="10"/>
  <c r="BU149" i="10"/>
  <c r="BT149" i="10"/>
  <c r="BT162" i="10" s="1"/>
  <c r="BS149" i="10"/>
  <c r="BS162" i="10" s="1"/>
  <c r="BR149" i="10"/>
  <c r="BP149" i="10"/>
  <c r="BP162" i="10" s="1"/>
  <c r="BO149" i="10"/>
  <c r="BO162" i="10" s="1"/>
  <c r="BN149" i="10"/>
  <c r="BM149" i="10"/>
  <c r="BK149" i="10"/>
  <c r="BJ149" i="10"/>
  <c r="BI149" i="10"/>
  <c r="BH149" i="10"/>
  <c r="BH162" i="10" s="1"/>
  <c r="BF149" i="10"/>
  <c r="BE149" i="10"/>
  <c r="BD149" i="10"/>
  <c r="BD162" i="10" s="1"/>
  <c r="BC149" i="10"/>
  <c r="BC162" i="10" s="1"/>
  <c r="BA149" i="10"/>
  <c r="AZ149" i="10"/>
  <c r="AZ162" i="10" s="1"/>
  <c r="AY149" i="10"/>
  <c r="AY162" i="10" s="1"/>
  <c r="AX149" i="10"/>
  <c r="AV149" i="10"/>
  <c r="AU149" i="10"/>
  <c r="AT149" i="10"/>
  <c r="AS149" i="10"/>
  <c r="AQ149" i="10"/>
  <c r="AP149" i="10"/>
  <c r="AO149" i="10"/>
  <c r="AN149" i="10"/>
  <c r="AN162" i="10" s="1"/>
  <c r="AL149" i="10"/>
  <c r="AK149" i="10"/>
  <c r="AJ149" i="10"/>
  <c r="AJ162" i="10" s="1"/>
  <c r="AI149" i="10"/>
  <c r="AI162" i="10" s="1"/>
  <c r="AG149" i="10"/>
  <c r="AF149" i="10"/>
  <c r="AE149" i="10"/>
  <c r="AD149" i="10"/>
  <c r="AB149" i="10"/>
  <c r="AB162" i="10" s="1"/>
  <c r="AA149" i="10"/>
  <c r="Z149" i="10"/>
  <c r="Y149" i="10"/>
  <c r="W149" i="10"/>
  <c r="W162" i="10" s="1"/>
  <c r="V149" i="10"/>
  <c r="U149" i="10"/>
  <c r="T149" i="10"/>
  <c r="T162" i="10" s="1"/>
  <c r="R149" i="10"/>
  <c r="Q149" i="10"/>
  <c r="P149" i="10"/>
  <c r="O149" i="10"/>
  <c r="M149" i="10"/>
  <c r="L149" i="10"/>
  <c r="L162" i="10" s="1"/>
  <c r="K149" i="10"/>
  <c r="J149" i="10"/>
  <c r="CK147" i="10"/>
  <c r="CK146" i="10"/>
  <c r="CK145" i="10"/>
  <c r="CL159" i="10" s="1"/>
  <c r="CF147" i="10"/>
  <c r="CF146" i="10"/>
  <c r="CF145" i="10"/>
  <c r="CG159" i="10" s="1"/>
  <c r="CA147" i="10"/>
  <c r="CA146" i="10"/>
  <c r="CA145" i="10"/>
  <c r="CB159" i="10" s="1"/>
  <c r="BV147" i="10"/>
  <c r="BV146" i="10"/>
  <c r="BV160" i="10" s="1"/>
  <c r="BV145" i="10"/>
  <c r="BQ147" i="10"/>
  <c r="BQ146" i="10"/>
  <c r="BR160" i="10" s="1"/>
  <c r="BQ145" i="10"/>
  <c r="BR159" i="10" s="1"/>
  <c r="BL147" i="10"/>
  <c r="BL146" i="10"/>
  <c r="BL145" i="10"/>
  <c r="BM159" i="10" s="1"/>
  <c r="BG147" i="10"/>
  <c r="BG146" i="10"/>
  <c r="BG145" i="10"/>
  <c r="BH159" i="10" s="1"/>
  <c r="BB147" i="10"/>
  <c r="BB146" i="10"/>
  <c r="BC156" i="10" s="1"/>
  <c r="BB145" i="10"/>
  <c r="AW147" i="10"/>
  <c r="AW146" i="10"/>
  <c r="AW145" i="10"/>
  <c r="AX159" i="10" s="1"/>
  <c r="AR147" i="10"/>
  <c r="AR146" i="10"/>
  <c r="AR145" i="10"/>
  <c r="AS159" i="10" s="1"/>
  <c r="AM147" i="10"/>
  <c r="AM146" i="10"/>
  <c r="AM145" i="10"/>
  <c r="AN159" i="10" s="1"/>
  <c r="AH147" i="10"/>
  <c r="AH146" i="10"/>
  <c r="AI156" i="10" s="1"/>
  <c r="AH145" i="10"/>
  <c r="AC147" i="10"/>
  <c r="AC146" i="10"/>
  <c r="AD156" i="10" s="1"/>
  <c r="AC145" i="10"/>
  <c r="AC144" i="10"/>
  <c r="AC143" i="10"/>
  <c r="AC142" i="10"/>
  <c r="AC141" i="10"/>
  <c r="AC149" i="10" s="1"/>
  <c r="X147" i="10"/>
  <c r="X146" i="10"/>
  <c r="X145" i="10"/>
  <c r="X144" i="10"/>
  <c r="Y159" i="10" s="1"/>
  <c r="X143" i="10"/>
  <c r="X142" i="10"/>
  <c r="X141" i="10"/>
  <c r="X149" i="10" s="1"/>
  <c r="S147" i="10"/>
  <c r="S146" i="10"/>
  <c r="S145" i="10"/>
  <c r="S144" i="10"/>
  <c r="T159" i="10" s="1"/>
  <c r="S143" i="10"/>
  <c r="S142" i="10"/>
  <c r="S149" i="10" s="1"/>
  <c r="S141" i="10"/>
  <c r="N147" i="10"/>
  <c r="N146" i="10"/>
  <c r="O156" i="10" s="1"/>
  <c r="N145" i="10"/>
  <c r="N144" i="10"/>
  <c r="N143" i="10"/>
  <c r="N142" i="10"/>
  <c r="N141" i="10"/>
  <c r="N149" i="10" s="1"/>
  <c r="CM147" i="10"/>
  <c r="CM146" i="10"/>
  <c r="CM145" i="10"/>
  <c r="CM159" i="10" s="1"/>
  <c r="CK143" i="10"/>
  <c r="CK142" i="10"/>
  <c r="CK141" i="10"/>
  <c r="CK149" i="10" s="1"/>
  <c r="CF143" i="10"/>
  <c r="CF142" i="10"/>
  <c r="CF141" i="10"/>
  <c r="CA143" i="10"/>
  <c r="CA142" i="10"/>
  <c r="CA141" i="10"/>
  <c r="BV143" i="10"/>
  <c r="BV149" i="10" s="1"/>
  <c r="BV142" i="10"/>
  <c r="BV141" i="10"/>
  <c r="BQ143" i="10"/>
  <c r="BQ142" i="10"/>
  <c r="BQ141" i="10"/>
  <c r="BQ149" i="10" s="1"/>
  <c r="BL143" i="10"/>
  <c r="BL142" i="10"/>
  <c r="BL141" i="10"/>
  <c r="BG143" i="10"/>
  <c r="BG142" i="10"/>
  <c r="BG141" i="10"/>
  <c r="BB143" i="10"/>
  <c r="BB142" i="10"/>
  <c r="BB141" i="10"/>
  <c r="AW143" i="10"/>
  <c r="AW142" i="10"/>
  <c r="AW141" i="10"/>
  <c r="AW149" i="10" s="1"/>
  <c r="AR143" i="10"/>
  <c r="AR142" i="10"/>
  <c r="AR141" i="10"/>
  <c r="AM143" i="10"/>
  <c r="AM142" i="10"/>
  <c r="AM141" i="10"/>
  <c r="AM156" i="10" s="1"/>
  <c r="AH143" i="10"/>
  <c r="AH149" i="10" s="1"/>
  <c r="AH142" i="10"/>
  <c r="AH141" i="10"/>
  <c r="AH156" i="10" s="1"/>
  <c r="CO142" i="10"/>
  <c r="CP142" i="10" s="1"/>
  <c r="CQ142" i="10" s="1"/>
  <c r="CR142" i="10" s="1"/>
  <c r="CS142" i="10" s="1"/>
  <c r="CT142" i="10" s="1"/>
  <c r="CU142" i="10" s="1"/>
  <c r="CV142" i="10" s="1"/>
  <c r="CW142" i="10" s="1"/>
  <c r="CX142" i="10" s="1"/>
  <c r="CY142" i="10" s="1"/>
  <c r="CZ142" i="10" s="1"/>
  <c r="CM142" i="10"/>
  <c r="CN142" i="10" s="1"/>
  <c r="CM141" i="10"/>
  <c r="CD139" i="10"/>
  <c r="CD150" i="10" s="1"/>
  <c r="BZ139" i="10"/>
  <c r="BZ150" i="10" s="1"/>
  <c r="CK137" i="10"/>
  <c r="CK136" i="10"/>
  <c r="CF137" i="10"/>
  <c r="CF136" i="10"/>
  <c r="CA137" i="10"/>
  <c r="CA136" i="10"/>
  <c r="BV137" i="10"/>
  <c r="BV136" i="10"/>
  <c r="BQ137" i="10"/>
  <c r="BQ136" i="10"/>
  <c r="BL137" i="10"/>
  <c r="BL136" i="10"/>
  <c r="BG137" i="10"/>
  <c r="BG136" i="10"/>
  <c r="BB137" i="10"/>
  <c r="BB136" i="10"/>
  <c r="AW137" i="10"/>
  <c r="AW136" i="10"/>
  <c r="AR137" i="10"/>
  <c r="AR136" i="10"/>
  <c r="AM137" i="10"/>
  <c r="AM136" i="10"/>
  <c r="AH137" i="10"/>
  <c r="AH136" i="10"/>
  <c r="AC137" i="10"/>
  <c r="AC136" i="10"/>
  <c r="X137" i="10"/>
  <c r="X136" i="10"/>
  <c r="X175" i="10" s="1"/>
  <c r="S137" i="10"/>
  <c r="S136" i="10"/>
  <c r="N137" i="10"/>
  <c r="N136" i="10"/>
  <c r="CN137" i="10"/>
  <c r="CO137" i="10" s="1"/>
  <c r="CP137" i="10" s="1"/>
  <c r="CQ137" i="10" s="1"/>
  <c r="CR137" i="10" s="1"/>
  <c r="CS137" i="10" s="1"/>
  <c r="CT137" i="10" s="1"/>
  <c r="CU137" i="10" s="1"/>
  <c r="CV137" i="10" s="1"/>
  <c r="CW137" i="10" s="1"/>
  <c r="CX137" i="10" s="1"/>
  <c r="CY137" i="10" s="1"/>
  <c r="CZ137" i="10" s="1"/>
  <c r="CM137" i="10"/>
  <c r="CD134" i="10"/>
  <c r="BZ134" i="10"/>
  <c r="AN134" i="10"/>
  <c r="AN139" i="10" s="1"/>
  <c r="AN150" i="10" s="1"/>
  <c r="AJ134" i="10"/>
  <c r="AJ139" i="10" s="1"/>
  <c r="AJ150" i="10" s="1"/>
  <c r="AF134" i="10"/>
  <c r="AF139" i="10" s="1"/>
  <c r="AF150" i="10" s="1"/>
  <c r="T134" i="10"/>
  <c r="T139" i="10" s="1"/>
  <c r="T150" i="10" s="1"/>
  <c r="P134" i="10"/>
  <c r="P139" i="10" s="1"/>
  <c r="P150" i="10" s="1"/>
  <c r="L134" i="10"/>
  <c r="L139" i="10" s="1"/>
  <c r="L150" i="10" s="1"/>
  <c r="CL132" i="10"/>
  <c r="CL250" i="10" s="1"/>
  <c r="CM250" i="10" s="1"/>
  <c r="CN250" i="10" s="1"/>
  <c r="CO250" i="10" s="1"/>
  <c r="CQ250" i="10" s="1"/>
  <c r="CR250" i="10" s="1"/>
  <c r="CS250" i="10" s="1"/>
  <c r="CT250" i="10" s="1"/>
  <c r="CV250" i="10" s="1"/>
  <c r="CW250" i="10" s="1"/>
  <c r="CX250" i="10" s="1"/>
  <c r="CY250" i="10" s="1"/>
  <c r="CJ132" i="10"/>
  <c r="CI132" i="10"/>
  <c r="CI250" i="10" s="1"/>
  <c r="CH132" i="10"/>
  <c r="CH250" i="10" s="1"/>
  <c r="CG132" i="10"/>
  <c r="CG250" i="10" s="1"/>
  <c r="CF132" i="10"/>
  <c r="CE132" i="10"/>
  <c r="CE250" i="10" s="1"/>
  <c r="CD132" i="10"/>
  <c r="CD250" i="10" s="1"/>
  <c r="CC132" i="10"/>
  <c r="CC250" i="10" s="1"/>
  <c r="CB132" i="10"/>
  <c r="CB250" i="10" s="1"/>
  <c r="CA132" i="10"/>
  <c r="BZ132" i="10"/>
  <c r="BZ250" i="10" s="1"/>
  <c r="BY132" i="10"/>
  <c r="BY250" i="10" s="1"/>
  <c r="BX132" i="10"/>
  <c r="BX250" i="10" s="1"/>
  <c r="BW132" i="10"/>
  <c r="BW250" i="10" s="1"/>
  <c r="BU132" i="10"/>
  <c r="BU134" i="10" s="1"/>
  <c r="BU139" i="10" s="1"/>
  <c r="BU150" i="10" s="1"/>
  <c r="BU152" i="10" s="1"/>
  <c r="BT132" i="10"/>
  <c r="BT250" i="10" s="1"/>
  <c r="BS132" i="10"/>
  <c r="BS250" i="10" s="1"/>
  <c r="BR132" i="10"/>
  <c r="BR250" i="10" s="1"/>
  <c r="BP132" i="10"/>
  <c r="BP250" i="10" s="1"/>
  <c r="BO132" i="10"/>
  <c r="BO250" i="10" s="1"/>
  <c r="BN132" i="10"/>
  <c r="BN250" i="10" s="1"/>
  <c r="BM132" i="10"/>
  <c r="BM250" i="10" s="1"/>
  <c r="BK132" i="10"/>
  <c r="BK250" i="10" s="1"/>
  <c r="BJ132" i="10"/>
  <c r="BJ250" i="10" s="1"/>
  <c r="BI132" i="10"/>
  <c r="BI250" i="10" s="1"/>
  <c r="BH132" i="10"/>
  <c r="BH250" i="10" s="1"/>
  <c r="BG132" i="10"/>
  <c r="BF132" i="10"/>
  <c r="BE132" i="10"/>
  <c r="BE250" i="10" s="1"/>
  <c r="BD132" i="10"/>
  <c r="BD250" i="10" s="1"/>
  <c r="BC132" i="10"/>
  <c r="BA132" i="10"/>
  <c r="AZ132" i="10"/>
  <c r="AZ250" i="10" s="1"/>
  <c r="AY132" i="10"/>
  <c r="AY250" i="10" s="1"/>
  <c r="AX132" i="10"/>
  <c r="AX250" i="10" s="1"/>
  <c r="AV132" i="10"/>
  <c r="AV250" i="10" s="1"/>
  <c r="AU132" i="10"/>
  <c r="AQ132" i="10"/>
  <c r="AP132" i="10"/>
  <c r="AP250" i="10" s="1"/>
  <c r="AO132" i="10"/>
  <c r="AO134" i="10" s="1"/>
  <c r="AO139" i="10" s="1"/>
  <c r="AO150" i="10" s="1"/>
  <c r="AN132" i="10"/>
  <c r="AM132" i="10"/>
  <c r="AL132" i="10"/>
  <c r="AK132" i="10"/>
  <c r="AK134" i="10" s="1"/>
  <c r="AK139" i="10" s="1"/>
  <c r="AK150" i="10" s="1"/>
  <c r="AJ132" i="10"/>
  <c r="AI132" i="10"/>
  <c r="AG132" i="10"/>
  <c r="AG134" i="10" s="1"/>
  <c r="AG139" i="10" s="1"/>
  <c r="AG150" i="10" s="1"/>
  <c r="AF132" i="10"/>
  <c r="AE132" i="10"/>
  <c r="AD132" i="10"/>
  <c r="AC132" i="10"/>
  <c r="AB132" i="10"/>
  <c r="AA132" i="10"/>
  <c r="Z132" i="10"/>
  <c r="Y132" i="10"/>
  <c r="Y134" i="10" s="1"/>
  <c r="Y139" i="10" s="1"/>
  <c r="Y150" i="10" s="1"/>
  <c r="W132" i="10"/>
  <c r="V132" i="10"/>
  <c r="U132" i="10"/>
  <c r="T132" i="10"/>
  <c r="R132" i="10"/>
  <c r="Q132" i="10"/>
  <c r="P132" i="10"/>
  <c r="O132" i="10"/>
  <c r="N132" i="10"/>
  <c r="M132" i="10"/>
  <c r="M134" i="10" s="1"/>
  <c r="M139" i="10" s="1"/>
  <c r="M150" i="10" s="1"/>
  <c r="L132" i="10"/>
  <c r="K132" i="10"/>
  <c r="K134" i="10" s="1"/>
  <c r="K139" i="10" s="1"/>
  <c r="K150" i="10" s="1"/>
  <c r="J132" i="10"/>
  <c r="J134" i="10" s="1"/>
  <c r="J139" i="10" s="1"/>
  <c r="CK131" i="10"/>
  <c r="CJ131" i="10"/>
  <c r="CF131" i="10"/>
  <c r="CF130" i="10"/>
  <c r="CF129" i="10"/>
  <c r="CA131" i="10"/>
  <c r="CA130" i="10"/>
  <c r="CA129" i="10"/>
  <c r="CA134" i="10" s="1"/>
  <c r="CA139" i="10" s="1"/>
  <c r="BV131" i="10"/>
  <c r="BV129" i="10"/>
  <c r="BQ131" i="10"/>
  <c r="BQ130" i="10"/>
  <c r="BQ129" i="10"/>
  <c r="BM131" i="10"/>
  <c r="BM134" i="10" s="1"/>
  <c r="BM139" i="10" s="1"/>
  <c r="BM150" i="10" s="1"/>
  <c r="BM152" i="10" s="1"/>
  <c r="BL131" i="10"/>
  <c r="BG131" i="10"/>
  <c r="BG129" i="10"/>
  <c r="BB131" i="10"/>
  <c r="BB130" i="10"/>
  <c r="BB129" i="10"/>
  <c r="AV131" i="10"/>
  <c r="AW131" i="10" s="1"/>
  <c r="AX131" i="10" s="1"/>
  <c r="AY131" i="10" s="1"/>
  <c r="AR131" i="10"/>
  <c r="AR129" i="10"/>
  <c r="AM131" i="10"/>
  <c r="AM130" i="10"/>
  <c r="AM129" i="10"/>
  <c r="AH131" i="10"/>
  <c r="AH130" i="10"/>
  <c r="AH129" i="10"/>
  <c r="AC131" i="10"/>
  <c r="AC130" i="10"/>
  <c r="X131" i="10"/>
  <c r="X130" i="10"/>
  <c r="S131" i="10"/>
  <c r="S130" i="10"/>
  <c r="S129" i="10"/>
  <c r="Q131" i="10"/>
  <c r="Q134" i="10" s="1"/>
  <c r="Q139" i="10" s="1"/>
  <c r="Q150" i="10" s="1"/>
  <c r="N131" i="10"/>
  <c r="N130" i="10"/>
  <c r="N129" i="10"/>
  <c r="CL130" i="10"/>
  <c r="CK130" i="10"/>
  <c r="CJ130" i="10"/>
  <c r="CJ169" i="10" s="1"/>
  <c r="CI130" i="10"/>
  <c r="CH130" i="10"/>
  <c r="CG130" i="10"/>
  <c r="CE130" i="10"/>
  <c r="CE169" i="10" s="1"/>
  <c r="BY130" i="10"/>
  <c r="BX130" i="10"/>
  <c r="BW130" i="10"/>
  <c r="BU130" i="10"/>
  <c r="BT130" i="10"/>
  <c r="BS130" i="10"/>
  <c r="BR130" i="10"/>
  <c r="BP130" i="10"/>
  <c r="BP169" i="10" s="1"/>
  <c r="BM130" i="10"/>
  <c r="BK130" i="10"/>
  <c r="BJ130" i="10"/>
  <c r="BJ167" i="10" s="1"/>
  <c r="BI130" i="10"/>
  <c r="BH130" i="10"/>
  <c r="BF130" i="10"/>
  <c r="BE130" i="10"/>
  <c r="AX130" i="10"/>
  <c r="AV130" i="10"/>
  <c r="AV134" i="10" s="1"/>
  <c r="AV139" i="10" s="1"/>
  <c r="AV150" i="10" s="1"/>
  <c r="AT130" i="10"/>
  <c r="AT169" i="10" s="1"/>
  <c r="AS130" i="10"/>
  <c r="AQ130" i="10"/>
  <c r="AR130" i="10" s="1"/>
  <c r="AP130" i="10"/>
  <c r="AN130" i="10"/>
  <c r="AN169" i="10" s="1"/>
  <c r="CM131" i="10"/>
  <c r="CN131" i="10" s="1"/>
  <c r="CO131" i="10" s="1"/>
  <c r="CP131" i="10" s="1"/>
  <c r="CQ131" i="10" s="1"/>
  <c r="CR131" i="10" s="1"/>
  <c r="CS131" i="10" s="1"/>
  <c r="CT131" i="10" s="1"/>
  <c r="CU131" i="10" s="1"/>
  <c r="CV131" i="10" s="1"/>
  <c r="CW131" i="10" s="1"/>
  <c r="CX131" i="10" s="1"/>
  <c r="CY131" i="10" s="1"/>
  <c r="CZ131" i="10" s="1"/>
  <c r="CW130" i="10"/>
  <c r="CR130" i="10"/>
  <c r="CM130" i="10"/>
  <c r="CK129" i="10"/>
  <c r="BL129" i="10"/>
  <c r="AW129" i="10"/>
  <c r="AB129" i="10"/>
  <c r="AD200" i="10" s="1"/>
  <c r="W129" i="10"/>
  <c r="CL126" i="10"/>
  <c r="CH126" i="10"/>
  <c r="CD126" i="10"/>
  <c r="CD152" i="10" s="1"/>
  <c r="BZ126" i="10"/>
  <c r="BZ152" i="10" s="1"/>
  <c r="BJ126" i="10"/>
  <c r="BF126" i="10"/>
  <c r="AX126" i="10"/>
  <c r="AT126" i="10"/>
  <c r="AP126" i="10"/>
  <c r="AL126" i="10"/>
  <c r="AD126" i="10"/>
  <c r="Z126" i="10"/>
  <c r="V126" i="10"/>
  <c r="J126" i="10"/>
  <c r="CK124" i="10"/>
  <c r="CK123" i="10"/>
  <c r="CK122" i="10"/>
  <c r="CK121" i="10"/>
  <c r="CF124" i="10"/>
  <c r="CF123" i="10"/>
  <c r="CF122" i="10"/>
  <c r="CF121" i="10"/>
  <c r="CA124" i="10"/>
  <c r="CA123" i="10"/>
  <c r="CA122" i="10"/>
  <c r="CA121" i="10"/>
  <c r="BV124" i="10"/>
  <c r="BV123" i="10"/>
  <c r="BV122" i="10"/>
  <c r="BV121" i="10"/>
  <c r="BQ124" i="10"/>
  <c r="BQ123" i="10"/>
  <c r="BQ122" i="10"/>
  <c r="BQ121" i="10"/>
  <c r="BO124" i="10"/>
  <c r="BO249" i="10" s="1"/>
  <c r="BN124" i="10"/>
  <c r="BN249" i="10" s="1"/>
  <c r="BM124" i="10"/>
  <c r="BM249" i="10" s="1"/>
  <c r="BL124" i="10"/>
  <c r="BK124" i="10"/>
  <c r="BK249" i="10" s="1"/>
  <c r="BJ124" i="10"/>
  <c r="BJ249" i="10" s="1"/>
  <c r="BI124" i="10"/>
  <c r="BI249" i="10" s="1"/>
  <c r="BH124" i="10"/>
  <c r="BH249" i="10" s="1"/>
  <c r="BF124" i="10"/>
  <c r="BF249" i="10" s="1"/>
  <c r="BE124" i="10"/>
  <c r="BE249" i="10" s="1"/>
  <c r="BD124" i="10"/>
  <c r="BD249" i="10" s="1"/>
  <c r="BC124" i="10"/>
  <c r="BC249" i="10" s="1"/>
  <c r="BA124" i="10"/>
  <c r="BA249" i="10" s="1"/>
  <c r="AW124" i="10"/>
  <c r="AW123" i="10"/>
  <c r="AW122" i="10"/>
  <c r="AW121" i="10"/>
  <c r="AR124" i="10"/>
  <c r="AR123" i="10"/>
  <c r="AR122" i="10"/>
  <c r="AR121" i="10"/>
  <c r="AM124" i="10"/>
  <c r="AM123" i="10"/>
  <c r="AM122" i="10"/>
  <c r="AM121" i="10"/>
  <c r="AH124" i="10"/>
  <c r="AC124" i="10"/>
  <c r="X124" i="10"/>
  <c r="S124" i="10"/>
  <c r="N124" i="10"/>
  <c r="BL123" i="10"/>
  <c r="BL122" i="10"/>
  <c r="BL121" i="10"/>
  <c r="BG123" i="10"/>
  <c r="BG122" i="10"/>
  <c r="BG121" i="10"/>
  <c r="BB123" i="10"/>
  <c r="BB122" i="10"/>
  <c r="BB121" i="10"/>
  <c r="CN123" i="10"/>
  <c r="CO123" i="10" s="1"/>
  <c r="CP123" i="10" s="1"/>
  <c r="CQ123" i="10" s="1"/>
  <c r="CR123" i="10" s="1"/>
  <c r="CS123" i="10" s="1"/>
  <c r="CT123" i="10" s="1"/>
  <c r="CU123" i="10" s="1"/>
  <c r="CV123" i="10" s="1"/>
  <c r="CW123" i="10" s="1"/>
  <c r="CX123" i="10" s="1"/>
  <c r="CY123" i="10" s="1"/>
  <c r="CZ123" i="10" s="1"/>
  <c r="CM123" i="10"/>
  <c r="CM122" i="10"/>
  <c r="CN122" i="10" s="1"/>
  <c r="CO122" i="10" s="1"/>
  <c r="CP122" i="10" s="1"/>
  <c r="CQ122" i="10" s="1"/>
  <c r="CR122" i="10" s="1"/>
  <c r="CS122" i="10" s="1"/>
  <c r="CT122" i="10" s="1"/>
  <c r="CU122" i="10" s="1"/>
  <c r="CV122" i="10" s="1"/>
  <c r="CW122" i="10" s="1"/>
  <c r="CX122" i="10" s="1"/>
  <c r="CY122" i="10" s="1"/>
  <c r="CZ122" i="10" s="1"/>
  <c r="CN121" i="10"/>
  <c r="CO121" i="10" s="1"/>
  <c r="CP121" i="10" s="1"/>
  <c r="CQ121" i="10" s="1"/>
  <c r="CR121" i="10" s="1"/>
  <c r="CS121" i="10" s="1"/>
  <c r="CT121" i="10" s="1"/>
  <c r="CU121" i="10" s="1"/>
  <c r="CV121" i="10" s="1"/>
  <c r="CW121" i="10" s="1"/>
  <c r="CX121" i="10" s="1"/>
  <c r="CY121" i="10" s="1"/>
  <c r="CZ121" i="10" s="1"/>
  <c r="CM121" i="10"/>
  <c r="AH121" i="10"/>
  <c r="AC121" i="10"/>
  <c r="X121" i="10"/>
  <c r="S121" i="10"/>
  <c r="N121" i="10"/>
  <c r="CL119" i="10"/>
  <c r="CJ119" i="10"/>
  <c r="CJ126" i="10" s="1"/>
  <c r="CI119" i="10"/>
  <c r="CI126" i="10" s="1"/>
  <c r="CH119" i="10"/>
  <c r="CG119" i="10"/>
  <c r="CG126" i="10" s="1"/>
  <c r="CE119" i="10"/>
  <c r="CE126" i="10" s="1"/>
  <c r="CD119" i="10"/>
  <c r="CD170" i="10" s="1"/>
  <c r="CC119" i="10"/>
  <c r="CC126" i="10" s="1"/>
  <c r="CB119" i="10"/>
  <c r="CB126" i="10" s="1"/>
  <c r="BZ119" i="10"/>
  <c r="BZ170" i="10" s="1"/>
  <c r="BY119" i="10"/>
  <c r="BY126" i="10" s="1"/>
  <c r="BX119" i="10"/>
  <c r="BX126" i="10" s="1"/>
  <c r="BW119" i="10"/>
  <c r="BW126" i="10" s="1"/>
  <c r="BU119" i="10"/>
  <c r="BT119" i="10"/>
  <c r="BS119" i="10"/>
  <c r="BR119" i="10"/>
  <c r="BP119" i="10"/>
  <c r="BO119" i="10"/>
  <c r="BN119" i="10"/>
  <c r="BM119" i="10"/>
  <c r="BK119" i="10"/>
  <c r="BJ119" i="10"/>
  <c r="BI119" i="10"/>
  <c r="BI126" i="10" s="1"/>
  <c r="BH119" i="10"/>
  <c r="BF119" i="10"/>
  <c r="BE119" i="10"/>
  <c r="BE126" i="10" s="1"/>
  <c r="BD119" i="10"/>
  <c r="BC119" i="10"/>
  <c r="BA119" i="10"/>
  <c r="BA126" i="10" s="1"/>
  <c r="AZ119" i="10"/>
  <c r="AY119" i="10"/>
  <c r="AX119" i="10"/>
  <c r="AV119" i="10"/>
  <c r="AU119" i="10"/>
  <c r="AT119" i="10"/>
  <c r="AQ119" i="10"/>
  <c r="AP119" i="10"/>
  <c r="AO119" i="10"/>
  <c r="AO126" i="10" s="1"/>
  <c r="AN119" i="10"/>
  <c r="AN170" i="10" s="1"/>
  <c r="AL119" i="10"/>
  <c r="AK119" i="10"/>
  <c r="AK126" i="10" s="1"/>
  <c r="AK152" i="10" s="1"/>
  <c r="AJ119" i="10"/>
  <c r="AJ170" i="10" s="1"/>
  <c r="AI119" i="10"/>
  <c r="AG119" i="10"/>
  <c r="AG126" i="10" s="1"/>
  <c r="AG152" i="10" s="1"/>
  <c r="AF119" i="10"/>
  <c r="AF170" i="10" s="1"/>
  <c r="AE119" i="10"/>
  <c r="AD119" i="10"/>
  <c r="AB119" i="10"/>
  <c r="AA119" i="10"/>
  <c r="Z119" i="10"/>
  <c r="Y119" i="10"/>
  <c r="Y126" i="10" s="1"/>
  <c r="Y152" i="10" s="1"/>
  <c r="W119" i="10"/>
  <c r="V119" i="10"/>
  <c r="T119" i="10"/>
  <c r="T170" i="10" s="1"/>
  <c r="Q119" i="10"/>
  <c r="Q126" i="10" s="1"/>
  <c r="Q152" i="10" s="1"/>
  <c r="P119" i="10"/>
  <c r="P126" i="10" s="1"/>
  <c r="P152" i="10" s="1"/>
  <c r="O119" i="10"/>
  <c r="M119" i="10"/>
  <c r="M126" i="10" s="1"/>
  <c r="M152" i="10" s="1"/>
  <c r="L119" i="10"/>
  <c r="L170" i="10" s="1"/>
  <c r="K119" i="10"/>
  <c r="K170" i="10" s="1"/>
  <c r="J119" i="10"/>
  <c r="CK117" i="10"/>
  <c r="CK116" i="10"/>
  <c r="CK115" i="10"/>
  <c r="CK114" i="10"/>
  <c r="CK113" i="10"/>
  <c r="CK119" i="10" s="1"/>
  <c r="CF117" i="10"/>
  <c r="CF116" i="10"/>
  <c r="CF115" i="10"/>
  <c r="CF114" i="10"/>
  <c r="CF113" i="10"/>
  <c r="CF119" i="10" s="1"/>
  <c r="CA117" i="10"/>
  <c r="CA116" i="10"/>
  <c r="CA115" i="10"/>
  <c r="CA114" i="10"/>
  <c r="CA113" i="10"/>
  <c r="CA119" i="10" s="1"/>
  <c r="BV117" i="10"/>
  <c r="BV116" i="10"/>
  <c r="BV115" i="10"/>
  <c r="BV114" i="10"/>
  <c r="BV113" i="10"/>
  <c r="BV119" i="10" s="1"/>
  <c r="BQ117" i="10"/>
  <c r="BQ116" i="10"/>
  <c r="BQ115" i="10"/>
  <c r="BQ114" i="10"/>
  <c r="BQ113" i="10"/>
  <c r="BQ119" i="10" s="1"/>
  <c r="BL117" i="10"/>
  <c r="BL116" i="10"/>
  <c r="BL115" i="10"/>
  <c r="BL114" i="10"/>
  <c r="BL113" i="10"/>
  <c r="BL119" i="10" s="1"/>
  <c r="BG117" i="10"/>
  <c r="BG116" i="10"/>
  <c r="BG115" i="10"/>
  <c r="BG114" i="10"/>
  <c r="BG113" i="10"/>
  <c r="BG119" i="10" s="1"/>
  <c r="BB117" i="10"/>
  <c r="BB116" i="10"/>
  <c r="BB115" i="10"/>
  <c r="BB114" i="10"/>
  <c r="BB113" i="10"/>
  <c r="BB119" i="10" s="1"/>
  <c r="AW117" i="10"/>
  <c r="AW116" i="10"/>
  <c r="AW115" i="10"/>
  <c r="AW114" i="10"/>
  <c r="AW113" i="10"/>
  <c r="AW119" i="10" s="1"/>
  <c r="AR117" i="10"/>
  <c r="AR116" i="10"/>
  <c r="AR115" i="10"/>
  <c r="AR114" i="10"/>
  <c r="AR113" i="10"/>
  <c r="AR119" i="10" s="1"/>
  <c r="AM117" i="10"/>
  <c r="AM116" i="10"/>
  <c r="AM115" i="10"/>
  <c r="AM114" i="10"/>
  <c r="AM113" i="10"/>
  <c r="AM119" i="10" s="1"/>
  <c r="AH117" i="10"/>
  <c r="AH116" i="10"/>
  <c r="AH115" i="10"/>
  <c r="AH114" i="10"/>
  <c r="AH113" i="10"/>
  <c r="AH119" i="10" s="1"/>
  <c r="AC117" i="10"/>
  <c r="AD201" i="10" s="1"/>
  <c r="AC116" i="10"/>
  <c r="AC115" i="10"/>
  <c r="AC114" i="10"/>
  <c r="AC113" i="10"/>
  <c r="AC119" i="10" s="1"/>
  <c r="AA117" i="10"/>
  <c r="AA201" i="10" s="1"/>
  <c r="X117" i="10"/>
  <c r="X116" i="10"/>
  <c r="X115" i="10"/>
  <c r="X114" i="10"/>
  <c r="X113" i="10"/>
  <c r="X119" i="10" s="1"/>
  <c r="S117" i="10"/>
  <c r="S116" i="10"/>
  <c r="S115" i="10"/>
  <c r="S114" i="10"/>
  <c r="N117" i="10"/>
  <c r="N116" i="10"/>
  <c r="S199" i="10" s="1"/>
  <c r="N115" i="10"/>
  <c r="N114" i="10"/>
  <c r="N113" i="10"/>
  <c r="N119" i="10" s="1"/>
  <c r="N126" i="10" s="1"/>
  <c r="U115" i="10"/>
  <c r="AS114" i="10"/>
  <c r="AS119" i="10" s="1"/>
  <c r="CM117" i="10"/>
  <c r="CN117" i="10" s="1"/>
  <c r="CM114" i="10"/>
  <c r="CN114" i="10" s="1"/>
  <c r="CO114" i="10" s="1"/>
  <c r="CP114" i="10" s="1"/>
  <c r="CQ114" i="10" s="1"/>
  <c r="CR114" i="10" s="1"/>
  <c r="CS114" i="10" s="1"/>
  <c r="CT114" i="10" s="1"/>
  <c r="CU114" i="10" s="1"/>
  <c r="CV114" i="10" s="1"/>
  <c r="CW114" i="10" s="1"/>
  <c r="CX114" i="10" s="1"/>
  <c r="CY114" i="10" s="1"/>
  <c r="CZ114" i="10" s="1"/>
  <c r="R113" i="10"/>
  <c r="R169" i="10" s="1"/>
  <c r="X110" i="10"/>
  <c r="S110" i="10"/>
  <c r="R110" i="10"/>
  <c r="Q110" i="10"/>
  <c r="P110" i="10"/>
  <c r="O110" i="10"/>
  <c r="N110" i="10"/>
  <c r="M110" i="10"/>
  <c r="L110" i="10"/>
  <c r="K110" i="10"/>
  <c r="J110" i="10"/>
  <c r="CZ100" i="10"/>
  <c r="CY100" i="10"/>
  <c r="CX100" i="10"/>
  <c r="CW100" i="10"/>
  <c r="CV100" i="10"/>
  <c r="CU100" i="10"/>
  <c r="CT100" i="10"/>
  <c r="CS100" i="10"/>
  <c r="CR100" i="10"/>
  <c r="CQ100" i="10"/>
  <c r="CP100" i="10"/>
  <c r="CO100" i="10"/>
  <c r="CN100" i="10"/>
  <c r="CM100" i="10"/>
  <c r="CL100" i="10"/>
  <c r="CK100" i="10"/>
  <c r="CJ100" i="10"/>
  <c r="CI100" i="10"/>
  <c r="CH100" i="10"/>
  <c r="CG100" i="10"/>
  <c r="CF100" i="10"/>
  <c r="CE100" i="10"/>
  <c r="CD100" i="10"/>
  <c r="CC100" i="10"/>
  <c r="CB100" i="10"/>
  <c r="CA100" i="10"/>
  <c r="BZ100" i="10"/>
  <c r="BY100" i="10"/>
  <c r="BX100" i="10"/>
  <c r="BW100" i="10"/>
  <c r="BV100" i="10"/>
  <c r="BU100" i="10"/>
  <c r="BT100" i="10"/>
  <c r="BS100" i="10"/>
  <c r="BR100" i="10"/>
  <c r="BB100" i="10"/>
  <c r="BA100" i="10"/>
  <c r="AZ100" i="10"/>
  <c r="AY100" i="10"/>
  <c r="AX100" i="10"/>
  <c r="AW100" i="10"/>
  <c r="AV100" i="10"/>
  <c r="AU100" i="10"/>
  <c r="AT100" i="10"/>
  <c r="AS100" i="10"/>
  <c r="AR100" i="10"/>
  <c r="AQ100" i="10"/>
  <c r="AP100" i="10"/>
  <c r="AO100" i="10"/>
  <c r="AN100" i="10"/>
  <c r="AM100" i="10"/>
  <c r="AL100" i="10"/>
  <c r="AK100" i="10"/>
  <c r="AJ100" i="10"/>
  <c r="AI100" i="10"/>
  <c r="AH100" i="10"/>
  <c r="AG100" i="10"/>
  <c r="AF100" i="10"/>
  <c r="AE100" i="10"/>
  <c r="AD100" i="10"/>
  <c r="AC100" i="10"/>
  <c r="AB100" i="10"/>
  <c r="AA100" i="10"/>
  <c r="Z100" i="10"/>
  <c r="Y100" i="10"/>
  <c r="X100" i="10"/>
  <c r="W100" i="10"/>
  <c r="V100" i="10"/>
  <c r="U100" i="10"/>
  <c r="T100" i="10"/>
  <c r="S100" i="10"/>
  <c r="R100" i="10"/>
  <c r="Q100" i="10"/>
  <c r="P100" i="10"/>
  <c r="O100" i="10"/>
  <c r="N100" i="10"/>
  <c r="M100" i="10"/>
  <c r="L100" i="10"/>
  <c r="K100" i="10"/>
  <c r="J100" i="10"/>
  <c r="CY88" i="10"/>
  <c r="CX88" i="10"/>
  <c r="CW88" i="10"/>
  <c r="CV88" i="10"/>
  <c r="CZ88" i="10" s="1"/>
  <c r="CT88" i="10"/>
  <c r="CS88" i="10"/>
  <c r="CR88" i="10"/>
  <c r="CQ88" i="10"/>
  <c r="CU88" i="10" s="1"/>
  <c r="CO88" i="10"/>
  <c r="CN88" i="10"/>
  <c r="CM88" i="10"/>
  <c r="CL88" i="10"/>
  <c r="CP88" i="10" s="1"/>
  <c r="CJ88" i="10"/>
  <c r="CI88" i="10"/>
  <c r="CH88" i="10"/>
  <c r="CG88" i="10"/>
  <c r="CK88" i="10" s="1"/>
  <c r="CD88" i="10"/>
  <c r="CF88" i="10" s="1"/>
  <c r="CC88" i="10"/>
  <c r="CB88" i="10"/>
  <c r="BZ88" i="10"/>
  <c r="BY88" i="10"/>
  <c r="BX88" i="10"/>
  <c r="BW88" i="10"/>
  <c r="BU88" i="10"/>
  <c r="BT88" i="10"/>
  <c r="BS88" i="10"/>
  <c r="BP88" i="10"/>
  <c r="BO88" i="10"/>
  <c r="BN88" i="10"/>
  <c r="BM88" i="10"/>
  <c r="BQ88" i="10" s="1"/>
  <c r="BK88" i="10"/>
  <c r="BJ88" i="10"/>
  <c r="BI88" i="10"/>
  <c r="BH88" i="10"/>
  <c r="BL88" i="10" s="1"/>
  <c r="BF88" i="10"/>
  <c r="BE88" i="10"/>
  <c r="BD88" i="10"/>
  <c r="BC88" i="10"/>
  <c r="BA88" i="10"/>
  <c r="AZ88" i="10"/>
  <c r="AY88" i="10"/>
  <c r="AX88" i="10"/>
  <c r="BB88" i="10" s="1"/>
  <c r="AV88" i="10"/>
  <c r="AU88" i="10"/>
  <c r="AT88" i="10"/>
  <c r="AS88" i="10"/>
  <c r="AW88" i="10" s="1"/>
  <c r="AQ88" i="10"/>
  <c r="AP88" i="10"/>
  <c r="AO88" i="10"/>
  <c r="AN88" i="10"/>
  <c r="AR88" i="10" s="1"/>
  <c r="AL88" i="10"/>
  <c r="AK88" i="10"/>
  <c r="AJ88" i="10"/>
  <c r="AI88" i="10"/>
  <c r="AM88" i="10" s="1"/>
  <c r="AG88" i="10"/>
  <c r="AF88" i="10"/>
  <c r="AE88" i="10"/>
  <c r="AD88" i="10"/>
  <c r="AH88" i="10" s="1"/>
  <c r="AB88" i="10"/>
  <c r="AA88" i="10"/>
  <c r="Z88" i="10"/>
  <c r="Y88" i="10"/>
  <c r="W88" i="10"/>
  <c r="V88" i="10"/>
  <c r="U88" i="10"/>
  <c r="T88" i="10"/>
  <c r="R88" i="10"/>
  <c r="Q88" i="10"/>
  <c r="P88" i="10"/>
  <c r="O88" i="10"/>
  <c r="M88" i="10"/>
  <c r="L88" i="10"/>
  <c r="K88" i="10"/>
  <c r="J88" i="10"/>
  <c r="N88" i="10" s="1"/>
  <c r="CZ86" i="10"/>
  <c r="CZ85" i="10"/>
  <c r="CZ84" i="10"/>
  <c r="CZ83" i="10"/>
  <c r="CZ82" i="10"/>
  <c r="CZ81" i="10"/>
  <c r="CZ80" i="10"/>
  <c r="CZ79" i="10"/>
  <c r="CU86" i="10"/>
  <c r="CU85" i="10"/>
  <c r="CU84" i="10"/>
  <c r="CU83" i="10"/>
  <c r="CU82" i="10"/>
  <c r="CU81" i="10"/>
  <c r="CU80" i="10"/>
  <c r="CU79" i="10"/>
  <c r="CP86" i="10"/>
  <c r="CP85" i="10"/>
  <c r="CP84" i="10"/>
  <c r="CP83" i="10"/>
  <c r="CP82" i="10"/>
  <c r="CP81" i="10"/>
  <c r="CP80" i="10"/>
  <c r="CP79" i="10"/>
  <c r="CK85" i="10"/>
  <c r="CK84" i="10"/>
  <c r="CK83" i="10"/>
  <c r="CK82" i="10"/>
  <c r="CK81" i="10"/>
  <c r="CK80" i="10"/>
  <c r="CK79" i="10"/>
  <c r="CG86" i="10"/>
  <c r="CK86" i="10" s="1"/>
  <c r="CE86" i="10"/>
  <c r="CE88" i="10" s="1"/>
  <c r="CA86" i="10"/>
  <c r="CA85" i="10"/>
  <c r="CA84" i="10"/>
  <c r="CA83" i="10"/>
  <c r="CA82" i="10"/>
  <c r="CA81" i="10"/>
  <c r="CA80" i="10"/>
  <c r="CA79" i="10"/>
  <c r="BV85" i="10"/>
  <c r="BV84" i="10"/>
  <c r="BV83" i="10"/>
  <c r="BV82" i="10"/>
  <c r="BV81" i="10"/>
  <c r="BV80" i="10"/>
  <c r="BV79" i="10"/>
  <c r="BR86" i="10"/>
  <c r="BR88" i="10" s="1"/>
  <c r="BV88" i="10" s="1"/>
  <c r="BQ86" i="10"/>
  <c r="BL85" i="10"/>
  <c r="BL84" i="10"/>
  <c r="BL83" i="10"/>
  <c r="BL82" i="10"/>
  <c r="BL81" i="10"/>
  <c r="BL80" i="10"/>
  <c r="BL79" i="10"/>
  <c r="BJ86" i="10"/>
  <c r="BI86" i="10"/>
  <c r="BL86" i="10" s="1"/>
  <c r="BG86" i="10"/>
  <c r="BF86" i="10"/>
  <c r="BB86" i="10"/>
  <c r="AW86" i="10"/>
  <c r="AR86" i="10"/>
  <c r="AM86" i="10"/>
  <c r="AH86" i="10"/>
  <c r="AC86" i="10"/>
  <c r="X86" i="10"/>
  <c r="S86" i="10"/>
  <c r="N86" i="10"/>
  <c r="CF85" i="10"/>
  <c r="CF84" i="10"/>
  <c r="CF83" i="10"/>
  <c r="CF82" i="10"/>
  <c r="CF81" i="10"/>
  <c r="CF80" i="10"/>
  <c r="CF79" i="10"/>
  <c r="BQ85" i="10"/>
  <c r="BQ84" i="10"/>
  <c r="BQ83" i="10"/>
  <c r="BQ82" i="10"/>
  <c r="BQ81" i="10"/>
  <c r="BQ80" i="10"/>
  <c r="BQ79" i="10"/>
  <c r="BG85" i="10"/>
  <c r="BG84" i="10"/>
  <c r="BG83" i="10"/>
  <c r="BG82" i="10"/>
  <c r="BG81" i="10"/>
  <c r="BG80" i="10"/>
  <c r="BG79" i="10"/>
  <c r="BB84" i="10"/>
  <c r="BB83" i="10"/>
  <c r="BB82" i="10"/>
  <c r="BB81" i="10"/>
  <c r="BB80" i="10"/>
  <c r="BB79" i="10"/>
  <c r="AW84" i="10"/>
  <c r="AW83" i="10"/>
  <c r="AW82" i="10"/>
  <c r="AW81" i="10"/>
  <c r="AW80" i="10"/>
  <c r="AW79" i="10"/>
  <c r="AR84" i="10"/>
  <c r="AR83" i="10"/>
  <c r="AR82" i="10"/>
  <c r="AR81" i="10"/>
  <c r="AR80" i="10"/>
  <c r="AR79" i="10"/>
  <c r="AM84" i="10"/>
  <c r="AM83" i="10"/>
  <c r="AM82" i="10"/>
  <c r="AM81" i="10"/>
  <c r="AM80" i="10"/>
  <c r="AM79" i="10"/>
  <c r="AH84" i="10"/>
  <c r="AH83" i="10"/>
  <c r="AH82" i="10"/>
  <c r="AH81" i="10"/>
  <c r="AH80" i="10"/>
  <c r="AH79" i="10"/>
  <c r="AC84" i="10"/>
  <c r="AC83" i="10"/>
  <c r="AC82" i="10"/>
  <c r="AC81" i="10"/>
  <c r="AC80" i="10"/>
  <c r="AC79" i="10"/>
  <c r="AC88" i="10" s="1"/>
  <c r="X84" i="10"/>
  <c r="X83" i="10"/>
  <c r="X82" i="10"/>
  <c r="X81" i="10"/>
  <c r="X80" i="10"/>
  <c r="X88" i="10" s="1"/>
  <c r="X79" i="10"/>
  <c r="S84" i="10"/>
  <c r="S83" i="10"/>
  <c r="S82" i="10"/>
  <c r="S81" i="10"/>
  <c r="S80" i="10"/>
  <c r="S79" i="10"/>
  <c r="N84" i="10"/>
  <c r="N83" i="10"/>
  <c r="N82" i="10"/>
  <c r="N81" i="10"/>
  <c r="N80" i="10"/>
  <c r="N79" i="10"/>
  <c r="CL76" i="10"/>
  <c r="CM76" i="10" s="1"/>
  <c r="CJ76" i="10"/>
  <c r="CK76" i="10" s="1"/>
  <c r="CF76" i="10"/>
  <c r="CA76" i="10"/>
  <c r="BU76" i="10"/>
  <c r="BV76" i="10" s="1"/>
  <c r="BP76" i="10"/>
  <c r="BQ76" i="10" s="1"/>
  <c r="BL76" i="10"/>
  <c r="BF76" i="10"/>
  <c r="BG76" i="10" s="1"/>
  <c r="BE76" i="10"/>
  <c r="BA76" i="10"/>
  <c r="BB76" i="10" s="1"/>
  <c r="BC76" i="10" s="1"/>
  <c r="AY76" i="10"/>
  <c r="AV76" i="10"/>
  <c r="AW76" i="10" s="1"/>
  <c r="AX76" i="10" s="1"/>
  <c r="AT76" i="10"/>
  <c r="AR76" i="10"/>
  <c r="AM76" i="10"/>
  <c r="AN76" i="10" s="1"/>
  <c r="AJ76" i="10"/>
  <c r="AG76" i="10"/>
  <c r="AH76" i="10" s="1"/>
  <c r="AF76" i="10"/>
  <c r="AE76" i="10"/>
  <c r="AB76" i="10"/>
  <c r="AC76" i="10" s="1"/>
  <c r="AA76" i="10"/>
  <c r="W76" i="10"/>
  <c r="X76" i="10" s="1"/>
  <c r="S76" i="10"/>
  <c r="R76" i="10"/>
  <c r="O76" i="10"/>
  <c r="K76" i="10"/>
  <c r="CL74" i="10"/>
  <c r="CJ74" i="10"/>
  <c r="CI74" i="10"/>
  <c r="CH74" i="10"/>
  <c r="CG74" i="10"/>
  <c r="CE74" i="10"/>
  <c r="CD74" i="10"/>
  <c r="CC74" i="10"/>
  <c r="CB74" i="10"/>
  <c r="BZ74" i="10"/>
  <c r="BY74" i="10"/>
  <c r="BX74" i="10"/>
  <c r="BW74" i="10"/>
  <c r="BU74" i="10"/>
  <c r="BT74" i="10"/>
  <c r="BS74" i="10"/>
  <c r="BR74" i="10"/>
  <c r="BP74" i="10"/>
  <c r="BO74" i="10"/>
  <c r="BN74" i="10"/>
  <c r="BM74" i="10"/>
  <c r="BK74" i="10"/>
  <c r="BJ74" i="10"/>
  <c r="BI74" i="10"/>
  <c r="BH74" i="10"/>
  <c r="BF74" i="10"/>
  <c r="BE74" i="10"/>
  <c r="BD74" i="10"/>
  <c r="BC74" i="10"/>
  <c r="BA74" i="10"/>
  <c r="AZ74" i="10"/>
  <c r="AY74" i="10"/>
  <c r="AX74" i="10"/>
  <c r="AV74" i="10"/>
  <c r="AU74" i="10"/>
  <c r="AT74" i="10"/>
  <c r="AS74" i="10"/>
  <c r="AQ74" i="10"/>
  <c r="AP74" i="10"/>
  <c r="AN74" i="10"/>
  <c r="AL74" i="10"/>
  <c r="AK74" i="10"/>
  <c r="CK73" i="10"/>
  <c r="CK74" i="10" s="1"/>
  <c r="CA73" i="10"/>
  <c r="CF74" i="10" s="1"/>
  <c r="BV73" i="10"/>
  <c r="BV74" i="10" s="1"/>
  <c r="BQ73" i="10"/>
  <c r="BQ74" i="10" s="1"/>
  <c r="BL73" i="10"/>
  <c r="BL74" i="10" s="1"/>
  <c r="BG73" i="10"/>
  <c r="BG74" i="10" s="1"/>
  <c r="AW73" i="10"/>
  <c r="BB74" i="10" s="1"/>
  <c r="AJ73" i="10"/>
  <c r="AJ74" i="10" s="1"/>
  <c r="AD73" i="10"/>
  <c r="AI74" i="10" s="1"/>
  <c r="AC73" i="10"/>
  <c r="AH74" i="10" s="1"/>
  <c r="AB73" i="10"/>
  <c r="AG74" i="10" s="1"/>
  <c r="AA73" i="10"/>
  <c r="AF74" i="10" s="1"/>
  <c r="Z73" i="10"/>
  <c r="AE74" i="10" s="1"/>
  <c r="Y73" i="10"/>
  <c r="Y76" i="10" s="1"/>
  <c r="X73" i="10"/>
  <c r="W73" i="10"/>
  <c r="AB74" i="10" s="1"/>
  <c r="V73" i="10"/>
  <c r="AA74" i="10" s="1"/>
  <c r="U73" i="10"/>
  <c r="U76" i="10" s="1"/>
  <c r="T73" i="10"/>
  <c r="S73" i="10"/>
  <c r="X74" i="10" s="1"/>
  <c r="R73" i="10"/>
  <c r="W74" i="10" s="1"/>
  <c r="Q73" i="10"/>
  <c r="Q76" i="10" s="1"/>
  <c r="P73" i="10"/>
  <c r="O73" i="10"/>
  <c r="T74" i="10" s="1"/>
  <c r="M73" i="10"/>
  <c r="M76" i="10" s="1"/>
  <c r="N76" i="10" s="1"/>
  <c r="L73" i="10"/>
  <c r="K73" i="10"/>
  <c r="P74" i="10" s="1"/>
  <c r="J73" i="10"/>
  <c r="O74" i="10" s="1"/>
  <c r="CL69" i="10"/>
  <c r="CH69" i="10"/>
  <c r="CD69" i="10"/>
  <c r="CC69" i="10"/>
  <c r="CB69" i="10"/>
  <c r="BY69" i="10"/>
  <c r="BX69" i="10"/>
  <c r="BN69" i="10"/>
  <c r="BM69" i="10"/>
  <c r="BL69" i="10"/>
  <c r="BG69" i="10"/>
  <c r="BF69" i="10"/>
  <c r="BE69" i="10"/>
  <c r="BD69" i="10"/>
  <c r="BC69" i="10"/>
  <c r="BB69" i="10"/>
  <c r="AY69" i="10"/>
  <c r="AX69" i="10"/>
  <c r="AW69" i="10"/>
  <c r="AU69" i="10"/>
  <c r="AT69" i="10"/>
  <c r="AS69" i="10"/>
  <c r="AR69" i="10"/>
  <c r="AQ69" i="10"/>
  <c r="AP69" i="10"/>
  <c r="AO69" i="10"/>
  <c r="AN69" i="10"/>
  <c r="AM69" i="10"/>
  <c r="AL69" i="10"/>
  <c r="AK69" i="10"/>
  <c r="AJ69" i="10"/>
  <c r="AI69" i="10"/>
  <c r="AH69" i="10"/>
  <c r="AG69" i="10"/>
  <c r="AF69" i="10"/>
  <c r="AE69" i="10"/>
  <c r="AD69" i="10"/>
  <c r="AC69" i="10"/>
  <c r="Y69" i="10"/>
  <c r="X69" i="10"/>
  <c r="U69" i="10"/>
  <c r="T69" i="10"/>
  <c r="S69" i="10"/>
  <c r="R69" i="10"/>
  <c r="Q69" i="10"/>
  <c r="P69" i="10"/>
  <c r="O69" i="10"/>
  <c r="N69" i="10"/>
  <c r="M69" i="10"/>
  <c r="L69" i="10"/>
  <c r="K69" i="10"/>
  <c r="J69" i="10"/>
  <c r="CL68" i="10"/>
  <c r="CI68" i="10"/>
  <c r="CI69" i="10" s="1"/>
  <c r="CH68" i="10"/>
  <c r="CE68" i="10"/>
  <c r="CD68" i="10"/>
  <c r="CC68" i="10"/>
  <c r="CB68" i="10"/>
  <c r="BY68" i="10"/>
  <c r="BX68" i="10"/>
  <c r="BW68" i="10"/>
  <c r="BW69" i="10" s="1"/>
  <c r="BU68" i="10"/>
  <c r="BS68" i="10"/>
  <c r="BS69" i="10" s="1"/>
  <c r="BO68" i="10"/>
  <c r="BO69" i="10" s="1"/>
  <c r="BN68" i="10"/>
  <c r="BM68" i="10"/>
  <c r="CQ65" i="10"/>
  <c r="CM65" i="10"/>
  <c r="CK65" i="10"/>
  <c r="CF65" i="10"/>
  <c r="CA65" i="10"/>
  <c r="BV65" i="10"/>
  <c r="BQ65" i="10"/>
  <c r="BL65" i="10"/>
  <c r="BD65" i="10"/>
  <c r="BE65" i="10" s="1"/>
  <c r="BB65" i="10"/>
  <c r="AS65" i="10"/>
  <c r="AR65" i="10"/>
  <c r="AK65" i="10"/>
  <c r="AJ65" i="10"/>
  <c r="AF65" i="10"/>
  <c r="Q65" i="10"/>
  <c r="N65" i="10"/>
  <c r="CK63" i="10"/>
  <c r="CA63" i="10"/>
  <c r="BV63" i="10"/>
  <c r="BQ63" i="10"/>
  <c r="BG63" i="10"/>
  <c r="AW63" i="10"/>
  <c r="AJ63" i="10"/>
  <c r="AM63" i="10" s="1"/>
  <c r="AE63" i="10"/>
  <c r="AD63" i="10"/>
  <c r="AC63" i="10"/>
  <c r="AB63" i="10"/>
  <c r="AA63" i="10"/>
  <c r="Z63" i="10"/>
  <c r="Y63" i="10"/>
  <c r="X63" i="10"/>
  <c r="W63" i="10"/>
  <c r="V63" i="10"/>
  <c r="U63" i="10"/>
  <c r="T63" i="10"/>
  <c r="S63" i="10"/>
  <c r="R63" i="10"/>
  <c r="Q63" i="10"/>
  <c r="P63" i="10"/>
  <c r="O63" i="10"/>
  <c r="M63" i="10"/>
  <c r="L63" i="10"/>
  <c r="K63" i="10"/>
  <c r="J63" i="10"/>
  <c r="N63" i="10" s="1"/>
  <c r="BW57" i="10"/>
  <c r="CZ55" i="10"/>
  <c r="CU55" i="10"/>
  <c r="CP55" i="10"/>
  <c r="CK55" i="10"/>
  <c r="CF55" i="10"/>
  <c r="CA55" i="10"/>
  <c r="BV55" i="10"/>
  <c r="BQ55" i="10"/>
  <c r="BL55" i="10"/>
  <c r="BF55" i="10"/>
  <c r="BG55" i="10" s="1"/>
  <c r="BB55" i="10"/>
  <c r="AW55" i="10"/>
  <c r="CY53" i="10"/>
  <c r="CX53" i="10"/>
  <c r="CW53" i="10"/>
  <c r="CV53" i="10"/>
  <c r="CT53" i="10"/>
  <c r="CS53" i="10"/>
  <c r="CR53" i="10"/>
  <c r="CQ53" i="10"/>
  <c r="CO53" i="10"/>
  <c r="CN53" i="10"/>
  <c r="CM53" i="10"/>
  <c r="BW53" i="10"/>
  <c r="BU53" i="10"/>
  <c r="BT53" i="10"/>
  <c r="BS53" i="10"/>
  <c r="BR53" i="10"/>
  <c r="BP53" i="10"/>
  <c r="BO53" i="10"/>
  <c r="BN53" i="10"/>
  <c r="BJ53" i="10"/>
  <c r="BI53" i="10"/>
  <c r="BF53" i="10"/>
  <c r="AB53" i="10"/>
  <c r="W53" i="10"/>
  <c r="R53" i="10"/>
  <c r="R51" i="10"/>
  <c r="CJ51" i="10"/>
  <c r="CJ68" i="10" s="1"/>
  <c r="CG51" i="10"/>
  <c r="CG68" i="10" s="1"/>
  <c r="CG69" i="10" s="1"/>
  <c r="CF51" i="10"/>
  <c r="CE51" i="10"/>
  <c r="BZ51" i="10"/>
  <c r="CA51" i="10" s="1"/>
  <c r="BV51" i="10"/>
  <c r="BT51" i="10"/>
  <c r="BT68" i="10" s="1"/>
  <c r="BT69" i="10" s="1"/>
  <c r="BR51" i="10"/>
  <c r="BR68" i="10" s="1"/>
  <c r="BR69" i="10" s="1"/>
  <c r="BP51" i="10"/>
  <c r="BO51" i="10"/>
  <c r="BK51" i="10"/>
  <c r="BJ51" i="10"/>
  <c r="BI51" i="10"/>
  <c r="BI68" i="10" s="1"/>
  <c r="BI69" i="10" s="1"/>
  <c r="BH51" i="10"/>
  <c r="BH68" i="10" s="1"/>
  <c r="BH69" i="10" s="1"/>
  <c r="BF51" i="10"/>
  <c r="BG51" i="10" s="1"/>
  <c r="BE51" i="10"/>
  <c r="BD51" i="10"/>
  <c r="BA51" i="10"/>
  <c r="AS51" i="10"/>
  <c r="AW51" i="10" s="1"/>
  <c r="AQ51" i="10"/>
  <c r="AM51" i="10"/>
  <c r="AH51" i="10"/>
  <c r="AC51" i="10"/>
  <c r="Y51" i="10"/>
  <c r="U51" i="10"/>
  <c r="T51" i="10"/>
  <c r="X51" i="10" s="1"/>
  <c r="S51" i="10"/>
  <c r="Q51" i="10"/>
  <c r="P51" i="10"/>
  <c r="O51" i="10"/>
  <c r="N51" i="10"/>
  <c r="M51" i="10" s="1"/>
  <c r="K51" i="10"/>
  <c r="CD48" i="10"/>
  <c r="BW48" i="10"/>
  <c r="BW52" i="10" s="1"/>
  <c r="BR48" i="10"/>
  <c r="BN48" i="10"/>
  <c r="BJ48" i="10"/>
  <c r="AR47" i="10"/>
  <c r="AM47" i="10"/>
  <c r="AH47" i="10"/>
  <c r="AB47" i="10"/>
  <c r="W47" i="10"/>
  <c r="R47" i="10"/>
  <c r="M47" i="10"/>
  <c r="CG45" i="10"/>
  <c r="CD45" i="10"/>
  <c r="CC45" i="10"/>
  <c r="CB45" i="10"/>
  <c r="BY45" i="10"/>
  <c r="BX45" i="10"/>
  <c r="BW45" i="10"/>
  <c r="BT45" i="10"/>
  <c r="BS45" i="10"/>
  <c r="BR45" i="10"/>
  <c r="BO45" i="10"/>
  <c r="BL45" i="10"/>
  <c r="BG45" i="10"/>
  <c r="BF45" i="10"/>
  <c r="BF48" i="10" s="1"/>
  <c r="BB45" i="10"/>
  <c r="AW45" i="10"/>
  <c r="AR45" i="10"/>
  <c r="AO45" i="10"/>
  <c r="AM45" i="10"/>
  <c r="AK45" i="10"/>
  <c r="AJ45" i="10"/>
  <c r="AI45" i="10"/>
  <c r="AF45" i="10"/>
  <c r="AE45" i="10"/>
  <c r="AB45" i="10"/>
  <c r="AB43" i="10" s="1"/>
  <c r="AB44" i="10"/>
  <c r="AB168" i="10" s="1"/>
  <c r="W45" i="10"/>
  <c r="W44" i="10"/>
  <c r="W168" i="10" s="1"/>
  <c r="W43" i="10"/>
  <c r="R45" i="10"/>
  <c r="R44" i="10" s="1"/>
  <c r="R168" i="10" s="1"/>
  <c r="R43" i="10"/>
  <c r="M45" i="10"/>
  <c r="CL44" i="10"/>
  <c r="CJ44" i="10"/>
  <c r="CI44" i="10"/>
  <c r="CH44" i="10"/>
  <c r="BK44" i="10"/>
  <c r="BK43" i="10"/>
  <c r="BC44" i="10"/>
  <c r="BC43" i="10"/>
  <c r="BF43" i="10" s="1"/>
  <c r="BA44" i="10"/>
  <c r="BA168" i="10" s="1"/>
  <c r="BA43" i="10"/>
  <c r="AV44" i="10"/>
  <c r="AV43" i="10"/>
  <c r="AN44" i="10"/>
  <c r="AN43" i="10"/>
  <c r="AL44" i="10"/>
  <c r="AL168" i="10" s="1"/>
  <c r="AL43" i="10"/>
  <c r="AG43" i="10"/>
  <c r="AD44" i="10"/>
  <c r="AC44" i="10"/>
  <c r="CK43" i="10"/>
  <c r="CF44" i="10"/>
  <c r="CE44" i="10"/>
  <c r="CE43" i="10"/>
  <c r="CE45" i="10" s="1"/>
  <c r="CE48" i="10" s="1"/>
  <c r="CE52" i="10" s="1"/>
  <c r="CE53" i="10" s="1"/>
  <c r="CA44" i="10"/>
  <c r="BZ44" i="10"/>
  <c r="BZ43" i="10"/>
  <c r="BZ45" i="10" s="1"/>
  <c r="BZ48" i="10" s="1"/>
  <c r="BV44" i="10"/>
  <c r="BU44" i="10"/>
  <c r="BU43" i="10"/>
  <c r="BV43" i="10" s="1"/>
  <c r="BV45" i="10" s="1"/>
  <c r="BQ44" i="10"/>
  <c r="BP44" i="10"/>
  <c r="BP43" i="10"/>
  <c r="BQ43" i="10" s="1"/>
  <c r="BQ45" i="10" s="1"/>
  <c r="AC43" i="10"/>
  <c r="AA44" i="10"/>
  <c r="AA168" i="10" s="1"/>
  <c r="Z44" i="10"/>
  <c r="Z168" i="10" s="1"/>
  <c r="Y44" i="10"/>
  <c r="X44" i="10"/>
  <c r="AA43" i="10"/>
  <c r="Z43" i="10"/>
  <c r="Y43" i="10"/>
  <c r="X43" i="10"/>
  <c r="V44" i="10"/>
  <c r="V168" i="10" s="1"/>
  <c r="U44" i="10"/>
  <c r="U168" i="10" s="1"/>
  <c r="T44" i="10"/>
  <c r="S44" i="10"/>
  <c r="V43" i="10"/>
  <c r="U43" i="10"/>
  <c r="T43" i="10"/>
  <c r="S43" i="10"/>
  <c r="Q44" i="10"/>
  <c r="P44" i="10"/>
  <c r="O44" i="10"/>
  <c r="N44" i="10"/>
  <c r="N168" i="10" s="1"/>
  <c r="Q43" i="10"/>
  <c r="P43" i="10"/>
  <c r="O43" i="10"/>
  <c r="N43" i="10"/>
  <c r="L44" i="10"/>
  <c r="K44" i="10"/>
  <c r="J44" i="10"/>
  <c r="L43" i="10"/>
  <c r="K43" i="10"/>
  <c r="J43" i="10"/>
  <c r="CI41" i="10"/>
  <c r="CI94" i="10" s="1"/>
  <c r="CH41" i="10"/>
  <c r="CH94" i="10" s="1"/>
  <c r="CG41" i="10"/>
  <c r="CE41" i="10"/>
  <c r="CE94" i="10" s="1"/>
  <c r="CD41" i="10"/>
  <c r="CD94" i="10" s="1"/>
  <c r="CC41" i="10"/>
  <c r="CB41" i="10"/>
  <c r="BZ41" i="10"/>
  <c r="BZ94" i="10" s="1"/>
  <c r="BY41" i="10"/>
  <c r="BX41" i="10"/>
  <c r="BW41" i="10"/>
  <c r="BW94" i="10" s="1"/>
  <c r="BU41" i="10"/>
  <c r="BT41" i="10"/>
  <c r="BS41" i="10"/>
  <c r="BS94" i="10" s="1"/>
  <c r="BR41" i="10"/>
  <c r="BR94" i="10" s="1"/>
  <c r="BP41" i="10"/>
  <c r="BO41" i="10"/>
  <c r="BO94" i="10" s="1"/>
  <c r="BN41" i="10"/>
  <c r="BN94" i="10" s="1"/>
  <c r="BM41" i="10"/>
  <c r="BK41" i="10"/>
  <c r="BK94" i="10" s="1"/>
  <c r="BJ41" i="10"/>
  <c r="BJ94" i="10" s="1"/>
  <c r="BI41" i="10"/>
  <c r="BH41" i="10"/>
  <c r="BF41" i="10"/>
  <c r="BF94" i="10" s="1"/>
  <c r="BE41" i="10"/>
  <c r="BD41" i="10"/>
  <c r="BC41" i="10"/>
  <c r="BC94" i="10" s="1"/>
  <c r="BA41" i="10"/>
  <c r="AZ41" i="10"/>
  <c r="AY41" i="10"/>
  <c r="AY94" i="10" s="1"/>
  <c r="AX41" i="10"/>
  <c r="AX94" i="10" s="1"/>
  <c r="AV41" i="10"/>
  <c r="AU41" i="10"/>
  <c r="AU94" i="10" s="1"/>
  <c r="AT41" i="10"/>
  <c r="AT94" i="10" s="1"/>
  <c r="AS41" i="10"/>
  <c r="AQ41" i="10"/>
  <c r="AQ94" i="10" s="1"/>
  <c r="CZ39" i="10"/>
  <c r="CU39" i="10"/>
  <c r="CP39" i="10"/>
  <c r="CK39" i="10"/>
  <c r="CF39" i="10"/>
  <c r="CA39" i="10"/>
  <c r="BV39" i="10"/>
  <c r="BQ39" i="10"/>
  <c r="BL39" i="10"/>
  <c r="BL37" i="10"/>
  <c r="BG37" i="10"/>
  <c r="BE39" i="10"/>
  <c r="BG39" i="10" s="1"/>
  <c r="BE38" i="10"/>
  <c r="BE37" i="10"/>
  <c r="BE36" i="10"/>
  <c r="BE35" i="10"/>
  <c r="BB39" i="10"/>
  <c r="BB37" i="10"/>
  <c r="AW39" i="10"/>
  <c r="BF37" i="10"/>
  <c r="BF36" i="10"/>
  <c r="BF35" i="10"/>
  <c r="BF38" i="10" s="1"/>
  <c r="K38" i="10"/>
  <c r="CY37" i="10"/>
  <c r="CX37" i="10"/>
  <c r="CW37" i="10"/>
  <c r="CV37" i="10"/>
  <c r="CZ37" i="10" s="1"/>
  <c r="CT37" i="10"/>
  <c r="CS37" i="10"/>
  <c r="CR37" i="10"/>
  <c r="CQ37" i="10"/>
  <c r="CU37" i="10" s="1"/>
  <c r="CO37" i="10"/>
  <c r="CN37" i="10"/>
  <c r="CM37" i="10"/>
  <c r="CL37" i="10"/>
  <c r="CP37" i="10" s="1"/>
  <c r="CL36" i="10"/>
  <c r="CL35" i="10"/>
  <c r="CJ37" i="10"/>
  <c r="CI37" i="10"/>
  <c r="CH37" i="10"/>
  <c r="CG37" i="10"/>
  <c r="CK37" i="10" s="1"/>
  <c r="CJ36" i="10"/>
  <c r="CI36" i="10"/>
  <c r="CH36" i="10"/>
  <c r="CG36" i="10"/>
  <c r="CK36" i="10" s="1"/>
  <c r="CJ35" i="10"/>
  <c r="CI35" i="10"/>
  <c r="CI38" i="10" s="1"/>
  <c r="CH35" i="10"/>
  <c r="CH38" i="10" s="1"/>
  <c r="CG35" i="10"/>
  <c r="CK35" i="10" s="1"/>
  <c r="CE37" i="10"/>
  <c r="CD37" i="10"/>
  <c r="CC37" i="10"/>
  <c r="CB37" i="10"/>
  <c r="CF37" i="10" s="1"/>
  <c r="CE36" i="10"/>
  <c r="CD36" i="10"/>
  <c r="CC36" i="10"/>
  <c r="CB36" i="10"/>
  <c r="CF36" i="10" s="1"/>
  <c r="CE35" i="10"/>
  <c r="CE38" i="10" s="1"/>
  <c r="CD35" i="10"/>
  <c r="CD38" i="10" s="1"/>
  <c r="CC35" i="10"/>
  <c r="CC38" i="10" s="1"/>
  <c r="CB35" i="10"/>
  <c r="CB38" i="10" s="1"/>
  <c r="BZ37" i="10"/>
  <c r="BY37" i="10"/>
  <c r="BX37" i="10"/>
  <c r="BW37" i="10"/>
  <c r="CA37" i="10" s="1"/>
  <c r="BZ36" i="10"/>
  <c r="BY36" i="10"/>
  <c r="BX36" i="10"/>
  <c r="BW36" i="10"/>
  <c r="CA36" i="10" s="1"/>
  <c r="BZ35" i="10"/>
  <c r="BZ38" i="10" s="1"/>
  <c r="BY35" i="10"/>
  <c r="BY38" i="10" s="1"/>
  <c r="BX35" i="10"/>
  <c r="BX38" i="10" s="1"/>
  <c r="BW35" i="10"/>
  <c r="BW38" i="10" s="1"/>
  <c r="BU37" i="10"/>
  <c r="BT37" i="10"/>
  <c r="BS37" i="10"/>
  <c r="BR37" i="10"/>
  <c r="BV37" i="10" s="1"/>
  <c r="BU36" i="10"/>
  <c r="BT36" i="10"/>
  <c r="BS36" i="10"/>
  <c r="BR36" i="10"/>
  <c r="BV36" i="10" s="1"/>
  <c r="BU35" i="10"/>
  <c r="BU38" i="10" s="1"/>
  <c r="BT35" i="10"/>
  <c r="BT38" i="10" s="1"/>
  <c r="BS35" i="10"/>
  <c r="BS38" i="10" s="1"/>
  <c r="BR35" i="10"/>
  <c r="BV35" i="10" s="1"/>
  <c r="BP37" i="10"/>
  <c r="BO37" i="10"/>
  <c r="BN37" i="10"/>
  <c r="BM37" i="10"/>
  <c r="BQ37" i="10" s="1"/>
  <c r="BP36" i="10"/>
  <c r="BO36" i="10"/>
  <c r="BN36" i="10"/>
  <c r="BM36" i="10"/>
  <c r="BQ36" i="10" s="1"/>
  <c r="BP35" i="10"/>
  <c r="BP38" i="10" s="1"/>
  <c r="BO35" i="10"/>
  <c r="BN35" i="10"/>
  <c r="BN38" i="10" s="1"/>
  <c r="BM35" i="10"/>
  <c r="BQ35" i="10" s="1"/>
  <c r="BK37" i="10"/>
  <c r="BJ37" i="10"/>
  <c r="BI37" i="10"/>
  <c r="BH37" i="10"/>
  <c r="BK36" i="10"/>
  <c r="BJ36" i="10"/>
  <c r="BI36" i="10"/>
  <c r="BH36" i="10"/>
  <c r="BL36" i="10" s="1"/>
  <c r="BK35" i="10"/>
  <c r="BK38" i="10" s="1"/>
  <c r="BJ35" i="10"/>
  <c r="BJ38" i="10" s="1"/>
  <c r="BI35" i="10"/>
  <c r="BI38" i="10" s="1"/>
  <c r="BH35" i="10"/>
  <c r="BH38" i="10" s="1"/>
  <c r="BD37" i="10"/>
  <c r="BC37" i="10"/>
  <c r="BD36" i="10"/>
  <c r="BG36" i="10" s="1"/>
  <c r="BC36" i="10"/>
  <c r="BD35" i="10"/>
  <c r="BC35" i="10"/>
  <c r="BG35" i="10" s="1"/>
  <c r="BA37" i="10"/>
  <c r="AZ37" i="10"/>
  <c r="AY37" i="10"/>
  <c r="AX37" i="10"/>
  <c r="BA36" i="10"/>
  <c r="AZ36" i="10"/>
  <c r="AY36" i="10"/>
  <c r="AX36" i="10"/>
  <c r="BB36" i="10" s="1"/>
  <c r="BA35" i="10"/>
  <c r="BA38" i="10" s="1"/>
  <c r="AZ35" i="10"/>
  <c r="AZ38" i="10" s="1"/>
  <c r="AY35" i="10"/>
  <c r="AY38" i="10" s="1"/>
  <c r="AX35" i="10"/>
  <c r="BB35" i="10" s="1"/>
  <c r="AV37" i="10"/>
  <c r="AU37" i="10"/>
  <c r="AT37" i="10"/>
  <c r="AS37" i="10"/>
  <c r="AW37" i="10" s="1"/>
  <c r="AR37" i="10"/>
  <c r="AQ37" i="10"/>
  <c r="AP37" i="10"/>
  <c r="AO37" i="10"/>
  <c r="AN37" i="10"/>
  <c r="AV36" i="10"/>
  <c r="AU36" i="10"/>
  <c r="AT36" i="10"/>
  <c r="AS36" i="10"/>
  <c r="AW36" i="10" s="1"/>
  <c r="AQ36" i="10"/>
  <c r="AP36" i="10"/>
  <c r="AO36" i="10"/>
  <c r="AN36" i="10"/>
  <c r="AR36" i="10" s="1"/>
  <c r="AV35" i="10"/>
  <c r="AV38" i="10" s="1"/>
  <c r="AU35" i="10"/>
  <c r="AU38" i="10" s="1"/>
  <c r="AT35" i="10"/>
  <c r="AT38" i="10" s="1"/>
  <c r="AS35" i="10"/>
  <c r="AQ35" i="10"/>
  <c r="AQ38" i="10" s="1"/>
  <c r="AP35" i="10"/>
  <c r="AO35" i="10"/>
  <c r="AN35" i="10"/>
  <c r="AR35" i="10" s="1"/>
  <c r="AL36" i="10"/>
  <c r="AL38" i="10" s="1"/>
  <c r="AK36" i="10"/>
  <c r="AJ36" i="10"/>
  <c r="AJ38" i="10" s="1"/>
  <c r="AI36" i="10"/>
  <c r="AI38" i="10" s="1"/>
  <c r="AG36" i="10"/>
  <c r="AF36" i="10"/>
  <c r="AE36" i="10"/>
  <c r="AE38" i="10" s="1"/>
  <c r="AD36" i="10"/>
  <c r="AH36" i="10" s="1"/>
  <c r="AB36" i="10"/>
  <c r="AA36" i="10"/>
  <c r="AA38" i="10" s="1"/>
  <c r="Z36" i="10"/>
  <c r="Y36" i="10"/>
  <c r="AC36" i="10" s="1"/>
  <c r="W36" i="10"/>
  <c r="W38" i="10" s="1"/>
  <c r="V36" i="10"/>
  <c r="U36" i="10"/>
  <c r="T36" i="10"/>
  <c r="X36" i="10" s="1"/>
  <c r="R36" i="10"/>
  <c r="Q36" i="10"/>
  <c r="P36" i="10"/>
  <c r="O36" i="10"/>
  <c r="O38" i="10" s="1"/>
  <c r="N36" i="10"/>
  <c r="AL35" i="10"/>
  <c r="AL41" i="10" s="1"/>
  <c r="AK35" i="10"/>
  <c r="AJ35" i="10"/>
  <c r="AJ41" i="10" s="1"/>
  <c r="AI35" i="10"/>
  <c r="AI41" i="10" s="1"/>
  <c r="AG35" i="10"/>
  <c r="AF35" i="10"/>
  <c r="AE35" i="10"/>
  <c r="AE41" i="10" s="1"/>
  <c r="AD35" i="10"/>
  <c r="AH35" i="10" s="1"/>
  <c r="AB35" i="10"/>
  <c r="AA35" i="10"/>
  <c r="Z35" i="10"/>
  <c r="Y35" i="10"/>
  <c r="AC35" i="10" s="1"/>
  <c r="W35" i="10"/>
  <c r="W41" i="10" s="1"/>
  <c r="V35" i="10"/>
  <c r="U35" i="10"/>
  <c r="T35" i="10"/>
  <c r="X35" i="10" s="1"/>
  <c r="R35" i="10"/>
  <c r="Q35" i="10"/>
  <c r="P35" i="10"/>
  <c r="O35" i="10"/>
  <c r="O41" i="10" s="1"/>
  <c r="M35" i="10"/>
  <c r="L35" i="10"/>
  <c r="K35" i="10"/>
  <c r="K41" i="10" s="1"/>
  <c r="J35" i="10"/>
  <c r="N35" i="10" s="1"/>
  <c r="CG32" i="10"/>
  <c r="CC32" i="10"/>
  <c r="BY32" i="10"/>
  <c r="BU32" i="10"/>
  <c r="BM32" i="10"/>
  <c r="BI32" i="10"/>
  <c r="BE32" i="10"/>
  <c r="BA32" i="10"/>
  <c r="AS32" i="10"/>
  <c r="CI31" i="10"/>
  <c r="CI32" i="10" s="1"/>
  <c r="CH31" i="10"/>
  <c r="CH32" i="10" s="1"/>
  <c r="CG31" i="10"/>
  <c r="CE31" i="10"/>
  <c r="CE32" i="10" s="1"/>
  <c r="CD31" i="10"/>
  <c r="CD32" i="10" s="1"/>
  <c r="CC31" i="10"/>
  <c r="CB31" i="10"/>
  <c r="CB32" i="10" s="1"/>
  <c r="BZ31" i="10"/>
  <c r="BZ32" i="10" s="1"/>
  <c r="BY31" i="10"/>
  <c r="BX31" i="10"/>
  <c r="BX32" i="10" s="1"/>
  <c r="BW31" i="10"/>
  <c r="BW32" i="10" s="1"/>
  <c r="BU31" i="10"/>
  <c r="BT31" i="10"/>
  <c r="BT32" i="10" s="1"/>
  <c r="BS31" i="10"/>
  <c r="BS32" i="10" s="1"/>
  <c r="BR31" i="10"/>
  <c r="BR32" i="10" s="1"/>
  <c r="BP31" i="10"/>
  <c r="BP32" i="10" s="1"/>
  <c r="BO31" i="10"/>
  <c r="BO32" i="10" s="1"/>
  <c r="BN31" i="10"/>
  <c r="BN32" i="10" s="1"/>
  <c r="BM31" i="10"/>
  <c r="BK31" i="10"/>
  <c r="BK32" i="10" s="1"/>
  <c r="BJ31" i="10"/>
  <c r="BJ32" i="10" s="1"/>
  <c r="BI31" i="10"/>
  <c r="BH31" i="10"/>
  <c r="BH32" i="10" s="1"/>
  <c r="BF31" i="10"/>
  <c r="BF32" i="10" s="1"/>
  <c r="BE31" i="10"/>
  <c r="BD31" i="10"/>
  <c r="BD32" i="10" s="1"/>
  <c r="BC31" i="10"/>
  <c r="BC32" i="10" s="1"/>
  <c r="BA31" i="10"/>
  <c r="AZ31" i="10"/>
  <c r="AZ32" i="10" s="1"/>
  <c r="AY31" i="10"/>
  <c r="AY32" i="10" s="1"/>
  <c r="AX31" i="10"/>
  <c r="AX32" i="10" s="1"/>
  <c r="AV31" i="10"/>
  <c r="AV32" i="10" s="1"/>
  <c r="AU31" i="10"/>
  <c r="AU32" i="10" s="1"/>
  <c r="AT31" i="10"/>
  <c r="AT32" i="10" s="1"/>
  <c r="AS31" i="10"/>
  <c r="AQ31" i="10"/>
  <c r="AQ32" i="10" s="1"/>
  <c r="CL29" i="10"/>
  <c r="CJ29" i="10"/>
  <c r="CI29" i="10"/>
  <c r="CH29" i="10"/>
  <c r="CG29" i="10"/>
  <c r="CE29" i="10"/>
  <c r="CD29" i="10"/>
  <c r="CC29" i="10"/>
  <c r="CB29" i="10"/>
  <c r="BZ29" i="10"/>
  <c r="BY29" i="10"/>
  <c r="BX29" i="10"/>
  <c r="BW29" i="10"/>
  <c r="BU29" i="10"/>
  <c r="BT29" i="10"/>
  <c r="BS29" i="10"/>
  <c r="BR29" i="10"/>
  <c r="BP29" i="10"/>
  <c r="BO29" i="10"/>
  <c r="BN29" i="10"/>
  <c r="BM29" i="10"/>
  <c r="BK29" i="10"/>
  <c r="BJ29" i="10"/>
  <c r="BI29" i="10"/>
  <c r="BH29" i="10"/>
  <c r="BF29" i="10"/>
  <c r="BE29" i="10"/>
  <c r="BD29" i="10"/>
  <c r="BC29" i="10"/>
  <c r="BA29" i="10"/>
  <c r="AZ29" i="10"/>
  <c r="AY29" i="10"/>
  <c r="AX29" i="10"/>
  <c r="AV29" i="10"/>
  <c r="AU29" i="10"/>
  <c r="AT29" i="10"/>
  <c r="AS29" i="10"/>
  <c r="AQ29" i="10"/>
  <c r="AP29" i="10"/>
  <c r="CK28" i="10"/>
  <c r="CF28" i="10"/>
  <c r="CA28" i="10"/>
  <c r="BV28" i="10"/>
  <c r="BQ28" i="10"/>
  <c r="BL28" i="10"/>
  <c r="BG28" i="10"/>
  <c r="BB28" i="10"/>
  <c r="AW28" i="10"/>
  <c r="AR28" i="10"/>
  <c r="AM28" i="10"/>
  <c r="AD28" i="10"/>
  <c r="AH28" i="10" s="1"/>
  <c r="AC28" i="10"/>
  <c r="Y28" i="10"/>
  <c r="X28" i="10"/>
  <c r="W28" i="10"/>
  <c r="T28" i="10"/>
  <c r="T29" i="10" s="1"/>
  <c r="S28" i="10"/>
  <c r="Q28" i="10"/>
  <c r="P28" i="10"/>
  <c r="O28" i="10"/>
  <c r="M28" i="10"/>
  <c r="AG27" i="10"/>
  <c r="AF27" i="10"/>
  <c r="AP26" i="10"/>
  <c r="AP25" i="10"/>
  <c r="AP31" i="10" s="1"/>
  <c r="CZ21" i="10"/>
  <c r="CZ95" i="10" s="1"/>
  <c r="CY21" i="10"/>
  <c r="CY95" i="10" s="1"/>
  <c r="CX21" i="10"/>
  <c r="CX95" i="10" s="1"/>
  <c r="CW21" i="10"/>
  <c r="CW95" i="10" s="1"/>
  <c r="CV21" i="10"/>
  <c r="CV95" i="10" s="1"/>
  <c r="CU21" i="10"/>
  <c r="CU95" i="10" s="1"/>
  <c r="CT21" i="10"/>
  <c r="CT95" i="10" s="1"/>
  <c r="CS21" i="10"/>
  <c r="CS95" i="10" s="1"/>
  <c r="CR21" i="10"/>
  <c r="CR95" i="10" s="1"/>
  <c r="CQ21" i="10"/>
  <c r="CQ95" i="10" s="1"/>
  <c r="CP21" i="10"/>
  <c r="CP95" i="10" s="1"/>
  <c r="CO21" i="10"/>
  <c r="CO95" i="10" s="1"/>
  <c r="CN21" i="10"/>
  <c r="CN95" i="10" s="1"/>
  <c r="CM21" i="10"/>
  <c r="CM95" i="10" s="1"/>
  <c r="CL21" i="10"/>
  <c r="CL95" i="10" s="1"/>
  <c r="BE21" i="10"/>
  <c r="BE95" i="10" s="1"/>
  <c r="BD21" i="10"/>
  <c r="BD95" i="10" s="1"/>
  <c r="BC21" i="10"/>
  <c r="BC95" i="10" s="1"/>
  <c r="AY21" i="10"/>
  <c r="AY95" i="10" s="1"/>
  <c r="AX21" i="10"/>
  <c r="AX95" i="10" s="1"/>
  <c r="AT21" i="10"/>
  <c r="AT95" i="10" s="1"/>
  <c r="AS21" i="10"/>
  <c r="AS95" i="10" s="1"/>
  <c r="AO21" i="10"/>
  <c r="AO95" i="10" s="1"/>
  <c r="AN21" i="10"/>
  <c r="AN95" i="10" s="1"/>
  <c r="AK21" i="10"/>
  <c r="AK95" i="10" s="1"/>
  <c r="AJ21" i="10"/>
  <c r="AJ95" i="10" s="1"/>
  <c r="AI21" i="10"/>
  <c r="AI95" i="10" s="1"/>
  <c r="AH21" i="10"/>
  <c r="AH95" i="10" s="1"/>
  <c r="AG21" i="10"/>
  <c r="AG95" i="10" s="1"/>
  <c r="AF21" i="10"/>
  <c r="AF95" i="10" s="1"/>
  <c r="AE21" i="10"/>
  <c r="AE95" i="10" s="1"/>
  <c r="AD21" i="10"/>
  <c r="AD95" i="10" s="1"/>
  <c r="AC21" i="10"/>
  <c r="AC95" i="10" s="1"/>
  <c r="AB21" i="10"/>
  <c r="AB95" i="10" s="1"/>
  <c r="AA21" i="10"/>
  <c r="AA95" i="10" s="1"/>
  <c r="Z21" i="10"/>
  <c r="Z95" i="10" s="1"/>
  <c r="Y21" i="10"/>
  <c r="Y95" i="10" s="1"/>
  <c r="X21" i="10"/>
  <c r="X95" i="10" s="1"/>
  <c r="U21" i="10"/>
  <c r="U95" i="10" s="1"/>
  <c r="T21" i="10"/>
  <c r="T95" i="10" s="1"/>
  <c r="S21" i="10"/>
  <c r="S95" i="10" s="1"/>
  <c r="Q21" i="10"/>
  <c r="Q95" i="10" s="1"/>
  <c r="P21" i="10"/>
  <c r="P95" i="10" s="1"/>
  <c r="O21" i="10"/>
  <c r="O95" i="10" s="1"/>
  <c r="N21" i="10"/>
  <c r="N95" i="10" s="1"/>
  <c r="M21" i="10"/>
  <c r="M95" i="10" s="1"/>
  <c r="L21" i="10"/>
  <c r="L95" i="10" s="1"/>
  <c r="K21" i="10"/>
  <c r="K95" i="10" s="1"/>
  <c r="J21" i="10"/>
  <c r="J95" i="10" s="1"/>
  <c r="BD20" i="10"/>
  <c r="BD19" i="10"/>
  <c r="BD23" i="10" s="1"/>
  <c r="BC19" i="10"/>
  <c r="BC23" i="10" s="1"/>
  <c r="AY19" i="10"/>
  <c r="AY23" i="10" s="1"/>
  <c r="CL17" i="10"/>
  <c r="CJ17" i="10"/>
  <c r="CI17" i="10"/>
  <c r="CH17" i="10"/>
  <c r="CG17" i="10"/>
  <c r="CE17" i="10"/>
  <c r="CD17" i="10"/>
  <c r="CC17" i="10"/>
  <c r="CB17" i="10"/>
  <c r="BZ17" i="10"/>
  <c r="BY17" i="10"/>
  <c r="BX17" i="10"/>
  <c r="BW17" i="10"/>
  <c r="BU17" i="10"/>
  <c r="BT17" i="10"/>
  <c r="BS17" i="10"/>
  <c r="BR17" i="10"/>
  <c r="BP17" i="10"/>
  <c r="BO17" i="10"/>
  <c r="BN17" i="10"/>
  <c r="BM17" i="10"/>
  <c r="BK17" i="10"/>
  <c r="BJ17" i="10"/>
  <c r="BI17" i="10"/>
  <c r="BH17" i="10"/>
  <c r="BF17" i="10"/>
  <c r="BE17" i="10"/>
  <c r="BD17" i="10"/>
  <c r="BC17" i="10"/>
  <c r="BA17" i="10"/>
  <c r="AZ17" i="10"/>
  <c r="AY17" i="10"/>
  <c r="AX17" i="10"/>
  <c r="AV17" i="10"/>
  <c r="AU17" i="10"/>
  <c r="AT17" i="10"/>
  <c r="AS17" i="10"/>
  <c r="AQ17" i="10"/>
  <c r="L17" i="10"/>
  <c r="CL16" i="10"/>
  <c r="CJ16" i="10"/>
  <c r="CI16" i="10"/>
  <c r="CH16" i="10"/>
  <c r="CG16" i="10"/>
  <c r="CE16" i="10"/>
  <c r="CD16" i="10"/>
  <c r="CC16" i="10"/>
  <c r="CB16" i="10"/>
  <c r="BZ16" i="10"/>
  <c r="BY16" i="10"/>
  <c r="BX16" i="10"/>
  <c r="BW16" i="10"/>
  <c r="BU16" i="10"/>
  <c r="BT16" i="10"/>
  <c r="BS16" i="10"/>
  <c r="BR16" i="10"/>
  <c r="BP16" i="10"/>
  <c r="BO16" i="10"/>
  <c r="BN16" i="10"/>
  <c r="BM16" i="10"/>
  <c r="BK16" i="10"/>
  <c r="BJ16" i="10"/>
  <c r="BI16" i="10"/>
  <c r="BH16" i="10"/>
  <c r="BF16" i="10"/>
  <c r="BE16" i="10"/>
  <c r="BD16" i="10"/>
  <c r="BC16" i="10"/>
  <c r="BA16" i="10"/>
  <c r="AZ16" i="10"/>
  <c r="AY16" i="10"/>
  <c r="AX16" i="10"/>
  <c r="AV16" i="10"/>
  <c r="AU16" i="10"/>
  <c r="N15" i="10"/>
  <c r="N243" i="10" s="1"/>
  <c r="M15" i="10"/>
  <c r="L15" i="10"/>
  <c r="K15" i="10"/>
  <c r="K17" i="10" s="1"/>
  <c r="J15" i="10"/>
  <c r="CZ13" i="10"/>
  <c r="CU13" i="10"/>
  <c r="BN13" i="10"/>
  <c r="BJ13" i="10"/>
  <c r="BF13" i="10"/>
  <c r="AX13" i="10"/>
  <c r="AT13" i="10"/>
  <c r="AP13" i="10"/>
  <c r="M11" i="10"/>
  <c r="M10" i="10"/>
  <c r="CK12" i="10"/>
  <c r="CJ12" i="10"/>
  <c r="CI12" i="10"/>
  <c r="CH12" i="10"/>
  <c r="CG12" i="10"/>
  <c r="CE12" i="10"/>
  <c r="CD12" i="10"/>
  <c r="CC12" i="10"/>
  <c r="CB12" i="10"/>
  <c r="CF12" i="10" s="1"/>
  <c r="BZ12" i="10"/>
  <c r="BY12" i="10"/>
  <c r="BX12" i="10"/>
  <c r="BW12" i="10"/>
  <c r="CA12" i="10" s="1"/>
  <c r="BU12" i="10"/>
  <c r="BT12" i="10"/>
  <c r="BS12" i="10"/>
  <c r="BR12" i="10"/>
  <c r="BV12" i="10" s="1"/>
  <c r="BQ12" i="10"/>
  <c r="BP12" i="10"/>
  <c r="BO12" i="10"/>
  <c r="BN12" i="10"/>
  <c r="BM12" i="10"/>
  <c r="BL12" i="10"/>
  <c r="BK12" i="10"/>
  <c r="BJ12" i="10"/>
  <c r="BI12" i="10"/>
  <c r="BH12" i="10"/>
  <c r="BG12" i="10"/>
  <c r="BF12" i="10"/>
  <c r="BE12" i="10"/>
  <c r="BD12" i="10"/>
  <c r="BC12" i="10"/>
  <c r="BB12" i="10"/>
  <c r="BA12" i="10"/>
  <c r="AZ12" i="10"/>
  <c r="AY12" i="10"/>
  <c r="AX12" i="10"/>
  <c r="AW12" i="10"/>
  <c r="AV12" i="10"/>
  <c r="AU12" i="10"/>
  <c r="AT12" i="10"/>
  <c r="AS12" i="10"/>
  <c r="AR12" i="10"/>
  <c r="AQ12" i="10"/>
  <c r="AP12" i="10"/>
  <c r="AO12" i="10"/>
  <c r="AO13" i="10" s="1"/>
  <c r="AN12" i="10"/>
  <c r="CJ11" i="10"/>
  <c r="CI11" i="10"/>
  <c r="CI13" i="10" s="1"/>
  <c r="CH11" i="10"/>
  <c r="CG11" i="10"/>
  <c r="CK11" i="10" s="1"/>
  <c r="CE11" i="10"/>
  <c r="CE13" i="10" s="1"/>
  <c r="CD11" i="10"/>
  <c r="CC11" i="10"/>
  <c r="CB11" i="10"/>
  <c r="CF11" i="10" s="1"/>
  <c r="BZ11" i="10"/>
  <c r="BY11" i="10"/>
  <c r="BX11" i="10"/>
  <c r="BW11" i="10"/>
  <c r="BW13" i="10" s="1"/>
  <c r="BU11" i="10"/>
  <c r="BT11" i="10"/>
  <c r="BS11" i="10"/>
  <c r="BS13" i="10" s="1"/>
  <c r="BR11" i="10"/>
  <c r="BV11" i="10" s="1"/>
  <c r="BP11" i="10"/>
  <c r="BO11" i="10"/>
  <c r="BO13" i="10" s="1"/>
  <c r="BN11" i="10"/>
  <c r="BM11" i="10"/>
  <c r="BQ11" i="10" s="1"/>
  <c r="BK11" i="10"/>
  <c r="BK13" i="10" s="1"/>
  <c r="BJ11" i="10"/>
  <c r="BI11" i="10"/>
  <c r="BH11" i="10"/>
  <c r="BL11" i="10" s="1"/>
  <c r="BF11" i="10"/>
  <c r="BE11" i="10"/>
  <c r="BD11" i="10"/>
  <c r="BC11" i="10"/>
  <c r="BC13" i="10" s="1"/>
  <c r="BA11" i="10"/>
  <c r="AZ11" i="10"/>
  <c r="AY11" i="10"/>
  <c r="AY13" i="10" s="1"/>
  <c r="AX11" i="10"/>
  <c r="BB11" i="10" s="1"/>
  <c r="AV11" i="10"/>
  <c r="AU11" i="10"/>
  <c r="AU13" i="10" s="1"/>
  <c r="AT11" i="10"/>
  <c r="AS11" i="10"/>
  <c r="AW11" i="10" s="1"/>
  <c r="AQ11" i="10"/>
  <c r="AQ13" i="10" s="1"/>
  <c r="AP11" i="10"/>
  <c r="AO11" i="10"/>
  <c r="AN11" i="10"/>
  <c r="AN13" i="10" s="1"/>
  <c r="CJ10" i="10"/>
  <c r="CJ13" i="10" s="1"/>
  <c r="CI10" i="10"/>
  <c r="CH10" i="10"/>
  <c r="CH13" i="10" s="1"/>
  <c r="CG10" i="10"/>
  <c r="CK10" i="10" s="1"/>
  <c r="CE10" i="10"/>
  <c r="CD10" i="10"/>
  <c r="CD13" i="10" s="1"/>
  <c r="CC10" i="10"/>
  <c r="CC13" i="10" s="1"/>
  <c r="CB10" i="10"/>
  <c r="CB13" i="10" s="1"/>
  <c r="BZ10" i="10"/>
  <c r="BZ13" i="10" s="1"/>
  <c r="BY10" i="10"/>
  <c r="BY13" i="10" s="1"/>
  <c r="BX10" i="10"/>
  <c r="BX13" i="10" s="1"/>
  <c r="BW10" i="10"/>
  <c r="CA10" i="10" s="1"/>
  <c r="BU10" i="10"/>
  <c r="BU13" i="10" s="1"/>
  <c r="BT10" i="10"/>
  <c r="BT13" i="10" s="1"/>
  <c r="BS10" i="10"/>
  <c r="BR10" i="10"/>
  <c r="BV10" i="10" s="1"/>
  <c r="BP10" i="10"/>
  <c r="BP13" i="10" s="1"/>
  <c r="BO10" i="10"/>
  <c r="BN10" i="10"/>
  <c r="BM10" i="10"/>
  <c r="BQ10" i="10" s="1"/>
  <c r="BK10" i="10"/>
  <c r="BJ10" i="10"/>
  <c r="BI10" i="10"/>
  <c r="BI13" i="10" s="1"/>
  <c r="BH10" i="10"/>
  <c r="BH13" i="10" s="1"/>
  <c r="BF10" i="10"/>
  <c r="BE10" i="10"/>
  <c r="BE13" i="10" s="1"/>
  <c r="BD10" i="10"/>
  <c r="BD13" i="10" s="1"/>
  <c r="BC10" i="10"/>
  <c r="BG10" i="10" s="1"/>
  <c r="BA10" i="10"/>
  <c r="BA13" i="10" s="1"/>
  <c r="AZ10" i="10"/>
  <c r="AZ13" i="10" s="1"/>
  <c r="AY10" i="10"/>
  <c r="AX10" i="10"/>
  <c r="BB10" i="10" s="1"/>
  <c r="AV10" i="10"/>
  <c r="AV13" i="10" s="1"/>
  <c r="AU10" i="10"/>
  <c r="AT10" i="10"/>
  <c r="AS10" i="10"/>
  <c r="AW10" i="10" s="1"/>
  <c r="AQ10" i="10"/>
  <c r="AP10" i="10"/>
  <c r="AO10" i="10"/>
  <c r="AO15" i="10" s="1"/>
  <c r="AN10" i="10"/>
  <c r="AN15" i="10" s="1"/>
  <c r="AL11" i="10"/>
  <c r="AK11" i="10"/>
  <c r="AK15" i="10" s="1"/>
  <c r="AJ11" i="10"/>
  <c r="AI11" i="10"/>
  <c r="AI15" i="10" s="1"/>
  <c r="AG11" i="10"/>
  <c r="AG15" i="10" s="1"/>
  <c r="AF11" i="10"/>
  <c r="AF15" i="10" s="1"/>
  <c r="AE11" i="10"/>
  <c r="AE15" i="10" s="1"/>
  <c r="AD11" i="10"/>
  <c r="AD15" i="10" s="1"/>
  <c r="AB11" i="10"/>
  <c r="AB15" i="10" s="1"/>
  <c r="AA11" i="10"/>
  <c r="AA15" i="10" s="1"/>
  <c r="Z11" i="10"/>
  <c r="Z15" i="10" s="1"/>
  <c r="Y11" i="10"/>
  <c r="Y15" i="10" s="1"/>
  <c r="W11" i="10"/>
  <c r="W15" i="10" s="1"/>
  <c r="V11" i="10"/>
  <c r="V15" i="10" s="1"/>
  <c r="U11" i="10"/>
  <c r="U15" i="10" s="1"/>
  <c r="U176" i="5" s="1"/>
  <c r="T11" i="10"/>
  <c r="T15" i="10" s="1"/>
  <c r="R11" i="10"/>
  <c r="R15" i="10" s="1"/>
  <c r="Q11" i="10"/>
  <c r="Q15" i="10" s="1"/>
  <c r="P11" i="10"/>
  <c r="P15" i="10" s="1"/>
  <c r="O11" i="10"/>
  <c r="O15" i="10" s="1"/>
  <c r="AL10" i="10"/>
  <c r="AL13" i="10" s="1"/>
  <c r="AK10" i="10"/>
  <c r="AJ10" i="10"/>
  <c r="AI10" i="10"/>
  <c r="AM10" i="10" s="1"/>
  <c r="AG10" i="10"/>
  <c r="AF10" i="10"/>
  <c r="AE10" i="10"/>
  <c r="AD10" i="10"/>
  <c r="AH10" i="10" s="1"/>
  <c r="AB10" i="10"/>
  <c r="AA10" i="10"/>
  <c r="Z10" i="10"/>
  <c r="Y10" i="10"/>
  <c r="AC10" i="10" s="1"/>
  <c r="W10" i="10"/>
  <c r="V10" i="10"/>
  <c r="U10" i="10"/>
  <c r="T10" i="10"/>
  <c r="X10" i="10" s="1"/>
  <c r="R10" i="10"/>
  <c r="Q10" i="10"/>
  <c r="P10" i="10"/>
  <c r="O10" i="10"/>
  <c r="S10" i="10" s="1"/>
  <c r="CZ8" i="10"/>
  <c r="CZ189" i="10" s="1"/>
  <c r="CY8" i="10"/>
  <c r="CX8" i="10"/>
  <c r="CW8" i="10"/>
  <c r="CV8" i="10"/>
  <c r="CU8" i="10"/>
  <c r="CU189" i="10" s="1"/>
  <c r="CT8" i="10"/>
  <c r="CS8" i="10"/>
  <c r="CR8" i="10"/>
  <c r="CQ8" i="10"/>
  <c r="CP8" i="10"/>
  <c r="CP189" i="10" s="1"/>
  <c r="CO8" i="10"/>
  <c r="CN8" i="10"/>
  <c r="CM8" i="10"/>
  <c r="CL8" i="10"/>
  <c r="CK8" i="10"/>
  <c r="CK189" i="10" s="1"/>
  <c r="CJ8" i="10"/>
  <c r="CI8" i="10"/>
  <c r="CH8" i="10"/>
  <c r="CG8" i="10"/>
  <c r="CF8" i="10"/>
  <c r="CF189" i="10" s="1"/>
  <c r="CE8" i="10"/>
  <c r="CD8" i="10"/>
  <c r="CC8" i="10"/>
  <c r="CB8" i="10"/>
  <c r="CA8" i="10"/>
  <c r="CA189" i="10" s="1"/>
  <c r="BZ8" i="10"/>
  <c r="BY8" i="10"/>
  <c r="BX8" i="10"/>
  <c r="BW8" i="10"/>
  <c r="BV8" i="10"/>
  <c r="BV189" i="10" s="1"/>
  <c r="BU8" i="10"/>
  <c r="BT8" i="10"/>
  <c r="BS8" i="10"/>
  <c r="BR8" i="10"/>
  <c r="BQ8" i="10"/>
  <c r="BQ189" i="10" s="1"/>
  <c r="BP8" i="10"/>
  <c r="BO8" i="10"/>
  <c r="BN8" i="10"/>
  <c r="BM8" i="10"/>
  <c r="BL8" i="10"/>
  <c r="BL189" i="10" s="1"/>
  <c r="BK8" i="10"/>
  <c r="BJ8" i="10"/>
  <c r="BI8" i="10"/>
  <c r="BH8" i="10"/>
  <c r="BG8" i="10"/>
  <c r="BG189" i="10" s="1"/>
  <c r="BF8" i="10"/>
  <c r="BE8" i="10"/>
  <c r="BD8" i="10"/>
  <c r="BC8" i="10"/>
  <c r="BB8" i="10"/>
  <c r="BB189" i="10" s="1"/>
  <c r="BA8" i="10"/>
  <c r="AZ8" i="10"/>
  <c r="AY8" i="10"/>
  <c r="AX8" i="10"/>
  <c r="AW8" i="10"/>
  <c r="AW189" i="10" s="1"/>
  <c r="AV8" i="10"/>
  <c r="AU8" i="10"/>
  <c r="AT8" i="10"/>
  <c r="AS8" i="10"/>
  <c r="AR8" i="10"/>
  <c r="AR189" i="10" s="1"/>
  <c r="AQ8" i="10"/>
  <c r="AP8" i="10"/>
  <c r="AO8" i="10"/>
  <c r="AN8" i="10"/>
  <c r="AM8" i="10"/>
  <c r="AM189" i="10" s="1"/>
  <c r="AL8" i="10"/>
  <c r="AK8" i="10"/>
  <c r="AJ8" i="10"/>
  <c r="AI8" i="10"/>
  <c r="AH8" i="10"/>
  <c r="AH189" i="10" s="1"/>
  <c r="AG8" i="10"/>
  <c r="AF8" i="10"/>
  <c r="AE8" i="10"/>
  <c r="AD8" i="10"/>
  <c r="AC8" i="10"/>
  <c r="AC189" i="10" s="1"/>
  <c r="AB8" i="10"/>
  <c r="AA8" i="10"/>
  <c r="Z8" i="10"/>
  <c r="Y8" i="10"/>
  <c r="X8" i="10"/>
  <c r="X189" i="10" s="1"/>
  <c r="W8" i="10"/>
  <c r="V8" i="10"/>
  <c r="U8" i="10"/>
  <c r="T8" i="10"/>
  <c r="S8" i="10"/>
  <c r="S189" i="10" s="1"/>
  <c r="N8" i="10"/>
  <c r="N189" i="10" s="1"/>
  <c r="CQ7" i="10"/>
  <c r="CL7" i="10"/>
  <c r="BW7" i="10"/>
  <c r="BR7" i="10"/>
  <c r="BC7" i="10"/>
  <c r="AX7" i="10"/>
  <c r="AI7" i="10"/>
  <c r="AD7" i="10"/>
  <c r="CU191" i="5"/>
  <c r="CP191" i="5"/>
  <c r="CK191" i="5"/>
  <c r="CF191" i="5"/>
  <c r="CL190" i="5"/>
  <c r="CJ190" i="5"/>
  <c r="CI190" i="5"/>
  <c r="CH190" i="5"/>
  <c r="CG190" i="5"/>
  <c r="CE190" i="5"/>
  <c r="CD190" i="5"/>
  <c r="CC190" i="5"/>
  <c r="CB190" i="5"/>
  <c r="BZ190" i="5"/>
  <c r="BY190" i="5"/>
  <c r="BX190" i="5"/>
  <c r="BW190" i="5"/>
  <c r="BU190" i="5"/>
  <c r="BT190" i="5"/>
  <c r="BS190" i="5"/>
  <c r="BR190" i="5"/>
  <c r="BP190" i="5"/>
  <c r="BO190" i="5"/>
  <c r="BN190" i="5"/>
  <c r="BM190" i="5"/>
  <c r="BK190" i="5"/>
  <c r="BJ190" i="5"/>
  <c r="BI190" i="5"/>
  <c r="BH190" i="5"/>
  <c r="BF190" i="5"/>
  <c r="BE190" i="5"/>
  <c r="BD190" i="5"/>
  <c r="BC190" i="5"/>
  <c r="BA190" i="5"/>
  <c r="AZ190" i="5"/>
  <c r="AY190" i="5"/>
  <c r="AX190" i="5"/>
  <c r="AV190" i="5"/>
  <c r="AU190" i="5"/>
  <c r="AT190" i="5"/>
  <c r="AS190" i="5"/>
  <c r="AQ190" i="5"/>
  <c r="AP190" i="5"/>
  <c r="AO190" i="5"/>
  <c r="AN190" i="5"/>
  <c r="AL190" i="5"/>
  <c r="AK190" i="5"/>
  <c r="AJ190" i="5"/>
  <c r="AI190" i="5"/>
  <c r="AG190" i="5"/>
  <c r="AF190" i="5"/>
  <c r="AE190" i="5"/>
  <c r="AD190" i="5"/>
  <c r="AB190" i="5"/>
  <c r="AA190" i="5"/>
  <c r="Z190" i="5"/>
  <c r="Y190" i="5"/>
  <c r="W190" i="5"/>
  <c r="V190" i="5"/>
  <c r="U190" i="5"/>
  <c r="T190" i="5"/>
  <c r="R190" i="5"/>
  <c r="Q190" i="5"/>
  <c r="P190" i="5"/>
  <c r="O190" i="5"/>
  <c r="M190" i="5"/>
  <c r="L190" i="5"/>
  <c r="K190" i="5"/>
  <c r="J190" i="5"/>
  <c r="I190" i="5"/>
  <c r="H190" i="5"/>
  <c r="CE189" i="5"/>
  <c r="CD189" i="5"/>
  <c r="CC189" i="5"/>
  <c r="CB189" i="5"/>
  <c r="BZ189" i="5"/>
  <c r="BY189" i="5"/>
  <c r="BX189" i="5"/>
  <c r="BW189" i="5"/>
  <c r="BU189" i="5"/>
  <c r="BT189" i="5"/>
  <c r="BS189" i="5"/>
  <c r="BR189" i="5"/>
  <c r="BP189" i="5"/>
  <c r="BO189" i="5"/>
  <c r="BN189" i="5"/>
  <c r="BM189" i="5"/>
  <c r="BK189" i="5"/>
  <c r="BJ189" i="5"/>
  <c r="BI189" i="5"/>
  <c r="BH189" i="5"/>
  <c r="BF189" i="5"/>
  <c r="BE189" i="5"/>
  <c r="BD189" i="5"/>
  <c r="BC189" i="5"/>
  <c r="BA189" i="5"/>
  <c r="AZ189" i="5"/>
  <c r="AY189" i="5"/>
  <c r="AX189" i="5"/>
  <c r="AV189" i="5"/>
  <c r="AU189" i="5"/>
  <c r="AT189" i="5"/>
  <c r="AS189" i="5"/>
  <c r="AQ189" i="5"/>
  <c r="AP189" i="5"/>
  <c r="AO189" i="5"/>
  <c r="AN189" i="5"/>
  <c r="AL189" i="5"/>
  <c r="AK189" i="5"/>
  <c r="AJ189" i="5"/>
  <c r="AI189" i="5"/>
  <c r="AG189" i="5"/>
  <c r="AF189" i="5"/>
  <c r="AE189" i="5"/>
  <c r="AD189" i="5"/>
  <c r="AB189" i="5"/>
  <c r="AA189" i="5"/>
  <c r="Z189" i="5"/>
  <c r="Y189" i="5"/>
  <c r="W189" i="5"/>
  <c r="V189" i="5"/>
  <c r="U189" i="5"/>
  <c r="T189" i="5"/>
  <c r="R189" i="5"/>
  <c r="Q189" i="5"/>
  <c r="P189" i="5"/>
  <c r="O189" i="5"/>
  <c r="M189" i="5"/>
  <c r="L189" i="5"/>
  <c r="K189" i="5"/>
  <c r="J189" i="5"/>
  <c r="I189" i="5"/>
  <c r="H189" i="5"/>
  <c r="CY186" i="5"/>
  <c r="CX186" i="5"/>
  <c r="CW186" i="5"/>
  <c r="CV186" i="5"/>
  <c r="CZ186" i="5" s="1"/>
  <c r="CT186" i="5"/>
  <c r="CS186" i="5"/>
  <c r="CR186" i="5"/>
  <c r="CQ186" i="5"/>
  <c r="CU186" i="5" s="1"/>
  <c r="CO186" i="5"/>
  <c r="CN186" i="5"/>
  <c r="CM186" i="5"/>
  <c r="CL186" i="5"/>
  <c r="CP186" i="5" s="1"/>
  <c r="CG186" i="5"/>
  <c r="CG21" i="10" s="1"/>
  <c r="CC186" i="5"/>
  <c r="CC21" i="10" s="1"/>
  <c r="CB186" i="5"/>
  <c r="CB21" i="10" s="1"/>
  <c r="BW186" i="5"/>
  <c r="BW21" i="10" s="1"/>
  <c r="BS186" i="5"/>
  <c r="BS21" i="10" s="1"/>
  <c r="BR186" i="5"/>
  <c r="BR21" i="10" s="1"/>
  <c r="BM186" i="5"/>
  <c r="BM21" i="10" s="1"/>
  <c r="BL186" i="5"/>
  <c r="BL21" i="10" s="1"/>
  <c r="BL95" i="10" s="1"/>
  <c r="BI186" i="5"/>
  <c r="BI21" i="10" s="1"/>
  <c r="BH186" i="5"/>
  <c r="BH21" i="10" s="1"/>
  <c r="BE186" i="5"/>
  <c r="BD186" i="5"/>
  <c r="BC186" i="5"/>
  <c r="AY186" i="5"/>
  <c r="AX186" i="5"/>
  <c r="AT186" i="5"/>
  <c r="AS186" i="5"/>
  <c r="AO186" i="5"/>
  <c r="AN186" i="5"/>
  <c r="AK186" i="5"/>
  <c r="AJ186" i="5"/>
  <c r="AI186" i="5"/>
  <c r="AG186" i="5"/>
  <c r="AF186" i="5"/>
  <c r="AE186" i="5"/>
  <c r="AD186" i="5"/>
  <c r="AB186" i="5"/>
  <c r="AA186" i="5"/>
  <c r="Z186" i="5"/>
  <c r="Y186" i="5"/>
  <c r="U186" i="5"/>
  <c r="T186" i="5"/>
  <c r="CZ185" i="5"/>
  <c r="CX185" i="5"/>
  <c r="CW185" i="5" s="1"/>
  <c r="CV185" i="5" s="1"/>
  <c r="CY185" i="5" s="1"/>
  <c r="CU185" i="5"/>
  <c r="CS185" i="5" s="1"/>
  <c r="CR185" i="5" s="1"/>
  <c r="CQ185" i="5" s="1"/>
  <c r="CT185" i="5" s="1"/>
  <c r="CP185" i="5"/>
  <c r="CN185" i="5" s="1"/>
  <c r="CM185" i="5" s="1"/>
  <c r="CL185" i="5" s="1"/>
  <c r="CI185" i="5"/>
  <c r="CH185" i="5"/>
  <c r="CG185" i="5"/>
  <c r="CC185" i="5"/>
  <c r="CB185" i="5"/>
  <c r="BY185" i="5"/>
  <c r="BX185" i="5"/>
  <c r="BW185" i="5"/>
  <c r="BT185" i="5"/>
  <c r="BS185" i="5"/>
  <c r="BR185" i="5"/>
  <c r="BN185" i="5"/>
  <c r="BM185" i="5"/>
  <c r="BI185" i="5"/>
  <c r="BH185" i="5"/>
  <c r="BE185" i="5"/>
  <c r="BD185" i="5"/>
  <c r="BC185" i="5"/>
  <c r="AZ185" i="5"/>
  <c r="AY185" i="5"/>
  <c r="AX185" i="5"/>
  <c r="AT185" i="5"/>
  <c r="AS185" i="5"/>
  <c r="AO185" i="5"/>
  <c r="AN185" i="5"/>
  <c r="AK185" i="5"/>
  <c r="AJ185" i="5"/>
  <c r="AI185" i="5"/>
  <c r="AF185" i="5"/>
  <c r="AE185" i="5"/>
  <c r="AD185" i="5"/>
  <c r="AC185" i="5"/>
  <c r="Z185" i="5"/>
  <c r="Y185" i="5"/>
  <c r="U185" i="5"/>
  <c r="CI177" i="5"/>
  <c r="CH177" i="5"/>
  <c r="CG177" i="5"/>
  <c r="CE177" i="5"/>
  <c r="CD177" i="5"/>
  <c r="CC177" i="5"/>
  <c r="CB177" i="5"/>
  <c r="BZ177" i="5"/>
  <c r="BY177" i="5"/>
  <c r="BX177" i="5"/>
  <c r="BW177" i="5"/>
  <c r="BU177" i="5"/>
  <c r="BT177" i="5"/>
  <c r="BS177" i="5"/>
  <c r="BR177" i="5"/>
  <c r="BP177" i="5"/>
  <c r="BO177" i="5"/>
  <c r="BN177" i="5"/>
  <c r="BM177" i="5"/>
  <c r="BK177" i="5"/>
  <c r="BJ177" i="5"/>
  <c r="BI177" i="5"/>
  <c r="BH177" i="5"/>
  <c r="BF177" i="5"/>
  <c r="BE177" i="5"/>
  <c r="BD177" i="5"/>
  <c r="BC177" i="5"/>
  <c r="BA177" i="5"/>
  <c r="AZ177" i="5"/>
  <c r="AY177" i="5"/>
  <c r="AX177" i="5"/>
  <c r="AV177" i="5"/>
  <c r="AU177" i="5"/>
  <c r="AT177" i="5"/>
  <c r="AS177" i="5"/>
  <c r="AQ177" i="5"/>
  <c r="AI177" i="5"/>
  <c r="CL176" i="5"/>
  <c r="CJ176" i="5"/>
  <c r="CI176" i="5"/>
  <c r="CH176" i="5"/>
  <c r="CG176" i="5"/>
  <c r="CE176" i="5"/>
  <c r="CD176" i="5"/>
  <c r="CC176" i="5"/>
  <c r="CB176" i="5"/>
  <c r="BZ176" i="5"/>
  <c r="BY176" i="5"/>
  <c r="BX176" i="5"/>
  <c r="BW176" i="5"/>
  <c r="BU176" i="5"/>
  <c r="BT176" i="5"/>
  <c r="BS176" i="5"/>
  <c r="BR176" i="5"/>
  <c r="BP176" i="5"/>
  <c r="BO176" i="5"/>
  <c r="BN176" i="5"/>
  <c r="BM176" i="5"/>
  <c r="BK176" i="5"/>
  <c r="BJ176" i="5"/>
  <c r="BI176" i="5"/>
  <c r="BH176" i="5"/>
  <c r="BF176" i="5"/>
  <c r="BE176" i="5"/>
  <c r="BD176" i="5"/>
  <c r="BC176" i="5"/>
  <c r="BA176" i="5"/>
  <c r="AZ176" i="5"/>
  <c r="AY176" i="5"/>
  <c r="AX176" i="5"/>
  <c r="AV176" i="5"/>
  <c r="AU176" i="5"/>
  <c r="AT176" i="5"/>
  <c r="AS176" i="5"/>
  <c r="AQ176" i="5"/>
  <c r="AP176" i="5"/>
  <c r="AO176" i="5"/>
  <c r="AF176" i="5"/>
  <c r="Z176" i="5"/>
  <c r="Y176" i="5"/>
  <c r="V176" i="5"/>
  <c r="CZ175" i="5"/>
  <c r="CY175" i="5"/>
  <c r="CX175" i="5"/>
  <c r="CW175" i="5"/>
  <c r="CV175" i="5"/>
  <c r="CU175" i="5"/>
  <c r="CT175" i="5"/>
  <c r="CS175" i="5"/>
  <c r="CR175" i="5"/>
  <c r="CQ175" i="5"/>
  <c r="CP175" i="5"/>
  <c r="CO175" i="5"/>
  <c r="CN175" i="5"/>
  <c r="CM175" i="5"/>
  <c r="CL175" i="5"/>
  <c r="CK175" i="5"/>
  <c r="CJ175" i="5"/>
  <c r="CI175" i="5"/>
  <c r="CH175" i="5"/>
  <c r="CG175" i="5"/>
  <c r="CF175" i="5"/>
  <c r="CE175" i="5"/>
  <c r="CD175" i="5"/>
  <c r="CC175" i="5"/>
  <c r="CB175" i="5"/>
  <c r="CA175" i="5"/>
  <c r="BZ175" i="5"/>
  <c r="BY175" i="5"/>
  <c r="BX175" i="5"/>
  <c r="BW175" i="5"/>
  <c r="BV175" i="5"/>
  <c r="BU175" i="5"/>
  <c r="BT175" i="5"/>
  <c r="BS175" i="5"/>
  <c r="BR175" i="5"/>
  <c r="BQ175" i="5"/>
  <c r="BP175" i="5"/>
  <c r="BO175" i="5"/>
  <c r="BN175" i="5"/>
  <c r="BM175" i="5"/>
  <c r="BL175" i="5"/>
  <c r="BK175" i="5"/>
  <c r="BJ175" i="5"/>
  <c r="BI175" i="5"/>
  <c r="BH175" i="5"/>
  <c r="BG175" i="5"/>
  <c r="BF175" i="5"/>
  <c r="BE175" i="5"/>
  <c r="BD175" i="5"/>
  <c r="BC175" i="5"/>
  <c r="BB175" i="5"/>
  <c r="BA175" i="5"/>
  <c r="AZ175" i="5"/>
  <c r="AY175" i="5"/>
  <c r="AX175" i="5"/>
  <c r="AW175" i="5"/>
  <c r="AV175" i="5"/>
  <c r="AU175" i="5"/>
  <c r="AT175" i="5"/>
  <c r="AS175" i="5"/>
  <c r="AR175" i="5"/>
  <c r="AQ175" i="5"/>
  <c r="AP175" i="5"/>
  <c r="AO175" i="5"/>
  <c r="AN175" i="5"/>
  <c r="AM175" i="5"/>
  <c r="AL175" i="5"/>
  <c r="AK175" i="5"/>
  <c r="AJ175" i="5"/>
  <c r="AI175" i="5"/>
  <c r="AH175" i="5"/>
  <c r="AG175" i="5"/>
  <c r="AF175" i="5"/>
  <c r="AE175" i="5"/>
  <c r="AD175" i="5"/>
  <c r="AC175" i="5"/>
  <c r="AB175" i="5"/>
  <c r="AA175" i="5"/>
  <c r="Z175" i="5"/>
  <c r="Y175" i="5"/>
  <c r="CJ173" i="5"/>
  <c r="CI173" i="5" s="1"/>
  <c r="CH173" i="5" s="1"/>
  <c r="CG173" i="5" s="1"/>
  <c r="CE173" i="5"/>
  <c r="CD173" i="5" s="1"/>
  <c r="CC173" i="5" s="1"/>
  <c r="CB173" i="5" s="1"/>
  <c r="BZ173" i="5"/>
  <c r="BY173" i="5" s="1"/>
  <c r="BX173" i="5" s="1"/>
  <c r="BW173" i="5" s="1"/>
  <c r="BU173" i="5"/>
  <c r="BT173" i="5" s="1"/>
  <c r="BS173" i="5" s="1"/>
  <c r="BR173" i="5" s="1"/>
  <c r="BP173" i="5"/>
  <c r="BO173" i="5" s="1"/>
  <c r="BN173" i="5" s="1"/>
  <c r="BM173" i="5" s="1"/>
  <c r="BK173" i="5"/>
  <c r="BJ173" i="5" s="1"/>
  <c r="BI173" i="5" s="1"/>
  <c r="BH173" i="5" s="1"/>
  <c r="BF173" i="5"/>
  <c r="BE173" i="5" s="1"/>
  <c r="BD173" i="5" s="1"/>
  <c r="BC173" i="5" s="1"/>
  <c r="BA173" i="5"/>
  <c r="AZ173" i="5" s="1"/>
  <c r="AY173" i="5" s="1"/>
  <c r="AX173" i="5" s="1"/>
  <c r="AV173" i="5"/>
  <c r="AU173" i="5" s="1"/>
  <c r="AT173" i="5" s="1"/>
  <c r="AS173" i="5" s="1"/>
  <c r="AQ173" i="5"/>
  <c r="AP173" i="5" s="1"/>
  <c r="AO173" i="5" s="1"/>
  <c r="AN173" i="5" s="1"/>
  <c r="CZ171" i="5"/>
  <c r="CU171" i="5"/>
  <c r="CL170" i="5"/>
  <c r="CF170" i="5"/>
  <c r="CA170" i="5"/>
  <c r="BV170" i="5"/>
  <c r="BK170" i="5"/>
  <c r="AO170" i="5"/>
  <c r="CZ169" i="5"/>
  <c r="CU169" i="5"/>
  <c r="CP169" i="5"/>
  <c r="CK169" i="5"/>
  <c r="CJ169" i="5" s="1"/>
  <c r="CF169" i="5"/>
  <c r="CE169" i="5"/>
  <c r="CD169" i="5" s="1"/>
  <c r="CD170" i="5" s="1"/>
  <c r="CC169" i="5"/>
  <c r="CA169" i="5"/>
  <c r="BZ169" i="5" s="1"/>
  <c r="BY169" i="5" s="1"/>
  <c r="BV169" i="5"/>
  <c r="BU169" i="5"/>
  <c r="BT169" i="5" s="1"/>
  <c r="BQ169" i="5"/>
  <c r="BP169" i="5" s="1"/>
  <c r="BO169" i="5" s="1"/>
  <c r="BN169" i="5" s="1"/>
  <c r="BN170" i="5" s="1"/>
  <c r="BL169" i="5"/>
  <c r="BL170" i="5" s="1"/>
  <c r="BK169" i="5"/>
  <c r="BJ169" i="5" s="1"/>
  <c r="BJ170" i="5" s="1"/>
  <c r="BG169" i="5"/>
  <c r="BG170" i="5" s="1"/>
  <c r="BB169" i="5"/>
  <c r="BB170" i="5" s="1"/>
  <c r="BA169" i="5"/>
  <c r="AZ169" i="5" s="1"/>
  <c r="AW169" i="5"/>
  <c r="AV169" i="5" s="1"/>
  <c r="AU169" i="5"/>
  <c r="AR169" i="5"/>
  <c r="AR170" i="5" s="1"/>
  <c r="AQ169" i="5"/>
  <c r="AP169" i="5" s="1"/>
  <c r="AP170" i="5" s="1"/>
  <c r="AO169" i="5"/>
  <c r="AN169" i="5" s="1"/>
  <c r="AN170" i="5" s="1"/>
  <c r="CK168" i="5"/>
  <c r="CE168" i="5"/>
  <c r="CE170" i="5" s="1"/>
  <c r="CA168" i="5"/>
  <c r="BZ168" i="5"/>
  <c r="BZ170" i="5" s="1"/>
  <c r="BU168" i="5"/>
  <c r="BQ168" i="5"/>
  <c r="BO168" i="5"/>
  <c r="BO170" i="5" s="1"/>
  <c r="BK168" i="5"/>
  <c r="BF168" i="5"/>
  <c r="BA168" i="5"/>
  <c r="AV168" i="5"/>
  <c r="AV170" i="5" s="1"/>
  <c r="AQ168" i="5"/>
  <c r="AQ170" i="5" s="1"/>
  <c r="CJ165" i="5"/>
  <c r="CE165" i="5"/>
  <c r="BZ165" i="5"/>
  <c r="BU165" i="5"/>
  <c r="BP165" i="5"/>
  <c r="BK165" i="5"/>
  <c r="BF165" i="5"/>
  <c r="BA165" i="5"/>
  <c r="AV165" i="5"/>
  <c r="AQ165" i="5"/>
  <c r="CL160" i="5"/>
  <c r="CJ160" i="5"/>
  <c r="CI160" i="5"/>
  <c r="CH160" i="5"/>
  <c r="CG160" i="5"/>
  <c r="CE160" i="5"/>
  <c r="CY159" i="5"/>
  <c r="CX159" i="5"/>
  <c r="CW159" i="5"/>
  <c r="CV159" i="5"/>
  <c r="CT159" i="5"/>
  <c r="CS159" i="5"/>
  <c r="CR159" i="5"/>
  <c r="CQ159" i="5"/>
  <c r="CO159" i="5"/>
  <c r="CN159" i="5"/>
  <c r="CM159" i="5"/>
  <c r="CL159" i="5"/>
  <c r="CJ159" i="5"/>
  <c r="CI159" i="5"/>
  <c r="CH159" i="5"/>
  <c r="CG159" i="5"/>
  <c r="CE159" i="5"/>
  <c r="CK158" i="5"/>
  <c r="CF158" i="5"/>
  <c r="CJ156" i="5"/>
  <c r="CI156" i="5"/>
  <c r="CH156" i="5"/>
  <c r="CG156" i="5"/>
  <c r="CE156" i="5"/>
  <c r="CD156" i="5"/>
  <c r="CC156" i="5"/>
  <c r="CB156" i="5"/>
  <c r="BZ156" i="5"/>
  <c r="BY156" i="5"/>
  <c r="BX156" i="5"/>
  <c r="BW156" i="5"/>
  <c r="BU156" i="5"/>
  <c r="BT156" i="5"/>
  <c r="BS156" i="5"/>
  <c r="BR156" i="5"/>
  <c r="BP156" i="5"/>
  <c r="BO156" i="5"/>
  <c r="BN156" i="5"/>
  <c r="BM156" i="5"/>
  <c r="BK156" i="5"/>
  <c r="BJ156" i="5"/>
  <c r="BI156" i="5"/>
  <c r="BH156" i="5"/>
  <c r="BF156" i="5"/>
  <c r="BE156" i="5"/>
  <c r="BD156" i="5"/>
  <c r="BC156" i="5"/>
  <c r="BA156" i="5"/>
  <c r="AZ156" i="5"/>
  <c r="AY156" i="5"/>
  <c r="AX156" i="5"/>
  <c r="AV156" i="5"/>
  <c r="AU156" i="5"/>
  <c r="AT156" i="5"/>
  <c r="AS156" i="5"/>
  <c r="AQ156" i="5"/>
  <c r="AP156" i="5"/>
  <c r="AO156" i="5"/>
  <c r="AN156" i="5"/>
  <c r="AL156" i="5"/>
  <c r="AK156" i="5"/>
  <c r="AJ156" i="5"/>
  <c r="AI156" i="5"/>
  <c r="AG156" i="5"/>
  <c r="AF156" i="5"/>
  <c r="AE156" i="5"/>
  <c r="AD156" i="5"/>
  <c r="AB156" i="5"/>
  <c r="AA156" i="5"/>
  <c r="Z156" i="5"/>
  <c r="Y156" i="5"/>
  <c r="W156" i="5"/>
  <c r="V156" i="5"/>
  <c r="U156" i="5"/>
  <c r="T156" i="5"/>
  <c r="R156" i="5"/>
  <c r="Q156" i="5"/>
  <c r="P156" i="5"/>
  <c r="O156" i="5"/>
  <c r="M156" i="5"/>
  <c r="L156" i="5"/>
  <c r="K156" i="5"/>
  <c r="J156" i="5"/>
  <c r="CZ152" i="5"/>
  <c r="CZ149" i="5"/>
  <c r="CU152" i="5"/>
  <c r="CU149" i="5"/>
  <c r="CP149" i="5"/>
  <c r="CL150" i="5"/>
  <c r="CA150" i="5"/>
  <c r="BW150" i="5"/>
  <c r="BG150" i="5"/>
  <c r="BC150" i="5"/>
  <c r="BB150" i="5"/>
  <c r="AM150" i="5"/>
  <c r="AC150" i="5"/>
  <c r="X150" i="5"/>
  <c r="S150" i="5"/>
  <c r="N150" i="5"/>
  <c r="I150" i="5"/>
  <c r="H150" i="5"/>
  <c r="CK149" i="5"/>
  <c r="CG149" i="5" s="1"/>
  <c r="CF149" i="5"/>
  <c r="CF150" i="5" s="1"/>
  <c r="CA149" i="5"/>
  <c r="BX149" i="5"/>
  <c r="BX150" i="5" s="1"/>
  <c r="BW149" i="5"/>
  <c r="BV149" i="5"/>
  <c r="BV150" i="5" s="1"/>
  <c r="BR149" i="5"/>
  <c r="BS149" i="5" s="1"/>
  <c r="BT149" i="5" s="1"/>
  <c r="BQ149" i="5"/>
  <c r="BQ150" i="5" s="1"/>
  <c r="BM149" i="5"/>
  <c r="BM150" i="5" s="1"/>
  <c r="BL149" i="5"/>
  <c r="BH149" i="5"/>
  <c r="BH150" i="5" s="1"/>
  <c r="BG149" i="5"/>
  <c r="BD149" i="5"/>
  <c r="BE149" i="5" s="1"/>
  <c r="BC149" i="5"/>
  <c r="BB149" i="5"/>
  <c r="AZ149" i="5"/>
  <c r="BA149" i="5" s="1"/>
  <c r="AX149" i="5"/>
  <c r="AY149" i="5" s="1"/>
  <c r="AY150" i="5" s="1"/>
  <c r="AW149" i="5"/>
  <c r="AW150" i="5" s="1"/>
  <c r="AT149" i="5"/>
  <c r="AU149" i="5" s="1"/>
  <c r="AV149" i="5" s="1"/>
  <c r="AS149" i="5"/>
  <c r="AS150" i="5" s="1"/>
  <c r="AR149" i="5"/>
  <c r="AR150" i="5" s="1"/>
  <c r="AO149" i="5"/>
  <c r="AO150" i="5" s="1"/>
  <c r="AN149" i="5"/>
  <c r="AN150" i="5" s="1"/>
  <c r="AM149" i="5"/>
  <c r="AK149" i="5"/>
  <c r="AK150" i="5" s="1"/>
  <c r="AH149" i="5"/>
  <c r="AH150" i="5" s="1"/>
  <c r="AF149" i="5"/>
  <c r="AE149" i="5" s="1"/>
  <c r="AE150" i="5" s="1"/>
  <c r="AB149" i="5"/>
  <c r="AA149" i="5"/>
  <c r="Z149" i="5" s="1"/>
  <c r="Z150" i="5" s="1"/>
  <c r="Y149" i="5"/>
  <c r="Y150" i="5" s="1"/>
  <c r="W149" i="5"/>
  <c r="W150" i="5" s="1"/>
  <c r="R149" i="5"/>
  <c r="Q149" i="5" s="1"/>
  <c r="M149" i="5"/>
  <c r="M150" i="5" s="1"/>
  <c r="L149" i="5"/>
  <c r="K149" i="5" s="1"/>
  <c r="K150" i="5" s="1"/>
  <c r="CJ148" i="5"/>
  <c r="CI148" i="5"/>
  <c r="CH148" i="5"/>
  <c r="CE148" i="5"/>
  <c r="BZ148" i="5"/>
  <c r="BU148" i="5"/>
  <c r="BP148" i="5"/>
  <c r="BL148" i="5"/>
  <c r="BJ148" i="5"/>
  <c r="BK148" i="5" s="1"/>
  <c r="BF148" i="5"/>
  <c r="BA148" i="5"/>
  <c r="AV148" i="5"/>
  <c r="AQ148" i="5"/>
  <c r="AJ148" i="5"/>
  <c r="AL148" i="5" s="1"/>
  <c r="AG148" i="5"/>
  <c r="AB148" i="5"/>
  <c r="AB150" i="5" s="1"/>
  <c r="W148" i="5"/>
  <c r="R148" i="5"/>
  <c r="R150" i="5" s="1"/>
  <c r="CM145" i="5"/>
  <c r="CL145" i="5"/>
  <c r="CJ145" i="5"/>
  <c r="CI145" i="5"/>
  <c r="CH145" i="5"/>
  <c r="CG145" i="5"/>
  <c r="CI137" i="5"/>
  <c r="CH137" i="5"/>
  <c r="CK137" i="5" s="1"/>
  <c r="CG137" i="5"/>
  <c r="CE137" i="5"/>
  <c r="CD137" i="5"/>
  <c r="CC137" i="5"/>
  <c r="CB137" i="5"/>
  <c r="BY137" i="5"/>
  <c r="BX137" i="5"/>
  <c r="BW137" i="5"/>
  <c r="BT137" i="5"/>
  <c r="BS137" i="5"/>
  <c r="BR137" i="5"/>
  <c r="BO137" i="5"/>
  <c r="BN137" i="5"/>
  <c r="BM137" i="5"/>
  <c r="BK137" i="5"/>
  <c r="BJ137" i="5"/>
  <c r="BI137" i="5"/>
  <c r="BH137" i="5"/>
  <c r="BE137" i="5"/>
  <c r="BD137" i="5"/>
  <c r="BC137" i="5"/>
  <c r="AZ137" i="5"/>
  <c r="AY137" i="5"/>
  <c r="AX137" i="5"/>
  <c r="AU137" i="5"/>
  <c r="AT137" i="5"/>
  <c r="AS137" i="5"/>
  <c r="AQ137" i="5"/>
  <c r="AP137" i="5"/>
  <c r="AO137" i="5"/>
  <c r="AN137" i="5"/>
  <c r="AK137" i="5"/>
  <c r="AI137" i="5"/>
  <c r="CZ135" i="5"/>
  <c r="CU135" i="5"/>
  <c r="CK134" i="5"/>
  <c r="BQ134" i="5"/>
  <c r="BQ137" i="5" s="1"/>
  <c r="AJ134" i="5"/>
  <c r="AJ132" i="5"/>
  <c r="AJ137" i="5" s="1"/>
  <c r="CI133" i="5"/>
  <c r="CE133" i="5"/>
  <c r="BW133" i="5"/>
  <c r="BS133" i="5"/>
  <c r="BK133" i="5"/>
  <c r="AU133" i="5"/>
  <c r="AQ133" i="5"/>
  <c r="AE133" i="5"/>
  <c r="AA133" i="5"/>
  <c r="W133" i="5"/>
  <c r="O133" i="5"/>
  <c r="K133" i="5"/>
  <c r="CJ132" i="5"/>
  <c r="CJ137" i="5" s="1"/>
  <c r="CE132" i="5"/>
  <c r="BZ132" i="5"/>
  <c r="BU132" i="5"/>
  <c r="BU137" i="5" s="1"/>
  <c r="BP132" i="5"/>
  <c r="BP137" i="5" s="1"/>
  <c r="BK132" i="5"/>
  <c r="BF132" i="5"/>
  <c r="BF133" i="5" s="1"/>
  <c r="BA132" i="5"/>
  <c r="BA137" i="5" s="1"/>
  <c r="AV132" i="5"/>
  <c r="AV137" i="5" s="1"/>
  <c r="AQ132" i="5"/>
  <c r="AL132" i="5"/>
  <c r="AL137" i="5" s="1"/>
  <c r="AG132" i="5"/>
  <c r="AG133" i="5" s="1"/>
  <c r="AC132" i="5"/>
  <c r="X132" i="5"/>
  <c r="S132" i="5"/>
  <c r="S133" i="5" s="1"/>
  <c r="CE130" i="5"/>
  <c r="BO130" i="5"/>
  <c r="BK130" i="5"/>
  <c r="AY130" i="5"/>
  <c r="AI130" i="5"/>
  <c r="AA130" i="5"/>
  <c r="S130" i="5"/>
  <c r="O130" i="5"/>
  <c r="K130" i="5"/>
  <c r="CN129" i="5"/>
  <c r="CS129" i="5" s="1"/>
  <c r="CX129" i="5" s="1"/>
  <c r="CJ129" i="5"/>
  <c r="CO129" i="5" s="1"/>
  <c r="CT129" i="5" s="1"/>
  <c r="CY129" i="5" s="1"/>
  <c r="CI129" i="5"/>
  <c r="CH129" i="5"/>
  <c r="CG129" i="5"/>
  <c r="CL129" i="5" s="1"/>
  <c r="CE129" i="5"/>
  <c r="CD129" i="5"/>
  <c r="CD128" i="5" s="1"/>
  <c r="CD163" i="5" s="1"/>
  <c r="CD166" i="5" s="1"/>
  <c r="CC129" i="5"/>
  <c r="CC128" i="5" s="1"/>
  <c r="CB129" i="5"/>
  <c r="CF129" i="5" s="1"/>
  <c r="BY129" i="5"/>
  <c r="BY128" i="5" s="1"/>
  <c r="BY163" i="5" s="1"/>
  <c r="BY166" i="5" s="1"/>
  <c r="BX129" i="5"/>
  <c r="BX128" i="5" s="1"/>
  <c r="BW129" i="5"/>
  <c r="BU129" i="5"/>
  <c r="BT129" i="5"/>
  <c r="BT128" i="5" s="1"/>
  <c r="BT163" i="5" s="1"/>
  <c r="BT166" i="5" s="1"/>
  <c r="BS129" i="5"/>
  <c r="BR129" i="5"/>
  <c r="BV129" i="5" s="1"/>
  <c r="BP129" i="5"/>
  <c r="BP128" i="5" s="1"/>
  <c r="BP163" i="5" s="1"/>
  <c r="BP166" i="5" s="1"/>
  <c r="BO129" i="5"/>
  <c r="BN129" i="5"/>
  <c r="BM129" i="5"/>
  <c r="BQ129" i="5" s="1"/>
  <c r="BK129" i="5"/>
  <c r="BJ129" i="5"/>
  <c r="BI129" i="5"/>
  <c r="BH129" i="5"/>
  <c r="BL129" i="5" s="1"/>
  <c r="BE129" i="5"/>
  <c r="BD129" i="5"/>
  <c r="BD128" i="5" s="1"/>
  <c r="BD163" i="5" s="1"/>
  <c r="BD166" i="5" s="1"/>
  <c r="BC129" i="5"/>
  <c r="AZ129" i="5"/>
  <c r="AZ128" i="5" s="1"/>
  <c r="AZ163" i="5" s="1"/>
  <c r="AZ166" i="5" s="1"/>
  <c r="AY129" i="5"/>
  <c r="AX129" i="5"/>
  <c r="AV129" i="5"/>
  <c r="AV128" i="5" s="1"/>
  <c r="AV163" i="5" s="1"/>
  <c r="AV166" i="5" s="1"/>
  <c r="AU129" i="5"/>
  <c r="AT129" i="5"/>
  <c r="AS129" i="5"/>
  <c r="AW129" i="5" s="1"/>
  <c r="AQ129" i="5"/>
  <c r="AP129" i="5"/>
  <c r="AO129" i="5"/>
  <c r="AN129" i="5"/>
  <c r="AR129" i="5" s="1"/>
  <c r="AL129" i="5"/>
  <c r="AK129" i="5"/>
  <c r="AJ129" i="5"/>
  <c r="AJ128" i="5" s="1"/>
  <c r="AI129" i="5"/>
  <c r="AF129" i="5"/>
  <c r="AF128" i="5" s="1"/>
  <c r="AE129" i="5"/>
  <c r="AD129" i="5"/>
  <c r="CG128" i="5"/>
  <c r="CE128" i="5"/>
  <c r="CE163" i="5" s="1"/>
  <c r="CB128" i="5"/>
  <c r="CB163" i="5" s="1"/>
  <c r="CB166" i="5" s="1"/>
  <c r="BW128" i="5"/>
  <c r="BW163" i="5" s="1"/>
  <c r="BW166" i="5" s="1"/>
  <c r="BU128" i="5"/>
  <c r="BU163" i="5" s="1"/>
  <c r="BS128" i="5"/>
  <c r="BS163" i="5" s="1"/>
  <c r="BS166" i="5" s="1"/>
  <c r="BR128" i="5"/>
  <c r="BO128" i="5"/>
  <c r="BO163" i="5" s="1"/>
  <c r="BO166" i="5" s="1"/>
  <c r="BN128" i="5"/>
  <c r="BN163" i="5" s="1"/>
  <c r="BN166" i="5" s="1"/>
  <c r="BM128" i="5"/>
  <c r="BM163" i="5" s="1"/>
  <c r="BM166" i="5" s="1"/>
  <c r="BK128" i="5"/>
  <c r="BK163" i="5" s="1"/>
  <c r="BJ128" i="5"/>
  <c r="BJ163" i="5" s="1"/>
  <c r="BJ166" i="5" s="1"/>
  <c r="BI128" i="5"/>
  <c r="BI163" i="5" s="1"/>
  <c r="BI166" i="5" s="1"/>
  <c r="BE128" i="5"/>
  <c r="BE163" i="5" s="1"/>
  <c r="BE166" i="5" s="1"/>
  <c r="BC128" i="5"/>
  <c r="BC163" i="5" s="1"/>
  <c r="BC166" i="5" s="1"/>
  <c r="AY128" i="5"/>
  <c r="AY163" i="5" s="1"/>
  <c r="AY166" i="5" s="1"/>
  <c r="AX128" i="5"/>
  <c r="AX163" i="5" s="1"/>
  <c r="AX166" i="5" s="1"/>
  <c r="AU128" i="5"/>
  <c r="AU163" i="5" s="1"/>
  <c r="AU166" i="5" s="1"/>
  <c r="AT128" i="5"/>
  <c r="AT163" i="5" s="1"/>
  <c r="AT166" i="5" s="1"/>
  <c r="AS128" i="5"/>
  <c r="AS163" i="5" s="1"/>
  <c r="AS166" i="5" s="1"/>
  <c r="AQ128" i="5"/>
  <c r="AQ163" i="5" s="1"/>
  <c r="AP128" i="5"/>
  <c r="AP163" i="5" s="1"/>
  <c r="AP166" i="5" s="1"/>
  <c r="AO128" i="5"/>
  <c r="AO163" i="5" s="1"/>
  <c r="AO166" i="5" s="1"/>
  <c r="AL128" i="5"/>
  <c r="AK128" i="5"/>
  <c r="AI128" i="5"/>
  <c r="AE128" i="5"/>
  <c r="AE130" i="5" s="1"/>
  <c r="AD128" i="5"/>
  <c r="CL126" i="5"/>
  <c r="CJ126" i="5"/>
  <c r="CJ133" i="5" s="1"/>
  <c r="CI126" i="5"/>
  <c r="CH126" i="5"/>
  <c r="CG126" i="5"/>
  <c r="CG130" i="5" s="1"/>
  <c r="CE126" i="5"/>
  <c r="CD126" i="5"/>
  <c r="CC126" i="5"/>
  <c r="CC157" i="5" s="1"/>
  <c r="CB126" i="5"/>
  <c r="CB130" i="5" s="1"/>
  <c r="BZ126" i="5"/>
  <c r="BY126" i="5"/>
  <c r="BY157" i="5" s="1"/>
  <c r="BX126" i="5"/>
  <c r="BX157" i="5" s="1"/>
  <c r="BW126" i="5"/>
  <c r="BU126" i="5"/>
  <c r="BU157" i="5" s="1"/>
  <c r="BT126" i="5"/>
  <c r="BT157" i="5" s="1"/>
  <c r="BS126" i="5"/>
  <c r="BS130" i="5" s="1"/>
  <c r="BR126" i="5"/>
  <c r="BP126" i="5"/>
  <c r="BP157" i="5" s="1"/>
  <c r="BO126" i="5"/>
  <c r="BO133" i="5" s="1"/>
  <c r="BN126" i="5"/>
  <c r="BM126" i="5"/>
  <c r="BM133" i="5" s="1"/>
  <c r="BK126" i="5"/>
  <c r="BJ126" i="5"/>
  <c r="BJ133" i="5" s="1"/>
  <c r="BI126" i="5"/>
  <c r="BI130" i="5" s="1"/>
  <c r="BH126" i="5"/>
  <c r="BH133" i="5" s="1"/>
  <c r="BF126" i="5"/>
  <c r="BE126" i="5"/>
  <c r="BE130" i="5" s="1"/>
  <c r="BD126" i="5"/>
  <c r="BC126" i="5"/>
  <c r="BC133" i="5" s="1"/>
  <c r="BA126" i="5"/>
  <c r="BA157" i="5" s="1"/>
  <c r="AZ126" i="5"/>
  <c r="AZ133" i="5" s="1"/>
  <c r="AY126" i="5"/>
  <c r="AY133" i="5" s="1"/>
  <c r="AX126" i="5"/>
  <c r="AX133" i="5" s="1"/>
  <c r="AV126" i="5"/>
  <c r="AV157" i="5" s="1"/>
  <c r="AU126" i="5"/>
  <c r="AT126" i="5"/>
  <c r="AS126" i="5"/>
  <c r="AS157" i="5" s="1"/>
  <c r="AQ126" i="5"/>
  <c r="AP126" i="5"/>
  <c r="AP133" i="5" s="1"/>
  <c r="AO126" i="5"/>
  <c r="AN126" i="5"/>
  <c r="AN157" i="5" s="1"/>
  <c r="AL126" i="5"/>
  <c r="AK126" i="5"/>
  <c r="AK133" i="5" s="1"/>
  <c r="AJ126" i="5"/>
  <c r="AJ157" i="5" s="1"/>
  <c r="AI126" i="5"/>
  <c r="AI133" i="5" s="1"/>
  <c r="AG126" i="5"/>
  <c r="AG157" i="5" s="1"/>
  <c r="AF126" i="5"/>
  <c r="AF133" i="5" s="1"/>
  <c r="AE126" i="5"/>
  <c r="AD126" i="5"/>
  <c r="AD133" i="5" s="1"/>
  <c r="AB126" i="5"/>
  <c r="AB130" i="5" s="1"/>
  <c r="AA126" i="5"/>
  <c r="Z126" i="5"/>
  <c r="Z130" i="5" s="1"/>
  <c r="Y126" i="5"/>
  <c r="Y130" i="5" s="1"/>
  <c r="X126" i="5"/>
  <c r="X157" i="5" s="1"/>
  <c r="W126" i="5"/>
  <c r="W130" i="5" s="1"/>
  <c r="V126" i="5"/>
  <c r="V130" i="5" s="1"/>
  <c r="U126" i="5"/>
  <c r="U130" i="5" s="1"/>
  <c r="T126" i="5"/>
  <c r="T133" i="5" s="1"/>
  <c r="S126" i="5"/>
  <c r="S157" i="5" s="1"/>
  <c r="R126" i="5"/>
  <c r="Q126" i="5"/>
  <c r="Q133" i="5" s="1"/>
  <c r="P126" i="5"/>
  <c r="P133" i="5" s="1"/>
  <c r="O126" i="5"/>
  <c r="N126" i="5"/>
  <c r="N133" i="5" s="1"/>
  <c r="M126" i="5"/>
  <c r="M157" i="5" s="1"/>
  <c r="L126" i="5"/>
  <c r="L133" i="5" s="1"/>
  <c r="K126" i="5"/>
  <c r="J126" i="5"/>
  <c r="J130" i="5" s="1"/>
  <c r="I126" i="5"/>
  <c r="I133" i="5" s="1"/>
  <c r="H126" i="5"/>
  <c r="CK125" i="5"/>
  <c r="CK124" i="5"/>
  <c r="CK160" i="5" s="1"/>
  <c r="CK123" i="5"/>
  <c r="CK122" i="5"/>
  <c r="CK121" i="5"/>
  <c r="CK120" i="5"/>
  <c r="CK119" i="5"/>
  <c r="CK126" i="5" s="1"/>
  <c r="CF125" i="5"/>
  <c r="CF116" i="5" s="1"/>
  <c r="CF124" i="5"/>
  <c r="CF160" i="5" s="1"/>
  <c r="CF123" i="5"/>
  <c r="CF122" i="5"/>
  <c r="CF121" i="5"/>
  <c r="CF126" i="5" s="1"/>
  <c r="CF120" i="5"/>
  <c r="CF119" i="5"/>
  <c r="CA125" i="5"/>
  <c r="CA137" i="5" s="1"/>
  <c r="BV125" i="5"/>
  <c r="BV137" i="5" s="1"/>
  <c r="BQ125" i="5"/>
  <c r="BL125" i="5"/>
  <c r="BL116" i="5" s="1"/>
  <c r="BG125" i="5"/>
  <c r="BG116" i="5" s="1"/>
  <c r="BB125" i="5"/>
  <c r="AW125" i="5"/>
  <c r="AR125" i="5"/>
  <c r="AR116" i="5" s="1"/>
  <c r="AM125" i="5"/>
  <c r="AM137" i="5" s="1"/>
  <c r="AH125" i="5"/>
  <c r="AC125" i="5"/>
  <c r="CA122" i="5"/>
  <c r="CA113" i="5" s="1"/>
  <c r="CA121" i="5"/>
  <c r="CA112" i="5" s="1"/>
  <c r="CA120" i="5"/>
  <c r="CA111" i="5" s="1"/>
  <c r="CA119" i="5"/>
  <c r="CA126" i="5" s="1"/>
  <c r="BV122" i="5"/>
  <c r="BV121" i="5"/>
  <c r="BV120" i="5"/>
  <c r="BV126" i="5" s="1"/>
  <c r="BV119" i="5"/>
  <c r="BQ122" i="5"/>
  <c r="BQ121" i="5"/>
  <c r="BQ120" i="5"/>
  <c r="BQ126" i="5" s="1"/>
  <c r="BQ119" i="5"/>
  <c r="BL122" i="5"/>
  <c r="BL121" i="5"/>
  <c r="BL120" i="5"/>
  <c r="BL126" i="5" s="1"/>
  <c r="BL119" i="5"/>
  <c r="BG122" i="5"/>
  <c r="BG113" i="5" s="1"/>
  <c r="BG121" i="5"/>
  <c r="BG112" i="5" s="1"/>
  <c r="BG120" i="5"/>
  <c r="BG111" i="5" s="1"/>
  <c r="BG119" i="5"/>
  <c r="BG126" i="5" s="1"/>
  <c r="BB122" i="5"/>
  <c r="BB121" i="5"/>
  <c r="BB120" i="5"/>
  <c r="BB126" i="5" s="1"/>
  <c r="BB119" i="5"/>
  <c r="AW122" i="5"/>
  <c r="AW121" i="5"/>
  <c r="AW120" i="5"/>
  <c r="AW126" i="5" s="1"/>
  <c r="AW119" i="5"/>
  <c r="AR122" i="5"/>
  <c r="AR121" i="5"/>
  <c r="AR120" i="5"/>
  <c r="AR126" i="5" s="1"/>
  <c r="AR119" i="5"/>
  <c r="AM122" i="5"/>
  <c r="AM121" i="5"/>
  <c r="AM120" i="5"/>
  <c r="AM119" i="5"/>
  <c r="AM126" i="5" s="1"/>
  <c r="AH121" i="5"/>
  <c r="AH120" i="5"/>
  <c r="AH111" i="5" s="1"/>
  <c r="AH119" i="5"/>
  <c r="AH126" i="5" s="1"/>
  <c r="AC121" i="5"/>
  <c r="AC120" i="5"/>
  <c r="AC119" i="5"/>
  <c r="AC126" i="5" s="1"/>
  <c r="CV125" i="5"/>
  <c r="CR125" i="5"/>
  <c r="CW125" i="5" s="1"/>
  <c r="CQ125" i="5"/>
  <c r="CO125" i="5"/>
  <c r="CT125" i="5" s="1"/>
  <c r="CY125" i="5" s="1"/>
  <c r="CN125" i="5"/>
  <c r="CP125" i="5" s="1"/>
  <c r="CP116" i="5" s="1"/>
  <c r="CM125" i="5"/>
  <c r="CT124" i="5"/>
  <c r="CT160" i="5" s="1"/>
  <c r="CQ124" i="5"/>
  <c r="CQ160" i="5" s="1"/>
  <c r="CP124" i="5"/>
  <c r="CP160" i="5" s="1"/>
  <c r="CO124" i="5"/>
  <c r="CO160" i="5" s="1"/>
  <c r="CN124" i="5"/>
  <c r="CN160" i="5" s="1"/>
  <c r="CM124" i="5"/>
  <c r="CM160" i="5" s="1"/>
  <c r="CV123" i="5"/>
  <c r="CR123" i="5"/>
  <c r="CW123" i="5" s="1"/>
  <c r="CQ123" i="5"/>
  <c r="CO123" i="5"/>
  <c r="CT123" i="5" s="1"/>
  <c r="CY123" i="5" s="1"/>
  <c r="CN123" i="5"/>
  <c r="CP123" i="5" s="1"/>
  <c r="CP114" i="5" s="1"/>
  <c r="CM123" i="5"/>
  <c r="CT122" i="5"/>
  <c r="CY122" i="5" s="1"/>
  <c r="CQ122" i="5"/>
  <c r="CV122" i="5" s="1"/>
  <c r="CP122" i="5"/>
  <c r="CP113" i="5" s="1"/>
  <c r="CO122" i="5"/>
  <c r="CN122" i="5"/>
  <c r="CS122" i="5" s="1"/>
  <c r="CX122" i="5" s="1"/>
  <c r="CM122" i="5"/>
  <c r="CR122" i="5" s="1"/>
  <c r="CW122" i="5" s="1"/>
  <c r="CV121" i="5"/>
  <c r="CR121" i="5"/>
  <c r="CW121" i="5" s="1"/>
  <c r="CQ121" i="5"/>
  <c r="CO121" i="5"/>
  <c r="CT121" i="5" s="1"/>
  <c r="CY121" i="5" s="1"/>
  <c r="CN121" i="5"/>
  <c r="CP121" i="5" s="1"/>
  <c r="CP112" i="5" s="1"/>
  <c r="CM121" i="5"/>
  <c r="CT120" i="5"/>
  <c r="CY120" i="5" s="1"/>
  <c r="CQ120" i="5"/>
  <c r="CV120" i="5" s="1"/>
  <c r="CP120" i="5"/>
  <c r="CP111" i="5" s="1"/>
  <c r="CO120" i="5"/>
  <c r="CN120" i="5"/>
  <c r="CS120" i="5" s="1"/>
  <c r="CX120" i="5" s="1"/>
  <c r="CM120" i="5"/>
  <c r="CR120" i="5" s="1"/>
  <c r="CW120" i="5" s="1"/>
  <c r="CV119" i="5"/>
  <c r="CR119" i="5"/>
  <c r="CW119" i="5" s="1"/>
  <c r="CQ119" i="5"/>
  <c r="CQ126" i="5" s="1"/>
  <c r="CO119" i="5"/>
  <c r="CT119" i="5" s="1"/>
  <c r="CN119" i="5"/>
  <c r="CP119" i="5" s="1"/>
  <c r="CM119" i="5"/>
  <c r="CM126" i="5" s="1"/>
  <c r="CL116" i="5"/>
  <c r="CK116" i="5"/>
  <c r="CJ116" i="5"/>
  <c r="CI116" i="5"/>
  <c r="CH116" i="5"/>
  <c r="CG116" i="5"/>
  <c r="CE116" i="5"/>
  <c r="CD116" i="5"/>
  <c r="CC116" i="5"/>
  <c r="CB116" i="5"/>
  <c r="BZ116" i="5"/>
  <c r="BY116" i="5"/>
  <c r="BX116" i="5"/>
  <c r="BW116" i="5"/>
  <c r="BV116" i="5"/>
  <c r="BU116" i="5"/>
  <c r="BT116" i="5"/>
  <c r="BS116" i="5"/>
  <c r="BR116" i="5"/>
  <c r="BQ116" i="5"/>
  <c r="BP116" i="5"/>
  <c r="BO116" i="5"/>
  <c r="BN116" i="5"/>
  <c r="BM116" i="5"/>
  <c r="BK116" i="5"/>
  <c r="BJ116" i="5"/>
  <c r="BI116" i="5"/>
  <c r="BH116" i="5"/>
  <c r="BF116" i="5"/>
  <c r="BE116" i="5"/>
  <c r="BD116" i="5"/>
  <c r="BC116" i="5"/>
  <c r="BB116" i="5"/>
  <c r="BA116" i="5"/>
  <c r="AZ116" i="5"/>
  <c r="AY116" i="5"/>
  <c r="AX116" i="5"/>
  <c r="AW116" i="5"/>
  <c r="AV116" i="5"/>
  <c r="AU116" i="5"/>
  <c r="AT116" i="5"/>
  <c r="AS116" i="5"/>
  <c r="AQ116" i="5"/>
  <c r="AP116" i="5"/>
  <c r="AO116" i="5"/>
  <c r="AN116" i="5"/>
  <c r="AL116" i="5"/>
  <c r="AK116" i="5"/>
  <c r="AJ116" i="5"/>
  <c r="AI116" i="5"/>
  <c r="AH116" i="5"/>
  <c r="AG116" i="5"/>
  <c r="AF116" i="5"/>
  <c r="AE116" i="5"/>
  <c r="AD116" i="5"/>
  <c r="AC116" i="5"/>
  <c r="AB116" i="5"/>
  <c r="AA116" i="5"/>
  <c r="Z116" i="5"/>
  <c r="Y116" i="5"/>
  <c r="X116" i="5"/>
  <c r="W116" i="5"/>
  <c r="V116" i="5"/>
  <c r="U116" i="5"/>
  <c r="T116" i="5"/>
  <c r="S116" i="5"/>
  <c r="N116" i="5"/>
  <c r="I116" i="5"/>
  <c r="CL115" i="5"/>
  <c r="CK115" i="5"/>
  <c r="CJ115" i="5"/>
  <c r="CL114" i="5"/>
  <c r="CL113" i="5"/>
  <c r="CL112" i="5"/>
  <c r="CL111" i="5"/>
  <c r="CL110" i="5"/>
  <c r="N112" i="5"/>
  <c r="N111" i="5"/>
  <c r="N110" i="5"/>
  <c r="I112" i="5"/>
  <c r="I111" i="5"/>
  <c r="I110" i="5"/>
  <c r="CK113" i="5"/>
  <c r="CJ113" i="5"/>
  <c r="CI113" i="5"/>
  <c r="CH113" i="5"/>
  <c r="CG113" i="5"/>
  <c r="CF113" i="5"/>
  <c r="CE113" i="5"/>
  <c r="CD113" i="5"/>
  <c r="CC113" i="5"/>
  <c r="CB113" i="5"/>
  <c r="BZ113" i="5"/>
  <c r="BY113" i="5"/>
  <c r="BX113" i="5"/>
  <c r="BW113" i="5"/>
  <c r="BV113" i="5"/>
  <c r="BU113" i="5"/>
  <c r="BT113" i="5"/>
  <c r="BS113" i="5"/>
  <c r="BR113" i="5"/>
  <c r="BQ113" i="5"/>
  <c r="BP113" i="5"/>
  <c r="BO113" i="5"/>
  <c r="BN113" i="5"/>
  <c r="BM113" i="5"/>
  <c r="BL113" i="5"/>
  <c r="BK113" i="5"/>
  <c r="BJ113" i="5"/>
  <c r="BI113" i="5"/>
  <c r="BH113" i="5"/>
  <c r="BF113" i="5"/>
  <c r="BE113" i="5"/>
  <c r="BD113" i="5"/>
  <c r="BC113" i="5"/>
  <c r="BB113" i="5"/>
  <c r="CK112" i="5"/>
  <c r="CJ112" i="5"/>
  <c r="CI112" i="5"/>
  <c r="CH112" i="5"/>
  <c r="CG112" i="5"/>
  <c r="CF112" i="5"/>
  <c r="CE112" i="5"/>
  <c r="CD112" i="5"/>
  <c r="CC112" i="5"/>
  <c r="CB112" i="5"/>
  <c r="BZ112" i="5"/>
  <c r="BY112" i="5"/>
  <c r="BX112" i="5"/>
  <c r="BW112" i="5"/>
  <c r="BV112" i="5"/>
  <c r="BU112" i="5"/>
  <c r="BT112" i="5"/>
  <c r="BS112" i="5"/>
  <c r="BR112" i="5"/>
  <c r="BQ112" i="5"/>
  <c r="BP112" i="5"/>
  <c r="BO112" i="5"/>
  <c r="BN112" i="5"/>
  <c r="BM112" i="5"/>
  <c r="BL112" i="5"/>
  <c r="BK112" i="5"/>
  <c r="BJ112" i="5"/>
  <c r="BI112" i="5"/>
  <c r="BH112" i="5"/>
  <c r="BF112" i="5"/>
  <c r="BE112" i="5"/>
  <c r="BD112" i="5"/>
  <c r="BC112" i="5"/>
  <c r="BB112" i="5"/>
  <c r="CK111" i="5"/>
  <c r="CJ111" i="5"/>
  <c r="CI111" i="5"/>
  <c r="CH111" i="5"/>
  <c r="CG111" i="5"/>
  <c r="CF111" i="5"/>
  <c r="CE111" i="5"/>
  <c r="CD111" i="5"/>
  <c r="CC111" i="5"/>
  <c r="CB111" i="5"/>
  <c r="BZ111" i="5"/>
  <c r="BY111" i="5"/>
  <c r="BX111" i="5"/>
  <c r="BW111" i="5"/>
  <c r="BU111" i="5"/>
  <c r="BT111" i="5"/>
  <c r="BS111" i="5"/>
  <c r="BR111" i="5"/>
  <c r="BQ111" i="5"/>
  <c r="BP111" i="5"/>
  <c r="BO111" i="5"/>
  <c r="BN111" i="5"/>
  <c r="BM111" i="5"/>
  <c r="BL111" i="5"/>
  <c r="BK111" i="5"/>
  <c r="BJ111" i="5"/>
  <c r="BI111" i="5"/>
  <c r="BH111" i="5"/>
  <c r="BF111" i="5"/>
  <c r="BE111" i="5"/>
  <c r="BD111" i="5"/>
  <c r="BC111" i="5"/>
  <c r="CK110" i="5"/>
  <c r="CJ110" i="5"/>
  <c r="CI110" i="5"/>
  <c r="CH110" i="5"/>
  <c r="CG110" i="5"/>
  <c r="CF110" i="5"/>
  <c r="CE110" i="5"/>
  <c r="CD110" i="5"/>
  <c r="CC110" i="5"/>
  <c r="CB110" i="5"/>
  <c r="CA110" i="5"/>
  <c r="BZ110" i="5"/>
  <c r="BY110" i="5"/>
  <c r="BX110" i="5"/>
  <c r="BW110" i="5"/>
  <c r="BV110" i="5"/>
  <c r="BU110" i="5"/>
  <c r="BT110" i="5"/>
  <c r="BS110" i="5"/>
  <c r="BR110" i="5"/>
  <c r="BQ110" i="5"/>
  <c r="BP110" i="5"/>
  <c r="BO110" i="5"/>
  <c r="BN110" i="5"/>
  <c r="BM110" i="5"/>
  <c r="BL110" i="5"/>
  <c r="BK110" i="5"/>
  <c r="BJ110" i="5"/>
  <c r="BI110" i="5"/>
  <c r="BH110" i="5"/>
  <c r="BG110" i="5"/>
  <c r="BF110" i="5"/>
  <c r="BE110" i="5"/>
  <c r="BD110" i="5"/>
  <c r="BC110" i="5"/>
  <c r="BB110" i="5"/>
  <c r="AZ113" i="5"/>
  <c r="AY113" i="5"/>
  <c r="AX113" i="5"/>
  <c r="AW113" i="5"/>
  <c r="AV113" i="5"/>
  <c r="AU113" i="5"/>
  <c r="AT113" i="5"/>
  <c r="AS113" i="5"/>
  <c r="AR113" i="5"/>
  <c r="AQ113" i="5"/>
  <c r="AP113" i="5"/>
  <c r="AO113" i="5"/>
  <c r="AN113" i="5"/>
  <c r="AZ112" i="5"/>
  <c r="AY112" i="5"/>
  <c r="AX112" i="5"/>
  <c r="AW112" i="5"/>
  <c r="AV112" i="5"/>
  <c r="AU112" i="5"/>
  <c r="AT112" i="5"/>
  <c r="AS112" i="5"/>
  <c r="AR112" i="5"/>
  <c r="AQ112" i="5"/>
  <c r="AP112" i="5"/>
  <c r="AO112" i="5"/>
  <c r="AN112" i="5"/>
  <c r="AZ111" i="5"/>
  <c r="AY111" i="5"/>
  <c r="AX111" i="5"/>
  <c r="AW111" i="5"/>
  <c r="AV111" i="5"/>
  <c r="AU111" i="5"/>
  <c r="AT111" i="5"/>
  <c r="AS111" i="5"/>
  <c r="AQ111" i="5"/>
  <c r="AP111" i="5"/>
  <c r="AO111" i="5"/>
  <c r="AN111" i="5"/>
  <c r="AZ110" i="5"/>
  <c r="AY110" i="5"/>
  <c r="AX110" i="5"/>
  <c r="AW110" i="5"/>
  <c r="AV110" i="5"/>
  <c r="AU110" i="5"/>
  <c r="AT110" i="5"/>
  <c r="AS110" i="5"/>
  <c r="AR110" i="5"/>
  <c r="AQ110" i="5"/>
  <c r="AP110" i="5"/>
  <c r="AO110" i="5"/>
  <c r="AN110" i="5"/>
  <c r="AM112" i="5"/>
  <c r="AL112" i="5"/>
  <c r="AK112" i="5"/>
  <c r="AJ112" i="5"/>
  <c r="AI112" i="5"/>
  <c r="AH112" i="5"/>
  <c r="AG112" i="5"/>
  <c r="AF112" i="5"/>
  <c r="AE112" i="5"/>
  <c r="AD112" i="5"/>
  <c r="AC112" i="5"/>
  <c r="AB112" i="5"/>
  <c r="AA112" i="5"/>
  <c r="Z112" i="5"/>
  <c r="Y112" i="5"/>
  <c r="X112" i="5"/>
  <c r="W112" i="5"/>
  <c r="V112" i="5"/>
  <c r="U112" i="5"/>
  <c r="T112" i="5"/>
  <c r="S112" i="5"/>
  <c r="AM111" i="5"/>
  <c r="AL111" i="5"/>
  <c r="AK111" i="5"/>
  <c r="AJ111" i="5"/>
  <c r="AI111" i="5"/>
  <c r="AG111" i="5"/>
  <c r="AF111" i="5"/>
  <c r="AE111" i="5"/>
  <c r="AD111" i="5"/>
  <c r="AC111" i="5"/>
  <c r="AB111" i="5"/>
  <c r="AA111" i="5"/>
  <c r="Z111" i="5"/>
  <c r="Y111" i="5"/>
  <c r="X111" i="5"/>
  <c r="W111" i="5"/>
  <c r="V111" i="5"/>
  <c r="U111" i="5"/>
  <c r="T111" i="5"/>
  <c r="S111" i="5"/>
  <c r="AL110" i="5"/>
  <c r="AK110" i="5"/>
  <c r="AJ110" i="5"/>
  <c r="AI110" i="5"/>
  <c r="AH110" i="5"/>
  <c r="AG110" i="5"/>
  <c r="AF110" i="5"/>
  <c r="AE110" i="5"/>
  <c r="AD110" i="5"/>
  <c r="AC110" i="5"/>
  <c r="AB110" i="5"/>
  <c r="AA110" i="5"/>
  <c r="Z110" i="5"/>
  <c r="Y110" i="5"/>
  <c r="X110" i="5"/>
  <c r="W110" i="5"/>
  <c r="V110" i="5"/>
  <c r="U110" i="5"/>
  <c r="T110" i="5"/>
  <c r="S110" i="5"/>
  <c r="CZ106" i="5"/>
  <c r="CU106" i="5"/>
  <c r="CP106" i="5"/>
  <c r="CK106" i="5"/>
  <c r="CF106" i="5"/>
  <c r="CA106" i="5"/>
  <c r="CJ104" i="5"/>
  <c r="CI104" i="5"/>
  <c r="CH104" i="5"/>
  <c r="CG104" i="5"/>
  <c r="CE104" i="5"/>
  <c r="CD104" i="5"/>
  <c r="CC104" i="5"/>
  <c r="CB104" i="5"/>
  <c r="BZ104" i="5"/>
  <c r="BY104" i="5"/>
  <c r="BX104" i="5"/>
  <c r="BW104" i="5"/>
  <c r="BU104" i="5"/>
  <c r="BT104" i="5"/>
  <c r="BS104" i="5"/>
  <c r="BR104" i="5"/>
  <c r="BP104" i="5"/>
  <c r="BO104" i="5"/>
  <c r="BN104" i="5"/>
  <c r="BM104" i="5"/>
  <c r="BK104" i="5"/>
  <c r="BJ104" i="5"/>
  <c r="BI104" i="5"/>
  <c r="BH104" i="5"/>
  <c r="BF104" i="5"/>
  <c r="BE104" i="5"/>
  <c r="BD104" i="5"/>
  <c r="BC104" i="5"/>
  <c r="BA104" i="5"/>
  <c r="AZ104" i="5"/>
  <c r="AY104" i="5"/>
  <c r="AX104" i="5"/>
  <c r="AV104" i="5"/>
  <c r="AU104" i="5"/>
  <c r="AT104" i="5"/>
  <c r="AS104" i="5"/>
  <c r="AQ104" i="5"/>
  <c r="AP104" i="5"/>
  <c r="AO104" i="5"/>
  <c r="AN104" i="5"/>
  <c r="AL104" i="5"/>
  <c r="AK104" i="5"/>
  <c r="AJ104" i="5"/>
  <c r="AI104" i="5"/>
  <c r="AG104" i="5"/>
  <c r="AF104" i="5"/>
  <c r="AE104" i="5"/>
  <c r="AD104" i="5"/>
  <c r="AB104" i="5"/>
  <c r="AA104" i="5"/>
  <c r="Z104" i="5"/>
  <c r="Y104" i="5"/>
  <c r="W104" i="5"/>
  <c r="V104" i="5"/>
  <c r="U104" i="5"/>
  <c r="T104" i="5"/>
  <c r="R104" i="5"/>
  <c r="Q104" i="5"/>
  <c r="P104" i="5"/>
  <c r="O104" i="5"/>
  <c r="M104" i="5"/>
  <c r="L104" i="5"/>
  <c r="K104" i="5"/>
  <c r="J104" i="5"/>
  <c r="CL102" i="5"/>
  <c r="CA102" i="5"/>
  <c r="BV102" i="5"/>
  <c r="BQ102" i="5"/>
  <c r="BK102" i="5"/>
  <c r="BG102" i="5"/>
  <c r="AM102" i="5"/>
  <c r="AK102" i="5"/>
  <c r="AH102" i="5"/>
  <c r="AE102" i="5"/>
  <c r="AC102" i="5"/>
  <c r="AA102" i="5"/>
  <c r="Z102" i="5"/>
  <c r="X102" i="5"/>
  <c r="V102" i="5"/>
  <c r="S102" i="5"/>
  <c r="Q102" i="5"/>
  <c r="M102" i="5"/>
  <c r="K102" i="5"/>
  <c r="I102" i="5"/>
  <c r="H102" i="5"/>
  <c r="CZ101" i="5"/>
  <c r="CU101" i="5"/>
  <c r="CP101" i="5"/>
  <c r="CK101" i="5"/>
  <c r="CJ101" i="5" s="1"/>
  <c r="CI101" i="5"/>
  <c r="CH101" i="5" s="1"/>
  <c r="CG101" i="5" s="1"/>
  <c r="CG102" i="5" s="1"/>
  <c r="CF101" i="5"/>
  <c r="CF102" i="5" s="1"/>
  <c r="CE101" i="5"/>
  <c r="CD101" i="5" s="1"/>
  <c r="CA101" i="5"/>
  <c r="BZ101" i="5"/>
  <c r="BY101" i="5" s="1"/>
  <c r="BV101" i="5"/>
  <c r="BU101" i="5"/>
  <c r="BT101" i="5" s="1"/>
  <c r="BS101" i="5" s="1"/>
  <c r="BQ101" i="5"/>
  <c r="BP101" i="5" s="1"/>
  <c r="BO101" i="5"/>
  <c r="BN101" i="5" s="1"/>
  <c r="BL101" i="5"/>
  <c r="BL102" i="5" s="1"/>
  <c r="BK101" i="5"/>
  <c r="BJ101" i="5" s="1"/>
  <c r="BF101" i="5"/>
  <c r="BE101" i="5"/>
  <c r="BD101" i="5" s="1"/>
  <c r="BB101" i="5"/>
  <c r="AZ101" i="5" s="1"/>
  <c r="AW101" i="5"/>
  <c r="AU101" i="5" s="1"/>
  <c r="AT101" i="5" s="1"/>
  <c r="AR101" i="5"/>
  <c r="AP101" i="5" s="1"/>
  <c r="AL101" i="5"/>
  <c r="AK101" i="5"/>
  <c r="AJ101" i="5"/>
  <c r="AI101" i="5" s="1"/>
  <c r="AI102" i="5" s="1"/>
  <c r="AG101" i="5"/>
  <c r="AF101" i="5"/>
  <c r="AF102" i="5" s="1"/>
  <c r="AE101" i="5"/>
  <c r="AD101" i="5" s="1"/>
  <c r="AD102" i="5" s="1"/>
  <c r="AB101" i="5"/>
  <c r="AA101" i="5"/>
  <c r="Z101" i="5"/>
  <c r="Y101" i="5"/>
  <c r="Y102" i="5" s="1"/>
  <c r="W101" i="5"/>
  <c r="V101" i="5"/>
  <c r="U101" i="5"/>
  <c r="U102" i="5" s="1"/>
  <c r="T101" i="5"/>
  <c r="T102" i="5" s="1"/>
  <c r="R101" i="5"/>
  <c r="Q101" i="5"/>
  <c r="P101" i="5"/>
  <c r="O101" i="5"/>
  <c r="O102" i="5" s="1"/>
  <c r="M101" i="5"/>
  <c r="L101" i="5"/>
  <c r="L102" i="5" s="1"/>
  <c r="K101" i="5"/>
  <c r="J101" i="5"/>
  <c r="J102" i="5" s="1"/>
  <c r="CK100" i="5"/>
  <c r="CK102" i="5" s="1"/>
  <c r="CJ100" i="5"/>
  <c r="CJ102" i="5" s="1"/>
  <c r="CI100" i="5"/>
  <c r="CI102" i="5" s="1"/>
  <c r="CH100" i="5"/>
  <c r="CE100" i="5"/>
  <c r="CE102" i="5" s="1"/>
  <c r="BZ100" i="5"/>
  <c r="BV100" i="5"/>
  <c r="BT100" i="5"/>
  <c r="BT102" i="5" s="1"/>
  <c r="BR100" i="5"/>
  <c r="BP100" i="5"/>
  <c r="BP102" i="5" s="1"/>
  <c r="BK100" i="5"/>
  <c r="BF100" i="5"/>
  <c r="BF102" i="5" s="1"/>
  <c r="BA100" i="5"/>
  <c r="AV100" i="5"/>
  <c r="AQ100" i="5"/>
  <c r="AL100" i="5"/>
  <c r="AL102" i="5" s="1"/>
  <c r="AJ100" i="5"/>
  <c r="AG100" i="5"/>
  <c r="AG102" i="5" s="1"/>
  <c r="AB100" i="5"/>
  <c r="AB102" i="5" s="1"/>
  <c r="W100" i="5"/>
  <c r="W102" i="5" s="1"/>
  <c r="P100" i="5"/>
  <c r="N100" i="5"/>
  <c r="N102" i="5" s="1"/>
  <c r="CL93" i="5"/>
  <c r="CJ93" i="5"/>
  <c r="CI93" i="5"/>
  <c r="CH93" i="5"/>
  <c r="CG93" i="5"/>
  <c r="CE93" i="5"/>
  <c r="CD93" i="5"/>
  <c r="CC93" i="5"/>
  <c r="CB93" i="5"/>
  <c r="CF93" i="5" s="1"/>
  <c r="BZ93" i="5"/>
  <c r="BY93" i="5"/>
  <c r="BX93" i="5"/>
  <c r="BW93" i="5"/>
  <c r="BU93" i="5"/>
  <c r="BT93" i="5"/>
  <c r="BS93" i="5"/>
  <c r="BR93" i="5"/>
  <c r="BV93" i="5" s="1"/>
  <c r="BP93" i="5"/>
  <c r="BO93" i="5"/>
  <c r="BN93" i="5"/>
  <c r="BM93" i="5"/>
  <c r="BQ93" i="5" s="1"/>
  <c r="BK93" i="5"/>
  <c r="BJ93" i="5"/>
  <c r="BI93" i="5"/>
  <c r="BH93" i="5"/>
  <c r="BL93" i="5" s="1"/>
  <c r="BF93" i="5"/>
  <c r="BE93" i="5"/>
  <c r="BD93" i="5"/>
  <c r="BC93" i="5"/>
  <c r="BG93" i="5" s="1"/>
  <c r="BA93" i="5"/>
  <c r="AZ93" i="5"/>
  <c r="AY93" i="5"/>
  <c r="AX93" i="5"/>
  <c r="AV93" i="5"/>
  <c r="AU93" i="5"/>
  <c r="AT93" i="5"/>
  <c r="AS93" i="5"/>
  <c r="AQ93" i="5"/>
  <c r="AP93" i="5"/>
  <c r="AO93" i="5"/>
  <c r="AN93" i="5"/>
  <c r="AL93" i="5"/>
  <c r="AK93" i="5"/>
  <c r="AJ93" i="5"/>
  <c r="AI93" i="5"/>
  <c r="AG93" i="5"/>
  <c r="AF93" i="5"/>
  <c r="AE93" i="5"/>
  <c r="AD93" i="5"/>
  <c r="AB93" i="5"/>
  <c r="AA93" i="5"/>
  <c r="Z93" i="5"/>
  <c r="Y93" i="5"/>
  <c r="W93" i="5"/>
  <c r="V93" i="5"/>
  <c r="U93" i="5"/>
  <c r="T93" i="5"/>
  <c r="R93" i="5"/>
  <c r="Q93" i="5"/>
  <c r="P93" i="5"/>
  <c r="O93" i="5"/>
  <c r="N93" i="5"/>
  <c r="M93" i="5"/>
  <c r="L93" i="5"/>
  <c r="K93" i="5"/>
  <c r="J93" i="5"/>
  <c r="I93" i="5"/>
  <c r="H93" i="5"/>
  <c r="CJ89" i="5"/>
  <c r="CJ87" i="5"/>
  <c r="CJ86" i="5"/>
  <c r="CJ83" i="5"/>
  <c r="CG89" i="5"/>
  <c r="CG87" i="5"/>
  <c r="CG86" i="5"/>
  <c r="CG83" i="5"/>
  <c r="CE89" i="5"/>
  <c r="CE87" i="5"/>
  <c r="CE86" i="5"/>
  <c r="CE83" i="5"/>
  <c r="BZ89" i="5"/>
  <c r="BZ87" i="5"/>
  <c r="BZ86" i="5"/>
  <c r="BZ83" i="5"/>
  <c r="BU89" i="5"/>
  <c r="BU87" i="5"/>
  <c r="BU86" i="5"/>
  <c r="BU83" i="5"/>
  <c r="BP89" i="5"/>
  <c r="BP87" i="5"/>
  <c r="BP86" i="5"/>
  <c r="BP83" i="5"/>
  <c r="BK89" i="5"/>
  <c r="BK87" i="5"/>
  <c r="BK86" i="5"/>
  <c r="BK83" i="5"/>
  <c r="BF89" i="5"/>
  <c r="BF87" i="5"/>
  <c r="BF86" i="5"/>
  <c r="BF83" i="5"/>
  <c r="BA89" i="5"/>
  <c r="BA87" i="5"/>
  <c r="BA86" i="5"/>
  <c r="AV89" i="5"/>
  <c r="AV87" i="5"/>
  <c r="AV86" i="5"/>
  <c r="AQ89" i="5"/>
  <c r="AQ88" i="5"/>
  <c r="AQ87" i="5"/>
  <c r="AQ86" i="5"/>
  <c r="AJ89" i="5"/>
  <c r="AI89" i="5" s="1"/>
  <c r="AL89" i="5" s="1"/>
  <c r="AE89" i="5"/>
  <c r="AD89" i="5" s="1"/>
  <c r="AG89" i="5" s="1"/>
  <c r="AC89" i="5"/>
  <c r="X89" i="5"/>
  <c r="S89" i="5"/>
  <c r="N89" i="5"/>
  <c r="AZ87" i="5"/>
  <c r="AY87" i="5"/>
  <c r="AX87" i="5"/>
  <c r="AZ86" i="5"/>
  <c r="AY86" i="5"/>
  <c r="AX86" i="5"/>
  <c r="AU88" i="5"/>
  <c r="AU87" i="5"/>
  <c r="AT87" i="5"/>
  <c r="AS87" i="5"/>
  <c r="AU86" i="5"/>
  <c r="AT86" i="5"/>
  <c r="AS86" i="5"/>
  <c r="AP87" i="5"/>
  <c r="AO87" i="5"/>
  <c r="AN87" i="5"/>
  <c r="AP86" i="5"/>
  <c r="AO86" i="5"/>
  <c r="AN86" i="5"/>
  <c r="AL87" i="5"/>
  <c r="AK87" i="5"/>
  <c r="AJ87" i="5"/>
  <c r="AI87" i="5"/>
  <c r="AG87" i="5"/>
  <c r="AF87" i="5"/>
  <c r="AE87" i="5"/>
  <c r="AD87" i="5"/>
  <c r="AH87" i="5" s="1"/>
  <c r="AB87" i="5"/>
  <c r="AA87" i="5"/>
  <c r="Z87" i="5"/>
  <c r="Y87" i="5"/>
  <c r="AC87" i="5" s="1"/>
  <c r="AL86" i="5"/>
  <c r="AK86" i="5"/>
  <c r="AJ86" i="5"/>
  <c r="AI86" i="5"/>
  <c r="AM86" i="5" s="1"/>
  <c r="AG86" i="5"/>
  <c r="AF86" i="5"/>
  <c r="AE86" i="5"/>
  <c r="AD86" i="5"/>
  <c r="AB86" i="5"/>
  <c r="AA86" i="5"/>
  <c r="Z86" i="5"/>
  <c r="Y86" i="5"/>
  <c r="AC86" i="5" s="1"/>
  <c r="CL87" i="5"/>
  <c r="CL86" i="5"/>
  <c r="CL83" i="5"/>
  <c r="CI87" i="5"/>
  <c r="CH87" i="5"/>
  <c r="CI86" i="5"/>
  <c r="CH86" i="5"/>
  <c r="CI83" i="5"/>
  <c r="CH83" i="5"/>
  <c r="CD87" i="5"/>
  <c r="CC87" i="5"/>
  <c r="CB87" i="5"/>
  <c r="CD86" i="5"/>
  <c r="CC86" i="5"/>
  <c r="CB86" i="5"/>
  <c r="CD83" i="5"/>
  <c r="CC83" i="5"/>
  <c r="CB83" i="5"/>
  <c r="BY87" i="5"/>
  <c r="BX87" i="5"/>
  <c r="BW87" i="5"/>
  <c r="BY86" i="5"/>
  <c r="BX86" i="5"/>
  <c r="BW86" i="5"/>
  <c r="BY83" i="5"/>
  <c r="BX83" i="5"/>
  <c r="BW83" i="5"/>
  <c r="BT87" i="5"/>
  <c r="BS87" i="5"/>
  <c r="BR87" i="5"/>
  <c r="BT86" i="5"/>
  <c r="BS86" i="5"/>
  <c r="BR86" i="5"/>
  <c r="BT83" i="5"/>
  <c r="BS83" i="5"/>
  <c r="BR83" i="5"/>
  <c r="BO87" i="5"/>
  <c r="BN87" i="5"/>
  <c r="BM87" i="5"/>
  <c r="BO86" i="5"/>
  <c r="BN86" i="5"/>
  <c r="BM86" i="5"/>
  <c r="BO83" i="5"/>
  <c r="BN83" i="5"/>
  <c r="BM83" i="5"/>
  <c r="BJ87" i="5"/>
  <c r="BI87" i="5"/>
  <c r="BH87" i="5"/>
  <c r="BJ86" i="5"/>
  <c r="BI86" i="5"/>
  <c r="BH86" i="5"/>
  <c r="BJ83" i="5"/>
  <c r="BI83" i="5"/>
  <c r="BH83" i="5"/>
  <c r="BE87" i="5"/>
  <c r="BD87" i="5"/>
  <c r="BC87" i="5"/>
  <c r="BE86" i="5"/>
  <c r="BD86" i="5"/>
  <c r="BC86" i="5"/>
  <c r="BE83" i="5"/>
  <c r="BD83" i="5"/>
  <c r="BC83" i="5"/>
  <c r="BA84" i="5"/>
  <c r="AZ84" i="5"/>
  <c r="AY84" i="5"/>
  <c r="AX84" i="5"/>
  <c r="AV84" i="5"/>
  <c r="AV88" i="5" s="1"/>
  <c r="AU84" i="5"/>
  <c r="AT84" i="5"/>
  <c r="AS84" i="5"/>
  <c r="AQ84" i="5"/>
  <c r="AP84" i="5"/>
  <c r="AO84" i="5"/>
  <c r="AN84" i="5"/>
  <c r="AN88" i="5" s="1"/>
  <c r="AL84" i="5"/>
  <c r="AK84" i="5"/>
  <c r="AJ84" i="5"/>
  <c r="AI84" i="5"/>
  <c r="AM84" i="5" s="1"/>
  <c r="AG84" i="5"/>
  <c r="AF84" i="5"/>
  <c r="AE84" i="5"/>
  <c r="AD84" i="5"/>
  <c r="AH84" i="5" s="1"/>
  <c r="AB84" i="5"/>
  <c r="AA84" i="5"/>
  <c r="Z84" i="5"/>
  <c r="Y84" i="5"/>
  <c r="AC84" i="5" s="1"/>
  <c r="BA83" i="5"/>
  <c r="BA88" i="5" s="1"/>
  <c r="AZ83" i="5"/>
  <c r="AZ88" i="5" s="1"/>
  <c r="AY83" i="5"/>
  <c r="AY88" i="5" s="1"/>
  <c r="AX83" i="5"/>
  <c r="AX88" i="5" s="1"/>
  <c r="AV83" i="5"/>
  <c r="AU83" i="5"/>
  <c r="AT83" i="5"/>
  <c r="AS83" i="5"/>
  <c r="AS88" i="5" s="1"/>
  <c r="AQ83" i="5"/>
  <c r="AP83" i="5"/>
  <c r="AP88" i="5" s="1"/>
  <c r="AO83" i="5"/>
  <c r="AO88" i="5" s="1"/>
  <c r="AN83" i="5"/>
  <c r="AL83" i="5"/>
  <c r="AK83" i="5"/>
  <c r="AJ83" i="5"/>
  <c r="AI83" i="5"/>
  <c r="AM83" i="5" s="1"/>
  <c r="AG83" i="5"/>
  <c r="AF83" i="5"/>
  <c r="AE83" i="5"/>
  <c r="AD83" i="5"/>
  <c r="AH83" i="5" s="1"/>
  <c r="AB83" i="5"/>
  <c r="AA83" i="5"/>
  <c r="Z83" i="5"/>
  <c r="Y83" i="5"/>
  <c r="AC83" i="5" s="1"/>
  <c r="X83" i="5"/>
  <c r="S83" i="5"/>
  <c r="O80" i="5"/>
  <c r="CE79" i="5"/>
  <c r="CD79" i="5"/>
  <c r="CC79" i="5"/>
  <c r="CB79" i="5"/>
  <c r="BZ79" i="5"/>
  <c r="BY79" i="5"/>
  <c r="BX79" i="5"/>
  <c r="BW79" i="5"/>
  <c r="BU79" i="5"/>
  <c r="BT79" i="5"/>
  <c r="BS79" i="5"/>
  <c r="BR79" i="5"/>
  <c r="BP79" i="5"/>
  <c r="BO79" i="5"/>
  <c r="BN79" i="5"/>
  <c r="BM79" i="5"/>
  <c r="BK79" i="5"/>
  <c r="BJ79" i="5"/>
  <c r="BI79" i="5"/>
  <c r="BH79" i="5"/>
  <c r="BF79" i="5"/>
  <c r="BE79" i="5"/>
  <c r="BD79" i="5"/>
  <c r="BC79" i="5"/>
  <c r="BA79" i="5"/>
  <c r="AZ79" i="5"/>
  <c r="AY79" i="5"/>
  <c r="AX79" i="5"/>
  <c r="AV79" i="5"/>
  <c r="AU79" i="5"/>
  <c r="AT79" i="5"/>
  <c r="AS79" i="5"/>
  <c r="AQ79" i="5"/>
  <c r="AP79" i="5"/>
  <c r="AO79" i="5"/>
  <c r="AN79" i="5"/>
  <c r="AL79" i="5"/>
  <c r="AK79" i="5"/>
  <c r="AJ79" i="5"/>
  <c r="AI79" i="5"/>
  <c r="AG79" i="5"/>
  <c r="AF79" i="5"/>
  <c r="AE79" i="5"/>
  <c r="AD79" i="5"/>
  <c r="AB79" i="5"/>
  <c r="AA79" i="5"/>
  <c r="Z79" i="5"/>
  <c r="Y79" i="5"/>
  <c r="W79" i="5"/>
  <c r="V79" i="5"/>
  <c r="U79" i="5"/>
  <c r="T79" i="5"/>
  <c r="R79" i="5"/>
  <c r="Q79" i="5"/>
  <c r="P79" i="5"/>
  <c r="O79" i="5"/>
  <c r="M79" i="5"/>
  <c r="L79" i="5"/>
  <c r="K79" i="5"/>
  <c r="CL79" i="5"/>
  <c r="CK79" i="5"/>
  <c r="CJ79" i="5"/>
  <c r="CI79" i="5"/>
  <c r="CH79" i="5"/>
  <c r="CG79" i="5"/>
  <c r="CL78" i="5"/>
  <c r="CJ78" i="5"/>
  <c r="CI78" i="5"/>
  <c r="CH78" i="5"/>
  <c r="CG78" i="5"/>
  <c r="CE78" i="5"/>
  <c r="CD78" i="5"/>
  <c r="CC78" i="5"/>
  <c r="CB78" i="5"/>
  <c r="BZ78" i="5"/>
  <c r="BY78" i="5"/>
  <c r="BX78" i="5"/>
  <c r="BW78" i="5"/>
  <c r="BU78" i="5"/>
  <c r="BT78" i="5"/>
  <c r="BS78" i="5"/>
  <c r="BR78" i="5"/>
  <c r="BQ78" i="5"/>
  <c r="BP78" i="5"/>
  <c r="BO78" i="5"/>
  <c r="BN78" i="5"/>
  <c r="BM78" i="5"/>
  <c r="BL78" i="5"/>
  <c r="BK78" i="5"/>
  <c r="BJ78" i="5"/>
  <c r="BI78" i="5"/>
  <c r="BH78" i="5"/>
  <c r="BF78" i="5"/>
  <c r="BE78" i="5"/>
  <c r="BD78" i="5"/>
  <c r="BC78" i="5"/>
  <c r="BA78" i="5"/>
  <c r="AZ78" i="5"/>
  <c r="AY78" i="5"/>
  <c r="AX78" i="5"/>
  <c r="AW78" i="5"/>
  <c r="AV78" i="5"/>
  <c r="AU78" i="5"/>
  <c r="AT78" i="5"/>
  <c r="AS78" i="5"/>
  <c r="AQ78" i="5"/>
  <c r="AP78" i="5"/>
  <c r="AO78" i="5"/>
  <c r="AN78" i="5"/>
  <c r="AL78" i="5"/>
  <c r="AK78" i="5"/>
  <c r="AJ78" i="5"/>
  <c r="AI78" i="5"/>
  <c r="AG78" i="5"/>
  <c r="AF78" i="5"/>
  <c r="AE78" i="5"/>
  <c r="AD78" i="5"/>
  <c r="AC78" i="5"/>
  <c r="AB78" i="5"/>
  <c r="AA78" i="5"/>
  <c r="Z78" i="5"/>
  <c r="Y78" i="5"/>
  <c r="W78" i="5"/>
  <c r="V78" i="5"/>
  <c r="U78" i="5"/>
  <c r="T78" i="5"/>
  <c r="S78" i="5"/>
  <c r="R78" i="5"/>
  <c r="Q78" i="5"/>
  <c r="P78" i="5"/>
  <c r="O78" i="5"/>
  <c r="N78" i="5"/>
  <c r="I78" i="5"/>
  <c r="CK77" i="5"/>
  <c r="CF77" i="5"/>
  <c r="CA77" i="5"/>
  <c r="BV77" i="5"/>
  <c r="CA78" i="5" s="1"/>
  <c r="BQ77" i="5"/>
  <c r="BB77" i="5"/>
  <c r="BG78" i="5" s="1"/>
  <c r="AW77" i="5"/>
  <c r="AW93" i="5" s="1"/>
  <c r="AR77" i="5"/>
  <c r="AR93" i="5" s="1"/>
  <c r="AM77" i="5"/>
  <c r="AM93" i="5" s="1"/>
  <c r="AH77" i="5"/>
  <c r="AH93" i="5" s="1"/>
  <c r="AC77" i="5"/>
  <c r="AC93" i="5" s="1"/>
  <c r="X77" i="5"/>
  <c r="X93" i="5" s="1"/>
  <c r="S77" i="5"/>
  <c r="S93" i="5" s="1"/>
  <c r="AE12" i="4"/>
  <c r="AE11" i="4"/>
  <c r="AE10" i="4"/>
  <c r="AE8" i="4"/>
  <c r="AE7" i="4"/>
  <c r="AE6" i="4"/>
  <c r="AE5" i="4"/>
  <c r="AD12" i="4"/>
  <c r="Q80" i="5"/>
  <c r="P80" i="5"/>
  <c r="AD9" i="4"/>
  <c r="M80" i="5"/>
  <c r="L80" i="5"/>
  <c r="K80" i="5"/>
  <c r="AD5" i="4"/>
  <c r="BU64" i="5"/>
  <c r="BT64" i="5"/>
  <c r="BS64" i="5"/>
  <c r="BR64" i="5"/>
  <c r="BP64" i="5"/>
  <c r="BO64" i="5"/>
  <c r="BN64" i="5"/>
  <c r="BM64" i="5"/>
  <c r="BK64" i="5"/>
  <c r="BJ64" i="5"/>
  <c r="BI64" i="5"/>
  <c r="BH64" i="5"/>
  <c r="BF64" i="5"/>
  <c r="BE64" i="5"/>
  <c r="AV64" i="5"/>
  <c r="AU64" i="5"/>
  <c r="AT64" i="5"/>
  <c r="AS64" i="5"/>
  <c r="AQ64" i="5"/>
  <c r="CD63" i="5"/>
  <c r="BV61" i="5"/>
  <c r="BQ61" i="5"/>
  <c r="BQ60" i="5"/>
  <c r="BQ190" i="5" s="1"/>
  <c r="BQ59" i="5"/>
  <c r="BL61" i="5"/>
  <c r="BL60" i="5"/>
  <c r="BL190" i="5" s="1"/>
  <c r="BL59" i="5"/>
  <c r="BG60" i="5"/>
  <c r="BG190" i="5" s="1"/>
  <c r="BG59" i="5"/>
  <c r="BG189" i="5" s="1"/>
  <c r="AW61" i="5"/>
  <c r="AW64" i="5" s="1"/>
  <c r="AR60" i="5"/>
  <c r="AR190" i="5" s="1"/>
  <c r="AR59" i="5"/>
  <c r="CK60" i="5"/>
  <c r="CK190" i="5" s="1"/>
  <c r="CF60" i="5"/>
  <c r="CF190" i="5" s="1"/>
  <c r="CF59" i="5"/>
  <c r="CA60" i="5"/>
  <c r="CA190" i="5" s="1"/>
  <c r="CA59" i="5"/>
  <c r="CA189" i="5" s="1"/>
  <c r="BV60" i="5"/>
  <c r="BV190" i="5" s="1"/>
  <c r="BV59" i="5"/>
  <c r="BV189" i="5" s="1"/>
  <c r="BB60" i="5"/>
  <c r="BB190" i="5" s="1"/>
  <c r="BB59" i="5"/>
  <c r="BB189" i="5" s="1"/>
  <c r="AW60" i="5"/>
  <c r="AW190" i="5" s="1"/>
  <c r="AW59" i="5"/>
  <c r="AM60" i="5"/>
  <c r="AM190" i="5" s="1"/>
  <c r="AM59" i="5"/>
  <c r="AM189" i="5" s="1"/>
  <c r="AH60" i="5"/>
  <c r="AH190" i="5" s="1"/>
  <c r="AH59" i="5"/>
  <c r="AH189" i="5" s="1"/>
  <c r="AC60" i="5"/>
  <c r="AC190" i="5" s="1"/>
  <c r="AC59" i="5"/>
  <c r="AC58" i="5"/>
  <c r="AC191" i="5" s="1"/>
  <c r="X60" i="5"/>
  <c r="X190" i="5" s="1"/>
  <c r="X59" i="5"/>
  <c r="X58" i="5"/>
  <c r="X191" i="5" s="1"/>
  <c r="S60" i="5"/>
  <c r="S190" i="5" s="1"/>
  <c r="S59" i="5"/>
  <c r="S189" i="5" s="1"/>
  <c r="N60" i="5"/>
  <c r="N190" i="5" s="1"/>
  <c r="N59" i="5"/>
  <c r="N189" i="5" s="1"/>
  <c r="CL59" i="5"/>
  <c r="CL189" i="5" s="1"/>
  <c r="CL58" i="5"/>
  <c r="CL191" i="5" s="1"/>
  <c r="CZ58" i="5"/>
  <c r="CZ191" i="5" s="1"/>
  <c r="CV58" i="5"/>
  <c r="CV191" i="5" s="1"/>
  <c r="CT58" i="5"/>
  <c r="CT191" i="5" s="1"/>
  <c r="CS58" i="5"/>
  <c r="CS191" i="5" s="1"/>
  <c r="CR58" i="5"/>
  <c r="CR191" i="5" s="1"/>
  <c r="CQ58" i="5"/>
  <c r="CQ191" i="5" s="1"/>
  <c r="CO58" i="5"/>
  <c r="CO191" i="5" s="1"/>
  <c r="CN58" i="5"/>
  <c r="CN191" i="5" s="1"/>
  <c r="CM58" i="5"/>
  <c r="CM191" i="5" s="1"/>
  <c r="CJ59" i="5"/>
  <c r="CI59" i="5"/>
  <c r="CH59" i="5"/>
  <c r="CH189" i="5" s="1"/>
  <c r="CG59" i="5"/>
  <c r="CK59" i="5" s="1"/>
  <c r="CJ58" i="5"/>
  <c r="CJ191" i="5" s="1"/>
  <c r="CI58" i="5"/>
  <c r="CI191" i="5" s="1"/>
  <c r="CH58" i="5"/>
  <c r="CH191" i="5" s="1"/>
  <c r="CG58" i="5"/>
  <c r="CG191" i="5" s="1"/>
  <c r="CE58" i="5"/>
  <c r="CD58" i="5"/>
  <c r="CD191" i="5" s="1"/>
  <c r="CC58" i="5"/>
  <c r="CB58" i="5"/>
  <c r="AB58" i="5"/>
  <c r="Y58" i="5"/>
  <c r="W58" i="5"/>
  <c r="W191" i="5" s="1"/>
  <c r="T58" i="5"/>
  <c r="I58" i="5"/>
  <c r="CU55" i="5"/>
  <c r="CR55" i="5"/>
  <c r="CQ55" i="5"/>
  <c r="CP55" i="5"/>
  <c r="CM55" i="5"/>
  <c r="CL55" i="5"/>
  <c r="CK55" i="5"/>
  <c r="CH55" i="5"/>
  <c r="CF55" i="5"/>
  <c r="CA55" i="5"/>
  <c r="CA58" i="5" s="1"/>
  <c r="AM55" i="5"/>
  <c r="AM58" i="5" s="1"/>
  <c r="AL55" i="5"/>
  <c r="AI55" i="5"/>
  <c r="AH55" i="5"/>
  <c r="AF55" i="5" s="1"/>
  <c r="AD55" i="5"/>
  <c r="AC55" i="5"/>
  <c r="AB55" i="5"/>
  <c r="AA55" i="5"/>
  <c r="Z55" i="5"/>
  <c r="Y55" i="5"/>
  <c r="X55" i="5"/>
  <c r="U55" i="5" s="1"/>
  <c r="W55" i="5"/>
  <c r="V55" i="5"/>
  <c r="T55" i="5"/>
  <c r="S55" i="5"/>
  <c r="S58" i="5" s="1"/>
  <c r="R55" i="5"/>
  <c r="O55" i="5"/>
  <c r="N55" i="5"/>
  <c r="L55" i="5" s="1"/>
  <c r="J55" i="5"/>
  <c r="I55" i="5"/>
  <c r="H55" i="5"/>
  <c r="H58" i="5" s="1"/>
  <c r="CY54" i="5"/>
  <c r="CX54" i="5"/>
  <c r="CW54" i="5"/>
  <c r="CV54" i="5"/>
  <c r="CY53" i="5"/>
  <c r="CX53" i="5"/>
  <c r="CW53" i="5"/>
  <c r="CV53" i="5"/>
  <c r="BZ54" i="5"/>
  <c r="BZ70" i="5" s="1"/>
  <c r="BY54" i="5"/>
  <c r="BY70" i="5" s="1"/>
  <c r="BX54" i="5"/>
  <c r="BX70" i="5" s="1"/>
  <c r="BW54" i="5"/>
  <c r="BW70" i="5" s="1"/>
  <c r="AW54" i="5"/>
  <c r="AU54" i="5" s="1"/>
  <c r="AU70" i="5" s="1"/>
  <c r="AS54" i="5"/>
  <c r="AS70" i="5" s="1"/>
  <c r="AR54" i="5"/>
  <c r="AQ54" i="5"/>
  <c r="AQ70" i="5" s="1"/>
  <c r="AP54" i="5"/>
  <c r="AP70" i="5" s="1"/>
  <c r="AO54" i="5"/>
  <c r="AO70" i="5" s="1"/>
  <c r="AN54" i="5"/>
  <c r="AN70" i="5" s="1"/>
  <c r="BZ53" i="5"/>
  <c r="BZ69" i="5" s="1"/>
  <c r="BY53" i="5"/>
  <c r="BY69" i="5" s="1"/>
  <c r="BX53" i="5"/>
  <c r="BX69" i="5" s="1"/>
  <c r="BW53" i="5"/>
  <c r="BW69" i="5" s="1"/>
  <c r="AR53" i="5"/>
  <c r="AR55" i="5" s="1"/>
  <c r="AN53" i="5"/>
  <c r="AN69" i="5" s="1"/>
  <c r="CZ52" i="5"/>
  <c r="CY52" i="5"/>
  <c r="CX52" i="5"/>
  <c r="CW52" i="5"/>
  <c r="CV52" i="5"/>
  <c r="CZ51" i="5"/>
  <c r="CZ55" i="5" s="1"/>
  <c r="CY51" i="5"/>
  <c r="CY55" i="5" s="1"/>
  <c r="CX51" i="5"/>
  <c r="CX55" i="5" s="1"/>
  <c r="CV51" i="5"/>
  <c r="CV55" i="5" s="1"/>
  <c r="CT54" i="5"/>
  <c r="CS54" i="5"/>
  <c r="CR54" i="5"/>
  <c r="CQ54" i="5"/>
  <c r="CT53" i="5"/>
  <c r="CS53" i="5"/>
  <c r="CR53" i="5"/>
  <c r="CQ53" i="5"/>
  <c r="CT52" i="5"/>
  <c r="CS52" i="5"/>
  <c r="CR52" i="5"/>
  <c r="CQ52" i="5"/>
  <c r="CT51" i="5"/>
  <c r="CT55" i="5" s="1"/>
  <c r="CS51" i="5"/>
  <c r="CS55" i="5" s="1"/>
  <c r="CR51" i="5"/>
  <c r="CQ51" i="5"/>
  <c r="CO54" i="5"/>
  <c r="CN54" i="5"/>
  <c r="CM54" i="5"/>
  <c r="CL54" i="5"/>
  <c r="CL70" i="5" s="1"/>
  <c r="CO53" i="5"/>
  <c r="CN53" i="5"/>
  <c r="CM53" i="5"/>
  <c r="CL53" i="5"/>
  <c r="CL69" i="5" s="1"/>
  <c r="CO52" i="5"/>
  <c r="CN52" i="5"/>
  <c r="CM52" i="5"/>
  <c r="CL52" i="5"/>
  <c r="CO51" i="5"/>
  <c r="CO55" i="5" s="1"/>
  <c r="CN51" i="5"/>
  <c r="CN55" i="5" s="1"/>
  <c r="CM51" i="5"/>
  <c r="CL51" i="5"/>
  <c r="CL67" i="5" s="1"/>
  <c r="CJ54" i="5"/>
  <c r="CJ70" i="5" s="1"/>
  <c r="CI54" i="5"/>
  <c r="CI70" i="5" s="1"/>
  <c r="CH54" i="5"/>
  <c r="CH70" i="5" s="1"/>
  <c r="CG54" i="5"/>
  <c r="CG70" i="5" s="1"/>
  <c r="CJ53" i="5"/>
  <c r="CJ69" i="5" s="1"/>
  <c r="CI53" i="5"/>
  <c r="CI69" i="5" s="1"/>
  <c r="CH53" i="5"/>
  <c r="CH69" i="5" s="1"/>
  <c r="CG53" i="5"/>
  <c r="CG69" i="5" s="1"/>
  <c r="CJ52" i="5"/>
  <c r="CI52" i="5"/>
  <c r="CH52" i="5"/>
  <c r="CG52" i="5"/>
  <c r="CJ51" i="5"/>
  <c r="CJ55" i="5" s="1"/>
  <c r="CI51" i="5"/>
  <c r="CI67" i="5" s="1"/>
  <c r="CH51" i="5"/>
  <c r="CH67" i="5" s="1"/>
  <c r="CG51" i="5"/>
  <c r="CG67" i="5" s="1"/>
  <c r="CE54" i="5"/>
  <c r="CE70" i="5" s="1"/>
  <c r="CD54" i="5"/>
  <c r="CD70" i="5" s="1"/>
  <c r="CC54" i="5"/>
  <c r="CC70" i="5" s="1"/>
  <c r="CB54" i="5"/>
  <c r="CB70" i="5" s="1"/>
  <c r="CE53" i="5"/>
  <c r="CE69" i="5" s="1"/>
  <c r="CD53" i="5"/>
  <c r="CD69" i="5" s="1"/>
  <c r="CC53" i="5"/>
  <c r="CC69" i="5" s="1"/>
  <c r="CB53" i="5"/>
  <c r="CB69" i="5" s="1"/>
  <c r="CE52" i="5"/>
  <c r="CD52" i="5"/>
  <c r="CC52" i="5"/>
  <c r="CB52" i="5"/>
  <c r="CE51" i="5"/>
  <c r="CE67" i="5" s="1"/>
  <c r="CD51" i="5"/>
  <c r="CD67" i="5" s="1"/>
  <c r="CC51" i="5"/>
  <c r="CC67" i="5" s="1"/>
  <c r="CB51" i="5"/>
  <c r="CB55" i="5" s="1"/>
  <c r="BZ52" i="5"/>
  <c r="BY52" i="5"/>
  <c r="BX52" i="5"/>
  <c r="BW52" i="5"/>
  <c r="BG52" i="5"/>
  <c r="BL52" i="5" s="1"/>
  <c r="BF52" i="5"/>
  <c r="BE52" i="5"/>
  <c r="BC52" i="5"/>
  <c r="BZ51" i="5"/>
  <c r="BZ67" i="5" s="1"/>
  <c r="BY51" i="5"/>
  <c r="BY67" i="5" s="1"/>
  <c r="BX51" i="5"/>
  <c r="BX67" i="5" s="1"/>
  <c r="BW51" i="5"/>
  <c r="BW67" i="5" s="1"/>
  <c r="BG51" i="5"/>
  <c r="BF51" i="5"/>
  <c r="BF67" i="5" s="1"/>
  <c r="BE51" i="5"/>
  <c r="BE67" i="5" s="1"/>
  <c r="BC51" i="5"/>
  <c r="BC67" i="5" s="1"/>
  <c r="BA52" i="5"/>
  <c r="BA68" i="5" s="1"/>
  <c r="AZ52" i="5"/>
  <c r="AZ68" i="5" s="1"/>
  <c r="AY52" i="5"/>
  <c r="AY68" i="5" s="1"/>
  <c r="AX52" i="5"/>
  <c r="AX68" i="5" s="1"/>
  <c r="AW52" i="5"/>
  <c r="AT52" i="5" s="1"/>
  <c r="AT68" i="5" s="1"/>
  <c r="AV52" i="5"/>
  <c r="AV68" i="5" s="1"/>
  <c r="AS52" i="5"/>
  <c r="AS68" i="5" s="1"/>
  <c r="BA51" i="5"/>
  <c r="BA67" i="5" s="1"/>
  <c r="AZ51" i="5"/>
  <c r="AZ67" i="5" s="1"/>
  <c r="AY51" i="5"/>
  <c r="AY67" i="5" s="1"/>
  <c r="AX51" i="5"/>
  <c r="AX67" i="5" s="1"/>
  <c r="AW51" i="5"/>
  <c r="AU51" i="5" s="1"/>
  <c r="AU67" i="5" s="1"/>
  <c r="AS51" i="5"/>
  <c r="AS67" i="5" s="1"/>
  <c r="AQ52" i="5"/>
  <c r="AQ68" i="5" s="1"/>
  <c r="AP52" i="5"/>
  <c r="AP68" i="5" s="1"/>
  <c r="AO52" i="5"/>
  <c r="AO68" i="5" s="1"/>
  <c r="AN52" i="5"/>
  <c r="AN68" i="5" s="1"/>
  <c r="AQ51" i="5"/>
  <c r="AQ67" i="5" s="1"/>
  <c r="AP51" i="5"/>
  <c r="AP67" i="5" s="1"/>
  <c r="AO51" i="5"/>
  <c r="AO67" i="5" s="1"/>
  <c r="AN51" i="5"/>
  <c r="AN67" i="5" s="1"/>
  <c r="AL54" i="5"/>
  <c r="AL70" i="5" s="1"/>
  <c r="AK54" i="5"/>
  <c r="AK70" i="5" s="1"/>
  <c r="AJ54" i="5"/>
  <c r="AJ70" i="5" s="1"/>
  <c r="AI54" i="5"/>
  <c r="AI70" i="5" s="1"/>
  <c r="AL53" i="5"/>
  <c r="AL69" i="5" s="1"/>
  <c r="AK53" i="5"/>
  <c r="AK69" i="5" s="1"/>
  <c r="AJ53" i="5"/>
  <c r="AJ69" i="5" s="1"/>
  <c r="AI53" i="5"/>
  <c r="AI69" i="5" s="1"/>
  <c r="AL52" i="5"/>
  <c r="AL68" i="5" s="1"/>
  <c r="AK52" i="5"/>
  <c r="AK68" i="5" s="1"/>
  <c r="AJ52" i="5"/>
  <c r="AJ68" i="5" s="1"/>
  <c r="AI52" i="5"/>
  <c r="AI68" i="5" s="1"/>
  <c r="AL51" i="5"/>
  <c r="AL67" i="5" s="1"/>
  <c r="AK51" i="5"/>
  <c r="AK67" i="5" s="1"/>
  <c r="AJ51" i="5"/>
  <c r="AJ67" i="5" s="1"/>
  <c r="AI51" i="5"/>
  <c r="AI67" i="5" s="1"/>
  <c r="AG54" i="5"/>
  <c r="AG70" i="5" s="1"/>
  <c r="AF54" i="5"/>
  <c r="AF70" i="5" s="1"/>
  <c r="AE54" i="5"/>
  <c r="AE70" i="5" s="1"/>
  <c r="AD54" i="5"/>
  <c r="AD70" i="5" s="1"/>
  <c r="AG53" i="5"/>
  <c r="AG69" i="5" s="1"/>
  <c r="AF53" i="5"/>
  <c r="AF69" i="5" s="1"/>
  <c r="AE53" i="5"/>
  <c r="AE69" i="5" s="1"/>
  <c r="AD53" i="5"/>
  <c r="AD69" i="5" s="1"/>
  <c r="AG52" i="5"/>
  <c r="AG68" i="5" s="1"/>
  <c r="AF52" i="5"/>
  <c r="AF68" i="5" s="1"/>
  <c r="AE52" i="5"/>
  <c r="AE68" i="5" s="1"/>
  <c r="AD52" i="5"/>
  <c r="AD68" i="5" s="1"/>
  <c r="AG51" i="5"/>
  <c r="AG67" i="5" s="1"/>
  <c r="AF51" i="5"/>
  <c r="AF67" i="5" s="1"/>
  <c r="AE51" i="5"/>
  <c r="AE67" i="5" s="1"/>
  <c r="AD51" i="5"/>
  <c r="AD67" i="5" s="1"/>
  <c r="AB54" i="5"/>
  <c r="AB70" i="5" s="1"/>
  <c r="AA54" i="5"/>
  <c r="AA70" i="5" s="1"/>
  <c r="Z54" i="5"/>
  <c r="Z70" i="5" s="1"/>
  <c r="Y54" i="5"/>
  <c r="Y70" i="5" s="1"/>
  <c r="AB53" i="5"/>
  <c r="AB69" i="5" s="1"/>
  <c r="AA53" i="5"/>
  <c r="AA69" i="5" s="1"/>
  <c r="Z53" i="5"/>
  <c r="Z69" i="5" s="1"/>
  <c r="Y53" i="5"/>
  <c r="Y69" i="5" s="1"/>
  <c r="AB52" i="5"/>
  <c r="AB68" i="5" s="1"/>
  <c r="AA52" i="5"/>
  <c r="AA68" i="5" s="1"/>
  <c r="Z52" i="5"/>
  <c r="Z68" i="5" s="1"/>
  <c r="Y52" i="5"/>
  <c r="Y68" i="5" s="1"/>
  <c r="AB51" i="5"/>
  <c r="AB67" i="5" s="1"/>
  <c r="AA51" i="5"/>
  <c r="AA67" i="5" s="1"/>
  <c r="Z51" i="5"/>
  <c r="Z67" i="5" s="1"/>
  <c r="Y51" i="5"/>
  <c r="Y67" i="5" s="1"/>
  <c r="W54" i="5"/>
  <c r="W70" i="5" s="1"/>
  <c r="V54" i="5"/>
  <c r="V70" i="5" s="1"/>
  <c r="U54" i="5"/>
  <c r="U70" i="5" s="1"/>
  <c r="T54" i="5"/>
  <c r="T70" i="5" s="1"/>
  <c r="W53" i="5"/>
  <c r="W69" i="5" s="1"/>
  <c r="V53" i="5"/>
  <c r="V69" i="5" s="1"/>
  <c r="U53" i="5"/>
  <c r="U69" i="5" s="1"/>
  <c r="T53" i="5"/>
  <c r="T69" i="5" s="1"/>
  <c r="W52" i="5"/>
  <c r="W68" i="5" s="1"/>
  <c r="V52" i="5"/>
  <c r="V68" i="5" s="1"/>
  <c r="U52" i="5"/>
  <c r="U68" i="5" s="1"/>
  <c r="T52" i="5"/>
  <c r="T68" i="5" s="1"/>
  <c r="W51" i="5"/>
  <c r="W67" i="5" s="1"/>
  <c r="V51" i="5"/>
  <c r="V67" i="5" s="1"/>
  <c r="U51" i="5"/>
  <c r="U67" i="5" s="1"/>
  <c r="T51" i="5"/>
  <c r="T67" i="5" s="1"/>
  <c r="R54" i="5"/>
  <c r="Q54" i="5"/>
  <c r="P54" i="5"/>
  <c r="O54" i="5"/>
  <c r="R53" i="5"/>
  <c r="Q53" i="5"/>
  <c r="P53" i="5"/>
  <c r="O53" i="5"/>
  <c r="R52" i="5"/>
  <c r="Q52" i="5"/>
  <c r="P52" i="5"/>
  <c r="O52" i="5"/>
  <c r="R51" i="5"/>
  <c r="Q51" i="5"/>
  <c r="P51" i="5"/>
  <c r="O51" i="5"/>
  <c r="M54" i="5"/>
  <c r="L54" i="5"/>
  <c r="K54" i="5"/>
  <c r="J54" i="5"/>
  <c r="M53" i="5"/>
  <c r="L53" i="5"/>
  <c r="K53" i="5"/>
  <c r="J53" i="5"/>
  <c r="M52" i="5"/>
  <c r="L52" i="5"/>
  <c r="K52" i="5"/>
  <c r="J52" i="5"/>
  <c r="M51" i="5"/>
  <c r="L51" i="5"/>
  <c r="K51" i="5"/>
  <c r="J51" i="5"/>
  <c r="BA48" i="5"/>
  <c r="AS48" i="5"/>
  <c r="AO48" i="5"/>
  <c r="AK48" i="5"/>
  <c r="AG48" i="5"/>
  <c r="Y48" i="5"/>
  <c r="U48" i="5"/>
  <c r="Q48" i="5"/>
  <c r="M48" i="5"/>
  <c r="AX47" i="5"/>
  <c r="AT47" i="5"/>
  <c r="AP47" i="5"/>
  <c r="AL47" i="5"/>
  <c r="AD47" i="5"/>
  <c r="Z47" i="5"/>
  <c r="V47" i="5"/>
  <c r="R47" i="5"/>
  <c r="J47" i="5"/>
  <c r="W46" i="5"/>
  <c r="O46" i="5"/>
  <c r="H46" i="5"/>
  <c r="BA44" i="5"/>
  <c r="AS44" i="5"/>
  <c r="AO44" i="5"/>
  <c r="AK44" i="5"/>
  <c r="AG44" i="5"/>
  <c r="Y44" i="5"/>
  <c r="U44" i="5"/>
  <c r="Q44" i="5"/>
  <c r="M44" i="5"/>
  <c r="I44" i="5"/>
  <c r="H44" i="5"/>
  <c r="AV43" i="5"/>
  <c r="AN43" i="5"/>
  <c r="AF43" i="5"/>
  <c r="AA43" i="5"/>
  <c r="H43" i="5"/>
  <c r="AL40" i="5"/>
  <c r="Y40" i="5"/>
  <c r="R40" i="5"/>
  <c r="I38" i="5"/>
  <c r="BA39" i="5"/>
  <c r="AS39" i="5"/>
  <c r="AK39" i="5"/>
  <c r="AF39" i="5"/>
  <c r="BT38" i="5"/>
  <c r="BT43" i="5" s="1"/>
  <c r="BA38" i="5"/>
  <c r="BA105" i="5" s="1"/>
  <c r="AZ38" i="5"/>
  <c r="BA40" i="5" s="1"/>
  <c r="AY38" i="5"/>
  <c r="AX38" i="5"/>
  <c r="AX44" i="5" s="1"/>
  <c r="AV38" i="5"/>
  <c r="AV44" i="5" s="1"/>
  <c r="AU38" i="5"/>
  <c r="AU46" i="5" s="1"/>
  <c r="AT38" i="5"/>
  <c r="AT44" i="5" s="1"/>
  <c r="AS38" i="5"/>
  <c r="AS105" i="5" s="1"/>
  <c r="AQ38" i="5"/>
  <c r="AS40" i="5" s="1"/>
  <c r="AP38" i="5"/>
  <c r="AP44" i="5" s="1"/>
  <c r="AO38" i="5"/>
  <c r="AO61" i="5" s="1"/>
  <c r="AO64" i="5" s="1"/>
  <c r="AN38" i="5"/>
  <c r="AN44" i="5" s="1"/>
  <c r="AL38" i="5"/>
  <c r="AK38" i="5"/>
  <c r="AK105" i="5" s="1"/>
  <c r="AJ38" i="5"/>
  <c r="AJ44" i="5" s="1"/>
  <c r="AI38" i="5"/>
  <c r="AI40" i="5" s="1"/>
  <c r="AG38" i="5"/>
  <c r="AG105" i="5" s="1"/>
  <c r="AF38" i="5"/>
  <c r="AE38" i="5"/>
  <c r="AE46" i="5" s="1"/>
  <c r="AD38" i="5"/>
  <c r="AD95" i="5" s="1"/>
  <c r="AB38" i="5"/>
  <c r="AB39" i="5" s="1"/>
  <c r="AA38" i="5"/>
  <c r="Z38" i="5"/>
  <c r="Z95" i="5" s="1"/>
  <c r="Y38" i="5"/>
  <c r="Y105" i="5" s="1"/>
  <c r="W38" i="5"/>
  <c r="V38" i="5"/>
  <c r="V95" i="5" s="1"/>
  <c r="U38" i="5"/>
  <c r="U61" i="5" s="1"/>
  <c r="U64" i="5" s="1"/>
  <c r="T38" i="5"/>
  <c r="T39" i="5" s="1"/>
  <c r="R38" i="5"/>
  <c r="R105" i="5" s="1"/>
  <c r="Q38" i="5"/>
  <c r="Q61" i="5" s="1"/>
  <c r="Q64" i="5" s="1"/>
  <c r="P38" i="5"/>
  <c r="P44" i="5" s="1"/>
  <c r="O38" i="5"/>
  <c r="M38" i="5"/>
  <c r="M105" i="5" s="1"/>
  <c r="L38" i="5"/>
  <c r="M40" i="5" s="1"/>
  <c r="K38" i="5"/>
  <c r="K46" i="5" s="1"/>
  <c r="J38" i="5"/>
  <c r="J95" i="5" s="1"/>
  <c r="H38" i="5"/>
  <c r="H61" i="5" s="1"/>
  <c r="H64" i="5" s="1"/>
  <c r="CK37" i="5"/>
  <c r="CK36" i="5"/>
  <c r="CF37" i="5"/>
  <c r="CF36" i="5"/>
  <c r="CF35" i="5"/>
  <c r="CF33" i="5"/>
  <c r="CA37" i="5"/>
  <c r="CA36" i="5"/>
  <c r="CA35" i="5"/>
  <c r="CA33" i="5"/>
  <c r="BV37" i="5"/>
  <c r="BV36" i="5"/>
  <c r="BV35" i="5"/>
  <c r="BV33" i="5"/>
  <c r="BQ37" i="5"/>
  <c r="BQ36" i="5"/>
  <c r="BP35" i="5"/>
  <c r="BQ33" i="5"/>
  <c r="BL37" i="5"/>
  <c r="BL36" i="5"/>
  <c r="BK35" i="5"/>
  <c r="BL33" i="5"/>
  <c r="BG37" i="5"/>
  <c r="BG36" i="5"/>
  <c r="BF35" i="5"/>
  <c r="BG33" i="5"/>
  <c r="BB37" i="5"/>
  <c r="BB36" i="5"/>
  <c r="AW37" i="5"/>
  <c r="BB30" i="5" s="1"/>
  <c r="AW36" i="5"/>
  <c r="AR37" i="5"/>
  <c r="AR36" i="5"/>
  <c r="AM37" i="5"/>
  <c r="AR30" i="5" s="1"/>
  <c r="AM36" i="5"/>
  <c r="AM69" i="5" s="1"/>
  <c r="AH37" i="5"/>
  <c r="AH70" i="5" s="1"/>
  <c r="AH36" i="5"/>
  <c r="AC37" i="5"/>
  <c r="AC36" i="5"/>
  <c r="X37" i="5"/>
  <c r="X36" i="5"/>
  <c r="S37" i="5"/>
  <c r="X30" i="5" s="1"/>
  <c r="S36" i="5"/>
  <c r="N37" i="5"/>
  <c r="N36" i="5"/>
  <c r="CQ37" i="5"/>
  <c r="CO37" i="5"/>
  <c r="CT37" i="5" s="1"/>
  <c r="CN37" i="5"/>
  <c r="CM37" i="5"/>
  <c r="CP37" i="5" s="1"/>
  <c r="CS36" i="5"/>
  <c r="CQ36" i="5"/>
  <c r="CO36" i="5"/>
  <c r="CN36" i="5"/>
  <c r="CM36" i="5"/>
  <c r="CY35" i="5"/>
  <c r="CX35" i="5"/>
  <c r="CW35" i="5" s="1"/>
  <c r="CT35" i="5"/>
  <c r="CS35" i="5"/>
  <c r="CR35" i="5" s="1"/>
  <c r="CO35" i="5"/>
  <c r="CN35" i="5"/>
  <c r="CM35" i="5" s="1"/>
  <c r="CJ35" i="5"/>
  <c r="CI35" i="5"/>
  <c r="CI34" i="5" s="1"/>
  <c r="CL34" i="5"/>
  <c r="CJ34" i="5"/>
  <c r="CJ28" i="5" s="1"/>
  <c r="CH34" i="5"/>
  <c r="CG34" i="5"/>
  <c r="CE34" i="5"/>
  <c r="CD34" i="5"/>
  <c r="CC34" i="5"/>
  <c r="CB34" i="5"/>
  <c r="CB38" i="5" s="1"/>
  <c r="BZ34" i="5"/>
  <c r="BY34" i="5"/>
  <c r="BX34" i="5"/>
  <c r="BX28" i="5" s="1"/>
  <c r="BW34" i="5"/>
  <c r="BU34" i="5"/>
  <c r="BT34" i="5"/>
  <c r="BS34" i="5"/>
  <c r="BR34" i="5"/>
  <c r="BB34" i="5"/>
  <c r="BB33" i="5"/>
  <c r="AW34" i="5"/>
  <c r="AW33" i="5"/>
  <c r="AR34" i="5"/>
  <c r="AR28" i="5" s="1"/>
  <c r="AR33" i="5"/>
  <c r="AM34" i="5"/>
  <c r="AM33" i="5"/>
  <c r="AM67" i="5" s="1"/>
  <c r="AH34" i="5"/>
  <c r="AH33" i="5"/>
  <c r="AC34" i="5"/>
  <c r="AC68" i="5" s="1"/>
  <c r="AC33" i="5"/>
  <c r="AH27" i="5" s="1"/>
  <c r="X34" i="5"/>
  <c r="X68" i="5" s="1"/>
  <c r="X33" i="5"/>
  <c r="X67" i="5" s="1"/>
  <c r="S34" i="5"/>
  <c r="S33" i="5"/>
  <c r="N34" i="5"/>
  <c r="N33" i="5"/>
  <c r="CT33" i="5"/>
  <c r="CQ33" i="5"/>
  <c r="CP33" i="5"/>
  <c r="CO33" i="5"/>
  <c r="CN33" i="5"/>
  <c r="CM33" i="5"/>
  <c r="CK33" i="5"/>
  <c r="CK27" i="5" s="1"/>
  <c r="CP27" i="5"/>
  <c r="N30" i="5"/>
  <c r="N29" i="5"/>
  <c r="N27" i="5"/>
  <c r="I30" i="5"/>
  <c r="I29" i="5"/>
  <c r="I28" i="5"/>
  <c r="I27" i="5"/>
  <c r="CL30" i="5"/>
  <c r="CK30" i="5"/>
  <c r="CJ30" i="5"/>
  <c r="CI30" i="5"/>
  <c r="CH30" i="5"/>
  <c r="CG30" i="5"/>
  <c r="CF30" i="5"/>
  <c r="CE30" i="5"/>
  <c r="CD30" i="5"/>
  <c r="CC30" i="5"/>
  <c r="CB30" i="5"/>
  <c r="CA30" i="5"/>
  <c r="BZ30" i="5"/>
  <c r="BY30" i="5"/>
  <c r="BX30" i="5"/>
  <c r="BW30" i="5"/>
  <c r="BU30" i="5"/>
  <c r="BT30" i="5"/>
  <c r="BS30" i="5"/>
  <c r="BR30" i="5"/>
  <c r="BQ30" i="5"/>
  <c r="BP30" i="5"/>
  <c r="BO30" i="5"/>
  <c r="BN30" i="5"/>
  <c r="BM30" i="5"/>
  <c r="BL30" i="5"/>
  <c r="BK30" i="5"/>
  <c r="BJ30" i="5"/>
  <c r="BI30" i="5"/>
  <c r="BH30" i="5"/>
  <c r="BG30" i="5"/>
  <c r="BF30" i="5"/>
  <c r="BE30" i="5"/>
  <c r="BD30" i="5"/>
  <c r="BC30" i="5"/>
  <c r="CL29" i="5"/>
  <c r="CK29" i="5"/>
  <c r="CJ29" i="5"/>
  <c r="CI29" i="5"/>
  <c r="CH29" i="5"/>
  <c r="CG29" i="5"/>
  <c r="CF29" i="5"/>
  <c r="CE29" i="5"/>
  <c r="CD29" i="5"/>
  <c r="CC29" i="5"/>
  <c r="CB29" i="5"/>
  <c r="BZ29" i="5"/>
  <c r="BY29" i="5"/>
  <c r="BX29" i="5"/>
  <c r="BW29" i="5"/>
  <c r="BV29" i="5"/>
  <c r="BU29" i="5"/>
  <c r="BT29" i="5"/>
  <c r="BS29" i="5"/>
  <c r="BR29" i="5"/>
  <c r="BQ29" i="5"/>
  <c r="BP29" i="5"/>
  <c r="BO29" i="5"/>
  <c r="BN29" i="5"/>
  <c r="BM29" i="5"/>
  <c r="BL29" i="5"/>
  <c r="BK29" i="5"/>
  <c r="BJ29" i="5"/>
  <c r="BI29" i="5"/>
  <c r="BH29" i="5"/>
  <c r="BG29" i="5"/>
  <c r="BF29" i="5"/>
  <c r="BE29" i="5"/>
  <c r="BD29" i="5"/>
  <c r="BC29" i="5"/>
  <c r="BB29" i="5"/>
  <c r="CL28" i="5"/>
  <c r="CH28" i="5"/>
  <c r="CG28" i="5"/>
  <c r="CD28" i="5"/>
  <c r="CC28" i="5"/>
  <c r="BZ28" i="5"/>
  <c r="BY28" i="5"/>
  <c r="BW28" i="5"/>
  <c r="BB28" i="5"/>
  <c r="CL27" i="5"/>
  <c r="CJ27" i="5"/>
  <c r="CI27" i="5"/>
  <c r="CH27" i="5"/>
  <c r="CG27" i="5"/>
  <c r="CF27" i="5"/>
  <c r="CE27" i="5"/>
  <c r="CD27" i="5"/>
  <c r="CC27" i="5"/>
  <c r="CB27" i="5"/>
  <c r="CA27" i="5"/>
  <c r="BZ27" i="5"/>
  <c r="BY27" i="5"/>
  <c r="BX27" i="5"/>
  <c r="BW27" i="5"/>
  <c r="BV27" i="5"/>
  <c r="BU27" i="5"/>
  <c r="BT27" i="5"/>
  <c r="BS27" i="5"/>
  <c r="BR27" i="5"/>
  <c r="BP27" i="5"/>
  <c r="BO27" i="5"/>
  <c r="BN27" i="5"/>
  <c r="BM27" i="5"/>
  <c r="BL27" i="5"/>
  <c r="BK27" i="5"/>
  <c r="BJ27" i="5"/>
  <c r="BI27" i="5"/>
  <c r="BH27" i="5"/>
  <c r="BG27" i="5"/>
  <c r="BF27" i="5"/>
  <c r="BE27" i="5"/>
  <c r="BD27" i="5"/>
  <c r="BC27" i="5"/>
  <c r="BB27" i="5"/>
  <c r="AZ30" i="5"/>
  <c r="AY30" i="5"/>
  <c r="AX30" i="5"/>
  <c r="AW30" i="5"/>
  <c r="AV30" i="5"/>
  <c r="AU30" i="5"/>
  <c r="AT30" i="5"/>
  <c r="AS30" i="5"/>
  <c r="AQ30" i="5"/>
  <c r="AP30" i="5"/>
  <c r="AO30" i="5"/>
  <c r="AN30" i="5"/>
  <c r="AM30" i="5"/>
  <c r="AL30" i="5"/>
  <c r="AK30" i="5"/>
  <c r="AJ30" i="5"/>
  <c r="AI30" i="5"/>
  <c r="AH30" i="5"/>
  <c r="AG30" i="5"/>
  <c r="AF30" i="5"/>
  <c r="AE30" i="5"/>
  <c r="AD30" i="5"/>
  <c r="AC30" i="5"/>
  <c r="AB30" i="5"/>
  <c r="AA30" i="5"/>
  <c r="Z30" i="5"/>
  <c r="Y30" i="5"/>
  <c r="W30" i="5"/>
  <c r="V30" i="5"/>
  <c r="U30" i="5"/>
  <c r="T30" i="5"/>
  <c r="S30" i="5"/>
  <c r="AZ29" i="5"/>
  <c r="AY29" i="5"/>
  <c r="AX29" i="5"/>
  <c r="AW29" i="5"/>
  <c r="AV29" i="5"/>
  <c r="AU29" i="5"/>
  <c r="AT29" i="5"/>
  <c r="AS29" i="5"/>
  <c r="AR29" i="5"/>
  <c r="AQ29" i="5"/>
  <c r="AP29" i="5"/>
  <c r="AO29" i="5"/>
  <c r="AN29" i="5"/>
  <c r="AM29" i="5"/>
  <c r="AL29" i="5"/>
  <c r="AK29" i="5"/>
  <c r="AJ29" i="5"/>
  <c r="AI29" i="5"/>
  <c r="AH29" i="5"/>
  <c r="AG29" i="5"/>
  <c r="AF29" i="5"/>
  <c r="AE29" i="5"/>
  <c r="AD29" i="5"/>
  <c r="AC29" i="5"/>
  <c r="AB29" i="5"/>
  <c r="AA29" i="5"/>
  <c r="Z29" i="5"/>
  <c r="Y29" i="5"/>
  <c r="X29" i="5"/>
  <c r="W29" i="5"/>
  <c r="V29" i="5"/>
  <c r="U29" i="5"/>
  <c r="T29" i="5"/>
  <c r="S29" i="5"/>
  <c r="AZ28" i="5"/>
  <c r="AY28" i="5"/>
  <c r="AX28" i="5"/>
  <c r="AW28" i="5"/>
  <c r="AV28" i="5"/>
  <c r="AU28" i="5"/>
  <c r="AT28" i="5"/>
  <c r="AS28" i="5"/>
  <c r="AQ28" i="5"/>
  <c r="AP28" i="5"/>
  <c r="AO28" i="5"/>
  <c r="AN28" i="5"/>
  <c r="AM28" i="5"/>
  <c r="AL28" i="5"/>
  <c r="AK28" i="5"/>
  <c r="AJ28" i="5"/>
  <c r="AI28" i="5"/>
  <c r="AH28" i="5"/>
  <c r="AG28" i="5"/>
  <c r="AF28" i="5"/>
  <c r="AE28" i="5"/>
  <c r="AD28" i="5"/>
  <c r="AC28" i="5"/>
  <c r="AB28" i="5"/>
  <c r="AA28" i="5"/>
  <c r="Z28" i="5"/>
  <c r="Y28" i="5"/>
  <c r="W28" i="5"/>
  <c r="V28" i="5"/>
  <c r="U28" i="5"/>
  <c r="T28" i="5"/>
  <c r="S28" i="5"/>
  <c r="AZ27" i="5"/>
  <c r="AY27" i="5"/>
  <c r="AX27" i="5"/>
  <c r="AW27" i="5"/>
  <c r="AV27" i="5"/>
  <c r="AU27" i="5"/>
  <c r="AT27" i="5"/>
  <c r="AS27" i="5"/>
  <c r="AR27" i="5"/>
  <c r="AQ27" i="5"/>
  <c r="AP27" i="5"/>
  <c r="AO27" i="5"/>
  <c r="AN27" i="5"/>
  <c r="AM27" i="5"/>
  <c r="AL27" i="5"/>
  <c r="AK27" i="5"/>
  <c r="AJ27" i="5"/>
  <c r="AI27" i="5"/>
  <c r="AG27" i="5"/>
  <c r="AF27" i="5"/>
  <c r="AE27" i="5"/>
  <c r="AD27" i="5"/>
  <c r="AC27" i="5"/>
  <c r="AB27" i="5"/>
  <c r="AA27" i="5"/>
  <c r="Z27" i="5"/>
  <c r="Y27" i="5"/>
  <c r="X27" i="5"/>
  <c r="W27" i="5"/>
  <c r="V27" i="5"/>
  <c r="U27" i="5"/>
  <c r="T27" i="5"/>
  <c r="S27" i="5"/>
  <c r="AY24" i="5"/>
  <c r="AE24" i="5"/>
  <c r="I22" i="5"/>
  <c r="I92" i="5" s="1"/>
  <c r="I94" i="5" s="1"/>
  <c r="BT22" i="5"/>
  <c r="BT92" i="5" s="1"/>
  <c r="BT94" i="5" s="1"/>
  <c r="BA22" i="5"/>
  <c r="BA92" i="5" s="1"/>
  <c r="BA94" i="5" s="1"/>
  <c r="AZ22" i="5"/>
  <c r="AZ92" i="5" s="1"/>
  <c r="AZ94" i="5" s="1"/>
  <c r="AY22" i="5"/>
  <c r="AY92" i="5" s="1"/>
  <c r="AY94" i="5" s="1"/>
  <c r="AX22" i="5"/>
  <c r="AX92" i="5" s="1"/>
  <c r="AX94" i="5" s="1"/>
  <c r="AV22" i="5"/>
  <c r="AV92" i="5" s="1"/>
  <c r="AV94" i="5" s="1"/>
  <c r="AU22" i="5"/>
  <c r="AU92" i="5" s="1"/>
  <c r="AU94" i="5" s="1"/>
  <c r="AT22" i="5"/>
  <c r="AT92" i="5" s="1"/>
  <c r="AT94" i="5" s="1"/>
  <c r="AS22" i="5"/>
  <c r="AS92" i="5" s="1"/>
  <c r="AS94" i="5" s="1"/>
  <c r="AQ22" i="5"/>
  <c r="AQ92" i="5" s="1"/>
  <c r="AQ94" i="5" s="1"/>
  <c r="AP22" i="5"/>
  <c r="AO22" i="5"/>
  <c r="AO23" i="5" s="1"/>
  <c r="AN22" i="5"/>
  <c r="AN23" i="5" s="1"/>
  <c r="AL22" i="5"/>
  <c r="AL92" i="5" s="1"/>
  <c r="AL94" i="5" s="1"/>
  <c r="AK22" i="5"/>
  <c r="AK92" i="5" s="1"/>
  <c r="AK94" i="5" s="1"/>
  <c r="AJ22" i="5"/>
  <c r="AJ92" i="5" s="1"/>
  <c r="AJ94" i="5" s="1"/>
  <c r="AI22" i="5"/>
  <c r="AI92" i="5" s="1"/>
  <c r="AI94" i="5" s="1"/>
  <c r="AG22" i="5"/>
  <c r="AG92" i="5" s="1"/>
  <c r="AG94" i="5" s="1"/>
  <c r="AF22" i="5"/>
  <c r="AF92" i="5" s="1"/>
  <c r="AF94" i="5" s="1"/>
  <c r="AE22" i="5"/>
  <c r="AE92" i="5" s="1"/>
  <c r="AE94" i="5" s="1"/>
  <c r="AD22" i="5"/>
  <c r="AD92" i="5" s="1"/>
  <c r="AD94" i="5" s="1"/>
  <c r="AD96" i="5" s="1"/>
  <c r="AB22" i="5"/>
  <c r="AB92" i="5" s="1"/>
  <c r="AB94" i="5" s="1"/>
  <c r="AA22" i="5"/>
  <c r="AA92" i="5" s="1"/>
  <c r="AA94" i="5" s="1"/>
  <c r="Z22" i="5"/>
  <c r="Z92" i="5" s="1"/>
  <c r="Z94" i="5" s="1"/>
  <c r="Z96" i="5" s="1"/>
  <c r="Y22" i="5"/>
  <c r="Y92" i="5" s="1"/>
  <c r="Y94" i="5" s="1"/>
  <c r="W22" i="5"/>
  <c r="W92" i="5" s="1"/>
  <c r="W94" i="5" s="1"/>
  <c r="V22" i="5"/>
  <c r="V92" i="5" s="1"/>
  <c r="V94" i="5" s="1"/>
  <c r="V96" i="5" s="1"/>
  <c r="U22" i="5"/>
  <c r="U92" i="5" s="1"/>
  <c r="U94" i="5" s="1"/>
  <c r="T22" i="5"/>
  <c r="T92" i="5" s="1"/>
  <c r="T94" i="5" s="1"/>
  <c r="R22" i="5"/>
  <c r="R92" i="5" s="1"/>
  <c r="R94" i="5" s="1"/>
  <c r="Q22" i="5"/>
  <c r="Q92" i="5" s="1"/>
  <c r="Q94" i="5" s="1"/>
  <c r="P22" i="5"/>
  <c r="P92" i="5" s="1"/>
  <c r="P94" i="5" s="1"/>
  <c r="O22" i="5"/>
  <c r="O92" i="5" s="1"/>
  <c r="O94" i="5" s="1"/>
  <c r="M22" i="5"/>
  <c r="M92" i="5" s="1"/>
  <c r="M94" i="5" s="1"/>
  <c r="L22" i="5"/>
  <c r="L92" i="5" s="1"/>
  <c r="L94" i="5" s="1"/>
  <c r="K22" i="5"/>
  <c r="K92" i="5" s="1"/>
  <c r="K94" i="5" s="1"/>
  <c r="J22" i="5"/>
  <c r="J92" i="5" s="1"/>
  <c r="J94" i="5" s="1"/>
  <c r="J96" i="5" s="1"/>
  <c r="H22" i="5"/>
  <c r="H92" i="5" s="1"/>
  <c r="H94" i="5" s="1"/>
  <c r="CK21" i="5"/>
  <c r="CK20" i="5"/>
  <c r="CK19" i="5"/>
  <c r="CK18" i="5"/>
  <c r="CF21" i="5"/>
  <c r="CF20" i="5"/>
  <c r="CF19" i="5"/>
  <c r="CF18" i="5"/>
  <c r="CA21" i="5"/>
  <c r="CA20" i="5"/>
  <c r="CA19" i="5"/>
  <c r="CA18" i="5"/>
  <c r="BV21" i="5"/>
  <c r="BV20" i="5"/>
  <c r="BV19" i="5"/>
  <c r="BV18" i="5"/>
  <c r="BQ21" i="5"/>
  <c r="BQ20" i="5"/>
  <c r="BQ19" i="5"/>
  <c r="BQ18" i="5"/>
  <c r="BB21" i="5"/>
  <c r="BB20" i="5"/>
  <c r="BB19" i="5"/>
  <c r="BB18" i="5"/>
  <c r="AW21" i="5"/>
  <c r="AW20" i="5"/>
  <c r="AW19" i="5"/>
  <c r="AW18" i="5"/>
  <c r="AR21" i="5"/>
  <c r="AR20" i="5"/>
  <c r="AR19" i="5"/>
  <c r="AR18" i="5"/>
  <c r="AM21" i="5"/>
  <c r="AM20" i="5"/>
  <c r="AM19" i="5"/>
  <c r="AM18" i="5"/>
  <c r="AH21" i="5"/>
  <c r="AH19" i="5"/>
  <c r="AH18" i="5"/>
  <c r="AC21" i="5"/>
  <c r="AC20" i="5"/>
  <c r="AC19" i="5"/>
  <c r="AC18" i="5"/>
  <c r="X21" i="5"/>
  <c r="X20" i="5"/>
  <c r="X19" i="5"/>
  <c r="X18" i="5"/>
  <c r="S21" i="5"/>
  <c r="S20" i="5"/>
  <c r="S19" i="5"/>
  <c r="S18" i="5"/>
  <c r="CY73" i="5"/>
  <c r="AE80" i="4" s="1"/>
  <c r="CX73" i="5"/>
  <c r="CW73" i="5"/>
  <c r="AE78" i="4" s="1"/>
  <c r="CV73" i="5"/>
  <c r="CT73" i="5"/>
  <c r="AE76" i="4" s="1"/>
  <c r="CS73" i="5"/>
  <c r="AE75" i="4" s="1"/>
  <c r="CR73" i="5"/>
  <c r="AE74" i="4" s="1"/>
  <c r="CQ73" i="5"/>
  <c r="AE73" i="4" s="1"/>
  <c r="CO73" i="5"/>
  <c r="AE72" i="4" s="1"/>
  <c r="CN73" i="5"/>
  <c r="AE71" i="4" s="1"/>
  <c r="CM73" i="5"/>
  <c r="AE70" i="4" s="1"/>
  <c r="CL73" i="5"/>
  <c r="AE69" i="4" s="1"/>
  <c r="CJ73" i="5"/>
  <c r="AE68" i="4" s="1"/>
  <c r="CI73" i="5"/>
  <c r="AE67" i="4" s="1"/>
  <c r="CH73" i="5"/>
  <c r="AE66" i="4" s="1"/>
  <c r="CG73" i="5"/>
  <c r="AE65" i="4" s="1"/>
  <c r="CE73" i="5"/>
  <c r="AE64" i="4" s="1"/>
  <c r="CD73" i="5"/>
  <c r="AE63" i="4" s="1"/>
  <c r="CC73" i="5"/>
  <c r="AE62" i="4" s="1"/>
  <c r="CB73" i="5"/>
  <c r="BZ73" i="5"/>
  <c r="AE60" i="4" s="1"/>
  <c r="BY73" i="5"/>
  <c r="AE59" i="4" s="1"/>
  <c r="BX73" i="5"/>
  <c r="AE58" i="4" s="1"/>
  <c r="BW73" i="5"/>
  <c r="AE57" i="4" s="1"/>
  <c r="BU73" i="5"/>
  <c r="AE56" i="4" s="1"/>
  <c r="BT73" i="5"/>
  <c r="AE55" i="4" s="1"/>
  <c r="BS73" i="5"/>
  <c r="BR73" i="5"/>
  <c r="AE53" i="4" s="1"/>
  <c r="BP73" i="5"/>
  <c r="AE52" i="4" s="1"/>
  <c r="BO73" i="5"/>
  <c r="AE51" i="4" s="1"/>
  <c r="BN73" i="5"/>
  <c r="AE50" i="4" s="1"/>
  <c r="BM73" i="5"/>
  <c r="AE49" i="4" s="1"/>
  <c r="BK73" i="5"/>
  <c r="AE48" i="4" s="1"/>
  <c r="BJ73" i="5"/>
  <c r="AE47" i="4" s="1"/>
  <c r="BI73" i="5"/>
  <c r="AE46" i="4" s="1"/>
  <c r="BH73" i="5"/>
  <c r="BF73" i="5"/>
  <c r="AE44" i="4" s="1"/>
  <c r="BE73" i="5"/>
  <c r="AE43" i="4" s="1"/>
  <c r="BD73" i="5"/>
  <c r="AE42" i="4" s="1"/>
  <c r="BC73" i="5"/>
  <c r="AE41" i="4" s="1"/>
  <c r="BA73" i="5"/>
  <c r="AE40" i="4" s="1"/>
  <c r="AZ73" i="5"/>
  <c r="AY73" i="5"/>
  <c r="AE38" i="4" s="1"/>
  <c r="AX73" i="5"/>
  <c r="AE37" i="4" s="1"/>
  <c r="AV73" i="5"/>
  <c r="AE36" i="4" s="1"/>
  <c r="AU73" i="5"/>
  <c r="AE35" i="4" s="1"/>
  <c r="AT73" i="5"/>
  <c r="AE34" i="4" s="1"/>
  <c r="AS73" i="5"/>
  <c r="AE33" i="4" s="1"/>
  <c r="AQ73" i="5"/>
  <c r="AE32" i="4" s="1"/>
  <c r="AP73" i="5"/>
  <c r="AE31" i="4" s="1"/>
  <c r="AO73" i="5"/>
  <c r="AE30" i="4" s="1"/>
  <c r="AN73" i="5"/>
  <c r="AL73" i="5"/>
  <c r="AE28" i="4" s="1"/>
  <c r="AK73" i="5"/>
  <c r="AE27" i="4" s="1"/>
  <c r="AJ73" i="5"/>
  <c r="AE26" i="4" s="1"/>
  <c r="AI73" i="5"/>
  <c r="AE25" i="4" s="1"/>
  <c r="AG73" i="5"/>
  <c r="AE24" i="4" s="1"/>
  <c r="AF73" i="5"/>
  <c r="AE23" i="4" s="1"/>
  <c r="AE73" i="5"/>
  <c r="AE22" i="4" s="1"/>
  <c r="AD73" i="5"/>
  <c r="AB73" i="5"/>
  <c r="AE20" i="4" s="1"/>
  <c r="AA73" i="5"/>
  <c r="AE19" i="4" s="1"/>
  <c r="Z73" i="5"/>
  <c r="AE18" i="4" s="1"/>
  <c r="Y73" i="5"/>
  <c r="AE17" i="4" s="1"/>
  <c r="W73" i="5"/>
  <c r="AE16" i="4" s="1"/>
  <c r="V73" i="5"/>
  <c r="AE15" i="4" s="1"/>
  <c r="U73" i="5"/>
  <c r="T73" i="5"/>
  <c r="CY72" i="5"/>
  <c r="CX72" i="5"/>
  <c r="CW72" i="5"/>
  <c r="CV72" i="5"/>
  <c r="AD77" i="4" s="1"/>
  <c r="CT72" i="5"/>
  <c r="CS72" i="5"/>
  <c r="CR72" i="5"/>
  <c r="CR74" i="5" s="1"/>
  <c r="AF74" i="4" s="1"/>
  <c r="CQ72" i="5"/>
  <c r="AD73" i="4" s="1"/>
  <c r="CO72" i="5"/>
  <c r="CN72" i="5"/>
  <c r="CM72" i="5"/>
  <c r="CL72" i="5"/>
  <c r="AD69" i="4" s="1"/>
  <c r="CJ72" i="5"/>
  <c r="AD68" i="4" s="1"/>
  <c r="CI72" i="5"/>
  <c r="AD67" i="4" s="1"/>
  <c r="CH72" i="5"/>
  <c r="AD66" i="4" s="1"/>
  <c r="CG72" i="5"/>
  <c r="AD65" i="4" s="1"/>
  <c r="CE72" i="5"/>
  <c r="AD64" i="4" s="1"/>
  <c r="CD72" i="5"/>
  <c r="AD63" i="4" s="1"/>
  <c r="CC72" i="5"/>
  <c r="AD62" i="4" s="1"/>
  <c r="CB72" i="5"/>
  <c r="AD61" i="4" s="1"/>
  <c r="BZ72" i="5"/>
  <c r="AD60" i="4" s="1"/>
  <c r="BY72" i="5"/>
  <c r="AD59" i="4" s="1"/>
  <c r="BX72" i="5"/>
  <c r="BW72" i="5"/>
  <c r="AD57" i="4" s="1"/>
  <c r="BU72" i="5"/>
  <c r="AD56" i="4" s="1"/>
  <c r="BT72" i="5"/>
  <c r="AD55" i="4" s="1"/>
  <c r="BS72" i="5"/>
  <c r="AD54" i="4" s="1"/>
  <c r="BR72" i="5"/>
  <c r="AD53" i="4" s="1"/>
  <c r="BP72" i="5"/>
  <c r="AD52" i="4" s="1"/>
  <c r="BO72" i="5"/>
  <c r="AD51" i="4" s="1"/>
  <c r="BN72" i="5"/>
  <c r="AD50" i="4" s="1"/>
  <c r="BM72" i="5"/>
  <c r="AD49" i="4" s="1"/>
  <c r="BK72" i="5"/>
  <c r="AD48" i="4" s="1"/>
  <c r="BJ72" i="5"/>
  <c r="AD47" i="4" s="1"/>
  <c r="BI72" i="5"/>
  <c r="AD46" i="4" s="1"/>
  <c r="BH72" i="5"/>
  <c r="AD45" i="4" s="1"/>
  <c r="BF72" i="5"/>
  <c r="AD44" i="4" s="1"/>
  <c r="BE72" i="5"/>
  <c r="BD72" i="5"/>
  <c r="AD42" i="4" s="1"/>
  <c r="BC72" i="5"/>
  <c r="AD41" i="4" s="1"/>
  <c r="BA72" i="5"/>
  <c r="AD40" i="4" s="1"/>
  <c r="AZ72" i="5"/>
  <c r="AD39" i="4" s="1"/>
  <c r="AY72" i="5"/>
  <c r="AD38" i="4" s="1"/>
  <c r="AX72" i="5"/>
  <c r="AD37" i="4" s="1"/>
  <c r="AV72" i="5"/>
  <c r="AD36" i="4" s="1"/>
  <c r="AU72" i="5"/>
  <c r="AD35" i="4" s="1"/>
  <c r="AT72" i="5"/>
  <c r="AD34" i="4" s="1"/>
  <c r="AS72" i="5"/>
  <c r="AD33" i="4" s="1"/>
  <c r="AQ72" i="5"/>
  <c r="AD32" i="4" s="1"/>
  <c r="AP72" i="5"/>
  <c r="AD31" i="4" s="1"/>
  <c r="AO72" i="5"/>
  <c r="AD30" i="4" s="1"/>
  <c r="AN72" i="5"/>
  <c r="AD29" i="4" s="1"/>
  <c r="AL72" i="5"/>
  <c r="AD28" i="4" s="1"/>
  <c r="AK72" i="5"/>
  <c r="AD27" i="4" s="1"/>
  <c r="AJ72" i="5"/>
  <c r="AD26" i="4" s="1"/>
  <c r="AI72" i="5"/>
  <c r="AD25" i="4" s="1"/>
  <c r="AG72" i="5"/>
  <c r="AD24" i="4" s="1"/>
  <c r="AF72" i="5"/>
  <c r="AD23" i="4" s="1"/>
  <c r="AE72" i="5"/>
  <c r="AD22" i="4" s="1"/>
  <c r="AD72" i="5"/>
  <c r="AD21" i="4" s="1"/>
  <c r="AB72" i="5"/>
  <c r="AD20" i="4" s="1"/>
  <c r="AA72" i="5"/>
  <c r="AD19" i="4" s="1"/>
  <c r="Z72" i="5"/>
  <c r="AD18" i="4" s="1"/>
  <c r="Y72" i="5"/>
  <c r="AD17" i="4" s="1"/>
  <c r="W72" i="5"/>
  <c r="AD16" i="4" s="1"/>
  <c r="V72" i="5"/>
  <c r="AD15" i="4" s="1"/>
  <c r="U72" i="5"/>
  <c r="AD14" i="4" s="1"/>
  <c r="T72" i="5"/>
  <c r="AB80" i="4"/>
  <c r="AB79" i="4"/>
  <c r="AB78" i="4"/>
  <c r="AB77" i="4"/>
  <c r="AB76" i="4"/>
  <c r="AB75" i="4"/>
  <c r="AB74" i="4"/>
  <c r="AB72" i="4"/>
  <c r="AB71" i="4"/>
  <c r="AB70" i="4"/>
  <c r="AB68" i="4"/>
  <c r="AB67" i="4"/>
  <c r="AJ67" i="4" s="1"/>
  <c r="AB66" i="4"/>
  <c r="AB64" i="4"/>
  <c r="AB63" i="4"/>
  <c r="AJ63" i="4" s="1"/>
  <c r="AB62" i="4"/>
  <c r="AB60" i="4"/>
  <c r="AC60" i="4" s="1"/>
  <c r="AB59" i="4"/>
  <c r="AB58" i="4"/>
  <c r="AB56" i="4"/>
  <c r="AB55" i="4"/>
  <c r="AB54" i="4"/>
  <c r="AB52" i="4"/>
  <c r="AB51" i="4"/>
  <c r="AB50" i="4"/>
  <c r="AB48" i="4"/>
  <c r="AJ48" i="4" s="1"/>
  <c r="AB47" i="4"/>
  <c r="AJ47" i="4" s="1"/>
  <c r="AB46" i="4"/>
  <c r="AJ46" i="4" s="1"/>
  <c r="AB45" i="4"/>
  <c r="AB44" i="4"/>
  <c r="AB43" i="4"/>
  <c r="AB42" i="4"/>
  <c r="AB40" i="4"/>
  <c r="AB39" i="4"/>
  <c r="AB38" i="4"/>
  <c r="AB36" i="4"/>
  <c r="AB35" i="4"/>
  <c r="AB34" i="4"/>
  <c r="AB32" i="4"/>
  <c r="AC32" i="4" s="1"/>
  <c r="AB31" i="4"/>
  <c r="AC31" i="4" s="1"/>
  <c r="AB30" i="4"/>
  <c r="AC30" i="4" s="1"/>
  <c r="AB29" i="4"/>
  <c r="AB28" i="4"/>
  <c r="AC28" i="4" s="1"/>
  <c r="AB27" i="4"/>
  <c r="AB26" i="4"/>
  <c r="AC26" i="4" s="1"/>
  <c r="BT140" i="5"/>
  <c r="AI140" i="5"/>
  <c r="AG140" i="5"/>
  <c r="AF140" i="5"/>
  <c r="AE140" i="5"/>
  <c r="AD140" i="5"/>
  <c r="AB140" i="5"/>
  <c r="AA140" i="5"/>
  <c r="Z140" i="5"/>
  <c r="Y140" i="5"/>
  <c r="W140" i="5"/>
  <c r="V140" i="5"/>
  <c r="U140" i="5"/>
  <c r="T140" i="5"/>
  <c r="V80" i="4"/>
  <c r="V79" i="4"/>
  <c r="V78" i="4"/>
  <c r="V76" i="4"/>
  <c r="V75" i="4"/>
  <c r="V74" i="4"/>
  <c r="V72" i="4"/>
  <c r="V71" i="4"/>
  <c r="V70" i="4"/>
  <c r="V51" i="4"/>
  <c r="W51" i="4" s="1"/>
  <c r="V50" i="4"/>
  <c r="V47" i="4"/>
  <c r="V46" i="4"/>
  <c r="BX143" i="5"/>
  <c r="AI143" i="5"/>
  <c r="AG143" i="5"/>
  <c r="AF143" i="5"/>
  <c r="AE143" i="5"/>
  <c r="AD143" i="5"/>
  <c r="AB143" i="5"/>
  <c r="AA143" i="5"/>
  <c r="Z143" i="5"/>
  <c r="Y143" i="5"/>
  <c r="W143" i="5"/>
  <c r="V143" i="5"/>
  <c r="U143" i="5"/>
  <c r="T143" i="5"/>
  <c r="CK7" i="5"/>
  <c r="CK145" i="5" s="1"/>
  <c r="CF7" i="5"/>
  <c r="CA7" i="5"/>
  <c r="BV7" i="5"/>
  <c r="BQ7" i="5"/>
  <c r="BL7" i="5"/>
  <c r="BG7" i="5"/>
  <c r="BB7" i="5"/>
  <c r="AW7" i="5"/>
  <c r="R80" i="4"/>
  <c r="R79" i="4"/>
  <c r="R78" i="4"/>
  <c r="R77" i="4"/>
  <c r="R76" i="4"/>
  <c r="R75" i="4"/>
  <c r="R74" i="4"/>
  <c r="R73" i="4"/>
  <c r="R72" i="4"/>
  <c r="R71" i="4"/>
  <c r="R70" i="4"/>
  <c r="C70" i="4" s="1"/>
  <c r="R69" i="4"/>
  <c r="R68" i="4"/>
  <c r="S68" i="4" s="1"/>
  <c r="R67" i="4"/>
  <c r="R66" i="4"/>
  <c r="S66" i="4" s="1"/>
  <c r="R65" i="4"/>
  <c r="R64" i="4"/>
  <c r="S64" i="4" s="1"/>
  <c r="R63" i="4"/>
  <c r="R62" i="4"/>
  <c r="S62" i="4" s="1"/>
  <c r="R61" i="4"/>
  <c r="R60" i="4"/>
  <c r="S60" i="4" s="1"/>
  <c r="R59" i="4"/>
  <c r="S59" i="4" s="1"/>
  <c r="R58" i="4"/>
  <c r="R56" i="4"/>
  <c r="R55" i="4"/>
  <c r="S55" i="4" s="1"/>
  <c r="R54" i="4"/>
  <c r="S54" i="4" s="1"/>
  <c r="R53" i="4"/>
  <c r="R52" i="4"/>
  <c r="S52" i="4" s="1"/>
  <c r="R51" i="4"/>
  <c r="R50" i="4"/>
  <c r="R48" i="4"/>
  <c r="S48" i="4" s="1"/>
  <c r="R47" i="4"/>
  <c r="R46" i="4"/>
  <c r="S46" i="4" s="1"/>
  <c r="R45" i="4"/>
  <c r="R44" i="4"/>
  <c r="S44" i="4" s="1"/>
  <c r="R43" i="4"/>
  <c r="R42" i="4"/>
  <c r="R40" i="4"/>
  <c r="R38" i="4"/>
  <c r="S38" i="4" s="1"/>
  <c r="R37" i="4"/>
  <c r="R36" i="4"/>
  <c r="S36" i="4" s="1"/>
  <c r="R35" i="4"/>
  <c r="R34" i="4"/>
  <c r="R32" i="4"/>
  <c r="S32" i="4" s="1"/>
  <c r="R31" i="4"/>
  <c r="R30" i="4"/>
  <c r="S30" i="4" s="1"/>
  <c r="R29" i="4"/>
  <c r="R28" i="4"/>
  <c r="S28" i="4" s="1"/>
  <c r="R27" i="4"/>
  <c r="S27" i="4" s="1"/>
  <c r="R26" i="4"/>
  <c r="S26" i="4" s="1"/>
  <c r="D65" i="50"/>
  <c r="AJ64" i="4" l="1"/>
  <c r="AC64" i="4"/>
  <c r="BE35" i="5"/>
  <c r="BD35" i="5" s="1"/>
  <c r="BF34" i="5"/>
  <c r="BF28" i="5" s="1"/>
  <c r="BJ35" i="5"/>
  <c r="BK34" i="5"/>
  <c r="BK38" i="5" s="1"/>
  <c r="BK100" i="10" s="1"/>
  <c r="BO35" i="5"/>
  <c r="BO34" i="5" s="1"/>
  <c r="BP34" i="5"/>
  <c r="AT143" i="5"/>
  <c r="T34" i="4"/>
  <c r="AY143" i="5"/>
  <c r="T38" i="4"/>
  <c r="BN143" i="5"/>
  <c r="T50" i="4"/>
  <c r="CH143" i="5"/>
  <c r="T66" i="4"/>
  <c r="CR143" i="5"/>
  <c r="T74" i="4"/>
  <c r="BX85" i="5"/>
  <c r="V58" i="4"/>
  <c r="BZ140" i="5"/>
  <c r="BZ146" i="5" s="1"/>
  <c r="Z60" i="4"/>
  <c r="CO140" i="5"/>
  <c r="Z72" i="4"/>
  <c r="AJ36" i="4"/>
  <c r="AC36" i="4"/>
  <c r="AC44" i="4"/>
  <c r="AJ44" i="4"/>
  <c r="AJ52" i="4"/>
  <c r="AC52" i="4"/>
  <c r="CO74" i="5"/>
  <c r="AF72" i="4" s="1"/>
  <c r="AD72" i="4"/>
  <c r="AJ60" i="4"/>
  <c r="S43" i="4"/>
  <c r="S39" i="4"/>
  <c r="S31" i="4"/>
  <c r="S35" i="4"/>
  <c r="S47" i="4"/>
  <c r="S51" i="4"/>
  <c r="S63" i="4"/>
  <c r="S67" i="4"/>
  <c r="AK143" i="5"/>
  <c r="T27" i="4"/>
  <c r="U27" i="4" s="1"/>
  <c r="AP143" i="5"/>
  <c r="T31" i="4"/>
  <c r="U31" i="4" s="1"/>
  <c r="AU143" i="5"/>
  <c r="T35" i="4"/>
  <c r="U35" i="4" s="1"/>
  <c r="AZ143" i="5"/>
  <c r="T39" i="4"/>
  <c r="U39" i="4" s="1"/>
  <c r="BE143" i="5"/>
  <c r="T43" i="4"/>
  <c r="U43" i="4" s="1"/>
  <c r="BJ143" i="5"/>
  <c r="T47" i="4"/>
  <c r="U47" i="4" s="1"/>
  <c r="BO143" i="5"/>
  <c r="T51" i="4"/>
  <c r="U51" i="4" s="1"/>
  <c r="BT143" i="5"/>
  <c r="T55" i="4"/>
  <c r="U55" i="4" s="1"/>
  <c r="BY143" i="5"/>
  <c r="T59" i="4"/>
  <c r="CD143" i="5"/>
  <c r="T63" i="4"/>
  <c r="U63" i="4" s="1"/>
  <c r="CI143" i="5"/>
  <c r="T67" i="4"/>
  <c r="U67" i="4" s="1"/>
  <c r="CN143" i="5"/>
  <c r="T71" i="4"/>
  <c r="CS143" i="5"/>
  <c r="T75" i="4"/>
  <c r="CX143" i="5"/>
  <c r="T79" i="4"/>
  <c r="W47" i="4"/>
  <c r="BT85" i="5"/>
  <c r="V55" i="4"/>
  <c r="BY85" i="5"/>
  <c r="BY84" i="5" s="1"/>
  <c r="BY88" i="5" s="1"/>
  <c r="BY90" i="5" s="1"/>
  <c r="V59" i="4"/>
  <c r="W59" i="4" s="1"/>
  <c r="CD85" i="5"/>
  <c r="V63" i="4"/>
  <c r="CI10" i="5"/>
  <c r="X67" i="4" s="1"/>
  <c r="V67" i="4"/>
  <c r="AN140" i="5"/>
  <c r="Z29" i="4"/>
  <c r="AS140" i="5"/>
  <c r="Z33" i="4"/>
  <c r="AX140" i="5"/>
  <c r="Z37" i="4"/>
  <c r="BC140" i="5"/>
  <c r="BC146" i="5" s="1"/>
  <c r="Z41" i="4"/>
  <c r="BH140" i="5"/>
  <c r="Z45" i="4"/>
  <c r="BM140" i="5"/>
  <c r="Z49" i="4"/>
  <c r="BR140" i="5"/>
  <c r="Z53" i="4"/>
  <c r="BW140" i="5"/>
  <c r="BW146" i="5" s="1"/>
  <c r="Z57" i="4"/>
  <c r="CB140" i="5"/>
  <c r="Z61" i="4"/>
  <c r="CG140" i="5"/>
  <c r="Z65" i="4"/>
  <c r="CL140" i="5"/>
  <c r="Z69" i="4"/>
  <c r="CQ140" i="5"/>
  <c r="Z73" i="4"/>
  <c r="CV140" i="5"/>
  <c r="Z77" i="4"/>
  <c r="AC12" i="5"/>
  <c r="AH12" i="5"/>
  <c r="AM12" i="5"/>
  <c r="AC29" i="4"/>
  <c r="AW12" i="5"/>
  <c r="AB33" i="4"/>
  <c r="AC33" i="4" s="1"/>
  <c r="BB12" i="5"/>
  <c r="AB37" i="4"/>
  <c r="BG12" i="5"/>
  <c r="AB41" i="4"/>
  <c r="AJ45" i="4"/>
  <c r="AC45" i="4"/>
  <c r="BQ12" i="5"/>
  <c r="AB49" i="4"/>
  <c r="BV12" i="5"/>
  <c r="AB53" i="4"/>
  <c r="CA12" i="5"/>
  <c r="AB57" i="4"/>
  <c r="CF12" i="5"/>
  <c r="AB61" i="4"/>
  <c r="CK12" i="5"/>
  <c r="AB65" i="4"/>
  <c r="CP12" i="5"/>
  <c r="AB69" i="4"/>
  <c r="CU12" i="5"/>
  <c r="AB73" i="4"/>
  <c r="X73" i="5"/>
  <c r="AE13" i="4"/>
  <c r="AR73" i="5"/>
  <c r="AE29" i="4"/>
  <c r="BL73" i="5"/>
  <c r="AE45" i="4"/>
  <c r="CF73" i="5"/>
  <c r="AE61" i="4"/>
  <c r="CZ73" i="5"/>
  <c r="AE77" i="4"/>
  <c r="AD7" i="4"/>
  <c r="AC48" i="4"/>
  <c r="AC63" i="4"/>
  <c r="Z55" i="4"/>
  <c r="AJ143" i="5"/>
  <c r="T26" i="4"/>
  <c r="U26" i="4" s="1"/>
  <c r="BD143" i="5"/>
  <c r="T42" i="4"/>
  <c r="CC143" i="5"/>
  <c r="T62" i="4"/>
  <c r="CW143" i="5"/>
  <c r="T78" i="4"/>
  <c r="CH85" i="5"/>
  <c r="V66" i="4"/>
  <c r="W66" i="4" s="1"/>
  <c r="AQ140" i="5"/>
  <c r="Z32" i="4"/>
  <c r="CE140" i="5"/>
  <c r="Z64" i="4"/>
  <c r="AA64" i="4" s="1"/>
  <c r="CY140" i="5"/>
  <c r="Z80" i="4"/>
  <c r="AC40" i="4"/>
  <c r="AJ40" i="4"/>
  <c r="AJ56" i="4"/>
  <c r="AC56" i="4"/>
  <c r="AC68" i="4"/>
  <c r="AJ68" i="4"/>
  <c r="CY74" i="5"/>
  <c r="AF80" i="4" s="1"/>
  <c r="AD80" i="4"/>
  <c r="P74" i="5"/>
  <c r="AF10" i="4" s="1"/>
  <c r="AD6" i="4"/>
  <c r="S40" i="4"/>
  <c r="AL143" i="5"/>
  <c r="T28" i="4"/>
  <c r="U28" i="4" s="1"/>
  <c r="AQ143" i="5"/>
  <c r="T32" i="4"/>
  <c r="BA143" i="5"/>
  <c r="T40" i="4"/>
  <c r="BZ143" i="5"/>
  <c r="T60" i="4"/>
  <c r="CJ143" i="5"/>
  <c r="T68" i="4"/>
  <c r="U68" i="4" s="1"/>
  <c r="CT143" i="5"/>
  <c r="T76" i="4"/>
  <c r="CY143" i="5"/>
  <c r="T80" i="4"/>
  <c r="BF10" i="5"/>
  <c r="X44" i="4" s="1"/>
  <c r="BK10" i="5"/>
  <c r="X48" i="4" s="1"/>
  <c r="V48" i="4"/>
  <c r="W48" i="4" s="1"/>
  <c r="BP10" i="5"/>
  <c r="X52" i="4" s="1"/>
  <c r="V52" i="4"/>
  <c r="W52" i="4" s="1"/>
  <c r="BU85" i="5"/>
  <c r="V56" i="4"/>
  <c r="W56" i="4" s="1"/>
  <c r="BZ85" i="5"/>
  <c r="V60" i="4"/>
  <c r="W60" i="4" s="1"/>
  <c r="CE85" i="5"/>
  <c r="V64" i="4"/>
  <c r="W64" i="4" s="1"/>
  <c r="CJ10" i="5"/>
  <c r="X68" i="4" s="1"/>
  <c r="V68" i="4"/>
  <c r="W68" i="4" s="1"/>
  <c r="AJ140" i="5"/>
  <c r="Z26" i="4"/>
  <c r="AA26" i="4" s="1"/>
  <c r="AO140" i="5"/>
  <c r="Z30" i="4"/>
  <c r="AA30" i="4" s="1"/>
  <c r="AT140" i="5"/>
  <c r="Z34" i="4"/>
  <c r="AA34" i="4" s="1"/>
  <c r="AY140" i="5"/>
  <c r="Z38" i="4"/>
  <c r="AA38" i="4" s="1"/>
  <c r="BD140" i="5"/>
  <c r="Z42" i="4"/>
  <c r="AA42" i="4" s="1"/>
  <c r="BI140" i="5"/>
  <c r="Z46" i="4"/>
  <c r="AA46" i="4" s="1"/>
  <c r="BN140" i="5"/>
  <c r="Z50" i="4"/>
  <c r="AA50" i="4" s="1"/>
  <c r="BS140" i="5"/>
  <c r="Z54" i="4"/>
  <c r="AA54" i="4" s="1"/>
  <c r="BX140" i="5"/>
  <c r="Z58" i="4"/>
  <c r="AA58" i="4" s="1"/>
  <c r="CC140" i="5"/>
  <c r="Z62" i="4"/>
  <c r="AA62" i="4" s="1"/>
  <c r="CH140" i="5"/>
  <c r="Z66" i="4"/>
  <c r="AA66" i="4" s="1"/>
  <c r="CM140" i="5"/>
  <c r="Z70" i="4"/>
  <c r="G70" i="4" s="1"/>
  <c r="G71" i="4" s="1"/>
  <c r="G72" i="4" s="1"/>
  <c r="G73" i="4" s="1"/>
  <c r="G74" i="4" s="1"/>
  <c r="G75" i="4" s="1"/>
  <c r="G76" i="4" s="1"/>
  <c r="G77" i="4" s="1"/>
  <c r="G78" i="4" s="1"/>
  <c r="G79" i="4" s="1"/>
  <c r="G80" i="4" s="1"/>
  <c r="CR140" i="5"/>
  <c r="Z74" i="4"/>
  <c r="CW140" i="5"/>
  <c r="Z78" i="4"/>
  <c r="AJ34" i="4"/>
  <c r="AC34" i="4"/>
  <c r="AC38" i="4"/>
  <c r="AJ38" i="4"/>
  <c r="AC42" i="4"/>
  <c r="AJ42" i="4"/>
  <c r="AJ50" i="4"/>
  <c r="AC50" i="4"/>
  <c r="AJ54" i="4"/>
  <c r="AC54" i="4"/>
  <c r="AB84" i="4"/>
  <c r="AJ58" i="4"/>
  <c r="AC58" i="4"/>
  <c r="AB85" i="4"/>
  <c r="AJ66" i="4"/>
  <c r="AC66" i="4"/>
  <c r="CM74" i="5"/>
  <c r="AF70" i="4" s="1"/>
  <c r="AD70" i="4"/>
  <c r="CW74" i="5"/>
  <c r="AF78" i="4" s="1"/>
  <c r="AD78" i="4"/>
  <c r="AD11" i="4"/>
  <c r="C71" i="4"/>
  <c r="AO143" i="5"/>
  <c r="T30" i="4"/>
  <c r="BI143" i="5"/>
  <c r="T46" i="4"/>
  <c r="BS143" i="5"/>
  <c r="T54" i="4"/>
  <c r="CM143" i="5"/>
  <c r="T70" i="4"/>
  <c r="W46" i="4"/>
  <c r="BS85" i="5"/>
  <c r="V54" i="4"/>
  <c r="CC85" i="5"/>
  <c r="V62" i="4"/>
  <c r="W62" i="4" s="1"/>
  <c r="AL140" i="5"/>
  <c r="Z28" i="4"/>
  <c r="AA28" i="4" s="1"/>
  <c r="AV140" i="5"/>
  <c r="Z36" i="4"/>
  <c r="AA36" i="4" s="1"/>
  <c r="BA140" i="5"/>
  <c r="Z40" i="4"/>
  <c r="BF140" i="5"/>
  <c r="Z44" i="4"/>
  <c r="AA44" i="4" s="1"/>
  <c r="BK140" i="5"/>
  <c r="Z48" i="4"/>
  <c r="BP140" i="5"/>
  <c r="Z52" i="4"/>
  <c r="AA52" i="4" s="1"/>
  <c r="BU140" i="5"/>
  <c r="Z56" i="4"/>
  <c r="CJ140" i="5"/>
  <c r="Z68" i="4"/>
  <c r="AA68" i="4" s="1"/>
  <c r="CT140" i="5"/>
  <c r="Z76" i="4"/>
  <c r="CT74" i="5"/>
  <c r="AF76" i="4" s="1"/>
  <c r="AD76" i="4"/>
  <c r="S56" i="4"/>
  <c r="X8" i="5"/>
  <c r="X143" i="5" s="1"/>
  <c r="AV143" i="5"/>
  <c r="T36" i="4"/>
  <c r="U36" i="4" s="1"/>
  <c r="BF143" i="5"/>
  <c r="T44" i="4"/>
  <c r="U44" i="4" s="1"/>
  <c r="BK143" i="5"/>
  <c r="T48" i="4"/>
  <c r="U48" i="4" s="1"/>
  <c r="BP143" i="5"/>
  <c r="T52" i="4"/>
  <c r="U52" i="4" s="1"/>
  <c r="BU143" i="5"/>
  <c r="T56" i="4"/>
  <c r="U56" i="4" s="1"/>
  <c r="CE143" i="5"/>
  <c r="T64" i="4"/>
  <c r="CO143" i="5"/>
  <c r="T72" i="4"/>
  <c r="AC6" i="5"/>
  <c r="S29" i="4"/>
  <c r="AW6" i="5"/>
  <c r="R33" i="4"/>
  <c r="S33" i="4" s="1"/>
  <c r="S37" i="4"/>
  <c r="BG6" i="5"/>
  <c r="R41" i="4"/>
  <c r="S41" i="4" s="1"/>
  <c r="S45" i="4"/>
  <c r="BQ6" i="5"/>
  <c r="R49" i="4"/>
  <c r="S49" i="4" s="1"/>
  <c r="R83" i="4"/>
  <c r="S53" i="4"/>
  <c r="CA6" i="5"/>
  <c r="R57" i="4"/>
  <c r="S58" i="4" s="1"/>
  <c r="R85" i="4"/>
  <c r="S61" i="4"/>
  <c r="R86" i="4"/>
  <c r="S69" i="4"/>
  <c r="CN7" i="5"/>
  <c r="AN143" i="5"/>
  <c r="T29" i="4"/>
  <c r="U29" i="4" s="1"/>
  <c r="AS143" i="5"/>
  <c r="T33" i="4"/>
  <c r="U33" i="4" s="1"/>
  <c r="AX143" i="5"/>
  <c r="T37" i="4"/>
  <c r="AR9" i="5"/>
  <c r="AW9" i="5"/>
  <c r="BB9" i="5"/>
  <c r="BB85" i="5" s="1"/>
  <c r="BB84" i="5" s="1"/>
  <c r="BC143" i="5"/>
  <c r="T41" i="4"/>
  <c r="U41" i="4" s="1"/>
  <c r="BH143" i="5"/>
  <c r="T45" i="4"/>
  <c r="U45" i="4" s="1"/>
  <c r="BM143" i="5"/>
  <c r="T49" i="4"/>
  <c r="BR143" i="5"/>
  <c r="T53" i="4"/>
  <c r="BW143" i="5"/>
  <c r="T57" i="4"/>
  <c r="CB143" i="5"/>
  <c r="T61" i="4"/>
  <c r="CG143" i="5"/>
  <c r="T65" i="4"/>
  <c r="CL143" i="5"/>
  <c r="T69" i="4"/>
  <c r="U69" i="4" s="1"/>
  <c r="CQ143" i="5"/>
  <c r="T73" i="4"/>
  <c r="CV143" i="5"/>
  <c r="T77" i="4"/>
  <c r="BG9" i="5"/>
  <c r="BL9" i="5"/>
  <c r="V45" i="4"/>
  <c r="W45" i="4" s="1"/>
  <c r="BQ9" i="5"/>
  <c r="BQ85" i="5" s="1"/>
  <c r="V49" i="4"/>
  <c r="W49" i="4" s="1"/>
  <c r="BR85" i="5"/>
  <c r="V53" i="4"/>
  <c r="BW85" i="5"/>
  <c r="V57" i="4"/>
  <c r="CB85" i="5"/>
  <c r="V61" i="4"/>
  <c r="CG85" i="5"/>
  <c r="CG84" i="5" s="1"/>
  <c r="CG88" i="5" s="1"/>
  <c r="V65" i="4"/>
  <c r="CL85" i="5"/>
  <c r="V69" i="4"/>
  <c r="CU9" i="5"/>
  <c r="V73" i="4"/>
  <c r="CZ9" i="5"/>
  <c r="V77" i="4"/>
  <c r="AK140" i="5"/>
  <c r="AK146" i="5" s="1"/>
  <c r="Z27" i="4"/>
  <c r="AA27" i="4" s="1"/>
  <c r="AP140" i="5"/>
  <c r="Z31" i="4"/>
  <c r="AU140" i="5"/>
  <c r="Z35" i="4"/>
  <c r="AA35" i="4" s="1"/>
  <c r="AZ140" i="5"/>
  <c r="Z39" i="4"/>
  <c r="BE140" i="5"/>
  <c r="Z43" i="4"/>
  <c r="AA43" i="4" s="1"/>
  <c r="BJ140" i="5"/>
  <c r="Z47" i="4"/>
  <c r="BO140" i="5"/>
  <c r="Z51" i="4"/>
  <c r="AA51" i="4" s="1"/>
  <c r="BY140" i="5"/>
  <c r="Z59" i="4"/>
  <c r="AA59" i="4" s="1"/>
  <c r="CD140" i="5"/>
  <c r="Z63" i="4"/>
  <c r="CI140" i="5"/>
  <c r="Z67" i="4"/>
  <c r="AA67" i="4" s="1"/>
  <c r="CN140" i="5"/>
  <c r="Z71" i="4"/>
  <c r="CS140" i="5"/>
  <c r="Z75" i="4"/>
  <c r="CX140" i="5"/>
  <c r="Z79" i="4"/>
  <c r="AC27" i="4"/>
  <c r="AJ35" i="4"/>
  <c r="AC35" i="4"/>
  <c r="AJ39" i="4"/>
  <c r="AC39" i="4"/>
  <c r="AJ43" i="4"/>
  <c r="AC43" i="4"/>
  <c r="AJ51" i="4"/>
  <c r="AC51" i="4"/>
  <c r="AC55" i="4"/>
  <c r="AJ55" i="4"/>
  <c r="AC59" i="4"/>
  <c r="AJ59" i="4"/>
  <c r="AC67" i="4"/>
  <c r="CN74" i="5"/>
  <c r="AF71" i="4" s="1"/>
  <c r="AD71" i="4"/>
  <c r="CS74" i="5"/>
  <c r="AF75" i="4" s="1"/>
  <c r="AD75" i="4"/>
  <c r="CX74" i="5"/>
  <c r="AF79" i="4" s="1"/>
  <c r="AD79" i="4"/>
  <c r="S73" i="5"/>
  <c r="L74" i="5"/>
  <c r="AF7" i="4" s="1"/>
  <c r="AD10" i="4"/>
  <c r="AC46" i="4"/>
  <c r="AJ62" i="4"/>
  <c r="AD74" i="4"/>
  <c r="T58" i="4"/>
  <c r="U58" i="4" s="1"/>
  <c r="C88" i="4"/>
  <c r="C90" i="4"/>
  <c r="C91" i="4"/>
  <c r="K70" i="4"/>
  <c r="K71" i="4" s="1"/>
  <c r="K72" i="4" s="1"/>
  <c r="K73" i="4" s="1"/>
  <c r="I70" i="4"/>
  <c r="L47" i="160"/>
  <c r="L75" i="160"/>
  <c r="G75" i="160"/>
  <c r="G47" i="160"/>
  <c r="F75" i="160"/>
  <c r="F47" i="160"/>
  <c r="J71" i="160"/>
  <c r="J43" i="160"/>
  <c r="J40" i="160"/>
  <c r="J57" i="160"/>
  <c r="N88" i="160"/>
  <c r="O88" i="160"/>
  <c r="N98" i="160"/>
  <c r="N89" i="160"/>
  <c r="H57" i="160"/>
  <c r="H71" i="160"/>
  <c r="H40" i="160"/>
  <c r="H43" i="160"/>
  <c r="J42" i="160" s="1"/>
  <c r="J99" i="160"/>
  <c r="O59" i="160"/>
  <c r="O73" i="160"/>
  <c r="O45" i="160"/>
  <c r="I58" i="160"/>
  <c r="I72" i="160"/>
  <c r="I44" i="160"/>
  <c r="K88" i="160"/>
  <c r="N72" i="160"/>
  <c r="N44" i="160"/>
  <c r="N58" i="160"/>
  <c r="E43" i="160"/>
  <c r="E71" i="160"/>
  <c r="E57" i="160"/>
  <c r="E40" i="160"/>
  <c r="L45" i="160"/>
  <c r="L73" i="160"/>
  <c r="L59" i="160"/>
  <c r="J89" i="160"/>
  <c r="M98" i="160"/>
  <c r="H88" i="160"/>
  <c r="M57" i="160"/>
  <c r="M71" i="160"/>
  <c r="M40" i="160"/>
  <c r="M43" i="160"/>
  <c r="O75" i="160"/>
  <c r="O47" i="160"/>
  <c r="K75" i="160"/>
  <c r="K47" i="160"/>
  <c r="N43" i="160"/>
  <c r="N71" i="160"/>
  <c r="N57" i="160"/>
  <c r="N40" i="160"/>
  <c r="L89" i="160"/>
  <c r="J88" i="160"/>
  <c r="G72" i="160"/>
  <c r="G44" i="160"/>
  <c r="G58" i="160"/>
  <c r="G61" i="160" s="1"/>
  <c r="I88" i="160"/>
  <c r="F44" i="160"/>
  <c r="F72" i="160"/>
  <c r="F58" i="160"/>
  <c r="F61" i="160" s="1"/>
  <c r="I98" i="160"/>
  <c r="D57" i="160"/>
  <c r="D61" i="160" s="1"/>
  <c r="D71" i="160"/>
  <c r="D40" i="160"/>
  <c r="D43" i="160"/>
  <c r="N90" i="160"/>
  <c r="M90" i="160"/>
  <c r="L90" i="160"/>
  <c r="O90" i="160"/>
  <c r="K90" i="160"/>
  <c r="L58" i="160"/>
  <c r="L72" i="160"/>
  <c r="L44" i="160"/>
  <c r="I89" i="160"/>
  <c r="H72" i="160"/>
  <c r="H44" i="160"/>
  <c r="H58" i="160"/>
  <c r="H89" i="160"/>
  <c r="L61" i="160"/>
  <c r="M44" i="160"/>
  <c r="M72" i="160"/>
  <c r="M58" i="160"/>
  <c r="I43" i="160"/>
  <c r="I71" i="160"/>
  <c r="I57" i="160"/>
  <c r="I61" i="160" s="1"/>
  <c r="I40" i="160"/>
  <c r="L88" i="160"/>
  <c r="N99" i="160"/>
  <c r="J44" i="160"/>
  <c r="J72" i="160"/>
  <c r="J58" i="160"/>
  <c r="K59" i="160"/>
  <c r="K61" i="160" s="1"/>
  <c r="K73" i="160"/>
  <c r="K45" i="160"/>
  <c r="M89" i="160"/>
  <c r="E58" i="160"/>
  <c r="E72" i="160"/>
  <c r="E44" i="160"/>
  <c r="K89" i="160"/>
  <c r="O61" i="160"/>
  <c r="K30" i="271"/>
  <c r="H30" i="271"/>
  <c r="E30" i="271"/>
  <c r="E21" i="271"/>
  <c r="K21" i="271"/>
  <c r="H21" i="271"/>
  <c r="AT16" i="258"/>
  <c r="BF11" i="258"/>
  <c r="BF10" i="258"/>
  <c r="CS141" i="258"/>
  <c r="CS130" i="10" s="1"/>
  <c r="CT10" i="258"/>
  <c r="BU16" i="258"/>
  <c r="CE13" i="258"/>
  <c r="CF13" i="258" s="1"/>
  <c r="CG10" i="258" s="1"/>
  <c r="CX141" i="258"/>
  <c r="CX130" i="10" s="1"/>
  <c r="CY10" i="258"/>
  <c r="BW13" i="258"/>
  <c r="BX10" i="258" s="1"/>
  <c r="BW14" i="258"/>
  <c r="BW15" i="258" s="1"/>
  <c r="AV16" i="258"/>
  <c r="AS16" i="258"/>
  <c r="AS120" i="258" s="1"/>
  <c r="BD16" i="258"/>
  <c r="BR12" i="258"/>
  <c r="BR13" i="258" s="1"/>
  <c r="AY156" i="258"/>
  <c r="BE156" i="258"/>
  <c r="BT14" i="258"/>
  <c r="BT15" i="258" s="1"/>
  <c r="CN15" i="258"/>
  <c r="CN14" i="258"/>
  <c r="AY14" i="258"/>
  <c r="AY15" i="258" s="1"/>
  <c r="BC14" i="258"/>
  <c r="BC15" i="258" s="1"/>
  <c r="BP14" i="258"/>
  <c r="BP15" i="258" s="1"/>
  <c r="AT40" i="258"/>
  <c r="AU38" i="258" s="1"/>
  <c r="AT41" i="258"/>
  <c r="AT42" i="258" s="1"/>
  <c r="AV156" i="258"/>
  <c r="BE14" i="258"/>
  <c r="BE15" i="258" s="1"/>
  <c r="BO15" i="258"/>
  <c r="BO14" i="258"/>
  <c r="AU12" i="258"/>
  <c r="AU156" i="258" s="1"/>
  <c r="AU157" i="258" s="1"/>
  <c r="BA14" i="258"/>
  <c r="BA15" i="258" s="1"/>
  <c r="AS24" i="258"/>
  <c r="AT22" i="258" s="1"/>
  <c r="AT48" i="258"/>
  <c r="AU46" i="258" s="1"/>
  <c r="AU16" i="258"/>
  <c r="AU120" i="258" s="1"/>
  <c r="BC156" i="258"/>
  <c r="CD14" i="258"/>
  <c r="CD15" i="258" s="1"/>
  <c r="CX15" i="258"/>
  <c r="CX14" i="258"/>
  <c r="CN141" i="258"/>
  <c r="CN130" i="10" s="1"/>
  <c r="CO10" i="258"/>
  <c r="BH25" i="258"/>
  <c r="BH26" i="258" s="1"/>
  <c r="BH24" i="258"/>
  <c r="BI22" i="258" s="1"/>
  <c r="AT43" i="258"/>
  <c r="AT156" i="258"/>
  <c r="AZ15" i="258"/>
  <c r="BD156" i="258"/>
  <c r="CS14" i="258"/>
  <c r="CS15" i="258" s="1"/>
  <c r="BJ13" i="258"/>
  <c r="BK10" i="258" s="1"/>
  <c r="CI13" i="258"/>
  <c r="CJ10" i="258" s="1"/>
  <c r="AX24" i="258"/>
  <c r="AY22" i="258" s="1"/>
  <c r="BA156" i="258"/>
  <c r="AT32" i="258"/>
  <c r="AU30" i="258" s="1"/>
  <c r="AS49" i="258"/>
  <c r="AS50" i="258" s="1"/>
  <c r="AS57" i="258"/>
  <c r="AS58" i="258" s="1"/>
  <c r="AS56" i="258"/>
  <c r="AT54" i="258" s="1"/>
  <c r="AU72" i="258"/>
  <c r="AV70" i="258" s="1"/>
  <c r="AT64" i="258"/>
  <c r="AU62" i="258" s="1"/>
  <c r="AS73" i="258"/>
  <c r="AS74" i="258" s="1"/>
  <c r="AT73" i="258"/>
  <c r="AT74" i="258" s="1"/>
  <c r="AT80" i="258"/>
  <c r="AU78" i="258" s="1"/>
  <c r="AT81" i="258"/>
  <c r="AT82" i="258" s="1"/>
  <c r="BA80" i="258"/>
  <c r="BB80" i="258" s="1"/>
  <c r="BC78" i="258" s="1"/>
  <c r="BA81" i="258"/>
  <c r="BA82" i="258" s="1"/>
  <c r="AS81" i="258"/>
  <c r="AS82" i="258" s="1"/>
  <c r="BE96" i="258"/>
  <c r="BF94" i="258" s="1"/>
  <c r="BR104" i="258"/>
  <c r="BS102" i="258" s="1"/>
  <c r="BS112" i="258"/>
  <c r="BT110" i="258" s="1"/>
  <c r="AT86" i="258"/>
  <c r="AS97" i="258"/>
  <c r="AS98" i="258" s="1"/>
  <c r="BC97" i="258"/>
  <c r="BC98" i="258" s="1"/>
  <c r="AS96" i="258"/>
  <c r="AT94" i="258" s="1"/>
  <c r="BD97" i="258"/>
  <c r="BD98" i="258" s="1"/>
  <c r="BP115" i="258"/>
  <c r="BP105" i="258"/>
  <c r="BP106" i="258" s="1"/>
  <c r="AV149" i="258"/>
  <c r="AV128" i="258"/>
  <c r="AV125" i="258" s="1"/>
  <c r="BH149" i="258"/>
  <c r="BH129" i="258"/>
  <c r="BH128" i="258"/>
  <c r="BP149" i="258"/>
  <c r="BP129" i="258"/>
  <c r="BP128" i="258"/>
  <c r="CJ149" i="258"/>
  <c r="CJ129" i="258"/>
  <c r="CJ128" i="258"/>
  <c r="BP107" i="258"/>
  <c r="BR113" i="258"/>
  <c r="BR114" i="258" s="1"/>
  <c r="AS149" i="258"/>
  <c r="AS128" i="258"/>
  <c r="AS125" i="258" s="1"/>
  <c r="AX149" i="258"/>
  <c r="AX128" i="258"/>
  <c r="AX125" i="258" s="1"/>
  <c r="BC149" i="258"/>
  <c r="BC128" i="258"/>
  <c r="BC125" i="258" s="1"/>
  <c r="CL149" i="258"/>
  <c r="CL129" i="258"/>
  <c r="CL128" i="258"/>
  <c r="AT149" i="258"/>
  <c r="AT128" i="258"/>
  <c r="BN149" i="258"/>
  <c r="BN128" i="258"/>
  <c r="BN129" i="258"/>
  <c r="CH149" i="258"/>
  <c r="CH128" i="258"/>
  <c r="CH129" i="258"/>
  <c r="AT125" i="258"/>
  <c r="BB122" i="258"/>
  <c r="BG122" i="258"/>
  <c r="CU122" i="258"/>
  <c r="BA149" i="258"/>
  <c r="BA128" i="258"/>
  <c r="BA125" i="258" s="1"/>
  <c r="BR149" i="258"/>
  <c r="BR128" i="258"/>
  <c r="BR129" i="258"/>
  <c r="BZ149" i="258"/>
  <c r="BZ129" i="258"/>
  <c r="BZ128" i="258"/>
  <c r="CE149" i="258"/>
  <c r="CE129" i="258"/>
  <c r="CE128" i="258"/>
  <c r="AU149" i="258"/>
  <c r="AU128" i="258"/>
  <c r="AU125" i="258" s="1"/>
  <c r="AY149" i="258"/>
  <c r="AY128" i="258"/>
  <c r="AY125" i="258" s="1"/>
  <c r="BO149" i="258"/>
  <c r="BO128" i="258"/>
  <c r="BO129" i="258"/>
  <c r="BS149" i="258"/>
  <c r="BS129" i="258"/>
  <c r="BS128" i="258"/>
  <c r="CI149" i="258"/>
  <c r="CI129" i="258"/>
  <c r="CI128" i="258"/>
  <c r="CM149" i="258"/>
  <c r="CM129" i="258"/>
  <c r="CM43" i="10" s="1"/>
  <c r="BF149" i="258"/>
  <c r="BF128" i="258"/>
  <c r="BF125" i="258" s="1"/>
  <c r="BK149" i="258"/>
  <c r="BK128" i="258"/>
  <c r="BU149" i="258"/>
  <c r="BU129" i="258"/>
  <c r="BU128" i="258"/>
  <c r="CB149" i="258"/>
  <c r="CB128" i="258"/>
  <c r="CB129" i="258"/>
  <c r="CG149" i="258"/>
  <c r="CG129" i="258"/>
  <c r="CG128" i="258"/>
  <c r="AZ149" i="258"/>
  <c r="AZ128" i="258"/>
  <c r="AZ125" i="258" s="1"/>
  <c r="BD149" i="258"/>
  <c r="BD128" i="258"/>
  <c r="BD125" i="258" s="1"/>
  <c r="BT149" i="258"/>
  <c r="BT128" i="258"/>
  <c r="BT129" i="258"/>
  <c r="BX149" i="258"/>
  <c r="BX151" i="258" s="1"/>
  <c r="BX159" i="258" s="1"/>
  <c r="BX160" i="258" s="1"/>
  <c r="BX128" i="258"/>
  <c r="BX129" i="258"/>
  <c r="BV122" i="258"/>
  <c r="CA122" i="258"/>
  <c r="BM149" i="258"/>
  <c r="BM128" i="258"/>
  <c r="BM129" i="258"/>
  <c r="BW149" i="258"/>
  <c r="BW128" i="258"/>
  <c r="BW129" i="258"/>
  <c r="BB142" i="258"/>
  <c r="CC128" i="258"/>
  <c r="CD129" i="258"/>
  <c r="BD136" i="258"/>
  <c r="BD137" i="258" s="1"/>
  <c r="BJ137" i="258"/>
  <c r="BJ136" i="258"/>
  <c r="CB137" i="258"/>
  <c r="CG137" i="258"/>
  <c r="CL137" i="258"/>
  <c r="AW134" i="258"/>
  <c r="BG133" i="258"/>
  <c r="BG135" i="258"/>
  <c r="BL135" i="258"/>
  <c r="CD128" i="258"/>
  <c r="AV136" i="258"/>
  <c r="AV137" i="258" s="1"/>
  <c r="AZ137" i="258"/>
  <c r="AZ136" i="258"/>
  <c r="BE136" i="258"/>
  <c r="BE137" i="258" s="1"/>
  <c r="BX136" i="258"/>
  <c r="BX137" i="258" s="1"/>
  <c r="AS136" i="258"/>
  <c r="AW133" i="258"/>
  <c r="BA136" i="258"/>
  <c r="BA137" i="258" s="1"/>
  <c r="BF137" i="258"/>
  <c r="BT136" i="258"/>
  <c r="BT137" i="258" s="1"/>
  <c r="BY136" i="258"/>
  <c r="BY137" i="258" s="1"/>
  <c r="CD136" i="258"/>
  <c r="CD137" i="258" s="1"/>
  <c r="CI136" i="258"/>
  <c r="CI137" i="258" s="1"/>
  <c r="CA133" i="258"/>
  <c r="CF135" i="258"/>
  <c r="CK135" i="258"/>
  <c r="BO136" i="258"/>
  <c r="BO137" i="258" s="1"/>
  <c r="CJ137" i="258"/>
  <c r="BP136" i="258"/>
  <c r="BP137" i="258" s="1"/>
  <c r="CB136" i="258"/>
  <c r="CJ136" i="258"/>
  <c r="AS151" i="258"/>
  <c r="AS159" i="258" s="1"/>
  <c r="AS160" i="258" s="1"/>
  <c r="AX151" i="258"/>
  <c r="BB148" i="258"/>
  <c r="BF151" i="258"/>
  <c r="BK151" i="258"/>
  <c r="BK159" i="258" s="1"/>
  <c r="BK160" i="258" s="1"/>
  <c r="BP151" i="258"/>
  <c r="BP159" i="258" s="1"/>
  <c r="BP160" i="258" s="1"/>
  <c r="BU151" i="258"/>
  <c r="BU159" i="258" s="1"/>
  <c r="BU160" i="258" s="1"/>
  <c r="BY151" i="258"/>
  <c r="BY159" i="258" s="1"/>
  <c r="BY160" i="258" s="1"/>
  <c r="CD151" i="258"/>
  <c r="CD159" i="258" s="1"/>
  <c r="CD160" i="258" s="1"/>
  <c r="CI151" i="258"/>
  <c r="CI159" i="258" s="1"/>
  <c r="CI160" i="258" s="1"/>
  <c r="AT157" i="258"/>
  <c r="AY157" i="258"/>
  <c r="BD157" i="258"/>
  <c r="BU136" i="258"/>
  <c r="BU137" i="258" s="1"/>
  <c r="AT151" i="258"/>
  <c r="AT159" i="258" s="1"/>
  <c r="AT160" i="258" s="1"/>
  <c r="AY151" i="258"/>
  <c r="AY159" i="258" s="1"/>
  <c r="AY160" i="258" s="1"/>
  <c r="BM151" i="258"/>
  <c r="BR151" i="258"/>
  <c r="BV148" i="258"/>
  <c r="BZ151" i="258"/>
  <c r="BZ159" i="258" s="1"/>
  <c r="BZ160" i="258" s="1"/>
  <c r="CE151" i="258"/>
  <c r="CE159" i="258" s="1"/>
  <c r="CE160" i="258" s="1"/>
  <c r="CJ151" i="258"/>
  <c r="CJ159" i="258" s="1"/>
  <c r="CJ160" i="258" s="1"/>
  <c r="AZ157" i="258"/>
  <c r="BE157" i="258"/>
  <c r="CP135" i="258"/>
  <c r="AT136" i="258"/>
  <c r="AT137" i="258" s="1"/>
  <c r="AX136" i="258"/>
  <c r="BF136" i="258"/>
  <c r="BZ136" i="258"/>
  <c r="BZ137" i="258" s="1"/>
  <c r="AX137" i="258"/>
  <c r="AU151" i="258"/>
  <c r="AZ151" i="258"/>
  <c r="AZ159" i="258" s="1"/>
  <c r="AZ160" i="258" s="1"/>
  <c r="BD151" i="258"/>
  <c r="BD159" i="258" s="1"/>
  <c r="BD160" i="258" s="1"/>
  <c r="BI151" i="258"/>
  <c r="BN151" i="258"/>
  <c r="BS151" i="258"/>
  <c r="CA148" i="258"/>
  <c r="CG151" i="258"/>
  <c r="CG159" i="258" s="1"/>
  <c r="CG160" i="258" s="1"/>
  <c r="AV157" i="258"/>
  <c r="BA157" i="258"/>
  <c r="AY136" i="258"/>
  <c r="AY137" i="258" s="1"/>
  <c r="BC136" i="258"/>
  <c r="BG136" i="258" s="1"/>
  <c r="BK136" i="258"/>
  <c r="BK137" i="258" s="1"/>
  <c r="BW136" i="258"/>
  <c r="CE136" i="258"/>
  <c r="CE137" i="258" s="1"/>
  <c r="AV151" i="258"/>
  <c r="BA151" i="258"/>
  <c r="BE151" i="258"/>
  <c r="BE159" i="258" s="1"/>
  <c r="BE160" i="258" s="1"/>
  <c r="BJ151" i="258"/>
  <c r="BJ159" i="258" s="1"/>
  <c r="BJ160" i="258" s="1"/>
  <c r="BO151" i="258"/>
  <c r="BO159" i="258" s="1"/>
  <c r="BO160" i="258" s="1"/>
  <c r="BT151" i="258"/>
  <c r="BT159" i="258" s="1"/>
  <c r="BT160" i="258" s="1"/>
  <c r="CC151" i="258"/>
  <c r="CH151" i="258"/>
  <c r="AS157" i="258"/>
  <c r="AX157" i="258"/>
  <c r="BC157" i="258"/>
  <c r="AW148" i="258"/>
  <c r="BQ148" i="258"/>
  <c r="CK148" i="258"/>
  <c r="BC151" i="258"/>
  <c r="BH151" i="258"/>
  <c r="BW151" i="258"/>
  <c r="BW159" i="258" s="1"/>
  <c r="BW160" i="258" s="1"/>
  <c r="CB151" i="258"/>
  <c r="CB159" i="258" s="1"/>
  <c r="CB160" i="258" s="1"/>
  <c r="CL151" i="258"/>
  <c r="CL159" i="258" s="1"/>
  <c r="CL160" i="258" s="1"/>
  <c r="AG30" i="4"/>
  <c r="AG62" i="4"/>
  <c r="S7" i="4"/>
  <c r="S11" i="4"/>
  <c r="S15" i="4"/>
  <c r="U8" i="4"/>
  <c r="U12" i="4"/>
  <c r="U17" i="4"/>
  <c r="U16" i="4"/>
  <c r="AA9" i="4"/>
  <c r="AA13" i="4"/>
  <c r="AO77" i="4"/>
  <c r="AK58" i="4"/>
  <c r="I89" i="4"/>
  <c r="I90" i="4"/>
  <c r="I71" i="4"/>
  <c r="AJ70" i="4"/>
  <c r="S16" i="4"/>
  <c r="S17" i="4"/>
  <c r="AO76" i="4"/>
  <c r="AO80" i="4"/>
  <c r="P66" i="4"/>
  <c r="P69" i="4"/>
  <c r="AI68" i="4"/>
  <c r="AI69" i="4"/>
  <c r="AF83" i="4"/>
  <c r="K88" i="4" s="1"/>
  <c r="S9" i="4"/>
  <c r="S13" i="4"/>
  <c r="U10" i="4"/>
  <c r="U14" i="4"/>
  <c r="AA7" i="4"/>
  <c r="AA11" i="4"/>
  <c r="AA15" i="4"/>
  <c r="AO75" i="4"/>
  <c r="AO79" i="4"/>
  <c r="C72" i="4"/>
  <c r="M71" i="4"/>
  <c r="AA17" i="4"/>
  <c r="AA16" i="4"/>
  <c r="AG67" i="4"/>
  <c r="M53" i="4"/>
  <c r="M83" i="4" s="1"/>
  <c r="M57" i="4"/>
  <c r="M84" i="4" s="1"/>
  <c r="M61" i="4"/>
  <c r="M85" i="4" s="1"/>
  <c r="M65" i="4"/>
  <c r="M86" i="4" s="1"/>
  <c r="M70" i="4"/>
  <c r="BR95" i="10"/>
  <c r="BR19" i="10"/>
  <c r="O249" i="10"/>
  <c r="O243" i="10"/>
  <c r="O29" i="10"/>
  <c r="O16" i="10"/>
  <c r="O17" i="10"/>
  <c r="T249" i="10"/>
  <c r="T243" i="10"/>
  <c r="T16" i="10"/>
  <c r="T17" i="10"/>
  <c r="T176" i="5"/>
  <c r="Y249" i="10"/>
  <c r="Y243" i="10"/>
  <c r="Y29" i="10"/>
  <c r="Y17" i="10"/>
  <c r="Y16" i="10"/>
  <c r="AD249" i="10"/>
  <c r="AD243" i="10"/>
  <c r="AD16" i="10"/>
  <c r="AD17" i="10"/>
  <c r="AI249" i="10"/>
  <c r="AI243" i="10"/>
  <c r="AI29" i="10"/>
  <c r="AI16" i="10"/>
  <c r="AI17" i="10"/>
  <c r="AN249" i="10"/>
  <c r="AN243" i="10"/>
  <c r="AN16" i="10"/>
  <c r="AN38" i="10"/>
  <c r="AN29" i="10"/>
  <c r="AS16" i="10"/>
  <c r="AN176" i="5"/>
  <c r="BL13" i="10"/>
  <c r="CF13" i="10"/>
  <c r="AR13" i="10"/>
  <c r="BG13" i="10"/>
  <c r="CA13" i="10"/>
  <c r="BC244" i="10"/>
  <c r="BC245" i="10"/>
  <c r="BC25" i="10"/>
  <c r="BC26" i="10" s="1"/>
  <c r="AP41" i="10"/>
  <c r="AP32" i="10"/>
  <c r="AA41" i="10"/>
  <c r="BS95" i="10"/>
  <c r="BS19" i="10"/>
  <c r="CB95" i="10"/>
  <c r="CB19" i="10"/>
  <c r="P249" i="10"/>
  <c r="P243" i="10"/>
  <c r="P16" i="10"/>
  <c r="P17" i="10"/>
  <c r="U249" i="10"/>
  <c r="U243" i="10"/>
  <c r="U29" i="10"/>
  <c r="U17" i="10"/>
  <c r="U16" i="10"/>
  <c r="Z249" i="10"/>
  <c r="Z243" i="10"/>
  <c r="Z29" i="10"/>
  <c r="Z17" i="10"/>
  <c r="Z16" i="10"/>
  <c r="AE249" i="10"/>
  <c r="AE243" i="10"/>
  <c r="AE29" i="10"/>
  <c r="AE16" i="10"/>
  <c r="AE17" i="10"/>
  <c r="AO249" i="10"/>
  <c r="AO243" i="10"/>
  <c r="AO247" i="10" s="1"/>
  <c r="AP17" i="10"/>
  <c r="AO29" i="10"/>
  <c r="AO25" i="10"/>
  <c r="AO17" i="10"/>
  <c r="AT16" i="10"/>
  <c r="BD244" i="10"/>
  <c r="BD245" i="10"/>
  <c r="BD25" i="10"/>
  <c r="BD26" i="10" s="1"/>
  <c r="W94" i="10"/>
  <c r="W48" i="10"/>
  <c r="W31" i="10"/>
  <c r="W32" i="10" s="1"/>
  <c r="AL94" i="10"/>
  <c r="AL31" i="10"/>
  <c r="BH95" i="10"/>
  <c r="BH19" i="10"/>
  <c r="BM95" i="10"/>
  <c r="BM19" i="10"/>
  <c r="CC95" i="10"/>
  <c r="CC19" i="10"/>
  <c r="Q249" i="10"/>
  <c r="Q243" i="10"/>
  <c r="Q17" i="10"/>
  <c r="Q29" i="10"/>
  <c r="Q16" i="10"/>
  <c r="V249" i="10"/>
  <c r="V243" i="10"/>
  <c r="V29" i="10"/>
  <c r="V17" i="10"/>
  <c r="V16" i="10"/>
  <c r="AA249" i="10"/>
  <c r="AA243" i="10"/>
  <c r="AA29" i="10"/>
  <c r="AA176" i="5"/>
  <c r="AA17" i="10"/>
  <c r="AA16" i="10"/>
  <c r="AF249" i="10"/>
  <c r="AF243" i="10"/>
  <c r="AF16" i="10"/>
  <c r="AF17" i="10"/>
  <c r="AF29" i="10"/>
  <c r="AK249" i="10"/>
  <c r="AK243" i="10"/>
  <c r="AK176" i="5"/>
  <c r="AK29" i="10"/>
  <c r="AP16" i="10"/>
  <c r="AK16" i="10"/>
  <c r="P29" i="10"/>
  <c r="W29" i="10"/>
  <c r="N41" i="10"/>
  <c r="N38" i="10"/>
  <c r="O94" i="10"/>
  <c r="O97" i="10" s="1"/>
  <c r="O48" i="10"/>
  <c r="O31" i="10"/>
  <c r="O32" i="10" s="1"/>
  <c r="AC41" i="10"/>
  <c r="AC38" i="10"/>
  <c r="AI94" i="10"/>
  <c r="AI31" i="10"/>
  <c r="AI32" i="10" s="1"/>
  <c r="AI48" i="10"/>
  <c r="BL38" i="10"/>
  <c r="CA38" i="10"/>
  <c r="CF38" i="10"/>
  <c r="BZ57" i="10"/>
  <c r="BZ49" i="10"/>
  <c r="BF57" i="10"/>
  <c r="BF49" i="10"/>
  <c r="BI95" i="10"/>
  <c r="BI19" i="10"/>
  <c r="BW95" i="10"/>
  <c r="BW19" i="10"/>
  <c r="CG95" i="10"/>
  <c r="CG19" i="10"/>
  <c r="R249" i="10"/>
  <c r="R243" i="10"/>
  <c r="R17" i="10"/>
  <c r="R29" i="10"/>
  <c r="R16" i="10"/>
  <c r="W249" i="10"/>
  <c r="W243" i="10"/>
  <c r="W17" i="10"/>
  <c r="W176" i="5"/>
  <c r="W16" i="10"/>
  <c r="AB249" i="10"/>
  <c r="AB243" i="10"/>
  <c r="AB17" i="10"/>
  <c r="AB16" i="10"/>
  <c r="AB176" i="5"/>
  <c r="AG249" i="10"/>
  <c r="AG243" i="10"/>
  <c r="AG17" i="10"/>
  <c r="AG29" i="10"/>
  <c r="AG16" i="10"/>
  <c r="AL15" i="10"/>
  <c r="AN17" i="10" s="1"/>
  <c r="BB13" i="10"/>
  <c r="BB15" i="10" s="1"/>
  <c r="AY245" i="10"/>
  <c r="AY244" i="10"/>
  <c r="AY25" i="10"/>
  <c r="AY26" i="10" s="1"/>
  <c r="K94" i="10"/>
  <c r="K97" i="10" s="1"/>
  <c r="K31" i="10"/>
  <c r="K48" i="10"/>
  <c r="AE94" i="10"/>
  <c r="AE97" i="10" s="1"/>
  <c r="AE48" i="10"/>
  <c r="AE31" i="10"/>
  <c r="AE32" i="10" s="1"/>
  <c r="AE177" i="5"/>
  <c r="AJ94" i="10"/>
  <c r="AJ97" i="10" s="1"/>
  <c r="AJ48" i="10"/>
  <c r="AJ31" i="10"/>
  <c r="AD188" i="10"/>
  <c r="AD109" i="10"/>
  <c r="AH110" i="10" s="1"/>
  <c r="AX188" i="10"/>
  <c r="AX109" i="10"/>
  <c r="BB110" i="10" s="1"/>
  <c r="BR188" i="10"/>
  <c r="BR109" i="10"/>
  <c r="BV110" i="10" s="1"/>
  <c r="CL188" i="10"/>
  <c r="CL109" i="10"/>
  <c r="CP110" i="10" s="1"/>
  <c r="W189" i="10"/>
  <c r="W110" i="10"/>
  <c r="AA189" i="10"/>
  <c r="AA110" i="10"/>
  <c r="AE189" i="10"/>
  <c r="AE110" i="10"/>
  <c r="AI189" i="10"/>
  <c r="AI110" i="10"/>
  <c r="AQ189" i="10"/>
  <c r="AQ110" i="10"/>
  <c r="AU189" i="10"/>
  <c r="AU110" i="10"/>
  <c r="AY189" i="10"/>
  <c r="AY110" i="10"/>
  <c r="BC189" i="10"/>
  <c r="BC110" i="10"/>
  <c r="BK189" i="10"/>
  <c r="BK110" i="10"/>
  <c r="BO189" i="10"/>
  <c r="BO110" i="10"/>
  <c r="BS189" i="10"/>
  <c r="BS110" i="10"/>
  <c r="BW189" i="10"/>
  <c r="BW110" i="10"/>
  <c r="CE189" i="10"/>
  <c r="CE110" i="10"/>
  <c r="CI189" i="10"/>
  <c r="CI110" i="10"/>
  <c r="CM189" i="10"/>
  <c r="CM110" i="10"/>
  <c r="CQ189" i="10"/>
  <c r="CQ110" i="10"/>
  <c r="CY189" i="10"/>
  <c r="CY110" i="10"/>
  <c r="X11" i="10"/>
  <c r="X15" i="10" s="1"/>
  <c r="X29" i="10" s="1"/>
  <c r="AR10" i="10"/>
  <c r="BL10" i="10"/>
  <c r="BL15" i="10" s="1"/>
  <c r="BL29" i="10" s="1"/>
  <c r="CF10" i="10"/>
  <c r="CF15" i="10" s="1"/>
  <c r="CF29" i="10" s="1"/>
  <c r="AJ13" i="10"/>
  <c r="AM13" i="10" s="1"/>
  <c r="AS13" i="10"/>
  <c r="AW13" i="10" s="1"/>
  <c r="AW15" i="10" s="1"/>
  <c r="BM13" i="10"/>
  <c r="BQ13" i="10" s="1"/>
  <c r="BQ15" i="10" s="1"/>
  <c r="CG13" i="10"/>
  <c r="CK13" i="10" s="1"/>
  <c r="CK15" i="10" s="1"/>
  <c r="L249" i="10"/>
  <c r="L243" i="10"/>
  <c r="AT19" i="10"/>
  <c r="AX19" i="10"/>
  <c r="AY20" i="10"/>
  <c r="BC20" i="10"/>
  <c r="AE27" i="10"/>
  <c r="AB28" i="10"/>
  <c r="AB29" i="10" s="1"/>
  <c r="L29" i="10"/>
  <c r="S35" i="10"/>
  <c r="AM35" i="10"/>
  <c r="BC38" i="10"/>
  <c r="BO38" i="10"/>
  <c r="L38" i="10"/>
  <c r="L41" i="10" s="1"/>
  <c r="P38" i="10"/>
  <c r="S38" i="10" s="1"/>
  <c r="T38" i="10"/>
  <c r="AB38" i="10"/>
  <c r="AB41" i="10" s="1"/>
  <c r="AF38" i="10"/>
  <c r="AF41" i="10" s="1"/>
  <c r="CA35" i="10"/>
  <c r="CA41" i="10" s="1"/>
  <c r="T41" i="10"/>
  <c r="AN41" i="10"/>
  <c r="AV48" i="10"/>
  <c r="AV94" i="10"/>
  <c r="AZ94" i="10"/>
  <c r="AZ48" i="10"/>
  <c r="BD48" i="10"/>
  <c r="BD94" i="10"/>
  <c r="BD97" i="10" s="1"/>
  <c r="BH48" i="10"/>
  <c r="BH94" i="10"/>
  <c r="BP94" i="10"/>
  <c r="BT48" i="10"/>
  <c r="BT94" i="10"/>
  <c r="BY94" i="10"/>
  <c r="BY48" i="10"/>
  <c r="BF44" i="10"/>
  <c r="CI45" i="10"/>
  <c r="CI48" i="10" s="1"/>
  <c r="M43" i="10"/>
  <c r="M44" i="10"/>
  <c r="M168" i="10" s="1"/>
  <c r="AQ48" i="10"/>
  <c r="AY48" i="10"/>
  <c r="BO48" i="10"/>
  <c r="BW49" i="10"/>
  <c r="BP68" i="10"/>
  <c r="BQ51" i="10"/>
  <c r="CA68" i="10"/>
  <c r="CE57" i="10"/>
  <c r="AI188" i="10"/>
  <c r="AI109" i="10"/>
  <c r="AM110" i="10" s="1"/>
  <c r="BC188" i="10"/>
  <c r="BC109" i="10"/>
  <c r="BG110" i="10" s="1"/>
  <c r="BW188" i="10"/>
  <c r="BW109" i="10"/>
  <c r="CA110" i="10" s="1"/>
  <c r="CQ188" i="10"/>
  <c r="CQ109" i="10"/>
  <c r="CU110" i="10" s="1"/>
  <c r="T189" i="10"/>
  <c r="T110" i="10"/>
  <c r="AB189" i="10"/>
  <c r="AB110" i="10"/>
  <c r="AF189" i="10"/>
  <c r="AF110" i="10"/>
  <c r="AJ189" i="10"/>
  <c r="AJ110" i="10"/>
  <c r="AN189" i="10"/>
  <c r="AN110" i="10"/>
  <c r="AV189" i="10"/>
  <c r="AV110" i="10"/>
  <c r="AZ189" i="10"/>
  <c r="AZ110" i="10"/>
  <c r="BD189" i="10"/>
  <c r="BD110" i="10"/>
  <c r="BH189" i="10"/>
  <c r="BH110" i="10"/>
  <c r="BP189" i="10"/>
  <c r="BP110" i="10"/>
  <c r="BT189" i="10"/>
  <c r="BT110" i="10"/>
  <c r="BX189" i="10"/>
  <c r="BX110" i="10"/>
  <c r="CB189" i="10"/>
  <c r="CB110" i="10"/>
  <c r="CJ189" i="10"/>
  <c r="CJ110" i="10"/>
  <c r="CN189" i="10"/>
  <c r="CN110" i="10"/>
  <c r="CR189" i="10"/>
  <c r="CR110" i="10"/>
  <c r="CV189" i="10"/>
  <c r="CV110" i="10"/>
  <c r="AC11" i="10"/>
  <c r="AC15" i="10" s="1"/>
  <c r="AC29" i="10" s="1"/>
  <c r="BG11" i="10"/>
  <c r="BG15" i="10" s="1"/>
  <c r="CA11" i="10"/>
  <c r="CA15" i="10" s="1"/>
  <c r="BR13" i="10"/>
  <c r="BV13" i="10" s="1"/>
  <c r="BV15" i="10" s="1"/>
  <c r="M249" i="10"/>
  <c r="M243" i="10"/>
  <c r="M29" i="10"/>
  <c r="BD38" i="10"/>
  <c r="Q38" i="10"/>
  <c r="Q41" i="10" s="1"/>
  <c r="U38" i="10"/>
  <c r="U41" i="10" s="1"/>
  <c r="Y38" i="10"/>
  <c r="AG38" i="10"/>
  <c r="AG41" i="10" s="1"/>
  <c r="AK38" i="10"/>
  <c r="AK41" i="10" s="1"/>
  <c r="AS38" i="10"/>
  <c r="AW38" i="10" s="1"/>
  <c r="AW35" i="10"/>
  <c r="BL35" i="10"/>
  <c r="BL41" i="10" s="1"/>
  <c r="CF35" i="10"/>
  <c r="CF41" i="10" s="1"/>
  <c r="Y41" i="10"/>
  <c r="AS94" i="10"/>
  <c r="AS48" i="10"/>
  <c r="BA94" i="10"/>
  <c r="BA48" i="10"/>
  <c r="BE94" i="10"/>
  <c r="BE97" i="10" s="1"/>
  <c r="BE48" i="10"/>
  <c r="BI94" i="10"/>
  <c r="BI97" i="10" s="1"/>
  <c r="BI48" i="10"/>
  <c r="BM94" i="10"/>
  <c r="BM48" i="10"/>
  <c r="BU94" i="10"/>
  <c r="BP45" i="10"/>
  <c r="BP48" i="10" s="1"/>
  <c r="AT48" i="10"/>
  <c r="BJ57" i="10"/>
  <c r="BJ49" i="10"/>
  <c r="BR52" i="10"/>
  <c r="BR57" i="10"/>
  <c r="BR49" i="10"/>
  <c r="AR51" i="10"/>
  <c r="AQ52" i="10"/>
  <c r="AQ53" i="10" s="1"/>
  <c r="BJ52" i="10"/>
  <c r="BJ68" i="10"/>
  <c r="BJ69" i="10" s="1"/>
  <c r="T7" i="10"/>
  <c r="T188" i="10" s="1"/>
  <c r="AN7" i="10"/>
  <c r="BH7" i="10"/>
  <c r="CB7" i="10"/>
  <c r="CV7" i="10"/>
  <c r="U189" i="10"/>
  <c r="U110" i="10"/>
  <c r="Y189" i="10"/>
  <c r="Y110" i="10"/>
  <c r="AG189" i="10"/>
  <c r="AG110" i="10"/>
  <c r="AK189" i="10"/>
  <c r="AK110" i="10"/>
  <c r="AO189" i="10"/>
  <c r="AO110" i="10"/>
  <c r="AS189" i="10"/>
  <c r="AS110" i="10"/>
  <c r="BA189" i="10"/>
  <c r="BA110" i="10"/>
  <c r="BE189" i="10"/>
  <c r="BE110" i="10"/>
  <c r="BI189" i="10"/>
  <c r="BI110" i="10"/>
  <c r="BM189" i="10"/>
  <c r="BM110" i="10"/>
  <c r="BU189" i="10"/>
  <c r="BU110" i="10"/>
  <c r="BY189" i="10"/>
  <c r="BY110" i="10"/>
  <c r="CC189" i="10"/>
  <c r="CC110" i="10"/>
  <c r="CG189" i="10"/>
  <c r="CG110" i="10"/>
  <c r="CO189" i="10"/>
  <c r="CO110" i="10"/>
  <c r="CS189" i="10"/>
  <c r="CS110" i="10"/>
  <c r="CW189" i="10"/>
  <c r="CW110" i="10"/>
  <c r="AH11" i="10"/>
  <c r="AH15" i="10" s="1"/>
  <c r="AH29" i="10" s="1"/>
  <c r="AR11" i="10"/>
  <c r="J249" i="10"/>
  <c r="J243" i="10"/>
  <c r="M17" i="10"/>
  <c r="J29" i="10"/>
  <c r="N29" i="10"/>
  <c r="AD29" i="10"/>
  <c r="S36" i="10"/>
  <c r="AM36" i="10"/>
  <c r="AX38" i="10"/>
  <c r="BB38" i="10" s="1"/>
  <c r="BB41" i="10" s="1"/>
  <c r="BM38" i="10"/>
  <c r="BQ38" i="10" s="1"/>
  <c r="BQ41" i="10" s="1"/>
  <c r="BR38" i="10"/>
  <c r="BV38" i="10" s="1"/>
  <c r="BV41" i="10" s="1"/>
  <c r="CG38" i="10"/>
  <c r="J38" i="10"/>
  <c r="R38" i="10"/>
  <c r="R41" i="10" s="1"/>
  <c r="V38" i="10"/>
  <c r="V41" i="10" s="1"/>
  <c r="Z38" i="10"/>
  <c r="Z41" i="10" s="1"/>
  <c r="AD38" i="10"/>
  <c r="AH38" i="10" s="1"/>
  <c r="AH41" i="10" s="1"/>
  <c r="J41" i="10"/>
  <c r="AD41" i="10"/>
  <c r="AT97" i="10"/>
  <c r="BA178" i="10"/>
  <c r="AZ178" i="10"/>
  <c r="AY178" i="10"/>
  <c r="AX178" i="10"/>
  <c r="AX97" i="10"/>
  <c r="BR97" i="10"/>
  <c r="CB48" i="10"/>
  <c r="CB94" i="10"/>
  <c r="BU45" i="10"/>
  <c r="BU48" i="10" s="1"/>
  <c r="AU48" i="10"/>
  <c r="BC48" i="10"/>
  <c r="BK48" i="10"/>
  <c r="BS48" i="10"/>
  <c r="CD52" i="10"/>
  <c r="CD53" i="10" s="1"/>
  <c r="CD57" i="10"/>
  <c r="CD49" i="10"/>
  <c r="CE49" i="10"/>
  <c r="O52" i="10"/>
  <c r="AB51" i="10"/>
  <c r="BK52" i="10"/>
  <c r="BK53" i="10" s="1"/>
  <c r="CF68" i="10"/>
  <c r="BW102" i="10"/>
  <c r="BW90" i="10"/>
  <c r="BW60" i="10"/>
  <c r="BW58" i="10"/>
  <c r="CN76" i="10"/>
  <c r="CM73" i="10"/>
  <c r="AC186" i="5"/>
  <c r="AH186" i="5"/>
  <c r="Y7" i="10"/>
  <c r="AS7" i="10"/>
  <c r="BM7" i="10"/>
  <c r="CG7" i="10"/>
  <c r="V189" i="10"/>
  <c r="V110" i="10"/>
  <c r="Z189" i="10"/>
  <c r="Z110" i="10"/>
  <c r="AD189" i="10"/>
  <c r="AD110" i="10"/>
  <c r="AL189" i="10"/>
  <c r="AL110" i="10"/>
  <c r="AP189" i="10"/>
  <c r="AP110" i="10"/>
  <c r="AT189" i="10"/>
  <c r="AT110" i="10"/>
  <c r="AX189" i="10"/>
  <c r="AX110" i="10"/>
  <c r="BF189" i="10"/>
  <c r="BF110" i="10"/>
  <c r="BJ189" i="10"/>
  <c r="BJ110" i="10"/>
  <c r="BN189" i="10"/>
  <c r="BN110" i="10"/>
  <c r="BR189" i="10"/>
  <c r="BR110" i="10"/>
  <c r="BZ189" i="10"/>
  <c r="BZ110" i="10"/>
  <c r="CD189" i="10"/>
  <c r="CD110" i="10"/>
  <c r="CH189" i="10"/>
  <c r="CH110" i="10"/>
  <c r="CL189" i="10"/>
  <c r="CL110" i="10"/>
  <c r="CT189" i="10"/>
  <c r="CT110" i="10"/>
  <c r="CX189" i="10"/>
  <c r="CX110" i="10"/>
  <c r="S11" i="10"/>
  <c r="S15" i="10" s="1"/>
  <c r="AM11" i="10"/>
  <c r="AM15" i="10" s="1"/>
  <c r="K249" i="10"/>
  <c r="K243" i="10"/>
  <c r="N17" i="10"/>
  <c r="AS19" i="10"/>
  <c r="BE19" i="10"/>
  <c r="K29" i="10"/>
  <c r="AY97" i="10"/>
  <c r="BE178" i="10"/>
  <c r="BF178" i="10"/>
  <c r="BD178" i="10"/>
  <c r="BC178" i="10"/>
  <c r="BC97" i="10"/>
  <c r="BS97" i="10"/>
  <c r="BX48" i="10"/>
  <c r="BX94" i="10"/>
  <c r="CC94" i="10"/>
  <c r="CC97" i="10" s="1"/>
  <c r="CC48" i="10"/>
  <c r="CG94" i="10"/>
  <c r="CG48" i="10"/>
  <c r="CA43" i="10"/>
  <c r="CA45" i="10" s="1"/>
  <c r="CF43" i="10"/>
  <c r="CF45" i="10" s="1"/>
  <c r="AG44" i="10"/>
  <c r="AN45" i="10"/>
  <c r="AQ43" i="10"/>
  <c r="AQ44" i="10" s="1"/>
  <c r="AL45" i="10"/>
  <c r="AL48" i="10" s="1"/>
  <c r="CJ45" i="10"/>
  <c r="CJ41" i="10" s="1"/>
  <c r="AX48" i="10"/>
  <c r="BN52" i="10"/>
  <c r="BN57" i="10"/>
  <c r="BN49" i="10"/>
  <c r="BA52" i="10"/>
  <c r="BA53" i="10" s="1"/>
  <c r="BB51" i="10"/>
  <c r="BV68" i="10"/>
  <c r="BF65" i="10"/>
  <c r="BY178" i="10"/>
  <c r="BW178" i="10"/>
  <c r="BZ178" i="10"/>
  <c r="BX178" i="10"/>
  <c r="CK51" i="10"/>
  <c r="BH52" i="10"/>
  <c r="BH53" i="10" s="1"/>
  <c r="BT52" i="10"/>
  <c r="BZ68" i="10"/>
  <c r="AM73" i="10"/>
  <c r="Q74" i="10"/>
  <c r="U74" i="10"/>
  <c r="Y74" i="10"/>
  <c r="AC74" i="10"/>
  <c r="AO74" i="10"/>
  <c r="AW74" i="10"/>
  <c r="J76" i="10"/>
  <c r="V76" i="10"/>
  <c r="Z76" i="10"/>
  <c r="AD76" i="10"/>
  <c r="BG88" i="10"/>
  <c r="AC126" i="10"/>
  <c r="AW126" i="10"/>
  <c r="BQ126" i="10"/>
  <c r="CK126" i="10"/>
  <c r="AO152" i="10"/>
  <c r="AY134" i="10"/>
  <c r="AY139" i="10" s="1"/>
  <c r="AY150" i="10" s="1"/>
  <c r="AZ131" i="10"/>
  <c r="AZ134" i="10" s="1"/>
  <c r="AZ139" i="10" s="1"/>
  <c r="AZ150" i="10" s="1"/>
  <c r="N162" i="10"/>
  <c r="CM224" i="10"/>
  <c r="R74" i="10"/>
  <c r="V74" i="10"/>
  <c r="Z74" i="10"/>
  <c r="AD74" i="10"/>
  <c r="BV86" i="10"/>
  <c r="AH126" i="10"/>
  <c r="BV126" i="10"/>
  <c r="BZ52" i="10"/>
  <c r="BZ53" i="10" s="1"/>
  <c r="AG65" i="10"/>
  <c r="AL65" i="10"/>
  <c r="AT65" i="10"/>
  <c r="CN65" i="10"/>
  <c r="CR65" i="10"/>
  <c r="CV65" i="10"/>
  <c r="BK68" i="10"/>
  <c r="BK69" i="10" s="1"/>
  <c r="N73" i="10"/>
  <c r="S74" i="10" s="1"/>
  <c r="CA74" i="10"/>
  <c r="L76" i="10"/>
  <c r="P76" i="10"/>
  <c r="T76" i="10"/>
  <c r="S88" i="10"/>
  <c r="CA88" i="10"/>
  <c r="CO117" i="10"/>
  <c r="CP117" i="10" s="1"/>
  <c r="X126" i="10"/>
  <c r="AM126" i="10"/>
  <c r="CA170" i="10"/>
  <c r="CA126" i="10"/>
  <c r="AR169" i="10"/>
  <c r="AR167" i="10"/>
  <c r="BU178" i="10"/>
  <c r="BR178" i="10"/>
  <c r="BT178" i="10"/>
  <c r="BS178" i="10"/>
  <c r="CK44" i="10"/>
  <c r="CK45" i="10" s="1"/>
  <c r="CH45" i="10"/>
  <c r="CH48" i="10" s="1"/>
  <c r="CL45" i="10"/>
  <c r="CL41" i="10" s="1"/>
  <c r="BL51" i="10"/>
  <c r="AH65" i="10"/>
  <c r="AM65" i="10"/>
  <c r="CF86" i="10"/>
  <c r="BW97" i="10"/>
  <c r="AS126" i="10"/>
  <c r="AR126" i="10"/>
  <c r="BL126" i="10"/>
  <c r="CF126" i="10"/>
  <c r="AH182" i="10"/>
  <c r="AH183" i="10"/>
  <c r="AH162" i="10"/>
  <c r="BV182" i="10"/>
  <c r="BV183" i="10"/>
  <c r="BV162" i="10"/>
  <c r="S113" i="10"/>
  <c r="S119" i="10" s="1"/>
  <c r="S126" i="10" s="1"/>
  <c r="J170" i="10"/>
  <c r="J171" i="10" s="1"/>
  <c r="R119" i="10"/>
  <c r="R126" i="10" s="1"/>
  <c r="BZ171" i="10"/>
  <c r="CD171" i="10"/>
  <c r="AC249" i="10"/>
  <c r="BG124" i="10"/>
  <c r="CF249" i="10"/>
  <c r="BN126" i="10"/>
  <c r="BR126" i="10"/>
  <c r="AS169" i="10"/>
  <c r="AS167" i="10"/>
  <c r="AX134" i="10"/>
  <c r="AX139" i="10" s="1"/>
  <c r="AX150" i="10" s="1"/>
  <c r="AX169" i="10"/>
  <c r="AX167" i="10"/>
  <c r="AY168" i="10" s="1"/>
  <c r="BI169" i="10"/>
  <c r="BI167" i="10"/>
  <c r="BJ168" i="10" s="1"/>
  <c r="BM169" i="10"/>
  <c r="BM167" i="10"/>
  <c r="BN168" i="10" s="1"/>
  <c r="BT169" i="10"/>
  <c r="BT167" i="10"/>
  <c r="BU168" i="10" s="1"/>
  <c r="BY169" i="10"/>
  <c r="BY167" i="10"/>
  <c r="BZ168" i="10" s="1"/>
  <c r="CI167" i="10"/>
  <c r="CJ168" i="10" s="1"/>
  <c r="CI169" i="10"/>
  <c r="CI134" i="10"/>
  <c r="CI139" i="10" s="1"/>
  <c r="CI150" i="10" s="1"/>
  <c r="CI152" i="10" s="1"/>
  <c r="N134" i="10"/>
  <c r="N139" i="10" s="1"/>
  <c r="N150" i="10" s="1"/>
  <c r="N152" i="10" s="1"/>
  <c r="S200" i="10"/>
  <c r="X169" i="10"/>
  <c r="X167" i="10"/>
  <c r="Y168" i="10" s="1"/>
  <c r="AM134" i="10"/>
  <c r="AM139" i="10" s="1"/>
  <c r="Q250" i="10"/>
  <c r="Q201" i="10"/>
  <c r="Q170" i="10"/>
  <c r="U250" i="10"/>
  <c r="U201" i="10"/>
  <c r="Z250" i="10"/>
  <c r="Z201" i="10"/>
  <c r="Z134" i="10"/>
  <c r="Z139" i="10" s="1"/>
  <c r="Z150" i="10" s="1"/>
  <c r="AD250" i="10"/>
  <c r="AD134" i="10"/>
  <c r="AD139" i="10" s="1"/>
  <c r="AD150" i="10" s="1"/>
  <c r="AH132" i="10"/>
  <c r="AH250" i="10" s="1"/>
  <c r="AL250" i="10"/>
  <c r="AL134" i="10"/>
  <c r="AL139" i="10" s="1"/>
  <c r="AL150" i="10" s="1"/>
  <c r="AW132" i="10"/>
  <c r="BA250" i="10"/>
  <c r="BB132" i="10"/>
  <c r="U134" i="10"/>
  <c r="U139" i="10" s="1"/>
  <c r="U150" i="10" s="1"/>
  <c r="AS134" i="10"/>
  <c r="AS139" i="10" s="1"/>
  <c r="AS150" i="10" s="1"/>
  <c r="BA134" i="10"/>
  <c r="BA139" i="10" s="1"/>
  <c r="BA150" i="10" s="1"/>
  <c r="BA152" i="10" s="1"/>
  <c r="BI134" i="10"/>
  <c r="BI139" i="10" s="1"/>
  <c r="BI150" i="10" s="1"/>
  <c r="BI152" i="10" s="1"/>
  <c r="BY134" i="10"/>
  <c r="BY139" i="10" s="1"/>
  <c r="BY150" i="10" s="1"/>
  <c r="BY152" i="10" s="1"/>
  <c r="BG149" i="10"/>
  <c r="CA149" i="10"/>
  <c r="O159" i="10"/>
  <c r="S156" i="10"/>
  <c r="X160" i="10"/>
  <c r="AR160" i="10"/>
  <c r="V182" i="10"/>
  <c r="V175" i="10"/>
  <c r="V183" i="10"/>
  <c r="V162" i="10"/>
  <c r="AK155" i="10"/>
  <c r="AT182" i="10"/>
  <c r="AT183" i="10"/>
  <c r="AT175" i="10"/>
  <c r="AT162" i="10"/>
  <c r="AZ155" i="10"/>
  <c r="BD155" i="10"/>
  <c r="BI155" i="10"/>
  <c r="BR182" i="10"/>
  <c r="BR175" i="10"/>
  <c r="BR183" i="10"/>
  <c r="BR162" i="10"/>
  <c r="BZ182" i="10"/>
  <c r="BZ183" i="10"/>
  <c r="BZ175" i="10"/>
  <c r="BZ162" i="10"/>
  <c r="S198" i="10"/>
  <c r="N170" i="10"/>
  <c r="N171" i="10" s="1"/>
  <c r="K240" i="10"/>
  <c r="K171" i="10"/>
  <c r="AY170" i="10"/>
  <c r="CI170" i="10"/>
  <c r="AH249" i="10"/>
  <c r="AM249" i="10"/>
  <c r="BL249" i="10"/>
  <c r="V152" i="10"/>
  <c r="Z152" i="10"/>
  <c r="AD152" i="10"/>
  <c r="AL152" i="10"/>
  <c r="AX152" i="10"/>
  <c r="BO126" i="10"/>
  <c r="BS126" i="10"/>
  <c r="AN174" i="10"/>
  <c r="AT174" i="10"/>
  <c r="CE174" i="10"/>
  <c r="N169" i="10"/>
  <c r="S169" i="10"/>
  <c r="AM169" i="10"/>
  <c r="BQ169" i="10"/>
  <c r="BQ167" i="10"/>
  <c r="CF169" i="10"/>
  <c r="CF167" i="10"/>
  <c r="R250" i="10"/>
  <c r="R201" i="10"/>
  <c r="R170" i="10"/>
  <c r="R134" i="10"/>
  <c r="R139" i="10" s="1"/>
  <c r="V250" i="10"/>
  <c r="V201" i="10"/>
  <c r="V134" i="10"/>
  <c r="V139" i="10" s="1"/>
  <c r="V150" i="10" s="1"/>
  <c r="AA250" i="10"/>
  <c r="AA134" i="10"/>
  <c r="AA139" i="10" s="1"/>
  <c r="AA150" i="10" s="1"/>
  <c r="AE250" i="10"/>
  <c r="AE201" i="10"/>
  <c r="AF201" i="10" s="1"/>
  <c r="AE134" i="10"/>
  <c r="AE139" i="10" s="1"/>
  <c r="AE150" i="10" s="1"/>
  <c r="AI250" i="10"/>
  <c r="AI134" i="10"/>
  <c r="AI139" i="10" s="1"/>
  <c r="AI150" i="10" s="1"/>
  <c r="AM250" i="10"/>
  <c r="AQ250" i="10"/>
  <c r="AR132" i="10"/>
  <c r="BC250" i="10"/>
  <c r="BC134" i="10"/>
  <c r="BC139" i="10" s="1"/>
  <c r="BC150" i="10" s="1"/>
  <c r="CF250" i="10"/>
  <c r="CJ250" i="10"/>
  <c r="CK132" i="10"/>
  <c r="CK134" i="10" s="1"/>
  <c r="BD134" i="10"/>
  <c r="BD139" i="10" s="1"/>
  <c r="BD150" i="10" s="1"/>
  <c r="BT134" i="10"/>
  <c r="BT139" i="10" s="1"/>
  <c r="BT150" i="10" s="1"/>
  <c r="CF134" i="10"/>
  <c r="CF139" i="10" s="1"/>
  <c r="N175" i="10"/>
  <c r="AH175" i="10"/>
  <c r="CN141" i="10"/>
  <c r="CM160" i="10"/>
  <c r="CN146" i="10"/>
  <c r="CM156" i="10"/>
  <c r="S183" i="10"/>
  <c r="S182" i="10"/>
  <c r="S162" i="10"/>
  <c r="T160" i="10"/>
  <c r="S160" i="10"/>
  <c r="T156" i="10"/>
  <c r="AD159" i="10"/>
  <c r="AI159" i="10"/>
  <c r="AN160" i="10"/>
  <c r="AM160" i="10"/>
  <c r="AN156" i="10"/>
  <c r="BC159" i="10"/>
  <c r="BH160" i="10"/>
  <c r="BG156" i="10"/>
  <c r="BG160" i="10"/>
  <c r="BH156" i="10"/>
  <c r="BW159" i="10"/>
  <c r="CB160" i="10"/>
  <c r="CA156" i="10"/>
  <c r="CF156" i="10"/>
  <c r="CA160" i="10"/>
  <c r="CB156" i="10"/>
  <c r="J183" i="10"/>
  <c r="J182" i="10"/>
  <c r="J175" i="10"/>
  <c r="J162" i="10"/>
  <c r="K155" i="10" s="1"/>
  <c r="J150" i="10"/>
  <c r="J152" i="10" s="1"/>
  <c r="R175" i="10"/>
  <c r="R183" i="10"/>
  <c r="R182" i="10"/>
  <c r="R162" i="10"/>
  <c r="R150" i="10"/>
  <c r="AP182" i="10"/>
  <c r="AP183" i="10"/>
  <c r="AP175" i="10"/>
  <c r="AP162" i="10"/>
  <c r="BA155" i="10"/>
  <c r="BE155" i="10"/>
  <c r="BN182" i="10"/>
  <c r="BN175" i="10"/>
  <c r="BN183" i="10"/>
  <c r="BN162" i="10"/>
  <c r="BT155" i="10"/>
  <c r="CL182" i="10"/>
  <c r="CL183" i="10"/>
  <c r="CL175" i="10"/>
  <c r="CL162" i="10"/>
  <c r="R174" i="10"/>
  <c r="V198" i="10"/>
  <c r="V203" i="10" s="1"/>
  <c r="U198" i="10"/>
  <c r="L240" i="10"/>
  <c r="L171" i="10"/>
  <c r="T240" i="10"/>
  <c r="T171" i="10"/>
  <c r="AF171" i="10"/>
  <c r="AN171" i="10"/>
  <c r="AV170" i="10"/>
  <c r="AZ170" i="10"/>
  <c r="BD170" i="10"/>
  <c r="BT170" i="10"/>
  <c r="S249" i="10"/>
  <c r="K126" i="10"/>
  <c r="K152" i="10" s="1"/>
  <c r="O126" i="10"/>
  <c r="W126" i="10"/>
  <c r="AA126" i="10"/>
  <c r="AA152" i="10" s="1"/>
  <c r="AE126" i="10"/>
  <c r="AE152" i="10" s="1"/>
  <c r="AI126" i="10"/>
  <c r="AI152" i="10" s="1"/>
  <c r="AQ126" i="10"/>
  <c r="AU126" i="10"/>
  <c r="AY126" i="10"/>
  <c r="AY152" i="10" s="1"/>
  <c r="BC126" i="10"/>
  <c r="BC152" i="10" s="1"/>
  <c r="BK126" i="10"/>
  <c r="BP126" i="10"/>
  <c r="BT126" i="10"/>
  <c r="BT152" i="10" s="1"/>
  <c r="Y200" i="10"/>
  <c r="AB200" i="10" s="1"/>
  <c r="W134" i="10"/>
  <c r="W139" i="10" s="1"/>
  <c r="W150" i="10" s="1"/>
  <c r="AP167" i="10"/>
  <c r="AP134" i="10"/>
  <c r="AP139" i="10" s="1"/>
  <c r="AP150" i="10" s="1"/>
  <c r="AP152" i="10" s="1"/>
  <c r="AP169" i="10"/>
  <c r="AV169" i="10"/>
  <c r="AV167" i="10"/>
  <c r="AV168" i="10" s="1"/>
  <c r="BF134" i="10"/>
  <c r="BF139" i="10" s="1"/>
  <c r="BF150" i="10" s="1"/>
  <c r="BF152" i="10" s="1"/>
  <c r="BF169" i="10"/>
  <c r="BF167" i="10"/>
  <c r="BK169" i="10"/>
  <c r="BK167" i="10"/>
  <c r="BK168" i="10" s="1"/>
  <c r="BK134" i="10"/>
  <c r="BK139" i="10" s="1"/>
  <c r="BK150" i="10" s="1"/>
  <c r="BR134" i="10"/>
  <c r="BR139" i="10" s="1"/>
  <c r="BR150" i="10" s="1"/>
  <c r="BR169" i="10"/>
  <c r="BR167" i="10"/>
  <c r="BW169" i="10"/>
  <c r="BW167" i="10"/>
  <c r="BW134" i="10"/>
  <c r="BW139" i="10" s="1"/>
  <c r="BW150" i="10" s="1"/>
  <c r="BW152" i="10" s="1"/>
  <c r="CG169" i="10"/>
  <c r="CG167" i="10"/>
  <c r="CH168" i="10" s="1"/>
  <c r="CK169" i="10"/>
  <c r="CK167" i="10"/>
  <c r="CL168" i="10" s="1"/>
  <c r="AC129" i="10"/>
  <c r="AC134" i="10" s="1"/>
  <c r="AC139" i="10" s="1"/>
  <c r="AC150" i="10" s="1"/>
  <c r="AH167" i="10"/>
  <c r="AI168" i="10" s="1"/>
  <c r="AH134" i="10"/>
  <c r="AH139" i="10" s="1"/>
  <c r="AH150" i="10" s="1"/>
  <c r="AH169" i="10"/>
  <c r="BB134" i="10"/>
  <c r="BB139" i="10" s="1"/>
  <c r="BG130" i="10"/>
  <c r="BN131" i="10"/>
  <c r="CA169" i="10"/>
  <c r="CA167" i="10"/>
  <c r="CB168" i="10" s="1"/>
  <c r="O250" i="10"/>
  <c r="O134" i="10"/>
  <c r="O139" i="10" s="1"/>
  <c r="O150" i="10" s="1"/>
  <c r="S132" i="10"/>
  <c r="S250" i="10" s="1"/>
  <c r="W250" i="10"/>
  <c r="X132" i="10"/>
  <c r="X250" i="10" s="1"/>
  <c r="AU250" i="10"/>
  <c r="AU134" i="10"/>
  <c r="AU139" i="10" s="1"/>
  <c r="AU150" i="10" s="1"/>
  <c r="BL132" i="10"/>
  <c r="BL250" i="10" s="1"/>
  <c r="BE134" i="10"/>
  <c r="BE139" i="10" s="1"/>
  <c r="BE150" i="10" s="1"/>
  <c r="BE152" i="10" s="1"/>
  <c r="CB134" i="10"/>
  <c r="CB139" i="10" s="1"/>
  <c r="CB150" i="10" s="1"/>
  <c r="CB152" i="10" s="1"/>
  <c r="CG134" i="10"/>
  <c r="CG139" i="10" s="1"/>
  <c r="CG150" i="10" s="1"/>
  <c r="CG152" i="10" s="1"/>
  <c r="AW182" i="10"/>
  <c r="AW183" i="10"/>
  <c r="AW162" i="10"/>
  <c r="BQ183" i="10"/>
  <c r="BQ182" i="10"/>
  <c r="BQ162" i="10"/>
  <c r="CK182" i="10"/>
  <c r="CK183" i="10"/>
  <c r="CK162" i="10"/>
  <c r="AC183" i="10"/>
  <c r="AC182" i="10"/>
  <c r="AC162" i="10"/>
  <c r="U155" i="10"/>
  <c r="AD182" i="10"/>
  <c r="AD183" i="10"/>
  <c r="AD175" i="10"/>
  <c r="AD162" i="10"/>
  <c r="AL182" i="10"/>
  <c r="AL175" i="10"/>
  <c r="AL183" i="10"/>
  <c r="AL162" i="10"/>
  <c r="BJ182" i="10"/>
  <c r="BJ183" i="10"/>
  <c r="BJ175" i="10"/>
  <c r="BJ162" i="10"/>
  <c r="BP155" i="10"/>
  <c r="BU155" i="10"/>
  <c r="BY155" i="10"/>
  <c r="CH182" i="10"/>
  <c r="CH175" i="10"/>
  <c r="CH183" i="10"/>
  <c r="CH162" i="10"/>
  <c r="O201" i="10"/>
  <c r="S201" i="10"/>
  <c r="M170" i="10"/>
  <c r="U119" i="10"/>
  <c r="Y170" i="10"/>
  <c r="AG170" i="10"/>
  <c r="AK170" i="10"/>
  <c r="AO170" i="10"/>
  <c r="BA170" i="10"/>
  <c r="BE170" i="10"/>
  <c r="BI170" i="10"/>
  <c r="BM170" i="10"/>
  <c r="BU170" i="10"/>
  <c r="BY170" i="10"/>
  <c r="BZ240" i="10" s="1"/>
  <c r="CG170" i="10"/>
  <c r="X249" i="10"/>
  <c r="BB124" i="10"/>
  <c r="BB126" i="10" s="1"/>
  <c r="L126" i="10"/>
  <c r="L152" i="10" s="1"/>
  <c r="T126" i="10"/>
  <c r="T152" i="10" s="1"/>
  <c r="AB126" i="10"/>
  <c r="AF126" i="10"/>
  <c r="AF152" i="10" s="1"/>
  <c r="AJ126" i="10"/>
  <c r="AJ152" i="10" s="1"/>
  <c r="AN126" i="10"/>
  <c r="AN152" i="10" s="1"/>
  <c r="AV126" i="10"/>
  <c r="AV152" i="10" s="1"/>
  <c r="AZ126" i="10"/>
  <c r="AZ152" i="10" s="1"/>
  <c r="BD126" i="10"/>
  <c r="BD152" i="10" s="1"/>
  <c r="BH126" i="10"/>
  <c r="BH152" i="10" s="1"/>
  <c r="AQ169" i="10"/>
  <c r="AQ167" i="10"/>
  <c r="AQ134" i="10"/>
  <c r="AQ139" i="10" s="1"/>
  <c r="AQ150" i="10" s="1"/>
  <c r="AW130" i="10"/>
  <c r="BH169" i="10"/>
  <c r="BH167" i="10"/>
  <c r="BI168" i="10" s="1"/>
  <c r="BL130" i="10"/>
  <c r="BL134" i="10" s="1"/>
  <c r="BS169" i="10"/>
  <c r="BS167" i="10"/>
  <c r="BT168" i="10" s="1"/>
  <c r="BS134" i="10"/>
  <c r="BS139" i="10" s="1"/>
  <c r="BS150" i="10" s="1"/>
  <c r="BX169" i="10"/>
  <c r="BX167" i="10"/>
  <c r="BY168" i="10" s="1"/>
  <c r="CH134" i="10"/>
  <c r="CH139" i="10" s="1"/>
  <c r="CH150" i="10" s="1"/>
  <c r="CH152" i="10" s="1"/>
  <c r="CH167" i="10"/>
  <c r="CI168" i="10" s="1"/>
  <c r="CH169" i="10"/>
  <c r="CL134" i="10"/>
  <c r="CL139" i="10" s="1"/>
  <c r="CL150" i="10" s="1"/>
  <c r="CL152" i="10" s="1"/>
  <c r="CL169" i="10"/>
  <c r="CL167" i="10"/>
  <c r="X129" i="10"/>
  <c r="X134" i="10" s="1"/>
  <c r="X139" i="10" s="1"/>
  <c r="X150" i="10" s="1"/>
  <c r="AC169" i="10"/>
  <c r="AC167" i="10"/>
  <c r="AD168" i="10" s="1"/>
  <c r="BB169" i="10"/>
  <c r="BB167" i="10"/>
  <c r="BC168" i="10" s="1"/>
  <c r="Y250" i="10"/>
  <c r="AC250" i="10"/>
  <c r="AG250" i="10"/>
  <c r="AK250" i="10"/>
  <c r="AO250" i="10"/>
  <c r="BQ132" i="10"/>
  <c r="BQ134" i="10" s="1"/>
  <c r="BU250" i="10"/>
  <c r="BV132" i="10"/>
  <c r="AB134" i="10"/>
  <c r="AB139" i="10" s="1"/>
  <c r="AB150" i="10" s="1"/>
  <c r="BH134" i="10"/>
  <c r="BH139" i="10" s="1"/>
  <c r="BH150" i="10" s="1"/>
  <c r="BP134" i="10"/>
  <c r="BP139" i="10" s="1"/>
  <c r="BP150" i="10" s="1"/>
  <c r="BX134" i="10"/>
  <c r="BX139" i="10" s="1"/>
  <c r="BX150" i="10" s="1"/>
  <c r="BX152" i="10" s="1"/>
  <c r="CC134" i="10"/>
  <c r="CC139" i="10" s="1"/>
  <c r="CC150" i="10" s="1"/>
  <c r="CC152" i="10" s="1"/>
  <c r="CJ134" i="10"/>
  <c r="CJ139" i="10" s="1"/>
  <c r="CJ150" i="10" s="1"/>
  <c r="CJ152" i="10" s="1"/>
  <c r="AR149" i="10"/>
  <c r="AS156" i="10"/>
  <c r="AR156" i="10"/>
  <c r="AW156" i="10"/>
  <c r="BL149" i="10"/>
  <c r="BL175" i="10" s="1"/>
  <c r="BM156" i="10"/>
  <c r="BQ156" i="10"/>
  <c r="CF149" i="10"/>
  <c r="CF175" i="10" s="1"/>
  <c r="CG156" i="10"/>
  <c r="X183" i="10"/>
  <c r="X182" i="10"/>
  <c r="X162" i="10"/>
  <c r="AX156" i="10"/>
  <c r="CL156" i="10"/>
  <c r="M155" i="10"/>
  <c r="Z183" i="10"/>
  <c r="Z182" i="10"/>
  <c r="Z175" i="10"/>
  <c r="Z162" i="10"/>
  <c r="AJ155" i="10"/>
  <c r="AO155" i="10"/>
  <c r="AX182" i="10"/>
  <c r="AX175" i="10"/>
  <c r="AX183" i="10"/>
  <c r="AX162" i="10"/>
  <c r="BB149" i="10"/>
  <c r="BF182" i="10"/>
  <c r="BF183" i="10"/>
  <c r="BF175" i="10"/>
  <c r="BF162" i="10"/>
  <c r="CD182" i="10"/>
  <c r="CD175" i="10"/>
  <c r="CD183" i="10"/>
  <c r="CD162" i="10"/>
  <c r="CJ155" i="10"/>
  <c r="BE169" i="10"/>
  <c r="BE167" i="10"/>
  <c r="BE168" i="10" s="1"/>
  <c r="BP174" i="10"/>
  <c r="BU169" i="10"/>
  <c r="BU167" i="10"/>
  <c r="CJ174" i="10"/>
  <c r="BV130" i="10"/>
  <c r="BV134" i="10" s="1"/>
  <c r="P250" i="10"/>
  <c r="P201" i="10"/>
  <c r="T250" i="10"/>
  <c r="AB250" i="10"/>
  <c r="AF250" i="10"/>
  <c r="AN250" i="10"/>
  <c r="CE134" i="10"/>
  <c r="CE139" i="10" s="1"/>
  <c r="CE150" i="10" s="1"/>
  <c r="CE152" i="10" s="1"/>
  <c r="S175" i="10"/>
  <c r="AC175" i="10"/>
  <c r="AW175" i="10"/>
  <c r="BG175" i="10"/>
  <c r="BQ175" i="10"/>
  <c r="CA175" i="10"/>
  <c r="CK175" i="10"/>
  <c r="CN145" i="10"/>
  <c r="BL160" i="10"/>
  <c r="CF160" i="10"/>
  <c r="M183" i="10"/>
  <c r="M175" i="10"/>
  <c r="M182" i="10"/>
  <c r="Q182" i="10"/>
  <c r="Q175" i="10"/>
  <c r="Q183" i="10"/>
  <c r="U183" i="10"/>
  <c r="U182" i="10"/>
  <c r="U175" i="10"/>
  <c r="Y174" i="10"/>
  <c r="Y183" i="10"/>
  <c r="Y182" i="10"/>
  <c r="Y175" i="10"/>
  <c r="AG182" i="10"/>
  <c r="AG175" i="10"/>
  <c r="AG183" i="10"/>
  <c r="AG174" i="10"/>
  <c r="AK183" i="10"/>
  <c r="AK175" i="10"/>
  <c r="AK182" i="10"/>
  <c r="AO174" i="10"/>
  <c r="AO182" i="10"/>
  <c r="AO183" i="10"/>
  <c r="AO175" i="10"/>
  <c r="AS183" i="10"/>
  <c r="AS175" i="10"/>
  <c r="AS182" i="10"/>
  <c r="BA183" i="10"/>
  <c r="BA175" i="10"/>
  <c r="BA182" i="10"/>
  <c r="BE182" i="10"/>
  <c r="BE183" i="10"/>
  <c r="BE175" i="10"/>
  <c r="BI183" i="10"/>
  <c r="BI175" i="10"/>
  <c r="BI182" i="10"/>
  <c r="BM182" i="10"/>
  <c r="BM175" i="10"/>
  <c r="BM183" i="10"/>
  <c r="BU182" i="10"/>
  <c r="BU183" i="10"/>
  <c r="BU175" i="10"/>
  <c r="BY183" i="10"/>
  <c r="BY175" i="10"/>
  <c r="BY182" i="10"/>
  <c r="CC182" i="10"/>
  <c r="CC175" i="10"/>
  <c r="CC183" i="10"/>
  <c r="CC174" i="10"/>
  <c r="CG183" i="10"/>
  <c r="CG175" i="10"/>
  <c r="CG182" i="10"/>
  <c r="X156" i="10"/>
  <c r="BL156" i="10"/>
  <c r="Y160" i="10"/>
  <c r="AC160" i="10"/>
  <c r="AS160" i="10"/>
  <c r="AW160" i="10"/>
  <c r="BW160" i="10"/>
  <c r="CG160" i="10"/>
  <c r="CK160" i="10"/>
  <c r="Q162" i="10"/>
  <c r="AG162" i="10"/>
  <c r="BM162" i="10"/>
  <c r="CC162" i="10"/>
  <c r="N167" i="10"/>
  <c r="S168" i="10" s="1"/>
  <c r="AM167" i="10"/>
  <c r="AN168" i="10" s="1"/>
  <c r="BP167" i="10"/>
  <c r="BP168" i="10" s="1"/>
  <c r="CE167" i="10"/>
  <c r="CE168" i="10" s="1"/>
  <c r="CJ167" i="10"/>
  <c r="J174" i="10"/>
  <c r="V174" i="10"/>
  <c r="AA174" i="10"/>
  <c r="AU174" i="10"/>
  <c r="BA174" i="10"/>
  <c r="BN174" i="10"/>
  <c r="AD160" i="10"/>
  <c r="AH160" i="10"/>
  <c r="AX160" i="10"/>
  <c r="BB160" i="10"/>
  <c r="CL160" i="10"/>
  <c r="M162" i="10"/>
  <c r="AS162" i="10"/>
  <c r="BI162" i="10"/>
  <c r="BY162" i="10"/>
  <c r="S167" i="10"/>
  <c r="X168" i="10" s="1"/>
  <c r="AN167" i="10"/>
  <c r="AO168" i="10" s="1"/>
  <c r="K174" i="10"/>
  <c r="O174" i="10"/>
  <c r="W174" i="10"/>
  <c r="AK174" i="10"/>
  <c r="BO174" i="10"/>
  <c r="P170" i="10"/>
  <c r="K183" i="10"/>
  <c r="K182" i="10"/>
  <c r="K175" i="10"/>
  <c r="O183" i="10"/>
  <c r="O182" i="10"/>
  <c r="O175" i="10"/>
  <c r="W183" i="10"/>
  <c r="W182" i="10"/>
  <c r="W175" i="10"/>
  <c r="AA183" i="10"/>
  <c r="AA182" i="10"/>
  <c r="AA175" i="10"/>
  <c r="AE183" i="10"/>
  <c r="AE182" i="10"/>
  <c r="AE175" i="10"/>
  <c r="AI183" i="10"/>
  <c r="AI182" i="10"/>
  <c r="AI175" i="10"/>
  <c r="AM149" i="10"/>
  <c r="AQ183" i="10"/>
  <c r="AQ182" i="10"/>
  <c r="AQ175" i="10"/>
  <c r="AU183" i="10"/>
  <c r="AU182" i="10"/>
  <c r="AU175" i="10"/>
  <c r="AY183" i="10"/>
  <c r="AY182" i="10"/>
  <c r="AY175" i="10"/>
  <c r="BC183" i="10"/>
  <c r="BC182" i="10"/>
  <c r="BC175" i="10"/>
  <c r="BK183" i="10"/>
  <c r="BK182" i="10"/>
  <c r="BK175" i="10"/>
  <c r="BO183" i="10"/>
  <c r="BO182" i="10"/>
  <c r="BO175" i="10"/>
  <c r="BS183" i="10"/>
  <c r="BS182" i="10"/>
  <c r="BS175" i="10"/>
  <c r="BW183" i="10"/>
  <c r="BW182" i="10"/>
  <c r="BW175" i="10"/>
  <c r="CE183" i="10"/>
  <c r="CE182" i="10"/>
  <c r="CE175" i="10"/>
  <c r="CI183" i="10"/>
  <c r="CI182" i="10"/>
  <c r="CI175" i="10"/>
  <c r="BB156" i="10"/>
  <c r="BR156" i="10"/>
  <c r="BV156" i="10"/>
  <c r="CK156" i="10"/>
  <c r="O160" i="10"/>
  <c r="AI160" i="10"/>
  <c r="BC160" i="10"/>
  <c r="BM160" i="10"/>
  <c r="BQ160" i="10"/>
  <c r="O162" i="10"/>
  <c r="Y162" i="10"/>
  <c r="AE162" i="10"/>
  <c r="AO162" i="10"/>
  <c r="AU162" i="10"/>
  <c r="BE162" i="10"/>
  <c r="BK162" i="10"/>
  <c r="BU162" i="10"/>
  <c r="AP168" i="10"/>
  <c r="AT167" i="10"/>
  <c r="AU168" i="10" s="1"/>
  <c r="AJ168" i="10"/>
  <c r="L174" i="10"/>
  <c r="AD174" i="10"/>
  <c r="AL174" i="10"/>
  <c r="AY174" i="10"/>
  <c r="BC174" i="10"/>
  <c r="BJ169" i="10"/>
  <c r="BZ174" i="10"/>
  <c r="CD174" i="10"/>
  <c r="AT134" i="10"/>
  <c r="AT139" i="10" s="1"/>
  <c r="AT150" i="10" s="1"/>
  <c r="AT152" i="10" s="1"/>
  <c r="BJ134" i="10"/>
  <c r="BJ139" i="10" s="1"/>
  <c r="BJ150" i="10" s="1"/>
  <c r="BJ152" i="10" s="1"/>
  <c r="L183" i="10"/>
  <c r="L182" i="10"/>
  <c r="L175" i="10"/>
  <c r="P183" i="10"/>
  <c r="P175" i="10"/>
  <c r="P182" i="10"/>
  <c r="T183" i="10"/>
  <c r="T175" i="10"/>
  <c r="T182" i="10"/>
  <c r="AB183" i="10"/>
  <c r="AB175" i="10"/>
  <c r="AB182" i="10"/>
  <c r="AF183" i="10"/>
  <c r="AF175" i="10"/>
  <c r="AF182" i="10"/>
  <c r="AJ183" i="10"/>
  <c r="AJ175" i="10"/>
  <c r="AJ182" i="10"/>
  <c r="AN183" i="10"/>
  <c r="AN175" i="10"/>
  <c r="AN182" i="10"/>
  <c r="AV183" i="10"/>
  <c r="AV175" i="10"/>
  <c r="AV182" i="10"/>
  <c r="AZ183" i="10"/>
  <c r="AZ175" i="10"/>
  <c r="AZ182" i="10"/>
  <c r="BD183" i="10"/>
  <c r="BD175" i="10"/>
  <c r="BD182" i="10"/>
  <c r="BH183" i="10"/>
  <c r="BH175" i="10"/>
  <c r="BH182" i="10"/>
  <c r="BP183" i="10"/>
  <c r="BP175" i="10"/>
  <c r="BP182" i="10"/>
  <c r="BT183" i="10"/>
  <c r="BT175" i="10"/>
  <c r="BT182" i="10"/>
  <c r="BX183" i="10"/>
  <c r="BX175" i="10"/>
  <c r="BX182" i="10"/>
  <c r="CB183" i="10"/>
  <c r="CB175" i="10"/>
  <c r="CB182" i="10"/>
  <c r="CJ183" i="10"/>
  <c r="CJ175" i="10"/>
  <c r="CJ182" i="10"/>
  <c r="BW156" i="10"/>
  <c r="K162" i="10"/>
  <c r="P162" i="10"/>
  <c r="U162" i="10"/>
  <c r="AA162" i="10"/>
  <c r="AF162" i="10"/>
  <c r="AK162" i="10"/>
  <c r="AQ162" i="10"/>
  <c r="AV162" i="10"/>
  <c r="BA162" i="10"/>
  <c r="BW162" i="10"/>
  <c r="CB162" i="10"/>
  <c r="CG162" i="10"/>
  <c r="Q174" i="10"/>
  <c r="U174" i="10"/>
  <c r="Z174" i="10"/>
  <c r="AE174" i="10"/>
  <c r="AI174" i="10"/>
  <c r="M174" i="10"/>
  <c r="BK193" i="10"/>
  <c r="BK186" i="5" s="1"/>
  <c r="BK21" i="10" s="1"/>
  <c r="AZ194" i="10"/>
  <c r="BA194" i="10" s="1"/>
  <c r="CJ194" i="10"/>
  <c r="CI194" i="10"/>
  <c r="CF195" i="10"/>
  <c r="P203" i="10"/>
  <c r="AA203" i="10"/>
  <c r="AG199" i="10"/>
  <c r="AV193" i="10"/>
  <c r="AU193" i="10"/>
  <c r="BQ195" i="10"/>
  <c r="AL193" i="10"/>
  <c r="CD193" i="10"/>
  <c r="CD186" i="5" s="1"/>
  <c r="CD21" i="10" s="1"/>
  <c r="AV194" i="10"/>
  <c r="AU194" i="10"/>
  <c r="R203" i="10"/>
  <c r="AD203" i="10"/>
  <c r="AF200" i="10"/>
  <c r="AG200" i="10" s="1"/>
  <c r="BQ200" i="10"/>
  <c r="AB174" i="10"/>
  <c r="AF174" i="10"/>
  <c r="AJ174" i="10"/>
  <c r="AZ174" i="10"/>
  <c r="BD174" i="10"/>
  <c r="CB174" i="10"/>
  <c r="P174" i="10"/>
  <c r="T174" i="10"/>
  <c r="AQ193" i="10"/>
  <c r="AP193" i="10"/>
  <c r="BF193" i="10"/>
  <c r="BF186" i="5" s="1"/>
  <c r="BF21" i="10" s="1"/>
  <c r="O203" i="10"/>
  <c r="Z203" i="10"/>
  <c r="AF203" i="10"/>
  <c r="BT203" i="10"/>
  <c r="BV198" i="10"/>
  <c r="BB259" i="10"/>
  <c r="BB260" i="10" s="1"/>
  <c r="BB264" i="10"/>
  <c r="BB265" i="10" s="1"/>
  <c r="BJ193" i="10"/>
  <c r="BJ186" i="5" s="1"/>
  <c r="BJ21" i="10" s="1"/>
  <c r="BN193" i="10"/>
  <c r="CH193" i="10"/>
  <c r="R193" i="10"/>
  <c r="R21" i="10" s="1"/>
  <c r="R95" i="10" s="1"/>
  <c r="BO194" i="10"/>
  <c r="BP194" i="10" s="1"/>
  <c r="BQ194" i="10" s="1"/>
  <c r="BS194" i="10"/>
  <c r="CE194" i="10"/>
  <c r="AV195" i="10"/>
  <c r="AV69" i="10" s="1"/>
  <c r="BP195" i="10"/>
  <c r="BU195" i="10"/>
  <c r="BU69" i="10" s="1"/>
  <c r="BZ195" i="10"/>
  <c r="CA195" i="10" s="1"/>
  <c r="CE195" i="10"/>
  <c r="CE69" i="10" s="1"/>
  <c r="CJ195" i="10"/>
  <c r="CJ69" i="10" s="1"/>
  <c r="Q203" i="10"/>
  <c r="AG198" i="10"/>
  <c r="AV198" i="10"/>
  <c r="AZ198" i="10"/>
  <c r="BA199" i="10"/>
  <c r="BF200" i="10"/>
  <c r="BP199" i="10"/>
  <c r="BQ199" i="10" s="1"/>
  <c r="BP200" i="10"/>
  <c r="BU198" i="10"/>
  <c r="BU199" i="10"/>
  <c r="BV199" i="10" s="1"/>
  <c r="BU200" i="10"/>
  <c r="BV200" i="10" s="1"/>
  <c r="BZ199" i="10"/>
  <c r="CA199" i="10" s="1"/>
  <c r="BZ200" i="10"/>
  <c r="CA200" i="10" s="1"/>
  <c r="CE199" i="10"/>
  <c r="CF199" i="10" s="1"/>
  <c r="CE200" i="10"/>
  <c r="CF200" i="10" s="1"/>
  <c r="CJ198" i="10"/>
  <c r="CJ199" i="10"/>
  <c r="CK199" i="10" s="1"/>
  <c r="CJ200" i="10"/>
  <c r="CK200" i="10" s="1"/>
  <c r="M198" i="10"/>
  <c r="M203" i="10" s="1"/>
  <c r="M201" i="10"/>
  <c r="AG201" i="10"/>
  <c r="AV201" i="10"/>
  <c r="BF201" i="10"/>
  <c r="BU201" i="10"/>
  <c r="AI203" i="10"/>
  <c r="BG203" i="10"/>
  <c r="BB204" i="10"/>
  <c r="BV204" i="10"/>
  <c r="CA204" i="10"/>
  <c r="R204" i="10"/>
  <c r="CF210" i="10"/>
  <c r="AM259" i="10"/>
  <c r="AM260" i="10" s="1"/>
  <c r="AM264" i="10"/>
  <c r="AM265" i="10" s="1"/>
  <c r="BG259" i="10"/>
  <c r="BG260" i="10" s="1"/>
  <c r="BG264" i="10"/>
  <c r="BG265" i="10" s="1"/>
  <c r="CF194" i="10"/>
  <c r="AJ203" i="10"/>
  <c r="AN203" i="10"/>
  <c r="AO201" i="10"/>
  <c r="AP201" i="10" s="1"/>
  <c r="BH203" i="10"/>
  <c r="BM203" i="10"/>
  <c r="BN201" i="10"/>
  <c r="BN203" i="10" s="1"/>
  <c r="BV201" i="10"/>
  <c r="BZ201" i="10"/>
  <c r="CG203" i="10"/>
  <c r="CH201" i="10"/>
  <c r="CI201" i="10" s="1"/>
  <c r="CI203" i="10" s="1"/>
  <c r="AT203" i="10"/>
  <c r="BB203" i="10"/>
  <c r="CH203" i="10"/>
  <c r="AP212" i="10"/>
  <c r="AQ212" i="10" s="1"/>
  <c r="AR259" i="10"/>
  <c r="AR260" i="10" s="1"/>
  <c r="AR264" i="10"/>
  <c r="AR265" i="10" s="1"/>
  <c r="AZ193" i="10"/>
  <c r="BL259" i="10"/>
  <c r="BL260" i="10" s="1"/>
  <c r="BL264" i="10"/>
  <c r="BL265" i="10" s="1"/>
  <c r="BT193" i="10"/>
  <c r="BT186" i="5" s="1"/>
  <c r="BT21" i="10" s="1"/>
  <c r="BX193" i="10"/>
  <c r="BX186" i="5" s="1"/>
  <c r="BX21" i="10" s="1"/>
  <c r="V193" i="10"/>
  <c r="W193" i="10" s="1"/>
  <c r="BE194" i="10"/>
  <c r="BF194" i="10" s="1"/>
  <c r="BI194" i="10"/>
  <c r="BY194" i="10"/>
  <c r="BZ194" i="10" s="1"/>
  <c r="CK194" i="10"/>
  <c r="V195" i="10"/>
  <c r="V69" i="10" s="1"/>
  <c r="Z195" i="10"/>
  <c r="Z69" i="10" s="1"/>
  <c r="AZ195" i="10"/>
  <c r="AZ69" i="10" s="1"/>
  <c r="AK198" i="10"/>
  <c r="AP198" i="10"/>
  <c r="AP203" i="10" s="1"/>
  <c r="AU199" i="10"/>
  <c r="AU203" i="10" s="1"/>
  <c r="AZ200" i="10"/>
  <c r="BA200" i="10" s="1"/>
  <c r="BF198" i="10"/>
  <c r="BJ198" i="10"/>
  <c r="BX203" i="10"/>
  <c r="BD201" i="10"/>
  <c r="BE201" i="10" s="1"/>
  <c r="BE203" i="10" s="1"/>
  <c r="BI201" i="10"/>
  <c r="BI203" i="10" s="1"/>
  <c r="BO201" i="10"/>
  <c r="BP201" i="10" s="1"/>
  <c r="BX201" i="10"/>
  <c r="CA201" i="10" s="1"/>
  <c r="CC201" i="10"/>
  <c r="CD201" i="10" s="1"/>
  <c r="AE203" i="10"/>
  <c r="BS203" i="10"/>
  <c r="BG204" i="10"/>
  <c r="CU204" i="10"/>
  <c r="AB209" i="10"/>
  <c r="AW259" i="10"/>
  <c r="AW260" i="10" s="1"/>
  <c r="AW264" i="10"/>
  <c r="AW265" i="10" s="1"/>
  <c r="BO198" i="10"/>
  <c r="BY198" i="10"/>
  <c r="CD198" i="10"/>
  <c r="AQ201" i="10"/>
  <c r="AY201" i="10"/>
  <c r="AZ201" i="10" s="1"/>
  <c r="BY201" i="10"/>
  <c r="CE201" i="10"/>
  <c r="CJ201" i="10"/>
  <c r="BE214" i="10"/>
  <c r="BQ221" i="10"/>
  <c r="AQ204" i="10"/>
  <c r="V209" i="10"/>
  <c r="W210" i="10"/>
  <c r="AG209" i="10"/>
  <c r="AK210" i="10"/>
  <c r="AL210" i="10" s="1"/>
  <c r="BA209" i="10"/>
  <c r="BO209" i="10"/>
  <c r="BU209" i="10"/>
  <c r="BV209" i="10" s="1"/>
  <c r="BU210" i="10"/>
  <c r="BV210" i="10" s="1"/>
  <c r="K48" i="247" s="1"/>
  <c r="BU211" i="10"/>
  <c r="BV211" i="10" s="1"/>
  <c r="BZ209" i="10"/>
  <c r="CA209" i="10" s="1"/>
  <c r="BZ210" i="10"/>
  <c r="CA210" i="10" s="1"/>
  <c r="L48" i="247" s="1"/>
  <c r="BZ211" i="10"/>
  <c r="CA211" i="10" s="1"/>
  <c r="CE210" i="10"/>
  <c r="CE211" i="10"/>
  <c r="CF211" i="10" s="1"/>
  <c r="CJ209" i="10"/>
  <c r="CJ210" i="10"/>
  <c r="CK210" i="10" s="1"/>
  <c r="N48" i="247" s="1"/>
  <c r="CJ211" i="10"/>
  <c r="CK211" i="10" s="1"/>
  <c r="AQ211" i="10"/>
  <c r="AG212" i="10"/>
  <c r="AY212" i="10"/>
  <c r="BS212" i="10"/>
  <c r="CE212" i="10"/>
  <c r="CP209" i="10"/>
  <c r="CP214" i="10" s="1"/>
  <c r="CU209" i="10"/>
  <c r="CU214" i="10" s="1"/>
  <c r="CZ209" i="10"/>
  <c r="CZ214" i="10" s="1"/>
  <c r="Z214" i="10"/>
  <c r="AD214" i="10"/>
  <c r="AT214" i="10"/>
  <c r="BR214" i="10"/>
  <c r="CL214" i="10"/>
  <c r="L217" i="10"/>
  <c r="AH228" i="10"/>
  <c r="AT228" i="10"/>
  <c r="AV219" i="10"/>
  <c r="BI217" i="10"/>
  <c r="BO217" i="10"/>
  <c r="BO228" i="10" s="1"/>
  <c r="BU218" i="10"/>
  <c r="BV218" i="10" s="1"/>
  <c r="CD218" i="10"/>
  <c r="CH228" i="10"/>
  <c r="BF220" i="10"/>
  <c r="BQ220" i="10"/>
  <c r="BP221" i="10"/>
  <c r="CI220" i="10"/>
  <c r="CJ220" i="10" s="1"/>
  <c r="CK220" i="10" s="1"/>
  <c r="N54" i="247" s="1"/>
  <c r="CA222" i="10"/>
  <c r="AP225" i="10"/>
  <c r="AQ225" i="10"/>
  <c r="AZ224" i="10"/>
  <c r="BA224" i="10" s="1"/>
  <c r="BJ224" i="10"/>
  <c r="BK224" i="10"/>
  <c r="BQ224" i="10"/>
  <c r="CA224" i="10"/>
  <c r="CK224" i="10"/>
  <c r="L209" i="10"/>
  <c r="BF209" i="10"/>
  <c r="R209" i="10"/>
  <c r="R214" i="10" s="1"/>
  <c r="CF212" i="10"/>
  <c r="AE214" i="10"/>
  <c r="AI214" i="10"/>
  <c r="BS214" i="10"/>
  <c r="BZ218" i="10"/>
  <c r="BS228" i="10"/>
  <c r="AV217" i="10"/>
  <c r="BK225" i="10"/>
  <c r="W224" i="10"/>
  <c r="W157" i="10" s="1"/>
  <c r="BP226" i="10"/>
  <c r="AE228" i="10"/>
  <c r="AA209" i="10"/>
  <c r="AF210" i="10"/>
  <c r="AG210" i="10" s="1"/>
  <c r="AL209" i="10"/>
  <c r="AU209" i="10"/>
  <c r="AZ210" i="10"/>
  <c r="BJ210" i="10"/>
  <c r="BK210" i="10" s="1"/>
  <c r="AO210" i="10"/>
  <c r="AP210" i="10" s="1"/>
  <c r="AZ211" i="10"/>
  <c r="BA211" i="10" s="1"/>
  <c r="BE211" i="10"/>
  <c r="BF211" i="10" s="1"/>
  <c r="BP211" i="10"/>
  <c r="BQ211" i="10" s="1"/>
  <c r="AA212" i="10"/>
  <c r="AB212" i="10" s="1"/>
  <c r="AJ212" i="10"/>
  <c r="AJ214" i="10" s="1"/>
  <c r="BE212" i="10"/>
  <c r="BF212" i="10" s="1"/>
  <c r="BI212" i="10"/>
  <c r="BI214" i="10" s="1"/>
  <c r="BY212" i="10"/>
  <c r="BY214" i="10" s="1"/>
  <c r="CC212" i="10"/>
  <c r="CD212" i="10" s="1"/>
  <c r="BD214" i="10"/>
  <c r="BX214" i="10"/>
  <c r="AF217" i="10"/>
  <c r="AK217" i="10"/>
  <c r="AK228" i="10" s="1"/>
  <c r="AY217" i="10"/>
  <c r="V218" i="10"/>
  <c r="V228" i="10" s="1"/>
  <c r="AF218" i="10"/>
  <c r="AG218" i="10" s="1"/>
  <c r="AZ218" i="10"/>
  <c r="BA218" i="10" s="1"/>
  <c r="BY218" i="10"/>
  <c r="CD220" i="10"/>
  <c r="CE220" i="10" s="1"/>
  <c r="BJ220" i="10"/>
  <c r="BK220" i="10" s="1"/>
  <c r="BT220" i="10"/>
  <c r="BV220" i="10" s="1"/>
  <c r="K54" i="247" s="1"/>
  <c r="BZ220" i="10"/>
  <c r="CA220" i="10" s="1"/>
  <c r="L54" i="247" s="1"/>
  <c r="CU221" i="10"/>
  <c r="CZ222" i="10"/>
  <c r="AL217" i="10"/>
  <c r="AL228" i="10" s="1"/>
  <c r="AZ220" i="10"/>
  <c r="BA220" i="10" s="1"/>
  <c r="AV218" i="10"/>
  <c r="BV222" i="10"/>
  <c r="AU224" i="10"/>
  <c r="AV224" i="10" s="1"/>
  <c r="AZ225" i="10"/>
  <c r="BA225" i="10" s="1"/>
  <c r="BJ225" i="10"/>
  <c r="BU225" i="10"/>
  <c r="BV225" i="10" s="1"/>
  <c r="CF224" i="10"/>
  <c r="CE225" i="10"/>
  <c r="CF225" i="10" s="1"/>
  <c r="BO226" i="10"/>
  <c r="BQ226" i="10" s="1"/>
  <c r="BX226" i="10"/>
  <c r="BX228" i="10" s="1"/>
  <c r="BW228" i="10"/>
  <c r="CI226" i="10"/>
  <c r="CJ226" i="10" s="1"/>
  <c r="CK226" i="10" s="1"/>
  <c r="AP209" i="10"/>
  <c r="BJ209" i="10"/>
  <c r="CD209" i="10"/>
  <c r="CE209" i="10" s="1"/>
  <c r="BN212" i="10"/>
  <c r="BN214" i="10" s="1"/>
  <c r="CH212" i="10"/>
  <c r="AR228" i="10"/>
  <c r="AU220" i="10"/>
  <c r="AV220" i="10" s="1"/>
  <c r="BD217" i="10"/>
  <c r="BN217" i="10"/>
  <c r="Q218" i="10"/>
  <c r="R218" i="10" s="1"/>
  <c r="W218" i="10"/>
  <c r="W228" i="10" s="1"/>
  <c r="AA218" i="10"/>
  <c r="AO217" i="10"/>
  <c r="CD219" i="10"/>
  <c r="CI228" i="10"/>
  <c r="BU220" i="10"/>
  <c r="CP222" i="10"/>
  <c r="CJ218" i="10"/>
  <c r="CK218" i="10" s="1"/>
  <c r="Q224" i="10"/>
  <c r="Q157" i="10" s="1"/>
  <c r="AA224" i="10"/>
  <c r="AA157" i="10" s="1"/>
  <c r="AB157" i="10" s="1"/>
  <c r="BQ225" i="10"/>
  <c r="BU224" i="10"/>
  <c r="BV224" i="10" s="1"/>
  <c r="CA225" i="10"/>
  <c r="CE224" i="10"/>
  <c r="CK225" i="10"/>
  <c r="CN225" i="10"/>
  <c r="CV225" i="10"/>
  <c r="BR228" i="10"/>
  <c r="BT226" i="10"/>
  <c r="BT228" i="10" s="1"/>
  <c r="CL228" i="10"/>
  <c r="CP226" i="10"/>
  <c r="Z226" i="10"/>
  <c r="AE226" i="10"/>
  <c r="CC226" i="10"/>
  <c r="CB228" i="10"/>
  <c r="BF230" i="10"/>
  <c r="CF230" i="10"/>
  <c r="BJ230" i="10"/>
  <c r="BK230" i="10" s="1"/>
  <c r="BY230" i="10"/>
  <c r="BQ230" i="10"/>
  <c r="BT230" i="10"/>
  <c r="BU230" i="10" s="1"/>
  <c r="BZ230" i="10"/>
  <c r="CA230" i="10" s="1"/>
  <c r="CK230" i="10"/>
  <c r="AY247" i="10"/>
  <c r="BC247" i="10"/>
  <c r="BD247" i="10"/>
  <c r="CN243" i="10"/>
  <c r="CR243" i="10"/>
  <c r="CQ243" i="10"/>
  <c r="AC141" i="5"/>
  <c r="AC142" i="5"/>
  <c r="AW141" i="5"/>
  <c r="AW142" i="5"/>
  <c r="BG141" i="5"/>
  <c r="BG142" i="5"/>
  <c r="BQ141" i="5"/>
  <c r="BQ142" i="5"/>
  <c r="CA141" i="5"/>
  <c r="CA142" i="5"/>
  <c r="CU85" i="5"/>
  <c r="CZ85" i="5"/>
  <c r="AK141" i="5"/>
  <c r="AK142" i="5"/>
  <c r="AX141" i="5"/>
  <c r="AX146" i="5" s="1"/>
  <c r="AX142" i="5"/>
  <c r="BR141" i="5"/>
  <c r="BR142" i="5"/>
  <c r="BS136" i="5"/>
  <c r="BS135" i="5" s="1"/>
  <c r="AD142" i="5"/>
  <c r="AD141" i="5"/>
  <c r="CC141" i="5"/>
  <c r="CD136" i="5"/>
  <c r="CD135" i="5" s="1"/>
  <c r="CC142" i="5"/>
  <c r="CM142" i="5"/>
  <c r="CM144" i="5" s="1"/>
  <c r="CM141" i="5"/>
  <c r="T142" i="5"/>
  <c r="T141" i="5"/>
  <c r="X6" i="5"/>
  <c r="AB142" i="5"/>
  <c r="AB141" i="5"/>
  <c r="AF142" i="5"/>
  <c r="AF141" i="5"/>
  <c r="AJ142" i="5"/>
  <c r="AJ141" i="5"/>
  <c r="AN142" i="5"/>
  <c r="AN141" i="5"/>
  <c r="AR6" i="5"/>
  <c r="AV142" i="5"/>
  <c r="AV146" i="5" s="1"/>
  <c r="AV141" i="5"/>
  <c r="BA141" i="5"/>
  <c r="BA142" i="5"/>
  <c r="BF141" i="5"/>
  <c r="BF142" i="5"/>
  <c r="BK141" i="5"/>
  <c r="BK142" i="5"/>
  <c r="BM136" i="5"/>
  <c r="BP142" i="5"/>
  <c r="BP146" i="5" s="1"/>
  <c r="BP141" i="5"/>
  <c r="BR136" i="5"/>
  <c r="BU141" i="5"/>
  <c r="BU146" i="5" s="1"/>
  <c r="BU142" i="5"/>
  <c r="BW136" i="5"/>
  <c r="BZ142" i="5"/>
  <c r="BZ141" i="5"/>
  <c r="CB136" i="5"/>
  <c r="CE142" i="5"/>
  <c r="CG136" i="5"/>
  <c r="CE141" i="5"/>
  <c r="CJ141" i="5"/>
  <c r="CJ142" i="5"/>
  <c r="CJ144" i="5" s="1"/>
  <c r="CO141" i="5"/>
  <c r="CO142" i="5"/>
  <c r="CO144" i="5" s="1"/>
  <c r="CS141" i="5"/>
  <c r="CS142" i="5"/>
  <c r="CS144" i="5" s="1"/>
  <c r="CW142" i="5"/>
  <c r="CW144" i="5" s="1"/>
  <c r="CW141" i="5"/>
  <c r="AH8" i="5"/>
  <c r="AH143" i="5" s="1"/>
  <c r="BB8" i="5"/>
  <c r="BB143" i="5" s="1"/>
  <c r="BG8" i="5"/>
  <c r="BG143" i="5" s="1"/>
  <c r="CA8" i="5"/>
  <c r="CA143" i="5" s="1"/>
  <c r="CU8" i="5"/>
  <c r="CU143" i="5" s="1"/>
  <c r="CK9" i="5"/>
  <c r="BS10" i="5"/>
  <c r="X54" i="4" s="1"/>
  <c r="BW10" i="5"/>
  <c r="X57" i="4" s="1"/>
  <c r="CE10" i="5"/>
  <c r="X64" i="4" s="1"/>
  <c r="X11" i="5"/>
  <c r="X140" i="5" s="1"/>
  <c r="AF146" i="5"/>
  <c r="AN146" i="5"/>
  <c r="AR11" i="5"/>
  <c r="AR140" i="5" s="1"/>
  <c r="BL11" i="5"/>
  <c r="BL140" i="5" s="1"/>
  <c r="CF11" i="5"/>
  <c r="CF140" i="5" s="1"/>
  <c r="CJ146" i="5"/>
  <c r="CZ11" i="5"/>
  <c r="CZ140" i="5" s="1"/>
  <c r="AR12" i="5"/>
  <c r="CZ12" i="5"/>
  <c r="Y80" i="5"/>
  <c r="Y74" i="5"/>
  <c r="AF17" i="4" s="1"/>
  <c r="AC72" i="5"/>
  <c r="AC13" i="5"/>
  <c r="AG80" i="5"/>
  <c r="AG74" i="5"/>
  <c r="AF24" i="4" s="1"/>
  <c r="BE80" i="5"/>
  <c r="BE74" i="5"/>
  <c r="AF43" i="4" s="1"/>
  <c r="BO85" i="5"/>
  <c r="CT70" i="5"/>
  <c r="CY37" i="5"/>
  <c r="CB142" i="5"/>
  <c r="CB146" i="5" s="1"/>
  <c r="CB141" i="5"/>
  <c r="CC136" i="5"/>
  <c r="CC135" i="5" s="1"/>
  <c r="CG142" i="5"/>
  <c r="CG144" i="5" s="1"/>
  <c r="CG141" i="5"/>
  <c r="CH136" i="5"/>
  <c r="CH135" i="5" s="1"/>
  <c r="CL142" i="5"/>
  <c r="CL144" i="5" s="1"/>
  <c r="CL141" i="5"/>
  <c r="CM136" i="5"/>
  <c r="CM134" i="5" s="1"/>
  <c r="CP6" i="5"/>
  <c r="CT141" i="5"/>
  <c r="CT142" i="5"/>
  <c r="CT144" i="5" s="1"/>
  <c r="CX141" i="5"/>
  <c r="CX142" i="5"/>
  <c r="CX144" i="5" s="1"/>
  <c r="CK6" i="5"/>
  <c r="AM8" i="5"/>
  <c r="AM143" i="5" s="1"/>
  <c r="BL8" i="5"/>
  <c r="BL143" i="5" s="1"/>
  <c r="CF8" i="5"/>
  <c r="CF143" i="5" s="1"/>
  <c r="CZ8" i="5"/>
  <c r="CZ143" i="5" s="1"/>
  <c r="BV9" i="5"/>
  <c r="CP9" i="5"/>
  <c r="BT10" i="5"/>
  <c r="X55" i="4" s="1"/>
  <c r="Y55" i="4" s="1"/>
  <c r="BX10" i="5"/>
  <c r="X58" i="4" s="1"/>
  <c r="CB10" i="5"/>
  <c r="X61" i="4" s="1"/>
  <c r="AC11" i="5"/>
  <c r="AC140" i="5" s="1"/>
  <c r="AW11" i="5"/>
  <c r="AW140" i="5" s="1"/>
  <c r="BA146" i="5"/>
  <c r="BQ11" i="5"/>
  <c r="BQ140" i="5" s="1"/>
  <c r="CC146" i="5"/>
  <c r="CG146" i="5"/>
  <c r="CK11" i="5"/>
  <c r="CK140" i="5" s="1"/>
  <c r="X12" i="5"/>
  <c r="U80" i="5"/>
  <c r="U74" i="5"/>
  <c r="AF14" i="4" s="1"/>
  <c r="AG15" i="4" s="1"/>
  <c r="AS80" i="5"/>
  <c r="AS74" i="5"/>
  <c r="AF33" i="4" s="1"/>
  <c r="AW72" i="5"/>
  <c r="AW13" i="5"/>
  <c r="BA80" i="5"/>
  <c r="BA74" i="5"/>
  <c r="AF40" i="4" s="1"/>
  <c r="BK95" i="5"/>
  <c r="BK48" i="5"/>
  <c r="BK47" i="5"/>
  <c r="BK43" i="5"/>
  <c r="BK46" i="5"/>
  <c r="BK22" i="5"/>
  <c r="CB47" i="5"/>
  <c r="CB46" i="5"/>
  <c r="CB61" i="5"/>
  <c r="CB48" i="5"/>
  <c r="CB22" i="5"/>
  <c r="CB45" i="5"/>
  <c r="CB43" i="5"/>
  <c r="CI68" i="5"/>
  <c r="CI28" i="5"/>
  <c r="CN34" i="5"/>
  <c r="CN10" i="5" s="1"/>
  <c r="X71" i="4" s="1"/>
  <c r="CI38" i="5"/>
  <c r="CI22" i="5" s="1"/>
  <c r="CR85" i="5"/>
  <c r="CQ35" i="5"/>
  <c r="U141" i="5"/>
  <c r="U142" i="5"/>
  <c r="AO141" i="5"/>
  <c r="AO146" i="5" s="1"/>
  <c r="AO142" i="5"/>
  <c r="BM141" i="5"/>
  <c r="BN136" i="5"/>
  <c r="BN135" i="5" s="1"/>
  <c r="BM142" i="5"/>
  <c r="BX142" i="5"/>
  <c r="BY136" i="5"/>
  <c r="BY135" i="5" s="1"/>
  <c r="BX141" i="5"/>
  <c r="BX146" i="5" s="1"/>
  <c r="CQ142" i="5"/>
  <c r="CQ144" i="5" s="1"/>
  <c r="CQ141" i="5"/>
  <c r="CU6" i="5"/>
  <c r="AR8" i="5"/>
  <c r="AR143" i="5" s="1"/>
  <c r="BQ8" i="5"/>
  <c r="BQ143" i="5" s="1"/>
  <c r="CK8" i="5"/>
  <c r="CK143" i="5" s="1"/>
  <c r="CA9" i="5"/>
  <c r="BU10" i="5"/>
  <c r="X56" i="4" s="1"/>
  <c r="Y56" i="4" s="1"/>
  <c r="BY10" i="5"/>
  <c r="X59" i="4" s="1"/>
  <c r="Y59" i="4" s="1"/>
  <c r="CC10" i="5"/>
  <c r="X62" i="4" s="1"/>
  <c r="CG10" i="5"/>
  <c r="X65" i="4" s="1"/>
  <c r="AD146" i="5"/>
  <c r="AH11" i="5"/>
  <c r="AH140" i="5" s="1"/>
  <c r="BB11" i="5"/>
  <c r="BB140" i="5" s="1"/>
  <c r="BF146" i="5"/>
  <c r="BR146" i="5"/>
  <c r="BV11" i="5"/>
  <c r="BV140" i="5" s="1"/>
  <c r="CL146" i="5"/>
  <c r="CP11" i="5"/>
  <c r="CP140" i="5" s="1"/>
  <c r="AO80" i="5"/>
  <c r="AO74" i="5"/>
  <c r="AF30" i="4" s="1"/>
  <c r="BJ85" i="5"/>
  <c r="BI35" i="5"/>
  <c r="BJ34" i="5"/>
  <c r="BJ10" i="5" s="1"/>
  <c r="X47" i="4" s="1"/>
  <c r="CP70" i="5"/>
  <c r="CP30" i="5"/>
  <c r="Y141" i="5"/>
  <c r="Y142" i="5"/>
  <c r="AG141" i="5"/>
  <c r="AG142" i="5"/>
  <c r="AS141" i="5"/>
  <c r="AS142" i="5"/>
  <c r="BC142" i="5"/>
  <c r="BC141" i="5"/>
  <c r="BH142" i="5"/>
  <c r="BH141" i="5"/>
  <c r="BH146" i="5" s="1"/>
  <c r="BW141" i="5"/>
  <c r="BX136" i="5"/>
  <c r="BX135" i="5" s="1"/>
  <c r="BW142" i="5"/>
  <c r="V141" i="5"/>
  <c r="V146" i="5" s="1"/>
  <c r="V142" i="5"/>
  <c r="Z142" i="5"/>
  <c r="Z146" i="5" s="1"/>
  <c r="Z141" i="5"/>
  <c r="AH6" i="5"/>
  <c r="AL141" i="5"/>
  <c r="AL146" i="5" s="1"/>
  <c r="AL142" i="5"/>
  <c r="AP141" i="5"/>
  <c r="AP142" i="5"/>
  <c r="AP146" i="5" s="1"/>
  <c r="AT142" i="5"/>
  <c r="AT141" i="5"/>
  <c r="AT146" i="5" s="1"/>
  <c r="AY142" i="5"/>
  <c r="AY141" i="5"/>
  <c r="AY146" i="5" s="1"/>
  <c r="BD142" i="5"/>
  <c r="BD141" i="5"/>
  <c r="BD146" i="5" s="1"/>
  <c r="BI141" i="5"/>
  <c r="BI142" i="5"/>
  <c r="BI146" i="5" s="1"/>
  <c r="BO136" i="5"/>
  <c r="BO135" i="5" s="1"/>
  <c r="BN142" i="5"/>
  <c r="BN141" i="5"/>
  <c r="BS141" i="5"/>
  <c r="BS146" i="5" s="1"/>
  <c r="BT136" i="5"/>
  <c r="BT135" i="5" s="1"/>
  <c r="BS142" i="5"/>
  <c r="CH141" i="5"/>
  <c r="CH142" i="5"/>
  <c r="CH144" i="5" s="1"/>
  <c r="CI136" i="5"/>
  <c r="CI135" i="5" s="1"/>
  <c r="CY142" i="5"/>
  <c r="CY144" i="5" s="1"/>
  <c r="CY141" i="5"/>
  <c r="W141" i="5"/>
  <c r="W142" i="5"/>
  <c r="AA141" i="5"/>
  <c r="AA146" i="5" s="1"/>
  <c r="AA142" i="5"/>
  <c r="AE142" i="5"/>
  <c r="AE146" i="5" s="1"/>
  <c r="AE141" i="5"/>
  <c r="AI142" i="5"/>
  <c r="AI146" i="5" s="1"/>
  <c r="AI141" i="5"/>
  <c r="AM6" i="5"/>
  <c r="AQ141" i="5"/>
  <c r="AQ142" i="5"/>
  <c r="AQ146" i="5" s="1"/>
  <c r="AU141" i="5"/>
  <c r="AU142" i="5"/>
  <c r="AZ142" i="5"/>
  <c r="AZ141" i="5"/>
  <c r="AZ146" i="5" s="1"/>
  <c r="BE141" i="5"/>
  <c r="BE142" i="5"/>
  <c r="BJ142" i="5"/>
  <c r="BJ141" i="5"/>
  <c r="BJ146" i="5" s="1"/>
  <c r="BO142" i="5"/>
  <c r="BO141" i="5"/>
  <c r="BP136" i="5"/>
  <c r="BP135" i="5" s="1"/>
  <c r="BT142" i="5"/>
  <c r="BT141" i="5"/>
  <c r="BU136" i="5"/>
  <c r="BU135" i="5" s="1"/>
  <c r="BY141" i="5"/>
  <c r="BY146" i="5" s="1"/>
  <c r="BZ136" i="5"/>
  <c r="BZ135" i="5" s="1"/>
  <c r="BY142" i="5"/>
  <c r="CD141" i="5"/>
  <c r="CE136" i="5"/>
  <c r="CE135" i="5" s="1"/>
  <c r="CD142" i="5"/>
  <c r="CI142" i="5"/>
  <c r="CI144" i="5" s="1"/>
  <c r="CI141" i="5"/>
  <c r="CI146" i="5" s="1"/>
  <c r="CJ136" i="5"/>
  <c r="CJ135" i="5" s="1"/>
  <c r="CN141" i="5"/>
  <c r="CN142" i="5"/>
  <c r="CN144" i="5" s="1"/>
  <c r="CR142" i="5"/>
  <c r="CR144" i="5" s="1"/>
  <c r="CR141" i="5"/>
  <c r="CV141" i="5"/>
  <c r="CV142" i="5"/>
  <c r="CV144" i="5" s="1"/>
  <c r="CZ6" i="5"/>
  <c r="BB6" i="5"/>
  <c r="BL6" i="5"/>
  <c r="BV6" i="5"/>
  <c r="CF6" i="5"/>
  <c r="AC8" i="5"/>
  <c r="AC143" i="5" s="1"/>
  <c r="AW8" i="5"/>
  <c r="AW143" i="5" s="1"/>
  <c r="BV8" i="5"/>
  <c r="BV143" i="5" s="1"/>
  <c r="CP8" i="5"/>
  <c r="CP143" i="5" s="1"/>
  <c r="CF9" i="5"/>
  <c r="CF85" i="5" s="1"/>
  <c r="BR10" i="5"/>
  <c r="X53" i="4" s="1"/>
  <c r="BZ10" i="5"/>
  <c r="X60" i="4" s="1"/>
  <c r="CD10" i="5"/>
  <c r="X63" i="4" s="1"/>
  <c r="Y63" i="4" s="1"/>
  <c r="CH10" i="5"/>
  <c r="X66" i="4" s="1"/>
  <c r="Y66" i="4" s="1"/>
  <c r="CL10" i="5"/>
  <c r="X69" i="4" s="1"/>
  <c r="Y69" i="4" s="1"/>
  <c r="W146" i="5"/>
  <c r="AM11" i="5"/>
  <c r="AM140" i="5" s="1"/>
  <c r="BG11" i="5"/>
  <c r="BG140" i="5" s="1"/>
  <c r="BG146" i="5" s="1"/>
  <c r="BK146" i="5"/>
  <c r="CA11" i="5"/>
  <c r="CA140" i="5" s="1"/>
  <c r="CE146" i="5"/>
  <c r="CM146" i="5"/>
  <c r="CU11" i="5"/>
  <c r="CU140" i="5" s="1"/>
  <c r="BL12" i="5"/>
  <c r="AK80" i="5"/>
  <c r="AK74" i="5"/>
  <c r="AF27" i="4" s="1"/>
  <c r="CM85" i="5"/>
  <c r="CW85" i="5"/>
  <c r="CV35" i="5"/>
  <c r="X72" i="5"/>
  <c r="X74" i="5" s="1"/>
  <c r="T80" i="5"/>
  <c r="T74" i="5"/>
  <c r="AF13" i="4" s="1"/>
  <c r="X13" i="5"/>
  <c r="AB80" i="5"/>
  <c r="AB74" i="5"/>
  <c r="AF20" i="4" s="1"/>
  <c r="AF80" i="5"/>
  <c r="AF74" i="5"/>
  <c r="AF23" i="4" s="1"/>
  <c r="AJ80" i="5"/>
  <c r="AJ74" i="5"/>
  <c r="AF26" i="4" s="1"/>
  <c r="AR72" i="5"/>
  <c r="AR74" i="5" s="1"/>
  <c r="AN80" i="5"/>
  <c r="AN74" i="5"/>
  <c r="AF29" i="4" s="1"/>
  <c r="AR13" i="5"/>
  <c r="AV80" i="5"/>
  <c r="AV74" i="5"/>
  <c r="AF36" i="4" s="1"/>
  <c r="AZ80" i="5"/>
  <c r="AZ74" i="5"/>
  <c r="AF39" i="4" s="1"/>
  <c r="BD80" i="5"/>
  <c r="BD74" i="5"/>
  <c r="AF42" i="4" s="1"/>
  <c r="BL72" i="5"/>
  <c r="BH80" i="5"/>
  <c r="BH74" i="5"/>
  <c r="AF45" i="4" s="1"/>
  <c r="BL13" i="5"/>
  <c r="BP80" i="5"/>
  <c r="BP74" i="5"/>
  <c r="AF52" i="4" s="1"/>
  <c r="BT80" i="5"/>
  <c r="BT74" i="5"/>
  <c r="AF55" i="4" s="1"/>
  <c r="AK55" i="4" s="1"/>
  <c r="BX80" i="5"/>
  <c r="BX74" i="5"/>
  <c r="AF58" i="4" s="1"/>
  <c r="CF72" i="5"/>
  <c r="CF74" i="5" s="1"/>
  <c r="CB80" i="5"/>
  <c r="CB74" i="5"/>
  <c r="AF61" i="4" s="1"/>
  <c r="AK61" i="4" s="1"/>
  <c r="CF13" i="5"/>
  <c r="CJ80" i="5"/>
  <c r="CJ74" i="5"/>
  <c r="AF68" i="4" s="1"/>
  <c r="AK68" i="4" s="1"/>
  <c r="CZ72" i="5"/>
  <c r="CZ74" i="5" s="1"/>
  <c r="CV74" i="5"/>
  <c r="AF77" i="4" s="1"/>
  <c r="CZ13" i="5"/>
  <c r="AM73" i="5"/>
  <c r="AM14" i="5"/>
  <c r="BG73" i="5"/>
  <c r="BG14" i="5"/>
  <c r="CA73" i="5"/>
  <c r="CA14" i="5"/>
  <c r="CU73" i="5"/>
  <c r="CU14" i="5"/>
  <c r="P23" i="5"/>
  <c r="T23" i="5"/>
  <c r="AB23" i="5"/>
  <c r="AF23" i="5"/>
  <c r="AJ23" i="5"/>
  <c r="AV23" i="5"/>
  <c r="AZ23" i="5"/>
  <c r="L24" i="5"/>
  <c r="R24" i="5"/>
  <c r="W24" i="5"/>
  <c r="AB24" i="5"/>
  <c r="AG24" i="5"/>
  <c r="AL24" i="5"/>
  <c r="AQ24" i="5"/>
  <c r="AV24" i="5"/>
  <c r="BA24" i="5"/>
  <c r="X28" i="5"/>
  <c r="BQ27" i="5"/>
  <c r="CB28" i="5"/>
  <c r="CA29" i="5"/>
  <c r="BV30" i="5"/>
  <c r="CO67" i="5"/>
  <c r="CS33" i="5"/>
  <c r="N43" i="5"/>
  <c r="N38" i="5"/>
  <c r="AH67" i="5"/>
  <c r="AR83" i="5"/>
  <c r="AR67" i="5"/>
  <c r="BB83" i="5"/>
  <c r="BB67" i="5"/>
  <c r="BT84" i="5"/>
  <c r="BT44" i="5"/>
  <c r="BY68" i="5"/>
  <c r="BY38" i="5"/>
  <c r="BY44" i="5" s="1"/>
  <c r="CD84" i="5"/>
  <c r="CD88" i="5" s="1"/>
  <c r="CD90" i="5" s="1"/>
  <c r="CD68" i="5"/>
  <c r="CD38" i="5"/>
  <c r="CM34" i="5"/>
  <c r="CQ34" i="5"/>
  <c r="CQ38" i="5" s="1"/>
  <c r="CN69" i="5"/>
  <c r="CR36" i="5"/>
  <c r="CV36" i="5"/>
  <c r="X70" i="5"/>
  <c r="AR87" i="5"/>
  <c r="AR70" i="5"/>
  <c r="BB87" i="5"/>
  <c r="BG86" i="5"/>
  <c r="BL85" i="5"/>
  <c r="BV83" i="5"/>
  <c r="O48" i="5"/>
  <c r="O47" i="5"/>
  <c r="O61" i="5"/>
  <c r="O44" i="5"/>
  <c r="O39" i="5"/>
  <c r="S38" i="5"/>
  <c r="S46" i="5" s="1"/>
  <c r="W48" i="5"/>
  <c r="W47" i="5"/>
  <c r="W61" i="5"/>
  <c r="W64" i="5" s="1"/>
  <c r="W44" i="5"/>
  <c r="W39" i="5"/>
  <c r="AA95" i="5"/>
  <c r="AA96" i="5" s="1"/>
  <c r="AA48" i="5"/>
  <c r="AA47" i="5"/>
  <c r="AA61" i="5"/>
  <c r="AA64" i="5" s="1"/>
  <c r="AA44" i="5"/>
  <c r="AA40" i="5"/>
  <c r="AA39" i="5"/>
  <c r="AF95" i="5"/>
  <c r="AF96" i="5" s="1"/>
  <c r="AF47" i="5"/>
  <c r="AF61" i="5"/>
  <c r="AF64" i="5" s="1"/>
  <c r="AF46" i="5"/>
  <c r="AF48" i="5"/>
  <c r="AF40" i="5"/>
  <c r="BS38" i="5"/>
  <c r="BS44" i="5" s="1"/>
  <c r="AJ39" i="5"/>
  <c r="AZ39" i="5"/>
  <c r="L40" i="5"/>
  <c r="W40" i="5"/>
  <c r="AG40" i="5"/>
  <c r="AQ40" i="5"/>
  <c r="O43" i="5"/>
  <c r="W43" i="5"/>
  <c r="AE43" i="5"/>
  <c r="AU43" i="5"/>
  <c r="AF44" i="5"/>
  <c r="AA46" i="5"/>
  <c r="AQ46" i="5"/>
  <c r="AN55" i="5"/>
  <c r="AQ55" i="5"/>
  <c r="AR58" i="5"/>
  <c r="AP55" i="5"/>
  <c r="AO55" i="5"/>
  <c r="H191" i="5"/>
  <c r="H63" i="5"/>
  <c r="AM191" i="5"/>
  <c r="AJ58" i="5"/>
  <c r="AI58" i="5"/>
  <c r="AL58" i="5"/>
  <c r="AK58" i="5"/>
  <c r="CK189" i="5"/>
  <c r="CK63" i="5"/>
  <c r="BI80" i="5"/>
  <c r="BI74" i="5"/>
  <c r="AF46" i="4" s="1"/>
  <c r="AG47" i="4" s="1"/>
  <c r="BM80" i="5"/>
  <c r="BM74" i="5"/>
  <c r="AF49" i="4" s="1"/>
  <c r="BQ72" i="5"/>
  <c r="BQ13" i="5"/>
  <c r="BU80" i="5"/>
  <c r="BU74" i="5"/>
  <c r="AF56" i="4" s="1"/>
  <c r="AK56" i="4" s="1"/>
  <c r="BY80" i="5"/>
  <c r="BY74" i="5"/>
  <c r="AF59" i="4" s="1"/>
  <c r="AK59" i="4" s="1"/>
  <c r="CC80" i="5"/>
  <c r="CC74" i="5"/>
  <c r="AF62" i="4" s="1"/>
  <c r="AK62" i="4" s="1"/>
  <c r="CG80" i="5"/>
  <c r="CG74" i="5"/>
  <c r="AF65" i="4" s="1"/>
  <c r="AK65" i="4" s="1"/>
  <c r="CK72" i="5"/>
  <c r="CK13" i="5"/>
  <c r="X14" i="5"/>
  <c r="AR14" i="5"/>
  <c r="BL14" i="5"/>
  <c r="CF14" i="5"/>
  <c r="CZ14" i="5"/>
  <c r="AB96" i="5"/>
  <c r="AN92" i="5"/>
  <c r="AN94" i="5"/>
  <c r="Q23" i="5"/>
  <c r="U23" i="5"/>
  <c r="Y23" i="5"/>
  <c r="AG23" i="5"/>
  <c r="AK23" i="5"/>
  <c r="AS23" i="5"/>
  <c r="BA23" i="5"/>
  <c r="M24" i="5"/>
  <c r="T24" i="5"/>
  <c r="Y24" i="5"/>
  <c r="AD24" i="5"/>
  <c r="AI24" i="5"/>
  <c r="AN24" i="5"/>
  <c r="AS24" i="5"/>
  <c r="AX24" i="5"/>
  <c r="CK83" i="5"/>
  <c r="CK67" i="5"/>
  <c r="CP67" i="5"/>
  <c r="CT67" i="5"/>
  <c r="N44" i="5"/>
  <c r="AH68" i="5"/>
  <c r="AR68" i="5"/>
  <c r="AR84" i="5"/>
  <c r="BB68" i="5"/>
  <c r="BF84" i="5"/>
  <c r="BF88" i="5" s="1"/>
  <c r="BF90" i="5" s="1"/>
  <c r="BF68" i="5"/>
  <c r="BF38" i="5"/>
  <c r="BF85" i="5"/>
  <c r="BF45" i="5"/>
  <c r="BK85" i="5"/>
  <c r="BK84" i="5" s="1"/>
  <c r="BK88" i="5" s="1"/>
  <c r="BK90" i="5" s="1"/>
  <c r="BK45" i="5"/>
  <c r="BP85" i="5"/>
  <c r="BP84" i="5" s="1"/>
  <c r="BP88" i="5" s="1"/>
  <c r="BP90" i="5" s="1"/>
  <c r="BU84" i="5"/>
  <c r="BU38" i="5"/>
  <c r="BU44" i="5"/>
  <c r="BZ84" i="5"/>
  <c r="BZ88" i="5" s="1"/>
  <c r="BZ90" i="5" s="1"/>
  <c r="BZ68" i="5"/>
  <c r="BZ38" i="5"/>
  <c r="BZ44" i="5" s="1"/>
  <c r="CE84" i="5"/>
  <c r="CE68" i="5"/>
  <c r="CJ68" i="5"/>
  <c r="CJ44" i="5"/>
  <c r="CN85" i="5"/>
  <c r="CS85" i="5"/>
  <c r="CX85" i="5"/>
  <c r="CO69" i="5"/>
  <c r="CS69" i="5"/>
  <c r="CM70" i="5"/>
  <c r="CQ70" i="5"/>
  <c r="AC69" i="5"/>
  <c r="CA85" i="5"/>
  <c r="CF34" i="5"/>
  <c r="CK86" i="5"/>
  <c r="CK69" i="5"/>
  <c r="K95" i="5"/>
  <c r="K96" i="5" s="1"/>
  <c r="K48" i="5"/>
  <c r="K47" i="5"/>
  <c r="K61" i="5"/>
  <c r="K64" i="5" s="1"/>
  <c r="K44" i="5"/>
  <c r="K40" i="5"/>
  <c r="P47" i="5"/>
  <c r="P40" i="5"/>
  <c r="P61" i="5"/>
  <c r="P64" i="5" s="1"/>
  <c r="P46" i="5"/>
  <c r="P48" i="5"/>
  <c r="T95" i="5"/>
  <c r="T96" i="5" s="1"/>
  <c r="T47" i="5"/>
  <c r="T61" i="5"/>
  <c r="T46" i="5"/>
  <c r="T48" i="5"/>
  <c r="X38" i="5"/>
  <c r="X22" i="5" s="1"/>
  <c r="AB95" i="5"/>
  <c r="AB105" i="5"/>
  <c r="AB47" i="5"/>
  <c r="AB61" i="5"/>
  <c r="AB64" i="5" s="1"/>
  <c r="AB46" i="5"/>
  <c r="AB48" i="5"/>
  <c r="AY61" i="5"/>
  <c r="AY64" i="5" s="1"/>
  <c r="AY48" i="5"/>
  <c r="AY40" i="5"/>
  <c r="AY47" i="5"/>
  <c r="AY44" i="5"/>
  <c r="AY39" i="5"/>
  <c r="BT47" i="5"/>
  <c r="BT46" i="5"/>
  <c r="BT48" i="5"/>
  <c r="BT40" i="5"/>
  <c r="CJ38" i="5"/>
  <c r="CJ45" i="5" s="1"/>
  <c r="U39" i="5"/>
  <c r="P43" i="5"/>
  <c r="BK44" i="5"/>
  <c r="BK52" i="5"/>
  <c r="BK68" i="5" s="1"/>
  <c r="BJ52" i="5"/>
  <c r="BQ52" i="5"/>
  <c r="BI52" i="5"/>
  <c r="BH52" i="5"/>
  <c r="CA191" i="5"/>
  <c r="BX58" i="5"/>
  <c r="BW58" i="5"/>
  <c r="BZ58" i="5"/>
  <c r="BY58" i="5"/>
  <c r="V74" i="5"/>
  <c r="AF15" i="4" s="1"/>
  <c r="V80" i="5"/>
  <c r="Z74" i="5"/>
  <c r="AF18" i="4" s="1"/>
  <c r="AG19" i="4" s="1"/>
  <c r="Z80" i="5"/>
  <c r="AD74" i="5"/>
  <c r="AF21" i="4" s="1"/>
  <c r="AG21" i="4" s="1"/>
  <c r="AD80" i="5"/>
  <c r="AH72" i="5"/>
  <c r="AH80" i="5" s="1"/>
  <c r="AH13" i="5"/>
  <c r="AL74" i="5"/>
  <c r="AF28" i="4" s="1"/>
  <c r="AG28" i="4" s="1"/>
  <c r="AL80" i="5"/>
  <c r="AP74" i="5"/>
  <c r="AF31" i="4" s="1"/>
  <c r="AP80" i="5"/>
  <c r="AT74" i="5"/>
  <c r="AF34" i="4" s="1"/>
  <c r="AG34" i="4" s="1"/>
  <c r="AT80" i="5"/>
  <c r="AX74" i="5"/>
  <c r="AF37" i="4" s="1"/>
  <c r="AG37" i="4" s="1"/>
  <c r="AX80" i="5"/>
  <c r="BB72" i="5"/>
  <c r="BB13" i="5"/>
  <c r="BF74" i="5"/>
  <c r="AF44" i="4" s="1"/>
  <c r="AG44" i="4" s="1"/>
  <c r="BF80" i="5"/>
  <c r="BJ74" i="5"/>
  <c r="AF47" i="4" s="1"/>
  <c r="BJ80" i="5"/>
  <c r="BN74" i="5"/>
  <c r="AF50" i="4" s="1"/>
  <c r="AK50" i="4" s="1"/>
  <c r="BN80" i="5"/>
  <c r="BR74" i="5"/>
  <c r="AF53" i="4" s="1"/>
  <c r="AG53" i="4" s="1"/>
  <c r="BR80" i="5"/>
  <c r="BV72" i="5"/>
  <c r="BV80" i="5" s="1"/>
  <c r="BV13" i="5"/>
  <c r="BZ74" i="5"/>
  <c r="AF60" i="4" s="1"/>
  <c r="AK60" i="4" s="1"/>
  <c r="BZ80" i="5"/>
  <c r="CD74" i="5"/>
  <c r="AF63" i="4" s="1"/>
  <c r="AK63" i="4" s="1"/>
  <c r="CD80" i="5"/>
  <c r="CH74" i="5"/>
  <c r="AF66" i="4" s="1"/>
  <c r="AK66" i="4" s="1"/>
  <c r="CH80" i="5"/>
  <c r="CL74" i="5"/>
  <c r="AF69" i="4" s="1"/>
  <c r="AG69" i="4" s="1"/>
  <c r="CL80" i="5"/>
  <c r="CP72" i="5"/>
  <c r="CP13" i="5"/>
  <c r="AC73" i="5"/>
  <c r="AC14" i="5"/>
  <c r="AW73" i="5"/>
  <c r="AW14" i="5"/>
  <c r="BQ73" i="5"/>
  <c r="BQ14" i="5"/>
  <c r="CK73" i="5"/>
  <c r="CK14" i="5"/>
  <c r="AO94" i="5"/>
  <c r="AO92" i="5"/>
  <c r="R23" i="5"/>
  <c r="V23" i="5"/>
  <c r="Z23" i="5"/>
  <c r="AD23" i="5"/>
  <c r="AL23" i="5"/>
  <c r="AP23" i="5"/>
  <c r="AT23" i="5"/>
  <c r="AX23" i="5"/>
  <c r="I23" i="5"/>
  <c r="P24" i="5"/>
  <c r="U24" i="5"/>
  <c r="Z24" i="5"/>
  <c r="AJ24" i="5"/>
  <c r="AO24" i="5"/>
  <c r="AT24" i="5"/>
  <c r="N28" i="5"/>
  <c r="CM67" i="5"/>
  <c r="CQ67" i="5"/>
  <c r="CY33" i="5"/>
  <c r="AC67" i="5"/>
  <c r="AC38" i="5"/>
  <c r="AC46" i="5" s="1"/>
  <c r="AW67" i="5"/>
  <c r="AW83" i="5"/>
  <c r="BR84" i="5"/>
  <c r="BV34" i="5"/>
  <c r="BR38" i="5"/>
  <c r="BW84" i="5"/>
  <c r="BW88" i="5" s="1"/>
  <c r="BW90" i="5" s="1"/>
  <c r="BW68" i="5"/>
  <c r="CA34" i="5"/>
  <c r="CB84" i="5"/>
  <c r="CB68" i="5"/>
  <c r="CB44" i="5"/>
  <c r="CG68" i="5"/>
  <c r="CG38" i="5"/>
  <c r="CG44" i="5" s="1"/>
  <c r="CK34" i="5"/>
  <c r="CO34" i="5"/>
  <c r="CI85" i="5"/>
  <c r="CI84" i="5" s="1"/>
  <c r="CI88" i="5" s="1"/>
  <c r="CI90" i="5" s="1"/>
  <c r="CI45" i="5"/>
  <c r="CO85" i="5"/>
  <c r="CT85" i="5"/>
  <c r="CY85" i="5"/>
  <c r="CP36" i="5"/>
  <c r="CT36" i="5"/>
  <c r="CX36" i="5"/>
  <c r="CN70" i="5"/>
  <c r="CR37" i="5"/>
  <c r="CV37" i="5"/>
  <c r="S47" i="5"/>
  <c r="AC70" i="5"/>
  <c r="AC47" i="5"/>
  <c r="AM70" i="5"/>
  <c r="AW87" i="5"/>
  <c r="AW70" i="5"/>
  <c r="BL83" i="5"/>
  <c r="BL87" i="5"/>
  <c r="BQ86" i="5"/>
  <c r="BV86" i="5"/>
  <c r="CA86" i="5"/>
  <c r="CA69" i="5"/>
  <c r="CK87" i="5"/>
  <c r="CK70" i="5"/>
  <c r="L95" i="5"/>
  <c r="L96" i="5" s="1"/>
  <c r="L47" i="5"/>
  <c r="L61" i="5"/>
  <c r="L64" i="5" s="1"/>
  <c r="L46" i="5"/>
  <c r="L48" i="5"/>
  <c r="AI48" i="5"/>
  <c r="AI47" i="5"/>
  <c r="AI61" i="5"/>
  <c r="AI44" i="5"/>
  <c r="AI39" i="5"/>
  <c r="AM38" i="5"/>
  <c r="AQ48" i="5"/>
  <c r="AQ47" i="5"/>
  <c r="AQ44" i="5"/>
  <c r="AQ39" i="5"/>
  <c r="AU48" i="5"/>
  <c r="AU47" i="5"/>
  <c r="AU44" i="5"/>
  <c r="AU40" i="5"/>
  <c r="AU39" i="5"/>
  <c r="AZ61" i="5"/>
  <c r="AZ64" i="5" s="1"/>
  <c r="AZ47" i="5"/>
  <c r="AZ46" i="5"/>
  <c r="AZ48" i="5"/>
  <c r="AZ40" i="5"/>
  <c r="BW38" i="5"/>
  <c r="CE38" i="5"/>
  <c r="CM38" i="5"/>
  <c r="CM45" i="5" s="1"/>
  <c r="P39" i="5"/>
  <c r="AN39" i="5"/>
  <c r="AV39" i="5"/>
  <c r="AB40" i="5"/>
  <c r="AV40" i="5"/>
  <c r="K43" i="5"/>
  <c r="AI43" i="5"/>
  <c r="AQ43" i="5"/>
  <c r="AY43" i="5"/>
  <c r="L44" i="5"/>
  <c r="T44" i="5"/>
  <c r="AB44" i="5"/>
  <c r="AZ44" i="5"/>
  <c r="BF44" i="5"/>
  <c r="BT45" i="5"/>
  <c r="AI46" i="5"/>
  <c r="AY46" i="5"/>
  <c r="S191" i="5"/>
  <c r="P58" i="5"/>
  <c r="S63" i="5"/>
  <c r="O58" i="5"/>
  <c r="R58" i="5"/>
  <c r="Q58" i="5"/>
  <c r="W80" i="5"/>
  <c r="W74" i="5"/>
  <c r="AF16" i="4" s="1"/>
  <c r="AG16" i="4" s="1"/>
  <c r="AA80" i="5"/>
  <c r="AA74" i="5"/>
  <c r="AF19" i="4" s="1"/>
  <c r="AE80" i="5"/>
  <c r="AE74" i="5"/>
  <c r="AF22" i="4" s="1"/>
  <c r="AG23" i="4" s="1"/>
  <c r="AM72" i="5"/>
  <c r="AI80" i="5"/>
  <c r="AI74" i="5"/>
  <c r="AF25" i="4" s="1"/>
  <c r="AG25" i="4" s="1"/>
  <c r="AM13" i="5"/>
  <c r="AQ80" i="5"/>
  <c r="AQ74" i="5"/>
  <c r="AF32" i="4" s="1"/>
  <c r="AU80" i="5"/>
  <c r="AU74" i="5"/>
  <c r="AF35" i="4" s="1"/>
  <c r="AY80" i="5"/>
  <c r="AY74" i="5"/>
  <c r="AF38" i="4" s="1"/>
  <c r="AG39" i="4" s="1"/>
  <c r="BG72" i="5"/>
  <c r="BC80" i="5"/>
  <c r="BC74" i="5"/>
  <c r="AF41" i="4" s="1"/>
  <c r="AG41" i="4" s="1"/>
  <c r="BG13" i="5"/>
  <c r="BK80" i="5"/>
  <c r="BK74" i="5"/>
  <c r="AF48" i="4" s="1"/>
  <c r="AG48" i="4" s="1"/>
  <c r="BO80" i="5"/>
  <c r="BO74" i="5"/>
  <c r="AF51" i="4" s="1"/>
  <c r="AK51" i="4" s="1"/>
  <c r="BS80" i="5"/>
  <c r="BS74" i="5"/>
  <c r="AF54" i="4" s="1"/>
  <c r="AK54" i="4" s="1"/>
  <c r="CA72" i="5"/>
  <c r="BW80" i="5"/>
  <c r="BW74" i="5"/>
  <c r="AF57" i="4" s="1"/>
  <c r="AG57" i="4" s="1"/>
  <c r="CA13" i="5"/>
  <c r="CE80" i="5"/>
  <c r="CE74" i="5"/>
  <c r="AF64" i="4" s="1"/>
  <c r="CI80" i="5"/>
  <c r="CI74" i="5"/>
  <c r="AF67" i="4" s="1"/>
  <c r="AK67" i="4" s="1"/>
  <c r="CU72" i="5"/>
  <c r="CU74" i="5" s="1"/>
  <c r="CQ74" i="5"/>
  <c r="AF73" i="4" s="1"/>
  <c r="CU13" i="5"/>
  <c r="AH73" i="5"/>
  <c r="AH14" i="5"/>
  <c r="BB73" i="5"/>
  <c r="BB14" i="5"/>
  <c r="BV73" i="5"/>
  <c r="BV14" i="5"/>
  <c r="CP73" i="5"/>
  <c r="CP14" i="5"/>
  <c r="AP94" i="5"/>
  <c r="AP92" i="5"/>
  <c r="O23" i="5"/>
  <c r="W23" i="5"/>
  <c r="AA23" i="5"/>
  <c r="AE23" i="5"/>
  <c r="AI23" i="5"/>
  <c r="AQ23" i="5"/>
  <c r="AU23" i="5"/>
  <c r="AY23" i="5"/>
  <c r="K24" i="5"/>
  <c r="Q24" i="5"/>
  <c r="V24" i="5"/>
  <c r="AA24" i="5"/>
  <c r="AF24" i="5"/>
  <c r="AK24" i="5"/>
  <c r="AP24" i="5"/>
  <c r="AU24" i="5"/>
  <c r="AZ24" i="5"/>
  <c r="BK28" i="5"/>
  <c r="CE28" i="5"/>
  <c r="CN67" i="5"/>
  <c r="CR33" i="5"/>
  <c r="CV33" i="5"/>
  <c r="S44" i="5"/>
  <c r="AM68" i="5"/>
  <c r="AM44" i="5"/>
  <c r="AW68" i="5"/>
  <c r="AW84" i="5"/>
  <c r="BS84" i="5"/>
  <c r="BS88" i="5" s="1"/>
  <c r="BS90" i="5" s="1"/>
  <c r="BX68" i="5"/>
  <c r="BX84" i="5"/>
  <c r="BX88" i="5" s="1"/>
  <c r="BX90" i="5" s="1"/>
  <c r="CC68" i="5"/>
  <c r="CC84" i="5"/>
  <c r="CC88" i="5" s="1"/>
  <c r="CC90" i="5" s="1"/>
  <c r="CC38" i="5"/>
  <c r="CC44" i="5" s="1"/>
  <c r="CH84" i="5"/>
  <c r="CH68" i="5"/>
  <c r="CH38" i="5"/>
  <c r="CL84" i="5"/>
  <c r="CL68" i="5"/>
  <c r="CL38" i="5"/>
  <c r="CP34" i="5"/>
  <c r="CJ85" i="5"/>
  <c r="CJ84" i="5" s="1"/>
  <c r="CJ88" i="5" s="1"/>
  <c r="CJ90" i="5" s="1"/>
  <c r="CM69" i="5"/>
  <c r="CQ69" i="5"/>
  <c r="CU36" i="5"/>
  <c r="CO70" i="5"/>
  <c r="CS37" i="5"/>
  <c r="N46" i="5"/>
  <c r="X69" i="5"/>
  <c r="X46" i="5"/>
  <c r="AH69" i="5"/>
  <c r="AR86" i="5"/>
  <c r="AR69" i="5"/>
  <c r="BB86" i="5"/>
  <c r="BB46" i="5"/>
  <c r="BG85" i="5"/>
  <c r="BQ83" i="5"/>
  <c r="BQ87" i="5"/>
  <c r="BV87" i="5"/>
  <c r="AE95" i="5"/>
  <c r="AE96" i="5" s="1"/>
  <c r="AE48" i="5"/>
  <c r="AE40" i="5"/>
  <c r="AE47" i="5"/>
  <c r="AE61" i="5"/>
  <c r="AE64" i="5" s="1"/>
  <c r="AE44" i="5"/>
  <c r="AE39" i="5"/>
  <c r="AJ47" i="5"/>
  <c r="AJ40" i="5"/>
  <c r="AJ61" i="5"/>
  <c r="AJ64" i="5" s="1"/>
  <c r="AJ46" i="5"/>
  <c r="AJ48" i="5"/>
  <c r="AN105" i="5"/>
  <c r="AN47" i="5"/>
  <c r="AN61" i="5"/>
  <c r="AN46" i="5"/>
  <c r="AN48" i="5"/>
  <c r="AR38" i="5"/>
  <c r="AR22" i="5" s="1"/>
  <c r="AV105" i="5"/>
  <c r="AV47" i="5"/>
  <c r="AV46" i="5"/>
  <c r="AV48" i="5"/>
  <c r="BP38" i="5"/>
  <c r="BX38" i="5"/>
  <c r="BX44" i="5" s="1"/>
  <c r="CN38" i="5"/>
  <c r="Q39" i="5"/>
  <c r="Y39" i="5"/>
  <c r="AG39" i="5"/>
  <c r="AO39" i="5"/>
  <c r="I105" i="5"/>
  <c r="I95" i="5"/>
  <c r="I61" i="5"/>
  <c r="I64" i="5" s="1"/>
  <c r="I46" i="5"/>
  <c r="I43" i="5"/>
  <c r="I39" i="5"/>
  <c r="I48" i="5"/>
  <c r="I47" i="5"/>
  <c r="T40" i="5"/>
  <c r="AD40" i="5"/>
  <c r="AN40" i="5"/>
  <c r="AX40" i="5"/>
  <c r="L43" i="5"/>
  <c r="T43" i="5"/>
  <c r="AB43" i="5"/>
  <c r="AJ43" i="5"/>
  <c r="AR43" i="5"/>
  <c r="AZ43" i="5"/>
  <c r="AC44" i="5"/>
  <c r="CE44" i="5"/>
  <c r="CN45" i="5"/>
  <c r="AM46" i="5"/>
  <c r="BV85" i="5"/>
  <c r="CF83" i="5"/>
  <c r="CF87" i="5"/>
  <c r="CF70" i="5"/>
  <c r="AH38" i="5"/>
  <c r="AH43" i="5" s="1"/>
  <c r="AL105" i="5"/>
  <c r="AL95" i="5"/>
  <c r="AL96" i="5" s="1"/>
  <c r="BB38" i="5"/>
  <c r="Q40" i="5"/>
  <c r="V40" i="5"/>
  <c r="AK40" i="5"/>
  <c r="AP40" i="5"/>
  <c r="J43" i="5"/>
  <c r="R43" i="5"/>
  <c r="V43" i="5"/>
  <c r="Z43" i="5"/>
  <c r="AD43" i="5"/>
  <c r="AL43" i="5"/>
  <c r="AP43" i="5"/>
  <c r="AT43" i="5"/>
  <c r="AX43" i="5"/>
  <c r="J46" i="5"/>
  <c r="R46" i="5"/>
  <c r="V46" i="5"/>
  <c r="Z46" i="5"/>
  <c r="AD46" i="5"/>
  <c r="AL46" i="5"/>
  <c r="AP46" i="5"/>
  <c r="AT46" i="5"/>
  <c r="AX46" i="5"/>
  <c r="M47" i="5"/>
  <c r="Q47" i="5"/>
  <c r="U47" i="5"/>
  <c r="Y47" i="5"/>
  <c r="AG47" i="5"/>
  <c r="AK47" i="5"/>
  <c r="AO47" i="5"/>
  <c r="AS47" i="5"/>
  <c r="BA47" i="5"/>
  <c r="H48" i="5"/>
  <c r="AV51" i="5"/>
  <c r="AV67" i="5" s="1"/>
  <c r="AU52" i="5"/>
  <c r="AU68" i="5" s="1"/>
  <c r="BD51" i="5"/>
  <c r="BD67" i="5" s="1"/>
  <c r="BL51" i="5"/>
  <c r="BD52" i="5"/>
  <c r="CW51" i="5"/>
  <c r="CW55" i="5" s="1"/>
  <c r="AQ53" i="5"/>
  <c r="AQ69" i="5" s="1"/>
  <c r="AV54" i="5"/>
  <c r="AV70" i="5" s="1"/>
  <c r="M55" i="5"/>
  <c r="Q55" i="5"/>
  <c r="AG55" i="5"/>
  <c r="AK55" i="5"/>
  <c r="AW55" i="5"/>
  <c r="BY55" i="5"/>
  <c r="CC55" i="5"/>
  <c r="CG55" i="5"/>
  <c r="V58" i="5"/>
  <c r="AA58" i="5"/>
  <c r="CI189" i="5"/>
  <c r="CI63" i="5"/>
  <c r="CY58" i="5"/>
  <c r="CY191" i="5" s="1"/>
  <c r="N58" i="5"/>
  <c r="AH58" i="5"/>
  <c r="AH63" i="5" s="1"/>
  <c r="J61" i="5"/>
  <c r="J64" i="5" s="1"/>
  <c r="R61" i="5"/>
  <c r="R64" i="5" s="1"/>
  <c r="V61" i="5"/>
  <c r="V64" i="5" s="1"/>
  <c r="Z61" i="5"/>
  <c r="Z64" i="5" s="1"/>
  <c r="AD61" i="5"/>
  <c r="AL61" i="5"/>
  <c r="AL64" i="5" s="1"/>
  <c r="AP61" i="5"/>
  <c r="AP64" i="5" s="1"/>
  <c r="BA61" i="5"/>
  <c r="BA64" i="5" s="1"/>
  <c r="BL64" i="5"/>
  <c r="BV64" i="5"/>
  <c r="W63" i="5"/>
  <c r="AM63" i="5"/>
  <c r="CA63" i="5"/>
  <c r="CB67" i="5"/>
  <c r="N73" i="5"/>
  <c r="BZ55" i="5"/>
  <c r="CD55" i="5"/>
  <c r="I191" i="5"/>
  <c r="I63" i="5"/>
  <c r="AB191" i="5"/>
  <c r="AB63" i="5"/>
  <c r="CE191" i="5"/>
  <c r="CE63" i="5"/>
  <c r="CJ189" i="5"/>
  <c r="CJ63" i="5"/>
  <c r="BQ189" i="5"/>
  <c r="BQ64" i="5"/>
  <c r="CF67" i="5"/>
  <c r="BT88" i="5"/>
  <c r="BT90" i="5" s="1"/>
  <c r="BU88" i="5"/>
  <c r="BU90" i="5" s="1"/>
  <c r="J48" i="5"/>
  <c r="R48" i="5"/>
  <c r="V48" i="5"/>
  <c r="Z48" i="5"/>
  <c r="AD48" i="5"/>
  <c r="AL48" i="5"/>
  <c r="AP48" i="5"/>
  <c r="AT48" i="5"/>
  <c r="AX48" i="5"/>
  <c r="AT51" i="5"/>
  <c r="AT67" i="5" s="1"/>
  <c r="AO53" i="5"/>
  <c r="AO69" i="5" s="1"/>
  <c r="AW53" i="5"/>
  <c r="AT54" i="5"/>
  <c r="AT70" i="5" s="1"/>
  <c r="BB54" i="5"/>
  <c r="K55" i="5"/>
  <c r="AE55" i="5"/>
  <c r="BW55" i="5"/>
  <c r="CE55" i="5"/>
  <c r="CI55" i="5"/>
  <c r="T191" i="5"/>
  <c r="T63" i="5"/>
  <c r="Y191" i="5"/>
  <c r="Y63" i="5"/>
  <c r="CB191" i="5"/>
  <c r="CB63" i="5"/>
  <c r="CG189" i="5"/>
  <c r="CG63" i="5"/>
  <c r="CW58" i="5"/>
  <c r="CW191" i="5" s="1"/>
  <c r="AC189" i="5"/>
  <c r="AC63" i="5"/>
  <c r="CF189" i="5"/>
  <c r="CF63" i="5"/>
  <c r="AR189" i="5"/>
  <c r="AR63" i="5"/>
  <c r="AX61" i="5"/>
  <c r="BL189" i="5"/>
  <c r="CH63" i="5"/>
  <c r="CJ67" i="5"/>
  <c r="J74" i="5"/>
  <c r="AF5" i="4" s="1"/>
  <c r="J80" i="5"/>
  <c r="N72" i="5"/>
  <c r="R74" i="5"/>
  <c r="AF12" i="4" s="1"/>
  <c r="R80" i="5"/>
  <c r="BQ80" i="5"/>
  <c r="CK80" i="5"/>
  <c r="CH88" i="5"/>
  <c r="CH90" i="5" s="1"/>
  <c r="AW86" i="5"/>
  <c r="AW69" i="5"/>
  <c r="BG83" i="5"/>
  <c r="BG67" i="5"/>
  <c r="BG87" i="5"/>
  <c r="BL86" i="5"/>
  <c r="CA83" i="5"/>
  <c r="CA67" i="5"/>
  <c r="CA70" i="5"/>
  <c r="CA87" i="5"/>
  <c r="CF86" i="5"/>
  <c r="CF69" i="5"/>
  <c r="H105" i="5"/>
  <c r="H95" i="5"/>
  <c r="AW38" i="5"/>
  <c r="AW46" i="5" s="1"/>
  <c r="R39" i="5"/>
  <c r="V39" i="5"/>
  <c r="Z39" i="5"/>
  <c r="AD39" i="5"/>
  <c r="AL39" i="5"/>
  <c r="AP39" i="5"/>
  <c r="AT39" i="5"/>
  <c r="AX39" i="5"/>
  <c r="U40" i="5"/>
  <c r="Z40" i="5"/>
  <c r="AO40" i="5"/>
  <c r="AT40" i="5"/>
  <c r="M43" i="5"/>
  <c r="Q43" i="5"/>
  <c r="U43" i="5"/>
  <c r="Y43" i="5"/>
  <c r="AG43" i="5"/>
  <c r="AK43" i="5"/>
  <c r="AO43" i="5"/>
  <c r="AS43" i="5"/>
  <c r="BA43" i="5"/>
  <c r="J44" i="5"/>
  <c r="R44" i="5"/>
  <c r="V44" i="5"/>
  <c r="Z44" i="5"/>
  <c r="AD44" i="5"/>
  <c r="AL44" i="5"/>
  <c r="M46" i="5"/>
  <c r="Q46" i="5"/>
  <c r="U46" i="5"/>
  <c r="Y46" i="5"/>
  <c r="AG46" i="5"/>
  <c r="AK46" i="5"/>
  <c r="AO46" i="5"/>
  <c r="AS46" i="5"/>
  <c r="BA46" i="5"/>
  <c r="H47" i="5"/>
  <c r="AP53" i="5"/>
  <c r="AP69" i="5" s="1"/>
  <c r="P55" i="5"/>
  <c r="AJ55" i="5"/>
  <c r="BX55" i="5"/>
  <c r="U58" i="5"/>
  <c r="Z58" i="5"/>
  <c r="CC191" i="5"/>
  <c r="CC63" i="5"/>
  <c r="CX58" i="5"/>
  <c r="CX191" i="5" s="1"/>
  <c r="X189" i="5"/>
  <c r="X63" i="5"/>
  <c r="AW189" i="5"/>
  <c r="M61" i="5"/>
  <c r="M64" i="5" s="1"/>
  <c r="Y61" i="5"/>
  <c r="AG61" i="5"/>
  <c r="AG64" i="5" s="1"/>
  <c r="AK61" i="5"/>
  <c r="AK64" i="5" s="1"/>
  <c r="N63" i="5"/>
  <c r="CL63" i="5"/>
  <c r="K74" i="5"/>
  <c r="AF6" i="4" s="1"/>
  <c r="AG7" i="4" s="1"/>
  <c r="S72" i="5"/>
  <c r="O74" i="5"/>
  <c r="AF9" i="4" s="1"/>
  <c r="X78" i="5"/>
  <c r="AR78" i="5"/>
  <c r="CF78" i="5"/>
  <c r="BB80" i="5"/>
  <c r="AH86" i="5"/>
  <c r="AH20" i="5" s="1"/>
  <c r="AH22" i="5" s="1"/>
  <c r="BB93" i="5"/>
  <c r="W95" i="5"/>
  <c r="W96" i="5" s="1"/>
  <c r="BT95" i="5"/>
  <c r="BT96" i="5" s="1"/>
  <c r="CH102" i="5"/>
  <c r="CH95" i="5" s="1"/>
  <c r="O95" i="5"/>
  <c r="O96" i="5" s="1"/>
  <c r="Y95" i="5"/>
  <c r="Y96" i="5" s="1"/>
  <c r="AZ102" i="5"/>
  <c r="AZ95" i="5" s="1"/>
  <c r="AZ96" i="5" s="1"/>
  <c r="AY101" i="5"/>
  <c r="AC95" i="5"/>
  <c r="P105" i="5"/>
  <c r="U105" i="5"/>
  <c r="AJ105" i="5"/>
  <c r="AO105" i="5"/>
  <c r="CC105" i="5"/>
  <c r="CH105" i="5"/>
  <c r="CK78" i="5"/>
  <c r="CB88" i="5"/>
  <c r="CB90" i="5" s="1"/>
  <c r="CI95" i="5"/>
  <c r="U95" i="5"/>
  <c r="U96" i="5" s="1"/>
  <c r="BD102" i="5"/>
  <c r="BC101" i="5"/>
  <c r="BC102" i="5" s="1"/>
  <c r="BN102" i="5"/>
  <c r="BM101" i="5"/>
  <c r="BM102" i="5" s="1"/>
  <c r="BX101" i="5"/>
  <c r="BY102" i="5"/>
  <c r="BY95" i="5" s="1"/>
  <c r="CG95" i="5"/>
  <c r="M95" i="5"/>
  <c r="M96" i="5" s="1"/>
  <c r="L105" i="5"/>
  <c r="Q105" i="5"/>
  <c r="AF105" i="5"/>
  <c r="AZ105" i="5"/>
  <c r="BT105" i="5"/>
  <c r="CD105" i="5"/>
  <c r="CI105" i="5"/>
  <c r="M74" i="5"/>
  <c r="AF8" i="4" s="1"/>
  <c r="AG8" i="4" s="1"/>
  <c r="Q74" i="5"/>
  <c r="AF11" i="4" s="1"/>
  <c r="AH78" i="5"/>
  <c r="BB78" i="5"/>
  <c r="BV78" i="5"/>
  <c r="X80" i="5"/>
  <c r="AT88" i="5"/>
  <c r="CA93" i="5"/>
  <c r="CK93" i="5"/>
  <c r="AG95" i="5"/>
  <c r="AG96" i="5" s="1"/>
  <c r="AO101" i="5"/>
  <c r="AP102" i="5"/>
  <c r="AP95" i="5" s="1"/>
  <c r="Q95" i="5"/>
  <c r="Q96" i="5" s="1"/>
  <c r="AM78" i="5"/>
  <c r="BR88" i="5"/>
  <c r="BR90" i="5" s="1"/>
  <c r="AM87" i="5"/>
  <c r="CE88" i="5"/>
  <c r="CE90" i="5" s="1"/>
  <c r="CE95" i="5"/>
  <c r="AI95" i="5"/>
  <c r="AI96" i="5" s="1"/>
  <c r="AS101" i="5"/>
  <c r="AS102" i="5" s="1"/>
  <c r="AS95" i="5" s="1"/>
  <c r="AS96" i="5" s="1"/>
  <c r="AT102" i="5"/>
  <c r="AT95" i="5" s="1"/>
  <c r="AT96" i="5" s="1"/>
  <c r="BI101" i="5"/>
  <c r="BJ102" i="5"/>
  <c r="BS102" i="5"/>
  <c r="BS95" i="5" s="1"/>
  <c r="BR101" i="5"/>
  <c r="BR102" i="5" s="1"/>
  <c r="BR95" i="5" s="1"/>
  <c r="CD102" i="5"/>
  <c r="CD95" i="5" s="1"/>
  <c r="CC101" i="5"/>
  <c r="AK95" i="5"/>
  <c r="AK96" i="5" s="1"/>
  <c r="T105" i="5"/>
  <c r="CB105" i="5"/>
  <c r="CG105" i="5"/>
  <c r="P102" i="5"/>
  <c r="P95" i="5" s="1"/>
  <c r="P96" i="5" s="1"/>
  <c r="R100" i="5"/>
  <c r="R102" i="5" s="1"/>
  <c r="R95" i="5" s="1"/>
  <c r="R96" i="5" s="1"/>
  <c r="AJ102" i="5"/>
  <c r="AJ95" i="5" s="1"/>
  <c r="AJ96" i="5" s="1"/>
  <c r="AV101" i="5"/>
  <c r="AV102" i="5" s="1"/>
  <c r="AV95" i="5" s="1"/>
  <c r="AV96" i="5" s="1"/>
  <c r="BA101" i="5"/>
  <c r="BA102" i="5" s="1"/>
  <c r="BA95" i="5" s="1"/>
  <c r="BA96" i="5" s="1"/>
  <c r="BE102" i="5"/>
  <c r="BO102" i="5"/>
  <c r="BZ102" i="5"/>
  <c r="BZ95" i="5" s="1"/>
  <c r="J105" i="5"/>
  <c r="O105" i="5"/>
  <c r="AD105" i="5"/>
  <c r="AI105" i="5"/>
  <c r="AX105" i="5"/>
  <c r="BR105" i="5"/>
  <c r="BW105" i="5"/>
  <c r="CP126" i="5"/>
  <c r="CP110" i="5"/>
  <c r="AH157" i="5"/>
  <c r="AH133" i="5"/>
  <c r="AR157" i="5"/>
  <c r="AR133" i="5"/>
  <c r="AW157" i="5"/>
  <c r="AW133" i="5"/>
  <c r="BB157" i="5"/>
  <c r="BB133" i="5"/>
  <c r="BL157" i="5"/>
  <c r="BL133" i="5"/>
  <c r="BQ157" i="5"/>
  <c r="BQ133" i="5"/>
  <c r="BQ130" i="5"/>
  <c r="BV157" i="5"/>
  <c r="BV133" i="5"/>
  <c r="AH128" i="5"/>
  <c r="AH130" i="5" s="1"/>
  <c r="AH154" i="5" s="1"/>
  <c r="CF157" i="5"/>
  <c r="CF133" i="5"/>
  <c r="AM128" i="5"/>
  <c r="AM130" i="5" s="1"/>
  <c r="AM154" i="5" s="1"/>
  <c r="BX163" i="5"/>
  <c r="BX166" i="5" s="1"/>
  <c r="AR102" i="5"/>
  <c r="AR95" i="5" s="1"/>
  <c r="AQ101" i="5"/>
  <c r="AQ102" i="5" s="1"/>
  <c r="AQ95" i="5" s="1"/>
  <c r="AQ96" i="5" s="1"/>
  <c r="AU102" i="5"/>
  <c r="AU95" i="5" s="1"/>
  <c r="AU96" i="5" s="1"/>
  <c r="K105" i="5"/>
  <c r="Z105" i="5"/>
  <c r="AE105" i="5"/>
  <c r="AT105" i="5"/>
  <c r="AY105" i="5"/>
  <c r="BS105" i="5"/>
  <c r="CT126" i="5"/>
  <c r="CY119" i="5"/>
  <c r="CZ120" i="5"/>
  <c r="CZ122" i="5"/>
  <c r="AC157" i="5"/>
  <c r="AC151" i="5"/>
  <c r="AC133" i="5"/>
  <c r="AC130" i="5"/>
  <c r="AC154" i="5" s="1"/>
  <c r="CK157" i="5"/>
  <c r="BU100" i="5"/>
  <c r="BU102" i="5" s="1"/>
  <c r="BU95" i="5" s="1"/>
  <c r="AW102" i="5"/>
  <c r="AW95" i="5" s="1"/>
  <c r="BB102" i="5"/>
  <c r="BB95" i="5" s="1"/>
  <c r="V105" i="5"/>
  <c r="AA105" i="5"/>
  <c r="AP105" i="5"/>
  <c r="AU105" i="5"/>
  <c r="CJ105" i="5"/>
  <c r="CQ157" i="5"/>
  <c r="CQ129" i="5"/>
  <c r="CP129" i="5"/>
  <c r="CL137" i="5"/>
  <c r="W105" i="5"/>
  <c r="AQ105" i="5"/>
  <c r="BK105" i="5"/>
  <c r="CE105" i="5"/>
  <c r="CM157" i="5"/>
  <c r="AM157" i="5"/>
  <c r="AM151" i="5"/>
  <c r="AM133" i="5"/>
  <c r="BG157" i="5"/>
  <c r="BG133" i="5"/>
  <c r="CA157" i="5"/>
  <c r="CA133" i="5"/>
  <c r="CC163" i="5"/>
  <c r="CC166" i="5" s="1"/>
  <c r="CF128" i="5"/>
  <c r="CF163" i="5" s="1"/>
  <c r="CF166" i="5" s="1"/>
  <c r="AM110" i="5"/>
  <c r="AR111" i="5"/>
  <c r="CP115" i="5"/>
  <c r="CS124" i="5"/>
  <c r="AN128" i="5"/>
  <c r="AN130" i="5" s="1"/>
  <c r="AN154" i="5" s="1"/>
  <c r="BH128" i="5"/>
  <c r="CJ128" i="5"/>
  <c r="AG129" i="5"/>
  <c r="AG128" i="5" s="1"/>
  <c r="BF129" i="5"/>
  <c r="BF128" i="5" s="1"/>
  <c r="BF163" i="5" s="1"/>
  <c r="CA129" i="5"/>
  <c r="L130" i="5"/>
  <c r="Q130" i="5"/>
  <c r="AG130" i="5"/>
  <c r="BC130" i="5"/>
  <c r="BC154" i="5" s="1"/>
  <c r="BM130" i="5"/>
  <c r="BX130" i="5"/>
  <c r="BX154" i="5" s="1"/>
  <c r="CC130" i="5"/>
  <c r="Y133" i="5"/>
  <c r="AV133" i="5"/>
  <c r="BU133" i="5"/>
  <c r="BF137" i="5"/>
  <c r="AB154" i="5"/>
  <c r="AB151" i="5"/>
  <c r="AV150" i="5"/>
  <c r="K151" i="5"/>
  <c r="Y151" i="5"/>
  <c r="AH151" i="5"/>
  <c r="BV151" i="5"/>
  <c r="CF137" i="5"/>
  <c r="H157" i="5"/>
  <c r="H133" i="5"/>
  <c r="AB157" i="5"/>
  <c r="AB133" i="5"/>
  <c r="BD157" i="5"/>
  <c r="BD133" i="5"/>
  <c r="CN126" i="5"/>
  <c r="AW128" i="5"/>
  <c r="AW163" i="5" s="1"/>
  <c r="AW166" i="5" s="1"/>
  <c r="BQ128" i="5"/>
  <c r="BQ163" i="5" s="1"/>
  <c r="BQ166" i="5" s="1"/>
  <c r="AH129" i="5"/>
  <c r="BG129" i="5"/>
  <c r="CK129" i="5"/>
  <c r="H130" i="5"/>
  <c r="M130" i="5"/>
  <c r="X130" i="5"/>
  <c r="AS130" i="5"/>
  <c r="BD130" i="5"/>
  <c r="BT130" i="5"/>
  <c r="BY130" i="5"/>
  <c r="CJ130" i="5"/>
  <c r="J133" i="5"/>
  <c r="U133" i="5"/>
  <c r="Z133" i="5"/>
  <c r="AL133" i="5"/>
  <c r="BE133" i="5"/>
  <c r="BP133" i="5"/>
  <c r="CB133" i="5"/>
  <c r="CG133" i="5"/>
  <c r="M151" i="5"/>
  <c r="Z151" i="5"/>
  <c r="Z154" i="5"/>
  <c r="AR151" i="5"/>
  <c r="AY154" i="5"/>
  <c r="AY151" i="5"/>
  <c r="BE150" i="5"/>
  <c r="BF149" i="5"/>
  <c r="BF150" i="5" s="1"/>
  <c r="CG150" i="5"/>
  <c r="CH149" i="5"/>
  <c r="CS119" i="5"/>
  <c r="CU120" i="5"/>
  <c r="CU111" i="5" s="1"/>
  <c r="CS121" i="5"/>
  <c r="CX121" i="5" s="1"/>
  <c r="CZ121" i="5" s="1"/>
  <c r="CU122" i="5"/>
  <c r="CU113" i="5" s="1"/>
  <c r="CS123" i="5"/>
  <c r="CX123" i="5" s="1"/>
  <c r="CZ123" i="5" s="1"/>
  <c r="CY124" i="5"/>
  <c r="CY160" i="5" s="1"/>
  <c r="CS125" i="5"/>
  <c r="CX125" i="5" s="1"/>
  <c r="CZ125" i="5" s="1"/>
  <c r="I157" i="5"/>
  <c r="I151" i="5"/>
  <c r="AO157" i="5"/>
  <c r="AO133" i="5"/>
  <c r="BI157" i="5"/>
  <c r="BI133" i="5"/>
  <c r="CO126" i="5"/>
  <c r="BR163" i="5"/>
  <c r="BR166" i="5" s="1"/>
  <c r="BV128" i="5"/>
  <c r="BV163" i="5" s="1"/>
  <c r="BV166" i="5" s="1"/>
  <c r="CG163" i="5"/>
  <c r="CG166" i="5" s="1"/>
  <c r="CL128" i="5"/>
  <c r="AM129" i="5"/>
  <c r="CM129" i="5"/>
  <c r="CR129" i="5" s="1"/>
  <c r="CW129" i="5" s="1"/>
  <c r="CH128" i="5"/>
  <c r="CH130" i="5" s="1"/>
  <c r="I130" i="5"/>
  <c r="T130" i="5"/>
  <c r="AJ130" i="5"/>
  <c r="AO130" i="5"/>
  <c r="AO154" i="5" s="1"/>
  <c r="AU130" i="5"/>
  <c r="AZ130" i="5"/>
  <c r="BP130" i="5"/>
  <c r="BU130" i="5"/>
  <c r="BZ133" i="5"/>
  <c r="V133" i="5"/>
  <c r="AS133" i="5"/>
  <c r="BX133" i="5"/>
  <c r="CC133" i="5"/>
  <c r="AJ133" i="5"/>
  <c r="BZ137" i="5"/>
  <c r="R151" i="5"/>
  <c r="Q150" i="5"/>
  <c r="Q151" i="5" s="1"/>
  <c r="P149" i="5"/>
  <c r="AS154" i="5"/>
  <c r="H151" i="5"/>
  <c r="BC151" i="5"/>
  <c r="BB111" i="5"/>
  <c r="BV111" i="5"/>
  <c r="AM116" i="5"/>
  <c r="CA116" i="5"/>
  <c r="CR124" i="5"/>
  <c r="CV124" i="5"/>
  <c r="BL137" i="5"/>
  <c r="N157" i="5"/>
  <c r="N130" i="5"/>
  <c r="R157" i="5"/>
  <c r="R130" i="5"/>
  <c r="AD130" i="5"/>
  <c r="AL157" i="5"/>
  <c r="AL130" i="5"/>
  <c r="AP130" i="5"/>
  <c r="AT157" i="5"/>
  <c r="AT133" i="5"/>
  <c r="AT130" i="5"/>
  <c r="AX157" i="5"/>
  <c r="AX130" i="5"/>
  <c r="BF157" i="5"/>
  <c r="BF130" i="5"/>
  <c r="BJ130" i="5"/>
  <c r="BN157" i="5"/>
  <c r="BN130" i="5"/>
  <c r="BR133" i="5"/>
  <c r="BR130" i="5"/>
  <c r="BZ157" i="5"/>
  <c r="BZ130" i="5"/>
  <c r="CD157" i="5"/>
  <c r="CD133" i="5"/>
  <c r="CD130" i="5"/>
  <c r="CH133" i="5"/>
  <c r="CL157" i="5"/>
  <c r="BG128" i="5"/>
  <c r="BG163" i="5" s="1"/>
  <c r="BG166" i="5" s="1"/>
  <c r="CI128" i="5"/>
  <c r="BA129" i="5"/>
  <c r="BA128" i="5" s="1"/>
  <c r="BA163" i="5" s="1"/>
  <c r="BA166" i="5" s="1"/>
  <c r="BZ129" i="5"/>
  <c r="BZ128" i="5" s="1"/>
  <c r="BZ163" i="5" s="1"/>
  <c r="P130" i="5"/>
  <c r="AF130" i="5"/>
  <c r="AK130" i="5"/>
  <c r="AQ130" i="5"/>
  <c r="AV130" i="5"/>
  <c r="BA130" i="5"/>
  <c r="BW130" i="5"/>
  <c r="X133" i="5"/>
  <c r="M133" i="5"/>
  <c r="R133" i="5"/>
  <c r="AN133" i="5"/>
  <c r="BA133" i="5"/>
  <c r="BN133" i="5"/>
  <c r="BT133" i="5"/>
  <c r="BY133" i="5"/>
  <c r="W151" i="5"/>
  <c r="W154" i="5"/>
  <c r="AE151" i="5"/>
  <c r="AE154" i="5"/>
  <c r="AN151" i="5"/>
  <c r="BT150" i="5"/>
  <c r="BU149" i="5"/>
  <c r="BA150" i="5"/>
  <c r="BL150" i="5"/>
  <c r="CK148" i="5"/>
  <c r="CK150" i="5" s="1"/>
  <c r="V149" i="5"/>
  <c r="AW151" i="5"/>
  <c r="BY149" i="5"/>
  <c r="N151" i="5"/>
  <c r="S154" i="5"/>
  <c r="S151" i="5"/>
  <c r="X154" i="5"/>
  <c r="AX150" i="5"/>
  <c r="BR150" i="5"/>
  <c r="X151" i="5"/>
  <c r="AS151" i="5"/>
  <c r="J157" i="5"/>
  <c r="T157" i="5"/>
  <c r="Y157" i="5"/>
  <c r="AD157" i="5"/>
  <c r="BH157" i="5"/>
  <c r="BM157" i="5"/>
  <c r="BR157" i="5"/>
  <c r="CB157" i="5"/>
  <c r="CG157" i="5"/>
  <c r="BF166" i="5"/>
  <c r="BZ166" i="5"/>
  <c r="BY170" i="5"/>
  <c r="BY171" i="5" s="1"/>
  <c r="BX169" i="5"/>
  <c r="J149" i="5"/>
  <c r="J150" i="5" s="1"/>
  <c r="J151" i="5" s="1"/>
  <c r="AD149" i="5"/>
  <c r="AJ149" i="5"/>
  <c r="AI149" i="5" s="1"/>
  <c r="BQ151" i="5"/>
  <c r="BQ154" i="5"/>
  <c r="AT150" i="5"/>
  <c r="BD150" i="5"/>
  <c r="BS150" i="5"/>
  <c r="CA151" i="5"/>
  <c r="P157" i="5"/>
  <c r="U157" i="5"/>
  <c r="Z157" i="5"/>
  <c r="CH157" i="5"/>
  <c r="BU150" i="5"/>
  <c r="Y154" i="5"/>
  <c r="AK151" i="5"/>
  <c r="AK154" i="5"/>
  <c r="BH151" i="5"/>
  <c r="BM154" i="5"/>
  <c r="BM151" i="5"/>
  <c r="CF151" i="5"/>
  <c r="AA150" i="5"/>
  <c r="AJ150" i="5"/>
  <c r="AU150" i="5"/>
  <c r="AZ150" i="5"/>
  <c r="CL151" i="5"/>
  <c r="L157" i="5"/>
  <c r="Q157" i="5"/>
  <c r="V157" i="5"/>
  <c r="AF157" i="5"/>
  <c r="AK157" i="5"/>
  <c r="AP157" i="5"/>
  <c r="AZ157" i="5"/>
  <c r="BE157" i="5"/>
  <c r="BJ157" i="5"/>
  <c r="CI157" i="5"/>
  <c r="AP149" i="5"/>
  <c r="BI149" i="5"/>
  <c r="BN149" i="5"/>
  <c r="BX151" i="5"/>
  <c r="CB149" i="5"/>
  <c r="L150" i="5"/>
  <c r="L151" i="5" s="1"/>
  <c r="AF150" i="5"/>
  <c r="BB151" i="5"/>
  <c r="BG151" i="5"/>
  <c r="BW154" i="5"/>
  <c r="BW151" i="5"/>
  <c r="AO151" i="5"/>
  <c r="BU166" i="5"/>
  <c r="K157" i="5"/>
  <c r="AE157" i="5"/>
  <c r="AY157" i="5"/>
  <c r="BS157" i="5"/>
  <c r="AP171" i="5"/>
  <c r="BM169" i="5"/>
  <c r="BM170" i="5" s="1"/>
  <c r="BM171" i="5" s="1"/>
  <c r="AW170" i="5"/>
  <c r="AW171" i="5" s="1"/>
  <c r="AA157" i="5"/>
  <c r="AU157" i="5"/>
  <c r="BO157" i="5"/>
  <c r="AQ171" i="5"/>
  <c r="BZ171" i="5"/>
  <c r="AZ170" i="5"/>
  <c r="AZ171" i="5" s="1"/>
  <c r="AY169" i="5"/>
  <c r="BI169" i="5"/>
  <c r="BN171" i="5"/>
  <c r="BA170" i="5"/>
  <c r="BA171" i="5" s="1"/>
  <c r="BV171" i="5"/>
  <c r="W157" i="5"/>
  <c r="AQ157" i="5"/>
  <c r="BK157" i="5"/>
  <c r="CE157" i="5"/>
  <c r="CJ157" i="5"/>
  <c r="AV171" i="5"/>
  <c r="BO171" i="5"/>
  <c r="BJ171" i="5"/>
  <c r="BT170" i="5"/>
  <c r="BT171" i="5" s="1"/>
  <c r="BS169" i="5"/>
  <c r="CC170" i="5"/>
  <c r="CC171" i="5" s="1"/>
  <c r="CB169" i="5"/>
  <c r="CB170" i="5" s="1"/>
  <c r="CB171" i="5" s="1"/>
  <c r="CJ170" i="5"/>
  <c r="CI169" i="5"/>
  <c r="AO171" i="5"/>
  <c r="O157" i="5"/>
  <c r="AI157" i="5"/>
  <c r="BC157" i="5"/>
  <c r="BW157" i="5"/>
  <c r="AQ166" i="5"/>
  <c r="BK166" i="5"/>
  <c r="CE166" i="5"/>
  <c r="BQ170" i="5"/>
  <c r="BQ171" i="5" s="1"/>
  <c r="BP168" i="5"/>
  <c r="BP170" i="5" s="1"/>
  <c r="BP171" i="5" s="1"/>
  <c r="CE171" i="5"/>
  <c r="AU170" i="5"/>
  <c r="AU171" i="5" s="1"/>
  <c r="AT169" i="5"/>
  <c r="CD171" i="5"/>
  <c r="BK171" i="5"/>
  <c r="CF171" i="5"/>
  <c r="BF169" i="5"/>
  <c r="BU170" i="5"/>
  <c r="BU171" i="5" s="1"/>
  <c r="CO185" i="5"/>
  <c r="G63" i="247"/>
  <c r="F63" i="247" s="1"/>
  <c r="E63" i="247" s="1"/>
  <c r="D62" i="247"/>
  <c r="E62" i="247" s="1"/>
  <c r="P53" i="247"/>
  <c r="O53" i="247"/>
  <c r="P48" i="247"/>
  <c r="O48" i="247"/>
  <c r="M48" i="247"/>
  <c r="F51" i="247"/>
  <c r="E51" i="247"/>
  <c r="D51" i="247"/>
  <c r="C51" i="247"/>
  <c r="F44" i="247"/>
  <c r="E44" i="247"/>
  <c r="D44" i="247"/>
  <c r="C44" i="247"/>
  <c r="J41" i="247"/>
  <c r="C38" i="247"/>
  <c r="E36" i="247"/>
  <c r="D36" i="247"/>
  <c r="C36" i="247"/>
  <c r="E34" i="247"/>
  <c r="D34" i="247"/>
  <c r="C34" i="247"/>
  <c r="G33" i="247"/>
  <c r="F33" i="247"/>
  <c r="E33" i="247"/>
  <c r="D33" i="247"/>
  <c r="C33" i="247"/>
  <c r="E32" i="247"/>
  <c r="D32" i="247"/>
  <c r="C32" i="247"/>
  <c r="N36" i="247"/>
  <c r="N37" i="247" s="1"/>
  <c r="M36" i="247"/>
  <c r="M37" i="247" s="1"/>
  <c r="L36" i="247"/>
  <c r="L37" i="247" s="1"/>
  <c r="K36" i="247"/>
  <c r="K37" i="247" s="1"/>
  <c r="N33" i="247"/>
  <c r="M33" i="247"/>
  <c r="L33" i="247"/>
  <c r="K33" i="247"/>
  <c r="N32" i="247"/>
  <c r="M32" i="247"/>
  <c r="L32" i="247"/>
  <c r="D56" i="247" s="1"/>
  <c r="K32" i="247"/>
  <c r="N31" i="247"/>
  <c r="M31" i="247"/>
  <c r="L31" i="247"/>
  <c r="L34" i="247" s="1"/>
  <c r="K31" i="247"/>
  <c r="D30" i="247"/>
  <c r="C30" i="247"/>
  <c r="B30" i="247"/>
  <c r="B43" i="247" s="1"/>
  <c r="F26" i="247"/>
  <c r="H23" i="247"/>
  <c r="H43" i="247" s="1"/>
  <c r="G23" i="247"/>
  <c r="G43" i="247" s="1"/>
  <c r="F23" i="247"/>
  <c r="F43" i="247" s="1"/>
  <c r="E23" i="247"/>
  <c r="E43" i="247" s="1"/>
  <c r="D23" i="247"/>
  <c r="D43" i="247" s="1"/>
  <c r="C23" i="247"/>
  <c r="C43" i="247" s="1"/>
  <c r="B23" i="247"/>
  <c r="N29" i="247"/>
  <c r="N38" i="247" s="1"/>
  <c r="M29" i="247"/>
  <c r="M38" i="247" s="1"/>
  <c r="L29" i="247"/>
  <c r="L38" i="247" s="1"/>
  <c r="K29" i="247"/>
  <c r="K38" i="247" s="1"/>
  <c r="N28" i="247"/>
  <c r="M28" i="247"/>
  <c r="L28" i="247"/>
  <c r="K28" i="247"/>
  <c r="N27" i="247"/>
  <c r="M27" i="247"/>
  <c r="L27" i="247"/>
  <c r="K27" i="247"/>
  <c r="P26" i="247"/>
  <c r="O26" i="247"/>
  <c r="N26" i="247"/>
  <c r="M26" i="247"/>
  <c r="L26" i="247"/>
  <c r="K26" i="247"/>
  <c r="N24" i="247"/>
  <c r="M24" i="247"/>
  <c r="L24" i="247"/>
  <c r="K24" i="247"/>
  <c r="N23" i="247"/>
  <c r="M23" i="247"/>
  <c r="L23" i="247"/>
  <c r="K23" i="247"/>
  <c r="N22" i="247"/>
  <c r="N59" i="247" s="1"/>
  <c r="M22" i="247"/>
  <c r="M59" i="247" s="1"/>
  <c r="L22" i="247"/>
  <c r="L59" i="247" s="1"/>
  <c r="K22" i="247"/>
  <c r="K59" i="247" s="1"/>
  <c r="P21" i="247"/>
  <c r="P41" i="247" s="1"/>
  <c r="L21" i="247"/>
  <c r="L41" i="247" s="1"/>
  <c r="J21" i="247"/>
  <c r="F20" i="247"/>
  <c r="E20" i="247"/>
  <c r="D20" i="247"/>
  <c r="G19" i="247"/>
  <c r="F19" i="247"/>
  <c r="E19" i="247"/>
  <c r="D19" i="247"/>
  <c r="C19" i="247"/>
  <c r="G18" i="247"/>
  <c r="F18" i="247"/>
  <c r="E18" i="247"/>
  <c r="D18" i="247"/>
  <c r="C18" i="247"/>
  <c r="H17" i="247"/>
  <c r="G17" i="247"/>
  <c r="F17" i="247"/>
  <c r="E17" i="247"/>
  <c r="D17" i="247"/>
  <c r="C17" i="247"/>
  <c r="G16" i="247"/>
  <c r="F16" i="247"/>
  <c r="E16" i="247"/>
  <c r="D16" i="247"/>
  <c r="C16" i="247"/>
  <c r="G15" i="247"/>
  <c r="F15" i="247"/>
  <c r="G14" i="247"/>
  <c r="F14" i="247"/>
  <c r="E14" i="247"/>
  <c r="D14" i="247"/>
  <c r="C14" i="247"/>
  <c r="F12" i="247"/>
  <c r="E12" i="247"/>
  <c r="D12" i="247"/>
  <c r="C12" i="247"/>
  <c r="F11" i="247"/>
  <c r="E11" i="247"/>
  <c r="D11" i="247"/>
  <c r="C11" i="247"/>
  <c r="F10" i="247"/>
  <c r="E10" i="247"/>
  <c r="D10" i="247"/>
  <c r="C10" i="247"/>
  <c r="H9" i="247"/>
  <c r="G9" i="247"/>
  <c r="F9" i="247"/>
  <c r="F8" i="247"/>
  <c r="E8" i="247"/>
  <c r="D8" i="247"/>
  <c r="C8" i="247"/>
  <c r="P15" i="247"/>
  <c r="O15" i="247"/>
  <c r="N15" i="247"/>
  <c r="M15" i="247"/>
  <c r="L15" i="247"/>
  <c r="K15" i="247"/>
  <c r="N14" i="247"/>
  <c r="M14" i="247"/>
  <c r="L14" i="247"/>
  <c r="K14" i="247"/>
  <c r="N10" i="247"/>
  <c r="M10" i="247"/>
  <c r="L10" i="247"/>
  <c r="K10" i="247"/>
  <c r="P6" i="247"/>
  <c r="O6" i="247"/>
  <c r="O21" i="247" s="1"/>
  <c r="O41" i="247" s="1"/>
  <c r="N6" i="247"/>
  <c r="N21" i="247" s="1"/>
  <c r="N41" i="247" s="1"/>
  <c r="M6" i="247"/>
  <c r="M21" i="247" s="1"/>
  <c r="M41" i="247" s="1"/>
  <c r="L6" i="247"/>
  <c r="K6" i="247"/>
  <c r="K21" i="247" s="1"/>
  <c r="K41" i="247" s="1"/>
  <c r="AG12" i="4" l="1"/>
  <c r="X85" i="4"/>
  <c r="E90" i="4" s="1"/>
  <c r="Y61" i="4"/>
  <c r="Y67" i="4"/>
  <c r="AR80" i="5"/>
  <c r="AG43" i="4"/>
  <c r="AG36" i="4"/>
  <c r="X83" i="4"/>
  <c r="E88" i="4" s="1"/>
  <c r="Y53" i="4"/>
  <c r="BT146" i="5"/>
  <c r="BE146" i="5"/>
  <c r="BN146" i="5"/>
  <c r="Y146" i="5"/>
  <c r="Y62" i="4"/>
  <c r="BN35" i="5"/>
  <c r="BE85" i="5"/>
  <c r="Y64" i="4"/>
  <c r="T146" i="5"/>
  <c r="AF86" i="4"/>
  <c r="K91" i="4" s="1"/>
  <c r="AG56" i="4"/>
  <c r="AG55" i="4"/>
  <c r="AG50" i="4"/>
  <c r="AG18" i="4"/>
  <c r="K74" i="4"/>
  <c r="K75" i="4" s="1"/>
  <c r="K76" i="4" s="1"/>
  <c r="K77" i="4" s="1"/>
  <c r="K78" i="4" s="1"/>
  <c r="K79" i="4" s="1"/>
  <c r="K80" i="4" s="1"/>
  <c r="AA63" i="4"/>
  <c r="V86" i="4"/>
  <c r="W65" i="4"/>
  <c r="V84" i="4"/>
  <c r="W57" i="4"/>
  <c r="U37" i="4"/>
  <c r="U54" i="4"/>
  <c r="U30" i="4"/>
  <c r="Y48" i="4"/>
  <c r="U60" i="4"/>
  <c r="U32" i="4"/>
  <c r="U42" i="4"/>
  <c r="S34" i="4"/>
  <c r="AB86" i="4"/>
  <c r="I91" i="4" s="1"/>
  <c r="AC65" i="4"/>
  <c r="AJ65" i="4"/>
  <c r="AC57" i="4"/>
  <c r="AJ57" i="4"/>
  <c r="AJ49" i="4"/>
  <c r="AC49" i="4"/>
  <c r="AJ41" i="4"/>
  <c r="AC41" i="4"/>
  <c r="Z86" i="4"/>
  <c r="G91" i="4" s="1"/>
  <c r="AA65" i="4"/>
  <c r="Z84" i="4"/>
  <c r="G89" i="4" s="1"/>
  <c r="AA57" i="4"/>
  <c r="AA49" i="4"/>
  <c r="AA41" i="4"/>
  <c r="AA33" i="4"/>
  <c r="W67" i="4"/>
  <c r="AA60" i="4"/>
  <c r="U50" i="4"/>
  <c r="U34" i="4"/>
  <c r="BP28" i="5"/>
  <c r="BU28" i="5"/>
  <c r="AG45" i="4"/>
  <c r="CN146" i="5"/>
  <c r="AG51" i="4"/>
  <c r="AG46" i="4"/>
  <c r="AG9" i="4"/>
  <c r="CF80" i="5"/>
  <c r="BP45" i="5"/>
  <c r="BP100" i="10"/>
  <c r="AG65" i="4"/>
  <c r="AG32" i="4"/>
  <c r="AG59" i="4"/>
  <c r="AG52" i="4"/>
  <c r="AG27" i="4"/>
  <c r="AG20" i="4"/>
  <c r="CA146" i="5"/>
  <c r="AG146" i="5"/>
  <c r="AG31" i="4"/>
  <c r="U146" i="5"/>
  <c r="Y58" i="4"/>
  <c r="BE34" i="5"/>
  <c r="Y54" i="4"/>
  <c r="AJ146" i="5"/>
  <c r="AB146" i="5"/>
  <c r="AG66" i="4"/>
  <c r="AG64" i="4"/>
  <c r="AF84" i="4"/>
  <c r="K89" i="4" s="1"/>
  <c r="AK53" i="4"/>
  <c r="AK64" i="4"/>
  <c r="AG68" i="4"/>
  <c r="AK52" i="4"/>
  <c r="AG58" i="4"/>
  <c r="AG42" i="4"/>
  <c r="AG26" i="4"/>
  <c r="AG10" i="4"/>
  <c r="AA47" i="4"/>
  <c r="AA39" i="4"/>
  <c r="AA31" i="4"/>
  <c r="W69" i="4"/>
  <c r="V85" i="4"/>
  <c r="W61" i="4"/>
  <c r="V83" i="4"/>
  <c r="W53" i="4"/>
  <c r="CN145" i="5"/>
  <c r="AH71" i="4"/>
  <c r="CO7" i="5"/>
  <c r="CP7" i="5"/>
  <c r="CP145" i="5" s="1"/>
  <c r="U46" i="4"/>
  <c r="Y68" i="4"/>
  <c r="U40" i="4"/>
  <c r="AG11" i="4"/>
  <c r="U62" i="4"/>
  <c r="AC69" i="4"/>
  <c r="AJ69" i="4"/>
  <c r="AC61" i="4"/>
  <c r="AJ61" i="4"/>
  <c r="AC62" i="4"/>
  <c r="AB83" i="4"/>
  <c r="I88" i="4" s="1"/>
  <c r="AJ53" i="4"/>
  <c r="AC53" i="4"/>
  <c r="AJ37" i="4"/>
  <c r="AC37" i="4"/>
  <c r="AA69" i="4"/>
  <c r="Z85" i="4"/>
  <c r="G90" i="4" s="1"/>
  <c r="AA61" i="4"/>
  <c r="Z83" i="4"/>
  <c r="G88" i="4" s="1"/>
  <c r="AA53" i="4"/>
  <c r="AA45" i="4"/>
  <c r="AA37" i="4"/>
  <c r="AA29" i="4"/>
  <c r="W63" i="4"/>
  <c r="W55" i="4"/>
  <c r="W58" i="4"/>
  <c r="U66" i="4"/>
  <c r="U38" i="4"/>
  <c r="AG13" i="4"/>
  <c r="X84" i="4"/>
  <c r="E89" i="4" s="1"/>
  <c r="Y57" i="4"/>
  <c r="AG60" i="4"/>
  <c r="AG14" i="4"/>
  <c r="T85" i="4"/>
  <c r="U61" i="4"/>
  <c r="T83" i="4"/>
  <c r="U53" i="4"/>
  <c r="AA55" i="4"/>
  <c r="AG35" i="4"/>
  <c r="BK39" i="5"/>
  <c r="BF100" i="10"/>
  <c r="AG49" i="4"/>
  <c r="AG61" i="4"/>
  <c r="AG29" i="4"/>
  <c r="Y60" i="4"/>
  <c r="CD146" i="5"/>
  <c r="BO146" i="5"/>
  <c r="AU146" i="5"/>
  <c r="AS146" i="5"/>
  <c r="X86" i="4"/>
  <c r="E91" i="4" s="1"/>
  <c r="Y65" i="4"/>
  <c r="BM146" i="5"/>
  <c r="AG40" i="4"/>
  <c r="AG33" i="4"/>
  <c r="AG24" i="4"/>
  <c r="AG17" i="4"/>
  <c r="AF85" i="4"/>
  <c r="K90" i="4" s="1"/>
  <c r="AK57" i="4"/>
  <c r="AG63" i="4"/>
  <c r="AG54" i="4"/>
  <c r="AG38" i="4"/>
  <c r="AG22" i="4"/>
  <c r="T86" i="4"/>
  <c r="U65" i="4"/>
  <c r="T84" i="4"/>
  <c r="U57" i="4"/>
  <c r="U49" i="4"/>
  <c r="R84" i="4"/>
  <c r="C89" i="4" s="1"/>
  <c r="S57" i="4"/>
  <c r="U64" i="4"/>
  <c r="AA56" i="4"/>
  <c r="AA48" i="4"/>
  <c r="AA40" i="4"/>
  <c r="W54" i="4"/>
  <c r="S50" i="4"/>
  <c r="AA32" i="4"/>
  <c r="W50" i="4"/>
  <c r="W82" i="4" s="1"/>
  <c r="U59" i="4"/>
  <c r="S42" i="4"/>
  <c r="S82" i="4" s="1"/>
  <c r="N61" i="160"/>
  <c r="H61" i="160"/>
  <c r="M75" i="160"/>
  <c r="M47" i="160"/>
  <c r="J61" i="160"/>
  <c r="I42" i="160"/>
  <c r="D47" i="160"/>
  <c r="D75" i="160"/>
  <c r="E75" i="160"/>
  <c r="E47" i="160"/>
  <c r="H47" i="160"/>
  <c r="H75" i="160"/>
  <c r="J75" i="160"/>
  <c r="J47" i="160"/>
  <c r="I75" i="160"/>
  <c r="I47" i="160"/>
  <c r="N75" i="160"/>
  <c r="N47" i="160"/>
  <c r="M61" i="160"/>
  <c r="E61" i="160"/>
  <c r="CD16" i="258"/>
  <c r="CD120" i="258" s="1"/>
  <c r="CS16" i="258"/>
  <c r="CS120" i="258" s="1"/>
  <c r="BA16" i="258"/>
  <c r="BE16" i="258"/>
  <c r="BE120" i="258" s="1"/>
  <c r="BS10" i="258"/>
  <c r="BR14" i="258"/>
  <c r="BR15" i="258" s="1"/>
  <c r="BW16" i="258"/>
  <c r="BW120" i="258" s="1"/>
  <c r="BC16" i="258"/>
  <c r="BC120" i="258" s="1"/>
  <c r="BT16" i="258"/>
  <c r="BT120" i="258" s="1"/>
  <c r="AV159" i="258"/>
  <c r="AV160" i="258" s="1"/>
  <c r="CA136" i="258"/>
  <c r="BB136" i="258"/>
  <c r="BB137" i="258" s="1"/>
  <c r="AX159" i="258"/>
  <c r="AX160" i="258" s="1"/>
  <c r="BC137" i="258"/>
  <c r="BD99" i="258"/>
  <c r="BS113" i="258"/>
  <c r="BS114" i="258" s="1"/>
  <c r="BE97" i="258"/>
  <c r="BE98" i="258" s="1"/>
  <c r="BF99" i="258" s="1"/>
  <c r="BC80" i="258"/>
  <c r="BD78" i="258" s="1"/>
  <c r="BC81" i="258"/>
  <c r="BC82" i="258" s="1"/>
  <c r="AT75" i="258"/>
  <c r="AT57" i="258"/>
  <c r="AT58" i="258" s="1"/>
  <c r="AT56" i="258"/>
  <c r="AU54" i="258" s="1"/>
  <c r="BI24" i="258"/>
  <c r="BJ22" i="258" s="1"/>
  <c r="BJ14" i="258"/>
  <c r="BJ15" i="258" s="1"/>
  <c r="CY13" i="258"/>
  <c r="CY14" i="258" s="1"/>
  <c r="CY15" i="258" s="1"/>
  <c r="CE14" i="258"/>
  <c r="CE15" i="258" s="1"/>
  <c r="BF12" i="258"/>
  <c r="BF14" i="258"/>
  <c r="BF15" i="258" s="1"/>
  <c r="BF13" i="258"/>
  <c r="BG13" i="258" s="1"/>
  <c r="BH10" i="258" s="1"/>
  <c r="BS105" i="258"/>
  <c r="BS106" i="258" s="1"/>
  <c r="BS104" i="258"/>
  <c r="BT102" i="258" s="1"/>
  <c r="BF97" i="258"/>
  <c r="BF98" i="258" s="1"/>
  <c r="BF96" i="258"/>
  <c r="BG96" i="258" s="1"/>
  <c r="BH94" i="258" s="1"/>
  <c r="AU65" i="258"/>
  <c r="AU66" i="258" s="1"/>
  <c r="AU64" i="258"/>
  <c r="AV62" i="258" s="1"/>
  <c r="AV72" i="258"/>
  <c r="AW72" i="258" s="1"/>
  <c r="AX70" i="258" s="1"/>
  <c r="AT59" i="258"/>
  <c r="AY24" i="258"/>
  <c r="AZ22" i="258" s="1"/>
  <c r="AY25" i="258"/>
  <c r="AY26" i="258" s="1"/>
  <c r="CJ13" i="258"/>
  <c r="CK13" i="258" s="1"/>
  <c r="CL10" i="258" s="1"/>
  <c r="CJ14" i="258"/>
  <c r="CJ15" i="258" s="1"/>
  <c r="CX16" i="258"/>
  <c r="CX120" i="258" s="1"/>
  <c r="AU48" i="258"/>
  <c r="AV46" i="258" s="1"/>
  <c r="BO16" i="258"/>
  <c r="BO120" i="258" s="1"/>
  <c r="BP16" i="258"/>
  <c r="CN16" i="258"/>
  <c r="CN120" i="258" s="1"/>
  <c r="CG14" i="258"/>
  <c r="CG15" i="258" s="1"/>
  <c r="CG13" i="258"/>
  <c r="CH10" i="258" s="1"/>
  <c r="BF156" i="258"/>
  <c r="BF157" i="258" s="1"/>
  <c r="BF159" i="258"/>
  <c r="BF160" i="258" s="1"/>
  <c r="CA137" i="258"/>
  <c r="AS137" i="258"/>
  <c r="BW137" i="258"/>
  <c r="BS115" i="258"/>
  <c r="AT89" i="258"/>
  <c r="AT90" i="258" s="1"/>
  <c r="AT91" i="258" s="1"/>
  <c r="AT88" i="258"/>
  <c r="AU86" i="258" s="1"/>
  <c r="BR105" i="258"/>
  <c r="BR106" i="258" s="1"/>
  <c r="BS107" i="258" s="1"/>
  <c r="AT83" i="258"/>
  <c r="AU80" i="258"/>
  <c r="AV78" i="258" s="1"/>
  <c r="AU73" i="258"/>
  <c r="AU74" i="258" s="1"/>
  <c r="AT51" i="258"/>
  <c r="AX25" i="258"/>
  <c r="AX26" i="258" s="1"/>
  <c r="BK13" i="258"/>
  <c r="BL13" i="258" s="1"/>
  <c r="BM10" i="258" s="1"/>
  <c r="CO13" i="258"/>
  <c r="CO14" i="258"/>
  <c r="CO15" i="258" s="1"/>
  <c r="AT49" i="258"/>
  <c r="AT50" i="258" s="1"/>
  <c r="AT24" i="258"/>
  <c r="AU22" i="258" s="1"/>
  <c r="CI14" i="258"/>
  <c r="CI15" i="258" s="1"/>
  <c r="AU40" i="258"/>
  <c r="AV38" i="258" s="1"/>
  <c r="AU41" i="258"/>
  <c r="AU42" i="258" s="1"/>
  <c r="BC159" i="258"/>
  <c r="BC160" i="258" s="1"/>
  <c r="BA159" i="258"/>
  <c r="BA160" i="258" s="1"/>
  <c r="AU159" i="258"/>
  <c r="BG137" i="258"/>
  <c r="AT96" i="258"/>
  <c r="AU94" i="258" s="1"/>
  <c r="BT112" i="258"/>
  <c r="BU110" i="258" s="1"/>
  <c r="AT65" i="258"/>
  <c r="AT66" i="258" s="1"/>
  <c r="AT67" i="258" s="1"/>
  <c r="AU32" i="258"/>
  <c r="AV30" i="258" s="1"/>
  <c r="AZ16" i="258"/>
  <c r="AZ120" i="258" s="1"/>
  <c r="AS25" i="258"/>
  <c r="AS26" i="258" s="1"/>
  <c r="AT33" i="258"/>
  <c r="AT34" i="258" s="1"/>
  <c r="AT35" i="258" s="1"/>
  <c r="AY16" i="258"/>
  <c r="BR156" i="258"/>
  <c r="BR157" i="258" s="1"/>
  <c r="BR159" i="258" s="1"/>
  <c r="BR160" i="258" s="1"/>
  <c r="BR133" i="258"/>
  <c r="BX13" i="258"/>
  <c r="BY10" i="258" s="1"/>
  <c r="CT13" i="258"/>
  <c r="CT14" i="258"/>
  <c r="CT15" i="258" s="1"/>
  <c r="M72" i="4"/>
  <c r="C73" i="4"/>
  <c r="I72" i="4"/>
  <c r="AJ71" i="4"/>
  <c r="AH94" i="10"/>
  <c r="AH31" i="10"/>
  <c r="AH32" i="10" s="1"/>
  <c r="BQ94" i="10"/>
  <c r="BQ48" i="10"/>
  <c r="BQ31" i="10"/>
  <c r="BQ32" i="10" s="1"/>
  <c r="AF48" i="10"/>
  <c r="AF94" i="10"/>
  <c r="AF97" i="10" s="1"/>
  <c r="AF31" i="10"/>
  <c r="AF177" i="5"/>
  <c r="L48" i="10"/>
  <c r="L94" i="10"/>
  <c r="L97" i="10" s="1"/>
  <c r="L31" i="10"/>
  <c r="BB243" i="10"/>
  <c r="BB29" i="10"/>
  <c r="BB16" i="10"/>
  <c r="CE214" i="10"/>
  <c r="CE185" i="5"/>
  <c r="BV253" i="10"/>
  <c r="BV254" i="10" s="1"/>
  <c r="BV255" i="10" s="1"/>
  <c r="K49" i="247"/>
  <c r="W21" i="10"/>
  <c r="W186" i="5"/>
  <c r="BV139" i="10"/>
  <c r="BV150" i="10" s="1"/>
  <c r="K34" i="247"/>
  <c r="BV170" i="10"/>
  <c r="BL139" i="10"/>
  <c r="BL150" i="10" s="1"/>
  <c r="BL170" i="10"/>
  <c r="Z94" i="10"/>
  <c r="Z97" i="10" s="1"/>
  <c r="Z48" i="10"/>
  <c r="Z31" i="10"/>
  <c r="Z177" i="5"/>
  <c r="BB94" i="10"/>
  <c r="BB48" i="10"/>
  <c r="BB31" i="10"/>
  <c r="BB32" i="10" s="1"/>
  <c r="U94" i="10"/>
  <c r="U97" i="10" s="1"/>
  <c r="U48" i="10"/>
  <c r="U31" i="10"/>
  <c r="U177" i="5"/>
  <c r="BV243" i="10"/>
  <c r="BV29" i="10"/>
  <c r="BV16" i="10"/>
  <c r="BV249" i="10"/>
  <c r="AB48" i="10"/>
  <c r="AB94" i="10"/>
  <c r="AB97" i="10" s="1"/>
  <c r="AB31" i="10"/>
  <c r="CK243" i="10"/>
  <c r="CK16" i="10"/>
  <c r="CK249" i="10"/>
  <c r="CK29" i="10"/>
  <c r="CK228" i="10"/>
  <c r="N56" i="247" s="1"/>
  <c r="N53" i="247"/>
  <c r="N55" i="247" s="1"/>
  <c r="CA253" i="10"/>
  <c r="CA254" i="10" s="1"/>
  <c r="CA255" i="10" s="1"/>
  <c r="L49" i="247"/>
  <c r="CK139" i="10"/>
  <c r="CK150" i="10" s="1"/>
  <c r="N34" i="247"/>
  <c r="CK170" i="10"/>
  <c r="AL52" i="10"/>
  <c r="AL53" i="10" s="1"/>
  <c r="AL57" i="10"/>
  <c r="AL49" i="10"/>
  <c r="BU57" i="10"/>
  <c r="BU49" i="10"/>
  <c r="BU52" i="10"/>
  <c r="V94" i="10"/>
  <c r="V177" i="5"/>
  <c r="V48" i="10"/>
  <c r="V31" i="10"/>
  <c r="AK94" i="10"/>
  <c r="AK97" i="10" s="1"/>
  <c r="AK48" i="10"/>
  <c r="AK177" i="5"/>
  <c r="AK31" i="10"/>
  <c r="Q94" i="10"/>
  <c r="Q97" i="10" s="1"/>
  <c r="Q48" i="10"/>
  <c r="Q31" i="10"/>
  <c r="CA243" i="10"/>
  <c r="CA29" i="10"/>
  <c r="CA16" i="10"/>
  <c r="CA250" i="10"/>
  <c r="CA249" i="10"/>
  <c r="BQ243" i="10"/>
  <c r="BQ16" i="10"/>
  <c r="BQ249" i="10"/>
  <c r="BQ29" i="10"/>
  <c r="K53" i="247"/>
  <c r="BQ139" i="10"/>
  <c r="BQ150" i="10" s="1"/>
  <c r="BQ170" i="10"/>
  <c r="R94" i="10"/>
  <c r="R97" i="10" s="1"/>
  <c r="R48" i="10"/>
  <c r="R31" i="10"/>
  <c r="BV94" i="10"/>
  <c r="BV48" i="10"/>
  <c r="BV31" i="10"/>
  <c r="BV32" i="10" s="1"/>
  <c r="BP57" i="10"/>
  <c r="BP49" i="10"/>
  <c r="BP52" i="10"/>
  <c r="AG94" i="10"/>
  <c r="AG97" i="10" s="1"/>
  <c r="AG31" i="10"/>
  <c r="BG243" i="10"/>
  <c r="BG29" i="10"/>
  <c r="BG16" i="10"/>
  <c r="BG250" i="10"/>
  <c r="AW243" i="10"/>
  <c r="AW29" i="10"/>
  <c r="AW249" i="10"/>
  <c r="N25" i="247"/>
  <c r="L35" i="247"/>
  <c r="E56" i="247"/>
  <c r="C56" i="247"/>
  <c r="M34" i="247"/>
  <c r="BV230" i="10"/>
  <c r="BU226" i="10"/>
  <c r="BV226" i="10" s="1"/>
  <c r="BV228" i="10" s="1"/>
  <c r="K56" i="247" s="1"/>
  <c r="BD228" i="10"/>
  <c r="BE217" i="10"/>
  <c r="BE228" i="10" s="1"/>
  <c r="BJ185" i="5"/>
  <c r="BY226" i="10"/>
  <c r="BY228" i="10" s="1"/>
  <c r="R224" i="10"/>
  <c r="R157" i="10" s="1"/>
  <c r="AU214" i="10"/>
  <c r="AU185" i="5"/>
  <c r="AU228" i="10"/>
  <c r="L214" i="10"/>
  <c r="M209" i="10"/>
  <c r="M214" i="10" s="1"/>
  <c r="BK209" i="10"/>
  <c r="AG214" i="10"/>
  <c r="AG185" i="5"/>
  <c r="AH185" i="5" s="1"/>
  <c r="BZ212" i="10"/>
  <c r="BY203" i="10"/>
  <c r="CA212" i="10"/>
  <c r="CA214" i="10" s="1"/>
  <c r="L51" i="247" s="1"/>
  <c r="L50" i="247" s="1"/>
  <c r="AF214" i="10"/>
  <c r="BA210" i="10"/>
  <c r="CJ203" i="10"/>
  <c r="BD203" i="10"/>
  <c r="AG203" i="10"/>
  <c r="CJ193" i="10"/>
  <c r="CJ186" i="5" s="1"/>
  <c r="CJ21" i="10" s="1"/>
  <c r="CJ95" i="10" s="1"/>
  <c r="CI193" i="10"/>
  <c r="CI186" i="5" s="1"/>
  <c r="CI21" i="10" s="1"/>
  <c r="CH186" i="5"/>
  <c r="CH21" i="10" s="1"/>
  <c r="AQ21" i="10"/>
  <c r="AQ186" i="5"/>
  <c r="BZ198" i="10"/>
  <c r="BZ203" i="10" s="1"/>
  <c r="AA195" i="10"/>
  <c r="AA69" i="10" s="1"/>
  <c r="CK195" i="10"/>
  <c r="CA194" i="10"/>
  <c r="AV186" i="5"/>
  <c r="AV21" i="10"/>
  <c r="BU193" i="10"/>
  <c r="BU186" i="5" s="1"/>
  <c r="BU21" i="10" s="1"/>
  <c r="AG155" i="10"/>
  <c r="L155" i="10"/>
  <c r="AP155" i="10"/>
  <c r="BZ155" i="10"/>
  <c r="CD155" i="10"/>
  <c r="AR183" i="10"/>
  <c r="AR182" i="10"/>
  <c r="AR162" i="10"/>
  <c r="BV250" i="10"/>
  <c r="AC174" i="10"/>
  <c r="BS174" i="10"/>
  <c r="AW169" i="10"/>
  <c r="AW167" i="10"/>
  <c r="AX168" i="10" s="1"/>
  <c r="BB168" i="10" s="1"/>
  <c r="AW134" i="10"/>
  <c r="AB152" i="10"/>
  <c r="BU240" i="10"/>
  <c r="BU171" i="10"/>
  <c r="BA240" i="10"/>
  <c r="BA171" i="10"/>
  <c r="Y171" i="10"/>
  <c r="BG169" i="10"/>
  <c r="BG167" i="10"/>
  <c r="BH168" i="10" s="1"/>
  <c r="BL168" i="10" s="1"/>
  <c r="AM168" i="10"/>
  <c r="BW174" i="10"/>
  <c r="BF174" i="10"/>
  <c r="AP174" i="10"/>
  <c r="BX170" i="10"/>
  <c r="BD171" i="10"/>
  <c r="T155" i="10"/>
  <c r="AR175" i="10"/>
  <c r="BQ174" i="10"/>
  <c r="N174" i="10"/>
  <c r="CI171" i="10"/>
  <c r="AU170" i="10"/>
  <c r="AA170" i="10"/>
  <c r="AU155" i="10"/>
  <c r="CA183" i="10"/>
  <c r="CA182" i="10"/>
  <c r="CA162" i="10"/>
  <c r="AW250" i="10"/>
  <c r="X174" i="10"/>
  <c r="BY174" i="10"/>
  <c r="BM174" i="10"/>
  <c r="AX174" i="10"/>
  <c r="BR152" i="10"/>
  <c r="AT170" i="10"/>
  <c r="Z170" i="10"/>
  <c r="T201" i="10"/>
  <c r="CF170" i="10"/>
  <c r="CL94" i="10"/>
  <c r="CL38" i="10"/>
  <c r="CL31" i="10"/>
  <c r="CL48" i="10"/>
  <c r="CL177" i="5"/>
  <c r="AR174" i="10"/>
  <c r="X170" i="10"/>
  <c r="CS65" i="10"/>
  <c r="CA150" i="10"/>
  <c r="BV152" i="10"/>
  <c r="AH152" i="10"/>
  <c r="N182" i="10"/>
  <c r="AC168" i="10"/>
  <c r="AQ168" i="10"/>
  <c r="AR168" i="10" s="1"/>
  <c r="CC57" i="10"/>
  <c r="CC49" i="10"/>
  <c r="CC52" i="10"/>
  <c r="CC53" i="10" s="1"/>
  <c r="BS101" i="10"/>
  <c r="BS98" i="10"/>
  <c r="AY101" i="10"/>
  <c r="AY98" i="10"/>
  <c r="AY180" i="5"/>
  <c r="AS23" i="10"/>
  <c r="AS20" i="10"/>
  <c r="S243" i="10"/>
  <c r="S16" i="10"/>
  <c r="BM188" i="10"/>
  <c r="BM109" i="10"/>
  <c r="BQ110" i="10" s="1"/>
  <c r="CN73" i="10"/>
  <c r="CN74" i="10" s="1"/>
  <c r="CO76" i="10"/>
  <c r="BW192" i="10"/>
  <c r="BW206" i="10" s="1"/>
  <c r="BW158" i="10"/>
  <c r="BW157" i="10" s="1"/>
  <c r="BW92" i="10"/>
  <c r="CF69" i="10"/>
  <c r="AB52" i="10"/>
  <c r="BK57" i="10"/>
  <c r="BK49" i="10"/>
  <c r="T168" i="10"/>
  <c r="BR101" i="10"/>
  <c r="BR98" i="10"/>
  <c r="AX101" i="10"/>
  <c r="AX98" i="10"/>
  <c r="AX180" i="5"/>
  <c r="BH188" i="10"/>
  <c r="BH109" i="10"/>
  <c r="BL110" i="10" s="1"/>
  <c r="BJ58" i="10"/>
  <c r="BJ60" i="10"/>
  <c r="BJ90" i="10"/>
  <c r="BI57" i="10"/>
  <c r="BI49" i="10"/>
  <c r="BI52" i="10"/>
  <c r="BA57" i="10"/>
  <c r="BA49" i="10"/>
  <c r="Y94" i="10"/>
  <c r="Y97" i="10" s="1"/>
  <c r="Y48" i="10"/>
  <c r="Y31" i="10"/>
  <c r="Y177" i="5"/>
  <c r="AW41" i="10"/>
  <c r="CA69" i="10"/>
  <c r="BP69" i="10"/>
  <c r="BO52" i="10"/>
  <c r="BO49" i="10"/>
  <c r="BO57" i="10"/>
  <c r="BF168" i="10"/>
  <c r="BG168" i="10" s="1"/>
  <c r="BT57" i="10"/>
  <c r="BT49" i="10"/>
  <c r="BH57" i="10"/>
  <c r="BH49" i="10"/>
  <c r="T94" i="10"/>
  <c r="T97" i="10" s="1"/>
  <c r="T48" i="10"/>
  <c r="T31" i="10"/>
  <c r="T177" i="5"/>
  <c r="X38" i="10"/>
  <c r="X41" i="10" s="1"/>
  <c r="AR15" i="10"/>
  <c r="AR250" i="10" s="1"/>
  <c r="AJ57" i="10"/>
  <c r="AJ52" i="10"/>
  <c r="AJ53" i="10" s="1"/>
  <c r="AE52" i="10"/>
  <c r="AE57" i="10"/>
  <c r="AE49" i="10"/>
  <c r="P41" i="10"/>
  <c r="BZ58" i="10"/>
  <c r="BZ60" i="10"/>
  <c r="BZ102" i="10"/>
  <c r="BZ90" i="10"/>
  <c r="AK178" i="10"/>
  <c r="AL178" i="10"/>
  <c r="AJ178" i="10"/>
  <c r="AI178" i="10"/>
  <c r="AI97" i="10"/>
  <c r="M38" i="10"/>
  <c r="M41" i="10" s="1"/>
  <c r="W52" i="10"/>
  <c r="W49" i="10"/>
  <c r="W57" i="10"/>
  <c r="S29" i="10"/>
  <c r="O19" i="10"/>
  <c r="M35" i="247"/>
  <c r="E49" i="247"/>
  <c r="CW243" i="10"/>
  <c r="CD226" i="10"/>
  <c r="CE226" i="10" s="1"/>
  <c r="CS225" i="10"/>
  <c r="CP225" i="10"/>
  <c r="CC228" i="10"/>
  <c r="CJ212" i="10"/>
  <c r="CI212" i="10"/>
  <c r="CI214" i="10" s="1"/>
  <c r="AP214" i="10"/>
  <c r="AP185" i="5"/>
  <c r="AY228" i="10"/>
  <c r="AZ217" i="10"/>
  <c r="AZ228" i="10" s="1"/>
  <c r="AL185" i="5"/>
  <c r="AM185" i="5" s="1"/>
  <c r="AV228" i="10"/>
  <c r="CH214" i="10"/>
  <c r="AZ212" i="10"/>
  <c r="AZ214" i="10" s="1"/>
  <c r="CJ214" i="10"/>
  <c r="CJ185" i="5"/>
  <c r="CK185" i="5" s="1"/>
  <c r="BA185" i="5"/>
  <c r="BB185" i="5" s="1"/>
  <c r="AK212" i="10"/>
  <c r="BO203" i="10"/>
  <c r="BJ212" i="10"/>
  <c r="BK212" i="10" s="1"/>
  <c r="AB214" i="10"/>
  <c r="AB185" i="5"/>
  <c r="BX95" i="10"/>
  <c r="BX19" i="10"/>
  <c r="AZ21" i="10"/>
  <c r="AZ186" i="5"/>
  <c r="CF220" i="10"/>
  <c r="M54" i="247" s="1"/>
  <c r="BA201" i="10"/>
  <c r="BJ201" i="10"/>
  <c r="BK201" i="10" s="1"/>
  <c r="BT194" i="10"/>
  <c r="BU194" i="10" s="1"/>
  <c r="BV194" i="10" s="1"/>
  <c r="BV203" i="10"/>
  <c r="K45" i="247" s="1"/>
  <c r="AB195" i="10"/>
  <c r="AB69" i="10" s="1"/>
  <c r="BV193" i="10"/>
  <c r="BQ201" i="10"/>
  <c r="AL21" i="10"/>
  <c r="AL95" i="10" s="1"/>
  <c r="AL97" i="10" s="1"/>
  <c r="AL186" i="5"/>
  <c r="AM186" i="5" s="1"/>
  <c r="AM21" i="10" s="1"/>
  <c r="AM95" i="10" s="1"/>
  <c r="BJ194" i="10"/>
  <c r="BK194" i="10" s="1"/>
  <c r="CK198" i="10"/>
  <c r="BK95" i="10"/>
  <c r="BK97" i="10" s="1"/>
  <c r="BK19" i="10"/>
  <c r="CH155" i="10"/>
  <c r="AB155" i="10"/>
  <c r="AF155" i="10"/>
  <c r="P171" i="10"/>
  <c r="BJ155" i="10"/>
  <c r="BN155" i="10"/>
  <c r="CN159" i="10"/>
  <c r="CO145" i="10"/>
  <c r="BV169" i="10"/>
  <c r="BV167" i="10"/>
  <c r="BW168" i="10" s="1"/>
  <c r="BU174" i="10"/>
  <c r="BE174" i="10"/>
  <c r="CE155" i="10"/>
  <c r="CH174" i="10"/>
  <c r="BX174" i="10"/>
  <c r="BL169" i="10"/>
  <c r="BL167" i="10"/>
  <c r="BM168" i="10" s="1"/>
  <c r="BQ168" i="10" s="1"/>
  <c r="CG171" i="10"/>
  <c r="BM171" i="10"/>
  <c r="AO240" i="10"/>
  <c r="AO171" i="10"/>
  <c r="U170" i="10"/>
  <c r="U126" i="10"/>
  <c r="U152" i="10" s="1"/>
  <c r="BK155" i="10"/>
  <c r="AE155" i="10"/>
  <c r="CF168" i="10"/>
  <c r="BB150" i="10"/>
  <c r="BB152" i="10" s="1"/>
  <c r="CG174" i="10"/>
  <c r="BS168" i="10"/>
  <c r="BP152" i="10"/>
  <c r="AU152" i="10"/>
  <c r="BT171" i="10"/>
  <c r="AZ240" i="10"/>
  <c r="AZ171" i="10"/>
  <c r="AB170" i="10"/>
  <c r="BO155" i="10"/>
  <c r="AQ155" i="10"/>
  <c r="CN160" i="10"/>
  <c r="CO146" i="10"/>
  <c r="CN156" i="10"/>
  <c r="BV175" i="10"/>
  <c r="CG168" i="10"/>
  <c r="CK168" i="10" s="1"/>
  <c r="BG134" i="10"/>
  <c r="CE170" i="10"/>
  <c r="CG240" i="10" s="1"/>
  <c r="BK170" i="10"/>
  <c r="AQ170" i="10"/>
  <c r="W170" i="10"/>
  <c r="Y201" i="10"/>
  <c r="S134" i="10"/>
  <c r="S139" i="10" s="1"/>
  <c r="S150" i="10" s="1"/>
  <c r="CI174" i="10"/>
  <c r="CL170" i="10"/>
  <c r="BJ170" i="10"/>
  <c r="AP170" i="10"/>
  <c r="V170" i="10"/>
  <c r="S152" i="10"/>
  <c r="AI155" i="10"/>
  <c r="BL152" i="10"/>
  <c r="AS152" i="10"/>
  <c r="CH52" i="10"/>
  <c r="CH53" i="10" s="1"/>
  <c r="CH57" i="10"/>
  <c r="CH49" i="10"/>
  <c r="CA152" i="10"/>
  <c r="CQ117" i="10"/>
  <c r="CN224" i="10"/>
  <c r="CO65" i="10"/>
  <c r="AH170" i="10"/>
  <c r="BQ152" i="10"/>
  <c r="AC152" i="10"/>
  <c r="AX52" i="10"/>
  <c r="AX53" i="10" s="1"/>
  <c r="AX57" i="10"/>
  <c r="AX49" i="10"/>
  <c r="CC98" i="10"/>
  <c r="CC101" i="10"/>
  <c r="AS188" i="10"/>
  <c r="AS109" i="10"/>
  <c r="AW110" i="10" s="1"/>
  <c r="CD58" i="10"/>
  <c r="CD102" i="10"/>
  <c r="CD60" i="10"/>
  <c r="CD90" i="10"/>
  <c r="BC52" i="10"/>
  <c r="BC53" i="10" s="1"/>
  <c r="BC49" i="10"/>
  <c r="BC57" i="10"/>
  <c r="AT101" i="10"/>
  <c r="AT98" i="10"/>
  <c r="AT180" i="5"/>
  <c r="AN188" i="10"/>
  <c r="AN109" i="10"/>
  <c r="AR110" i="10" s="1"/>
  <c r="BR102" i="10"/>
  <c r="BR90" i="10"/>
  <c r="BR58" i="10"/>
  <c r="BR60" i="10"/>
  <c r="AT52" i="10"/>
  <c r="AT53" i="10" s="1"/>
  <c r="AT57" i="10"/>
  <c r="AT49" i="10"/>
  <c r="BI98" i="10"/>
  <c r="AY52" i="10"/>
  <c r="AY53" i="10" s="1"/>
  <c r="AY49" i="10"/>
  <c r="AY57" i="10"/>
  <c r="BY57" i="10"/>
  <c r="BY49" i="10"/>
  <c r="BY52" i="10"/>
  <c r="BY53" i="10" s="1"/>
  <c r="BD98" i="10"/>
  <c r="BD180" i="5"/>
  <c r="CA94" i="10"/>
  <c r="CA48" i="10"/>
  <c r="CA31" i="10"/>
  <c r="CA32" i="10" s="1"/>
  <c r="S41" i="10"/>
  <c r="AX23" i="10"/>
  <c r="AX20" i="10"/>
  <c r="X243" i="10"/>
  <c r="X16" i="10"/>
  <c r="X176" i="5"/>
  <c r="AM38" i="10"/>
  <c r="AM41" i="10" s="1"/>
  <c r="AJ101" i="10"/>
  <c r="AE101" i="10"/>
  <c r="AE98" i="10"/>
  <c r="AE180" i="5"/>
  <c r="K57" i="10"/>
  <c r="K49" i="10"/>
  <c r="BW23" i="10"/>
  <c r="BW20" i="10"/>
  <c r="N94" i="10"/>
  <c r="N97" i="10" s="1"/>
  <c r="N48" i="10"/>
  <c r="N31" i="10"/>
  <c r="BM23" i="10"/>
  <c r="BM20" i="10"/>
  <c r="AO31" i="10"/>
  <c r="AO26" i="10"/>
  <c r="AE19" i="10"/>
  <c r="BS23" i="10"/>
  <c r="BS20" i="10"/>
  <c r="AA94" i="10"/>
  <c r="AA97" i="10" s="1"/>
  <c r="AA31" i="10"/>
  <c r="AA48" i="10"/>
  <c r="AA177" i="5"/>
  <c r="AI19" i="10"/>
  <c r="K25" i="247"/>
  <c r="L25" i="247"/>
  <c r="N35" i="247"/>
  <c r="CV243" i="10"/>
  <c r="AF226" i="10"/>
  <c r="AG226" i="10" s="1"/>
  <c r="Q228" i="10"/>
  <c r="CK212" i="10"/>
  <c r="CA218" i="10"/>
  <c r="AY214" i="10"/>
  <c r="CD228" i="10"/>
  <c r="CE218" i="10"/>
  <c r="BI228" i="10"/>
  <c r="BJ217" i="10"/>
  <c r="BJ228" i="10" s="1"/>
  <c r="BT212" i="10"/>
  <c r="BT214" i="10" s="1"/>
  <c r="AQ210" i="10"/>
  <c r="BU185" i="5"/>
  <c r="BV185" i="5" s="1"/>
  <c r="AQ209" i="10"/>
  <c r="W209" i="10"/>
  <c r="V214" i="10"/>
  <c r="V185" i="5"/>
  <c r="CF218" i="10"/>
  <c r="AO214" i="10"/>
  <c r="BK198" i="10"/>
  <c r="BF203" i="10"/>
  <c r="AK203" i="10"/>
  <c r="AL198" i="10"/>
  <c r="AL203" i="10" s="1"/>
  <c r="BT95" i="10"/>
  <c r="BT19" i="10"/>
  <c r="CE219" i="10"/>
  <c r="CF219" i="10" s="1"/>
  <c r="CF201" i="10"/>
  <c r="BP198" i="10"/>
  <c r="BP203" i="10" s="1"/>
  <c r="AZ203" i="10"/>
  <c r="BA198" i="10"/>
  <c r="BA203" i="10" s="1"/>
  <c r="BP193" i="10"/>
  <c r="BP186" i="5" s="1"/>
  <c r="BP21" i="10" s="1"/>
  <c r="BO193" i="10"/>
  <c r="BO186" i="5" s="1"/>
  <c r="BO21" i="10" s="1"/>
  <c r="BN186" i="5"/>
  <c r="BN21" i="10" s="1"/>
  <c r="CK201" i="10"/>
  <c r="BF95" i="10"/>
  <c r="BF97" i="10" s="1"/>
  <c r="BF176" i="10" s="1"/>
  <c r="BF19" i="10"/>
  <c r="AV199" i="10"/>
  <c r="CD95" i="10"/>
  <c r="CD97" i="10" s="1"/>
  <c r="CD19" i="10"/>
  <c r="AY203" i="10"/>
  <c r="BA195" i="10"/>
  <c r="BA69" i="10" s="1"/>
  <c r="BY193" i="10"/>
  <c r="BY186" i="5" s="1"/>
  <c r="BY21" i="10" s="1"/>
  <c r="W195" i="10"/>
  <c r="W69" i="10" s="1"/>
  <c r="BA193" i="10"/>
  <c r="CC155" i="10"/>
  <c r="V155" i="10"/>
  <c r="BF155" i="10"/>
  <c r="Z155" i="10"/>
  <c r="AM183" i="10"/>
  <c r="AM182" i="10"/>
  <c r="AM162" i="10"/>
  <c r="AT155" i="10"/>
  <c r="BB182" i="10"/>
  <c r="BB183" i="10"/>
  <c r="BB162" i="10"/>
  <c r="BQ250" i="10"/>
  <c r="BB174" i="10"/>
  <c r="CC170" i="10"/>
  <c r="BI171" i="10"/>
  <c r="AK240" i="10"/>
  <c r="AK171" i="10"/>
  <c r="M240" i="10"/>
  <c r="M171" i="10"/>
  <c r="CP155" i="10"/>
  <c r="CL155" i="10"/>
  <c r="BV155" i="10"/>
  <c r="BR155" i="10"/>
  <c r="BB155" i="10"/>
  <c r="AX155" i="10"/>
  <c r="CA174" i="10"/>
  <c r="AH174" i="10"/>
  <c r="BR174" i="10"/>
  <c r="BK174" i="10"/>
  <c r="BK152" i="10"/>
  <c r="AQ152" i="10"/>
  <c r="W152" i="10"/>
  <c r="CJ170" i="10"/>
  <c r="BP170" i="10"/>
  <c r="AV240" i="10"/>
  <c r="AV171" i="10"/>
  <c r="S170" i="10"/>
  <c r="CO141" i="10"/>
  <c r="CK250" i="10"/>
  <c r="R240" i="10"/>
  <c r="R171" i="10"/>
  <c r="CF174" i="10"/>
  <c r="AM174" i="10"/>
  <c r="BW170" i="10"/>
  <c r="BC170" i="10"/>
  <c r="AI170" i="10"/>
  <c r="O170" i="10"/>
  <c r="BS155" i="10"/>
  <c r="W155" i="10"/>
  <c r="BG183" i="10"/>
  <c r="BG182" i="10"/>
  <c r="BG162" i="10"/>
  <c r="BB250" i="10"/>
  <c r="AM150" i="10"/>
  <c r="AM152" i="10" s="1"/>
  <c r="BT174" i="10"/>
  <c r="BI174" i="10"/>
  <c r="AT168" i="10"/>
  <c r="CH170" i="10"/>
  <c r="BF170" i="10"/>
  <c r="AL170" i="10"/>
  <c r="R152" i="10"/>
  <c r="CA155" i="10"/>
  <c r="BW155" i="10"/>
  <c r="AS170" i="10"/>
  <c r="AR134" i="10"/>
  <c r="CA240" i="10"/>
  <c r="CA171" i="10"/>
  <c r="AM170" i="10"/>
  <c r="O155" i="10"/>
  <c r="S155" i="10" s="1"/>
  <c r="AC170" i="10"/>
  <c r="AR74" i="10"/>
  <c r="AM74" i="10"/>
  <c r="CK68" i="10"/>
  <c r="CK69" i="10" s="1"/>
  <c r="BG65" i="10"/>
  <c r="BB52" i="10"/>
  <c r="CJ48" i="10"/>
  <c r="CJ94" i="10"/>
  <c r="CJ97" i="10" s="1"/>
  <c r="CJ31" i="10"/>
  <c r="CJ177" i="5"/>
  <c r="CJ38" i="10"/>
  <c r="AG168" i="10"/>
  <c r="AH168" i="10" s="1"/>
  <c r="AG45" i="10"/>
  <c r="AH45" i="10" s="1"/>
  <c r="AH48" i="10" s="1"/>
  <c r="CG57" i="10"/>
  <c r="CG49" i="10"/>
  <c r="CG52" i="10"/>
  <c r="CG53" i="10" s="1"/>
  <c r="BX97" i="10"/>
  <c r="Y188" i="10"/>
  <c r="Y109" i="10"/>
  <c r="AC110" i="10" s="1"/>
  <c r="AU52" i="10"/>
  <c r="AU53" i="10" s="1"/>
  <c r="AU57" i="10"/>
  <c r="AU49" i="10"/>
  <c r="CC178" i="10"/>
  <c r="CB178" i="10"/>
  <c r="CE178" i="10"/>
  <c r="CD178" i="10"/>
  <c r="CB97" i="10"/>
  <c r="AD94" i="10"/>
  <c r="AD177" i="5"/>
  <c r="AD48" i="10"/>
  <c r="AD31" i="10"/>
  <c r="CV188" i="10"/>
  <c r="CV109" i="10"/>
  <c r="CZ110" i="10" s="1"/>
  <c r="BM57" i="10"/>
  <c r="BM49" i="10"/>
  <c r="BM52" i="10"/>
  <c r="BM53" i="10" s="1"/>
  <c r="BE57" i="10"/>
  <c r="BE49" i="10"/>
  <c r="BE52" i="10"/>
  <c r="BE53" i="10" s="1"/>
  <c r="AS57" i="10"/>
  <c r="AS49" i="10"/>
  <c r="AS52" i="10"/>
  <c r="AS53" i="10" s="1"/>
  <c r="CF48" i="10"/>
  <c r="CF94" i="10"/>
  <c r="CF31" i="10"/>
  <c r="CF32" i="10" s="1"/>
  <c r="CE102" i="10"/>
  <c r="CE60" i="10"/>
  <c r="CE90" i="10"/>
  <c r="CE58" i="10"/>
  <c r="AQ57" i="10"/>
  <c r="AQ49" i="10"/>
  <c r="CI52" i="10"/>
  <c r="CI53" i="10" s="1"/>
  <c r="CI49" i="10"/>
  <c r="CI57" i="10"/>
  <c r="BD57" i="10"/>
  <c r="BD49" i="10"/>
  <c r="BD52" i="10"/>
  <c r="BD53" i="10" s="1"/>
  <c r="AV57" i="10"/>
  <c r="AV49" i="10"/>
  <c r="AV52" i="10"/>
  <c r="AV53" i="10" s="1"/>
  <c r="AT23" i="10"/>
  <c r="AT20" i="10"/>
  <c r="CF243" i="10"/>
  <c r="CF16" i="10"/>
  <c r="K32" i="10"/>
  <c r="K19" i="10"/>
  <c r="AL249" i="10"/>
  <c r="AL243" i="10"/>
  <c r="AL17" i="10"/>
  <c r="AL29" i="10"/>
  <c r="AQ16" i="10"/>
  <c r="AL16" i="10"/>
  <c r="AL19" i="10"/>
  <c r="BF58" i="10"/>
  <c r="BF90" i="10"/>
  <c r="BF60" i="10"/>
  <c r="BF102" i="10"/>
  <c r="AI52" i="10"/>
  <c r="AI53" i="10" s="1"/>
  <c r="AI49" i="10"/>
  <c r="AM48" i="10"/>
  <c r="AI57" i="10"/>
  <c r="O57" i="10"/>
  <c r="O49" i="10"/>
  <c r="AL32" i="10"/>
  <c r="BR23" i="10"/>
  <c r="BR20" i="10"/>
  <c r="M25" i="247"/>
  <c r="F56" i="247"/>
  <c r="CS243" i="10"/>
  <c r="AB226" i="10"/>
  <c r="AA226" i="10"/>
  <c r="AA228" i="10" s="1"/>
  <c r="BZ226" i="10"/>
  <c r="BZ228" i="10" s="1"/>
  <c r="CJ228" i="10"/>
  <c r="AO228" i="10"/>
  <c r="AP217" i="10"/>
  <c r="BN228" i="10"/>
  <c r="BP217" i="10"/>
  <c r="CF209" i="10"/>
  <c r="CD214" i="10"/>
  <c r="CD185" i="5"/>
  <c r="CF185" i="5" s="1"/>
  <c r="AB224" i="10"/>
  <c r="Z228" i="10"/>
  <c r="AF228" i="10"/>
  <c r="AA214" i="10"/>
  <c r="AA185" i="5"/>
  <c r="BF214" i="10"/>
  <c r="BF185" i="5"/>
  <c r="BG185" i="5" s="1"/>
  <c r="BU228" i="10"/>
  <c r="BA217" i="10"/>
  <c r="BA228" i="10" s="1"/>
  <c r="L228" i="10"/>
  <c r="M217" i="10"/>
  <c r="M228" i="10" s="1"/>
  <c r="BO212" i="10"/>
  <c r="BZ214" i="10"/>
  <c r="BZ185" i="5"/>
  <c r="CA185" i="5" s="1"/>
  <c r="BP209" i="10"/>
  <c r="BO185" i="5"/>
  <c r="CC214" i="10"/>
  <c r="CD203" i="10"/>
  <c r="CF198" i="10"/>
  <c r="CF203" i="10" s="1"/>
  <c r="M45" i="247" s="1"/>
  <c r="AQ198" i="10"/>
  <c r="AQ203" i="10" s="1"/>
  <c r="AG217" i="10"/>
  <c r="CK209" i="10"/>
  <c r="CC203" i="10"/>
  <c r="V21" i="10"/>
  <c r="V95" i="10" s="1"/>
  <c r="V186" i="5"/>
  <c r="X186" i="5" s="1"/>
  <c r="AB218" i="10"/>
  <c r="AO203" i="10"/>
  <c r="AV209" i="10"/>
  <c r="BU203" i="10"/>
  <c r="AV203" i="10"/>
  <c r="BJ95" i="10"/>
  <c r="BJ97" i="10" s="1"/>
  <c r="BJ19" i="10"/>
  <c r="AP21" i="10"/>
  <c r="AP186" i="5"/>
  <c r="AR186" i="5" s="1"/>
  <c r="AR21" i="10" s="1"/>
  <c r="AR95" i="10" s="1"/>
  <c r="BV195" i="10"/>
  <c r="BV69" i="10" s="1"/>
  <c r="CE193" i="10"/>
  <c r="CE198" i="10"/>
  <c r="CE203" i="10" s="1"/>
  <c r="AU21" i="10"/>
  <c r="AU186" i="5"/>
  <c r="AW186" i="5" s="1"/>
  <c r="AW21" i="10" s="1"/>
  <c r="AW95" i="10" s="1"/>
  <c r="BX155" i="10"/>
  <c r="BW164" i="10"/>
  <c r="AL155" i="10"/>
  <c r="Q155" i="10"/>
  <c r="BJ174" i="10"/>
  <c r="AV155" i="10"/>
  <c r="P155" i="10"/>
  <c r="R155" i="10"/>
  <c r="AM175" i="10"/>
  <c r="AY155" i="10"/>
  <c r="AA155" i="10"/>
  <c r="Y155" i="10"/>
  <c r="AC155" i="10" s="1"/>
  <c r="CF183" i="10"/>
  <c r="CF182" i="10"/>
  <c r="CF162" i="10"/>
  <c r="BL183" i="10"/>
  <c r="BL182" i="10"/>
  <c r="BL162" i="10"/>
  <c r="CL174" i="10"/>
  <c r="BH176" i="10"/>
  <c r="BH174" i="10"/>
  <c r="AQ174" i="10"/>
  <c r="BB249" i="10"/>
  <c r="BY240" i="10"/>
  <c r="BY171" i="10"/>
  <c r="BE240" i="10"/>
  <c r="BE171" i="10"/>
  <c r="AG240" i="10"/>
  <c r="AG171" i="10"/>
  <c r="CI155" i="10"/>
  <c r="AD155" i="10"/>
  <c r="AH155" i="10" s="1"/>
  <c r="BN134" i="10"/>
  <c r="BO131" i="10"/>
  <c r="BO134" i="10" s="1"/>
  <c r="CK174" i="10"/>
  <c r="BX168" i="10"/>
  <c r="AV174" i="10"/>
  <c r="O152" i="10"/>
  <c r="CB170" i="10"/>
  <c r="BH170" i="10"/>
  <c r="U203" i="10"/>
  <c r="W198" i="10"/>
  <c r="CM155" i="10"/>
  <c r="CN147" i="10"/>
  <c r="CO147" i="10" s="1"/>
  <c r="BB175" i="10"/>
  <c r="CF150" i="10"/>
  <c r="CF152" i="10" s="1"/>
  <c r="BR168" i="10"/>
  <c r="BV168" i="10" s="1"/>
  <c r="S174" i="10"/>
  <c r="BS152" i="10"/>
  <c r="BS170" i="10"/>
  <c r="AY171" i="10"/>
  <c r="AE170" i="10"/>
  <c r="S203" i="10"/>
  <c r="Q240" i="10"/>
  <c r="Q171" i="10"/>
  <c r="AS174" i="10"/>
  <c r="BG249" i="10"/>
  <c r="BR170" i="10"/>
  <c r="AX170" i="10"/>
  <c r="AD170" i="10"/>
  <c r="BW101" i="10"/>
  <c r="BW98" i="10"/>
  <c r="AS168" i="10"/>
  <c r="AW168" i="10" s="1"/>
  <c r="BG126" i="10"/>
  <c r="X152" i="10"/>
  <c r="CW65" i="10"/>
  <c r="AU65" i="10"/>
  <c r="BB170" i="10"/>
  <c r="N183" i="10"/>
  <c r="CK152" i="10"/>
  <c r="BZ69" i="10"/>
  <c r="BN58" i="10"/>
  <c r="BN60" i="10"/>
  <c r="BN90" i="10"/>
  <c r="CG178" i="10"/>
  <c r="CH178" i="10"/>
  <c r="CJ178" i="10"/>
  <c r="CI178" i="10"/>
  <c r="CG97" i="10"/>
  <c r="BX57" i="10"/>
  <c r="BX49" i="10"/>
  <c r="BX52" i="10"/>
  <c r="BX53" i="10" s="1"/>
  <c r="BF179" i="10"/>
  <c r="BC98" i="10"/>
  <c r="BC180" i="5"/>
  <c r="BE23" i="10"/>
  <c r="BE20" i="10"/>
  <c r="AM243" i="10"/>
  <c r="AM29" i="10"/>
  <c r="AM16" i="10"/>
  <c r="CG188" i="10"/>
  <c r="CG109" i="10"/>
  <c r="CK110" i="10" s="1"/>
  <c r="BG186" i="5"/>
  <c r="BG21" i="10" s="1"/>
  <c r="BG95" i="10" s="1"/>
  <c r="CM74" i="10"/>
  <c r="CM63" i="10"/>
  <c r="BW61" i="10"/>
  <c r="BW104" i="10"/>
  <c r="BW178" i="5"/>
  <c r="BS52" i="10"/>
  <c r="BS49" i="10"/>
  <c r="BS57" i="10"/>
  <c r="CB57" i="10"/>
  <c r="CB49" i="10"/>
  <c r="CB52" i="10"/>
  <c r="CB53" i="10" s="1"/>
  <c r="J94" i="10"/>
  <c r="J97" i="10" s="1"/>
  <c r="J48" i="10"/>
  <c r="J31" i="10"/>
  <c r="CK38" i="10"/>
  <c r="CK41" i="10" s="1"/>
  <c r="AH243" i="10"/>
  <c r="AH16" i="10"/>
  <c r="AH19" i="10"/>
  <c r="CB188" i="10"/>
  <c r="CB109" i="10"/>
  <c r="CF110" i="10" s="1"/>
  <c r="BM178" i="10"/>
  <c r="BP178" i="10"/>
  <c r="BO178" i="10"/>
  <c r="BN178" i="10"/>
  <c r="BM97" i="10"/>
  <c r="BM176" i="10" s="1"/>
  <c r="BE98" i="10"/>
  <c r="BE180" i="5"/>
  <c r="AV178" i="10"/>
  <c r="AU178" i="10"/>
  <c r="AT178" i="10"/>
  <c r="AS97" i="10"/>
  <c r="BL48" i="10"/>
  <c r="BL94" i="10"/>
  <c r="BL31" i="10"/>
  <c r="BL32" i="10" s="1"/>
  <c r="AC243" i="10"/>
  <c r="AC16" i="10"/>
  <c r="AC176" i="5"/>
  <c r="BQ68" i="10"/>
  <c r="BQ69" i="10" s="1"/>
  <c r="BQ52" i="10"/>
  <c r="BQ53" i="10" s="1"/>
  <c r="BT97" i="10"/>
  <c r="BI178" i="10"/>
  <c r="BK178" i="10"/>
  <c r="BJ178" i="10"/>
  <c r="BH178" i="10"/>
  <c r="BH97" i="10"/>
  <c r="BK176" i="10" s="1"/>
  <c r="AZ57" i="10"/>
  <c r="AZ49" i="10"/>
  <c r="AZ52" i="10"/>
  <c r="AZ53" i="10" s="1"/>
  <c r="AN48" i="10"/>
  <c r="AN94" i="10"/>
  <c r="AN31" i="10"/>
  <c r="AN177" i="5"/>
  <c r="BG38" i="10"/>
  <c r="BG41" i="10" s="1"/>
  <c r="BL243" i="10"/>
  <c r="BL16" i="10"/>
  <c r="AJ32" i="10"/>
  <c r="K101" i="10"/>
  <c r="K98" i="10"/>
  <c r="CG23" i="10"/>
  <c r="CG20" i="10"/>
  <c r="BI23" i="10"/>
  <c r="BI20" i="10"/>
  <c r="AC94" i="10"/>
  <c r="AC97" i="10" s="1"/>
  <c r="AC176" i="10" s="1"/>
  <c r="AC48" i="10"/>
  <c r="AC31" i="10"/>
  <c r="AC32" i="10" s="1"/>
  <c r="O101" i="10"/>
  <c r="O98" i="10"/>
  <c r="CC23" i="10"/>
  <c r="CC20" i="10"/>
  <c r="BH23" i="10"/>
  <c r="BH20" i="10"/>
  <c r="AJ15" i="10"/>
  <c r="AJ49" i="10" s="1"/>
  <c r="CB23" i="10"/>
  <c r="CB20" i="10"/>
  <c r="AP94" i="10"/>
  <c r="AP48" i="10"/>
  <c r="AP38" i="10"/>
  <c r="AP177" i="5"/>
  <c r="AR92" i="5"/>
  <c r="AR94" i="5" s="1"/>
  <c r="AR96" i="5" s="1"/>
  <c r="CQ105" i="5"/>
  <c r="CQ61" i="5"/>
  <c r="CQ48" i="5"/>
  <c r="CQ39" i="5"/>
  <c r="CQ46" i="5"/>
  <c r="CQ47" i="5"/>
  <c r="CQ43" i="5"/>
  <c r="AH92" i="5"/>
  <c r="AH94" i="5" s="1"/>
  <c r="X92" i="5"/>
  <c r="X94" i="5" s="1"/>
  <c r="CI92" i="5"/>
  <c r="CI94" i="5" s="1"/>
  <c r="CI96" i="5" s="1"/>
  <c r="AY170" i="5"/>
  <c r="AY171" i="5" s="1"/>
  <c r="AX169" i="5"/>
  <c r="AX170" i="5" s="1"/>
  <c r="AX171" i="5" s="1"/>
  <c r="BG171" i="5"/>
  <c r="BX153" i="5"/>
  <c r="CB150" i="5"/>
  <c r="CC149" i="5"/>
  <c r="BI150" i="5"/>
  <c r="BJ149" i="5"/>
  <c r="AA154" i="5"/>
  <c r="AA151" i="5"/>
  <c r="AT154" i="5"/>
  <c r="AT151" i="5"/>
  <c r="AG149" i="5"/>
  <c r="AG150" i="5" s="1"/>
  <c r="AD150" i="5"/>
  <c r="BY150" i="5"/>
  <c r="BZ149" i="5"/>
  <c r="BZ150" i="5" s="1"/>
  <c r="CI163" i="5"/>
  <c r="CI166" i="5" s="1"/>
  <c r="CN128" i="5"/>
  <c r="CV160" i="5"/>
  <c r="CL163" i="5"/>
  <c r="CL171" i="5" s="1"/>
  <c r="CP171" i="5" s="1"/>
  <c r="CQ128" i="5"/>
  <c r="BB128" i="5"/>
  <c r="CI149" i="5"/>
  <c r="CH150" i="5"/>
  <c r="BH163" i="5"/>
  <c r="BH166" i="5" s="1"/>
  <c r="BL128" i="5"/>
  <c r="CM137" i="5"/>
  <c r="CN137" i="5" s="1"/>
  <c r="CO137" i="5" s="1"/>
  <c r="CQ137" i="5" s="1"/>
  <c r="CL132" i="5"/>
  <c r="CL11" i="10" s="1"/>
  <c r="CU123" i="5"/>
  <c r="CU114" i="5" s="1"/>
  <c r="CT157" i="5"/>
  <c r="CP157" i="5"/>
  <c r="BV95" i="5"/>
  <c r="S80" i="5"/>
  <c r="S74" i="5"/>
  <c r="BB53" i="5"/>
  <c r="AT53" i="5"/>
  <c r="AT69" i="5" s="1"/>
  <c r="AS53" i="5"/>
  <c r="AS69" i="5" s="1"/>
  <c r="AV53" i="5"/>
  <c r="AV69" i="5" s="1"/>
  <c r="AU53" i="5"/>
  <c r="AU69" i="5" s="1"/>
  <c r="N191" i="5"/>
  <c r="K58" i="5"/>
  <c r="J58" i="5"/>
  <c r="M58" i="5"/>
  <c r="L58" i="5"/>
  <c r="AA191" i="5"/>
  <c r="AA63" i="5"/>
  <c r="CN105" i="5"/>
  <c r="CN61" i="5"/>
  <c r="CN48" i="5"/>
  <c r="CN40" i="5"/>
  <c r="CN39" i="5"/>
  <c r="CL88" i="5"/>
  <c r="CL89" i="5" s="1"/>
  <c r="CL10" i="10" s="1"/>
  <c r="BG80" i="5"/>
  <c r="BG74" i="5"/>
  <c r="O191" i="5"/>
  <c r="O63" i="5"/>
  <c r="CE48" i="5"/>
  <c r="CE47" i="5"/>
  <c r="CE61" i="5"/>
  <c r="CE64" i="5" s="1"/>
  <c r="CE45" i="5"/>
  <c r="CE43" i="5"/>
  <c r="CE39" i="5"/>
  <c r="CE46" i="5"/>
  <c r="CE40" i="5"/>
  <c r="CE22" i="5"/>
  <c r="AM105" i="5"/>
  <c r="AM95" i="5"/>
  <c r="AM48" i="5"/>
  <c r="AM39" i="5"/>
  <c r="AW47" i="5"/>
  <c r="CV70" i="5"/>
  <c r="CO68" i="5"/>
  <c r="CT34" i="5"/>
  <c r="CO10" i="5"/>
  <c r="X72" i="4" s="1"/>
  <c r="BR45" i="5"/>
  <c r="BR43" i="5"/>
  <c r="BR48" i="5"/>
  <c r="BR46" i="5"/>
  <c r="BV38" i="5"/>
  <c r="BR47" i="5"/>
  <c r="BR40" i="5"/>
  <c r="BR22" i="5"/>
  <c r="AW43" i="5"/>
  <c r="AC43" i="5"/>
  <c r="BW191" i="5"/>
  <c r="BW63" i="5"/>
  <c r="AI191" i="5"/>
  <c r="AI63" i="5"/>
  <c r="X47" i="5"/>
  <c r="CN46" i="5"/>
  <c r="CM68" i="5"/>
  <c r="CM44" i="5"/>
  <c r="CR34" i="5"/>
  <c r="CS67" i="5"/>
  <c r="CX33" i="5"/>
  <c r="S43" i="5"/>
  <c r="CF142" i="5"/>
  <c r="CF141" i="5"/>
  <c r="BI85" i="5"/>
  <c r="BI34" i="5"/>
  <c r="BI10" i="5" s="1"/>
  <c r="X46" i="4" s="1"/>
  <c r="BH35" i="5"/>
  <c r="AC22" i="5"/>
  <c r="CM46" i="5"/>
  <c r="CB40" i="5"/>
  <c r="AW22" i="5"/>
  <c r="AW146" i="5"/>
  <c r="BV10" i="5"/>
  <c r="AC80" i="5"/>
  <c r="AC74" i="5"/>
  <c r="BQ136" i="5"/>
  <c r="BM135" i="5"/>
  <c r="BQ135" i="5" s="1"/>
  <c r="CI170" i="5"/>
  <c r="CH169" i="5"/>
  <c r="BY153" i="5"/>
  <c r="BX152" i="5"/>
  <c r="AQ149" i="5"/>
  <c r="AQ150" i="5" s="1"/>
  <c r="AP150" i="5"/>
  <c r="AZ154" i="5"/>
  <c r="AZ151" i="5"/>
  <c r="BR154" i="5"/>
  <c r="BR151" i="5"/>
  <c r="BL151" i="5"/>
  <c r="BT154" i="5"/>
  <c r="BT151" i="5"/>
  <c r="CR160" i="5"/>
  <c r="CW124" i="5"/>
  <c r="P150" i="5"/>
  <c r="P151" i="5" s="1"/>
  <c r="O149" i="5"/>
  <c r="O150" i="5" s="1"/>
  <c r="O151" i="5" s="1"/>
  <c r="CH163" i="5"/>
  <c r="CH166" i="5" s="1"/>
  <c r="CK166" i="5" s="1"/>
  <c r="CM128" i="5"/>
  <c r="CK128" i="5"/>
  <c r="CO157" i="5"/>
  <c r="CG151" i="5"/>
  <c r="CG154" i="5"/>
  <c r="CR126" i="5"/>
  <c r="AV154" i="5"/>
  <c r="AV151" i="5"/>
  <c r="AN163" i="5"/>
  <c r="AR128" i="5"/>
  <c r="CI130" i="5"/>
  <c r="CU121" i="5"/>
  <c r="CU112" i="5" s="1"/>
  <c r="CZ113" i="5"/>
  <c r="Z191" i="5"/>
  <c r="Z63" i="5"/>
  <c r="AX64" i="5"/>
  <c r="BB61" i="5"/>
  <c r="BB64" i="5" s="1"/>
  <c r="V191" i="5"/>
  <c r="V63" i="5"/>
  <c r="AV55" i="5"/>
  <c r="AW58" i="5"/>
  <c r="AU55" i="5"/>
  <c r="AT55" i="5"/>
  <c r="AS55" i="5"/>
  <c r="AH105" i="5"/>
  <c r="AH95" i="5"/>
  <c r="AH39" i="5"/>
  <c r="AH48" i="5"/>
  <c r="AH47" i="5"/>
  <c r="BX47" i="5"/>
  <c r="BX40" i="5"/>
  <c r="BX61" i="5"/>
  <c r="BX64" i="5" s="1"/>
  <c r="BX46" i="5"/>
  <c r="BX48" i="5"/>
  <c r="BX45" i="5"/>
  <c r="BX43" i="5"/>
  <c r="BX22" i="5"/>
  <c r="BX39" i="5"/>
  <c r="CP68" i="5"/>
  <c r="CP28" i="5"/>
  <c r="CH61" i="5"/>
  <c r="CH64" i="5" s="1"/>
  <c r="CI64" i="5" s="1"/>
  <c r="CJ64" i="5" s="1"/>
  <c r="CH45" i="5"/>
  <c r="CH43" i="5"/>
  <c r="CH40" i="5"/>
  <c r="CH39" i="5"/>
  <c r="CH48" i="5"/>
  <c r="CH46" i="5"/>
  <c r="CH47" i="5"/>
  <c r="CH22" i="5"/>
  <c r="CI24" i="5" s="1"/>
  <c r="CC61" i="5"/>
  <c r="CC64" i="5" s="1"/>
  <c r="CC46" i="5"/>
  <c r="CC40" i="5"/>
  <c r="CC45" i="5"/>
  <c r="CC48" i="5"/>
  <c r="CC47" i="5"/>
  <c r="CC39" i="5"/>
  <c r="CC22" i="5"/>
  <c r="CC43" i="5"/>
  <c r="AP96" i="5"/>
  <c r="AR44" i="5"/>
  <c r="BW48" i="5"/>
  <c r="BW47" i="5"/>
  <c r="BW61" i="5"/>
  <c r="BW45" i="5"/>
  <c r="BW43" i="5"/>
  <c r="BW39" i="5"/>
  <c r="BW40" i="5"/>
  <c r="BW46" i="5"/>
  <c r="CA38" i="5"/>
  <c r="CA22" i="5" s="1"/>
  <c r="CA23" i="5" s="1"/>
  <c r="BW22" i="5"/>
  <c r="CR70" i="5"/>
  <c r="CW37" i="5"/>
  <c r="CZ37" i="5" s="1"/>
  <c r="CX69" i="5"/>
  <c r="CK68" i="5"/>
  <c r="CK28" i="5"/>
  <c r="CA84" i="5"/>
  <c r="CA68" i="5"/>
  <c r="CA28" i="5"/>
  <c r="CA44" i="5"/>
  <c r="BV84" i="5"/>
  <c r="BV44" i="5"/>
  <c r="AW88" i="5"/>
  <c r="CP74" i="5"/>
  <c r="BB74" i="5"/>
  <c r="BX191" i="5"/>
  <c r="BX63" i="5"/>
  <c r="BO52" i="5"/>
  <c r="BV52" i="5"/>
  <c r="BV68" i="5" s="1"/>
  <c r="BN52" i="5"/>
  <c r="BM52" i="5"/>
  <c r="BP52" i="5"/>
  <c r="BP68" i="5" s="1"/>
  <c r="CK74" i="5"/>
  <c r="AJ191" i="5"/>
  <c r="AJ63" i="5"/>
  <c r="AM43" i="5"/>
  <c r="O64" i="5"/>
  <c r="S61" i="5"/>
  <c r="S64" i="5" s="1"/>
  <c r="AR47" i="5"/>
  <c r="CD61" i="5"/>
  <c r="CD64" i="5" s="1"/>
  <c r="CD45" i="5"/>
  <c r="CD43" i="5"/>
  <c r="CD39" i="5"/>
  <c r="CD48" i="5"/>
  <c r="CD46" i="5"/>
  <c r="CD40" i="5"/>
  <c r="CD22" i="5"/>
  <c r="CI23" i="5" s="1"/>
  <c r="CD47" i="5"/>
  <c r="CD44" i="5"/>
  <c r="BY105" i="5"/>
  <c r="BY61" i="5"/>
  <c r="BY64" i="5" s="1"/>
  <c r="BY46" i="5"/>
  <c r="BY45" i="5"/>
  <c r="BY48" i="5"/>
  <c r="BY47" i="5"/>
  <c r="BY40" i="5"/>
  <c r="BY43" i="5"/>
  <c r="BY22" i="5"/>
  <c r="BY39" i="5"/>
  <c r="BB88" i="5"/>
  <c r="CO38" i="5"/>
  <c r="CQ40" i="5" s="1"/>
  <c r="BL80" i="5"/>
  <c r="BL74" i="5"/>
  <c r="BV141" i="5"/>
  <c r="BV142" i="5"/>
  <c r="CZ141" i="5"/>
  <c r="CZ142" i="5"/>
  <c r="CZ144" i="5" s="1"/>
  <c r="AM141" i="5"/>
  <c r="AM142" i="5"/>
  <c r="AH142" i="5"/>
  <c r="AH141" i="5"/>
  <c r="CH44" i="5"/>
  <c r="CH146" i="5"/>
  <c r="CI61" i="5"/>
  <c r="CI48" i="5"/>
  <c r="CI47" i="5"/>
  <c r="CI43" i="5"/>
  <c r="CI40" i="5"/>
  <c r="CI39" i="5"/>
  <c r="CI46" i="5"/>
  <c r="CB92" i="5"/>
  <c r="BR44" i="5"/>
  <c r="BV22" i="5"/>
  <c r="AC146" i="5"/>
  <c r="CK141" i="5"/>
  <c r="CK142" i="5"/>
  <c r="CK144" i="5" s="1"/>
  <c r="CL136" i="5"/>
  <c r="BO84" i="5"/>
  <c r="BO88" i="5" s="1"/>
  <c r="BO90" i="5" s="1"/>
  <c r="BO68" i="5"/>
  <c r="BO28" i="5"/>
  <c r="BO38" i="5"/>
  <c r="BT28" i="5"/>
  <c r="BE68" i="5"/>
  <c r="BE84" i="5"/>
  <c r="BE88" i="5" s="1"/>
  <c r="BE90" i="5" s="1"/>
  <c r="BE38" i="5"/>
  <c r="BE28" i="5"/>
  <c r="BE10" i="5"/>
  <c r="X43" i="4" s="1"/>
  <c r="AW44" i="5"/>
  <c r="CK136" i="5"/>
  <c r="CG135" i="5"/>
  <c r="CK135" i="5" s="1"/>
  <c r="BV136" i="5"/>
  <c r="BR135" i="5"/>
  <c r="BV135" i="5" s="1"/>
  <c r="AR142" i="5"/>
  <c r="AR141" i="5"/>
  <c r="AR146" i="5" s="1"/>
  <c r="BE169" i="5"/>
  <c r="BF170" i="5"/>
  <c r="BF171" i="5" s="1"/>
  <c r="BS170" i="5"/>
  <c r="BS171" i="5" s="1"/>
  <c r="BR169" i="5"/>
  <c r="BR170" i="5" s="1"/>
  <c r="BR171" i="5" s="1"/>
  <c r="AT170" i="5"/>
  <c r="AT171" i="5" s="1"/>
  <c r="AS169" i="5"/>
  <c r="AS170" i="5" s="1"/>
  <c r="AS171" i="5" s="1"/>
  <c r="AF154" i="5"/>
  <c r="AF151" i="5"/>
  <c r="AU151" i="5"/>
  <c r="AU154" i="5"/>
  <c r="BS154" i="5"/>
  <c r="BS151" i="5"/>
  <c r="BX170" i="5"/>
  <c r="BX171" i="5" s="1"/>
  <c r="BW169" i="5"/>
  <c r="BW170" i="5" s="1"/>
  <c r="BW171" i="5" s="1"/>
  <c r="BA151" i="5"/>
  <c r="BA154" i="5"/>
  <c r="CL130" i="5"/>
  <c r="CL154" i="5" s="1"/>
  <c r="CU124" i="5"/>
  <c r="BF151" i="5"/>
  <c r="BF154" i="5"/>
  <c r="CN157" i="5"/>
  <c r="CN130" i="5"/>
  <c r="CS160" i="5"/>
  <c r="CX124" i="5"/>
  <c r="CX160" i="5" s="1"/>
  <c r="BG130" i="5"/>
  <c r="CU129" i="5"/>
  <c r="CV129" i="5"/>
  <c r="CZ129" i="5" s="1"/>
  <c r="BB129" i="5"/>
  <c r="CZ111" i="5"/>
  <c r="BV130" i="5"/>
  <c r="BV154" i="5" s="1"/>
  <c r="AW130" i="5"/>
  <c r="CV126" i="5"/>
  <c r="BO95" i="5"/>
  <c r="CB101" i="5"/>
  <c r="CB102" i="5" s="1"/>
  <c r="CB95" i="5" s="1"/>
  <c r="CF95" i="5" s="1"/>
  <c r="CC102" i="5"/>
  <c r="CC95" i="5" s="1"/>
  <c r="AN101" i="5"/>
  <c r="AN102" i="5" s="1"/>
  <c r="AN95" i="5" s="1"/>
  <c r="AO102" i="5"/>
  <c r="AO95" i="5" s="1"/>
  <c r="AO96" i="5" s="1"/>
  <c r="BX102" i="5"/>
  <c r="BX95" i="5" s="1"/>
  <c r="BW101" i="5"/>
  <c r="BW102" i="5" s="1"/>
  <c r="BW95" i="5" s="1"/>
  <c r="BX105" i="5"/>
  <c r="AX101" i="5"/>
  <c r="AX102" i="5" s="1"/>
  <c r="AX95" i="5" s="1"/>
  <c r="AX96" i="5" s="1"/>
  <c r="AY102" i="5"/>
  <c r="AY95" i="5" s="1"/>
  <c r="AY96" i="5" s="1"/>
  <c r="CG90" i="5"/>
  <c r="CK88" i="5"/>
  <c r="U191" i="5"/>
  <c r="U63" i="5"/>
  <c r="N74" i="5"/>
  <c r="N80" i="5"/>
  <c r="BG54" i="5"/>
  <c r="AY54" i="5"/>
  <c r="AY70" i="5" s="1"/>
  <c r="AX54" i="5"/>
  <c r="AX70" i="5" s="1"/>
  <c r="BA54" i="5"/>
  <c r="BA70" i="5" s="1"/>
  <c r="AZ54" i="5"/>
  <c r="AZ70" i="5" s="1"/>
  <c r="AD64" i="5"/>
  <c r="AH61" i="5"/>
  <c r="AH64" i="5" s="1"/>
  <c r="BK51" i="5"/>
  <c r="BK67" i="5" s="1"/>
  <c r="BJ51" i="5"/>
  <c r="BJ67" i="5" s="1"/>
  <c r="BQ51" i="5"/>
  <c r="BI51" i="5"/>
  <c r="BI67" i="5" s="1"/>
  <c r="BH51" i="5"/>
  <c r="BH67" i="5" s="1"/>
  <c r="BB105" i="5"/>
  <c r="BB39" i="5"/>
  <c r="BB48" i="5"/>
  <c r="BB47" i="5"/>
  <c r="BW44" i="5"/>
  <c r="BP95" i="5"/>
  <c r="BP105" i="5"/>
  <c r="BP47" i="5"/>
  <c r="BP46" i="5"/>
  <c r="BP48" i="5"/>
  <c r="BP43" i="5"/>
  <c r="BP22" i="5"/>
  <c r="BP39" i="5"/>
  <c r="AN64" i="5"/>
  <c r="AR61" i="5"/>
  <c r="AR64" i="5" s="1"/>
  <c r="AH46" i="5"/>
  <c r="CL105" i="5"/>
  <c r="CL95" i="5"/>
  <c r="CL61" i="5"/>
  <c r="CL45" i="5"/>
  <c r="CL43" i="5"/>
  <c r="CL39" i="5"/>
  <c r="CL48" i="5"/>
  <c r="CL47" i="5"/>
  <c r="CL46" i="5"/>
  <c r="CL40" i="5"/>
  <c r="CL22" i="5"/>
  <c r="CV67" i="5"/>
  <c r="CA80" i="5"/>
  <c r="CA74" i="5"/>
  <c r="AM80" i="5"/>
  <c r="AM74" i="5"/>
  <c r="Q191" i="5"/>
  <c r="Q63" i="5"/>
  <c r="P191" i="5"/>
  <c r="P63" i="5"/>
  <c r="BL67" i="5"/>
  <c r="CN47" i="5"/>
  <c r="CT69" i="5"/>
  <c r="CY36" i="5"/>
  <c r="CY67" i="5"/>
  <c r="BY191" i="5"/>
  <c r="BY63" i="5"/>
  <c r="CJ95" i="5"/>
  <c r="CK95" i="5" s="1"/>
  <c r="CJ47" i="5"/>
  <c r="CJ46" i="5"/>
  <c r="CJ61" i="5"/>
  <c r="CJ48" i="5"/>
  <c r="CJ40" i="5"/>
  <c r="CJ39" i="5"/>
  <c r="CJ22" i="5"/>
  <c r="CJ43" i="5"/>
  <c r="T64" i="5"/>
  <c r="X61" i="5"/>
  <c r="X64" i="5" s="1"/>
  <c r="BZ105" i="5"/>
  <c r="BZ61" i="5"/>
  <c r="BZ64" i="5" s="1"/>
  <c r="BZ45" i="5"/>
  <c r="BZ43" i="5"/>
  <c r="BZ39" i="5"/>
  <c r="BZ48" i="5"/>
  <c r="BZ46" i="5"/>
  <c r="BZ22" i="5"/>
  <c r="BZ40" i="5"/>
  <c r="BZ47" i="5"/>
  <c r="BU105" i="5"/>
  <c r="BU46" i="5"/>
  <c r="BU45" i="5"/>
  <c r="BU48" i="5"/>
  <c r="BU47" i="5"/>
  <c r="BU39" i="5"/>
  <c r="BU22" i="5"/>
  <c r="BU43" i="5"/>
  <c r="BU40" i="5"/>
  <c r="BP44" i="5"/>
  <c r="BB44" i="5"/>
  <c r="CP38" i="5"/>
  <c r="CP44" i="5" s="1"/>
  <c r="CK38" i="5"/>
  <c r="CK44" i="5" s="1"/>
  <c r="AK191" i="5"/>
  <c r="AK63" i="5"/>
  <c r="S105" i="5"/>
  <c r="S95" i="5"/>
  <c r="S48" i="5"/>
  <c r="S39" i="5"/>
  <c r="CV69" i="5"/>
  <c r="N105" i="5"/>
  <c r="N95" i="5"/>
  <c r="N39" i="5"/>
  <c r="N48" i="5"/>
  <c r="N61" i="5"/>
  <c r="N64" i="5" s="1"/>
  <c r="N22" i="5"/>
  <c r="N47" i="5"/>
  <c r="BL142" i="5"/>
  <c r="BL141" i="5"/>
  <c r="S22" i="5"/>
  <c r="AH146" i="5"/>
  <c r="CA10" i="5"/>
  <c r="CU142" i="5"/>
  <c r="CU144" i="5" s="1"/>
  <c r="CU141" i="5"/>
  <c r="CQ85" i="5"/>
  <c r="CQ45" i="5"/>
  <c r="CQ10" i="5"/>
  <c r="X73" i="4" s="1"/>
  <c r="CN68" i="5"/>
  <c r="CN44" i="5"/>
  <c r="CS34" i="5"/>
  <c r="CB39" i="5"/>
  <c r="CB64" i="5"/>
  <c r="CF61" i="5"/>
  <c r="CF64" i="5" s="1"/>
  <c r="BK92" i="5"/>
  <c r="BK94" i="5" s="1"/>
  <c r="BK96" i="5" s="1"/>
  <c r="CK22" i="5"/>
  <c r="CK23" i="5" s="1"/>
  <c r="AM22" i="5"/>
  <c r="AW80" i="5"/>
  <c r="AW74" i="5"/>
  <c r="CK146" i="5"/>
  <c r="CP141" i="5"/>
  <c r="CP142" i="5"/>
  <c r="CP144" i="5" s="1"/>
  <c r="CY70" i="5"/>
  <c r="BN85" i="5"/>
  <c r="BN34" i="5"/>
  <c r="BN10" i="5" s="1"/>
  <c r="X50" i="4" s="1"/>
  <c r="BM35" i="5"/>
  <c r="BD85" i="5"/>
  <c r="BD34" i="5"/>
  <c r="BC35" i="5"/>
  <c r="CN43" i="5"/>
  <c r="CF146" i="5"/>
  <c r="CK85" i="5"/>
  <c r="CK84" i="5" s="1"/>
  <c r="CK10" i="5"/>
  <c r="CA136" i="5"/>
  <c r="BW135" i="5"/>
  <c r="CA135" i="5" s="1"/>
  <c r="X142" i="5"/>
  <c r="X141" i="5"/>
  <c r="X146" i="5" s="1"/>
  <c r="BI170" i="5"/>
  <c r="BI171" i="5" s="1"/>
  <c r="BH169" i="5"/>
  <c r="BH170" i="5" s="1"/>
  <c r="BH171" i="5" s="1"/>
  <c r="BO149" i="5"/>
  <c r="BN150" i="5"/>
  <c r="CM153" i="5"/>
  <c r="CM151" i="5" s="1"/>
  <c r="AJ154" i="5"/>
  <c r="AJ151" i="5"/>
  <c r="BN153" i="5"/>
  <c r="BU154" i="5"/>
  <c r="BU151" i="5"/>
  <c r="BD154" i="5"/>
  <c r="BD151" i="5"/>
  <c r="AL149" i="5"/>
  <c r="AL150" i="5" s="1"/>
  <c r="AI150" i="5"/>
  <c r="AX151" i="5"/>
  <c r="AX154" i="5"/>
  <c r="U149" i="5"/>
  <c r="V150" i="5"/>
  <c r="CX119" i="5"/>
  <c r="CS126" i="5"/>
  <c r="BE154" i="5"/>
  <c r="BE151" i="5"/>
  <c r="CK133" i="5"/>
  <c r="BH130" i="5"/>
  <c r="BH154" i="5" s="1"/>
  <c r="CJ163" i="5"/>
  <c r="CJ166" i="5" s="1"/>
  <c r="CL166" i="5" s="1"/>
  <c r="CO128" i="5"/>
  <c r="CU119" i="5"/>
  <c r="CU125" i="5"/>
  <c r="CU116" i="5" s="1"/>
  <c r="CY126" i="5"/>
  <c r="CA128" i="5"/>
  <c r="CF130" i="5"/>
  <c r="CF154" i="5" s="1"/>
  <c r="BE95" i="5"/>
  <c r="BH101" i="5"/>
  <c r="BH102" i="5" s="1"/>
  <c r="BI102" i="5"/>
  <c r="Y64" i="5"/>
  <c r="AC61" i="5"/>
  <c r="AC64" i="5" s="1"/>
  <c r="AW105" i="5"/>
  <c r="AW48" i="5"/>
  <c r="AW39" i="5"/>
  <c r="CA88" i="5"/>
  <c r="CA90" i="5" s="1"/>
  <c r="AH191" i="5"/>
  <c r="AE58" i="5"/>
  <c r="AD58" i="5"/>
  <c r="AG58" i="5"/>
  <c r="AF58" i="5"/>
  <c r="AR105" i="5"/>
  <c r="AR48" i="5"/>
  <c r="AR39" i="5"/>
  <c r="AR46" i="5"/>
  <c r="CS70" i="5"/>
  <c r="CX37" i="5"/>
  <c r="CU69" i="5"/>
  <c r="CU29" i="5"/>
  <c r="CR67" i="5"/>
  <c r="CR38" i="5"/>
  <c r="CR43" i="5" s="1"/>
  <c r="CW33" i="5"/>
  <c r="R191" i="5"/>
  <c r="R63" i="5"/>
  <c r="CM105" i="5"/>
  <c r="CM48" i="5"/>
  <c r="CM40" i="5"/>
  <c r="CM61" i="5"/>
  <c r="CM39" i="5"/>
  <c r="AI64" i="5"/>
  <c r="AM61" i="5"/>
  <c r="AM64" i="5" s="1"/>
  <c r="AM47" i="5"/>
  <c r="CP69" i="5"/>
  <c r="CP46" i="5"/>
  <c r="CP29" i="5"/>
  <c r="CG61" i="5"/>
  <c r="CG46" i="5"/>
  <c r="CG45" i="5"/>
  <c r="CG48" i="5"/>
  <c r="CG47" i="5"/>
  <c r="CG43" i="5"/>
  <c r="CG22" i="5"/>
  <c r="CG40" i="5"/>
  <c r="CG39" i="5"/>
  <c r="AC105" i="5"/>
  <c r="AC48" i="5"/>
  <c r="AC39" i="5"/>
  <c r="CU33" i="5"/>
  <c r="CM43" i="5"/>
  <c r="BV74" i="5"/>
  <c r="AH74" i="5"/>
  <c r="BZ191" i="5"/>
  <c r="BZ63" i="5"/>
  <c r="X95" i="5"/>
  <c r="X105" i="5"/>
  <c r="X48" i="5"/>
  <c r="X39" i="5"/>
  <c r="X43" i="5"/>
  <c r="CF84" i="5"/>
  <c r="CF88" i="5" s="1"/>
  <c r="CF90" i="5" s="1"/>
  <c r="CF68" i="5"/>
  <c r="CF44" i="5"/>
  <c r="CF28" i="5"/>
  <c r="CU37" i="5"/>
  <c r="CM47" i="5"/>
  <c r="BF105" i="5"/>
  <c r="BF95" i="5"/>
  <c r="BF43" i="5"/>
  <c r="BF39" i="5"/>
  <c r="BF48" i="5"/>
  <c r="BF46" i="5"/>
  <c r="BF22" i="5"/>
  <c r="BK23" i="5" s="1"/>
  <c r="BF40" i="5"/>
  <c r="BF47" i="5"/>
  <c r="AH44" i="5"/>
  <c r="AN96" i="5"/>
  <c r="BQ74" i="5"/>
  <c r="AL191" i="5"/>
  <c r="AL63" i="5"/>
  <c r="AR191" i="5"/>
  <c r="AO58" i="5"/>
  <c r="AN58" i="5"/>
  <c r="AQ58" i="5"/>
  <c r="AP58" i="5"/>
  <c r="X44" i="5"/>
  <c r="BS48" i="5"/>
  <c r="BS40" i="5"/>
  <c r="BS47" i="5"/>
  <c r="BS45" i="5"/>
  <c r="BS43" i="5"/>
  <c r="BS46" i="5"/>
  <c r="BS22" i="5"/>
  <c r="BV88" i="5"/>
  <c r="BV90" i="5" s="1"/>
  <c r="BB70" i="5"/>
  <c r="CR69" i="5"/>
  <c r="CW36" i="5"/>
  <c r="CQ68" i="5"/>
  <c r="CQ44" i="5"/>
  <c r="CV34" i="5"/>
  <c r="CU34" i="5"/>
  <c r="BB43" i="5"/>
  <c r="AR88" i="5"/>
  <c r="CV85" i="5"/>
  <c r="CF10" i="5"/>
  <c r="BB141" i="5"/>
  <c r="BB146" i="5" s="1"/>
  <c r="BB142" i="5"/>
  <c r="BJ84" i="5"/>
  <c r="BJ88" i="5" s="1"/>
  <c r="BJ90" i="5" s="1"/>
  <c r="BJ68" i="5"/>
  <c r="BJ38" i="5"/>
  <c r="BJ100" i="10" s="1"/>
  <c r="BJ102" i="10" s="1"/>
  <c r="BJ28" i="5"/>
  <c r="CP146" i="5"/>
  <c r="CI44" i="5"/>
  <c r="CF38" i="5"/>
  <c r="CF22" i="5"/>
  <c r="BB22" i="5"/>
  <c r="BQ146" i="5"/>
  <c r="CP85" i="5"/>
  <c r="CP10" i="5"/>
  <c r="CN136" i="5"/>
  <c r="CN134" i="5" s="1"/>
  <c r="CM132" i="5"/>
  <c r="CM11" i="10" s="1"/>
  <c r="CL44" i="5"/>
  <c r="BL146" i="5"/>
  <c r="CF136" i="5"/>
  <c r="CB135" i="5"/>
  <c r="CF135" i="5" s="1"/>
  <c r="CM10" i="5"/>
  <c r="X70" i="4" s="1"/>
  <c r="E70" i="4" s="1"/>
  <c r="E71" i="4" s="1"/>
  <c r="E72" i="4" s="1"/>
  <c r="E73" i="4" s="1"/>
  <c r="BO10" i="5"/>
  <c r="X51" i="4" s="1"/>
  <c r="Y51" i="4" s="1"/>
  <c r="F57" i="247"/>
  <c r="F49" i="247"/>
  <c r="E57" i="247"/>
  <c r="C57" i="247"/>
  <c r="K35" i="247"/>
  <c r="D57" i="247"/>
  <c r="E53" i="247"/>
  <c r="F48" i="247"/>
  <c r="F62" i="247"/>
  <c r="E30" i="247"/>
  <c r="E48" i="247"/>
  <c r="D63" i="247"/>
  <c r="D49" i="247" s="1"/>
  <c r="F53" i="247"/>
  <c r="Y47" i="4" l="1"/>
  <c r="BE44" i="5"/>
  <c r="BE100" i="10"/>
  <c r="BE101" i="10" s="1"/>
  <c r="CP137" i="5"/>
  <c r="AC82" i="4"/>
  <c r="BP40" i="5"/>
  <c r="BO100" i="10"/>
  <c r="Y52" i="4"/>
  <c r="AM146" i="5"/>
  <c r="BV146" i="5"/>
  <c r="CO145" i="5"/>
  <c r="CO146" i="5" s="1"/>
  <c r="AH72" i="4"/>
  <c r="CQ7" i="5"/>
  <c r="AA82" i="4"/>
  <c r="BO22" i="5"/>
  <c r="BO44" i="5"/>
  <c r="AI71" i="4"/>
  <c r="O71" i="4"/>
  <c r="P71" i="4" s="1"/>
  <c r="Y44" i="4"/>
  <c r="CY16" i="258"/>
  <c r="BX14" i="258"/>
  <c r="BX15" i="258" s="1"/>
  <c r="AT97" i="258"/>
  <c r="AT98" i="258" s="1"/>
  <c r="AT99" i="258" s="1"/>
  <c r="AV40" i="258"/>
  <c r="AW40" i="258" s="1"/>
  <c r="AX38" i="258" s="1"/>
  <c r="AV41" i="258"/>
  <c r="AV42" i="258" s="1"/>
  <c r="BK14" i="258"/>
  <c r="BK15" i="258" s="1"/>
  <c r="AU81" i="258"/>
  <c r="AU82" i="258" s="1"/>
  <c r="AU88" i="258"/>
  <c r="AV86" i="258" s="1"/>
  <c r="AU89" i="258"/>
  <c r="AU90" i="258" s="1"/>
  <c r="CH12" i="258"/>
  <c r="CH14" i="258"/>
  <c r="CH15" i="258" s="1"/>
  <c r="AZ24" i="258"/>
  <c r="BA22" i="258" s="1"/>
  <c r="AV64" i="258"/>
  <c r="AW64" i="258" s="1"/>
  <c r="AX62" i="258" s="1"/>
  <c r="AV65" i="258"/>
  <c r="AV66" i="258" s="1"/>
  <c r="AV67" i="258" s="1"/>
  <c r="BT104" i="258"/>
  <c r="BU102" i="258" s="1"/>
  <c r="BT105" i="258"/>
  <c r="BT106" i="258" s="1"/>
  <c r="AU56" i="258"/>
  <c r="AV54" i="258" s="1"/>
  <c r="BD80" i="258"/>
  <c r="BE78" i="258" s="1"/>
  <c r="BD81" i="258"/>
  <c r="BD82" i="258" s="1"/>
  <c r="CT16" i="258"/>
  <c r="BR137" i="258"/>
  <c r="BR136" i="258"/>
  <c r="AV33" i="258"/>
  <c r="AV34" i="258" s="1"/>
  <c r="AV32" i="258"/>
  <c r="AW32" i="258" s="1"/>
  <c r="AX30" i="258" s="1"/>
  <c r="BU112" i="258"/>
  <c r="BV112" i="258" s="1"/>
  <c r="BW110" i="258" s="1"/>
  <c r="CI16" i="258"/>
  <c r="CI120" i="258" s="1"/>
  <c r="CO16" i="258"/>
  <c r="AY27" i="258"/>
  <c r="AV80" i="258"/>
  <c r="AW80" i="258" s="1"/>
  <c r="AX78" i="258" s="1"/>
  <c r="CG16" i="258"/>
  <c r="CG120" i="258" s="1"/>
  <c r="AV48" i="258"/>
  <c r="AW48" i="258" s="1"/>
  <c r="AX46" i="258" s="1"/>
  <c r="CJ16" i="258"/>
  <c r="CE16" i="258"/>
  <c r="BJ16" i="258"/>
  <c r="BJ120" i="258" s="1"/>
  <c r="CT141" i="258"/>
  <c r="CU13" i="258"/>
  <c r="CV10" i="258" s="1"/>
  <c r="AT27" i="258"/>
  <c r="AS119" i="258"/>
  <c r="AS146" i="258" s="1"/>
  <c r="AU33" i="258"/>
  <c r="AU34" i="258" s="1"/>
  <c r="AV35" i="258" s="1"/>
  <c r="BT113" i="258"/>
  <c r="BT114" i="258" s="1"/>
  <c r="AT25" i="258"/>
  <c r="AT26" i="258" s="1"/>
  <c r="AT119" i="258" s="1"/>
  <c r="CO141" i="258"/>
  <c r="CP13" i="258"/>
  <c r="CQ10" i="258" s="1"/>
  <c r="AU49" i="258"/>
  <c r="AU50" i="258" s="1"/>
  <c r="CL13" i="258"/>
  <c r="CM10" i="258" s="1"/>
  <c r="AV73" i="258"/>
  <c r="AV74" i="258" s="1"/>
  <c r="BH96" i="258"/>
  <c r="BI94" i="258" s="1"/>
  <c r="BH13" i="258"/>
  <c r="BI10" i="258" s="1"/>
  <c r="BH12" i="258"/>
  <c r="BI25" i="258"/>
  <c r="BI26" i="258" s="1"/>
  <c r="BI27" i="258" s="1"/>
  <c r="BR16" i="258"/>
  <c r="BR120" i="258" s="1"/>
  <c r="BY13" i="258"/>
  <c r="BZ10" i="258" s="1"/>
  <c r="AU97" i="258"/>
  <c r="AU98" i="258" s="1"/>
  <c r="AU96" i="258"/>
  <c r="AV94" i="258" s="1"/>
  <c r="AV43" i="258"/>
  <c r="AU25" i="258"/>
  <c r="AU26" i="258" s="1"/>
  <c r="AU23" i="258"/>
  <c r="BM12" i="258"/>
  <c r="BM13" i="258" s="1"/>
  <c r="AV75" i="258"/>
  <c r="AX73" i="258"/>
  <c r="AX74" i="258" s="1"/>
  <c r="AX72" i="258"/>
  <c r="AY70" i="258" s="1"/>
  <c r="BF16" i="258"/>
  <c r="CY141" i="258"/>
  <c r="CZ13" i="258"/>
  <c r="BJ25" i="258"/>
  <c r="BJ26" i="258" s="1"/>
  <c r="BJ24" i="258"/>
  <c r="BK22" i="258" s="1"/>
  <c r="BD83" i="258"/>
  <c r="BS12" i="258"/>
  <c r="BS14" i="258"/>
  <c r="BS15" i="258" s="1"/>
  <c r="AJ72" i="4"/>
  <c r="I73" i="4"/>
  <c r="C74" i="4"/>
  <c r="M73" i="4"/>
  <c r="AH57" i="10"/>
  <c r="AH49" i="10"/>
  <c r="AL101" i="10"/>
  <c r="AL98" i="10"/>
  <c r="AM94" i="10"/>
  <c r="AM31" i="10"/>
  <c r="AM32" i="10" s="1"/>
  <c r="AP52" i="10"/>
  <c r="AP53" i="10" s="1"/>
  <c r="AP57" i="10"/>
  <c r="AP49" i="10"/>
  <c r="AN178" i="10"/>
  <c r="AN97" i="10"/>
  <c r="AZ102" i="10"/>
  <c r="AZ90" i="10"/>
  <c r="AZ60" i="10"/>
  <c r="AZ58" i="10"/>
  <c r="AC19" i="10"/>
  <c r="BL57" i="10"/>
  <c r="BL49" i="10"/>
  <c r="AH20" i="10"/>
  <c r="AH23" i="10"/>
  <c r="CK94" i="10"/>
  <c r="CK48" i="10"/>
  <c r="CK31" i="10"/>
  <c r="BE244" i="10"/>
  <c r="BE245" i="10"/>
  <c r="BE25" i="10"/>
  <c r="BE26" i="10" s="1"/>
  <c r="BN192" i="10"/>
  <c r="BN206" i="10" s="1"/>
  <c r="BN158" i="10"/>
  <c r="BN157" i="10" s="1"/>
  <c r="BN164" i="10" s="1"/>
  <c r="BN92" i="10"/>
  <c r="AD240" i="10"/>
  <c r="AD171" i="10"/>
  <c r="BS240" i="10"/>
  <c r="BS171" i="10"/>
  <c r="BH240" i="10"/>
  <c r="BH171" i="10"/>
  <c r="CK155" i="10"/>
  <c r="CG155" i="10"/>
  <c r="CE186" i="5"/>
  <c r="CE21" i="10" s="1"/>
  <c r="CF193" i="10"/>
  <c r="BJ23" i="10"/>
  <c r="BJ20" i="10"/>
  <c r="AV214" i="10"/>
  <c r="AV185" i="5"/>
  <c r="AG228" i="10"/>
  <c r="CF253" i="10"/>
  <c r="CF254" i="10" s="1"/>
  <c r="CF255" i="10" s="1"/>
  <c r="CF214" i="10"/>
  <c r="M51" i="247" s="1"/>
  <c r="M50" i="247" s="1"/>
  <c r="M49" i="247"/>
  <c r="BR245" i="10"/>
  <c r="BR244" i="10"/>
  <c r="BR247" i="10" s="1"/>
  <c r="BR25" i="10"/>
  <c r="BR26" i="10" s="1"/>
  <c r="AI102" i="10"/>
  <c r="AI60" i="10"/>
  <c r="AI90" i="10"/>
  <c r="AI58" i="10"/>
  <c r="AT245" i="10"/>
  <c r="AT244" i="10"/>
  <c r="AT247" i="10" s="1"/>
  <c r="AT25" i="10"/>
  <c r="AT26" i="10" s="1"/>
  <c r="BM90" i="10"/>
  <c r="BM58" i="10"/>
  <c r="BM60" i="10"/>
  <c r="AG178" i="10"/>
  <c r="AF178" i="10"/>
  <c r="AE178" i="10"/>
  <c r="AD178" i="10"/>
  <c r="AD97" i="10"/>
  <c r="CG102" i="10"/>
  <c r="CG90" i="10"/>
  <c r="CG58" i="10"/>
  <c r="CG60" i="10"/>
  <c r="AL240" i="10"/>
  <c r="AL171" i="10"/>
  <c r="AN240" i="10"/>
  <c r="BI176" i="10"/>
  <c r="BC240" i="10"/>
  <c r="BC171" i="10"/>
  <c r="BN95" i="10"/>
  <c r="BN97" i="10" s="1"/>
  <c r="BN19" i="10"/>
  <c r="BT23" i="10"/>
  <c r="BT20" i="10"/>
  <c r="M53" i="247"/>
  <c r="AQ214" i="10"/>
  <c r="AQ185" i="5"/>
  <c r="L53" i="247"/>
  <c r="AE23" i="10"/>
  <c r="AE20" i="10"/>
  <c r="N57" i="10"/>
  <c r="N49" i="10"/>
  <c r="N52" i="10"/>
  <c r="K102" i="10"/>
  <c r="K90" i="10"/>
  <c r="K60" i="10"/>
  <c r="K104" i="10" s="1"/>
  <c r="K58" i="10"/>
  <c r="AJ98" i="10"/>
  <c r="CA57" i="10"/>
  <c r="CA49" i="10"/>
  <c r="CA52" i="10"/>
  <c r="CA53" i="10" s="1"/>
  <c r="AT58" i="10"/>
  <c r="AT60" i="10"/>
  <c r="AT102" i="10"/>
  <c r="AT90" i="10"/>
  <c r="BR192" i="10"/>
  <c r="BR158" i="10"/>
  <c r="BR157" i="10" s="1"/>
  <c r="BR164" i="10" s="1"/>
  <c r="BR92" i="10"/>
  <c r="AH240" i="10"/>
  <c r="AH171" i="10"/>
  <c r="BJ240" i="10"/>
  <c r="BJ171" i="10"/>
  <c r="AQ240" i="10"/>
  <c r="AQ171" i="10"/>
  <c r="CO159" i="10"/>
  <c r="CP145" i="10"/>
  <c r="BK23" i="10"/>
  <c r="BK20" i="10"/>
  <c r="BV259" i="10"/>
  <c r="BV260" i="10" s="1"/>
  <c r="BV264" i="10"/>
  <c r="BV265" i="10" s="1"/>
  <c r="BV186" i="5"/>
  <c r="BV21" i="10" s="1"/>
  <c r="BV95" i="10" s="1"/>
  <c r="BV97" i="10" s="1"/>
  <c r="O23" i="10"/>
  <c r="O20" i="10"/>
  <c r="BZ192" i="10"/>
  <c r="BZ158" i="10"/>
  <c r="BZ157" i="10" s="1"/>
  <c r="BZ164" i="10" s="1"/>
  <c r="BZ92" i="10"/>
  <c r="T32" i="10"/>
  <c r="T19" i="10"/>
  <c r="BI58" i="10"/>
  <c r="BI90" i="10"/>
  <c r="BI60" i="10"/>
  <c r="BJ192" i="10"/>
  <c r="BJ158" i="10"/>
  <c r="BJ157" i="10" s="1"/>
  <c r="BJ164" i="10" s="1"/>
  <c r="BJ92" i="10"/>
  <c r="BK102" i="10"/>
  <c r="BK60" i="10"/>
  <c r="BK90" i="10"/>
  <c r="BK58" i="10"/>
  <c r="CT65" i="10"/>
  <c r="CU65" i="10"/>
  <c r="CL32" i="10"/>
  <c r="CL19" i="10"/>
  <c r="E38" i="247"/>
  <c r="CF240" i="10"/>
  <c r="CF171" i="10"/>
  <c r="AA240" i="10"/>
  <c r="AA171" i="10"/>
  <c r="X155" i="10"/>
  <c r="BX240" i="10"/>
  <c r="BX171" i="10"/>
  <c r="BU95" i="10"/>
  <c r="BU97" i="10" s="1"/>
  <c r="BW179" i="10" s="1"/>
  <c r="BU19" i="10"/>
  <c r="AQ95" i="10"/>
  <c r="AQ97" i="10" s="1"/>
  <c r="AQ19" i="10"/>
  <c r="CA198" i="10"/>
  <c r="CA203" i="10" s="1"/>
  <c r="L45" i="247" s="1"/>
  <c r="AG32" i="10"/>
  <c r="AG19" i="10"/>
  <c r="BV178" i="10"/>
  <c r="BQ240" i="10"/>
  <c r="BQ171" i="10"/>
  <c r="Q57" i="10"/>
  <c r="Q49" i="10"/>
  <c r="Q52" i="10"/>
  <c r="AK57" i="10"/>
  <c r="AK49" i="10"/>
  <c r="AK52" i="10"/>
  <c r="AK53" i="10" s="1"/>
  <c r="BU102" i="10"/>
  <c r="BU58" i="10"/>
  <c r="BU90" i="10"/>
  <c r="BU60" i="10"/>
  <c r="CK240" i="10"/>
  <c r="CK171" i="10"/>
  <c r="R228" i="10"/>
  <c r="CF226" i="10"/>
  <c r="CF228" i="10" s="1"/>
  <c r="M56" i="247" s="1"/>
  <c r="M55" i="247" s="1"/>
  <c r="AB101" i="10"/>
  <c r="AB98" i="10"/>
  <c r="U32" i="10"/>
  <c r="U19" i="10"/>
  <c r="BB57" i="10"/>
  <c r="BB49" i="10"/>
  <c r="Z101" i="10"/>
  <c r="Z98" i="10"/>
  <c r="Z180" i="5"/>
  <c r="L57" i="10"/>
  <c r="L49" i="10"/>
  <c r="AF52" i="10"/>
  <c r="AF57" i="10"/>
  <c r="AF49" i="10"/>
  <c r="CB245" i="10"/>
  <c r="CB244" i="10"/>
  <c r="CB247" i="10" s="1"/>
  <c r="CB25" i="10"/>
  <c r="CB26" i="10" s="1"/>
  <c r="CC245" i="10"/>
  <c r="CC244" i="10"/>
  <c r="CC25" i="10"/>
  <c r="CC26" i="10" s="1"/>
  <c r="BI244" i="10"/>
  <c r="BI247" i="10" s="1"/>
  <c r="BI245" i="10"/>
  <c r="BI25" i="10"/>
  <c r="BI26" i="10" s="1"/>
  <c r="BG94" i="10"/>
  <c r="BG31" i="10"/>
  <c r="BG48" i="10"/>
  <c r="AN57" i="10"/>
  <c r="AN49" i="10"/>
  <c r="AN52" i="10"/>
  <c r="AN53" i="10" s="1"/>
  <c r="BJ179" i="10"/>
  <c r="BK179" i="10"/>
  <c r="BI179" i="10"/>
  <c r="BH179" i="10"/>
  <c r="BH98" i="10"/>
  <c r="AS98" i="10"/>
  <c r="AS101" i="10"/>
  <c r="AS180" i="5"/>
  <c r="BN179" i="10"/>
  <c r="BO179" i="10"/>
  <c r="BM179" i="10"/>
  <c r="BM98" i="10"/>
  <c r="BN176" i="10"/>
  <c r="J32" i="10"/>
  <c r="J19" i="10"/>
  <c r="CN63" i="10"/>
  <c r="BN104" i="10"/>
  <c r="BN61" i="10"/>
  <c r="BN178" i="5"/>
  <c r="BB171" i="10"/>
  <c r="CX65" i="10"/>
  <c r="AX240" i="10"/>
  <c r="AX171" i="10"/>
  <c r="AE240" i="10"/>
  <c r="AE171" i="10"/>
  <c r="AF240" i="10"/>
  <c r="CB240" i="10"/>
  <c r="CB171" i="10"/>
  <c r="BQ155" i="10"/>
  <c r="BM155" i="10"/>
  <c r="BJ176" i="10"/>
  <c r="BJ101" i="10"/>
  <c r="BJ98" i="10"/>
  <c r="BP228" i="10"/>
  <c r="BQ217" i="10"/>
  <c r="BQ228" i="10" s="1"/>
  <c r="AM49" i="10"/>
  <c r="AM52" i="10"/>
  <c r="BF178" i="5"/>
  <c r="AL20" i="10"/>
  <c r="AL23" i="10"/>
  <c r="K23" i="10"/>
  <c r="K20" i="10"/>
  <c r="CE192" i="10"/>
  <c r="CE206" i="10" s="1"/>
  <c r="CE158" i="10"/>
  <c r="CE164" i="10" s="1"/>
  <c r="CE92" i="10"/>
  <c r="BE58" i="10"/>
  <c r="BE90" i="10"/>
  <c r="BE60" i="10"/>
  <c r="AD32" i="10"/>
  <c r="AD19" i="10"/>
  <c r="CB101" i="10"/>
  <c r="CB98" i="10"/>
  <c r="BX101" i="10"/>
  <c r="BX98" i="10"/>
  <c r="CJ32" i="10"/>
  <c r="CJ19" i="10"/>
  <c r="D38" i="247"/>
  <c r="BF240" i="10"/>
  <c r="BF171" i="10"/>
  <c r="BW240" i="10"/>
  <c r="BW171" i="10"/>
  <c r="CP141" i="10"/>
  <c r="BI240" i="10"/>
  <c r="AN155" i="10"/>
  <c r="BA186" i="5"/>
  <c r="BA21" i="10"/>
  <c r="BF23" i="10"/>
  <c r="BF20" i="10"/>
  <c r="BO95" i="10"/>
  <c r="BO97" i="10" s="1"/>
  <c r="BO19" i="10"/>
  <c r="CA226" i="10"/>
  <c r="CA228" i="10" s="1"/>
  <c r="L56" i="247" s="1"/>
  <c r="L55" i="247" s="1"/>
  <c r="BU212" i="10"/>
  <c r="BU214" i="10" s="1"/>
  <c r="CE228" i="10"/>
  <c r="AA52" i="10"/>
  <c r="AA57" i="10"/>
  <c r="AA49" i="10"/>
  <c r="BS244" i="10"/>
  <c r="BS245" i="10"/>
  <c r="BS25" i="10"/>
  <c r="BS26" i="10" s="1"/>
  <c r="BM244" i="10"/>
  <c r="BM245" i="10"/>
  <c r="BM25" i="10"/>
  <c r="BM26" i="10" s="1"/>
  <c r="N101" i="10"/>
  <c r="N98" i="10"/>
  <c r="AX245" i="10"/>
  <c r="AX244" i="10"/>
  <c r="AX247" i="10" s="1"/>
  <c r="AX25" i="10"/>
  <c r="AX26" i="10" s="1"/>
  <c r="CA178" i="10"/>
  <c r="BY102" i="10"/>
  <c r="BY58" i="10"/>
  <c r="BY90" i="10"/>
  <c r="BY60" i="10"/>
  <c r="CD192" i="10"/>
  <c r="CD206" i="10" s="1"/>
  <c r="CD158" i="10"/>
  <c r="CD157" i="10" s="1"/>
  <c r="CD164" i="10" s="1"/>
  <c r="CD92" i="10"/>
  <c r="BF104" i="10"/>
  <c r="CR117" i="10"/>
  <c r="CL240" i="10"/>
  <c r="CL171" i="10"/>
  <c r="BK240" i="10"/>
  <c r="BK171" i="10"/>
  <c r="AB240" i="10"/>
  <c r="AB171" i="10"/>
  <c r="BT240" i="10"/>
  <c r="BX176" i="10"/>
  <c r="BK101" i="10"/>
  <c r="BK98" i="10"/>
  <c r="BB186" i="5"/>
  <c r="BB21" i="10" s="1"/>
  <c r="BB95" i="10" s="1"/>
  <c r="BB97" i="10" s="1"/>
  <c r="BJ203" i="10"/>
  <c r="BA212" i="10"/>
  <c r="BA214" i="10" s="1"/>
  <c r="AR185" i="5"/>
  <c r="AE102" i="10"/>
  <c r="AE60" i="10"/>
  <c r="AE90" i="10"/>
  <c r="AE58" i="10"/>
  <c r="AJ102" i="10"/>
  <c r="AJ90" i="10"/>
  <c r="AJ60" i="10"/>
  <c r="AJ58" i="10"/>
  <c r="T57" i="10"/>
  <c r="T49" i="10"/>
  <c r="T52" i="10"/>
  <c r="BH90" i="10"/>
  <c r="BH60" i="10"/>
  <c r="BH58" i="10"/>
  <c r="BO102" i="10"/>
  <c r="BO60" i="10"/>
  <c r="BO90" i="10"/>
  <c r="BO58" i="10"/>
  <c r="Y32" i="10"/>
  <c r="Y19" i="10"/>
  <c r="BA102" i="10"/>
  <c r="BA90" i="10"/>
  <c r="BA58" i="10"/>
  <c r="BA60" i="10"/>
  <c r="BF61" i="10" s="1"/>
  <c r="BW231" i="10"/>
  <c r="BW237" i="10"/>
  <c r="BW181" i="5"/>
  <c r="W201" i="10"/>
  <c r="T203" i="10"/>
  <c r="AU240" i="10"/>
  <c r="AU171" i="10"/>
  <c r="BG174" i="10"/>
  <c r="AW139" i="10"/>
  <c r="AW150" i="10" s="1"/>
  <c r="AW152" i="10" s="1"/>
  <c r="AW170" i="10"/>
  <c r="AS155" i="10"/>
  <c r="AV95" i="10"/>
  <c r="AV97" i="10" s="1"/>
  <c r="AV19" i="10"/>
  <c r="CK193" i="10"/>
  <c r="BJ214" i="10"/>
  <c r="AG48" i="10"/>
  <c r="BP102" i="10"/>
  <c r="BP90" i="10"/>
  <c r="BP60" i="10"/>
  <c r="BP58" i="10"/>
  <c r="R32" i="10"/>
  <c r="R19" i="10"/>
  <c r="Q98" i="10"/>
  <c r="Q101" i="10"/>
  <c r="AK98" i="10"/>
  <c r="AK101" i="10"/>
  <c r="AK180" i="5"/>
  <c r="V97" i="10"/>
  <c r="AL102" i="10"/>
  <c r="AL90" i="10"/>
  <c r="AL58" i="10"/>
  <c r="AL60" i="10"/>
  <c r="AB57" i="10"/>
  <c r="AB49" i="10"/>
  <c r="U57" i="10"/>
  <c r="U49" i="10"/>
  <c r="U52" i="10"/>
  <c r="BB178" i="10"/>
  <c r="BV240" i="10"/>
  <c r="BV171" i="10"/>
  <c r="BB19" i="10"/>
  <c r="AC57" i="10"/>
  <c r="AC49" i="10"/>
  <c r="AC52" i="10"/>
  <c r="BT101" i="10"/>
  <c r="BT98" i="10"/>
  <c r="J57" i="10"/>
  <c r="J49" i="10"/>
  <c r="CB102" i="10"/>
  <c r="CB90" i="10"/>
  <c r="CB60" i="10"/>
  <c r="CB58" i="10"/>
  <c r="BX102" i="10"/>
  <c r="BX90" i="10"/>
  <c r="BX60" i="10"/>
  <c r="BX58" i="10"/>
  <c r="AV65" i="10"/>
  <c r="AW65" i="10" s="1"/>
  <c r="BX179" i="10"/>
  <c r="BR240" i="10"/>
  <c r="BR171" i="10"/>
  <c r="W203" i="10"/>
  <c r="BO139" i="10"/>
  <c r="BO150" i="10" s="1"/>
  <c r="BO152" i="10" s="1"/>
  <c r="BO170" i="10"/>
  <c r="AU95" i="10"/>
  <c r="AU97" i="10" s="1"/>
  <c r="AU176" i="10" s="1"/>
  <c r="AU19" i="10"/>
  <c r="BP214" i="10"/>
  <c r="BP185" i="5"/>
  <c r="BQ185" i="5" s="1"/>
  <c r="BQ209" i="10"/>
  <c r="BQ212" i="10"/>
  <c r="BF192" i="10"/>
  <c r="BF206" i="10" s="1"/>
  <c r="BF158" i="10"/>
  <c r="BF157" i="10" s="1"/>
  <c r="BF164" i="10" s="1"/>
  <c r="BF92" i="10"/>
  <c r="BD90" i="10"/>
  <c r="BD60" i="10"/>
  <c r="BD58" i="10"/>
  <c r="CE104" i="10"/>
  <c r="CE61" i="10"/>
  <c r="CE178" i="5"/>
  <c r="CF178" i="10"/>
  <c r="AS102" i="10"/>
  <c r="AS58" i="10"/>
  <c r="AS90" i="10"/>
  <c r="AS60" i="10"/>
  <c r="AD57" i="10"/>
  <c r="AD49" i="10"/>
  <c r="AD52" i="10"/>
  <c r="CJ101" i="10"/>
  <c r="CJ98" i="10"/>
  <c r="AC240" i="10"/>
  <c r="AC171" i="10"/>
  <c r="AR139" i="10"/>
  <c r="AR150" i="10" s="1"/>
  <c r="AR152" i="10" s="1"/>
  <c r="AR170" i="10"/>
  <c r="CH240" i="10"/>
  <c r="CH171" i="10"/>
  <c r="BL155" i="10"/>
  <c r="BH155" i="10"/>
  <c r="O240" i="10"/>
  <c r="O171" i="10"/>
  <c r="BP240" i="10"/>
  <c r="BP171" i="10"/>
  <c r="CC240" i="10"/>
  <c r="CC171" i="10"/>
  <c r="CD240" i="10"/>
  <c r="BG155" i="10"/>
  <c r="BC155" i="10"/>
  <c r="CD23" i="10"/>
  <c r="CD20" i="10"/>
  <c r="BF101" i="10"/>
  <c r="BF98" i="10"/>
  <c r="BP95" i="10"/>
  <c r="BP97" i="10" s="1"/>
  <c r="BP176" i="10" s="1"/>
  <c r="BP19" i="10"/>
  <c r="BK203" i="10"/>
  <c r="BP212" i="10"/>
  <c r="AA32" i="10"/>
  <c r="AA19" i="10"/>
  <c r="AO32" i="10"/>
  <c r="AO41" i="10"/>
  <c r="AO19" i="10"/>
  <c r="AO20" i="10" s="1"/>
  <c r="S94" i="10"/>
  <c r="S97" i="10" s="1"/>
  <c r="S31" i="10"/>
  <c r="S48" i="10"/>
  <c r="AY102" i="10"/>
  <c r="AY60" i="10"/>
  <c r="AY90" i="10"/>
  <c r="AY58" i="10"/>
  <c r="BR104" i="10"/>
  <c r="BR61" i="10"/>
  <c r="BR178" i="5"/>
  <c r="BC60" i="10"/>
  <c r="BC90" i="10"/>
  <c r="BC58" i="10"/>
  <c r="CD104" i="10"/>
  <c r="CD61" i="10"/>
  <c r="CD178" i="5"/>
  <c r="CH102" i="10"/>
  <c r="CH90" i="10"/>
  <c r="CH58" i="10"/>
  <c r="CH60" i="10"/>
  <c r="V240" i="10"/>
  <c r="V171" i="10"/>
  <c r="AB201" i="10"/>
  <c r="AB203" i="10" s="1"/>
  <c r="Y203" i="10"/>
  <c r="CE240" i="10"/>
  <c r="CE171" i="10"/>
  <c r="CA168" i="10"/>
  <c r="AZ95" i="10"/>
  <c r="AZ97" i="10" s="1"/>
  <c r="AZ19" i="10"/>
  <c r="BQ198" i="10"/>
  <c r="BQ203" i="10" s="1"/>
  <c r="W102" i="10"/>
  <c r="W60" i="10"/>
  <c r="W90" i="10"/>
  <c r="W58" i="10"/>
  <c r="M94" i="10"/>
  <c r="M97" i="10" s="1"/>
  <c r="M48" i="10"/>
  <c r="M31" i="10"/>
  <c r="BZ104" i="10"/>
  <c r="BZ61" i="10"/>
  <c r="BZ178" i="5"/>
  <c r="AR243" i="10"/>
  <c r="AR16" i="10"/>
  <c r="AR29" i="10"/>
  <c r="AR249" i="10"/>
  <c r="X48" i="10"/>
  <c r="X94" i="10"/>
  <c r="X97" i="10" s="1"/>
  <c r="X31" i="10"/>
  <c r="U176" i="10"/>
  <c r="T101" i="10"/>
  <c r="T98" i="10"/>
  <c r="T180" i="5"/>
  <c r="V176" i="10"/>
  <c r="Y57" i="10"/>
  <c r="Y49" i="10"/>
  <c r="Y52" i="10"/>
  <c r="BJ104" i="10"/>
  <c r="BJ61" i="10"/>
  <c r="BJ178" i="5"/>
  <c r="CO73" i="10"/>
  <c r="CO224" i="10" s="1"/>
  <c r="CP76" i="10"/>
  <c r="CQ76" i="10" s="1"/>
  <c r="CL178" i="10"/>
  <c r="CL97" i="10"/>
  <c r="Z240" i="10"/>
  <c r="Z171" i="10"/>
  <c r="N176" i="10"/>
  <c r="BW176" i="10"/>
  <c r="CH95" i="10"/>
  <c r="CH97" i="10" s="1"/>
  <c r="CH19" i="10"/>
  <c r="BK214" i="10"/>
  <c r="BK185" i="5"/>
  <c r="BL185" i="5" s="1"/>
  <c r="AW16" i="10"/>
  <c r="AG98" i="10"/>
  <c r="AG101" i="10"/>
  <c r="R57" i="10"/>
  <c r="R49" i="10"/>
  <c r="R52" i="10"/>
  <c r="K55" i="247"/>
  <c r="AK32" i="10"/>
  <c r="AK19" i="10"/>
  <c r="V32" i="10"/>
  <c r="V19" i="10"/>
  <c r="U98" i="10"/>
  <c r="U101" i="10"/>
  <c r="U180" i="5"/>
  <c r="Z32" i="10"/>
  <c r="Z19" i="10"/>
  <c r="BL171" i="10"/>
  <c r="W95" i="10"/>
  <c r="W97" i="10" s="1"/>
  <c r="W19" i="10"/>
  <c r="L32" i="10"/>
  <c r="L19" i="10"/>
  <c r="AF32" i="10"/>
  <c r="AF19" i="10"/>
  <c r="BQ57" i="10"/>
  <c r="BQ49" i="10"/>
  <c r="AH178" i="10"/>
  <c r="AH97" i="10"/>
  <c r="AJ249" i="10"/>
  <c r="AJ243" i="10"/>
  <c r="AJ16" i="10"/>
  <c r="AJ19" i="10"/>
  <c r="AM19" i="10" s="1"/>
  <c r="AM20" i="10" s="1"/>
  <c r="AJ17" i="10"/>
  <c r="AJ29" i="10"/>
  <c r="AJ250" i="10"/>
  <c r="AO16" i="10"/>
  <c r="AK17" i="10"/>
  <c r="AJ171" i="10"/>
  <c r="BH244" i="10"/>
  <c r="BH247" i="10" s="1"/>
  <c r="BH245" i="10"/>
  <c r="BH25" i="10"/>
  <c r="BH26" i="10" s="1"/>
  <c r="AC98" i="10"/>
  <c r="AC101" i="10"/>
  <c r="CG245" i="10"/>
  <c r="CG244" i="10"/>
  <c r="CG25" i="10"/>
  <c r="CG26" i="10" s="1"/>
  <c r="BL19" i="10"/>
  <c r="AN32" i="10"/>
  <c r="AN19" i="10"/>
  <c r="BL178" i="10"/>
  <c r="BL97" i="10"/>
  <c r="J101" i="10"/>
  <c r="J98" i="10"/>
  <c r="M176" i="10"/>
  <c r="BS102" i="10"/>
  <c r="BS60" i="10"/>
  <c r="BS90" i="10"/>
  <c r="BV90" i="10" s="1"/>
  <c r="BS58" i="10"/>
  <c r="CG98" i="10"/>
  <c r="CG101" i="10"/>
  <c r="BL52" i="10"/>
  <c r="AY240" i="10"/>
  <c r="CQ147" i="10"/>
  <c r="CR147" i="10" s="1"/>
  <c r="CS147" i="10" s="1"/>
  <c r="CT147" i="10" s="1"/>
  <c r="CP147" i="10"/>
  <c r="O36" i="247" s="1"/>
  <c r="BN139" i="10"/>
  <c r="BN150" i="10" s="1"/>
  <c r="BN152" i="10" s="1"/>
  <c r="BN170" i="10"/>
  <c r="AP95" i="10"/>
  <c r="AP97" i="10" s="1"/>
  <c r="AP19" i="10"/>
  <c r="AP20" i="10" s="1"/>
  <c r="AB228" i="10"/>
  <c r="CK253" i="10"/>
  <c r="CK214" i="10"/>
  <c r="N51" i="247" s="1"/>
  <c r="N50" i="247" s="1"/>
  <c r="N49" i="247"/>
  <c r="BO214" i="10"/>
  <c r="AP228" i="10"/>
  <c r="AQ217" i="10"/>
  <c r="AQ228" i="10" s="1"/>
  <c r="CX243" i="10"/>
  <c r="O102" i="10"/>
  <c r="O60" i="10"/>
  <c r="O90" i="10"/>
  <c r="O58" i="10"/>
  <c r="AV102" i="10"/>
  <c r="AV90" i="10"/>
  <c r="AV60" i="10"/>
  <c r="AV58" i="10"/>
  <c r="CI102" i="10"/>
  <c r="CI60" i="10"/>
  <c r="CI90" i="10"/>
  <c r="CI58" i="10"/>
  <c r="AQ102" i="10"/>
  <c r="AQ90" i="10"/>
  <c r="AQ60" i="10"/>
  <c r="AQ58" i="10"/>
  <c r="CF57" i="10"/>
  <c r="CF49" i="10"/>
  <c r="CF52" i="10"/>
  <c r="CF53" i="10" s="1"/>
  <c r="AU102" i="10"/>
  <c r="AU60" i="10"/>
  <c r="AU90" i="10"/>
  <c r="AU58" i="10"/>
  <c r="CJ57" i="10"/>
  <c r="CJ49" i="10"/>
  <c r="CJ52" i="10"/>
  <c r="CJ53" i="10" s="1"/>
  <c r="AM240" i="10"/>
  <c r="AM171" i="10"/>
  <c r="AS240" i="10"/>
  <c r="AS171" i="10"/>
  <c r="BT176" i="10"/>
  <c r="AI240" i="10"/>
  <c r="AI171" i="10"/>
  <c r="AJ240" i="10"/>
  <c r="S240" i="10"/>
  <c r="S171" i="10"/>
  <c r="CJ240" i="10"/>
  <c r="CJ171" i="10"/>
  <c r="BY95" i="10"/>
  <c r="BY97" i="10" s="1"/>
  <c r="BY19" i="10"/>
  <c r="CD101" i="10"/>
  <c r="CD98" i="10"/>
  <c r="W214" i="10"/>
  <c r="W185" i="5"/>
  <c r="X185" i="5" s="1"/>
  <c r="BK217" i="10"/>
  <c r="BK228" i="10" s="1"/>
  <c r="AI23" i="10"/>
  <c r="AI20" i="10"/>
  <c r="AA101" i="10"/>
  <c r="AA98" i="10"/>
  <c r="AA180" i="5"/>
  <c r="N32" i="10"/>
  <c r="N19" i="10"/>
  <c r="BW244" i="10"/>
  <c r="BW247" i="10" s="1"/>
  <c r="BW245" i="10"/>
  <c r="BW25" i="10"/>
  <c r="BW26" i="10" s="1"/>
  <c r="AX58" i="10"/>
  <c r="AX102" i="10"/>
  <c r="AX60" i="10"/>
  <c r="AX90" i="10"/>
  <c r="AM155" i="10"/>
  <c r="AP240" i="10"/>
  <c r="AP171" i="10"/>
  <c r="W240" i="10"/>
  <c r="W171" i="10"/>
  <c r="BG139" i="10"/>
  <c r="BG150" i="10" s="1"/>
  <c r="BG152" i="10" s="1"/>
  <c r="BG170" i="10"/>
  <c r="CO160" i="10"/>
  <c r="CO156" i="10"/>
  <c r="CP146" i="10"/>
  <c r="U240" i="10"/>
  <c r="U171" i="10"/>
  <c r="BM240" i="10"/>
  <c r="BL176" i="10"/>
  <c r="BL174" i="10"/>
  <c r="BV174" i="10"/>
  <c r="P240" i="10"/>
  <c r="CK203" i="10"/>
  <c r="N45" i="247" s="1"/>
  <c r="BZ193" i="10"/>
  <c r="BX23" i="10"/>
  <c r="BX20" i="10"/>
  <c r="AL212" i="10"/>
  <c r="AL214" i="10" s="1"/>
  <c r="AK214" i="10"/>
  <c r="CX225" i="10"/>
  <c r="CZ225" i="10" s="1"/>
  <c r="CU225" i="10"/>
  <c r="AL179" i="10"/>
  <c r="AK179" i="10"/>
  <c r="AJ179" i="10"/>
  <c r="AK176" i="10"/>
  <c r="AI179" i="10"/>
  <c r="AI101" i="10"/>
  <c r="AI98" i="10"/>
  <c r="AI180" i="5"/>
  <c r="AJ176" i="10"/>
  <c r="AL176" i="10"/>
  <c r="AI176" i="10"/>
  <c r="P48" i="10"/>
  <c r="P94" i="10"/>
  <c r="P97" i="10" s="1"/>
  <c r="T176" i="10" s="1"/>
  <c r="P31" i="10"/>
  <c r="BT102" i="10"/>
  <c r="BT90" i="10"/>
  <c r="BT60" i="10"/>
  <c r="BT58" i="10"/>
  <c r="AW94" i="10"/>
  <c r="AW48" i="10"/>
  <c r="AW31" i="10"/>
  <c r="Y176" i="10"/>
  <c r="Y98" i="10"/>
  <c r="Y101" i="10"/>
  <c r="Y180" i="5"/>
  <c r="AA176" i="10"/>
  <c r="AB176" i="10"/>
  <c r="Z176" i="10"/>
  <c r="BT179" i="10"/>
  <c r="AS244" i="10"/>
  <c r="AS247" i="10" s="1"/>
  <c r="AS245" i="10"/>
  <c r="AS25" i="10"/>
  <c r="AS26" i="10" s="1"/>
  <c r="CC102" i="10"/>
  <c r="CC90" i="10"/>
  <c r="CC58" i="10"/>
  <c r="CC60" i="10"/>
  <c r="X240" i="10"/>
  <c r="X171" i="10"/>
  <c r="CL52" i="10"/>
  <c r="CL53" i="10" s="1"/>
  <c r="CL57" i="10"/>
  <c r="CL49" i="10"/>
  <c r="AT240" i="10"/>
  <c r="AT171" i="10"/>
  <c r="CB155" i="10"/>
  <c r="CF155" i="10"/>
  <c r="CI240" i="10"/>
  <c r="BD240" i="10"/>
  <c r="Y240" i="10"/>
  <c r="AW174" i="10"/>
  <c r="CI95" i="10"/>
  <c r="CI97" i="10" s="1"/>
  <c r="CI19" i="10"/>
  <c r="AW185" i="5"/>
  <c r="BF217" i="10"/>
  <c r="BF228" i="10" s="1"/>
  <c r="BV57" i="10"/>
  <c r="BV49" i="10"/>
  <c r="BV52" i="10"/>
  <c r="BV53" i="10" s="1"/>
  <c r="R101" i="10"/>
  <c r="R98" i="10"/>
  <c r="Q32" i="10"/>
  <c r="Q19" i="10"/>
  <c r="V52" i="10"/>
  <c r="V57" i="10"/>
  <c r="V49" i="10"/>
  <c r="CP65" i="10"/>
  <c r="BQ193" i="10"/>
  <c r="AB32" i="10"/>
  <c r="AB19" i="10"/>
  <c r="BV19" i="10"/>
  <c r="Z52" i="10"/>
  <c r="Z57" i="10"/>
  <c r="Z49" i="10"/>
  <c r="L101" i="10"/>
  <c r="L98" i="10"/>
  <c r="O176" i="10"/>
  <c r="AF101" i="10"/>
  <c r="AF98" i="10"/>
  <c r="AF180" i="5"/>
  <c r="BQ178" i="10"/>
  <c r="CZ70" i="5"/>
  <c r="CZ30" i="5"/>
  <c r="BJ43" i="5"/>
  <c r="BJ39" i="5"/>
  <c r="BJ48" i="5"/>
  <c r="BJ46" i="5"/>
  <c r="BJ47" i="5"/>
  <c r="BK40" i="5"/>
  <c r="BJ105" i="5"/>
  <c r="BJ45" i="5"/>
  <c r="CV68" i="5"/>
  <c r="AQ191" i="5"/>
  <c r="AQ63" i="5"/>
  <c r="CG92" i="5"/>
  <c r="CG24" i="5"/>
  <c r="CG23" i="5"/>
  <c r="CF105" i="5"/>
  <c r="CF48" i="5"/>
  <c r="CF43" i="5"/>
  <c r="CF39" i="5"/>
  <c r="CF45" i="5"/>
  <c r="CF47" i="5"/>
  <c r="CF46" i="5"/>
  <c r="CV10" i="5"/>
  <c r="X77" i="4" s="1"/>
  <c r="BS92" i="5"/>
  <c r="BS94" i="5" s="1"/>
  <c r="BS96" i="5" s="1"/>
  <c r="BS24" i="5"/>
  <c r="BT24" i="5"/>
  <c r="AO191" i="5"/>
  <c r="AO63" i="5"/>
  <c r="CU67" i="5"/>
  <c r="CU38" i="5"/>
  <c r="CU43" i="5" s="1"/>
  <c r="CU27" i="5"/>
  <c r="H14" i="247"/>
  <c r="CK61" i="5"/>
  <c r="CK64" i="5" s="1"/>
  <c r="CG64" i="5"/>
  <c r="CW67" i="5"/>
  <c r="AE191" i="5"/>
  <c r="AE63" i="5"/>
  <c r="CU110" i="5"/>
  <c r="CU126" i="5"/>
  <c r="CX126" i="5"/>
  <c r="CZ119" i="5"/>
  <c r="BC85" i="5"/>
  <c r="BC34" i="5"/>
  <c r="BC10" i="5" s="1"/>
  <c r="X41" i="4" s="1"/>
  <c r="S92" i="5"/>
  <c r="S94" i="5" s="1"/>
  <c r="S96" i="5" s="1"/>
  <c r="S23" i="5"/>
  <c r="BZ92" i="5"/>
  <c r="BZ94" i="5" s="1"/>
  <c r="BZ96" i="5" s="1"/>
  <c r="BZ23" i="5"/>
  <c r="BZ24" i="5"/>
  <c r="CZ33" i="5"/>
  <c r="CL92" i="5"/>
  <c r="CL23" i="5"/>
  <c r="CL24" i="5"/>
  <c r="CL64" i="5"/>
  <c r="CM64" i="5" s="1"/>
  <c r="CN64" i="5" s="1"/>
  <c r="CO64" i="5" s="1"/>
  <c r="CQ64" i="5" s="1"/>
  <c r="CR64" i="5" s="1"/>
  <c r="CS64" i="5" s="1"/>
  <c r="CT64" i="5" s="1"/>
  <c r="CV64" i="5" s="1"/>
  <c r="CW64" i="5" s="1"/>
  <c r="CX64" i="5" s="1"/>
  <c r="CY64" i="5" s="1"/>
  <c r="BC54" i="5"/>
  <c r="BC70" i="5" s="1"/>
  <c r="BF54" i="5"/>
  <c r="BF70" i="5" s="1"/>
  <c r="BE54" i="5"/>
  <c r="BE70" i="5" s="1"/>
  <c r="BL54" i="5"/>
  <c r="BD54" i="5"/>
  <c r="BD70" i="5" s="1"/>
  <c r="BG70" i="5"/>
  <c r="CA95" i="5"/>
  <c r="BJ95" i="5"/>
  <c r="CV157" i="5"/>
  <c r="BT153" i="5"/>
  <c r="BE22" i="5"/>
  <c r="CL135" i="5"/>
  <c r="CP135" i="5" s="1"/>
  <c r="CB24" i="5"/>
  <c r="CH153" i="5"/>
  <c r="CK163" i="5"/>
  <c r="CK130" i="5"/>
  <c r="AQ154" i="5"/>
  <c r="AQ151" i="5"/>
  <c r="CI171" i="5"/>
  <c r="BI68" i="5"/>
  <c r="BI84" i="5"/>
  <c r="BI88" i="5" s="1"/>
  <c r="BI90" i="5" s="1"/>
  <c r="BI38" i="5"/>
  <c r="BI28" i="5"/>
  <c r="CT68" i="5"/>
  <c r="CY34" i="5"/>
  <c r="CT38" i="5"/>
  <c r="CT44" i="5" s="1"/>
  <c r="CT10" i="5"/>
  <c r="X76" i="4" s="1"/>
  <c r="L191" i="5"/>
  <c r="L63" i="5"/>
  <c r="CL133" i="5"/>
  <c r="CQ163" i="5"/>
  <c r="CQ170" i="5" s="1"/>
  <c r="CV128" i="5"/>
  <c r="CQ130" i="5"/>
  <c r="BY154" i="5"/>
  <c r="BY151" i="5"/>
  <c r="BI154" i="5"/>
  <c r="BI151" i="5"/>
  <c r="X23" i="5"/>
  <c r="CO136" i="5"/>
  <c r="CO134" i="5" s="1"/>
  <c r="CP134" i="5" s="1"/>
  <c r="CN132" i="5"/>
  <c r="CN11" i="10" s="1"/>
  <c r="CW69" i="5"/>
  <c r="BJ22" i="5"/>
  <c r="BO23" i="5" s="1"/>
  <c r="CU68" i="5"/>
  <c r="CU44" i="5"/>
  <c r="CU28" i="5"/>
  <c r="CU10" i="5"/>
  <c r="H16" i="247"/>
  <c r="AP191" i="5"/>
  <c r="AP63" i="5"/>
  <c r="BF92" i="5"/>
  <c r="BF94" i="5" s="1"/>
  <c r="BF96" i="5" s="1"/>
  <c r="BF23" i="5"/>
  <c r="BF24" i="5"/>
  <c r="CU70" i="5"/>
  <c r="CU47" i="5"/>
  <c r="CU30" i="5"/>
  <c r="H18" i="247"/>
  <c r="CX70" i="5"/>
  <c r="AF191" i="5"/>
  <c r="AF63" i="5"/>
  <c r="CA163" i="5"/>
  <c r="CA130" i="5"/>
  <c r="CA154" i="5" s="1"/>
  <c r="CO163" i="5"/>
  <c r="CO170" i="5" s="1"/>
  <c r="CO168" i="5" s="1"/>
  <c r="CT128" i="5"/>
  <c r="V151" i="5"/>
  <c r="V154" i="5"/>
  <c r="AI154" i="5"/>
  <c r="AI151" i="5"/>
  <c r="BW153" i="5"/>
  <c r="CN153" i="5"/>
  <c r="CN151" i="5" s="1"/>
  <c r="CM150" i="5"/>
  <c r="BM85" i="5"/>
  <c r="BM34" i="5"/>
  <c r="BM10" i="5" s="1"/>
  <c r="X49" i="4" s="1"/>
  <c r="Y49" i="4" s="1"/>
  <c r="AM92" i="5"/>
  <c r="AM94" i="5" s="1"/>
  <c r="AM96" i="5" s="1"/>
  <c r="AM23" i="5"/>
  <c r="CS68" i="5"/>
  <c r="CX34" i="5"/>
  <c r="CS10" i="5"/>
  <c r="X75" i="4" s="1"/>
  <c r="N92" i="5"/>
  <c r="N94" i="5" s="1"/>
  <c r="N96" i="5" s="1"/>
  <c r="N23" i="5"/>
  <c r="CK105" i="5"/>
  <c r="CK45" i="5"/>
  <c r="CK48" i="5"/>
  <c r="CK39" i="5"/>
  <c r="CK43" i="5"/>
  <c r="CK47" i="5"/>
  <c r="CK46" i="5"/>
  <c r="CY69" i="5"/>
  <c r="CV38" i="5"/>
  <c r="CV44" i="5" s="1"/>
  <c r="AW134" i="5"/>
  <c r="AW137" i="5" s="1"/>
  <c r="AW154" i="5"/>
  <c r="BO92" i="5"/>
  <c r="BO94" i="5" s="1"/>
  <c r="BO96" i="5" s="1"/>
  <c r="BT23" i="5"/>
  <c r="CB94" i="5"/>
  <c r="CD92" i="5"/>
  <c r="CD94" i="5" s="1"/>
  <c r="CD96" i="5" s="1"/>
  <c r="CD24" i="5"/>
  <c r="CD23" i="5"/>
  <c r="BW64" i="5"/>
  <c r="CA61" i="5"/>
  <c r="CA64" i="5" s="1"/>
  <c r="CO130" i="5"/>
  <c r="CM163" i="5"/>
  <c r="CM170" i="5" s="1"/>
  <c r="CR128" i="5"/>
  <c r="CM130" i="5"/>
  <c r="CW160" i="5"/>
  <c r="CW126" i="5"/>
  <c r="AW92" i="5"/>
  <c r="AW94" i="5" s="1"/>
  <c r="AW96" i="5" s="1"/>
  <c r="AW23" i="5"/>
  <c r="AC92" i="5"/>
  <c r="AC94" i="5" s="1"/>
  <c r="AC96" i="5" s="1"/>
  <c r="AC23" i="5"/>
  <c r="CX67" i="5"/>
  <c r="CX38" i="5"/>
  <c r="BV105" i="5"/>
  <c r="BV48" i="5"/>
  <c r="BV45" i="5"/>
  <c r="BV47" i="5"/>
  <c r="BV43" i="5"/>
  <c r="BV46" i="5"/>
  <c r="CO44" i="5"/>
  <c r="CE92" i="5"/>
  <c r="CE94" i="5" s="1"/>
  <c r="CE96" i="5" s="1"/>
  <c r="CE23" i="5"/>
  <c r="CE24" i="5"/>
  <c r="M191" i="5"/>
  <c r="M63" i="5"/>
  <c r="AX53" i="5"/>
  <c r="AX69" i="5" s="1"/>
  <c r="BA53" i="5"/>
  <c r="BA69" i="5" s="1"/>
  <c r="BB55" i="5"/>
  <c r="AZ53" i="5"/>
  <c r="AZ69" i="5" s="1"/>
  <c r="BG53" i="5"/>
  <c r="AY53" i="5"/>
  <c r="AY69" i="5" s="1"/>
  <c r="BB69" i="5"/>
  <c r="CR137" i="5"/>
  <c r="CS137" i="5" s="1"/>
  <c r="CT137" i="5" s="1"/>
  <c r="CV137" i="5" s="1"/>
  <c r="CH154" i="5"/>
  <c r="CH151" i="5"/>
  <c r="CP128" i="5"/>
  <c r="CN163" i="5"/>
  <c r="CN170" i="5" s="1"/>
  <c r="CN168" i="5" s="1"/>
  <c r="CS128" i="5"/>
  <c r="AD154" i="5"/>
  <c r="AD151" i="5"/>
  <c r="CC150" i="5"/>
  <c r="CD149" i="5"/>
  <c r="X96" i="5"/>
  <c r="CQ60" i="5"/>
  <c r="CZ114" i="5"/>
  <c r="CZ112" i="5"/>
  <c r="BB92" i="5"/>
  <c r="BB94" i="5" s="1"/>
  <c r="BB96" i="5" s="1"/>
  <c r="BB23" i="5"/>
  <c r="AG191" i="5"/>
  <c r="AG63" i="5"/>
  <c r="CY157" i="5"/>
  <c r="CM166" i="5"/>
  <c r="CL165" i="5"/>
  <c r="CL12" i="10" s="1"/>
  <c r="CL13" i="10" s="1"/>
  <c r="CP13" i="10" s="1"/>
  <c r="AL154" i="5"/>
  <c r="AL151" i="5"/>
  <c r="BN154" i="5"/>
  <c r="BN151" i="5"/>
  <c r="BD68" i="5"/>
  <c r="BD84" i="5"/>
  <c r="BD88" i="5" s="1"/>
  <c r="BD90" i="5" s="1"/>
  <c r="BD38" i="5"/>
  <c r="BD28" i="5"/>
  <c r="BN84" i="5"/>
  <c r="BN88" i="5" s="1"/>
  <c r="BN90" i="5" s="1"/>
  <c r="BN68" i="5"/>
  <c r="BN38" i="5"/>
  <c r="BN100" i="10" s="1"/>
  <c r="BN102" i="10" s="1"/>
  <c r="BS28" i="5"/>
  <c r="BN44" i="5"/>
  <c r="BN28" i="5"/>
  <c r="CP105" i="5"/>
  <c r="CP45" i="5"/>
  <c r="CP39" i="5"/>
  <c r="CP48" i="5"/>
  <c r="CP43" i="5"/>
  <c r="CP47" i="5"/>
  <c r="BO51" i="5"/>
  <c r="BN51" i="5"/>
  <c r="BM51" i="5"/>
  <c r="BP51" i="5"/>
  <c r="BQ67" i="5"/>
  <c r="CK90" i="5"/>
  <c r="CU160" i="5"/>
  <c r="CU115" i="5"/>
  <c r="H15" i="247"/>
  <c r="CJ171" i="5"/>
  <c r="BE105" i="5"/>
  <c r="BE46" i="5"/>
  <c r="BE48" i="5"/>
  <c r="BE47" i="5"/>
  <c r="BE39" i="5"/>
  <c r="BE43" i="5"/>
  <c r="BE45" i="5"/>
  <c r="BY92" i="5"/>
  <c r="BY94" i="5" s="1"/>
  <c r="BY96" i="5" s="1"/>
  <c r="BY24" i="5"/>
  <c r="BY23" i="5"/>
  <c r="CW70" i="5"/>
  <c r="BW92" i="5"/>
  <c r="BW23" i="5"/>
  <c r="BW24" i="5"/>
  <c r="BX92" i="5"/>
  <c r="BX94" i="5" s="1"/>
  <c r="BX96" i="5" s="1"/>
  <c r="BX24" i="5"/>
  <c r="BX23" i="5"/>
  <c r="AW191" i="5"/>
  <c r="AT58" i="5"/>
  <c r="AS58" i="5"/>
  <c r="AV58" i="5"/>
  <c r="AU58" i="5"/>
  <c r="AW63" i="5"/>
  <c r="AR163" i="5"/>
  <c r="AR130" i="5"/>
  <c r="CR157" i="5"/>
  <c r="CR130" i="5"/>
  <c r="CR68" i="5"/>
  <c r="CR44" i="5"/>
  <c r="CW34" i="5"/>
  <c r="CZ34" i="5" s="1"/>
  <c r="CR10" i="5"/>
  <c r="X74" i="4" s="1"/>
  <c r="E74" i="4" s="1"/>
  <c r="E75" i="4" s="1"/>
  <c r="E76" i="4" s="1"/>
  <c r="E77" i="4" s="1"/>
  <c r="BR92" i="5"/>
  <c r="BR24" i="5"/>
  <c r="J191" i="5"/>
  <c r="J63" i="5"/>
  <c r="CJ149" i="5"/>
  <c r="CJ150" i="5" s="1"/>
  <c r="CI150" i="5"/>
  <c r="AG154" i="5"/>
  <c r="AG151" i="5"/>
  <c r="CB154" i="5"/>
  <c r="CB151" i="5"/>
  <c r="AH23" i="5"/>
  <c r="CZ116" i="5"/>
  <c r="CR105" i="5"/>
  <c r="CR40" i="5"/>
  <c r="CR61" i="5"/>
  <c r="CR60" i="5" s="1"/>
  <c r="CR48" i="5"/>
  <c r="CR39" i="5"/>
  <c r="CR45" i="5"/>
  <c r="U150" i="5"/>
  <c r="T149" i="5"/>
  <c r="T150" i="5" s="1"/>
  <c r="CF23" i="5"/>
  <c r="BJ44" i="5"/>
  <c r="CR46" i="5"/>
  <c r="AN191" i="5"/>
  <c r="AN63" i="5"/>
  <c r="AD191" i="5"/>
  <c r="AD63" i="5"/>
  <c r="CS157" i="5"/>
  <c r="CS130" i="5"/>
  <c r="BO150" i="5"/>
  <c r="BP149" i="5"/>
  <c r="BP150" i="5" s="1"/>
  <c r="BD10" i="5"/>
  <c r="X42" i="4" s="1"/>
  <c r="Y42" i="4" s="1"/>
  <c r="CZ36" i="5"/>
  <c r="BU92" i="5"/>
  <c r="BU94" i="5" s="1"/>
  <c r="BU23" i="5"/>
  <c r="BU24" i="5"/>
  <c r="CJ92" i="5"/>
  <c r="CJ94" i="5" s="1"/>
  <c r="CJ96" i="5" s="1"/>
  <c r="CJ24" i="5"/>
  <c r="CJ23" i="5"/>
  <c r="BP92" i="5"/>
  <c r="BP94" i="5" s="1"/>
  <c r="BP96" i="5" s="1"/>
  <c r="BP24" i="5"/>
  <c r="BP23" i="5"/>
  <c r="BG134" i="5"/>
  <c r="BG137" i="5" s="1"/>
  <c r="BG154" i="5"/>
  <c r="CP154" i="5"/>
  <c r="CM154" i="5"/>
  <c r="CN154" i="5" s="1"/>
  <c r="CO154" i="5" s="1"/>
  <c r="BE170" i="5"/>
  <c r="BE171" i="5" s="1"/>
  <c r="BD169" i="5"/>
  <c r="BO48" i="5"/>
  <c r="BO47" i="5"/>
  <c r="BO43" i="5"/>
  <c r="BO40" i="5"/>
  <c r="BO39" i="5"/>
  <c r="BO46" i="5"/>
  <c r="BO45" i="5"/>
  <c r="BT39" i="5"/>
  <c r="BO105" i="5"/>
  <c r="CB23" i="5"/>
  <c r="CO105" i="5"/>
  <c r="CO61" i="5"/>
  <c r="CO60" i="5" s="1"/>
  <c r="CO48" i="5"/>
  <c r="CO39" i="5"/>
  <c r="CO40" i="5"/>
  <c r="CO43" i="5"/>
  <c r="H33" i="247"/>
  <c r="CO46" i="5"/>
  <c r="CO45" i="5"/>
  <c r="CO47" i="5"/>
  <c r="BS52" i="5"/>
  <c r="BS68" i="5" s="1"/>
  <c r="BR52" i="5"/>
  <c r="BR68" i="5" s="1"/>
  <c r="BU52" i="5"/>
  <c r="BU68" i="5" s="1"/>
  <c r="BT52" i="5"/>
  <c r="BT68" i="5" s="1"/>
  <c r="CR47" i="5"/>
  <c r="CA105" i="5"/>
  <c r="CA48" i="5"/>
  <c r="CA39" i="5"/>
  <c r="CA46" i="5"/>
  <c r="CA47" i="5"/>
  <c r="CA43" i="5"/>
  <c r="CA45" i="5"/>
  <c r="CC92" i="5"/>
  <c r="CC94" i="5" s="1"/>
  <c r="CC96" i="5" s="1"/>
  <c r="CC24" i="5"/>
  <c r="CC23" i="5"/>
  <c r="CH92" i="5"/>
  <c r="CH94" i="5" s="1"/>
  <c r="CH96" i="5" s="1"/>
  <c r="CH24" i="5"/>
  <c r="CH23" i="5"/>
  <c r="AN166" i="5"/>
  <c r="AN171" i="5"/>
  <c r="BU153" i="5"/>
  <c r="BU152" i="5" s="1"/>
  <c r="BT152" i="5"/>
  <c r="BS153" i="5"/>
  <c r="BS152" i="5" s="1"/>
  <c r="AP151" i="5"/>
  <c r="AP154" i="5"/>
  <c r="CH170" i="5"/>
  <c r="CH171" i="5" s="1"/>
  <c r="CG169" i="5"/>
  <c r="CG170" i="5" s="1"/>
  <c r="BH85" i="5"/>
  <c r="BH34" i="5"/>
  <c r="BH10" i="5" s="1"/>
  <c r="X45" i="4" s="1"/>
  <c r="CS38" i="5"/>
  <c r="CS44" i="5" s="1"/>
  <c r="CN60" i="5"/>
  <c r="K191" i="5"/>
  <c r="K63" i="5"/>
  <c r="BL163" i="5"/>
  <c r="BL130" i="5"/>
  <c r="BL154" i="5" s="1"/>
  <c r="BB163" i="5"/>
  <c r="BB130" i="5"/>
  <c r="CZ124" i="5"/>
  <c r="BZ154" i="5"/>
  <c r="BZ151" i="5"/>
  <c r="BK149" i="5"/>
  <c r="BK150" i="5" s="1"/>
  <c r="BJ150" i="5"/>
  <c r="AH96" i="5"/>
  <c r="AR23" i="5"/>
  <c r="G62" i="247"/>
  <c r="F30" i="247"/>
  <c r="C63" i="247"/>
  <c r="D48" i="247"/>
  <c r="D53" i="247"/>
  <c r="Y45" i="4" l="1"/>
  <c r="Y46" i="4"/>
  <c r="BE102" i="10"/>
  <c r="Y43" i="4"/>
  <c r="Y50" i="4"/>
  <c r="CU137" i="5"/>
  <c r="BD22" i="5"/>
  <c r="BD100" i="10"/>
  <c r="BI44" i="5"/>
  <c r="BI100" i="10"/>
  <c r="AH73" i="4"/>
  <c r="CQ145" i="5"/>
  <c r="CQ146" i="5" s="1"/>
  <c r="CR7" i="5"/>
  <c r="AI72" i="4"/>
  <c r="O72" i="4"/>
  <c r="P72" i="4" s="1"/>
  <c r="BN10" i="258"/>
  <c r="BM14" i="258"/>
  <c r="BM15" i="258" s="1"/>
  <c r="BZ13" i="258"/>
  <c r="CA13" i="258" s="1"/>
  <c r="CB10" i="258" s="1"/>
  <c r="CM12" i="258"/>
  <c r="CM14" i="258"/>
  <c r="CM15" i="258" s="1"/>
  <c r="CU141" i="258"/>
  <c r="CT130" i="10"/>
  <c r="BS156" i="258"/>
  <c r="BS157" i="258" s="1"/>
  <c r="BS159" i="258" s="1"/>
  <c r="BS160" i="258" s="1"/>
  <c r="BS133" i="258"/>
  <c r="AY72" i="258"/>
  <c r="AZ70" i="258" s="1"/>
  <c r="AV27" i="258"/>
  <c r="BH14" i="258"/>
  <c r="BH15" i="258" s="1"/>
  <c r="CQ14" i="258"/>
  <c r="CQ15" i="258" s="1"/>
  <c r="CQ13" i="258"/>
  <c r="CV13" i="258"/>
  <c r="CV14" i="258"/>
  <c r="CV15" i="258" s="1"/>
  <c r="AX33" i="258"/>
  <c r="AX34" i="258" s="1"/>
  <c r="AX32" i="258"/>
  <c r="AY30" i="258" s="1"/>
  <c r="BE81" i="258"/>
  <c r="BE82" i="258" s="1"/>
  <c r="BE80" i="258"/>
  <c r="BF78" i="258" s="1"/>
  <c r="BU105" i="258"/>
  <c r="BU106" i="258" s="1"/>
  <c r="BU104" i="258"/>
  <c r="BV104" i="258" s="1"/>
  <c r="BW102" i="258" s="1"/>
  <c r="AZ25" i="258"/>
  <c r="AZ26" i="258" s="1"/>
  <c r="AV88" i="258"/>
  <c r="AW88" i="258" s="1"/>
  <c r="AX86" i="258" s="1"/>
  <c r="AV89" i="258"/>
  <c r="AV90" i="258" s="1"/>
  <c r="AX40" i="258"/>
  <c r="AY38" i="258" s="1"/>
  <c r="AX41" i="258"/>
  <c r="AX42" i="258" s="1"/>
  <c r="CZ141" i="258"/>
  <c r="CY130" i="10"/>
  <c r="BI14" i="258"/>
  <c r="BI15" i="258" s="1"/>
  <c r="BI12" i="258"/>
  <c r="CP141" i="258"/>
  <c r="CO130" i="10"/>
  <c r="AX48" i="258"/>
  <c r="AY46" i="258" s="1"/>
  <c r="BK24" i="258"/>
  <c r="BL24" i="258" s="1"/>
  <c r="BM22" i="258" s="1"/>
  <c r="BM156" i="258"/>
  <c r="BM157" i="258" s="1"/>
  <c r="BM159" i="258" s="1"/>
  <c r="BM160" i="258" s="1"/>
  <c r="BM133" i="258"/>
  <c r="AV96" i="258"/>
  <c r="AW96" i="258" s="1"/>
  <c r="AX94" i="258" s="1"/>
  <c r="BY14" i="258"/>
  <c r="BY15" i="258" s="1"/>
  <c r="BH97" i="258"/>
  <c r="BH98" i="258" s="1"/>
  <c r="CL14" i="258"/>
  <c r="CL15" i="258" s="1"/>
  <c r="AV49" i="258"/>
  <c r="AV50" i="258" s="1"/>
  <c r="AV146" i="258" s="1"/>
  <c r="AV81" i="258"/>
  <c r="AV82" i="258" s="1"/>
  <c r="AV83" i="258" s="1"/>
  <c r="BU113" i="258"/>
  <c r="BU114" i="258" s="1"/>
  <c r="BU115" i="258" s="1"/>
  <c r="AU57" i="258"/>
  <c r="AU58" i="258" s="1"/>
  <c r="AU119" i="258" s="1"/>
  <c r="AX64" i="258"/>
  <c r="AY62" i="258" s="1"/>
  <c r="AX65" i="258"/>
  <c r="AX66" i="258" s="1"/>
  <c r="CH156" i="258"/>
  <c r="CH157" i="258" s="1"/>
  <c r="CH159" i="258" s="1"/>
  <c r="CH160" i="258" s="1"/>
  <c r="CH133" i="258"/>
  <c r="BK16" i="258"/>
  <c r="AT146" i="258"/>
  <c r="AV56" i="258"/>
  <c r="AW56" i="258" s="1"/>
  <c r="AX54" i="258" s="1"/>
  <c r="CH16" i="258"/>
  <c r="BS16" i="258"/>
  <c r="AU146" i="258"/>
  <c r="AW146" i="258" s="1"/>
  <c r="AU135" i="258"/>
  <c r="AU122" i="258"/>
  <c r="BH156" i="258"/>
  <c r="BH157" i="258" s="1"/>
  <c r="BH159" i="258" s="1"/>
  <c r="BH160" i="258" s="1"/>
  <c r="BH133" i="258"/>
  <c r="BI96" i="258"/>
  <c r="BJ94" i="258" s="1"/>
  <c r="BI97" i="258"/>
  <c r="BI98" i="258" s="1"/>
  <c r="AV51" i="258"/>
  <c r="AT120" i="258"/>
  <c r="AX80" i="258"/>
  <c r="AY78" i="258" s="1"/>
  <c r="BW112" i="258"/>
  <c r="BX110" i="258" s="1"/>
  <c r="BU107" i="258"/>
  <c r="BA24" i="258"/>
  <c r="BB24" i="258" s="1"/>
  <c r="BC22" i="258" s="1"/>
  <c r="AV91" i="258"/>
  <c r="BX16" i="258"/>
  <c r="C75" i="4"/>
  <c r="M74" i="4"/>
  <c r="I74" i="4"/>
  <c r="AJ73" i="4"/>
  <c r="BV158" i="10"/>
  <c r="BV157" i="10" s="1"/>
  <c r="BV92" i="10"/>
  <c r="K18" i="247" s="1"/>
  <c r="CP224" i="10"/>
  <c r="AP101" i="10"/>
  <c r="AP98" i="10"/>
  <c r="AP180" i="5"/>
  <c r="AT176" i="10"/>
  <c r="AT179" i="10"/>
  <c r="BB179" i="10"/>
  <c r="BB101" i="10"/>
  <c r="BB98" i="10"/>
  <c r="BB176" i="10"/>
  <c r="BV179" i="10"/>
  <c r="BV101" i="10"/>
  <c r="BV98" i="10"/>
  <c r="BV176" i="10"/>
  <c r="Q20" i="10"/>
  <c r="Q23" i="10"/>
  <c r="CI101" i="10"/>
  <c r="CI98" i="10"/>
  <c r="CL58" i="10"/>
  <c r="CL90" i="10"/>
  <c r="CL60" i="10"/>
  <c r="CL102" i="10"/>
  <c r="CC104" i="10"/>
  <c r="CC61" i="10"/>
  <c r="CC178" i="5"/>
  <c r="P32" i="10"/>
  <c r="P19" i="10"/>
  <c r="BZ186" i="5"/>
  <c r="BZ21" i="10" s="1"/>
  <c r="CA193" i="10"/>
  <c r="CP156" i="10"/>
  <c r="CP160" i="10"/>
  <c r="CQ146" i="10"/>
  <c r="AX192" i="10"/>
  <c r="AX206" i="10" s="1"/>
  <c r="AX158" i="10"/>
  <c r="AX157" i="10" s="1"/>
  <c r="AX164" i="10" s="1"/>
  <c r="AX92" i="10"/>
  <c r="AU192" i="10"/>
  <c r="AU206" i="10" s="1"/>
  <c r="AU158" i="10"/>
  <c r="AU157" i="10" s="1"/>
  <c r="AU164" i="10" s="1"/>
  <c r="AQ192" i="10"/>
  <c r="AQ206" i="10" s="1"/>
  <c r="AQ158" i="10"/>
  <c r="AQ157" i="10" s="1"/>
  <c r="AQ164" i="10" s="1"/>
  <c r="AQ92" i="10"/>
  <c r="CI104" i="10"/>
  <c r="CI61" i="10"/>
  <c r="CI178" i="5"/>
  <c r="C39" i="247"/>
  <c r="AV192" i="10"/>
  <c r="AV206" i="10" s="1"/>
  <c r="AV158" i="10"/>
  <c r="AV157" i="10" s="1"/>
  <c r="AV164" i="10" s="1"/>
  <c r="AV92" i="10"/>
  <c r="O192" i="10"/>
  <c r="O158" i="10"/>
  <c r="O164" i="10" s="1"/>
  <c r="O92" i="10"/>
  <c r="CU147" i="10"/>
  <c r="P36" i="247" s="1"/>
  <c r="CV147" i="10"/>
  <c r="CW147" i="10" s="1"/>
  <c r="CX147" i="10" s="1"/>
  <c r="CY147" i="10" s="1"/>
  <c r="CZ147" i="10" s="1"/>
  <c r="BS104" i="10"/>
  <c r="BS61" i="10"/>
  <c r="BS178" i="5"/>
  <c r="AN23" i="10"/>
  <c r="AN20" i="10"/>
  <c r="CG247" i="10"/>
  <c r="AF23" i="10"/>
  <c r="AF20" i="10"/>
  <c r="W23" i="10"/>
  <c r="W20" i="10"/>
  <c r="Z20" i="10"/>
  <c r="Z23" i="10"/>
  <c r="R58" i="10"/>
  <c r="R102" i="10"/>
  <c r="R60" i="10"/>
  <c r="R90" i="10"/>
  <c r="CH101" i="10"/>
  <c r="CH98" i="10"/>
  <c r="M98" i="10"/>
  <c r="M101" i="10"/>
  <c r="AZ101" i="10"/>
  <c r="AZ98" i="10"/>
  <c r="AZ180" i="5"/>
  <c r="AZ176" i="10"/>
  <c r="AZ179" i="10"/>
  <c r="CH104" i="10"/>
  <c r="CH61" i="10"/>
  <c r="CH178" i="5"/>
  <c r="AY192" i="10"/>
  <c r="AY206" i="10" s="1"/>
  <c r="AY158" i="10"/>
  <c r="AY157" i="10" s="1"/>
  <c r="AY164" i="10" s="1"/>
  <c r="AY92" i="10"/>
  <c r="S32" i="10"/>
  <c r="S19" i="10"/>
  <c r="AS178" i="5"/>
  <c r="AS104" i="10"/>
  <c r="BF237" i="10"/>
  <c r="BF231" i="10"/>
  <c r="BF181" i="5"/>
  <c r="BO240" i="10"/>
  <c r="BO171" i="10"/>
  <c r="U102" i="10"/>
  <c r="U90" i="10"/>
  <c r="U58" i="10"/>
  <c r="U60" i="10"/>
  <c r="BP104" i="10"/>
  <c r="BP61" i="10"/>
  <c r="BP178" i="5"/>
  <c r="AV23" i="10"/>
  <c r="AV20" i="10"/>
  <c r="AW240" i="10"/>
  <c r="AW171" i="10"/>
  <c r="BA158" i="10"/>
  <c r="BA157" i="10" s="1"/>
  <c r="BA164" i="10" s="1"/>
  <c r="BA92" i="10"/>
  <c r="AJ192" i="10"/>
  <c r="AJ206" i="10" s="1"/>
  <c r="AJ158" i="10"/>
  <c r="AJ157" i="10" s="1"/>
  <c r="AJ164" i="10" s="1"/>
  <c r="AJ92" i="10"/>
  <c r="AE104" i="10"/>
  <c r="AE178" i="5"/>
  <c r="BY192" i="10"/>
  <c r="BY206" i="10" s="1"/>
  <c r="BY158" i="10"/>
  <c r="BY157" i="10" s="1"/>
  <c r="BY164" i="10" s="1"/>
  <c r="BY92" i="10"/>
  <c r="BM247" i="10"/>
  <c r="BO101" i="10"/>
  <c r="BO98" i="10"/>
  <c r="BS179" i="10"/>
  <c r="BS176" i="10"/>
  <c r="BE192" i="10"/>
  <c r="BE206" i="10" s="1"/>
  <c r="BE158" i="10"/>
  <c r="BE157" i="10" s="1"/>
  <c r="BE164" i="10" s="1"/>
  <c r="BE92" i="10"/>
  <c r="K245" i="10"/>
  <c r="K244" i="10"/>
  <c r="K25" i="10"/>
  <c r="K26" i="10" s="1"/>
  <c r="CY65" i="10"/>
  <c r="BB240" i="10"/>
  <c r="AV179" i="10"/>
  <c r="BG57" i="10"/>
  <c r="BG49" i="10"/>
  <c r="BG52" i="10"/>
  <c r="CC247" i="10"/>
  <c r="L102" i="10"/>
  <c r="L90" i="10"/>
  <c r="L60" i="10"/>
  <c r="L104" i="10" s="1"/>
  <c r="L58" i="10"/>
  <c r="U20" i="10"/>
  <c r="U23" i="10"/>
  <c r="AK102" i="10"/>
  <c r="AK90" i="10"/>
  <c r="AK58" i="10"/>
  <c r="AK60" i="10"/>
  <c r="AQ101" i="10"/>
  <c r="AQ98" i="10"/>
  <c r="AQ180" i="5"/>
  <c r="BK158" i="10"/>
  <c r="BK157" i="10" s="1"/>
  <c r="BK164" i="10" s="1"/>
  <c r="BK92" i="10"/>
  <c r="BR206" i="10"/>
  <c r="CG192" i="10"/>
  <c r="CG206" i="10" s="1"/>
  <c r="CG158" i="10"/>
  <c r="CG157" i="10" s="1"/>
  <c r="CG92" i="10"/>
  <c r="AD179" i="10"/>
  <c r="AF179" i="10"/>
  <c r="AG176" i="10"/>
  <c r="AE179" i="10"/>
  <c r="AG179" i="10"/>
  <c r="AD101" i="10"/>
  <c r="AD98" i="10"/>
  <c r="AD180" i="5"/>
  <c r="AE176" i="10"/>
  <c r="AD176" i="10"/>
  <c r="AF176" i="10"/>
  <c r="BM104" i="10"/>
  <c r="BM61" i="10"/>
  <c r="BM178" i="5"/>
  <c r="AI104" i="10"/>
  <c r="AI178" i="5"/>
  <c r="BJ245" i="10"/>
  <c r="BJ244" i="10"/>
  <c r="BJ25" i="10"/>
  <c r="BJ26" i="10" s="1"/>
  <c r="CG164" i="10"/>
  <c r="BN231" i="10"/>
  <c r="BN237" i="10"/>
  <c r="BN181" i="5"/>
  <c r="CK32" i="10"/>
  <c r="AN179" i="10"/>
  <c r="AN101" i="10"/>
  <c r="AN98" i="10"/>
  <c r="AN180" i="5"/>
  <c r="AN176" i="10"/>
  <c r="BQ259" i="10"/>
  <c r="BQ260" i="10" s="1"/>
  <c r="BQ264" i="10"/>
  <c r="BQ265" i="10" s="1"/>
  <c r="BQ186" i="5"/>
  <c r="BQ21" i="10" s="1"/>
  <c r="AW32" i="10"/>
  <c r="AW19" i="10"/>
  <c r="BT104" i="10"/>
  <c r="BT61" i="10"/>
  <c r="BT178" i="5"/>
  <c r="P101" i="10"/>
  <c r="P98" i="10"/>
  <c r="R176" i="10"/>
  <c r="P176" i="10"/>
  <c r="Q176" i="10"/>
  <c r="AX104" i="10"/>
  <c r="AX61" i="10"/>
  <c r="AX178" i="5"/>
  <c r="AI244" i="10"/>
  <c r="AI247" i="10" s="1"/>
  <c r="AI245" i="10"/>
  <c r="AI25" i="10"/>
  <c r="AI26" i="10" s="1"/>
  <c r="BY23" i="10"/>
  <c r="BY20" i="10"/>
  <c r="AU178" i="5"/>
  <c r="CF102" i="10"/>
  <c r="CF90" i="10"/>
  <c r="CF60" i="10"/>
  <c r="CF58" i="10"/>
  <c r="O104" i="10"/>
  <c r="BN240" i="10"/>
  <c r="BN171" i="10"/>
  <c r="BQ90" i="10"/>
  <c r="BQ58" i="10"/>
  <c r="BQ60" i="10"/>
  <c r="W101" i="10"/>
  <c r="W98" i="10"/>
  <c r="V20" i="10"/>
  <c r="V23" i="10"/>
  <c r="CL179" i="10"/>
  <c r="CL101" i="10"/>
  <c r="CL98" i="10"/>
  <c r="CL176" i="10"/>
  <c r="Y102" i="10"/>
  <c r="Y58" i="10"/>
  <c r="Y90" i="10"/>
  <c r="Y60" i="10"/>
  <c r="X32" i="10"/>
  <c r="X19" i="10"/>
  <c r="AY104" i="10"/>
  <c r="AY61" i="10"/>
  <c r="AY178" i="5"/>
  <c r="S101" i="10"/>
  <c r="S98" i="10"/>
  <c r="S176" i="10"/>
  <c r="AA23" i="10"/>
  <c r="AA20" i="10"/>
  <c r="AS192" i="10"/>
  <c r="AS158" i="10"/>
  <c r="AS157" i="10" s="1"/>
  <c r="AS92" i="10"/>
  <c r="BX104" i="10"/>
  <c r="BX61" i="10"/>
  <c r="BX178" i="5"/>
  <c r="BB23" i="10"/>
  <c r="BB20" i="10"/>
  <c r="AL192" i="10"/>
  <c r="AL206" i="10" s="1"/>
  <c r="AL158" i="10"/>
  <c r="AL157" i="10" s="1"/>
  <c r="AL164" i="10" s="1"/>
  <c r="AL92" i="10"/>
  <c r="V101" i="10"/>
  <c r="V98" i="10"/>
  <c r="V180" i="5"/>
  <c r="R20" i="10"/>
  <c r="R23" i="10"/>
  <c r="BP192" i="10"/>
  <c r="BP206" i="10" s="1"/>
  <c r="BP158" i="10"/>
  <c r="BP157" i="10" s="1"/>
  <c r="BP164" i="10" s="1"/>
  <c r="BP92" i="10"/>
  <c r="AV101" i="10"/>
  <c r="AV98" i="10"/>
  <c r="AV180" i="5"/>
  <c r="BO192" i="10"/>
  <c r="BO206" i="10" s="1"/>
  <c r="BO158" i="10"/>
  <c r="BO157" i="10" s="1"/>
  <c r="BO164" i="10" s="1"/>
  <c r="BO92" i="10"/>
  <c r="BH104" i="10"/>
  <c r="BH61" i="10"/>
  <c r="BH178" i="5"/>
  <c r="CS117" i="10"/>
  <c r="AA102" i="10"/>
  <c r="AA90" i="10"/>
  <c r="AA60" i="10"/>
  <c r="AA58" i="10"/>
  <c r="CQ141" i="10"/>
  <c r="AD20" i="10"/>
  <c r="AD23" i="10"/>
  <c r="CE237" i="10"/>
  <c r="CE231" i="10"/>
  <c r="CE181" i="5"/>
  <c r="AL245" i="10"/>
  <c r="AL244" i="10"/>
  <c r="AL25" i="10"/>
  <c r="AL26" i="10" s="1"/>
  <c r="CO63" i="10"/>
  <c r="CQ63" i="10" s="1"/>
  <c r="BO176" i="10"/>
  <c r="BG32" i="10"/>
  <c r="BG19" i="10"/>
  <c r="AF102" i="10"/>
  <c r="AF90" i="10"/>
  <c r="AF60" i="10"/>
  <c r="AF58" i="10"/>
  <c r="BV212" i="10"/>
  <c r="BV214" i="10" s="1"/>
  <c r="K51" i="247" s="1"/>
  <c r="K50" i="247" s="1"/>
  <c r="BU23" i="10"/>
  <c r="BU20" i="10"/>
  <c r="CL23" i="10"/>
  <c r="CL20" i="10"/>
  <c r="BK104" i="10"/>
  <c r="BK61" i="10"/>
  <c r="BK178" i="5"/>
  <c r="BJ206" i="10"/>
  <c r="CQ145" i="10"/>
  <c r="AT192" i="10"/>
  <c r="AT206" i="10" s="1"/>
  <c r="AT158" i="10"/>
  <c r="AT157" i="10" s="1"/>
  <c r="AT164" i="10" s="1"/>
  <c r="AT92" i="10"/>
  <c r="AE244" i="10"/>
  <c r="AE247" i="10" s="1"/>
  <c r="AE245" i="10"/>
  <c r="AE25" i="10"/>
  <c r="AE26" i="10" s="1"/>
  <c r="BT245" i="10"/>
  <c r="BT244" i="10"/>
  <c r="BT25" i="10"/>
  <c r="BT26" i="10" s="1"/>
  <c r="AM57" i="10"/>
  <c r="CF259" i="10"/>
  <c r="CF260" i="10" s="1"/>
  <c r="CF264" i="10"/>
  <c r="CF265" i="10" s="1"/>
  <c r="CF186" i="5"/>
  <c r="CF21" i="10" s="1"/>
  <c r="CK57" i="10"/>
  <c r="CK49" i="10"/>
  <c r="CK52" i="10"/>
  <c r="CK53" i="10" s="1"/>
  <c r="AZ104" i="10"/>
  <c r="AZ61" i="10"/>
  <c r="AZ178" i="5"/>
  <c r="AH58" i="10"/>
  <c r="AH102" i="10"/>
  <c r="AH60" i="10"/>
  <c r="AH90" i="10"/>
  <c r="BV23" i="10"/>
  <c r="BV20" i="10"/>
  <c r="G51" i="247"/>
  <c r="G53" i="247" s="1"/>
  <c r="V102" i="10"/>
  <c r="V90" i="10"/>
  <c r="V58" i="10"/>
  <c r="V60" i="10"/>
  <c r="BV58" i="10"/>
  <c r="BV60" i="10"/>
  <c r="BV102" i="10"/>
  <c r="CC192" i="10"/>
  <c r="CC206" i="10" s="1"/>
  <c r="CC158" i="10"/>
  <c r="CC157" i="10" s="1"/>
  <c r="CC164" i="10" s="1"/>
  <c r="CC92" i="10"/>
  <c r="AW57" i="10"/>
  <c r="AW49" i="10"/>
  <c r="AW52" i="10"/>
  <c r="BT192" i="10"/>
  <c r="BT206" i="10" s="1"/>
  <c r="BT158" i="10"/>
  <c r="BT157" i="10" s="1"/>
  <c r="BT164" i="10" s="1"/>
  <c r="BT92" i="10"/>
  <c r="P57" i="10"/>
  <c r="P49" i="10"/>
  <c r="P52" i="10"/>
  <c r="N20" i="10"/>
  <c r="N23" i="10"/>
  <c r="BY98" i="10"/>
  <c r="BY101" i="10"/>
  <c r="BY179" i="10"/>
  <c r="CJ102" i="10"/>
  <c r="CJ90" i="10"/>
  <c r="CJ60" i="10"/>
  <c r="CJ58" i="10"/>
  <c r="BL179" i="10"/>
  <c r="BL98" i="10"/>
  <c r="BL23" i="10"/>
  <c r="BL20" i="10"/>
  <c r="AJ23" i="10"/>
  <c r="AM23" i="10" s="1"/>
  <c r="AJ20" i="10"/>
  <c r="AH179" i="10"/>
  <c r="AH101" i="10"/>
  <c r="AH98" i="10"/>
  <c r="AH176" i="10"/>
  <c r="L23" i="10"/>
  <c r="L20" i="10"/>
  <c r="CR76" i="10"/>
  <c r="CQ73" i="10"/>
  <c r="W176" i="10"/>
  <c r="X101" i="10"/>
  <c r="X98" i="10"/>
  <c r="X176" i="10"/>
  <c r="M32" i="10"/>
  <c r="M19" i="10"/>
  <c r="W192" i="10"/>
  <c r="W158" i="10"/>
  <c r="W164" i="10" s="1"/>
  <c r="W92" i="10"/>
  <c r="CH192" i="10"/>
  <c r="CH206" i="10" s="1"/>
  <c r="CH158" i="10"/>
  <c r="CH157" i="10" s="1"/>
  <c r="CH164" i="10" s="1"/>
  <c r="CH92" i="10"/>
  <c r="BC192" i="10"/>
  <c r="BC206" i="10" s="1"/>
  <c r="BC158" i="10"/>
  <c r="BC157" i="10" s="1"/>
  <c r="BC164" i="10" s="1"/>
  <c r="BC92" i="10"/>
  <c r="BP23" i="10"/>
  <c r="BP20" i="10"/>
  <c r="BD61" i="10"/>
  <c r="BD178" i="5"/>
  <c r="BD104" i="10"/>
  <c r="AU23" i="10"/>
  <c r="AU20" i="10"/>
  <c r="AV104" i="10"/>
  <c r="BX192" i="10"/>
  <c r="BX206" i="10" s="1"/>
  <c r="BX158" i="10"/>
  <c r="BX157" i="10" s="1"/>
  <c r="BX164" i="10" s="1"/>
  <c r="BX92" i="10"/>
  <c r="CB104" i="10"/>
  <c r="CB61" i="10"/>
  <c r="CB178" i="5"/>
  <c r="J158" i="10"/>
  <c r="J58" i="10"/>
  <c r="J90" i="10"/>
  <c r="J60" i="10"/>
  <c r="J104" i="10" s="1"/>
  <c r="J102" i="10"/>
  <c r="AB102" i="10"/>
  <c r="AB90" i="10"/>
  <c r="AB60" i="10"/>
  <c r="AB58" i="10"/>
  <c r="AW155" i="10"/>
  <c r="AS164" i="10"/>
  <c r="BY176" i="10"/>
  <c r="BW238" i="10"/>
  <c r="BW182" i="5"/>
  <c r="BW183" i="5" s="1"/>
  <c r="BA104" i="10"/>
  <c r="BA61" i="10"/>
  <c r="BA178" i="5"/>
  <c r="Y20" i="10"/>
  <c r="Y23" i="10"/>
  <c r="BO104" i="10"/>
  <c r="BO61" i="10"/>
  <c r="BO178" i="5"/>
  <c r="BH192" i="10"/>
  <c r="BH206" i="10" s="1"/>
  <c r="BH158" i="10"/>
  <c r="BH157" i="10" s="1"/>
  <c r="BH92" i="10"/>
  <c r="T102" i="10"/>
  <c r="T90" i="10"/>
  <c r="T60" i="10"/>
  <c r="T58" i="10"/>
  <c r="CD231" i="10"/>
  <c r="CD237" i="10"/>
  <c r="CD181" i="5"/>
  <c r="BF245" i="10"/>
  <c r="BF244" i="10"/>
  <c r="BF247" i="10" s="1"/>
  <c r="BF25" i="10"/>
  <c r="BF26" i="10" s="1"/>
  <c r="AR155" i="10"/>
  <c r="CJ23" i="10"/>
  <c r="CJ20" i="10"/>
  <c r="J20" i="10"/>
  <c r="J23" i="10"/>
  <c r="BG178" i="10"/>
  <c r="BG97" i="10"/>
  <c r="BU104" i="10"/>
  <c r="BU61" i="10"/>
  <c r="BU178" i="5"/>
  <c r="AG20" i="10"/>
  <c r="AG23" i="10"/>
  <c r="BU98" i="10"/>
  <c r="BU101" i="10"/>
  <c r="BI104" i="10"/>
  <c r="BI61" i="10"/>
  <c r="BI178" i="5"/>
  <c r="T23" i="10"/>
  <c r="T20" i="10"/>
  <c r="BZ206" i="10"/>
  <c r="O244" i="10"/>
  <c r="O247" i="10" s="1"/>
  <c r="O245" i="10"/>
  <c r="O25" i="10"/>
  <c r="O26" i="10" s="1"/>
  <c r="BN23" i="10"/>
  <c r="BN20" i="10"/>
  <c r="CG104" i="10"/>
  <c r="CG61" i="10"/>
  <c r="CG178" i="5"/>
  <c r="BM192" i="10"/>
  <c r="BM158" i="10"/>
  <c r="BM157" i="10" s="1"/>
  <c r="BM164" i="10" s="1"/>
  <c r="BM92" i="10"/>
  <c r="CE95" i="10"/>
  <c r="CE97" i="10" s="1"/>
  <c r="CE19" i="10"/>
  <c r="CK178" i="10"/>
  <c r="BL90" i="10"/>
  <c r="BL60" i="10"/>
  <c r="BL58" i="10"/>
  <c r="AZ192" i="10"/>
  <c r="AZ206" i="10" s="1"/>
  <c r="AZ158" i="10"/>
  <c r="AZ157" i="10" s="1"/>
  <c r="AZ164" i="10" s="1"/>
  <c r="AZ92" i="10"/>
  <c r="BU179" i="10"/>
  <c r="Z58" i="10"/>
  <c r="Z90" i="10"/>
  <c r="Z60" i="10"/>
  <c r="Z102" i="10"/>
  <c r="AB23" i="10"/>
  <c r="AB20" i="10"/>
  <c r="CI23" i="10"/>
  <c r="CI20" i="10"/>
  <c r="AW178" i="10"/>
  <c r="AW97" i="10"/>
  <c r="BX244" i="10"/>
  <c r="BX245" i="10"/>
  <c r="BX25" i="10"/>
  <c r="BX26" i="10" s="1"/>
  <c r="BG240" i="10"/>
  <c r="BG171" i="10"/>
  <c r="CI176" i="10"/>
  <c r="AQ61" i="10"/>
  <c r="AQ104" i="10"/>
  <c r="AQ178" i="5"/>
  <c r="CI192" i="10"/>
  <c r="CI206" i="10" s="1"/>
  <c r="CI158" i="10"/>
  <c r="CI157" i="10" s="1"/>
  <c r="CI164" i="10" s="1"/>
  <c r="CI92" i="10"/>
  <c r="C40" i="247" s="1"/>
  <c r="AV61" i="10"/>
  <c r="AV178" i="5"/>
  <c r="CK254" i="10"/>
  <c r="CK260" i="10" s="1"/>
  <c r="CJ176" i="10"/>
  <c r="CJ179" i="10"/>
  <c r="BS192" i="10"/>
  <c r="BS206" i="10" s="1"/>
  <c r="BS158" i="10"/>
  <c r="BS157" i="10" s="1"/>
  <c r="BS164" i="10" s="1"/>
  <c r="BS92" i="10"/>
  <c r="BL240" i="10"/>
  <c r="AK20" i="10"/>
  <c r="AK23" i="10"/>
  <c r="CH23" i="10"/>
  <c r="CH20" i="10"/>
  <c r="CO74" i="10"/>
  <c r="CP73" i="10"/>
  <c r="CP74" i="10" s="1"/>
  <c r="X57" i="10"/>
  <c r="X49" i="10"/>
  <c r="X52" i="10"/>
  <c r="M57" i="10"/>
  <c r="M49" i="10"/>
  <c r="W104" i="10"/>
  <c r="W61" i="10"/>
  <c r="AZ23" i="10"/>
  <c r="AZ20" i="10"/>
  <c r="BC104" i="10"/>
  <c r="BC61" i="10"/>
  <c r="BC178" i="5"/>
  <c r="S49" i="10"/>
  <c r="S57" i="10"/>
  <c r="S52" i="10"/>
  <c r="AO94" i="10"/>
  <c r="AO48" i="10"/>
  <c r="AO38" i="10"/>
  <c r="AR38" i="10" s="1"/>
  <c r="AR41" i="10" s="1"/>
  <c r="AO177" i="5"/>
  <c r="BP101" i="10"/>
  <c r="BP98" i="10"/>
  <c r="CD245" i="10"/>
  <c r="CD244" i="10"/>
  <c r="CD247" i="10" s="1"/>
  <c r="CD25" i="10"/>
  <c r="CD26" i="10" s="1"/>
  <c r="BH164" i="10"/>
  <c r="AR240" i="10"/>
  <c r="AR171" i="10"/>
  <c r="AD58" i="10"/>
  <c r="AD60" i="10"/>
  <c r="AI61" i="10" s="1"/>
  <c r="AD102" i="10"/>
  <c r="AD90" i="10"/>
  <c r="BD192" i="10"/>
  <c r="BD206" i="10" s="1"/>
  <c r="BD158" i="10"/>
  <c r="BD157" i="10" s="1"/>
  <c r="BD164" i="10" s="1"/>
  <c r="BD92" i="10"/>
  <c r="BQ253" i="10"/>
  <c r="BQ254" i="10" s="1"/>
  <c r="BQ255" i="10" s="1"/>
  <c r="BQ214" i="10"/>
  <c r="AU101" i="10"/>
  <c r="AU98" i="10"/>
  <c r="AU180" i="5"/>
  <c r="AY176" i="10"/>
  <c r="AX179" i="10"/>
  <c r="AY179" i="10"/>
  <c r="AV176" i="10"/>
  <c r="AX176" i="10"/>
  <c r="AU104" i="10"/>
  <c r="CB192" i="10"/>
  <c r="CB206" i="10" s="1"/>
  <c r="CB158" i="10"/>
  <c r="CB157" i="10" s="1"/>
  <c r="CB164" i="10" s="1"/>
  <c r="CB92" i="10"/>
  <c r="AC102" i="10"/>
  <c r="AC58" i="10"/>
  <c r="AC90" i="10"/>
  <c r="AC60" i="10"/>
  <c r="AL104" i="10"/>
  <c r="AG57" i="10"/>
  <c r="AG49" i="10"/>
  <c r="AG52" i="10"/>
  <c r="AG53" i="10" s="1"/>
  <c r="CK259" i="10"/>
  <c r="CK264" i="10"/>
  <c r="CK186" i="5"/>
  <c r="CK21" i="10" s="1"/>
  <c r="CK95" i="10" s="1"/>
  <c r="CK97" i="10" s="1"/>
  <c r="AJ61" i="10"/>
  <c r="AJ104" i="10"/>
  <c r="AE192" i="10"/>
  <c r="AE158" i="10"/>
  <c r="AE157" i="10" s="1"/>
  <c r="AE164" i="10" s="1"/>
  <c r="AE92" i="10"/>
  <c r="BY104" i="10"/>
  <c r="BY61" i="10"/>
  <c r="BY178" i="5"/>
  <c r="BS247" i="10"/>
  <c r="BO23" i="10"/>
  <c r="BO20" i="10"/>
  <c r="BA95" i="10"/>
  <c r="BA97" i="10" s="1"/>
  <c r="BC176" i="10" s="1"/>
  <c r="BA19" i="10"/>
  <c r="BE61" i="10"/>
  <c r="BE178" i="5"/>
  <c r="BE104" i="10"/>
  <c r="BP179" i="10"/>
  <c r="AU179" i="10"/>
  <c r="AN102" i="10"/>
  <c r="AN90" i="10"/>
  <c r="AN60" i="10"/>
  <c r="AS61" i="10" s="1"/>
  <c r="AN58" i="10"/>
  <c r="BB102" i="10"/>
  <c r="BB90" i="10"/>
  <c r="BB58" i="10"/>
  <c r="BB60" i="10"/>
  <c r="BU192" i="10"/>
  <c r="BU206" i="10" s="1"/>
  <c r="BU158" i="10"/>
  <c r="BU157" i="10" s="1"/>
  <c r="BU164" i="10" s="1"/>
  <c r="BU92" i="10"/>
  <c r="Q102" i="10"/>
  <c r="Q90" i="10"/>
  <c r="Q58" i="10"/>
  <c r="Q60" i="10"/>
  <c r="AQ23" i="10"/>
  <c r="AQ20" i="10"/>
  <c r="H51" i="247"/>
  <c r="H53" i="247" s="1"/>
  <c r="BI192" i="10"/>
  <c r="BI206" i="10" s="1"/>
  <c r="BI158" i="10"/>
  <c r="BI157" i="10" s="1"/>
  <c r="BI164" i="10" s="1"/>
  <c r="BI92" i="10"/>
  <c r="BK245" i="10"/>
  <c r="BK244" i="10"/>
  <c r="BK247" i="10" s="1"/>
  <c r="BK25" i="10"/>
  <c r="BK26" i="10" s="1"/>
  <c r="BU176" i="10"/>
  <c r="AT178" i="5"/>
  <c r="AT104" i="10"/>
  <c r="CA102" i="10"/>
  <c r="CA60" i="10"/>
  <c r="CA90" i="10"/>
  <c r="CA58" i="10"/>
  <c r="K192" i="10"/>
  <c r="K206" i="10" s="1"/>
  <c r="K158" i="10"/>
  <c r="K164" i="10" s="1"/>
  <c r="K92" i="10"/>
  <c r="N58" i="10"/>
  <c r="N60" i="10"/>
  <c r="N104" i="10" s="1"/>
  <c r="N102" i="10"/>
  <c r="N90" i="10"/>
  <c r="BN101" i="10"/>
  <c r="BN98" i="10"/>
  <c r="BR176" i="10"/>
  <c r="BR179" i="10"/>
  <c r="AI192" i="10"/>
  <c r="AI158" i="10"/>
  <c r="AI157" i="10" s="1"/>
  <c r="AI164" i="10" s="1"/>
  <c r="AI92" i="10"/>
  <c r="BE247" i="10"/>
  <c r="AH245" i="10"/>
  <c r="AH244" i="10"/>
  <c r="AH25" i="10"/>
  <c r="AH26" i="10" s="1"/>
  <c r="AC20" i="10"/>
  <c r="AC23" i="10"/>
  <c r="AP58" i="10"/>
  <c r="AP90" i="10"/>
  <c r="AP60" i="10"/>
  <c r="AP102" i="10"/>
  <c r="AM178" i="10"/>
  <c r="AM97" i="10"/>
  <c r="CZ65" i="10"/>
  <c r="CZ68" i="5"/>
  <c r="CZ28" i="5"/>
  <c r="CZ10" i="5"/>
  <c r="BD92" i="5"/>
  <c r="BD94" i="5" s="1"/>
  <c r="BD23" i="5"/>
  <c r="BJ154" i="5"/>
  <c r="BJ151" i="5"/>
  <c r="CZ69" i="5"/>
  <c r="CZ29" i="5"/>
  <c r="CB153" i="5"/>
  <c r="BB166" i="5"/>
  <c r="BB171" i="5"/>
  <c r="BR94" i="5"/>
  <c r="BV92" i="5"/>
  <c r="AR134" i="5"/>
  <c r="AR137" i="5" s="1"/>
  <c r="AR154" i="5"/>
  <c r="AV191" i="5"/>
  <c r="AV63" i="5"/>
  <c r="BM67" i="5"/>
  <c r="BR51" i="5"/>
  <c r="CN166" i="5"/>
  <c r="CM165" i="5"/>
  <c r="CM12" i="10" s="1"/>
  <c r="CI153" i="5"/>
  <c r="CH152" i="5"/>
  <c r="AZ55" i="5"/>
  <c r="AY55" i="5"/>
  <c r="BB58" i="5"/>
  <c r="AX55" i="5"/>
  <c r="BA55" i="5"/>
  <c r="CX105" i="5"/>
  <c r="CX61" i="5"/>
  <c r="CX60" i="5" s="1"/>
  <c r="CX39" i="5"/>
  <c r="CX48" i="5"/>
  <c r="CX45" i="5"/>
  <c r="CX46" i="5"/>
  <c r="CW157" i="5"/>
  <c r="CW130" i="5"/>
  <c r="CR163" i="5"/>
  <c r="CR170" i="5" s="1"/>
  <c r="CR168" i="5" s="1"/>
  <c r="CW128" i="5"/>
  <c r="CW163" i="5" s="1"/>
  <c r="CW170" i="5" s="1"/>
  <c r="CW168" i="5" s="1"/>
  <c r="CF92" i="5"/>
  <c r="CX68" i="5"/>
  <c r="CX44" i="5"/>
  <c r="CX10" i="5"/>
  <c r="X79" i="4" s="1"/>
  <c r="CM148" i="5"/>
  <c r="CT163" i="5"/>
  <c r="CT170" i="5" s="1"/>
  <c r="CT168" i="5" s="1"/>
  <c r="CY128" i="5"/>
  <c r="CT130" i="5"/>
  <c r="BI95" i="5"/>
  <c r="CQ168" i="5"/>
  <c r="CU168" i="5" s="1"/>
  <c r="CU170" i="5"/>
  <c r="BI22" i="5"/>
  <c r="BE92" i="5"/>
  <c r="BE94" i="5" s="1"/>
  <c r="BE96" i="5" s="1"/>
  <c r="BE24" i="5"/>
  <c r="BE23" i="5"/>
  <c r="CW38" i="5"/>
  <c r="BT98" i="5"/>
  <c r="BT97" i="5" s="1"/>
  <c r="BJ40" i="5"/>
  <c r="CZ160" i="5"/>
  <c r="CZ115" i="5"/>
  <c r="CK170" i="5"/>
  <c r="CG171" i="5"/>
  <c r="CK171" i="5" s="1"/>
  <c r="CN190" i="5"/>
  <c r="CN59" i="5"/>
  <c r="BU96" i="5"/>
  <c r="BU98" i="5"/>
  <c r="BP154" i="5"/>
  <c r="BP151" i="5"/>
  <c r="T154" i="5"/>
  <c r="T151" i="5"/>
  <c r="CC153" i="5"/>
  <c r="CB152" i="5"/>
  <c r="CI154" i="5"/>
  <c r="CI151" i="5"/>
  <c r="AR166" i="5"/>
  <c r="AR171" i="5"/>
  <c r="AS191" i="5"/>
  <c r="AS63" i="5"/>
  <c r="BW94" i="5"/>
  <c r="CA92" i="5"/>
  <c r="BN67" i="5"/>
  <c r="BS51" i="5"/>
  <c r="BS67" i="5" s="1"/>
  <c r="BN43" i="5"/>
  <c r="BN39" i="5"/>
  <c r="BN48" i="5"/>
  <c r="BN46" i="5"/>
  <c r="BN47" i="5"/>
  <c r="BN105" i="5"/>
  <c r="BN45" i="5"/>
  <c r="BS39" i="5"/>
  <c r="BN95" i="5"/>
  <c r="CE149" i="5"/>
  <c r="CE150" i="5" s="1"/>
  <c r="CD150" i="5"/>
  <c r="CS163" i="5"/>
  <c r="CS170" i="5" s="1"/>
  <c r="CS168" i="5" s="1"/>
  <c r="CX128" i="5"/>
  <c r="CX163" i="5" s="1"/>
  <c r="CX170" i="5" s="1"/>
  <c r="CX168" i="5" s="1"/>
  <c r="CX43" i="5"/>
  <c r="CM168" i="5"/>
  <c r="CP168" i="5" s="1"/>
  <c r="CP170" i="5"/>
  <c r="CB96" i="5"/>
  <c r="CF94" i="5"/>
  <c r="BM68" i="5"/>
  <c r="BM84" i="5"/>
  <c r="BM88" i="5" s="1"/>
  <c r="BM90" i="5" s="1"/>
  <c r="BM38" i="5"/>
  <c r="BM44" i="5" s="1"/>
  <c r="BR28" i="5"/>
  <c r="BM28" i="5"/>
  <c r="BQ34" i="5"/>
  <c r="CN150" i="5"/>
  <c r="CN148" i="5" s="1"/>
  <c r="CO153" i="5"/>
  <c r="CO151" i="5" s="1"/>
  <c r="BK54" i="5"/>
  <c r="BK70" i="5" s="1"/>
  <c r="BJ54" i="5"/>
  <c r="BJ70" i="5" s="1"/>
  <c r="BQ54" i="5"/>
  <c r="BI54" i="5"/>
  <c r="BI70" i="5" s="1"/>
  <c r="BH54" i="5"/>
  <c r="BH70" i="5" s="1"/>
  <c r="BL70" i="5"/>
  <c r="CP61" i="5"/>
  <c r="CL94" i="5"/>
  <c r="CB98" i="5"/>
  <c r="BC84" i="5"/>
  <c r="BC88" i="5" s="1"/>
  <c r="BC90" i="5" s="1"/>
  <c r="BC68" i="5"/>
  <c r="BC28" i="5"/>
  <c r="BG34" i="5"/>
  <c r="BC38" i="5"/>
  <c r="CZ126" i="5"/>
  <c r="CZ110" i="5"/>
  <c r="CG94" i="5"/>
  <c r="CK92" i="5"/>
  <c r="BL166" i="5"/>
  <c r="BL171" i="5"/>
  <c r="U154" i="5"/>
  <c r="U151" i="5"/>
  <c r="CJ154" i="5"/>
  <c r="CJ151" i="5"/>
  <c r="CW68" i="5"/>
  <c r="CW44" i="5"/>
  <c r="CW10" i="5"/>
  <c r="X78" i="4" s="1"/>
  <c r="E78" i="4" s="1"/>
  <c r="E79" i="4" s="1"/>
  <c r="E80" i="4" s="1"/>
  <c r="AT191" i="5"/>
  <c r="AT63" i="5"/>
  <c r="BY98" i="5"/>
  <c r="BP67" i="5"/>
  <c r="BU51" i="5"/>
  <c r="BU67" i="5" s="1"/>
  <c r="BO67" i="5"/>
  <c r="BT51" i="5"/>
  <c r="BT67" i="5" s="1"/>
  <c r="BD61" i="5"/>
  <c r="BD64" i="5" s="1"/>
  <c r="BD47" i="5"/>
  <c r="BD46" i="5"/>
  <c r="BD48" i="5"/>
  <c r="BD39" i="5"/>
  <c r="BD43" i="5"/>
  <c r="BD105" i="5"/>
  <c r="BD95" i="5"/>
  <c r="BD45" i="5"/>
  <c r="BN152" i="5"/>
  <c r="BO153" i="5"/>
  <c r="CC154" i="5"/>
  <c r="CC151" i="5"/>
  <c r="BF53" i="5"/>
  <c r="BF69" i="5" s="1"/>
  <c r="BE53" i="5"/>
  <c r="BE69" i="5" s="1"/>
  <c r="BL53" i="5"/>
  <c r="BD53" i="5"/>
  <c r="BD69" i="5" s="1"/>
  <c r="BC53" i="5"/>
  <c r="BC69" i="5" s="1"/>
  <c r="BG69" i="5"/>
  <c r="BG55" i="5"/>
  <c r="BP98" i="5"/>
  <c r="BP97" i="5" s="1"/>
  <c r="CV105" i="5"/>
  <c r="CV61" i="5"/>
  <c r="CV48" i="5"/>
  <c r="CV40" i="5"/>
  <c r="CV39" i="5"/>
  <c r="CV43" i="5"/>
  <c r="CV47" i="5"/>
  <c r="CV45" i="5"/>
  <c r="CV46" i="5"/>
  <c r="BJ92" i="5"/>
  <c r="BJ94" i="5" s="1"/>
  <c r="BJ96" i="5" s="1"/>
  <c r="BJ24" i="5"/>
  <c r="BJ23" i="5"/>
  <c r="BK24" i="5"/>
  <c r="CU128" i="5"/>
  <c r="CU163" i="5" s="1"/>
  <c r="CT105" i="5"/>
  <c r="CT61" i="5"/>
  <c r="CT60" i="5" s="1"/>
  <c r="CT39" i="5"/>
  <c r="CT48" i="5"/>
  <c r="CT40" i="5"/>
  <c r="CT47" i="5"/>
  <c r="CT43" i="5"/>
  <c r="CT45" i="5"/>
  <c r="CT46" i="5"/>
  <c r="BI46" i="5"/>
  <c r="BI48" i="5"/>
  <c r="BI47" i="5"/>
  <c r="BI43" i="5"/>
  <c r="BI39" i="5"/>
  <c r="BI105" i="5"/>
  <c r="BI45" i="5"/>
  <c r="CZ67" i="5"/>
  <c r="CZ38" i="5"/>
  <c r="CZ46" i="5" s="1"/>
  <c r="CZ27" i="5"/>
  <c r="CZ43" i="5"/>
  <c r="CX157" i="5"/>
  <c r="CX130" i="5"/>
  <c r="CM60" i="5"/>
  <c r="CD98" i="5"/>
  <c r="CD97" i="5" s="1"/>
  <c r="BO154" i="5"/>
  <c r="BO151" i="5"/>
  <c r="CR190" i="5"/>
  <c r="CR59" i="5"/>
  <c r="BK151" i="5"/>
  <c r="BM153" i="5" s="1"/>
  <c r="BK154" i="5"/>
  <c r="BB134" i="5"/>
  <c r="BB137" i="5" s="1"/>
  <c r="BB154" i="5"/>
  <c r="CS105" i="5"/>
  <c r="CS61" i="5"/>
  <c r="CS60" i="5" s="1"/>
  <c r="CS48" i="5"/>
  <c r="CS40" i="5"/>
  <c r="CS39" i="5"/>
  <c r="CS45" i="5"/>
  <c r="CS46" i="5"/>
  <c r="CS43" i="5"/>
  <c r="CS47" i="5"/>
  <c r="BH68" i="5"/>
  <c r="BH84" i="5"/>
  <c r="BH88" i="5" s="1"/>
  <c r="BH90" i="5" s="1"/>
  <c r="BH38" i="5"/>
  <c r="BH100" i="10" s="1"/>
  <c r="BL34" i="5"/>
  <c r="BH22" i="5"/>
  <c r="BH28" i="5"/>
  <c r="CI98" i="5"/>
  <c r="CI97" i="5" s="1"/>
  <c r="CO190" i="5"/>
  <c r="CO59" i="5"/>
  <c r="BD170" i="5"/>
  <c r="BD171" i="5" s="1"/>
  <c r="BC169" i="5"/>
  <c r="BC170" i="5" s="1"/>
  <c r="BC171" i="5" s="1"/>
  <c r="BR98" i="5"/>
  <c r="CJ98" i="5"/>
  <c r="CJ97" i="5" s="1"/>
  <c r="AU191" i="5"/>
  <c r="AU63" i="5"/>
  <c r="BZ98" i="5"/>
  <c r="BZ97" i="5" s="1"/>
  <c r="BY97" i="5"/>
  <c r="BE40" i="5"/>
  <c r="BN22" i="5"/>
  <c r="BD44" i="5"/>
  <c r="CQ190" i="5"/>
  <c r="CU60" i="5"/>
  <c r="CU190" i="5" s="1"/>
  <c r="CQ59" i="5"/>
  <c r="CP163" i="5"/>
  <c r="CP130" i="5"/>
  <c r="CZ137" i="5"/>
  <c r="CW137" i="5"/>
  <c r="CX137" i="5" s="1"/>
  <c r="CY137" i="5" s="1"/>
  <c r="CG98" i="5"/>
  <c r="CE98" i="5"/>
  <c r="CE97" i="5" s="1"/>
  <c r="CA153" i="5"/>
  <c r="BW152" i="5"/>
  <c r="CA166" i="5"/>
  <c r="CA171" i="5"/>
  <c r="CX47" i="5"/>
  <c r="CO132" i="5"/>
  <c r="CQ136" i="5"/>
  <c r="BZ153" i="5"/>
  <c r="BZ152" i="5" s="1"/>
  <c r="BY152" i="5"/>
  <c r="CV163" i="5"/>
  <c r="CV170" i="5" s="1"/>
  <c r="CZ128" i="5"/>
  <c r="CZ163" i="5" s="1"/>
  <c r="CY68" i="5"/>
  <c r="CY44" i="5"/>
  <c r="CY10" i="5"/>
  <c r="X80" i="4" s="1"/>
  <c r="CY38" i="5"/>
  <c r="CK151" i="5"/>
  <c r="CP136" i="5"/>
  <c r="CV130" i="5"/>
  <c r="CU157" i="5"/>
  <c r="CU130" i="5"/>
  <c r="H19" i="247"/>
  <c r="CU105" i="5"/>
  <c r="CU48" i="5"/>
  <c r="CU45" i="5"/>
  <c r="CU39" i="5"/>
  <c r="CU46" i="5"/>
  <c r="CP151" i="5"/>
  <c r="C49" i="247"/>
  <c r="C48" i="247"/>
  <c r="C53" i="247"/>
  <c r="H62" i="247"/>
  <c r="H30" i="247" s="1"/>
  <c r="G30" i="247"/>
  <c r="Z13" i="271" l="1"/>
  <c r="CN36" i="10"/>
  <c r="BI101" i="10"/>
  <c r="BI102" i="10"/>
  <c r="CP132" i="5"/>
  <c r="CO11" i="10"/>
  <c r="BH101" i="10"/>
  <c r="BH102" i="10"/>
  <c r="BC22" i="5"/>
  <c r="BC100" i="10"/>
  <c r="BM22" i="5"/>
  <c r="BM100" i="10"/>
  <c r="AH74" i="4"/>
  <c r="O74" i="4" s="1"/>
  <c r="CR145" i="5"/>
  <c r="CR146" i="5" s="1"/>
  <c r="CS7" i="5"/>
  <c r="BD101" i="10"/>
  <c r="BD102" i="10"/>
  <c r="Y13" i="271"/>
  <c r="CM36" i="10"/>
  <c r="O73" i="4"/>
  <c r="P73" i="4" s="1"/>
  <c r="AI73" i="4"/>
  <c r="BA25" i="258"/>
  <c r="BA26" i="258" s="1"/>
  <c r="BW113" i="258"/>
  <c r="BW114" i="258" s="1"/>
  <c r="BJ96" i="258"/>
  <c r="BK94" i="258" s="1"/>
  <c r="AW122" i="258"/>
  <c r="AU160" i="258"/>
  <c r="BY16" i="258"/>
  <c r="BY120" i="258" s="1"/>
  <c r="CP130" i="10"/>
  <c r="AY40" i="258"/>
  <c r="AZ38" i="258" s="1"/>
  <c r="AY41" i="258"/>
  <c r="AY42" i="258" s="1"/>
  <c r="BW105" i="258"/>
  <c r="BW106" i="258" s="1"/>
  <c r="BW104" i="258"/>
  <c r="BX102" i="258" s="1"/>
  <c r="AY32" i="258"/>
  <c r="AZ30" i="258" s="1"/>
  <c r="AY33" i="258"/>
  <c r="AY34" i="258" s="1"/>
  <c r="AY35" i="258" s="1"/>
  <c r="CV141" i="258"/>
  <c r="CW10" i="258"/>
  <c r="AY73" i="258"/>
  <c r="AY74" i="258" s="1"/>
  <c r="AY75" i="258" s="1"/>
  <c r="CM16" i="258"/>
  <c r="BC24" i="258"/>
  <c r="BD22" i="258" s="1"/>
  <c r="BC25" i="258"/>
  <c r="BC26" i="258" s="1"/>
  <c r="AY80" i="258"/>
  <c r="AZ78" i="258" s="1"/>
  <c r="AZ81" i="258" s="1"/>
  <c r="AZ82" i="258" s="1"/>
  <c r="BA83" i="258" s="1"/>
  <c r="BH137" i="258"/>
  <c r="BH136" i="258"/>
  <c r="AW135" i="258"/>
  <c r="AU136" i="258"/>
  <c r="AW136" i="258" s="1"/>
  <c r="AX56" i="258"/>
  <c r="AY54" i="258" s="1"/>
  <c r="AX96" i="258"/>
  <c r="AY94" i="258" s="1"/>
  <c r="AY48" i="258"/>
  <c r="AZ46" i="258" s="1"/>
  <c r="CZ130" i="10"/>
  <c r="BH16" i="258"/>
  <c r="BH120" i="258" s="1"/>
  <c r="AZ72" i="258"/>
  <c r="BA70" i="258" s="1"/>
  <c r="AZ73" i="258"/>
  <c r="AZ74" i="258" s="1"/>
  <c r="CM156" i="258"/>
  <c r="CM157" i="258" s="1"/>
  <c r="CM133" i="258"/>
  <c r="BM16" i="258"/>
  <c r="BM120" i="258" s="1"/>
  <c r="AX81" i="258"/>
  <c r="AX82" i="258" s="1"/>
  <c r="AV57" i="258"/>
  <c r="AV58" i="258" s="1"/>
  <c r="AV119" i="258" s="1"/>
  <c r="AY64" i="258"/>
  <c r="AZ62" i="258" s="1"/>
  <c r="CL16" i="258"/>
  <c r="CL120" i="258" s="1"/>
  <c r="AV97" i="258"/>
  <c r="AV98" i="258" s="1"/>
  <c r="AV99" i="258" s="1"/>
  <c r="BK25" i="258"/>
  <c r="BK26" i="258" s="1"/>
  <c r="AX49" i="258"/>
  <c r="AX50" i="258" s="1"/>
  <c r="BI156" i="258"/>
  <c r="BI157" i="258" s="1"/>
  <c r="BI159" i="258" s="1"/>
  <c r="BI160" i="258" s="1"/>
  <c r="BI133" i="258"/>
  <c r="AX89" i="258"/>
  <c r="AX90" i="258" s="1"/>
  <c r="AX88" i="258"/>
  <c r="AY86" i="258" s="1"/>
  <c r="BF80" i="258"/>
  <c r="BG80" i="258" s="1"/>
  <c r="BH78" i="258" s="1"/>
  <c r="CQ141" i="258"/>
  <c r="CR10" i="258"/>
  <c r="BS137" i="258"/>
  <c r="BS136" i="258"/>
  <c r="BV136" i="258" s="1"/>
  <c r="BV133" i="258"/>
  <c r="BV137" i="258" s="1"/>
  <c r="CU130" i="10"/>
  <c r="BZ14" i="258"/>
  <c r="BZ15" i="258" s="1"/>
  <c r="BN12" i="258"/>
  <c r="BN14" i="258"/>
  <c r="BN15" i="258" s="1"/>
  <c r="BX113" i="258"/>
  <c r="BX114" i="258" s="1"/>
  <c r="BX112" i="258"/>
  <c r="BY110" i="258" s="1"/>
  <c r="CH137" i="258"/>
  <c r="CH136" i="258"/>
  <c r="CK136" i="258" s="1"/>
  <c r="CK133" i="258"/>
  <c r="AV59" i="258"/>
  <c r="AV120" i="258" s="1"/>
  <c r="BI99" i="258"/>
  <c r="BM137" i="258"/>
  <c r="BM136" i="258"/>
  <c r="BM24" i="258"/>
  <c r="BN22" i="258" s="1"/>
  <c r="BM25" i="258"/>
  <c r="BM26" i="258" s="1"/>
  <c r="BI16" i="258"/>
  <c r="AY43" i="258"/>
  <c r="BA27" i="258"/>
  <c r="CV16" i="258"/>
  <c r="CV120" i="258" s="1"/>
  <c r="CQ16" i="258"/>
  <c r="CQ120" i="258" s="1"/>
  <c r="CB13" i="258"/>
  <c r="CC10" i="258" s="1"/>
  <c r="I75" i="4"/>
  <c r="AJ74" i="4"/>
  <c r="C76" i="4"/>
  <c r="M75" i="4"/>
  <c r="AM244" i="10"/>
  <c r="AM247" i="10" s="1"/>
  <c r="AM245" i="10"/>
  <c r="AM25" i="10"/>
  <c r="AM26" i="10" s="1"/>
  <c r="CK179" i="10"/>
  <c r="CK98" i="10"/>
  <c r="CK101" i="10"/>
  <c r="CK176" i="10"/>
  <c r="AP104" i="10"/>
  <c r="AP61" i="10"/>
  <c r="AP178" i="5"/>
  <c r="BB192" i="10"/>
  <c r="BB158" i="10"/>
  <c r="BB157" i="10" s="1"/>
  <c r="BB92" i="10"/>
  <c r="AN192" i="10"/>
  <c r="AN158" i="10"/>
  <c r="AN157" i="10" s="1"/>
  <c r="AN164" i="10" s="1"/>
  <c r="AN92" i="10"/>
  <c r="AC104" i="10"/>
  <c r="BD237" i="10"/>
  <c r="BD231" i="10"/>
  <c r="BD181" i="5"/>
  <c r="AO97" i="10"/>
  <c r="AS178" i="10"/>
  <c r="AQ178" i="10"/>
  <c r="AP178" i="10"/>
  <c r="AO178" i="10"/>
  <c r="AZ245" i="10"/>
  <c r="AZ244" i="10"/>
  <c r="AZ247" i="10" s="1"/>
  <c r="AZ25" i="10"/>
  <c r="AZ26" i="10" s="1"/>
  <c r="M102" i="10"/>
  <c r="M58" i="10"/>
  <c r="M90" i="10"/>
  <c r="M60" i="10"/>
  <c r="M104" i="10" s="1"/>
  <c r="AK244" i="10"/>
  <c r="AK247" i="10" s="1"/>
  <c r="AK245" i="10"/>
  <c r="AK25" i="10"/>
  <c r="AK26" i="10" s="1"/>
  <c r="AW179" i="10"/>
  <c r="AW98" i="10"/>
  <c r="AW101" i="10"/>
  <c r="AW176" i="10"/>
  <c r="Z192" i="10"/>
  <c r="Z206" i="10" s="1"/>
  <c r="Z158" i="10"/>
  <c r="Z164" i="10" s="1"/>
  <c r="Z92" i="10"/>
  <c r="BL192" i="10"/>
  <c r="BL158" i="10"/>
  <c r="BL157" i="10" s="1"/>
  <c r="BL92" i="10"/>
  <c r="CE23" i="10"/>
  <c r="CE20" i="10"/>
  <c r="BQ192" i="10"/>
  <c r="BQ206" i="10" s="1"/>
  <c r="BM206" i="10"/>
  <c r="BG179" i="10"/>
  <c r="BG98" i="10"/>
  <c r="BG176" i="10"/>
  <c r="CD238" i="10"/>
  <c r="CD182" i="5"/>
  <c r="CD183" i="5" s="1"/>
  <c r="T192" i="10"/>
  <c r="T158" i="10"/>
  <c r="T164" i="10" s="1"/>
  <c r="T92" i="10"/>
  <c r="BH237" i="10"/>
  <c r="BH231" i="10"/>
  <c r="BH181" i="5"/>
  <c r="Y244" i="10"/>
  <c r="Y245" i="10"/>
  <c r="Y25" i="10"/>
  <c r="Y26" i="10" s="1"/>
  <c r="AB192" i="10"/>
  <c r="AB92" i="10"/>
  <c r="J192" i="10"/>
  <c r="J206" i="10" s="1"/>
  <c r="J92" i="10"/>
  <c r="BX237" i="10"/>
  <c r="BX231" i="10"/>
  <c r="BX181" i="5"/>
  <c r="BP245" i="10"/>
  <c r="BP244" i="10"/>
  <c r="BP247" i="10" s="1"/>
  <c r="BP25" i="10"/>
  <c r="BP26" i="10" s="1"/>
  <c r="CJ192" i="10"/>
  <c r="CJ206" i="10" s="1"/>
  <c r="CJ158" i="10"/>
  <c r="CJ157" i="10" s="1"/>
  <c r="CJ164" i="10" s="1"/>
  <c r="CJ92" i="10"/>
  <c r="D40" i="247" s="1"/>
  <c r="N245" i="10"/>
  <c r="N244" i="10"/>
  <c r="N25" i="10"/>
  <c r="N26" i="10" s="1"/>
  <c r="P102" i="10"/>
  <c r="P90" i="10"/>
  <c r="P60" i="10"/>
  <c r="P58" i="10"/>
  <c r="BV245" i="10"/>
  <c r="BV244" i="10"/>
  <c r="BV247" i="10" s="1"/>
  <c r="BV25" i="10"/>
  <c r="BV26" i="10" s="1"/>
  <c r="CF95" i="10"/>
  <c r="CF97" i="10" s="1"/>
  <c r="CF19" i="10"/>
  <c r="BU244" i="10"/>
  <c r="BU247" i="10" s="1"/>
  <c r="BU245" i="10"/>
  <c r="BU25" i="10"/>
  <c r="BU26" i="10" s="1"/>
  <c r="AF192" i="10"/>
  <c r="AF158" i="10"/>
  <c r="AF157" i="10" s="1"/>
  <c r="AF164" i="10" s="1"/>
  <c r="AF92" i="10"/>
  <c r="AL247" i="10"/>
  <c r="CR141" i="10"/>
  <c r="AA192" i="10"/>
  <c r="AA158" i="10"/>
  <c r="AA164" i="10" s="1"/>
  <c r="AA92" i="10"/>
  <c r="R245" i="10"/>
  <c r="R244" i="10"/>
  <c r="R247" i="10" s="1"/>
  <c r="R25" i="10"/>
  <c r="R26" i="10" s="1"/>
  <c r="X23" i="10"/>
  <c r="X20" i="10"/>
  <c r="BY244" i="10"/>
  <c r="BY245" i="10"/>
  <c r="BY25" i="10"/>
  <c r="BY26" i="10" s="1"/>
  <c r="AW23" i="10"/>
  <c r="AW20" i="10"/>
  <c r="CK19" i="10"/>
  <c r="BR231" i="10"/>
  <c r="BR237" i="10"/>
  <c r="BR181" i="5"/>
  <c r="L192" i="10"/>
  <c r="L206" i="10" s="1"/>
  <c r="L158" i="10"/>
  <c r="L164" i="10" s="1"/>
  <c r="L92" i="10"/>
  <c r="K247" i="10"/>
  <c r="BE237" i="10"/>
  <c r="BE231" i="10"/>
  <c r="BE181" i="5"/>
  <c r="BC179" i="10"/>
  <c r="BA179" i="10"/>
  <c r="R104" i="10"/>
  <c r="R61" i="10"/>
  <c r="AF245" i="10"/>
  <c r="AF244" i="10"/>
  <c r="AF247" i="10" s="1"/>
  <c r="AF25" i="10"/>
  <c r="AF26" i="10" s="1"/>
  <c r="AN245" i="10"/>
  <c r="AN244" i="10"/>
  <c r="AN25" i="10"/>
  <c r="AN26" i="10" s="1"/>
  <c r="AQ231" i="10"/>
  <c r="AQ237" i="10"/>
  <c r="AQ181" i="5"/>
  <c r="CR146" i="10"/>
  <c r="CQ160" i="10"/>
  <c r="CQ156" i="10"/>
  <c r="BZ95" i="10"/>
  <c r="BZ97" i="10" s="1"/>
  <c r="BZ19" i="10"/>
  <c r="CL104" i="10"/>
  <c r="CL61" i="10"/>
  <c r="CL178" i="5"/>
  <c r="E39" i="247"/>
  <c r="CP63" i="10"/>
  <c r="G44" i="247" s="1"/>
  <c r="AP192" i="10"/>
  <c r="AP206" i="10" s="1"/>
  <c r="AP158" i="10"/>
  <c r="AP157" i="10" s="1"/>
  <c r="AP164" i="10" s="1"/>
  <c r="AP92" i="10"/>
  <c r="AD192" i="10"/>
  <c r="AD158" i="10"/>
  <c r="AD157" i="10" s="1"/>
  <c r="AD164" i="10" s="1"/>
  <c r="AD92" i="10"/>
  <c r="CI237" i="10"/>
  <c r="CI231" i="10"/>
  <c r="CI181" i="5"/>
  <c r="AB244" i="10"/>
  <c r="AB245" i="10"/>
  <c r="AB25" i="10"/>
  <c r="AB26" i="10" s="1"/>
  <c r="AZ237" i="10"/>
  <c r="AZ231" i="10"/>
  <c r="AZ181" i="5"/>
  <c r="CE101" i="10"/>
  <c r="CE98" i="10"/>
  <c r="CG176" i="10"/>
  <c r="CE179" i="10"/>
  <c r="CH179" i="10"/>
  <c r="CH176" i="10"/>
  <c r="CE176" i="10"/>
  <c r="CG179" i="10"/>
  <c r="BN245" i="10"/>
  <c r="BN244" i="10"/>
  <c r="BN247" i="10" s="1"/>
  <c r="BN25" i="10"/>
  <c r="BN26" i="10" s="1"/>
  <c r="BZ237" i="10"/>
  <c r="BZ231" i="10"/>
  <c r="BZ181" i="5"/>
  <c r="AG244" i="10"/>
  <c r="AG245" i="10"/>
  <c r="AG25" i="10"/>
  <c r="AG26" i="10" s="1"/>
  <c r="CJ245" i="10"/>
  <c r="CO245" i="10" s="1"/>
  <c r="CJ244" i="10"/>
  <c r="CJ25" i="10"/>
  <c r="CJ26" i="10" s="1"/>
  <c r="BL244" i="10"/>
  <c r="BL245" i="10"/>
  <c r="BL25" i="10"/>
  <c r="BL26" i="10" s="1"/>
  <c r="CI179" i="10"/>
  <c r="CC237" i="10"/>
  <c r="CC231" i="10"/>
  <c r="CC181" i="5"/>
  <c r="V104" i="10"/>
  <c r="V61" i="10"/>
  <c r="V178" i="5"/>
  <c r="AH158" i="10"/>
  <c r="AH157" i="10" s="1"/>
  <c r="AH92" i="10"/>
  <c r="BJ237" i="10"/>
  <c r="BJ231" i="10"/>
  <c r="BJ181" i="5"/>
  <c r="CE238" i="10"/>
  <c r="CE182" i="5"/>
  <c r="CE183" i="5" s="1"/>
  <c r="BB245" i="10"/>
  <c r="BB244" i="10"/>
  <c r="BB25" i="10"/>
  <c r="BB26" i="10" s="1"/>
  <c r="AA245" i="10"/>
  <c r="AA244" i="10"/>
  <c r="AA247" i="10" s="1"/>
  <c r="AA25" i="10"/>
  <c r="AA26" i="10" s="1"/>
  <c r="V245" i="10"/>
  <c r="V244" i="10"/>
  <c r="V25" i="10"/>
  <c r="V26" i="10" s="1"/>
  <c r="BQ61" i="10"/>
  <c r="BQ104" i="10"/>
  <c r="AK61" i="10"/>
  <c r="AK178" i="5"/>
  <c r="AK104" i="10"/>
  <c r="U244" i="10"/>
  <c r="U247" i="10" s="1"/>
  <c r="U245" i="10"/>
  <c r="U25" i="10"/>
  <c r="U26" i="10" s="1"/>
  <c r="BG90" i="10"/>
  <c r="BG60" i="10"/>
  <c r="BG58" i="10"/>
  <c r="BY237" i="10"/>
  <c r="BY231" i="10"/>
  <c r="BY181" i="5"/>
  <c r="U104" i="10"/>
  <c r="U61" i="10"/>
  <c r="U178" i="5"/>
  <c r="BF238" i="10"/>
  <c r="BF182" i="5"/>
  <c r="BF183" i="5" s="1"/>
  <c r="BA176" i="10"/>
  <c r="AV237" i="10"/>
  <c r="AV231" i="10"/>
  <c r="AV181" i="5"/>
  <c r="CL192" i="10"/>
  <c r="CL206" i="10" s="1"/>
  <c r="CL158" i="10"/>
  <c r="CL157" i="10" s="1"/>
  <c r="CL164" i="10" s="1"/>
  <c r="CL92" i="10"/>
  <c r="E40" i="247" s="1"/>
  <c r="AM179" i="10"/>
  <c r="AM101" i="10"/>
  <c r="AM98" i="10"/>
  <c r="AM176" i="10"/>
  <c r="BI237" i="10"/>
  <c r="BI231" i="10"/>
  <c r="BI181" i="5"/>
  <c r="Q192" i="10"/>
  <c r="Q206" i="10" s="1"/>
  <c r="Q158" i="10"/>
  <c r="Q164" i="10" s="1"/>
  <c r="Q92" i="10"/>
  <c r="BO244" i="10"/>
  <c r="BO245" i="10"/>
  <c r="BO25" i="10"/>
  <c r="BO26" i="10" s="1"/>
  <c r="AG102" i="10"/>
  <c r="AG90" i="10"/>
  <c r="AG58" i="10"/>
  <c r="AG60" i="10"/>
  <c r="AC192" i="10"/>
  <c r="AC206" i="10" s="1"/>
  <c r="AC158" i="10"/>
  <c r="AC92" i="10"/>
  <c r="AH247" i="10"/>
  <c r="CA61" i="10"/>
  <c r="CA104" i="10"/>
  <c r="AQ244" i="10"/>
  <c r="AQ247" i="10" s="1"/>
  <c r="AQ245" i="10"/>
  <c r="AQ25" i="10"/>
  <c r="AQ26" i="10" s="1"/>
  <c r="BB104" i="10"/>
  <c r="BA23" i="10"/>
  <c r="BA20" i="10"/>
  <c r="CK261" i="10"/>
  <c r="CB237" i="10"/>
  <c r="CB231" i="10"/>
  <c r="CB181" i="5"/>
  <c r="AR48" i="10"/>
  <c r="AR94" i="10"/>
  <c r="AR31" i="10"/>
  <c r="S102" i="10"/>
  <c r="S60" i="10"/>
  <c r="S90" i="10"/>
  <c r="S58" i="10"/>
  <c r="CK256" i="10"/>
  <c r="BX247" i="10"/>
  <c r="J245" i="10"/>
  <c r="J244" i="10"/>
  <c r="J247" i="10" s="1"/>
  <c r="J25" i="10"/>
  <c r="J26" i="10" s="1"/>
  <c r="CH231" i="10"/>
  <c r="CH237" i="10"/>
  <c r="CH181" i="5"/>
  <c r="M20" i="10"/>
  <c r="M23" i="10"/>
  <c r="CQ74" i="10"/>
  <c r="CQ224" i="10"/>
  <c r="AW102" i="10"/>
  <c r="AW90" i="10"/>
  <c r="AW58" i="10"/>
  <c r="AW60" i="10"/>
  <c r="AH61" i="10"/>
  <c r="AH104" i="10"/>
  <c r="CK102" i="10"/>
  <c r="CK58" i="10"/>
  <c r="CK90" i="10"/>
  <c r="CK60" i="10"/>
  <c r="AT237" i="10"/>
  <c r="AT231" i="10"/>
  <c r="AT181" i="5"/>
  <c r="CL245" i="10"/>
  <c r="CQ245" i="10" s="1"/>
  <c r="CL244" i="10"/>
  <c r="CL25" i="10"/>
  <c r="CL26" i="10" s="1"/>
  <c r="BG23" i="10"/>
  <c r="BG20" i="10"/>
  <c r="AD245" i="10"/>
  <c r="AD244" i="10"/>
  <c r="AD25" i="10"/>
  <c r="AD26" i="10" s="1"/>
  <c r="CT117" i="10"/>
  <c r="CU117" i="10" s="1"/>
  <c r="Y104" i="10"/>
  <c r="Y61" i="10"/>
  <c r="Y178" i="5"/>
  <c r="CF61" i="10"/>
  <c r="CF104" i="10"/>
  <c r="AU61" i="10"/>
  <c r="BQ95" i="10"/>
  <c r="BQ97" i="10" s="1"/>
  <c r="BQ19" i="10"/>
  <c r="CG237" i="10"/>
  <c r="CG231" i="10"/>
  <c r="CG181" i="5"/>
  <c r="S23" i="10"/>
  <c r="S20" i="10"/>
  <c r="AY237" i="10"/>
  <c r="AY231" i="10"/>
  <c r="AY181" i="5"/>
  <c r="BD179" i="10"/>
  <c r="W244" i="10"/>
  <c r="W245" i="10"/>
  <c r="W25" i="10"/>
  <c r="W26" i="10" s="1"/>
  <c r="O194" i="10"/>
  <c r="O206" i="10" s="1"/>
  <c r="AU237" i="10"/>
  <c r="AU231" i="10"/>
  <c r="AU181" i="5"/>
  <c r="P23" i="10"/>
  <c r="P20" i="10"/>
  <c r="Q244" i="10"/>
  <c r="Q247" i="10" s="1"/>
  <c r="Q245" i="10"/>
  <c r="Q25" i="10"/>
  <c r="Q26" i="10" s="1"/>
  <c r="BV159" i="10"/>
  <c r="BV164" i="10"/>
  <c r="N192" i="10"/>
  <c r="N206" i="10" s="1"/>
  <c r="N158" i="10"/>
  <c r="N92" i="10"/>
  <c r="CA192" i="10"/>
  <c r="CA206" i="10" s="1"/>
  <c r="CA158" i="10"/>
  <c r="CA157" i="10" s="1"/>
  <c r="CA92" i="10"/>
  <c r="BU237" i="10"/>
  <c r="BU231" i="10"/>
  <c r="BU181" i="5"/>
  <c r="CK265" i="10"/>
  <c r="AC244" i="10"/>
  <c r="AC245" i="10"/>
  <c r="AC25" i="10"/>
  <c r="AC26" i="10" s="1"/>
  <c r="AI206" i="10"/>
  <c r="K231" i="10"/>
  <c r="K237" i="10"/>
  <c r="K238" i="10" s="1"/>
  <c r="Q61" i="10"/>
  <c r="Q104" i="10"/>
  <c r="AN104" i="10"/>
  <c r="AN61" i="10"/>
  <c r="AN178" i="5"/>
  <c r="BA98" i="10"/>
  <c r="BA101" i="10"/>
  <c r="BA180" i="5"/>
  <c r="BE176" i="10"/>
  <c r="BE179" i="10"/>
  <c r="AD104" i="10"/>
  <c r="AD61" i="10"/>
  <c r="AD178" i="5"/>
  <c r="AO57" i="10"/>
  <c r="AO49" i="10"/>
  <c r="AO52" i="10"/>
  <c r="AO53" i="10" s="1"/>
  <c r="X102" i="10"/>
  <c r="X90" i="10"/>
  <c r="X60" i="10"/>
  <c r="AC61" i="10" s="1"/>
  <c r="X58" i="10"/>
  <c r="CH245" i="10"/>
  <c r="CM245" i="10" s="1"/>
  <c r="CH244" i="10"/>
  <c r="CH25" i="10"/>
  <c r="CH26" i="10" s="1"/>
  <c r="BS237" i="10"/>
  <c r="BS231" i="10"/>
  <c r="BS181" i="5"/>
  <c r="CI245" i="10"/>
  <c r="CN245" i="10" s="1"/>
  <c r="CI244" i="10"/>
  <c r="CI25" i="10"/>
  <c r="CI26" i="10" s="1"/>
  <c r="Z104" i="10"/>
  <c r="Z61" i="10"/>
  <c r="Z178" i="5"/>
  <c r="BL61" i="10"/>
  <c r="BL104" i="10"/>
  <c r="T244" i="10"/>
  <c r="T247" i="10" s="1"/>
  <c r="T245" i="10"/>
  <c r="T25" i="10"/>
  <c r="T26" i="10" s="1"/>
  <c r="T104" i="10"/>
  <c r="T61" i="10"/>
  <c r="T178" i="5"/>
  <c r="AB104" i="10"/>
  <c r="AB61" i="10"/>
  <c r="AU245" i="10"/>
  <c r="AU244" i="10"/>
  <c r="AU247" i="10" s="1"/>
  <c r="AU25" i="10"/>
  <c r="AU26" i="10" s="1"/>
  <c r="BC231" i="10"/>
  <c r="BC237" i="10"/>
  <c r="BC181" i="5"/>
  <c r="CR73" i="10"/>
  <c r="CS76" i="10"/>
  <c r="L245" i="10"/>
  <c r="L244" i="10"/>
  <c r="L247" i="10" s="1"/>
  <c r="L25" i="10"/>
  <c r="L26" i="10" s="1"/>
  <c r="AJ244" i="10"/>
  <c r="AJ247" i="10" s="1"/>
  <c r="AJ245" i="10"/>
  <c r="AJ25" i="10"/>
  <c r="AJ26" i="10" s="1"/>
  <c r="CJ104" i="10"/>
  <c r="CJ61" i="10"/>
  <c r="CJ178" i="5"/>
  <c r="D39" i="247"/>
  <c r="BT237" i="10"/>
  <c r="BT231" i="10"/>
  <c r="BT181" i="5"/>
  <c r="BV61" i="10"/>
  <c r="BV104" i="10"/>
  <c r="V192" i="10"/>
  <c r="V158" i="10"/>
  <c r="V164" i="10" s="1"/>
  <c r="V92" i="10"/>
  <c r="AM102" i="10"/>
  <c r="AM60" i="10"/>
  <c r="AM90" i="10"/>
  <c r="AM58" i="10"/>
  <c r="BT247" i="10"/>
  <c r="CQ159" i="10"/>
  <c r="CR145" i="10"/>
  <c r="AF61" i="10"/>
  <c r="AF178" i="5"/>
  <c r="AF104" i="10"/>
  <c r="AA61" i="10"/>
  <c r="AA104" i="10"/>
  <c r="AA178" i="5"/>
  <c r="BO237" i="10"/>
  <c r="BO231" i="10"/>
  <c r="BO181" i="5"/>
  <c r="BP237" i="10"/>
  <c r="BP231" i="10"/>
  <c r="BP181" i="5"/>
  <c r="AL231" i="10"/>
  <c r="AL237" i="10"/>
  <c r="AL238" i="10" s="1"/>
  <c r="AS206" i="10"/>
  <c r="AW192" i="10"/>
  <c r="AW206" i="10" s="1"/>
  <c r="Y192" i="10"/>
  <c r="Y158" i="10"/>
  <c r="Y164" i="10" s="1"/>
  <c r="Y92" i="10"/>
  <c r="BQ158" i="10"/>
  <c r="BQ157" i="10" s="1"/>
  <c r="BQ92" i="10"/>
  <c r="O61" i="10"/>
  <c r="CF192" i="10"/>
  <c r="CF206" i="10" s="1"/>
  <c r="CF158" i="10"/>
  <c r="CF157" i="10" s="1"/>
  <c r="CF92" i="10"/>
  <c r="BN238" i="10"/>
  <c r="BN182" i="5"/>
  <c r="BN183" i="5" s="1"/>
  <c r="BJ247" i="10"/>
  <c r="BV192" i="10"/>
  <c r="AK192" i="10"/>
  <c r="AK206" i="10" s="1"/>
  <c r="AK158" i="10"/>
  <c r="AK157" i="10" s="1"/>
  <c r="AK164" i="10" s="1"/>
  <c r="AK92" i="10"/>
  <c r="AE61" i="10"/>
  <c r="AJ237" i="10"/>
  <c r="AJ238" i="10" s="1"/>
  <c r="AJ231" i="10"/>
  <c r="AV244" i="10"/>
  <c r="AV247" i="10" s="1"/>
  <c r="AV245" i="10"/>
  <c r="AV25" i="10"/>
  <c r="AV26" i="10" s="1"/>
  <c r="U192" i="10"/>
  <c r="U158" i="10"/>
  <c r="U164" i="10" s="1"/>
  <c r="U92" i="10"/>
  <c r="BD176" i="10"/>
  <c r="R192" i="10"/>
  <c r="R158" i="10"/>
  <c r="R164" i="10" s="1"/>
  <c r="R92" i="10"/>
  <c r="Z245" i="10"/>
  <c r="Z244" i="10"/>
  <c r="Z25" i="10"/>
  <c r="Z26" i="10" s="1"/>
  <c r="AX231" i="10"/>
  <c r="AX237" i="10"/>
  <c r="AX181" i="5"/>
  <c r="CA259" i="10"/>
  <c r="CA260" i="10" s="1"/>
  <c r="CA264" i="10"/>
  <c r="CA265" i="10" s="1"/>
  <c r="CA186" i="5"/>
  <c r="CA21" i="10" s="1"/>
  <c r="BC92" i="5"/>
  <c r="BC23" i="5"/>
  <c r="BC24" i="5"/>
  <c r="BD24" i="5"/>
  <c r="BM92" i="5"/>
  <c r="BM24" i="5"/>
  <c r="BM23" i="5"/>
  <c r="BR23" i="5"/>
  <c r="BH92" i="5"/>
  <c r="BH24" i="5"/>
  <c r="BH23" i="5"/>
  <c r="CV168" i="5"/>
  <c r="CA152" i="5"/>
  <c r="BL84" i="5"/>
  <c r="BL88" i="5" s="1"/>
  <c r="BL90" i="5" s="1"/>
  <c r="BL68" i="5"/>
  <c r="BL28" i="5"/>
  <c r="BL10" i="5"/>
  <c r="BH47" i="5"/>
  <c r="BH46" i="5"/>
  <c r="BH48" i="5"/>
  <c r="BH40" i="5"/>
  <c r="BH43" i="5"/>
  <c r="BL38" i="5"/>
  <c r="BL100" i="10" s="1"/>
  <c r="BH39" i="5"/>
  <c r="BH105" i="5"/>
  <c r="BH95" i="5"/>
  <c r="BL95" i="5" s="1"/>
  <c r="BH45" i="5"/>
  <c r="CY105" i="5"/>
  <c r="CY61" i="5"/>
  <c r="CY60" i="5" s="1"/>
  <c r="CY48" i="5"/>
  <c r="CY39" i="5"/>
  <c r="CY40" i="5"/>
  <c r="CY45" i="5"/>
  <c r="CY43" i="5"/>
  <c r="CY47" i="5"/>
  <c r="CY46" i="5"/>
  <c r="CQ189" i="5"/>
  <c r="CQ63" i="5"/>
  <c r="CO189" i="5"/>
  <c r="CO63" i="5"/>
  <c r="H34" i="247" s="1"/>
  <c r="BH44" i="5"/>
  <c r="CR189" i="5"/>
  <c r="CR63" i="5"/>
  <c r="BI40" i="5"/>
  <c r="CU61" i="5"/>
  <c r="CU64" i="5" s="1"/>
  <c r="CG96" i="5"/>
  <c r="CK94" i="5"/>
  <c r="CQ153" i="5"/>
  <c r="CO150" i="5"/>
  <c r="CO148" i="5" s="1"/>
  <c r="BW96" i="5"/>
  <c r="CA94" i="5"/>
  <c r="CN189" i="5"/>
  <c r="CN63" i="5"/>
  <c r="G34" i="247" s="1"/>
  <c r="BF98" i="5"/>
  <c r="BF97" i="5" s="1"/>
  <c r="CX190" i="5"/>
  <c r="CX59" i="5"/>
  <c r="BB191" i="5"/>
  <c r="AY58" i="5"/>
  <c r="AX58" i="5"/>
  <c r="BA58" i="5"/>
  <c r="AZ58" i="5"/>
  <c r="BB63" i="5"/>
  <c r="CZ44" i="5"/>
  <c r="CT190" i="5"/>
  <c r="CT59" i="5"/>
  <c r="BC48" i="5"/>
  <c r="BC61" i="5"/>
  <c r="BC47" i="5"/>
  <c r="BC43" i="5"/>
  <c r="BC39" i="5"/>
  <c r="BC46" i="5"/>
  <c r="BG38" i="5"/>
  <c r="BG100" i="10" s="1"/>
  <c r="BG102" i="10" s="1"/>
  <c r="BC40" i="5"/>
  <c r="BC105" i="5"/>
  <c r="BC95" i="5"/>
  <c r="BG95" i="5" s="1"/>
  <c r="BC45" i="5"/>
  <c r="CL96" i="5"/>
  <c r="CD154" i="5"/>
  <c r="CD151" i="5"/>
  <c r="CI152" i="5"/>
  <c r="CJ153" i="5"/>
  <c r="CJ152" i="5" s="1"/>
  <c r="CW105" i="5"/>
  <c r="CW61" i="5"/>
  <c r="CW60" i="5" s="1"/>
  <c r="CW40" i="5"/>
  <c r="CW48" i="5"/>
  <c r="CW39" i="5"/>
  <c r="CW45" i="5"/>
  <c r="CW43" i="5"/>
  <c r="CW46" i="5"/>
  <c r="CW47" i="5"/>
  <c r="BI92" i="5"/>
  <c r="BI94" i="5" s="1"/>
  <c r="BI96" i="5" s="1"/>
  <c r="BI24" i="5"/>
  <c r="BI23" i="5"/>
  <c r="CX40" i="5"/>
  <c r="BD96" i="5"/>
  <c r="CQ134" i="5"/>
  <c r="BO152" i="5"/>
  <c r="BP153" i="5"/>
  <c r="BQ153" i="5" s="1"/>
  <c r="CM190" i="5"/>
  <c r="CP60" i="5"/>
  <c r="CP190" i="5" s="1"/>
  <c r="CM59" i="5"/>
  <c r="CD153" i="5"/>
  <c r="CC152" i="5"/>
  <c r="CL153" i="5"/>
  <c r="BC44" i="5"/>
  <c r="BQ68" i="5"/>
  <c r="BQ84" i="5"/>
  <c r="BQ88" i="5" s="1"/>
  <c r="BQ90" i="5" s="1"/>
  <c r="BQ28" i="5"/>
  <c r="BQ10" i="5"/>
  <c r="BV28" i="5"/>
  <c r="CE154" i="5"/>
  <c r="CE151" i="5"/>
  <c r="CK154" i="5"/>
  <c r="BW98" i="5"/>
  <c r="BU97" i="5"/>
  <c r="CY163" i="5"/>
  <c r="CY170" i="5" s="1"/>
  <c r="CY168" i="5" s="1"/>
  <c r="CY130" i="5"/>
  <c r="CO166" i="5"/>
  <c r="CN165" i="5"/>
  <c r="CN12" i="10" s="1"/>
  <c r="BR96" i="5"/>
  <c r="BV94" i="5"/>
  <c r="BN92" i="5"/>
  <c r="BN94" i="5" s="1"/>
  <c r="BN96" i="5" s="1"/>
  <c r="BN24" i="5"/>
  <c r="BN23" i="5"/>
  <c r="BS23" i="5"/>
  <c r="BO24" i="5"/>
  <c r="CS190" i="5"/>
  <c r="CS59" i="5"/>
  <c r="BM152" i="5"/>
  <c r="CZ105" i="5"/>
  <c r="CZ48" i="5"/>
  <c r="CZ45" i="5"/>
  <c r="CZ39" i="5"/>
  <c r="CZ47" i="5"/>
  <c r="BK98" i="5"/>
  <c r="BK97" i="5" s="1"/>
  <c r="CV60" i="5"/>
  <c r="CZ61" i="5"/>
  <c r="BG58" i="5"/>
  <c r="BD55" i="5"/>
  <c r="BC55" i="5"/>
  <c r="BF55" i="5"/>
  <c r="BE55" i="5"/>
  <c r="BJ53" i="5"/>
  <c r="BJ69" i="5" s="1"/>
  <c r="BQ53" i="5"/>
  <c r="BI53" i="5"/>
  <c r="BI69" i="5" s="1"/>
  <c r="BH53" i="5"/>
  <c r="BH69" i="5" s="1"/>
  <c r="BK53" i="5"/>
  <c r="BK69" i="5" s="1"/>
  <c r="BL69" i="5"/>
  <c r="BL55" i="5"/>
  <c r="BD40" i="5"/>
  <c r="CL98" i="5"/>
  <c r="CZ157" i="5"/>
  <c r="CZ130" i="5"/>
  <c r="BG84" i="5"/>
  <c r="BG88" i="5" s="1"/>
  <c r="BG90" i="5" s="1"/>
  <c r="BG68" i="5"/>
  <c r="BG44" i="5"/>
  <c r="BG28" i="5"/>
  <c r="BG22" i="5"/>
  <c r="BG23" i="5" s="1"/>
  <c r="BG10" i="5"/>
  <c r="CP64" i="5"/>
  <c r="BO54" i="5"/>
  <c r="BO70" i="5" s="1"/>
  <c r="BV54" i="5"/>
  <c r="BN54" i="5"/>
  <c r="BN70" i="5" s="1"/>
  <c r="BM54" i="5"/>
  <c r="BM70" i="5" s="1"/>
  <c r="BP54" i="5"/>
  <c r="BP70" i="5" s="1"/>
  <c r="BQ70" i="5"/>
  <c r="BM105" i="5"/>
  <c r="BM46" i="5"/>
  <c r="BQ38" i="5"/>
  <c r="BQ100" i="10" s="1"/>
  <c r="BQ102" i="10" s="1"/>
  <c r="BM48" i="5"/>
  <c r="BM47" i="5"/>
  <c r="BM39" i="5"/>
  <c r="BM43" i="5"/>
  <c r="BM40" i="5"/>
  <c r="BR39" i="5"/>
  <c r="BM95" i="5"/>
  <c r="BQ95" i="5" s="1"/>
  <c r="BM45" i="5"/>
  <c r="CC98" i="5"/>
  <c r="CC97" i="5" s="1"/>
  <c r="CF96" i="5"/>
  <c r="CB97" i="5"/>
  <c r="BN40" i="5"/>
  <c r="BR153" i="5"/>
  <c r="CQ154" i="5"/>
  <c r="BR67" i="5"/>
  <c r="BV51" i="5"/>
  <c r="BQ22" i="5" l="1"/>
  <c r="CP148" i="5"/>
  <c r="AB13" i="271" s="1"/>
  <c r="AA13" i="271"/>
  <c r="CO36" i="10"/>
  <c r="AI74" i="4"/>
  <c r="BM102" i="10"/>
  <c r="BM101" i="10"/>
  <c r="BG101" i="10"/>
  <c r="AH75" i="4"/>
  <c r="CT7" i="5"/>
  <c r="CS145" i="5"/>
  <c r="CS146" i="5" s="1"/>
  <c r="BL101" i="10"/>
  <c r="BL102" i="10"/>
  <c r="BL44" i="5"/>
  <c r="BC101" i="10"/>
  <c r="BC102" i="10"/>
  <c r="CP11" i="10"/>
  <c r="P74" i="4"/>
  <c r="CB14" i="258"/>
  <c r="CB15" i="258" s="1"/>
  <c r="CK137" i="258"/>
  <c r="BY112" i="258"/>
  <c r="BZ110" i="258" s="1"/>
  <c r="BY113" i="258"/>
  <c r="BY114" i="258" s="1"/>
  <c r="BZ16" i="258"/>
  <c r="BF81" i="258"/>
  <c r="BF82" i="258" s="1"/>
  <c r="BF83" i="258" s="1"/>
  <c r="BI137" i="258"/>
  <c r="BI136" i="258"/>
  <c r="AY65" i="258"/>
  <c r="AY66" i="258" s="1"/>
  <c r="AY67" i="258" s="1"/>
  <c r="BA72" i="258"/>
  <c r="BB72" i="258" s="1"/>
  <c r="BC70" i="258" s="1"/>
  <c r="BA73" i="258"/>
  <c r="BA74" i="258" s="1"/>
  <c r="BA75" i="258" s="1"/>
  <c r="AY49" i="258"/>
  <c r="AY50" i="258" s="1"/>
  <c r="AU137" i="258"/>
  <c r="BL133" i="258"/>
  <c r="BD24" i="258"/>
  <c r="BE22" i="258" s="1"/>
  <c r="AZ33" i="258"/>
  <c r="AZ34" i="258" s="1"/>
  <c r="AZ32" i="258"/>
  <c r="BA30" i="258" s="1"/>
  <c r="AZ41" i="258"/>
  <c r="AZ42" i="258" s="1"/>
  <c r="AZ40" i="258"/>
  <c r="BA38" i="258" s="1"/>
  <c r="BJ97" i="258"/>
  <c r="BJ98" i="258" s="1"/>
  <c r="CC14" i="258"/>
  <c r="CC15" i="258" s="1"/>
  <c r="CC12" i="258"/>
  <c r="BH80" i="258"/>
  <c r="BI78" i="258" s="1"/>
  <c r="CP133" i="258"/>
  <c r="AX97" i="258"/>
  <c r="AX98" i="258" s="1"/>
  <c r="AX57" i="258"/>
  <c r="AX58" i="258" s="1"/>
  <c r="AW137" i="258"/>
  <c r="AY81" i="258"/>
  <c r="AY82" i="258" s="1"/>
  <c r="AY83" i="258" s="1"/>
  <c r="CW14" i="258"/>
  <c r="CW15" i="258" s="1"/>
  <c r="CW12" i="258"/>
  <c r="BX104" i="258"/>
  <c r="BY102" i="258" s="1"/>
  <c r="BK96" i="258"/>
  <c r="BL96" i="258" s="1"/>
  <c r="BM94" i="258" s="1"/>
  <c r="BN24" i="258"/>
  <c r="BO22" i="258" s="1"/>
  <c r="BN25" i="258"/>
  <c r="BN26" i="258" s="1"/>
  <c r="BN16" i="258"/>
  <c r="P31" i="247"/>
  <c r="CR14" i="258"/>
  <c r="CR15" i="258" s="1"/>
  <c r="CR12" i="258"/>
  <c r="AY88" i="258"/>
  <c r="AZ86" i="258" s="1"/>
  <c r="AY51" i="258"/>
  <c r="AY96" i="258"/>
  <c r="AZ94" i="258" s="1"/>
  <c r="AY56" i="258"/>
  <c r="AZ54" i="258" s="1"/>
  <c r="BL136" i="258"/>
  <c r="CV130" i="10"/>
  <c r="O31" i="247"/>
  <c r="BX115" i="258"/>
  <c r="BN156" i="258"/>
  <c r="BN157" i="258" s="1"/>
  <c r="BN159" i="258" s="1"/>
  <c r="BN160" i="258" s="1"/>
  <c r="BN133" i="258"/>
  <c r="CQ130" i="10"/>
  <c r="BK27" i="258"/>
  <c r="AZ64" i="258"/>
  <c r="BA62" i="258" s="1"/>
  <c r="AZ48" i="258"/>
  <c r="BA46" i="258" s="1"/>
  <c r="M76" i="4"/>
  <c r="C77" i="4"/>
  <c r="I76" i="4"/>
  <c r="AJ75" i="4"/>
  <c r="O237" i="10"/>
  <c r="O238" i="10" s="1"/>
  <c r="O231" i="10"/>
  <c r="Z247" i="10"/>
  <c r="CF237" i="10"/>
  <c r="CF238" i="10" s="1"/>
  <c r="CF231" i="10"/>
  <c r="AS237" i="10"/>
  <c r="AS231" i="10"/>
  <c r="AS181" i="5"/>
  <c r="BO238" i="10"/>
  <c r="BO182" i="5"/>
  <c r="BO183" i="5" s="1"/>
  <c r="AM61" i="10"/>
  <c r="AM104" i="10"/>
  <c r="BC238" i="10"/>
  <c r="BC182" i="5"/>
  <c r="BC183" i="5" s="1"/>
  <c r="CM244" i="10"/>
  <c r="CH247" i="10"/>
  <c r="X192" i="10"/>
  <c r="X206" i="10" s="1"/>
  <c r="X158" i="10"/>
  <c r="X92" i="10"/>
  <c r="AO102" i="10"/>
  <c r="AO58" i="10"/>
  <c r="AO90" i="10"/>
  <c r="AO60" i="10"/>
  <c r="AM192" i="10"/>
  <c r="AM206" i="10" s="1"/>
  <c r="AC247" i="10"/>
  <c r="CA159" i="10"/>
  <c r="CA164" i="10"/>
  <c r="N237" i="10"/>
  <c r="N238" i="10" s="1"/>
  <c r="N231" i="10"/>
  <c r="N233" i="10" s="1"/>
  <c r="AU238" i="10"/>
  <c r="AU182" i="5"/>
  <c r="AU183" i="5" s="1"/>
  <c r="S245" i="10"/>
  <c r="S244" i="10"/>
  <c r="S247" i="10" s="1"/>
  <c r="S25" i="10"/>
  <c r="S26" i="10" s="1"/>
  <c r="BQ23" i="10"/>
  <c r="BQ20" i="10"/>
  <c r="AD247" i="10"/>
  <c r="AW104" i="10"/>
  <c r="CH238" i="10"/>
  <c r="CH182" i="5"/>
  <c r="CH183" i="5" s="1"/>
  <c r="S192" i="10"/>
  <c r="S158" i="10"/>
  <c r="S92" i="10"/>
  <c r="AR178" i="10"/>
  <c r="AR97" i="10"/>
  <c r="CB238" i="10"/>
  <c r="CB182" i="5"/>
  <c r="CB183" i="5" s="1"/>
  <c r="BB61" i="10"/>
  <c r="AB158" i="10"/>
  <c r="AB164" i="10" s="1"/>
  <c r="AC159" i="10"/>
  <c r="AC164" i="10" s="1"/>
  <c r="AG192" i="10"/>
  <c r="AG158" i="10"/>
  <c r="AG157" i="10" s="1"/>
  <c r="AG164" i="10" s="1"/>
  <c r="AG92" i="10"/>
  <c r="BO247" i="10"/>
  <c r="BY238" i="10"/>
  <c r="BY182" i="5"/>
  <c r="BY183" i="5" s="1"/>
  <c r="V247" i="10"/>
  <c r="AH159" i="10"/>
  <c r="AH164" i="10"/>
  <c r="CO244" i="10"/>
  <c r="CJ247" i="10"/>
  <c r="AG247" i="10"/>
  <c r="AB247" i="10"/>
  <c r="BZ101" i="10"/>
  <c r="BZ98" i="10"/>
  <c r="CD176" i="10"/>
  <c r="CD179" i="10"/>
  <c r="CC176" i="10"/>
  <c r="BZ179" i="10"/>
  <c r="CC179" i="10"/>
  <c r="BZ176" i="10"/>
  <c r="CB176" i="10"/>
  <c r="CB179" i="10"/>
  <c r="L231" i="10"/>
  <c r="L233" i="10" s="1"/>
  <c r="L235" i="10" s="1"/>
  <c r="L237" i="10"/>
  <c r="L238" i="10" s="1"/>
  <c r="X244" i="10"/>
  <c r="X245" i="10"/>
  <c r="X25" i="10"/>
  <c r="X26" i="10" s="1"/>
  <c r="CS141" i="10"/>
  <c r="CF23" i="10"/>
  <c r="CF20" i="10"/>
  <c r="Y247" i="10"/>
  <c r="CE244" i="10"/>
  <c r="CE245" i="10"/>
  <c r="CE25" i="10"/>
  <c r="CE26" i="10" s="1"/>
  <c r="BD238" i="10"/>
  <c r="BD182" i="5"/>
  <c r="BD183" i="5" s="1"/>
  <c r="BB159" i="10"/>
  <c r="BB164" i="10"/>
  <c r="CA95" i="10"/>
  <c r="CA97" i="10" s="1"/>
  <c r="CA19" i="10"/>
  <c r="AK237" i="10"/>
  <c r="AK231" i="10"/>
  <c r="AK181" i="5"/>
  <c r="CS73" i="10"/>
  <c r="CT76" i="10"/>
  <c r="AI237" i="10"/>
  <c r="AI231" i="10"/>
  <c r="AI181" i="5"/>
  <c r="CA237" i="10"/>
  <c r="CA238" i="10" s="1"/>
  <c r="CA231" i="10"/>
  <c r="P245" i="10"/>
  <c r="P244" i="10"/>
  <c r="P247" i="10" s="1"/>
  <c r="P25" i="10"/>
  <c r="P26" i="10" s="1"/>
  <c r="BQ179" i="10"/>
  <c r="BQ98" i="10"/>
  <c r="BQ101" i="10"/>
  <c r="BQ176" i="10"/>
  <c r="CV117" i="10"/>
  <c r="CQ244" i="10"/>
  <c r="CL247" i="10"/>
  <c r="AT238" i="10"/>
  <c r="AT182" i="5"/>
  <c r="AT183" i="5" s="1"/>
  <c r="M244" i="10"/>
  <c r="M245" i="10"/>
  <c r="M25" i="10"/>
  <c r="M26" i="10" s="1"/>
  <c r="S104" i="10"/>
  <c r="S61" i="10"/>
  <c r="AR57" i="10"/>
  <c r="AR49" i="10"/>
  <c r="AR52" i="10"/>
  <c r="CP259" i="10"/>
  <c r="CK262" i="10"/>
  <c r="AC237" i="10"/>
  <c r="AC238" i="10" s="1"/>
  <c r="AC231" i="10"/>
  <c r="CL237" i="10"/>
  <c r="CL231" i="10"/>
  <c r="CL181" i="5"/>
  <c r="AV238" i="10"/>
  <c r="AV182" i="5"/>
  <c r="AV183" i="5" s="1"/>
  <c r="CT245" i="10"/>
  <c r="AZ238" i="10"/>
  <c r="AZ182" i="5"/>
  <c r="AZ183" i="5" s="1"/>
  <c r="AP237" i="10"/>
  <c r="AP231" i="10"/>
  <c r="AP181" i="5"/>
  <c r="CK23" i="10"/>
  <c r="CK20" i="10"/>
  <c r="CF179" i="10"/>
  <c r="CF101" i="10"/>
  <c r="CF98" i="10"/>
  <c r="CF176" i="10"/>
  <c r="BX238" i="10"/>
  <c r="BX182" i="5"/>
  <c r="BX183" i="5" s="1"/>
  <c r="BM237" i="10"/>
  <c r="BM231" i="10"/>
  <c r="BM181" i="5"/>
  <c r="AO98" i="10"/>
  <c r="AO101" i="10"/>
  <c r="AO180" i="5"/>
  <c r="AS176" i="10"/>
  <c r="AS179" i="10"/>
  <c r="AP179" i="10"/>
  <c r="AO176" i="10"/>
  <c r="AQ179" i="10"/>
  <c r="AP176" i="10"/>
  <c r="AO179" i="10"/>
  <c r="AQ176" i="10"/>
  <c r="BB206" i="10"/>
  <c r="BA192" i="10"/>
  <c r="BA206" i="10" s="1"/>
  <c r="AX238" i="10"/>
  <c r="AX182" i="5"/>
  <c r="AX183" i="5" s="1"/>
  <c r="BP238" i="10"/>
  <c r="BP182" i="5"/>
  <c r="BP183" i="5" s="1"/>
  <c r="BT238" i="10"/>
  <c r="BT182" i="5"/>
  <c r="BT183" i="5" s="1"/>
  <c r="CR245" i="10"/>
  <c r="BV206" i="10"/>
  <c r="K42" i="247"/>
  <c r="Y194" i="10"/>
  <c r="Y206" i="10"/>
  <c r="CR74" i="10"/>
  <c r="CR224" i="10"/>
  <c r="CN244" i="10"/>
  <c r="CI247" i="10"/>
  <c r="BS238" i="10"/>
  <c r="BS182" i="5"/>
  <c r="BS183" i="5" s="1"/>
  <c r="BU238" i="10"/>
  <c r="BU182" i="5"/>
  <c r="BU183" i="5" s="1"/>
  <c r="W247" i="10"/>
  <c r="AY238" i="10"/>
  <c r="AY182" i="5"/>
  <c r="AY183" i="5" s="1"/>
  <c r="CV245" i="10"/>
  <c r="CK61" i="10"/>
  <c r="CK104" i="10"/>
  <c r="AW158" i="10"/>
  <c r="AW157" i="10" s="1"/>
  <c r="AW92" i="10"/>
  <c r="CP253" i="10"/>
  <c r="CK257" i="10"/>
  <c r="BA244" i="10"/>
  <c r="BA245" i="10"/>
  <c r="BA25" i="10"/>
  <c r="BA26" i="10" s="1"/>
  <c r="AG61" i="10"/>
  <c r="AG104" i="10"/>
  <c r="AL61" i="10"/>
  <c r="BI238" i="10"/>
  <c r="BI182" i="5"/>
  <c r="BI183" i="5" s="1"/>
  <c r="BG61" i="10"/>
  <c r="BG104" i="10"/>
  <c r="BB247" i="10"/>
  <c r="BJ238" i="10"/>
  <c r="BJ182" i="5"/>
  <c r="BJ183" i="5" s="1"/>
  <c r="CC238" i="10"/>
  <c r="CC182" i="5"/>
  <c r="CC183" i="5" s="1"/>
  <c r="BL247" i="10"/>
  <c r="AD206" i="10"/>
  <c r="AD194" i="10"/>
  <c r="AH192" i="10"/>
  <c r="AH206" i="10" s="1"/>
  <c r="AN247" i="10"/>
  <c r="BE238" i="10"/>
  <c r="BE182" i="5"/>
  <c r="BE183" i="5" s="1"/>
  <c r="BR238" i="10"/>
  <c r="BR182" i="5"/>
  <c r="BR183" i="5" s="1"/>
  <c r="BY247" i="10"/>
  <c r="P104" i="10"/>
  <c r="P61" i="10"/>
  <c r="N247" i="10"/>
  <c r="CJ237" i="10"/>
  <c r="CJ231" i="10"/>
  <c r="CJ181" i="5"/>
  <c r="T194" i="10"/>
  <c r="BQ237" i="10"/>
  <c r="BQ231" i="10"/>
  <c r="BQ181" i="5"/>
  <c r="BL159" i="10"/>
  <c r="BL164" i="10"/>
  <c r="Z237" i="10"/>
  <c r="Z231" i="10"/>
  <c r="AA194" i="10"/>
  <c r="Z181" i="5"/>
  <c r="AN206" i="10"/>
  <c r="CF159" i="10"/>
  <c r="CF164" i="10"/>
  <c r="BQ159" i="10"/>
  <c r="BQ164" i="10"/>
  <c r="AW237" i="10"/>
  <c r="AW231" i="10"/>
  <c r="AW181" i="5"/>
  <c r="CR159" i="10"/>
  <c r="CS145" i="10"/>
  <c r="AM158" i="10"/>
  <c r="AM157" i="10" s="1"/>
  <c r="AM92" i="10"/>
  <c r="CS245" i="10"/>
  <c r="X104" i="10"/>
  <c r="X61" i="10"/>
  <c r="N164" i="10"/>
  <c r="N159" i="10"/>
  <c r="CG238" i="10"/>
  <c r="CG182" i="5"/>
  <c r="CG183" i="5" s="1"/>
  <c r="BG245" i="10"/>
  <c r="BG244" i="10"/>
  <c r="BG247" i="10" s="1"/>
  <c r="BG25" i="10"/>
  <c r="BG26" i="10" s="1"/>
  <c r="CK192" i="10"/>
  <c r="CK206" i="10" s="1"/>
  <c r="CK158" i="10"/>
  <c r="CK157" i="10" s="1"/>
  <c r="CK92" i="10"/>
  <c r="AR32" i="10"/>
  <c r="AR19" i="10"/>
  <c r="Q237" i="10"/>
  <c r="Q238" i="10" s="1"/>
  <c r="Q231" i="10"/>
  <c r="BG192" i="10"/>
  <c r="BG206" i="10" s="1"/>
  <c r="BG158" i="10"/>
  <c r="BG157" i="10" s="1"/>
  <c r="BG92" i="10"/>
  <c r="CR63" i="10"/>
  <c r="BZ238" i="10"/>
  <c r="BZ182" i="5"/>
  <c r="BZ183" i="5" s="1"/>
  <c r="CI238" i="10"/>
  <c r="CI182" i="5"/>
  <c r="CI183" i="5" s="1"/>
  <c r="BZ23" i="10"/>
  <c r="BZ20" i="10"/>
  <c r="CR160" i="10"/>
  <c r="CS146" i="10"/>
  <c r="CR156" i="10"/>
  <c r="AQ238" i="10"/>
  <c r="AQ182" i="5"/>
  <c r="AQ183" i="5" s="1"/>
  <c r="AW244" i="10"/>
  <c r="AW245" i="10"/>
  <c r="AW25" i="10"/>
  <c r="AW26" i="10" s="1"/>
  <c r="AA206" i="10"/>
  <c r="P192" i="10"/>
  <c r="P158" i="10"/>
  <c r="P164" i="10" s="1"/>
  <c r="P92" i="10"/>
  <c r="J237" i="10"/>
  <c r="J238" i="10" s="1"/>
  <c r="J231" i="10"/>
  <c r="J233" i="10" s="1"/>
  <c r="BH238" i="10"/>
  <c r="BH182" i="5"/>
  <c r="BH183" i="5" s="1"/>
  <c r="BL206" i="10"/>
  <c r="BK192" i="10"/>
  <c r="BK206" i="10" s="1"/>
  <c r="M192" i="10"/>
  <c r="M206" i="10" s="1"/>
  <c r="M158" i="10"/>
  <c r="M164" i="10" s="1"/>
  <c r="M92" i="10"/>
  <c r="BP152" i="5"/>
  <c r="CF97" i="5"/>
  <c r="BL58" i="5"/>
  <c r="BH55" i="5"/>
  <c r="BK55" i="5"/>
  <c r="BJ55" i="5"/>
  <c r="BI55" i="5"/>
  <c r="CS189" i="5"/>
  <c r="CS63" i="5"/>
  <c r="CP153" i="5"/>
  <c r="CL152" i="5"/>
  <c r="CP152" i="5" s="1"/>
  <c r="BJ98" i="5"/>
  <c r="BJ97" i="5" s="1"/>
  <c r="CW190" i="5"/>
  <c r="CW59" i="5"/>
  <c r="CD152" i="5"/>
  <c r="CE153" i="5"/>
  <c r="CF153" i="5" s="1"/>
  <c r="BG105" i="5"/>
  <c r="BG48" i="5"/>
  <c r="BG39" i="5"/>
  <c r="BG47" i="5"/>
  <c r="BG46" i="5"/>
  <c r="BG45" i="5"/>
  <c r="BG43" i="5"/>
  <c r="AZ191" i="5"/>
  <c r="AZ63" i="5"/>
  <c r="BV67" i="5"/>
  <c r="BV153" i="5"/>
  <c r="BR152" i="5"/>
  <c r="BV152" i="5" s="1"/>
  <c r="CF98" i="5"/>
  <c r="BV53" i="5"/>
  <c r="BN53" i="5"/>
  <c r="BN69" i="5" s="1"/>
  <c r="BM53" i="5"/>
  <c r="BM69" i="5" s="1"/>
  <c r="BP53" i="5"/>
  <c r="BP69" i="5" s="1"/>
  <c r="BO53" i="5"/>
  <c r="BO69" i="5" s="1"/>
  <c r="BQ69" i="5"/>
  <c r="BQ55" i="5"/>
  <c r="CV190" i="5"/>
  <c r="CZ60" i="5"/>
  <c r="CZ190" i="5" s="1"/>
  <c r="CV59" i="5"/>
  <c r="BS98" i="5"/>
  <c r="BV96" i="5"/>
  <c r="BR97" i="5"/>
  <c r="CE152" i="5"/>
  <c r="CG153" i="5"/>
  <c r="BV23" i="5"/>
  <c r="CR136" i="5"/>
  <c r="CR154" i="5" s="1"/>
  <c r="CQ132" i="5"/>
  <c r="CQ11" i="10" s="1"/>
  <c r="BC64" i="5"/>
  <c r="BG61" i="5"/>
  <c r="BG64" i="5" s="1"/>
  <c r="BA191" i="5"/>
  <c r="BA63" i="5"/>
  <c r="CX189" i="5"/>
  <c r="CX63" i="5"/>
  <c r="BW97" i="5"/>
  <c r="CA97" i="5" s="1"/>
  <c r="BX98" i="5"/>
  <c r="BX97" i="5" s="1"/>
  <c r="CA96" i="5"/>
  <c r="CK96" i="5"/>
  <c r="CH98" i="5"/>
  <c r="CG97" i="5"/>
  <c r="CU59" i="5"/>
  <c r="BL105" i="5"/>
  <c r="BL48" i="5"/>
  <c r="BL39" i="5"/>
  <c r="BL47" i="5"/>
  <c r="BL46" i="5"/>
  <c r="BL45" i="5"/>
  <c r="BL43" i="5"/>
  <c r="BL22" i="5"/>
  <c r="BL23" i="5" s="1"/>
  <c r="AX191" i="5"/>
  <c r="AX63" i="5"/>
  <c r="CZ168" i="5"/>
  <c r="BH94" i="5"/>
  <c r="BL92" i="5"/>
  <c r="BS54" i="5"/>
  <c r="BS70" i="5" s="1"/>
  <c r="BR54" i="5"/>
  <c r="BR70" i="5" s="1"/>
  <c r="BU54" i="5"/>
  <c r="BU70" i="5" s="1"/>
  <c r="BT54" i="5"/>
  <c r="BT70" i="5" s="1"/>
  <c r="BV70" i="5"/>
  <c r="BQ152" i="5"/>
  <c r="BQ105" i="5"/>
  <c r="BQ45" i="5"/>
  <c r="BQ48" i="5"/>
  <c r="BQ39" i="5"/>
  <c r="BQ47" i="5"/>
  <c r="BQ46" i="5"/>
  <c r="BQ43" i="5"/>
  <c r="BV39" i="5"/>
  <c r="BG191" i="5"/>
  <c r="BD58" i="5"/>
  <c r="BG63" i="5"/>
  <c r="BC58" i="5"/>
  <c r="BF58" i="5"/>
  <c r="BE58" i="5"/>
  <c r="BO98" i="5"/>
  <c r="BO97" i="5" s="1"/>
  <c r="CQ166" i="5"/>
  <c r="CO165" i="5"/>
  <c r="CP166" i="5"/>
  <c r="CA98" i="5"/>
  <c r="BQ44" i="5"/>
  <c r="CM189" i="5"/>
  <c r="CM63" i="5"/>
  <c r="F34" i="247" s="1"/>
  <c r="CP59" i="5"/>
  <c r="BE98" i="5"/>
  <c r="BE97" i="5" s="1"/>
  <c r="CL97" i="5"/>
  <c r="CT189" i="5"/>
  <c r="CT63" i="5"/>
  <c r="AY191" i="5"/>
  <c r="AY63" i="5"/>
  <c r="CP150" i="5"/>
  <c r="CQ151" i="5"/>
  <c r="CY190" i="5"/>
  <c r="CY59" i="5"/>
  <c r="CZ170" i="5"/>
  <c r="BM94" i="5"/>
  <c r="BQ92" i="5"/>
  <c r="BC94" i="5"/>
  <c r="BG92" i="5"/>
  <c r="AH76" i="4" l="1"/>
  <c r="CT145" i="5"/>
  <c r="CT146" i="5" s="1"/>
  <c r="CV7" i="5"/>
  <c r="CP165" i="5"/>
  <c r="CP12" i="10" s="1"/>
  <c r="CO12" i="10"/>
  <c r="AI75" i="4"/>
  <c r="O75" i="4"/>
  <c r="P75" i="4" s="1"/>
  <c r="CF152" i="5"/>
  <c r="CU7" i="5"/>
  <c r="CU145" i="5" s="1"/>
  <c r="CU146" i="5" s="1"/>
  <c r="CP36" i="10"/>
  <c r="BA48" i="258"/>
  <c r="BB48" i="258" s="1"/>
  <c r="BC46" i="258" s="1"/>
  <c r="BA49" i="258"/>
  <c r="BA50" i="258" s="1"/>
  <c r="AZ56" i="258"/>
  <c r="BA54" i="258" s="1"/>
  <c r="AZ57" i="258"/>
  <c r="AZ58" i="258" s="1"/>
  <c r="BM97" i="258"/>
  <c r="BM98" i="258" s="1"/>
  <c r="BM96" i="258"/>
  <c r="BN94" i="258" s="1"/>
  <c r="AX119" i="258"/>
  <c r="AX146" i="258" s="1"/>
  <c r="BN27" i="258"/>
  <c r="BN136" i="258"/>
  <c r="BQ136" i="258" s="1"/>
  <c r="BQ133" i="258"/>
  <c r="AY57" i="258"/>
  <c r="AY58" i="258" s="1"/>
  <c r="CR16" i="258"/>
  <c r="BK97" i="258"/>
  <c r="BK98" i="258" s="1"/>
  <c r="BK99" i="258" s="1"/>
  <c r="CW16" i="258"/>
  <c r="BA40" i="258"/>
  <c r="BB40" i="258" s="1"/>
  <c r="BC38" i="258" s="1"/>
  <c r="BA41" i="258"/>
  <c r="BA42" i="258" s="1"/>
  <c r="BA43" i="258" s="1"/>
  <c r="BD25" i="258"/>
  <c r="BD26" i="258" s="1"/>
  <c r="BA64" i="258"/>
  <c r="BB64" i="258" s="1"/>
  <c r="BC62" i="258" s="1"/>
  <c r="BY104" i="258"/>
  <c r="BZ102" i="258" s="1"/>
  <c r="BY105" i="258"/>
  <c r="BY106" i="258" s="1"/>
  <c r="AZ96" i="258"/>
  <c r="BA94" i="258" s="1"/>
  <c r="BA97" i="258" s="1"/>
  <c r="BA98" i="258" s="1"/>
  <c r="AZ97" i="258"/>
  <c r="AZ98" i="258" s="1"/>
  <c r="BA99" i="258" s="1"/>
  <c r="AZ88" i="258"/>
  <c r="BA86" i="258" s="1"/>
  <c r="BI80" i="258"/>
  <c r="BJ78" i="258" s="1"/>
  <c r="BI81" i="258"/>
  <c r="BI82" i="258" s="1"/>
  <c r="CC156" i="258"/>
  <c r="CC157" i="258" s="1"/>
  <c r="CC159" i="258" s="1"/>
  <c r="CC160" i="258" s="1"/>
  <c r="CC133" i="258"/>
  <c r="BE24" i="258"/>
  <c r="BE25" i="258" s="1"/>
  <c r="BE26" i="258" s="1"/>
  <c r="CB16" i="258"/>
  <c r="CB120" i="258" s="1"/>
  <c r="AZ49" i="258"/>
  <c r="AZ50" i="258" s="1"/>
  <c r="BA51" i="258" s="1"/>
  <c r="AZ65" i="258"/>
  <c r="AZ66" i="258" s="1"/>
  <c r="AY97" i="258"/>
  <c r="AY98" i="258" s="1"/>
  <c r="AY99" i="258" s="1"/>
  <c r="AY89" i="258"/>
  <c r="AY90" i="258" s="1"/>
  <c r="AY91" i="258" s="1"/>
  <c r="BO24" i="258"/>
  <c r="BP22" i="258" s="1"/>
  <c r="BX105" i="258"/>
  <c r="BX106" i="258" s="1"/>
  <c r="BX107" i="258" s="1"/>
  <c r="BH81" i="258"/>
  <c r="BH82" i="258" s="1"/>
  <c r="BI83" i="258" s="1"/>
  <c r="CC16" i="258"/>
  <c r="BA32" i="258"/>
  <c r="BB32" i="258" s="1"/>
  <c r="BC30" i="258" s="1"/>
  <c r="BL137" i="258"/>
  <c r="BC72" i="258"/>
  <c r="BZ112" i="258"/>
  <c r="CA112" i="258" s="1"/>
  <c r="CB110" i="258" s="1"/>
  <c r="BZ113" i="258"/>
  <c r="BZ114" i="258" s="1"/>
  <c r="BZ115" i="258" s="1"/>
  <c r="CR156" i="258"/>
  <c r="CR157" i="258" s="1"/>
  <c r="CR133" i="258"/>
  <c r="CW156" i="258"/>
  <c r="CW157" i="258" s="1"/>
  <c r="CW133" i="258"/>
  <c r="AJ76" i="4"/>
  <c r="I77" i="4"/>
  <c r="C78" i="4"/>
  <c r="M77" i="4"/>
  <c r="M237" i="10"/>
  <c r="M238" i="10" s="1"/>
  <c r="M231" i="10"/>
  <c r="M233" i="10" s="1"/>
  <c r="M235" i="10" s="1"/>
  <c r="AA237" i="10"/>
  <c r="AA231" i="10"/>
  <c r="AA181" i="5"/>
  <c r="CS160" i="10"/>
  <c r="CS156" i="10"/>
  <c r="CT146" i="10"/>
  <c r="CS63" i="10"/>
  <c r="AR23" i="10"/>
  <c r="AR20" i="10"/>
  <c r="CK237" i="10"/>
  <c r="CK238" i="10" s="1"/>
  <c r="CK231" i="10"/>
  <c r="AN237" i="10"/>
  <c r="AN231" i="10"/>
  <c r="AN181" i="5"/>
  <c r="Z238" i="10"/>
  <c r="Z182" i="5"/>
  <c r="Z183" i="5" s="1"/>
  <c r="AD237" i="10"/>
  <c r="AD231" i="10"/>
  <c r="AE194" i="10"/>
  <c r="AD181" i="5"/>
  <c r="CP256" i="10"/>
  <c r="CP254" i="10"/>
  <c r="CP260" i="10" s="1"/>
  <c r="CS244" i="10"/>
  <c r="CN247" i="10"/>
  <c r="Y237" i="10"/>
  <c r="Y231" i="10"/>
  <c r="Y181" i="5"/>
  <c r="CW117" i="10"/>
  <c r="CT244" i="10"/>
  <c r="CO247" i="10"/>
  <c r="S159" i="10"/>
  <c r="S164" i="10" s="1"/>
  <c r="S232" i="10"/>
  <c r="O232" i="10"/>
  <c r="N235" i="10"/>
  <c r="X237" i="10"/>
  <c r="X238" i="10" s="1"/>
  <c r="X231" i="10"/>
  <c r="BK237" i="10"/>
  <c r="BK238" i="10" s="1"/>
  <c r="BK231" i="10"/>
  <c r="AM159" i="10"/>
  <c r="AM164" i="10"/>
  <c r="BQ238" i="10"/>
  <c r="BQ182" i="5"/>
  <c r="BQ183" i="5" s="1"/>
  <c r="AW159" i="10"/>
  <c r="AW164" i="10"/>
  <c r="AB194" i="10"/>
  <c r="AB206" i="10" s="1"/>
  <c r="BM238" i="10"/>
  <c r="BM182" i="5"/>
  <c r="BM183" i="5" s="1"/>
  <c r="CL238" i="10"/>
  <c r="CL182" i="5"/>
  <c r="CL183" i="5" s="1"/>
  <c r="AR102" i="10"/>
  <c r="AR90" i="10"/>
  <c r="AR60" i="10"/>
  <c r="AR58" i="10"/>
  <c r="CT73" i="10"/>
  <c r="CU76" i="10"/>
  <c r="CV76" i="10" s="1"/>
  <c r="AK238" i="10"/>
  <c r="AK182" i="5"/>
  <c r="AK183" i="5" s="1"/>
  <c r="AR179" i="10"/>
  <c r="AR101" i="10"/>
  <c r="AR98" i="10"/>
  <c r="AR176" i="10"/>
  <c r="S194" i="10"/>
  <c r="AM237" i="10"/>
  <c r="AM238" i="10" s="1"/>
  <c r="AM231" i="10"/>
  <c r="P194" i="10"/>
  <c r="P206" i="10" s="1"/>
  <c r="CS159" i="10"/>
  <c r="CT145" i="10"/>
  <c r="AH231" i="10"/>
  <c r="AH237" i="10"/>
  <c r="AH238" i="10" s="1"/>
  <c r="BA247" i="10"/>
  <c r="CW245" i="10"/>
  <c r="BA237" i="10"/>
  <c r="BA238" i="10" s="1"/>
  <c r="BA231" i="10"/>
  <c r="CK245" i="10"/>
  <c r="CK244" i="10"/>
  <c r="CK247" i="10" s="1"/>
  <c r="CK25" i="10"/>
  <c r="CK26" i="10" s="1"/>
  <c r="AP238" i="10"/>
  <c r="AP182" i="5"/>
  <c r="AP183" i="5" s="1"/>
  <c r="CY245" i="10"/>
  <c r="CP261" i="10"/>
  <c r="CS74" i="10"/>
  <c r="CS224" i="10"/>
  <c r="CU73" i="10"/>
  <c r="CU74" i="10" s="1"/>
  <c r="CA23" i="10"/>
  <c r="CA20" i="10"/>
  <c r="CE247" i="10"/>
  <c r="CF244" i="10"/>
  <c r="CF245" i="10"/>
  <c r="CF25" i="10"/>
  <c r="CF26" i="10" s="1"/>
  <c r="X247" i="10"/>
  <c r="BQ244" i="10"/>
  <c r="BQ247" i="10" s="1"/>
  <c r="BQ245" i="10"/>
  <c r="BQ25" i="10"/>
  <c r="BQ26" i="10" s="1"/>
  <c r="AO104" i="10"/>
  <c r="AO61" i="10"/>
  <c r="AO178" i="5"/>
  <c r="AT61" i="10"/>
  <c r="CR244" i="10"/>
  <c r="CM247" i="10"/>
  <c r="AS238" i="10"/>
  <c r="AS182" i="5"/>
  <c r="AS183" i="5" s="1"/>
  <c r="O233" i="10"/>
  <c r="K232" i="10"/>
  <c r="K233" i="10" s="1"/>
  <c r="K235" i="10" s="1"/>
  <c r="J235" i="10"/>
  <c r="BL231" i="10"/>
  <c r="BL237" i="10"/>
  <c r="BL238" i="10" s="1"/>
  <c r="BG159" i="10"/>
  <c r="BG164" i="10"/>
  <c r="AW247" i="10"/>
  <c r="BZ245" i="10"/>
  <c r="BZ244" i="10"/>
  <c r="BZ247" i="10" s="1"/>
  <c r="BZ25" i="10"/>
  <c r="BZ26" i="10" s="1"/>
  <c r="BG237" i="10"/>
  <c r="BG238" i="10" s="1"/>
  <c r="BG231" i="10"/>
  <c r="CK159" i="10"/>
  <c r="CK164" i="10" s="1"/>
  <c r="CX245" i="10"/>
  <c r="AW238" i="10"/>
  <c r="AW182" i="5"/>
  <c r="AW183" i="5" s="1"/>
  <c r="T206" i="10"/>
  <c r="CJ238" i="10"/>
  <c r="CJ182" i="5"/>
  <c r="CJ183" i="5" s="1"/>
  <c r="BV237" i="10"/>
  <c r="BV231" i="10"/>
  <c r="BV181" i="5"/>
  <c r="K46" i="247"/>
  <c r="BB231" i="10"/>
  <c r="BB237" i="10"/>
  <c r="BB238" i="10" s="1"/>
  <c r="M247" i="10"/>
  <c r="CV244" i="10"/>
  <c r="CQ247" i="10"/>
  <c r="AI238" i="10"/>
  <c r="AI182" i="5"/>
  <c r="AI183" i="5" s="1"/>
  <c r="CA179" i="10"/>
  <c r="CA101" i="10"/>
  <c r="CA98" i="10"/>
  <c r="CA176" i="10"/>
  <c r="CT141" i="10"/>
  <c r="AO192" i="10"/>
  <c r="AO158" i="10"/>
  <c r="AO157" i="10" s="1"/>
  <c r="AO164" i="10" s="1"/>
  <c r="AO92" i="10"/>
  <c r="X159" i="10"/>
  <c r="X164" i="10" s="1"/>
  <c r="BC96" i="5"/>
  <c r="BG94" i="5"/>
  <c r="BC98" i="5"/>
  <c r="BM96" i="5"/>
  <c r="BQ94" i="5"/>
  <c r="BM98" i="5"/>
  <c r="CU189" i="5"/>
  <c r="CU63" i="5"/>
  <c r="H20" i="247" s="1"/>
  <c r="BR53" i="5"/>
  <c r="BR69" i="5" s="1"/>
  <c r="BU53" i="5"/>
  <c r="BU69" i="5" s="1"/>
  <c r="BT53" i="5"/>
  <c r="BT69" i="5" s="1"/>
  <c r="BS53" i="5"/>
  <c r="BS69" i="5" s="1"/>
  <c r="BV69" i="5"/>
  <c r="CR153" i="5"/>
  <c r="CQ150" i="5"/>
  <c r="CP189" i="5"/>
  <c r="CP63" i="5"/>
  <c r="G20" i="247" s="1"/>
  <c r="BC191" i="5"/>
  <c r="BC63" i="5"/>
  <c r="BH96" i="5"/>
  <c r="BL94" i="5"/>
  <c r="BH98" i="5"/>
  <c r="BQ23" i="5"/>
  <c r="BV55" i="5"/>
  <c r="CW189" i="5"/>
  <c r="CW63" i="5"/>
  <c r="CZ64" i="5"/>
  <c r="CY189" i="5"/>
  <c r="CY63" i="5"/>
  <c r="BE191" i="5"/>
  <c r="BE63" i="5"/>
  <c r="BD191" i="5"/>
  <c r="BD63" i="5"/>
  <c r="CH97" i="5"/>
  <c r="CK97" i="5" s="1"/>
  <c r="CK98" i="5"/>
  <c r="CR134" i="5"/>
  <c r="CK153" i="5"/>
  <c r="CG152" i="5"/>
  <c r="CK152" i="5" s="1"/>
  <c r="BS97" i="5"/>
  <c r="BV97" i="5" s="1"/>
  <c r="BV98" i="5"/>
  <c r="BQ58" i="5"/>
  <c r="BP55" i="5"/>
  <c r="BO55" i="5"/>
  <c r="BN55" i="5"/>
  <c r="BM55" i="5"/>
  <c r="BL191" i="5"/>
  <c r="BI58" i="5"/>
  <c r="BH58" i="5"/>
  <c r="BK58" i="5"/>
  <c r="BJ58" i="5"/>
  <c r="BL63" i="5"/>
  <c r="CQ165" i="5"/>
  <c r="CQ12" i="10" s="1"/>
  <c r="CR166" i="5"/>
  <c r="BF191" i="5"/>
  <c r="BF63" i="5"/>
  <c r="CV189" i="5"/>
  <c r="CV63" i="5"/>
  <c r="CZ59" i="5"/>
  <c r="AH77" i="4" l="1"/>
  <c r="CV145" i="5"/>
  <c r="CV146" i="5" s="1"/>
  <c r="CW7" i="5"/>
  <c r="AI76" i="4"/>
  <c r="O76" i="4"/>
  <c r="P76" i="4" s="1"/>
  <c r="BF27" i="258"/>
  <c r="CB113" i="258"/>
  <c r="CB114" i="258" s="1"/>
  <c r="CB112" i="258"/>
  <c r="CC110" i="258" s="1"/>
  <c r="BO25" i="258"/>
  <c r="BO26" i="258" s="1"/>
  <c r="AZ89" i="258"/>
  <c r="AZ90" i="258" s="1"/>
  <c r="BZ105" i="258"/>
  <c r="BZ106" i="258" s="1"/>
  <c r="BZ107" i="258" s="1"/>
  <c r="BZ104" i="258"/>
  <c r="CA104" i="258" s="1"/>
  <c r="CB102" i="258" s="1"/>
  <c r="AY119" i="258"/>
  <c r="AY146" i="258" s="1"/>
  <c r="BN137" i="258"/>
  <c r="AZ119" i="258"/>
  <c r="AZ146" i="258" s="1"/>
  <c r="CU133" i="258"/>
  <c r="BD70" i="258"/>
  <c r="BA33" i="258"/>
  <c r="BA34" i="258" s="1"/>
  <c r="BC64" i="258"/>
  <c r="BD62" i="258" s="1"/>
  <c r="BC41" i="258"/>
  <c r="BC42" i="258" s="1"/>
  <c r="BC40" i="258"/>
  <c r="BD38" i="258" s="1"/>
  <c r="AY59" i="258"/>
  <c r="AY120" i="258" s="1"/>
  <c r="BC48" i="258"/>
  <c r="BD46" i="258" s="1"/>
  <c r="CZ133" i="258"/>
  <c r="BP24" i="258"/>
  <c r="BQ24" i="258" s="1"/>
  <c r="BR22" i="258" s="1"/>
  <c r="CF133" i="258"/>
  <c r="CF137" i="258" s="1"/>
  <c r="CC136" i="258"/>
  <c r="CF136" i="258" s="1"/>
  <c r="BC32" i="258"/>
  <c r="BD30" i="258" s="1"/>
  <c r="BC33" i="258"/>
  <c r="BC34" i="258" s="1"/>
  <c r="BC73" i="258"/>
  <c r="BC74" i="258" s="1"/>
  <c r="BJ80" i="258"/>
  <c r="BK78" i="258" s="1"/>
  <c r="BJ81" i="258"/>
  <c r="BJ82" i="258" s="1"/>
  <c r="BA65" i="258"/>
  <c r="BA66" i="258" s="1"/>
  <c r="BQ137" i="258"/>
  <c r="BN96" i="258"/>
  <c r="BO94" i="258" s="1"/>
  <c r="BA56" i="258"/>
  <c r="BB56" i="258" s="1"/>
  <c r="BC54" i="258" s="1"/>
  <c r="BA67" i="258"/>
  <c r="BA88" i="258"/>
  <c r="BB88" i="258" s="1"/>
  <c r="BC86" i="258" s="1"/>
  <c r="BD27" i="258"/>
  <c r="C79" i="4"/>
  <c r="M78" i="4"/>
  <c r="I78" i="4"/>
  <c r="AJ77" i="4"/>
  <c r="P237" i="10"/>
  <c r="P238" i="10" s="1"/>
  <c r="P231" i="10"/>
  <c r="BV238" i="10"/>
  <c r="C59" i="247" s="1"/>
  <c r="C60" i="247" s="1"/>
  <c r="BV182" i="5"/>
  <c r="BV183" i="5" s="1"/>
  <c r="T237" i="10"/>
  <c r="T231" i="10"/>
  <c r="U194" i="10"/>
  <c r="T181" i="5"/>
  <c r="CY244" i="10"/>
  <c r="CT247" i="10"/>
  <c r="Y238" i="10"/>
  <c r="Y182" i="5"/>
  <c r="Y183" i="5" s="1"/>
  <c r="CT160" i="10"/>
  <c r="CT156" i="10"/>
  <c r="CU146" i="10"/>
  <c r="AO206" i="10"/>
  <c r="AR192" i="10"/>
  <c r="AR206" i="10" s="1"/>
  <c r="P232" i="10"/>
  <c r="O235" i="10"/>
  <c r="CA245" i="10"/>
  <c r="CA244" i="10"/>
  <c r="CA247" i="10" s="1"/>
  <c r="CA25" i="10"/>
  <c r="CA26" i="10" s="1"/>
  <c r="CT159" i="10"/>
  <c r="CU145" i="10"/>
  <c r="R194" i="10"/>
  <c r="R206" i="10" s="1"/>
  <c r="CV73" i="10"/>
  <c r="CW76" i="10"/>
  <c r="AR61" i="10"/>
  <c r="AR104" i="10"/>
  <c r="AW61" i="10"/>
  <c r="AF194" i="10"/>
  <c r="AE206" i="10"/>
  <c r="AN238" i="10"/>
  <c r="AN182" i="5"/>
  <c r="AN183" i="5" s="1"/>
  <c r="AR245" i="10"/>
  <c r="AR244" i="10"/>
  <c r="AR247" i="10" s="1"/>
  <c r="AR25" i="10"/>
  <c r="AR26" i="10" s="1"/>
  <c r="AA238" i="10"/>
  <c r="AA182" i="5"/>
  <c r="AA183" i="5" s="1"/>
  <c r="CU141" i="10"/>
  <c r="K58" i="247"/>
  <c r="CW244" i="10"/>
  <c r="CR247" i="10"/>
  <c r="CF247" i="10"/>
  <c r="S206" i="10"/>
  <c r="CT74" i="10"/>
  <c r="CT224" i="10"/>
  <c r="AR158" i="10"/>
  <c r="AR157" i="10" s="1"/>
  <c r="AR92" i="10"/>
  <c r="AB237" i="10"/>
  <c r="AB238" i="10" s="1"/>
  <c r="AB231" i="10"/>
  <c r="CX117" i="10"/>
  <c r="CV247" i="10"/>
  <c r="CU259" i="10"/>
  <c r="CP262" i="10"/>
  <c r="CX244" i="10"/>
  <c r="CS247" i="10"/>
  <c r="CP257" i="10"/>
  <c r="CU253" i="10"/>
  <c r="CP265" i="10"/>
  <c r="AD238" i="10"/>
  <c r="AD182" i="5"/>
  <c r="AD183" i="5" s="1"/>
  <c r="CT63" i="10"/>
  <c r="CV63" i="10" s="1"/>
  <c r="BK191" i="5"/>
  <c r="BK63" i="5"/>
  <c r="BQ191" i="5"/>
  <c r="BN58" i="5"/>
  <c r="BM58" i="5"/>
  <c r="BP58" i="5"/>
  <c r="BO58" i="5"/>
  <c r="BQ63" i="5"/>
  <c r="BI98" i="5"/>
  <c r="BI97" i="5" s="1"/>
  <c r="BH97" i="5"/>
  <c r="BL97" i="5" s="1"/>
  <c r="BL96" i="5"/>
  <c r="BI191" i="5"/>
  <c r="BI63" i="5"/>
  <c r="BH191" i="5"/>
  <c r="BH63" i="5"/>
  <c r="CQ148" i="5"/>
  <c r="CQ36" i="10" s="1"/>
  <c r="BC97" i="5"/>
  <c r="BD98" i="5"/>
  <c r="BD97" i="5" s="1"/>
  <c r="BG96" i="5"/>
  <c r="BL98" i="5"/>
  <c r="CR151" i="5"/>
  <c r="BN98" i="5"/>
  <c r="BN97" i="5" s="1"/>
  <c r="BQ96" i="5"/>
  <c r="BM97" i="5"/>
  <c r="CS166" i="5"/>
  <c r="CR165" i="5"/>
  <c r="CR12" i="10" s="1"/>
  <c r="CS136" i="5"/>
  <c r="CR132" i="5"/>
  <c r="CR11" i="10" s="1"/>
  <c r="BT55" i="5"/>
  <c r="BS55" i="5"/>
  <c r="BR55" i="5"/>
  <c r="BV58" i="5"/>
  <c r="BU55" i="5"/>
  <c r="CZ189" i="5"/>
  <c r="CZ63" i="5"/>
  <c r="BJ191" i="5"/>
  <c r="BJ63" i="5"/>
  <c r="BG98" i="5"/>
  <c r="BG97" i="5" l="1"/>
  <c r="AH78" i="4"/>
  <c r="O78" i="4" s="1"/>
  <c r="CW145" i="5"/>
  <c r="CW146" i="5" s="1"/>
  <c r="CX7" i="5"/>
  <c r="BQ97" i="5"/>
  <c r="AI78" i="4"/>
  <c r="O77" i="4"/>
  <c r="P77" i="4" s="1"/>
  <c r="AI77" i="4"/>
  <c r="BO96" i="258"/>
  <c r="BP94" i="258" s="1"/>
  <c r="BD48" i="258"/>
  <c r="BE46" i="258" s="1"/>
  <c r="BA57" i="258"/>
  <c r="BA58" i="258" s="1"/>
  <c r="BA59" i="258" s="1"/>
  <c r="BK80" i="258"/>
  <c r="BL80" i="258" s="1"/>
  <c r="BM78" i="258" s="1"/>
  <c r="BK81" i="258"/>
  <c r="BK82" i="258" s="1"/>
  <c r="BD33" i="258"/>
  <c r="BD34" i="258" s="1"/>
  <c r="BD35" i="258" s="1"/>
  <c r="BD32" i="258"/>
  <c r="BE30" i="258" s="1"/>
  <c r="BP25" i="258"/>
  <c r="BP26" i="258" s="1"/>
  <c r="BC65" i="258"/>
  <c r="BC66" i="258" s="1"/>
  <c r="BC88" i="258"/>
  <c r="BD86" i="258" s="1"/>
  <c r="BC56" i="258"/>
  <c r="BD54" i="258" s="1"/>
  <c r="BR25" i="258"/>
  <c r="BR26" i="258" s="1"/>
  <c r="BR24" i="258"/>
  <c r="BS22" i="258" s="1"/>
  <c r="BD64" i="258"/>
  <c r="BE62" i="258" s="1"/>
  <c r="BK83" i="258"/>
  <c r="BA89" i="258"/>
  <c r="BA90" i="258" s="1"/>
  <c r="BA91" i="258" s="1"/>
  <c r="BN97" i="258"/>
  <c r="BN98" i="258" s="1"/>
  <c r="BN99" i="258" s="1"/>
  <c r="CC137" i="258"/>
  <c r="BC49" i="258"/>
  <c r="BC50" i="258" s="1"/>
  <c r="BD40" i="258"/>
  <c r="BE38" i="258" s="1"/>
  <c r="BA119" i="258"/>
  <c r="BA146" i="258" s="1"/>
  <c r="BB146" i="258" s="1"/>
  <c r="BA35" i="258"/>
  <c r="CB104" i="258"/>
  <c r="CC102" i="258" s="1"/>
  <c r="CB105" i="258"/>
  <c r="CB106" i="258" s="1"/>
  <c r="CC112" i="258"/>
  <c r="CD110" i="258" s="1"/>
  <c r="BD72" i="258"/>
  <c r="BD73" i="258" s="1"/>
  <c r="BD74" i="258" s="1"/>
  <c r="BD75" i="258" s="1"/>
  <c r="I79" i="4"/>
  <c r="AJ78" i="4"/>
  <c r="C80" i="4"/>
  <c r="M80" i="4" s="1"/>
  <c r="M79" i="4"/>
  <c r="CU254" i="10"/>
  <c r="CU260" i="10" s="1"/>
  <c r="CU256" i="10"/>
  <c r="CX247" i="10"/>
  <c r="AR159" i="10"/>
  <c r="AR164" i="10" s="1"/>
  <c r="AF206" i="10"/>
  <c r="AG194" i="10"/>
  <c r="AG206" i="10" s="1"/>
  <c r="CW73" i="10"/>
  <c r="CX76" i="10"/>
  <c r="CW63" i="10"/>
  <c r="CY117" i="10"/>
  <c r="CZ117" i="10" s="1"/>
  <c r="AE237" i="10"/>
  <c r="AE231" i="10"/>
  <c r="AE181" i="5"/>
  <c r="CV145" i="10"/>
  <c r="CW247" i="10"/>
  <c r="CV141" i="10"/>
  <c r="CV74" i="10"/>
  <c r="CV224" i="10"/>
  <c r="CV146" i="10"/>
  <c r="CU160" i="10"/>
  <c r="CU156" i="10"/>
  <c r="T238" i="10"/>
  <c r="T182" i="5"/>
  <c r="T183" i="5" s="1"/>
  <c r="P233" i="10"/>
  <c r="AO237" i="10"/>
  <c r="AO231" i="10"/>
  <c r="AO181" i="5"/>
  <c r="CU261" i="10"/>
  <c r="R231" i="10"/>
  <c r="R237" i="10"/>
  <c r="R238" i="10" s="1"/>
  <c r="AR231" i="10"/>
  <c r="AR237" i="10"/>
  <c r="AR181" i="5"/>
  <c r="CY247" i="10"/>
  <c r="CU224" i="10"/>
  <c r="S237" i="10"/>
  <c r="S238" i="10" s="1"/>
  <c r="S231" i="10"/>
  <c r="S233" i="10" s="1"/>
  <c r="U206" i="10"/>
  <c r="CU63" i="10"/>
  <c r="H44" i="247" s="1"/>
  <c r="CS134" i="5"/>
  <c r="CS154" i="5"/>
  <c r="BV191" i="5"/>
  <c r="BS58" i="5"/>
  <c r="BR58" i="5"/>
  <c r="BU58" i="5"/>
  <c r="BT58" i="5"/>
  <c r="BV63" i="5"/>
  <c r="C20" i="247" s="1"/>
  <c r="CS165" i="5"/>
  <c r="CS12" i="10" s="1"/>
  <c r="CT166" i="5"/>
  <c r="BO191" i="5"/>
  <c r="BO63" i="5"/>
  <c r="CR150" i="5"/>
  <c r="CS153" i="5"/>
  <c r="BP191" i="5"/>
  <c r="BP63" i="5"/>
  <c r="BM191" i="5"/>
  <c r="BM63" i="5"/>
  <c r="BQ98" i="5"/>
  <c r="BN191" i="5"/>
  <c r="BN63" i="5"/>
  <c r="CU166" i="5"/>
  <c r="AH79" i="4" l="1"/>
  <c r="CY7" i="5"/>
  <c r="CX145" i="5"/>
  <c r="CX146" i="5" s="1"/>
  <c r="P78" i="4"/>
  <c r="CC105" i="258"/>
  <c r="CC106" i="258" s="1"/>
  <c r="CC104" i="258"/>
  <c r="CD102" i="258" s="1"/>
  <c r="BD41" i="258"/>
  <c r="BD42" i="258" s="1"/>
  <c r="BD43" i="258" s="1"/>
  <c r="BD65" i="258"/>
  <c r="BD66" i="258" s="1"/>
  <c r="BD57" i="258"/>
  <c r="BD58" i="258" s="1"/>
  <c r="BD119" i="258" s="1"/>
  <c r="BD146" i="258" s="1"/>
  <c r="BD56" i="258"/>
  <c r="BE54" i="258" s="1"/>
  <c r="BD67" i="258"/>
  <c r="BD49" i="258"/>
  <c r="BD50" i="258" s="1"/>
  <c r="CC107" i="258"/>
  <c r="CD112" i="258"/>
  <c r="CE110" i="258" s="1"/>
  <c r="BE41" i="258"/>
  <c r="BE42" i="258" s="1"/>
  <c r="BE40" i="258"/>
  <c r="BF38" i="258" s="1"/>
  <c r="BC57" i="258"/>
  <c r="BC58" i="258" s="1"/>
  <c r="BM80" i="258"/>
  <c r="BN78" i="258" s="1"/>
  <c r="BP97" i="258"/>
  <c r="BP98" i="258" s="1"/>
  <c r="BP96" i="258"/>
  <c r="BQ96" i="258" s="1"/>
  <c r="BR94" i="258" s="1"/>
  <c r="BE65" i="258"/>
  <c r="BE66" i="258" s="1"/>
  <c r="BE64" i="258"/>
  <c r="BF62" i="258" s="1"/>
  <c r="CC113" i="258"/>
  <c r="CC114" i="258" s="1"/>
  <c r="CC115" i="258" s="1"/>
  <c r="BA120" i="258"/>
  <c r="BD51" i="258"/>
  <c r="BP27" i="258"/>
  <c r="BS24" i="258"/>
  <c r="BT22" i="258" s="1"/>
  <c r="BC89" i="258"/>
  <c r="BC90" i="258" s="1"/>
  <c r="BD91" i="258" s="1"/>
  <c r="BE32" i="258"/>
  <c r="BF30" i="258" s="1"/>
  <c r="BO97" i="258"/>
  <c r="BO98" i="258" s="1"/>
  <c r="BP99" i="258" s="1"/>
  <c r="BD117" i="258"/>
  <c r="BE70" i="258"/>
  <c r="BD89" i="258"/>
  <c r="BD90" i="258" s="1"/>
  <c r="BD88" i="258"/>
  <c r="BE86" i="258" s="1"/>
  <c r="BC117" i="258"/>
  <c r="BE49" i="258"/>
  <c r="BE50" i="258" s="1"/>
  <c r="BE48" i="258"/>
  <c r="BF46" i="258" s="1"/>
  <c r="I80" i="4"/>
  <c r="AJ80" i="4" s="1"/>
  <c r="AJ79" i="4"/>
  <c r="AO238" i="10"/>
  <c r="AO182" i="5"/>
  <c r="AO183" i="5" s="1"/>
  <c r="S235" i="10"/>
  <c r="T232" i="10"/>
  <c r="AR238" i="10"/>
  <c r="AR182" i="5"/>
  <c r="AR183" i="5" s="1"/>
  <c r="CZ259" i="10"/>
  <c r="CU262" i="10"/>
  <c r="CV160" i="10"/>
  <c r="CW146" i="10"/>
  <c r="CV156" i="10"/>
  <c r="AF231" i="10"/>
  <c r="AF237" i="10"/>
  <c r="AF181" i="5"/>
  <c r="P235" i="10"/>
  <c r="Q232" i="10"/>
  <c r="Q233" i="10" s="1"/>
  <c r="CW141" i="10"/>
  <c r="CV159" i="10"/>
  <c r="CW145" i="10"/>
  <c r="AE238" i="10"/>
  <c r="AE182" i="5"/>
  <c r="AE183" i="5" s="1"/>
  <c r="CX73" i="10"/>
  <c r="CX63" i="10" s="1"/>
  <c r="CY76" i="10"/>
  <c r="CZ253" i="10"/>
  <c r="CU257" i="10"/>
  <c r="CU265" i="10"/>
  <c r="AG237" i="10"/>
  <c r="AG238" i="10" s="1"/>
  <c r="AG231" i="10"/>
  <c r="U237" i="10"/>
  <c r="U231" i="10"/>
  <c r="V194" i="10"/>
  <c r="U181" i="5"/>
  <c r="CW74" i="10"/>
  <c r="CW224" i="10"/>
  <c r="CS151" i="5"/>
  <c r="BS191" i="5"/>
  <c r="BS63" i="5"/>
  <c r="BT191" i="5"/>
  <c r="BT63" i="5"/>
  <c r="CT165" i="5"/>
  <c r="CT12" i="10" s="1"/>
  <c r="CV166" i="5"/>
  <c r="BU191" i="5"/>
  <c r="BU63" i="5"/>
  <c r="CT136" i="5"/>
  <c r="CT154" i="5" s="1"/>
  <c r="CU154" i="5" s="1"/>
  <c r="CS132" i="5"/>
  <c r="CS11" i="10" s="1"/>
  <c r="CR148" i="5"/>
  <c r="CR36" i="10" s="1"/>
  <c r="BR191" i="5"/>
  <c r="BR63" i="5"/>
  <c r="AI79" i="4" l="1"/>
  <c r="O79" i="4"/>
  <c r="P79" i="4" s="1"/>
  <c r="CU165" i="5"/>
  <c r="CU12" i="10" s="1"/>
  <c r="CY145" i="5"/>
  <c r="CY146" i="5" s="1"/>
  <c r="AH80" i="4"/>
  <c r="CZ7" i="5"/>
  <c r="CZ145" i="5" s="1"/>
  <c r="CZ146" i="5" s="1"/>
  <c r="BD120" i="258"/>
  <c r="BF48" i="258"/>
  <c r="BG48" i="258" s="1"/>
  <c r="BH46" i="258" s="1"/>
  <c r="BE88" i="258"/>
  <c r="BF86" i="258" s="1"/>
  <c r="BE89" i="258"/>
  <c r="BE90" i="258" s="1"/>
  <c r="BS25" i="258"/>
  <c r="BS26" i="258" s="1"/>
  <c r="BR96" i="258"/>
  <c r="BS94" i="258" s="1"/>
  <c r="CD113" i="258"/>
  <c r="CD114" i="258" s="1"/>
  <c r="BF33" i="258"/>
  <c r="BF34" i="258" s="1"/>
  <c r="BF32" i="258"/>
  <c r="BG32" i="258" s="1"/>
  <c r="BH30" i="258" s="1"/>
  <c r="BT25" i="258"/>
  <c r="BT26" i="258" s="1"/>
  <c r="BT24" i="258"/>
  <c r="BU22" i="258" s="1"/>
  <c r="BD59" i="258"/>
  <c r="CE112" i="258"/>
  <c r="CF112" i="258" s="1"/>
  <c r="CG110" i="258" s="1"/>
  <c r="CE113" i="258"/>
  <c r="CE114" i="258" s="1"/>
  <c r="BE72" i="258"/>
  <c r="BE33" i="258"/>
  <c r="BE34" i="258" s="1"/>
  <c r="BF64" i="258"/>
  <c r="BG64" i="258" s="1"/>
  <c r="BH62" i="258" s="1"/>
  <c r="BF65" i="258"/>
  <c r="BF66" i="258" s="1"/>
  <c r="BM81" i="258"/>
  <c r="BM82" i="258" s="1"/>
  <c r="BF40" i="258"/>
  <c r="BG40" i="258" s="1"/>
  <c r="BH38" i="258" s="1"/>
  <c r="BE56" i="258"/>
  <c r="BF54" i="258" s="1"/>
  <c r="CD104" i="258"/>
  <c r="CE102" i="258" s="1"/>
  <c r="BF67" i="258"/>
  <c r="BN80" i="258"/>
  <c r="BO78" i="258" s="1"/>
  <c r="BC119" i="258"/>
  <c r="BC146" i="258" s="1"/>
  <c r="CZ254" i="10"/>
  <c r="CZ260" i="10" s="1"/>
  <c r="CZ261" i="10" s="1"/>
  <c r="CZ262" i="10" s="1"/>
  <c r="X232" i="10"/>
  <c r="X233" i="10" s="1"/>
  <c r="T233" i="10"/>
  <c r="V206" i="10"/>
  <c r="W194" i="10"/>
  <c r="W206" i="10" s="1"/>
  <c r="CW159" i="10"/>
  <c r="CX145" i="10"/>
  <c r="Q235" i="10"/>
  <c r="R232" i="10"/>
  <c r="R233" i="10" s="1"/>
  <c r="R235" i="10" s="1"/>
  <c r="CW156" i="10"/>
  <c r="CW160" i="10"/>
  <c r="CX146" i="10"/>
  <c r="CZ76" i="10"/>
  <c r="CY73" i="10"/>
  <c r="CZ73" i="10" s="1"/>
  <c r="CZ74" i="10" s="1"/>
  <c r="U238" i="10"/>
  <c r="U182" i="5"/>
  <c r="U183" i="5" s="1"/>
  <c r="CX74" i="10"/>
  <c r="CX224" i="10"/>
  <c r="CX141" i="10"/>
  <c r="AF238" i="10"/>
  <c r="AF182" i="5"/>
  <c r="AF183" i="5" s="1"/>
  <c r="CW166" i="5"/>
  <c r="CV165" i="5"/>
  <c r="CV12" i="10" s="1"/>
  <c r="CT134" i="5"/>
  <c r="CU136" i="5"/>
  <c r="CT153" i="5"/>
  <c r="CS150" i="5"/>
  <c r="AI80" i="4" l="1"/>
  <c r="O80" i="4"/>
  <c r="P80" i="4" s="1"/>
  <c r="BF56" i="258"/>
  <c r="BG56" i="258" s="1"/>
  <c r="BH54" i="258" s="1"/>
  <c r="BF35" i="258"/>
  <c r="CG112" i="258"/>
  <c r="CH110" i="258" s="1"/>
  <c r="CG113" i="258"/>
  <c r="CG114" i="258" s="1"/>
  <c r="BH33" i="258"/>
  <c r="BH34" i="258" s="1"/>
  <c r="BH32" i="258"/>
  <c r="BI30" i="258" s="1"/>
  <c r="BR97" i="258"/>
  <c r="BR98" i="258" s="1"/>
  <c r="BF88" i="258"/>
  <c r="BG88" i="258" s="1"/>
  <c r="BH86" i="258" s="1"/>
  <c r="BF89" i="258"/>
  <c r="BF90" i="258" s="1"/>
  <c r="BF91" i="258" s="1"/>
  <c r="BE57" i="258"/>
  <c r="BE58" i="258" s="1"/>
  <c r="BE117" i="258"/>
  <c r="BF70" i="258"/>
  <c r="BS96" i="258"/>
  <c r="BT94" i="258" s="1"/>
  <c r="BS97" i="258"/>
  <c r="BS98" i="258" s="1"/>
  <c r="BH48" i="258"/>
  <c r="BI46" i="258" s="1"/>
  <c r="BN81" i="258"/>
  <c r="BN82" i="258" s="1"/>
  <c r="BN83" i="258" s="1"/>
  <c r="CD105" i="258"/>
  <c r="CD106" i="258" s="1"/>
  <c r="BF41" i="258"/>
  <c r="BF42" i="258" s="1"/>
  <c r="BF43" i="258" s="1"/>
  <c r="BH64" i="258"/>
  <c r="BI62" i="258" s="1"/>
  <c r="BH65" i="258"/>
  <c r="BH66" i="258" s="1"/>
  <c r="BE73" i="258"/>
  <c r="BE74" i="258" s="1"/>
  <c r="BU24" i="258"/>
  <c r="BV24" i="258" s="1"/>
  <c r="BW22" i="258" s="1"/>
  <c r="BS27" i="258"/>
  <c r="BF49" i="258"/>
  <c r="BF50" i="258" s="1"/>
  <c r="BF51" i="258" s="1"/>
  <c r="BO80" i="258"/>
  <c r="BP78" i="258" s="1"/>
  <c r="CE104" i="258"/>
  <c r="CF104" i="258" s="1"/>
  <c r="CG102" i="258" s="1"/>
  <c r="BH40" i="258"/>
  <c r="BI38" i="258" s="1"/>
  <c r="BH41" i="258"/>
  <c r="BH42" i="258" s="1"/>
  <c r="CE115" i="258"/>
  <c r="CY141" i="10"/>
  <c r="CX159" i="10"/>
  <c r="CY145" i="10"/>
  <c r="T235" i="10"/>
  <c r="U232" i="10"/>
  <c r="U233" i="10" s="1"/>
  <c r="CZ256" i="10"/>
  <c r="X235" i="10"/>
  <c r="Y232" i="10"/>
  <c r="Y233" i="10" s="1"/>
  <c r="AC232" i="10"/>
  <c r="AC233" i="10" s="1"/>
  <c r="W231" i="10"/>
  <c r="W237" i="10"/>
  <c r="W238" i="10" s="1"/>
  <c r="CY74" i="10"/>
  <c r="CY224" i="10"/>
  <c r="CX156" i="10"/>
  <c r="CX160" i="10"/>
  <c r="CY146" i="10"/>
  <c r="V231" i="10"/>
  <c r="V237" i="10"/>
  <c r="V181" i="5"/>
  <c r="CY63" i="10"/>
  <c r="CZ63" i="10" s="1"/>
  <c r="CS148" i="5"/>
  <c r="CS36" i="10" s="1"/>
  <c r="CT132" i="5"/>
  <c r="CV136" i="5"/>
  <c r="CU134" i="5"/>
  <c r="CX166" i="5"/>
  <c r="CW165" i="5"/>
  <c r="CW12" i="10" s="1"/>
  <c r="CT151" i="5"/>
  <c r="CU153" i="5"/>
  <c r="CU132" i="5" l="1"/>
  <c r="CT11" i="10"/>
  <c r="CU11" i="10" s="1"/>
  <c r="CE105" i="258"/>
  <c r="CE106" i="258" s="1"/>
  <c r="CE107" i="258"/>
  <c r="BH49" i="258"/>
  <c r="BH50" i="258" s="1"/>
  <c r="BF72" i="258"/>
  <c r="BF73" i="258" s="1"/>
  <c r="BF74" i="258" s="1"/>
  <c r="BF75" i="258" s="1"/>
  <c r="BH89" i="258"/>
  <c r="BH90" i="258" s="1"/>
  <c r="BH88" i="258"/>
  <c r="BI86" i="258" s="1"/>
  <c r="BP80" i="258"/>
  <c r="BQ80" i="258" s="1"/>
  <c r="BR78" i="258" s="1"/>
  <c r="BS99" i="258"/>
  <c r="CH113" i="258"/>
  <c r="CH114" i="258" s="1"/>
  <c r="CH115" i="258" s="1"/>
  <c r="CH112" i="258"/>
  <c r="CI110" i="258" s="1"/>
  <c r="BH56" i="258"/>
  <c r="BI54" i="258" s="1"/>
  <c r="BI40" i="258"/>
  <c r="BJ38" i="258" s="1"/>
  <c r="BO81" i="258"/>
  <c r="BO82" i="258" s="1"/>
  <c r="BU25" i="258"/>
  <c r="BU26" i="258" s="1"/>
  <c r="BI65" i="258"/>
  <c r="BI66" i="258" s="1"/>
  <c r="BI67" i="258" s="1"/>
  <c r="BI64" i="258"/>
  <c r="BJ62" i="258" s="1"/>
  <c r="BT96" i="258"/>
  <c r="BU94" i="258" s="1"/>
  <c r="BI32" i="258"/>
  <c r="BJ30" i="258" s="1"/>
  <c r="BI33" i="258"/>
  <c r="BI34" i="258" s="1"/>
  <c r="BE119" i="258"/>
  <c r="BE146" i="258" s="1"/>
  <c r="BF57" i="258"/>
  <c r="BF58" i="258" s="1"/>
  <c r="BF59" i="258" s="1"/>
  <c r="BF120" i="258" s="1"/>
  <c r="CG104" i="258"/>
  <c r="CH102" i="258" s="1"/>
  <c r="BW24" i="258"/>
  <c r="BX22" i="258" s="1"/>
  <c r="BW25" i="258"/>
  <c r="BW26" i="258" s="1"/>
  <c r="BI48" i="258"/>
  <c r="BJ46" i="258" s="1"/>
  <c r="BI35" i="258"/>
  <c r="V238" i="10"/>
  <c r="V182" i="5"/>
  <c r="V183" i="5" s="1"/>
  <c r="CY159" i="10"/>
  <c r="CZ145" i="10"/>
  <c r="CZ224" i="10"/>
  <c r="CZ257" i="10"/>
  <c r="CZ265" i="10"/>
  <c r="CY160" i="10"/>
  <c r="CZ146" i="10"/>
  <c r="CY156" i="10"/>
  <c r="AC235" i="10"/>
  <c r="AH232" i="10"/>
  <c r="AH233" i="10" s="1"/>
  <c r="AD232" i="10"/>
  <c r="AD233" i="10" s="1"/>
  <c r="V232" i="10"/>
  <c r="V233" i="10" s="1"/>
  <c r="U235" i="10"/>
  <c r="CZ141" i="10"/>
  <c r="Y235" i="10"/>
  <c r="Z232" i="10"/>
  <c r="Z233" i="10" s="1"/>
  <c r="CY166" i="5"/>
  <c r="CY165" i="5" s="1"/>
  <c r="CY12" i="10" s="1"/>
  <c r="CX165" i="5"/>
  <c r="CV153" i="5"/>
  <c r="CT150" i="5"/>
  <c r="CU151" i="5"/>
  <c r="CV134" i="5"/>
  <c r="CV154" i="5"/>
  <c r="CZ165" i="5" l="1"/>
  <c r="CZ12" i="10" s="1"/>
  <c r="CX12" i="10"/>
  <c r="BX27" i="258"/>
  <c r="BJ40" i="258"/>
  <c r="BK38" i="258" s="1"/>
  <c r="BF119" i="258"/>
  <c r="BF146" i="258" s="1"/>
  <c r="BX24" i="258"/>
  <c r="BY22" i="258" s="1"/>
  <c r="BX25" i="258"/>
  <c r="BX26" i="258" s="1"/>
  <c r="BG146" i="258"/>
  <c r="BT97" i="258"/>
  <c r="BT98" i="258" s="1"/>
  <c r="BU27" i="258"/>
  <c r="BH57" i="258"/>
  <c r="BH58" i="258" s="1"/>
  <c r="BJ48" i="258"/>
  <c r="BK46" i="258" s="1"/>
  <c r="CH105" i="258"/>
  <c r="CH106" i="258" s="1"/>
  <c r="CH104" i="258"/>
  <c r="CI102" i="258" s="1"/>
  <c r="BU96" i="258"/>
  <c r="BV96" i="258" s="1"/>
  <c r="BW94" i="258" s="1"/>
  <c r="BI56" i="258"/>
  <c r="BJ54" i="258" s="1"/>
  <c r="BF117" i="258"/>
  <c r="BG72" i="258"/>
  <c r="BI49" i="258"/>
  <c r="BI50" i="258" s="1"/>
  <c r="CG105" i="258"/>
  <c r="CG106" i="258" s="1"/>
  <c r="CH107" i="258" s="1"/>
  <c r="BJ32" i="258"/>
  <c r="BK30" i="258" s="1"/>
  <c r="BJ33" i="258"/>
  <c r="BJ34" i="258" s="1"/>
  <c r="BJ64" i="258"/>
  <c r="BK62" i="258" s="1"/>
  <c r="BI41" i="258"/>
  <c r="BI42" i="258" s="1"/>
  <c r="BI43" i="258" s="1"/>
  <c r="CI112" i="258"/>
  <c r="CJ110" i="258" s="1"/>
  <c r="CI113" i="258"/>
  <c r="CI114" i="258" s="1"/>
  <c r="BP81" i="258"/>
  <c r="BP82" i="258" s="1"/>
  <c r="BP83" i="258" s="1"/>
  <c r="BI88" i="258"/>
  <c r="BJ86" i="258" s="1"/>
  <c r="BI51" i="258"/>
  <c r="BR80" i="258"/>
  <c r="BS78" i="258" s="1"/>
  <c r="W232" i="10"/>
  <c r="W233" i="10" s="1"/>
  <c r="W235" i="10" s="1"/>
  <c r="V235" i="10"/>
  <c r="AE232" i="10"/>
  <c r="AE233" i="10" s="1"/>
  <c r="AD235" i="10"/>
  <c r="CZ160" i="10"/>
  <c r="CZ156" i="10"/>
  <c r="AA232" i="10"/>
  <c r="AA233" i="10" s="1"/>
  <c r="Z235" i="10"/>
  <c r="AH235" i="10"/>
  <c r="AM232" i="10"/>
  <c r="AM233" i="10" s="1"/>
  <c r="AI232" i="10"/>
  <c r="AI233" i="10" s="1"/>
  <c r="CZ166" i="5"/>
  <c r="CW136" i="5"/>
  <c r="CW154" i="5" s="1"/>
  <c r="CV132" i="5"/>
  <c r="CV11" i="10" s="1"/>
  <c r="CT148" i="5"/>
  <c r="CU150" i="5"/>
  <c r="CV151" i="5"/>
  <c r="CU148" i="5" l="1"/>
  <c r="CT36" i="10"/>
  <c r="CU36" i="10" s="1"/>
  <c r="BS80" i="258"/>
  <c r="BT78" i="258" s="1"/>
  <c r="BS81" i="258"/>
  <c r="BS82" i="258" s="1"/>
  <c r="BK64" i="258"/>
  <c r="BL64" i="258" s="1"/>
  <c r="BM62" i="258" s="1"/>
  <c r="BJ65" i="258"/>
  <c r="BJ66" i="258" s="1"/>
  <c r="BJ56" i="258"/>
  <c r="BK54" i="258" s="1"/>
  <c r="BJ57" i="258"/>
  <c r="BJ58" i="258" s="1"/>
  <c r="BU97" i="258"/>
  <c r="BU98" i="258" s="1"/>
  <c r="BK48" i="258"/>
  <c r="BL48" i="258" s="1"/>
  <c r="BM46" i="258" s="1"/>
  <c r="BK40" i="258"/>
  <c r="BL40" i="258" s="1"/>
  <c r="BM38" i="258" s="1"/>
  <c r="BJ89" i="258"/>
  <c r="BJ90" i="258" s="1"/>
  <c r="BJ88" i="258"/>
  <c r="BK86" i="258" s="1"/>
  <c r="CJ112" i="258"/>
  <c r="CK112" i="258" s="1"/>
  <c r="CL110" i="258" s="1"/>
  <c r="BI57" i="258"/>
  <c r="BI58" i="258" s="1"/>
  <c r="BJ49" i="258"/>
  <c r="BJ50" i="258" s="1"/>
  <c r="BY24" i="258"/>
  <c r="BZ22" i="258" s="1"/>
  <c r="BJ41" i="258"/>
  <c r="BJ42" i="258" s="1"/>
  <c r="BI59" i="258"/>
  <c r="BR81" i="258"/>
  <c r="BR82" i="258" s="1"/>
  <c r="BS83" i="258" s="1"/>
  <c r="BI89" i="258"/>
  <c r="BI90" i="258" s="1"/>
  <c r="BI91" i="258" s="1"/>
  <c r="BK33" i="258"/>
  <c r="BK34" i="258" s="1"/>
  <c r="BK32" i="258"/>
  <c r="BL32" i="258" s="1"/>
  <c r="BM30" i="258" s="1"/>
  <c r="BG117" i="258"/>
  <c r="BG142" i="258" s="1"/>
  <c r="BH70" i="258"/>
  <c r="CI105" i="258"/>
  <c r="CI106" i="258" s="1"/>
  <c r="CI104" i="258"/>
  <c r="CJ102" i="258" s="1"/>
  <c r="BU99" i="258"/>
  <c r="BW96" i="258"/>
  <c r="BX94" i="258" s="1"/>
  <c r="AM235" i="10"/>
  <c r="AR232" i="10"/>
  <c r="AR233" i="10" s="1"/>
  <c r="AN232" i="10"/>
  <c r="AN233" i="10" s="1"/>
  <c r="AF232" i="10"/>
  <c r="AF233" i="10" s="1"/>
  <c r="AE235" i="10"/>
  <c r="AI235" i="10"/>
  <c r="AJ232" i="10"/>
  <c r="AJ233" i="10" s="1"/>
  <c r="AB232" i="10"/>
  <c r="AB233" i="10" s="1"/>
  <c r="AB235" i="10" s="1"/>
  <c r="AA235" i="10"/>
  <c r="CW134" i="5"/>
  <c r="CW153" i="5"/>
  <c r="CV150" i="5"/>
  <c r="BW97" i="258" l="1"/>
  <c r="BW98" i="258" s="1"/>
  <c r="BH72" i="258"/>
  <c r="BH73" i="258"/>
  <c r="BH74" i="258" s="1"/>
  <c r="BK43" i="258"/>
  <c r="CJ113" i="258"/>
  <c r="CJ114" i="258" s="1"/>
  <c r="CJ115" i="258" s="1"/>
  <c r="BK41" i="258"/>
  <c r="BK42" i="258" s="1"/>
  <c r="BK49" i="258"/>
  <c r="BK50" i="258" s="1"/>
  <c r="BK56" i="258"/>
  <c r="BL56" i="258" s="1"/>
  <c r="BM54" i="258" s="1"/>
  <c r="BK57" i="258"/>
  <c r="BK58" i="258" s="1"/>
  <c r="BK59" i="258" s="1"/>
  <c r="BK65" i="258"/>
  <c r="BK66" i="258" s="1"/>
  <c r="BX96" i="258"/>
  <c r="BY94" i="258" s="1"/>
  <c r="BK51" i="258"/>
  <c r="BZ24" i="258"/>
  <c r="CA24" i="258" s="1"/>
  <c r="CB22" i="258" s="1"/>
  <c r="BZ25" i="258"/>
  <c r="BZ26" i="258" s="1"/>
  <c r="CL112" i="258"/>
  <c r="CM110" i="258" s="1"/>
  <c r="BM40" i="258"/>
  <c r="BN38" i="258" s="1"/>
  <c r="BM41" i="258"/>
  <c r="BM42" i="258" s="1"/>
  <c r="BM48" i="258"/>
  <c r="BN46" i="258" s="1"/>
  <c r="BM49" i="258"/>
  <c r="BM50" i="258" s="1"/>
  <c r="BK67" i="258"/>
  <c r="BK35" i="258"/>
  <c r="CJ105" i="258"/>
  <c r="CJ106" i="258" s="1"/>
  <c r="CJ107" i="258" s="1"/>
  <c r="CJ104" i="258"/>
  <c r="CK104" i="258" s="1"/>
  <c r="CL102" i="258" s="1"/>
  <c r="BM32" i="258"/>
  <c r="BN30" i="258" s="1"/>
  <c r="BM33" i="258"/>
  <c r="BM34" i="258" s="1"/>
  <c r="BY25" i="258"/>
  <c r="BY26" i="258" s="1"/>
  <c r="BK88" i="258"/>
  <c r="BL88" i="258" s="1"/>
  <c r="BM86" i="258" s="1"/>
  <c r="BT80" i="258"/>
  <c r="BU78" i="258" s="1"/>
  <c r="BM64" i="258"/>
  <c r="BN62" i="258" s="1"/>
  <c r="AF235" i="10"/>
  <c r="AG232" i="10"/>
  <c r="AG233" i="10" s="1"/>
  <c r="AG235" i="10" s="1"/>
  <c r="AN235" i="10"/>
  <c r="AO232" i="10"/>
  <c r="AO233" i="10" s="1"/>
  <c r="AJ235" i="10"/>
  <c r="AK232" i="10"/>
  <c r="AK233" i="10" s="1"/>
  <c r="AR235" i="10"/>
  <c r="AW232" i="10"/>
  <c r="AW233" i="10" s="1"/>
  <c r="AS232" i="10"/>
  <c r="AS233" i="10" s="1"/>
  <c r="CW151" i="5"/>
  <c r="CV148" i="5"/>
  <c r="CV36" i="10" s="1"/>
  <c r="CX136" i="5"/>
  <c r="CW132" i="5"/>
  <c r="CW11" i="10" s="1"/>
  <c r="BZ27" i="258" l="1"/>
  <c r="CM113" i="258"/>
  <c r="CM114" i="258" s="1"/>
  <c r="CM112" i="258"/>
  <c r="CN110" i="258" s="1"/>
  <c r="BM65" i="258"/>
  <c r="BM66" i="258" s="1"/>
  <c r="BN49" i="258"/>
  <c r="BN50" i="258" s="1"/>
  <c r="BN48" i="258"/>
  <c r="BO46" i="258" s="1"/>
  <c r="CL113" i="258"/>
  <c r="CL114" i="258" s="1"/>
  <c r="CM115" i="258" s="1"/>
  <c r="BX97" i="258"/>
  <c r="BX98" i="258" s="1"/>
  <c r="BX99" i="258" s="1"/>
  <c r="BM57" i="258"/>
  <c r="BM58" i="258" s="1"/>
  <c r="BM56" i="258"/>
  <c r="BN54" i="258" s="1"/>
  <c r="BN65" i="258"/>
  <c r="BN66" i="258" s="1"/>
  <c r="BN64" i="258"/>
  <c r="BO62" i="258" s="1"/>
  <c r="BN51" i="258"/>
  <c r="BK89" i="258"/>
  <c r="BK90" i="258" s="1"/>
  <c r="BK91" i="258" s="1"/>
  <c r="BY96" i="258"/>
  <c r="BZ94" i="258" s="1"/>
  <c r="BY97" i="258"/>
  <c r="BY98" i="258" s="1"/>
  <c r="BH119" i="258"/>
  <c r="BH146" i="258" s="1"/>
  <c r="BU80" i="258"/>
  <c r="BV80" i="258" s="1"/>
  <c r="BW78" i="258" s="1"/>
  <c r="BU81" i="258"/>
  <c r="BU82" i="258" s="1"/>
  <c r="BM88" i="258"/>
  <c r="BN86" i="258" s="1"/>
  <c r="BN32" i="258"/>
  <c r="BO30" i="258" s="1"/>
  <c r="BT81" i="258"/>
  <c r="BT82" i="258" s="1"/>
  <c r="CL105" i="258"/>
  <c r="CL106" i="258" s="1"/>
  <c r="CL104" i="258"/>
  <c r="CM102" i="258" s="1"/>
  <c r="BN40" i="258"/>
  <c r="BO38" i="258" s="1"/>
  <c r="CB25" i="258"/>
  <c r="CB26" i="258" s="1"/>
  <c r="CB24" i="258"/>
  <c r="CC22" i="258" s="1"/>
  <c r="BH117" i="258"/>
  <c r="BI70" i="258"/>
  <c r="AW235" i="10"/>
  <c r="AX232" i="10"/>
  <c r="AX233" i="10" s="1"/>
  <c r="BB232" i="10"/>
  <c r="BB233" i="10" s="1"/>
  <c r="AO235" i="10"/>
  <c r="AP232" i="10"/>
  <c r="AP233" i="10" s="1"/>
  <c r="AS235" i="10"/>
  <c r="AT232" i="10"/>
  <c r="AT233" i="10" s="1"/>
  <c r="AK235" i="10"/>
  <c r="AL232" i="10"/>
  <c r="AL233" i="10" s="1"/>
  <c r="AL235" i="10" s="1"/>
  <c r="CX153" i="5"/>
  <c r="CW150" i="5"/>
  <c r="CX134" i="5"/>
  <c r="CX154" i="5"/>
  <c r="N9" i="247"/>
  <c r="N43" i="247" s="1"/>
  <c r="CC24" i="258" l="1"/>
  <c r="CD22" i="258" s="1"/>
  <c r="CC25" i="258"/>
  <c r="CC26" i="258" s="1"/>
  <c r="CM105" i="258"/>
  <c r="CM106" i="258" s="1"/>
  <c r="CM107" i="258" s="1"/>
  <c r="CM104" i="258"/>
  <c r="CN102" i="258" s="1"/>
  <c r="BN33" i="258"/>
  <c r="BN34" i="258" s="1"/>
  <c r="BW80" i="258"/>
  <c r="BX78" i="258" s="1"/>
  <c r="BW81" i="258"/>
  <c r="BW82" i="258" s="1"/>
  <c r="BZ96" i="258"/>
  <c r="CA96" i="258" s="1"/>
  <c r="CB94" i="258" s="1"/>
  <c r="BZ97" i="258"/>
  <c r="BZ98" i="258" s="1"/>
  <c r="BZ99" i="258" s="1"/>
  <c r="BN56" i="258"/>
  <c r="BO54" i="258" s="1"/>
  <c r="BO49" i="258"/>
  <c r="BO50" i="258" s="1"/>
  <c r="BO48" i="258"/>
  <c r="BP46" i="258" s="1"/>
  <c r="BO32" i="258"/>
  <c r="BP30" i="258" s="1"/>
  <c r="BN88" i="258"/>
  <c r="BO86" i="258" s="1"/>
  <c r="BN67" i="258"/>
  <c r="BO41" i="258"/>
  <c r="BO42" i="258" s="1"/>
  <c r="BO40" i="258"/>
  <c r="BP38" i="258" s="1"/>
  <c r="CC27" i="258"/>
  <c r="BI72" i="258"/>
  <c r="BN41" i="258"/>
  <c r="BN42" i="258" s="1"/>
  <c r="BN43" i="258" s="1"/>
  <c r="BU83" i="258"/>
  <c r="BM89" i="258"/>
  <c r="BM90" i="258" s="1"/>
  <c r="BO64" i="258"/>
  <c r="BP62" i="258" s="1"/>
  <c r="CN112" i="258"/>
  <c r="CO110" i="258" s="1"/>
  <c r="AQ232" i="10"/>
  <c r="AQ233" i="10" s="1"/>
  <c r="AQ235" i="10" s="1"/>
  <c r="AP235" i="10"/>
  <c r="AU232" i="10"/>
  <c r="AU233" i="10" s="1"/>
  <c r="AT235" i="10"/>
  <c r="BG232" i="10"/>
  <c r="BG233" i="10" s="1"/>
  <c r="BC232" i="10"/>
  <c r="BC233" i="10" s="1"/>
  <c r="BB235" i="10"/>
  <c r="AX235" i="10"/>
  <c r="AY232" i="10"/>
  <c r="AY233" i="10" s="1"/>
  <c r="CW148" i="5"/>
  <c r="CW36" i="10" s="1"/>
  <c r="CY136" i="5"/>
  <c r="CY154" i="5" s="1"/>
  <c r="CZ154" i="5" s="1"/>
  <c r="CX132" i="5"/>
  <c r="CX11" i="10" s="1"/>
  <c r="CX151" i="5"/>
  <c r="BI117" i="258" l="1"/>
  <c r="BJ70" i="258"/>
  <c r="BP33" i="258"/>
  <c r="BP34" i="258" s="1"/>
  <c r="BP32" i="258"/>
  <c r="BQ32" i="258" s="1"/>
  <c r="BR30" i="258" s="1"/>
  <c r="BO57" i="258"/>
  <c r="BO58" i="258" s="1"/>
  <c r="BO56" i="258"/>
  <c r="BP54" i="258" s="1"/>
  <c r="CO112" i="258"/>
  <c r="CP112" i="258" s="1"/>
  <c r="CQ110" i="258" s="1"/>
  <c r="CO113" i="258"/>
  <c r="CO114" i="258" s="1"/>
  <c r="BO88" i="258"/>
  <c r="BP86" i="258" s="1"/>
  <c r="BO89" i="258"/>
  <c r="BO90" i="258" s="1"/>
  <c r="BO33" i="258"/>
  <c r="BO34" i="258" s="1"/>
  <c r="BN57" i="258"/>
  <c r="BN58" i="258" s="1"/>
  <c r="BN59" i="258" s="1"/>
  <c r="BX80" i="258"/>
  <c r="BY78" i="258" s="1"/>
  <c r="BX81" i="258"/>
  <c r="BX82" i="258" s="1"/>
  <c r="BX83" i="258" s="1"/>
  <c r="BN91" i="258"/>
  <c r="CN113" i="258"/>
  <c r="CN114" i="258" s="1"/>
  <c r="BP64" i="258"/>
  <c r="BQ64" i="258" s="1"/>
  <c r="BR62" i="258" s="1"/>
  <c r="BN89" i="258"/>
  <c r="BN90" i="258" s="1"/>
  <c r="BP49" i="258"/>
  <c r="BP50" i="258" s="1"/>
  <c r="BP51" i="258" s="1"/>
  <c r="BP48" i="258"/>
  <c r="BQ48" i="258" s="1"/>
  <c r="BR46" i="258" s="1"/>
  <c r="BN35" i="258"/>
  <c r="CD25" i="258"/>
  <c r="CD26" i="258" s="1"/>
  <c r="CD24" i="258"/>
  <c r="CE22" i="258" s="1"/>
  <c r="BO65" i="258"/>
  <c r="BO66" i="258" s="1"/>
  <c r="BI73" i="258"/>
  <c r="BI74" i="258" s="1"/>
  <c r="BP40" i="258"/>
  <c r="BQ40" i="258" s="1"/>
  <c r="BR38" i="258" s="1"/>
  <c r="BP41" i="258"/>
  <c r="BP42" i="258" s="1"/>
  <c r="BP43" i="258" s="1"/>
  <c r="CB96" i="258"/>
  <c r="CC94" i="258" s="1"/>
  <c r="CN104" i="258"/>
  <c r="CO102" i="258" s="1"/>
  <c r="AY235" i="10"/>
  <c r="AZ232" i="10"/>
  <c r="AZ233" i="10" s="1"/>
  <c r="AV232" i="10"/>
  <c r="AV233" i="10" s="1"/>
  <c r="AV235" i="10" s="1"/>
  <c r="AU235" i="10"/>
  <c r="BL232" i="10"/>
  <c r="BL233" i="10" s="1"/>
  <c r="BH232" i="10"/>
  <c r="BH233" i="10" s="1"/>
  <c r="BG235" i="10"/>
  <c r="BC235" i="10"/>
  <c r="BD232" i="10"/>
  <c r="BD233" i="10" s="1"/>
  <c r="CX150" i="5"/>
  <c r="CY153" i="5"/>
  <c r="CY134" i="5"/>
  <c r="CZ136" i="5"/>
  <c r="CJ180" i="5"/>
  <c r="D37" i="247"/>
  <c r="CB97" i="258" l="1"/>
  <c r="CB98" i="258" s="1"/>
  <c r="BR40" i="258"/>
  <c r="BS38" i="258" s="1"/>
  <c r="BR41" i="258"/>
  <c r="BR42" i="258" s="1"/>
  <c r="CE24" i="258"/>
  <c r="CF24" i="258" s="1"/>
  <c r="CG22" i="258" s="1"/>
  <c r="CE25" i="258"/>
  <c r="CE26" i="258" s="1"/>
  <c r="BR48" i="258"/>
  <c r="BS46" i="258" s="1"/>
  <c r="BR49" i="258"/>
  <c r="BR50" i="258" s="1"/>
  <c r="BP65" i="258"/>
  <c r="BP66" i="258" s="1"/>
  <c r="BP35" i="258"/>
  <c r="CQ113" i="258"/>
  <c r="CQ114" i="258" s="1"/>
  <c r="CQ112" i="258"/>
  <c r="CR110" i="258" s="1"/>
  <c r="BR33" i="258"/>
  <c r="BR34" i="258" s="1"/>
  <c r="BR32" i="258"/>
  <c r="BS30" i="258" s="1"/>
  <c r="CO105" i="258"/>
  <c r="CO106" i="258" s="1"/>
  <c r="CO104" i="258"/>
  <c r="CP104" i="258" s="1"/>
  <c r="CQ102" i="258" s="1"/>
  <c r="BI119" i="258"/>
  <c r="BI146" i="258" s="1"/>
  <c r="BI75" i="258"/>
  <c r="BI120" i="258" s="1"/>
  <c r="BR64" i="258"/>
  <c r="BS62" i="258" s="1"/>
  <c r="BP91" i="258"/>
  <c r="CC96" i="258"/>
  <c r="CD94" i="258" s="1"/>
  <c r="CN105" i="258"/>
  <c r="CN106" i="258" s="1"/>
  <c r="BP67" i="258"/>
  <c r="CO115" i="258"/>
  <c r="BY80" i="258"/>
  <c r="BZ78" i="258" s="1"/>
  <c r="BP88" i="258"/>
  <c r="BQ88" i="258" s="1"/>
  <c r="BR86" i="258" s="1"/>
  <c r="BP89" i="258"/>
  <c r="BP90" i="258" s="1"/>
  <c r="BP56" i="258"/>
  <c r="BQ56" i="258" s="1"/>
  <c r="BR54" i="258" s="1"/>
  <c r="BJ72" i="258"/>
  <c r="BJ73" i="258"/>
  <c r="BJ74" i="258" s="1"/>
  <c r="BL235" i="10"/>
  <c r="BM232" i="10"/>
  <c r="BM233" i="10" s="1"/>
  <c r="BQ232" i="10"/>
  <c r="BQ233" i="10" s="1"/>
  <c r="BD235" i="10"/>
  <c r="BE232" i="10"/>
  <c r="BE233" i="10" s="1"/>
  <c r="BH235" i="10"/>
  <c r="BI232" i="10"/>
  <c r="BI233" i="10" s="1"/>
  <c r="AZ235" i="10"/>
  <c r="BA232" i="10"/>
  <c r="BA233" i="10" s="1"/>
  <c r="BA235" i="10" s="1"/>
  <c r="CY132" i="5"/>
  <c r="CZ134" i="5"/>
  <c r="CX148" i="5"/>
  <c r="CX36" i="10" s="1"/>
  <c r="CY151" i="5"/>
  <c r="CZ153" i="5"/>
  <c r="CZ132" i="5" l="1"/>
  <c r="CY11" i="10"/>
  <c r="CZ11" i="10" s="1"/>
  <c r="BP57" i="258"/>
  <c r="BP58" i="258" s="1"/>
  <c r="BY81" i="258"/>
  <c r="BY82" i="258" s="1"/>
  <c r="BZ83" i="258" s="1"/>
  <c r="CO107" i="258"/>
  <c r="CC97" i="258"/>
  <c r="CC98" i="258" s="1"/>
  <c r="CC99" i="258" s="1"/>
  <c r="BR65" i="258"/>
  <c r="BR66" i="258" s="1"/>
  <c r="CQ105" i="258"/>
  <c r="CQ106" i="258" s="1"/>
  <c r="CQ104" i="258"/>
  <c r="CR102" i="258" s="1"/>
  <c r="CR112" i="258"/>
  <c r="CS110" i="258" s="1"/>
  <c r="CG24" i="258"/>
  <c r="CH22" i="258" s="1"/>
  <c r="BZ80" i="258"/>
  <c r="CA80" i="258" s="1"/>
  <c r="CB78" i="258" s="1"/>
  <c r="BZ81" i="258"/>
  <c r="BZ82" i="258" s="1"/>
  <c r="BS64" i="258"/>
  <c r="BT62" i="258" s="1"/>
  <c r="BR56" i="258"/>
  <c r="BS54" i="258" s="1"/>
  <c r="BR57" i="258"/>
  <c r="BR58" i="258" s="1"/>
  <c r="CD96" i="258"/>
  <c r="CE94" i="258" s="1"/>
  <c r="CD97" i="258"/>
  <c r="CD98" i="258" s="1"/>
  <c r="BJ119" i="258"/>
  <c r="BJ146" i="258" s="1"/>
  <c r="BJ117" i="258"/>
  <c r="BK70" i="258"/>
  <c r="BR89" i="258"/>
  <c r="BR90" i="258" s="1"/>
  <c r="BR88" i="258"/>
  <c r="BS86" i="258" s="1"/>
  <c r="CE27" i="258"/>
  <c r="BS32" i="258"/>
  <c r="BT30" i="258" s="1"/>
  <c r="BS33" i="258"/>
  <c r="BS34" i="258" s="1"/>
  <c r="BS48" i="258"/>
  <c r="BT46" i="258" s="1"/>
  <c r="BS40" i="258"/>
  <c r="BT38" i="258" s="1"/>
  <c r="BS41" i="258"/>
  <c r="BS42" i="258" s="1"/>
  <c r="BS43" i="258" s="1"/>
  <c r="BE235" i="10"/>
  <c r="BF232" i="10"/>
  <c r="BF233" i="10" s="1"/>
  <c r="BF235" i="10" s="1"/>
  <c r="BI235" i="10"/>
  <c r="BJ232" i="10"/>
  <c r="BJ233" i="10" s="1"/>
  <c r="BV232" i="10"/>
  <c r="BV233" i="10" s="1"/>
  <c r="BQ235" i="10"/>
  <c r="BR232" i="10"/>
  <c r="BR233" i="10" s="1"/>
  <c r="BN232" i="10"/>
  <c r="BN233" i="10" s="1"/>
  <c r="BM235" i="10"/>
  <c r="CY150" i="5"/>
  <c r="CZ151" i="5"/>
  <c r="BS35" i="258" l="1"/>
  <c r="BT40" i="258"/>
  <c r="BU38" i="258" s="1"/>
  <c r="BT32" i="258"/>
  <c r="BU30" i="258" s="1"/>
  <c r="BK72" i="258"/>
  <c r="BK73" i="258"/>
  <c r="BK74" i="258" s="1"/>
  <c r="BS56" i="258"/>
  <c r="BT54" i="258" s="1"/>
  <c r="BT64" i="258"/>
  <c r="BU62" i="258" s="1"/>
  <c r="CS112" i="258"/>
  <c r="CT110" i="258" s="1"/>
  <c r="CS113" i="258"/>
  <c r="CS114" i="258" s="1"/>
  <c r="BP59" i="258"/>
  <c r="CH24" i="258"/>
  <c r="CI22" i="258" s="1"/>
  <c r="CH25" i="258"/>
  <c r="CH26" i="258" s="1"/>
  <c r="BS65" i="258"/>
  <c r="BS66" i="258" s="1"/>
  <c r="BS67" i="258" s="1"/>
  <c r="CB80" i="258"/>
  <c r="CC78" i="258" s="1"/>
  <c r="CR113" i="258"/>
  <c r="CR114" i="258" s="1"/>
  <c r="CR115" i="258" s="1"/>
  <c r="BT48" i="258"/>
  <c r="BU46" i="258" s="1"/>
  <c r="BS49" i="258"/>
  <c r="BS50" i="258" s="1"/>
  <c r="BS51" i="258" s="1"/>
  <c r="BS88" i="258"/>
  <c r="BT86" i="258" s="1"/>
  <c r="CE96" i="258"/>
  <c r="CF96" i="258" s="1"/>
  <c r="CG94" i="258" s="1"/>
  <c r="CE97" i="258"/>
  <c r="CE98" i="258" s="1"/>
  <c r="CE99" i="258" s="1"/>
  <c r="CG25" i="258"/>
  <c r="CG26" i="258" s="1"/>
  <c r="CR104" i="258"/>
  <c r="CS102" i="258" s="1"/>
  <c r="BN235" i="10"/>
  <c r="BO232" i="10"/>
  <c r="BO233" i="10" s="1"/>
  <c r="BK232" i="10"/>
  <c r="BK233" i="10" s="1"/>
  <c r="BK235" i="10" s="1"/>
  <c r="BJ235" i="10"/>
  <c r="CA232" i="10"/>
  <c r="CA233" i="10" s="1"/>
  <c r="BW232" i="10"/>
  <c r="BW233" i="10" s="1"/>
  <c r="BV235" i="10"/>
  <c r="BS232" i="10"/>
  <c r="BS233" i="10" s="1"/>
  <c r="BR235" i="10"/>
  <c r="CY148" i="5"/>
  <c r="CZ150" i="5"/>
  <c r="CZ148" i="5" l="1"/>
  <c r="CY36" i="10"/>
  <c r="CZ36" i="10" s="1"/>
  <c r="CH27" i="258"/>
  <c r="BU40" i="258"/>
  <c r="BV40" i="258" s="1"/>
  <c r="BW38" i="258" s="1"/>
  <c r="BU41" i="258"/>
  <c r="BU42" i="258" s="1"/>
  <c r="BS89" i="258"/>
  <c r="BS90" i="258" s="1"/>
  <c r="BS91" i="258" s="1"/>
  <c r="BT49" i="258"/>
  <c r="BT50" i="258" s="1"/>
  <c r="CB81" i="258"/>
  <c r="CB82" i="258" s="1"/>
  <c r="CI25" i="258"/>
  <c r="CI26" i="258" s="1"/>
  <c r="CI24" i="258"/>
  <c r="CJ22" i="258" s="1"/>
  <c r="BT65" i="258"/>
  <c r="BT66" i="258" s="1"/>
  <c r="BK117" i="258"/>
  <c r="BL72" i="258"/>
  <c r="BT41" i="258"/>
  <c r="BT42" i="258" s="1"/>
  <c r="BT88" i="258"/>
  <c r="BU86" i="258" s="1"/>
  <c r="BT89" i="258"/>
  <c r="BT90" i="258" s="1"/>
  <c r="CC80" i="258"/>
  <c r="CD78" i="258" s="1"/>
  <c r="BU64" i="258"/>
  <c r="BV64" i="258" s="1"/>
  <c r="BW62" i="258" s="1"/>
  <c r="CS104" i="258"/>
  <c r="CT102" i="258" s="1"/>
  <c r="BT56" i="258"/>
  <c r="BU54" i="258" s="1"/>
  <c r="BT57" i="258"/>
  <c r="BT58" i="258" s="1"/>
  <c r="BU32" i="258"/>
  <c r="BV32" i="258" s="1"/>
  <c r="BW30" i="258" s="1"/>
  <c r="BU48" i="258"/>
  <c r="BV48" i="258" s="1"/>
  <c r="BW46" i="258" s="1"/>
  <c r="BU49" i="258"/>
  <c r="BU50" i="258" s="1"/>
  <c r="BK119" i="258"/>
  <c r="BK146" i="258" s="1"/>
  <c r="BL146" i="258" s="1"/>
  <c r="BK75" i="258"/>
  <c r="BK120" i="258" s="1"/>
  <c r="CR105" i="258"/>
  <c r="CR106" i="258" s="1"/>
  <c r="CR107" i="258" s="1"/>
  <c r="CG97" i="258"/>
  <c r="CG98" i="258" s="1"/>
  <c r="CG96" i="258"/>
  <c r="CH94" i="258" s="1"/>
  <c r="CT112" i="258"/>
  <c r="CU112" i="258" s="1"/>
  <c r="CV110" i="258" s="1"/>
  <c r="CT113" i="258"/>
  <c r="CT114" i="258" s="1"/>
  <c r="CT115" i="258" s="1"/>
  <c r="BS57" i="258"/>
  <c r="BS58" i="258" s="1"/>
  <c r="BT33" i="258"/>
  <c r="BT34" i="258" s="1"/>
  <c r="CF232" i="10"/>
  <c r="CF233" i="10" s="1"/>
  <c r="CB232" i="10"/>
  <c r="CB233" i="10" s="1"/>
  <c r="CA235" i="10"/>
  <c r="BS235" i="10"/>
  <c r="BT232" i="10"/>
  <c r="BT233" i="10" s="1"/>
  <c r="BX232" i="10"/>
  <c r="BX233" i="10" s="1"/>
  <c r="BW235" i="10"/>
  <c r="BO235" i="10"/>
  <c r="BP232" i="10"/>
  <c r="BP233" i="10" s="1"/>
  <c r="BP235" i="10" s="1"/>
  <c r="BU59" i="258" l="1"/>
  <c r="BW48" i="258"/>
  <c r="BX46" i="258" s="1"/>
  <c r="BW49" i="258"/>
  <c r="BW50" i="258" s="1"/>
  <c r="BU56" i="258"/>
  <c r="BV56" i="258" s="1"/>
  <c r="BW54" i="258" s="1"/>
  <c r="BU57" i="258"/>
  <c r="BU58" i="258" s="1"/>
  <c r="BW64" i="258"/>
  <c r="BX62" i="258" s="1"/>
  <c r="BW40" i="258"/>
  <c r="BX38" i="258" s="1"/>
  <c r="CT105" i="258"/>
  <c r="CT106" i="258" s="1"/>
  <c r="CT104" i="258"/>
  <c r="CU104" i="258" s="1"/>
  <c r="CV102" i="258" s="1"/>
  <c r="CV113" i="258"/>
  <c r="CV114" i="258" s="1"/>
  <c r="CV112" i="258"/>
  <c r="CW110" i="258" s="1"/>
  <c r="BW32" i="258"/>
  <c r="BX30" i="258" s="1"/>
  <c r="BU65" i="258"/>
  <c r="BU66" i="258" s="1"/>
  <c r="BU67" i="258" s="1"/>
  <c r="BU88" i="258"/>
  <c r="BV88" i="258" s="1"/>
  <c r="BW86" i="258" s="1"/>
  <c r="BU51" i="258"/>
  <c r="CD80" i="258"/>
  <c r="CE78" i="258" s="1"/>
  <c r="CD81" i="258"/>
  <c r="CD82" i="258" s="1"/>
  <c r="BU35" i="258"/>
  <c r="BS59" i="258"/>
  <c r="CH96" i="258"/>
  <c r="CI94" i="258" s="1"/>
  <c r="BU33" i="258"/>
  <c r="BU34" i="258" s="1"/>
  <c r="CS105" i="258"/>
  <c r="CS106" i="258" s="1"/>
  <c r="CT107" i="258" s="1"/>
  <c r="CC81" i="258"/>
  <c r="CC82" i="258" s="1"/>
  <c r="CC83" i="258" s="1"/>
  <c r="BU43" i="258"/>
  <c r="CJ24" i="258"/>
  <c r="CK24" i="258" s="1"/>
  <c r="CL22" i="258" s="1"/>
  <c r="CJ25" i="258"/>
  <c r="CJ26" i="258" s="1"/>
  <c r="BL117" i="258"/>
  <c r="BL142" i="258" s="1"/>
  <c r="BM70" i="258"/>
  <c r="BT235" i="10"/>
  <c r="BU232" i="10"/>
  <c r="BU233" i="10" s="1"/>
  <c r="BU235" i="10" s="1"/>
  <c r="CF235" i="10"/>
  <c r="CK232" i="10"/>
  <c r="CK233" i="10" s="1"/>
  <c r="CG232" i="10"/>
  <c r="CG233" i="10" s="1"/>
  <c r="BX235" i="10"/>
  <c r="BY232" i="10"/>
  <c r="BY233" i="10" s="1"/>
  <c r="CB235" i="10"/>
  <c r="CC232" i="10"/>
  <c r="CC233" i="10" s="1"/>
  <c r="CI97" i="258" l="1"/>
  <c r="CI98" i="258" s="1"/>
  <c r="CI96" i="258"/>
  <c r="CJ94" i="258" s="1"/>
  <c r="BX65" i="258"/>
  <c r="BX66" i="258" s="1"/>
  <c r="BX64" i="258"/>
  <c r="BY62" i="258" s="1"/>
  <c r="BW33" i="258"/>
  <c r="BW34" i="258" s="1"/>
  <c r="CV104" i="258"/>
  <c r="CW102" i="258" s="1"/>
  <c r="BW41" i="258"/>
  <c r="BW42" i="258" s="1"/>
  <c r="BW65" i="258"/>
  <c r="BW66" i="258" s="1"/>
  <c r="BX49" i="258"/>
  <c r="BX50" i="258" s="1"/>
  <c r="BX48" i="258"/>
  <c r="BY46" i="258" s="1"/>
  <c r="BX51" i="258"/>
  <c r="BW88" i="258"/>
  <c r="BX86" i="258" s="1"/>
  <c r="BX32" i="258"/>
  <c r="BY30" i="258" s="1"/>
  <c r="BX40" i="258"/>
  <c r="BY38" i="258" s="1"/>
  <c r="CL25" i="258"/>
  <c r="CL26" i="258" s="1"/>
  <c r="CL24" i="258"/>
  <c r="CM22" i="258" s="1"/>
  <c r="BM72" i="258"/>
  <c r="CH97" i="258"/>
  <c r="CH98" i="258" s="1"/>
  <c r="CH99" i="258" s="1"/>
  <c r="CE80" i="258"/>
  <c r="CF80" i="258" s="1"/>
  <c r="CG78" i="258" s="1"/>
  <c r="BU89" i="258"/>
  <c r="BU90" i="258" s="1"/>
  <c r="BU91" i="258" s="1"/>
  <c r="CW112" i="258"/>
  <c r="CX110" i="258" s="1"/>
  <c r="BW56" i="258"/>
  <c r="BX54" i="258" s="1"/>
  <c r="CJ27" i="258"/>
  <c r="CK235" i="10"/>
  <c r="CL232" i="10"/>
  <c r="CL233" i="10" s="1"/>
  <c r="CP232" i="10"/>
  <c r="CH232" i="10"/>
  <c r="CH233" i="10" s="1"/>
  <c r="CG235" i="10"/>
  <c r="CC235" i="10"/>
  <c r="CD232" i="10"/>
  <c r="CD233" i="10" s="1"/>
  <c r="BY235" i="10"/>
  <c r="BZ232" i="10"/>
  <c r="BZ233" i="10" s="1"/>
  <c r="BZ235" i="10" s="1"/>
  <c r="CX112" i="258" l="1"/>
  <c r="CY110" i="258" s="1"/>
  <c r="BY41" i="258"/>
  <c r="BY42" i="258" s="1"/>
  <c r="BY40" i="258"/>
  <c r="BZ38" i="258" s="1"/>
  <c r="CW113" i="258"/>
  <c r="CW114" i="258" s="1"/>
  <c r="CW115" i="258" s="1"/>
  <c r="CM24" i="258"/>
  <c r="CN22" i="258" s="1"/>
  <c r="CM25" i="258"/>
  <c r="CM26" i="258" s="1"/>
  <c r="BW89" i="258"/>
  <c r="BW90" i="258" s="1"/>
  <c r="BY49" i="258"/>
  <c r="BY50" i="258" s="1"/>
  <c r="BY48" i="258"/>
  <c r="BZ46" i="258" s="1"/>
  <c r="CV105" i="258"/>
  <c r="CV106" i="258" s="1"/>
  <c r="CW107" i="258" s="1"/>
  <c r="BY64" i="258"/>
  <c r="BZ62" i="258" s="1"/>
  <c r="BY65" i="258"/>
  <c r="BY66" i="258" s="1"/>
  <c r="CG80" i="258"/>
  <c r="CH78" i="258" s="1"/>
  <c r="CG81" i="258"/>
  <c r="CG82" i="258" s="1"/>
  <c r="BY33" i="258"/>
  <c r="BY34" i="258" s="1"/>
  <c r="BY32" i="258"/>
  <c r="BZ30" i="258" s="1"/>
  <c r="CW105" i="258"/>
  <c r="CW106" i="258" s="1"/>
  <c r="CW104" i="258"/>
  <c r="CX102" i="258" s="1"/>
  <c r="BX89" i="258"/>
  <c r="BX90" i="258" s="1"/>
  <c r="BX88" i="258"/>
  <c r="BY86" i="258" s="1"/>
  <c r="BX57" i="258"/>
  <c r="BX58" i="258" s="1"/>
  <c r="BX56" i="258"/>
  <c r="BY54" i="258" s="1"/>
  <c r="BM117" i="258"/>
  <c r="BN70" i="258"/>
  <c r="BW57" i="258"/>
  <c r="BW58" i="258" s="1"/>
  <c r="BX59" i="258" s="1"/>
  <c r="CE81" i="258"/>
  <c r="CE82" i="258" s="1"/>
  <c r="CE83" i="258" s="1"/>
  <c r="BM73" i="258"/>
  <c r="BM74" i="258" s="1"/>
  <c r="BX41" i="258"/>
  <c r="BX42" i="258" s="1"/>
  <c r="BX43" i="258" s="1"/>
  <c r="BX33" i="258"/>
  <c r="BX34" i="258" s="1"/>
  <c r="BX67" i="258"/>
  <c r="BX35" i="258"/>
  <c r="CJ96" i="258"/>
  <c r="CK96" i="258" s="1"/>
  <c r="CL94" i="258" s="1"/>
  <c r="CI232" i="10"/>
  <c r="CI233" i="10" s="1"/>
  <c r="CH235" i="10"/>
  <c r="CD235" i="10"/>
  <c r="CE232" i="10"/>
  <c r="CE233" i="10" s="1"/>
  <c r="CE235" i="10" s="1"/>
  <c r="CM232" i="10"/>
  <c r="CL235" i="10"/>
  <c r="CY112" i="258" l="1"/>
  <c r="CZ112" i="258" s="1"/>
  <c r="CJ97" i="258"/>
  <c r="CJ98" i="258" s="1"/>
  <c r="CJ99" i="258" s="1"/>
  <c r="BY56" i="258"/>
  <c r="BZ54" i="258" s="1"/>
  <c r="CX104" i="258"/>
  <c r="CY102" i="258" s="1"/>
  <c r="CX105" i="258"/>
  <c r="CX106" i="258" s="1"/>
  <c r="CH80" i="258"/>
  <c r="CI78" i="258" s="1"/>
  <c r="CH81" i="258"/>
  <c r="CH82" i="258" s="1"/>
  <c r="CH83" i="258" s="1"/>
  <c r="BZ48" i="258"/>
  <c r="CA48" i="258" s="1"/>
  <c r="CB46" i="258" s="1"/>
  <c r="CN24" i="258"/>
  <c r="CO22" i="258" s="1"/>
  <c r="CN25" i="258"/>
  <c r="CN26" i="258" s="1"/>
  <c r="BZ40" i="258"/>
  <c r="CA40" i="258" s="1"/>
  <c r="CB38" i="258" s="1"/>
  <c r="BZ41" i="258"/>
  <c r="BZ42" i="258" s="1"/>
  <c r="CL96" i="258"/>
  <c r="CM94" i="258" s="1"/>
  <c r="CM27" i="258"/>
  <c r="BZ43" i="258"/>
  <c r="BN72" i="258"/>
  <c r="BY88" i="258"/>
  <c r="BZ86" i="258" s="1"/>
  <c r="BZ33" i="258"/>
  <c r="BZ34" i="258" s="1"/>
  <c r="BZ32" i="258"/>
  <c r="CA32" i="258" s="1"/>
  <c r="CB30" i="258" s="1"/>
  <c r="BZ64" i="258"/>
  <c r="CA64" i="258" s="1"/>
  <c r="CB62" i="258" s="1"/>
  <c r="BX91" i="258"/>
  <c r="CX113" i="258"/>
  <c r="CX114" i="258" s="1"/>
  <c r="BM119" i="258"/>
  <c r="BM146" i="258" s="1"/>
  <c r="CI235" i="10"/>
  <c r="CJ232" i="10"/>
  <c r="CJ233" i="10" s="1"/>
  <c r="CJ235" i="10" s="1"/>
  <c r="BN117" i="258" l="1"/>
  <c r="BO70" i="258"/>
  <c r="CM97" i="258"/>
  <c r="CM98" i="258" s="1"/>
  <c r="CM96" i="258"/>
  <c r="CN94" i="258" s="1"/>
  <c r="BZ57" i="258"/>
  <c r="BZ58" i="258" s="1"/>
  <c r="BZ56" i="258"/>
  <c r="CA56" i="258" s="1"/>
  <c r="CB54" i="258" s="1"/>
  <c r="BZ65" i="258"/>
  <c r="BZ66" i="258" s="1"/>
  <c r="BZ67" i="258" s="1"/>
  <c r="BY89" i="258"/>
  <c r="BY90" i="258" s="1"/>
  <c r="CO24" i="258"/>
  <c r="CP24" i="258" s="1"/>
  <c r="CQ22" i="258" s="1"/>
  <c r="CO25" i="258"/>
  <c r="CO26" i="258" s="1"/>
  <c r="CI81" i="258"/>
  <c r="CI82" i="258" s="1"/>
  <c r="CI80" i="258"/>
  <c r="CJ78" i="258" s="1"/>
  <c r="BY57" i="258"/>
  <c r="BY58" i="258" s="1"/>
  <c r="CO27" i="258"/>
  <c r="CB64" i="258"/>
  <c r="CC62" i="258" s="1"/>
  <c r="CB65" i="258"/>
  <c r="CB66" i="258" s="1"/>
  <c r="CB48" i="258"/>
  <c r="CC46" i="258" s="1"/>
  <c r="BZ35" i="258"/>
  <c r="BZ88" i="258"/>
  <c r="CA88" i="258" s="1"/>
  <c r="CB86" i="258" s="1"/>
  <c r="CB32" i="258"/>
  <c r="CC30" i="258" s="1"/>
  <c r="CB33" i="258"/>
  <c r="CB34" i="258" s="1"/>
  <c r="BN73" i="258"/>
  <c r="BN74" i="258" s="1"/>
  <c r="CL97" i="258"/>
  <c r="CL98" i="258" s="1"/>
  <c r="CM99" i="258" s="1"/>
  <c r="CB40" i="258"/>
  <c r="CC38" i="258" s="1"/>
  <c r="CB41" i="258"/>
  <c r="CB42" i="258" s="1"/>
  <c r="BZ49" i="258"/>
  <c r="BZ50" i="258" s="1"/>
  <c r="BZ51" i="258" s="1"/>
  <c r="CY104" i="258"/>
  <c r="CZ104" i="258" s="1"/>
  <c r="CY113" i="258"/>
  <c r="CY114" i="258" s="1"/>
  <c r="CY115" i="258" s="1"/>
  <c r="CC40" i="258" l="1"/>
  <c r="CD38" i="258" s="1"/>
  <c r="CC32" i="258"/>
  <c r="CD30" i="258" s="1"/>
  <c r="CC33" i="258"/>
  <c r="CC34" i="258" s="1"/>
  <c r="CB49" i="258"/>
  <c r="CB50" i="258" s="1"/>
  <c r="CN96" i="258"/>
  <c r="CO94" i="258" s="1"/>
  <c r="CC48" i="258"/>
  <c r="CD46" i="258" s="1"/>
  <c r="CY105" i="258"/>
  <c r="CY106" i="258" s="1"/>
  <c r="CY107" i="258" s="1"/>
  <c r="BZ59" i="258"/>
  <c r="CQ24" i="258"/>
  <c r="CR22" i="258" s="1"/>
  <c r="CB89" i="258"/>
  <c r="CB90" i="258" s="1"/>
  <c r="CB88" i="258"/>
  <c r="CC86" i="258" s="1"/>
  <c r="BN119" i="258"/>
  <c r="BN146" i="258" s="1"/>
  <c r="BN75" i="258"/>
  <c r="BN120" i="258" s="1"/>
  <c r="BZ89" i="258"/>
  <c r="BZ90" i="258" s="1"/>
  <c r="BZ91" i="258" s="1"/>
  <c r="CC64" i="258"/>
  <c r="CD62" i="258" s="1"/>
  <c r="CJ80" i="258"/>
  <c r="CK80" i="258" s="1"/>
  <c r="CL78" i="258" s="1"/>
  <c r="CJ81" i="258"/>
  <c r="CJ82" i="258" s="1"/>
  <c r="CJ83" i="258" s="1"/>
  <c r="CB56" i="258"/>
  <c r="CC54" i="258" s="1"/>
  <c r="CB57" i="258"/>
  <c r="CB58" i="258" s="1"/>
  <c r="BO72" i="258"/>
  <c r="CO96" i="258" l="1"/>
  <c r="CP96" i="258" s="1"/>
  <c r="CQ94" i="258" s="1"/>
  <c r="CL80" i="258"/>
  <c r="CM78" i="258" s="1"/>
  <c r="CL81" i="258"/>
  <c r="CL82" i="258" s="1"/>
  <c r="CQ25" i="258"/>
  <c r="CQ26" i="258" s="1"/>
  <c r="CC49" i="258"/>
  <c r="CC50" i="258" s="1"/>
  <c r="CC51" i="258" s="1"/>
  <c r="CD49" i="258"/>
  <c r="CD50" i="258" s="1"/>
  <c r="CD48" i="258"/>
  <c r="CE46" i="258" s="1"/>
  <c r="CD41" i="258"/>
  <c r="CD42" i="258" s="1"/>
  <c r="CD40" i="258"/>
  <c r="CE38" i="258" s="1"/>
  <c r="CR24" i="258"/>
  <c r="CS22" i="258" s="1"/>
  <c r="CR25" i="258"/>
  <c r="CR26" i="258" s="1"/>
  <c r="CD32" i="258"/>
  <c r="CE30" i="258" s="1"/>
  <c r="BO117" i="258"/>
  <c r="BP70" i="258"/>
  <c r="BO73" i="258"/>
  <c r="BO74" i="258" s="1"/>
  <c r="CD64" i="258"/>
  <c r="CE62" i="258" s="1"/>
  <c r="CC56" i="258"/>
  <c r="CD54" i="258" s="1"/>
  <c r="CC65" i="258"/>
  <c r="CC66" i="258" s="1"/>
  <c r="CC67" i="258" s="1"/>
  <c r="CC89" i="258"/>
  <c r="CC90" i="258" s="1"/>
  <c r="CC91" i="258" s="1"/>
  <c r="CC88" i="258"/>
  <c r="CD86" i="258" s="1"/>
  <c r="CN97" i="258"/>
  <c r="CN98" i="258" s="1"/>
  <c r="CC41" i="258"/>
  <c r="CC42" i="258" s="1"/>
  <c r="CC43" i="258" s="1"/>
  <c r="CC35" i="258"/>
  <c r="CD65" i="258" l="1"/>
  <c r="CD66" i="258" s="1"/>
  <c r="CS24" i="258"/>
  <c r="CT22" i="258" s="1"/>
  <c r="CE48" i="258"/>
  <c r="CF48" i="258" s="1"/>
  <c r="CG46" i="258" s="1"/>
  <c r="CR27" i="258"/>
  <c r="CO97" i="258"/>
  <c r="CO98" i="258" s="1"/>
  <c r="CQ97" i="258"/>
  <c r="CQ98" i="258" s="1"/>
  <c r="CQ96" i="258"/>
  <c r="CR94" i="258" s="1"/>
  <c r="CO99" i="258"/>
  <c r="CD56" i="258"/>
  <c r="CE54" i="258" s="1"/>
  <c r="CD57" i="258"/>
  <c r="CD58" i="258" s="1"/>
  <c r="CE32" i="258"/>
  <c r="CF32" i="258" s="1"/>
  <c r="CG30" i="258" s="1"/>
  <c r="CE64" i="258"/>
  <c r="CF64" i="258" s="1"/>
  <c r="CG62" i="258" s="1"/>
  <c r="BP72" i="258"/>
  <c r="BP73" i="258"/>
  <c r="BP74" i="258" s="1"/>
  <c r="BP119" i="258" s="1"/>
  <c r="BP146" i="258" s="1"/>
  <c r="CD89" i="258"/>
  <c r="CD90" i="258" s="1"/>
  <c r="CD88" i="258"/>
  <c r="CE86" i="258" s="1"/>
  <c r="CC57" i="258"/>
  <c r="CC58" i="258" s="1"/>
  <c r="CC59" i="258" s="1"/>
  <c r="BO119" i="258"/>
  <c r="BO146" i="258" s="1"/>
  <c r="BQ146" i="258" s="1"/>
  <c r="CD33" i="258"/>
  <c r="CD34" i="258" s="1"/>
  <c r="CE40" i="258"/>
  <c r="CF40" i="258" s="1"/>
  <c r="CG38" i="258" s="1"/>
  <c r="CM80" i="258"/>
  <c r="CN78" i="258" s="1"/>
  <c r="CM81" i="258"/>
  <c r="CM82" i="258" s="1"/>
  <c r="CM83" i="258" s="1"/>
  <c r="CG32" i="258" l="1"/>
  <c r="CH30" i="258" s="1"/>
  <c r="CG33" i="258"/>
  <c r="CG34" i="258" s="1"/>
  <c r="CG48" i="258"/>
  <c r="CH46" i="258" s="1"/>
  <c r="CE41" i="258"/>
  <c r="CE42" i="258" s="1"/>
  <c r="CE43" i="258" s="1"/>
  <c r="BP75" i="258"/>
  <c r="BP120" i="258" s="1"/>
  <c r="CE65" i="258"/>
  <c r="CE66" i="258" s="1"/>
  <c r="CE67" i="258" s="1"/>
  <c r="CE33" i="258"/>
  <c r="CE34" i="258" s="1"/>
  <c r="CR96" i="258"/>
  <c r="CS94" i="258" s="1"/>
  <c r="CR97" i="258"/>
  <c r="CR98" i="258" s="1"/>
  <c r="CR99" i="258" s="1"/>
  <c r="CT24" i="258"/>
  <c r="CU24" i="258" s="1"/>
  <c r="CV22" i="258" s="1"/>
  <c r="CG40" i="258"/>
  <c r="CH38" i="258" s="1"/>
  <c r="CE59" i="258"/>
  <c r="CS25" i="258"/>
  <c r="CS26" i="258" s="1"/>
  <c r="CG65" i="258"/>
  <c r="CG66" i="258" s="1"/>
  <c r="CG64" i="258"/>
  <c r="CH62" i="258" s="1"/>
  <c r="CN80" i="258"/>
  <c r="CO78" i="258" s="1"/>
  <c r="CN81" i="258"/>
  <c r="CN82" i="258" s="1"/>
  <c r="CE35" i="258"/>
  <c r="CE88" i="258"/>
  <c r="CF88" i="258" s="1"/>
  <c r="CG86" i="258" s="1"/>
  <c r="BP117" i="258"/>
  <c r="BQ72" i="258"/>
  <c r="CE56" i="258"/>
  <c r="CF56" i="258" s="1"/>
  <c r="CG54" i="258" s="1"/>
  <c r="CE57" i="258"/>
  <c r="CE58" i="258" s="1"/>
  <c r="CE49" i="258"/>
  <c r="CE50" i="258" s="1"/>
  <c r="CE51" i="258" s="1"/>
  <c r="CG89" i="258" l="1"/>
  <c r="CG90" i="258" s="1"/>
  <c r="CG88" i="258"/>
  <c r="CH86" i="258" s="1"/>
  <c r="CH40" i="258"/>
  <c r="CI38" i="258" s="1"/>
  <c r="CH41" i="258"/>
  <c r="CH42" i="258" s="1"/>
  <c r="CH49" i="258"/>
  <c r="CH50" i="258" s="1"/>
  <c r="CH48" i="258"/>
  <c r="CI46" i="258" s="1"/>
  <c r="CG57" i="258"/>
  <c r="CG58" i="258" s="1"/>
  <c r="CG56" i="258"/>
  <c r="CH54" i="258" s="1"/>
  <c r="CE89" i="258"/>
  <c r="CE90" i="258" s="1"/>
  <c r="CE91" i="258" s="1"/>
  <c r="CO80" i="258"/>
  <c r="CP80" i="258" s="1"/>
  <c r="CQ78" i="258" s="1"/>
  <c r="CO81" i="258"/>
  <c r="CO82" i="258" s="1"/>
  <c r="CO83" i="258" s="1"/>
  <c r="CG41" i="258"/>
  <c r="CG42" i="258" s="1"/>
  <c r="CS96" i="258"/>
  <c r="CT94" i="258" s="1"/>
  <c r="CH33" i="258"/>
  <c r="CH34" i="258" s="1"/>
  <c r="CH32" i="258"/>
  <c r="CI30" i="258" s="1"/>
  <c r="BQ117" i="258"/>
  <c r="BQ142" i="258" s="1"/>
  <c r="BR70" i="258"/>
  <c r="CH64" i="258"/>
  <c r="CI62" i="258" s="1"/>
  <c r="CT25" i="258"/>
  <c r="CT26" i="258" s="1"/>
  <c r="CG49" i="258"/>
  <c r="CG50" i="258" s="1"/>
  <c r="CH51" i="258" s="1"/>
  <c r="CV24" i="258"/>
  <c r="CW22" i="258" s="1"/>
  <c r="CS97" i="258" l="1"/>
  <c r="CS98" i="258" s="1"/>
  <c r="CQ80" i="258"/>
  <c r="CR78" i="258" s="1"/>
  <c r="CI48" i="258"/>
  <c r="CJ46" i="258" s="1"/>
  <c r="CH35" i="258"/>
  <c r="CT27" i="258"/>
  <c r="BR72" i="258"/>
  <c r="CV25" i="258"/>
  <c r="CV26" i="258" s="1"/>
  <c r="CI64" i="258"/>
  <c r="CJ62" i="258" s="1"/>
  <c r="CT96" i="258"/>
  <c r="CU96" i="258" s="1"/>
  <c r="CV94" i="258" s="1"/>
  <c r="CW24" i="258"/>
  <c r="CX22" i="258" s="1"/>
  <c r="CW25" i="258"/>
  <c r="CW26" i="258" s="1"/>
  <c r="CH65" i="258"/>
  <c r="CH66" i="258" s="1"/>
  <c r="CH67" i="258" s="1"/>
  <c r="CI32" i="258"/>
  <c r="CJ30" i="258" s="1"/>
  <c r="CH43" i="258"/>
  <c r="CH56" i="258"/>
  <c r="CI54" i="258" s="1"/>
  <c r="CI40" i="258"/>
  <c r="CJ38" i="258" s="1"/>
  <c r="CI41" i="258"/>
  <c r="CI42" i="258" s="1"/>
  <c r="CH88" i="258"/>
  <c r="CI86" i="258" s="1"/>
  <c r="CJ32" i="258" l="1"/>
  <c r="CK32" i="258" s="1"/>
  <c r="CL30" i="258" s="1"/>
  <c r="CX24" i="258"/>
  <c r="CY22" i="258" s="1"/>
  <c r="CJ64" i="258"/>
  <c r="CK64" i="258" s="1"/>
  <c r="CL62" i="258" s="1"/>
  <c r="CJ65" i="258"/>
  <c r="CJ66" i="258" s="1"/>
  <c r="BR117" i="258"/>
  <c r="BS70" i="258"/>
  <c r="CJ48" i="258"/>
  <c r="CK48" i="258" s="1"/>
  <c r="CL46" i="258" s="1"/>
  <c r="CV96" i="258"/>
  <c r="CW94" i="258" s="1"/>
  <c r="CV97" i="258"/>
  <c r="CV98" i="258" s="1"/>
  <c r="CR80" i="258"/>
  <c r="CS78" i="258" s="1"/>
  <c r="CJ40" i="258"/>
  <c r="CK40" i="258" s="1"/>
  <c r="CL38" i="258" s="1"/>
  <c r="CJ41" i="258"/>
  <c r="CJ42" i="258" s="1"/>
  <c r="CI88" i="258"/>
  <c r="CJ86" i="258" s="1"/>
  <c r="CI56" i="258"/>
  <c r="CJ54" i="258" s="1"/>
  <c r="CI33" i="258"/>
  <c r="CI34" i="258" s="1"/>
  <c r="CI65" i="258"/>
  <c r="CI66" i="258" s="1"/>
  <c r="BR73" i="258"/>
  <c r="BR74" i="258" s="1"/>
  <c r="CI49" i="258"/>
  <c r="CI50" i="258" s="1"/>
  <c r="CH89" i="258"/>
  <c r="CH90" i="258" s="1"/>
  <c r="CH91" i="258" s="1"/>
  <c r="CH57" i="258"/>
  <c r="CH58" i="258" s="1"/>
  <c r="CT97" i="258"/>
  <c r="CT98" i="258" s="1"/>
  <c r="CT99" i="258" s="1"/>
  <c r="CW27" i="258"/>
  <c r="CQ81" i="258"/>
  <c r="CQ82" i="258" s="1"/>
  <c r="CJ43" i="258"/>
  <c r="CJ88" i="258" l="1"/>
  <c r="CK88" i="258" s="1"/>
  <c r="CL86" i="258" s="1"/>
  <c r="CJ89" i="258"/>
  <c r="CJ90" i="258" s="1"/>
  <c r="CS80" i="258"/>
  <c r="CT78" i="258" s="1"/>
  <c r="BS72" i="258"/>
  <c r="BS73" i="258"/>
  <c r="BS74" i="258" s="1"/>
  <c r="BS119" i="258" s="1"/>
  <c r="BS146" i="258" s="1"/>
  <c r="CY24" i="258"/>
  <c r="CZ24" i="258" s="1"/>
  <c r="CY25" i="258"/>
  <c r="CY26" i="258" s="1"/>
  <c r="CX25" i="258"/>
  <c r="CX26" i="258" s="1"/>
  <c r="CJ56" i="258"/>
  <c r="CK56" i="258" s="1"/>
  <c r="CL54" i="258" s="1"/>
  <c r="BR119" i="258"/>
  <c r="BR146" i="258" s="1"/>
  <c r="CL40" i="258"/>
  <c r="CM38" i="258" s="1"/>
  <c r="CL41" i="258"/>
  <c r="CL42" i="258" s="1"/>
  <c r="CL49" i="258"/>
  <c r="CL50" i="258" s="1"/>
  <c r="CL48" i="258"/>
  <c r="CM46" i="258" s="1"/>
  <c r="CL32" i="258"/>
  <c r="CM30" i="258" s="1"/>
  <c r="CJ51" i="258"/>
  <c r="CI57" i="258"/>
  <c r="CI58" i="258" s="1"/>
  <c r="CH59" i="258"/>
  <c r="CJ67" i="258"/>
  <c r="CI89" i="258"/>
  <c r="CI90" i="258" s="1"/>
  <c r="CJ91" i="258" s="1"/>
  <c r="CR81" i="258"/>
  <c r="CR82" i="258" s="1"/>
  <c r="CR83" i="258" s="1"/>
  <c r="CW97" i="258"/>
  <c r="CW98" i="258" s="1"/>
  <c r="CW99" i="258" s="1"/>
  <c r="CW96" i="258"/>
  <c r="CX94" i="258" s="1"/>
  <c r="CJ49" i="258"/>
  <c r="CJ50" i="258" s="1"/>
  <c r="CL64" i="258"/>
  <c r="CM62" i="258" s="1"/>
  <c r="CL65" i="258"/>
  <c r="CL66" i="258" s="1"/>
  <c r="CJ33" i="258"/>
  <c r="CJ34" i="258" s="1"/>
  <c r="CY27" i="258" l="1"/>
  <c r="CM65" i="258"/>
  <c r="CM66" i="258" s="1"/>
  <c r="CM67" i="258" s="1"/>
  <c r="CM64" i="258"/>
  <c r="CN62" i="258" s="1"/>
  <c r="CM32" i="258"/>
  <c r="CN30" i="258" s="1"/>
  <c r="BS75" i="258"/>
  <c r="BS120" i="258" s="1"/>
  <c r="BS117" i="258"/>
  <c r="BT70" i="258"/>
  <c r="CL88" i="258"/>
  <c r="CM86" i="258" s="1"/>
  <c r="CL57" i="258"/>
  <c r="CL58" i="258" s="1"/>
  <c r="CL56" i="258"/>
  <c r="CM54" i="258" s="1"/>
  <c r="CT80" i="258"/>
  <c r="CU80" i="258" s="1"/>
  <c r="CV78" i="258" s="1"/>
  <c r="CT81" i="258"/>
  <c r="CT82" i="258" s="1"/>
  <c r="CL33" i="258"/>
  <c r="CL34" i="258" s="1"/>
  <c r="CX96" i="258"/>
  <c r="CY94" i="258" s="1"/>
  <c r="CM48" i="258"/>
  <c r="CN46" i="258" s="1"/>
  <c r="CM40" i="258"/>
  <c r="CN38" i="258" s="1"/>
  <c r="CJ57" i="258"/>
  <c r="CJ58" i="258" s="1"/>
  <c r="CJ59" i="258" s="1"/>
  <c r="CS81" i="258"/>
  <c r="CS82" i="258" s="1"/>
  <c r="CT83" i="258" s="1"/>
  <c r="CJ35" i="258"/>
  <c r="CN48" i="258" l="1"/>
  <c r="CO46" i="258" s="1"/>
  <c r="CM89" i="258"/>
  <c r="CM90" i="258" s="1"/>
  <c r="CM88" i="258"/>
  <c r="CN86" i="258" s="1"/>
  <c r="CM49" i="258"/>
  <c r="CM50" i="258" s="1"/>
  <c r="CM51" i="258" s="1"/>
  <c r="CV80" i="258"/>
  <c r="CW78" i="258" s="1"/>
  <c r="CL89" i="258"/>
  <c r="CL90" i="258" s="1"/>
  <c r="CM33" i="258"/>
  <c r="CM34" i="258" s="1"/>
  <c r="CM41" i="258"/>
  <c r="CM42" i="258" s="1"/>
  <c r="CM43" i="258" s="1"/>
  <c r="CX97" i="258"/>
  <c r="CX98" i="258" s="1"/>
  <c r="BT72" i="258"/>
  <c r="BT73" i="258" s="1"/>
  <c r="BT74" i="258" s="1"/>
  <c r="CN33" i="258"/>
  <c r="CN34" i="258" s="1"/>
  <c r="CN32" i="258"/>
  <c r="CO30" i="258" s="1"/>
  <c r="CN40" i="258"/>
  <c r="CO38" i="258" s="1"/>
  <c r="CY96" i="258"/>
  <c r="CZ96" i="258" s="1"/>
  <c r="CY97" i="258"/>
  <c r="CY98" i="258" s="1"/>
  <c r="CM56" i="258"/>
  <c r="CN54" i="258" s="1"/>
  <c r="CN64" i="258"/>
  <c r="CO62" i="258" s="1"/>
  <c r="BT119" i="258" l="1"/>
  <c r="BT146" i="258" s="1"/>
  <c r="CN56" i="258"/>
  <c r="CO54" i="258" s="1"/>
  <c r="CW80" i="258"/>
  <c r="CX78" i="258" s="1"/>
  <c r="CO49" i="258"/>
  <c r="CO50" i="258" s="1"/>
  <c r="CO48" i="258"/>
  <c r="CP48" i="258" s="1"/>
  <c r="CQ46" i="258" s="1"/>
  <c r="CM57" i="258"/>
  <c r="CM58" i="258" s="1"/>
  <c r="CM59" i="258" s="1"/>
  <c r="CN41" i="258"/>
  <c r="CN42" i="258" s="1"/>
  <c r="CV81" i="258"/>
  <c r="CV82" i="258" s="1"/>
  <c r="CN88" i="258"/>
  <c r="CO86" i="258" s="1"/>
  <c r="CO40" i="258"/>
  <c r="CP40" i="258" s="1"/>
  <c r="CQ38" i="258" s="1"/>
  <c r="CO41" i="258"/>
  <c r="CO42" i="258" s="1"/>
  <c r="BT117" i="258"/>
  <c r="BU70" i="258"/>
  <c r="CO65" i="258"/>
  <c r="CO66" i="258" s="1"/>
  <c r="CO64" i="258"/>
  <c r="CP64" i="258" s="1"/>
  <c r="CQ62" i="258" s="1"/>
  <c r="CN65" i="258"/>
  <c r="CN66" i="258" s="1"/>
  <c r="CO32" i="258"/>
  <c r="CP32" i="258" s="1"/>
  <c r="CQ30" i="258" s="1"/>
  <c r="CY99" i="258"/>
  <c r="CM91" i="258"/>
  <c r="CM35" i="258"/>
  <c r="CN49" i="258"/>
  <c r="CN50" i="258" s="1"/>
  <c r="CO51" i="258" s="1"/>
  <c r="CO89" i="258" l="1"/>
  <c r="CO90" i="258" s="1"/>
  <c r="CO88" i="258"/>
  <c r="CP88" i="258" s="1"/>
  <c r="CQ86" i="258" s="1"/>
  <c r="CX80" i="258"/>
  <c r="CY78" i="258" s="1"/>
  <c r="CO33" i="258"/>
  <c r="CO34" i="258" s="1"/>
  <c r="CN89" i="258"/>
  <c r="CN90" i="258" s="1"/>
  <c r="CQ48" i="258"/>
  <c r="CR46" i="258" s="1"/>
  <c r="CN57" i="258"/>
  <c r="CN58" i="258" s="1"/>
  <c r="CO67" i="258"/>
  <c r="CW83" i="258"/>
  <c r="CO56" i="258"/>
  <c r="CP56" i="258" s="1"/>
  <c r="CQ54" i="258" s="1"/>
  <c r="CO57" i="258"/>
  <c r="CO58" i="258" s="1"/>
  <c r="CQ32" i="258"/>
  <c r="CR30" i="258" s="1"/>
  <c r="CQ33" i="258"/>
  <c r="CQ34" i="258" s="1"/>
  <c r="BU72" i="258"/>
  <c r="BU73" i="258"/>
  <c r="BU74" i="258" s="1"/>
  <c r="CQ64" i="258"/>
  <c r="CR62" i="258" s="1"/>
  <c r="CQ65" i="258"/>
  <c r="CQ66" i="258" s="1"/>
  <c r="CQ41" i="258"/>
  <c r="CQ42" i="258" s="1"/>
  <c r="CQ40" i="258"/>
  <c r="CR38" i="258" s="1"/>
  <c r="CO43" i="258"/>
  <c r="CW81" i="258"/>
  <c r="CW82" i="258" s="1"/>
  <c r="CR35" i="258" l="1"/>
  <c r="CR40" i="258"/>
  <c r="CS38" i="258" s="1"/>
  <c r="CR65" i="258"/>
  <c r="CR66" i="258" s="1"/>
  <c r="CR67" i="258" s="1"/>
  <c r="CR64" i="258"/>
  <c r="CS62" i="258" s="1"/>
  <c r="CR33" i="258"/>
  <c r="CR34" i="258" s="1"/>
  <c r="CR32" i="258"/>
  <c r="CS30" i="258" s="1"/>
  <c r="CO91" i="258"/>
  <c r="CX81" i="258"/>
  <c r="CX82" i="258" s="1"/>
  <c r="CR48" i="258"/>
  <c r="CS46" i="258" s="1"/>
  <c r="CO59" i="258"/>
  <c r="CY80" i="258"/>
  <c r="CZ80" i="258" s="1"/>
  <c r="BU119" i="258"/>
  <c r="BU146" i="258" s="1"/>
  <c r="BV146" i="258" s="1"/>
  <c r="BU75" i="258"/>
  <c r="BU120" i="258" s="1"/>
  <c r="BU117" i="258"/>
  <c r="BV72" i="258"/>
  <c r="CQ57" i="258"/>
  <c r="CQ58" i="258" s="1"/>
  <c r="CQ56" i="258"/>
  <c r="CR54" i="258" s="1"/>
  <c r="CQ49" i="258"/>
  <c r="CQ50" i="258" s="1"/>
  <c r="CO35" i="258"/>
  <c r="CQ88" i="258"/>
  <c r="CR86" i="258" s="1"/>
  <c r="CQ89" i="258"/>
  <c r="CQ90" i="258" s="1"/>
  <c r="CS48" i="258" l="1"/>
  <c r="CT46" i="258" s="1"/>
  <c r="CR89" i="258"/>
  <c r="CR90" i="258" s="1"/>
  <c r="CR88" i="258"/>
  <c r="CS86" i="258" s="1"/>
  <c r="CR57" i="258"/>
  <c r="CR58" i="258" s="1"/>
  <c r="CR59" i="258" s="1"/>
  <c r="CR56" i="258"/>
  <c r="CS54" i="258" s="1"/>
  <c r="CR49" i="258"/>
  <c r="CR50" i="258" s="1"/>
  <c r="CS32" i="258"/>
  <c r="CT30" i="258" s="1"/>
  <c r="CR41" i="258"/>
  <c r="CR42" i="258" s="1"/>
  <c r="CR43" i="258" s="1"/>
  <c r="CR91" i="258"/>
  <c r="CS40" i="258"/>
  <c r="CT38" i="258" s="1"/>
  <c r="BV117" i="258"/>
  <c r="BV142" i="258" s="1"/>
  <c r="BW70" i="258"/>
  <c r="CY81" i="258"/>
  <c r="CY82" i="258" s="1"/>
  <c r="CY83" i="258" s="1"/>
  <c r="CS65" i="258"/>
  <c r="CS66" i="258" s="1"/>
  <c r="CS64" i="258"/>
  <c r="CT62" i="258" s="1"/>
  <c r="CR51" i="258" l="1"/>
  <c r="CT64" i="258"/>
  <c r="CU64" i="258" s="1"/>
  <c r="CV62" i="258" s="1"/>
  <c r="CT65" i="258"/>
  <c r="CT66" i="258" s="1"/>
  <c r="BW72" i="258"/>
  <c r="CS41" i="258"/>
  <c r="CS42" i="258" s="1"/>
  <c r="CS57" i="258"/>
  <c r="CS58" i="258" s="1"/>
  <c r="CS56" i="258"/>
  <c r="CT54" i="258" s="1"/>
  <c r="CT40" i="258"/>
  <c r="CU40" i="258" s="1"/>
  <c r="CT41" i="258"/>
  <c r="CT42" i="258" s="1"/>
  <c r="CT33" i="258"/>
  <c r="CT34" i="258" s="1"/>
  <c r="CT32" i="258"/>
  <c r="CU32" i="258" s="1"/>
  <c r="CT48" i="258"/>
  <c r="CU48" i="258" s="1"/>
  <c r="CT67" i="258"/>
  <c r="CS33" i="258"/>
  <c r="CS34" i="258" s="1"/>
  <c r="CS88" i="258"/>
  <c r="CT86" i="258" s="1"/>
  <c r="CS89" i="258"/>
  <c r="CS90" i="258" s="1"/>
  <c r="CS49" i="258"/>
  <c r="CS50" i="258" s="1"/>
  <c r="CT43" i="258" l="1"/>
  <c r="CV64" i="258"/>
  <c r="CW62" i="258" s="1"/>
  <c r="CV65" i="258"/>
  <c r="CV66" i="258" s="1"/>
  <c r="CT88" i="258"/>
  <c r="CU88" i="258" s="1"/>
  <c r="CV86" i="258" s="1"/>
  <c r="CT89" i="258"/>
  <c r="CT90" i="258" s="1"/>
  <c r="CT49" i="258"/>
  <c r="CT50" i="258" s="1"/>
  <c r="CT51" i="258" s="1"/>
  <c r="BW117" i="258"/>
  <c r="BX70" i="258"/>
  <c r="CT91" i="258"/>
  <c r="CT35" i="258"/>
  <c r="CT56" i="258"/>
  <c r="CU56" i="258" s="1"/>
  <c r="BW73" i="258"/>
  <c r="BW74" i="258" s="1"/>
  <c r="CT57" i="258" l="1"/>
  <c r="CT58" i="258" s="1"/>
  <c r="CT59" i="258" s="1"/>
  <c r="BX72" i="258"/>
  <c r="BX73" i="258"/>
  <c r="BX74" i="258" s="1"/>
  <c r="BX119" i="258" s="1"/>
  <c r="BX146" i="258" s="1"/>
  <c r="CV88" i="258"/>
  <c r="CW86" i="258" s="1"/>
  <c r="CW64" i="258"/>
  <c r="CX62" i="258" s="1"/>
  <c r="BX75" i="258"/>
  <c r="BX120" i="258" s="1"/>
  <c r="BW119" i="258"/>
  <c r="BW146" i="258" s="1"/>
  <c r="CV89" i="258" l="1"/>
  <c r="CV90" i="258" s="1"/>
  <c r="CW88" i="258"/>
  <c r="CX86" i="258" s="1"/>
  <c r="CX64" i="258"/>
  <c r="CY62" i="258" s="1"/>
  <c r="CW65" i="258"/>
  <c r="CW66" i="258" s="1"/>
  <c r="BX117" i="258"/>
  <c r="BY70" i="258"/>
  <c r="CW67" i="258" l="1"/>
  <c r="CW89" i="258"/>
  <c r="CW90" i="258" s="1"/>
  <c r="CW91" i="258" s="1"/>
  <c r="CX89" i="258"/>
  <c r="CX90" i="258" s="1"/>
  <c r="CX88" i="258"/>
  <c r="CY86" i="258" s="1"/>
  <c r="CY65" i="258"/>
  <c r="CY66" i="258" s="1"/>
  <c r="CY64" i="258"/>
  <c r="CZ64" i="258" s="1"/>
  <c r="BY72" i="258"/>
  <c r="CX65" i="258"/>
  <c r="CX66" i="258" s="1"/>
  <c r="BY117" i="258" l="1"/>
  <c r="BZ70" i="258"/>
  <c r="CY67" i="258"/>
  <c r="BY73" i="258"/>
  <c r="BY74" i="258" s="1"/>
  <c r="CY88" i="258"/>
  <c r="CZ88" i="258" s="1"/>
  <c r="CY89" i="258" l="1"/>
  <c r="CY90" i="258" s="1"/>
  <c r="CY91" i="258" s="1"/>
  <c r="BY119" i="258"/>
  <c r="BY146" i="258" s="1"/>
  <c r="BZ72" i="258"/>
  <c r="BZ117" i="258" l="1"/>
  <c r="CA72" i="258"/>
  <c r="BZ73" i="258"/>
  <c r="BZ74" i="258" s="1"/>
  <c r="BZ119" i="258" l="1"/>
  <c r="BZ146" i="258" s="1"/>
  <c r="CA146" i="258" s="1"/>
  <c r="BZ75" i="258"/>
  <c r="BZ120" i="258" s="1"/>
  <c r="CA117" i="258"/>
  <c r="CA142" i="258" s="1"/>
  <c r="CB70" i="258"/>
  <c r="CB73" i="258" l="1"/>
  <c r="CB74" i="258" s="1"/>
  <c r="CB72" i="258"/>
  <c r="CB119" i="258" l="1"/>
  <c r="CB146" i="258" s="1"/>
  <c r="CB117" i="258"/>
  <c r="CC70" i="258"/>
  <c r="CC72" i="258" l="1"/>
  <c r="CC117" i="258" l="1"/>
  <c r="CD70" i="258"/>
  <c r="CC73" i="258"/>
  <c r="CC74" i="258" s="1"/>
  <c r="CC119" i="258" l="1"/>
  <c r="CC146" i="258" s="1"/>
  <c r="CC75" i="258"/>
  <c r="CC120" i="258" s="1"/>
  <c r="CD72" i="258"/>
  <c r="CD73" i="258"/>
  <c r="CD74" i="258" s="1"/>
  <c r="CD119" i="258" l="1"/>
  <c r="CD146" i="258" s="1"/>
  <c r="CD117" i="258"/>
  <c r="CE70" i="258"/>
  <c r="CE72" i="258" l="1"/>
  <c r="CE117" i="258" l="1"/>
  <c r="CF72" i="258"/>
  <c r="CE73" i="258"/>
  <c r="CE74" i="258" s="1"/>
  <c r="CE119" i="258" l="1"/>
  <c r="CE146" i="258" s="1"/>
  <c r="CF146" i="258" s="1"/>
  <c r="CE75" i="258"/>
  <c r="CE120" i="258" s="1"/>
  <c r="CF117" i="258"/>
  <c r="CG70" i="258"/>
  <c r="CG73" i="258" l="1"/>
  <c r="CG74" i="258" s="1"/>
  <c r="CG72" i="258"/>
  <c r="CG119" i="258" l="1"/>
  <c r="CG146" i="258" s="1"/>
  <c r="CG117" i="258"/>
  <c r="CH70" i="258"/>
  <c r="CH72" i="258" l="1"/>
  <c r="CH117" i="258" l="1"/>
  <c r="CI70" i="258"/>
  <c r="CH73" i="258"/>
  <c r="CH74" i="258" s="1"/>
  <c r="CH119" i="258" l="1"/>
  <c r="CH146" i="258" s="1"/>
  <c r="CH75" i="258"/>
  <c r="CH120" i="258" s="1"/>
  <c r="CI73" i="258"/>
  <c r="CI74" i="258" s="1"/>
  <c r="CI72" i="258"/>
  <c r="CI117" i="258" l="1"/>
  <c r="CJ70" i="258"/>
  <c r="CI119" i="258"/>
  <c r="CI146" i="258" s="1"/>
  <c r="CJ72" i="258" l="1"/>
  <c r="CJ73" i="258"/>
  <c r="CJ74" i="258" s="1"/>
  <c r="CJ119" i="258" l="1"/>
  <c r="CJ146" i="258" s="1"/>
  <c r="CK146" i="258" s="1"/>
  <c r="CJ75" i="258"/>
  <c r="CJ120" i="258" s="1"/>
  <c r="CJ117" i="258"/>
  <c r="CK72" i="258"/>
  <c r="CK117" i="258" l="1"/>
  <c r="CL70" i="258"/>
  <c r="CL72" i="258" l="1"/>
  <c r="CL117" i="258" l="1"/>
  <c r="CM70" i="258"/>
  <c r="CL73" i="258"/>
  <c r="CL74" i="258" s="1"/>
  <c r="CL119" i="258" l="1"/>
  <c r="CL146" i="258" s="1"/>
  <c r="CM72" i="258"/>
  <c r="CM73" i="258" s="1"/>
  <c r="CM74" i="258" s="1"/>
  <c r="CM119" i="258" l="1"/>
  <c r="CM146" i="258" s="1"/>
  <c r="CM44" i="10" s="1"/>
  <c r="CM75" i="258"/>
  <c r="CM120" i="258" s="1"/>
  <c r="CM117" i="258"/>
  <c r="CM142" i="258" s="1"/>
  <c r="CN70" i="258"/>
  <c r="CM45" i="10" l="1"/>
  <c r="CN72" i="258"/>
  <c r="CN73" i="258"/>
  <c r="CN74" i="258" s="1"/>
  <c r="CM136" i="10"/>
  <c r="CM167" i="10" s="1"/>
  <c r="CM136" i="258"/>
  <c r="CN119" i="258" l="1"/>
  <c r="CN146" i="258" s="1"/>
  <c r="CN117" i="258"/>
  <c r="CN142" i="258" s="1"/>
  <c r="CO70" i="258"/>
  <c r="CM137" i="258"/>
  <c r="CM168" i="10"/>
  <c r="CO72" i="258" l="1"/>
  <c r="CO73" i="258"/>
  <c r="CO74" i="258" s="1"/>
  <c r="CN136" i="10"/>
  <c r="CN167" i="10" s="1"/>
  <c r="CN136" i="258"/>
  <c r="CN44" i="10"/>
  <c r="CN220" i="10" l="1"/>
  <c r="CN228" i="10" s="1"/>
  <c r="CN137" i="258"/>
  <c r="CO119" i="258"/>
  <c r="CO146" i="258" s="1"/>
  <c r="CO75" i="258"/>
  <c r="CO120" i="258" s="1"/>
  <c r="CN168" i="10"/>
  <c r="CO117" i="258"/>
  <c r="CO142" i="258" s="1"/>
  <c r="CP72" i="258"/>
  <c r="CO136" i="10" l="1"/>
  <c r="CO136" i="258"/>
  <c r="CO44" i="10"/>
  <c r="CP146" i="258"/>
  <c r="CP117" i="258"/>
  <c r="CP142" i="258" s="1"/>
  <c r="CQ70" i="258"/>
  <c r="CP44" i="10" l="1"/>
  <c r="CQ72" i="258"/>
  <c r="CP136" i="10"/>
  <c r="CO167" i="10"/>
  <c r="CO168" i="10" s="1"/>
  <c r="CP168" i="10" s="1"/>
  <c r="CO220" i="10"/>
  <c r="CO228" i="10" s="1"/>
  <c r="CO137" i="258"/>
  <c r="CP136" i="258"/>
  <c r="CP137" i="258" s="1"/>
  <c r="CQ117" i="258" l="1"/>
  <c r="CQ142" i="258" s="1"/>
  <c r="CR70" i="258"/>
  <c r="CQ73" i="258"/>
  <c r="CQ74" i="258" s="1"/>
  <c r="O32" i="247"/>
  <c r="CP167" i="10"/>
  <c r="CQ136" i="10" l="1"/>
  <c r="CQ167" i="10" s="1"/>
  <c r="CQ136" i="258"/>
  <c r="CQ119" i="258"/>
  <c r="CQ146" i="258" s="1"/>
  <c r="CR72" i="258"/>
  <c r="CR73" i="258"/>
  <c r="CR74" i="258" s="1"/>
  <c r="CR119" i="258" s="1"/>
  <c r="CR146" i="258" s="1"/>
  <c r="CR44" i="10" s="1"/>
  <c r="CR75" i="258" l="1"/>
  <c r="CR120" i="258" s="1"/>
  <c r="CQ44" i="10"/>
  <c r="CR117" i="258"/>
  <c r="CR142" i="258" s="1"/>
  <c r="CS70" i="258"/>
  <c r="CQ220" i="10"/>
  <c r="CQ137" i="258"/>
  <c r="CQ228" i="10" l="1"/>
  <c r="CQ168" i="10"/>
  <c r="CR136" i="10"/>
  <c r="CR167" i="10" s="1"/>
  <c r="CR136" i="258"/>
  <c r="CS72" i="258"/>
  <c r="CR168" i="10" l="1"/>
  <c r="CS117" i="258"/>
  <c r="CS142" i="258" s="1"/>
  <c r="CT70" i="258"/>
  <c r="CS73" i="258"/>
  <c r="CS74" i="258" s="1"/>
  <c r="CR220" i="10"/>
  <c r="CR137" i="258"/>
  <c r="CS136" i="10" l="1"/>
  <c r="CS167" i="10" s="1"/>
  <c r="CS136" i="258"/>
  <c r="CT72" i="258"/>
  <c r="CT73" i="258"/>
  <c r="CT74" i="258" s="1"/>
  <c r="CT119" i="258" s="1"/>
  <c r="CT146" i="258" s="1"/>
  <c r="CT44" i="10" s="1"/>
  <c r="CR228" i="10"/>
  <c r="CS119" i="258"/>
  <c r="CS146" i="258" s="1"/>
  <c r="CG180" i="5"/>
  <c r="CT75" i="258" l="1"/>
  <c r="CT120" i="258" s="1"/>
  <c r="CT117" i="258"/>
  <c r="CT142" i="258" s="1"/>
  <c r="CU72" i="258"/>
  <c r="CS44" i="10"/>
  <c r="CU146" i="258"/>
  <c r="CS220" i="10"/>
  <c r="CS137" i="258"/>
  <c r="CH180" i="5"/>
  <c r="CU44" i="10" l="1"/>
  <c r="CS168" i="10"/>
  <c r="CU117" i="258"/>
  <c r="CU142" i="258" s="1"/>
  <c r="CV70" i="258"/>
  <c r="CT136" i="10"/>
  <c r="CT136" i="258"/>
  <c r="CS228" i="10"/>
  <c r="CV72" i="258" l="1"/>
  <c r="CU136" i="10"/>
  <c r="CT167" i="10"/>
  <c r="CT168" i="10" s="1"/>
  <c r="CT220" i="10"/>
  <c r="CT137" i="258"/>
  <c r="CU136" i="258"/>
  <c r="CU137" i="258" s="1"/>
  <c r="CU168" i="10"/>
  <c r="CV117" i="258" l="1"/>
  <c r="CV142" i="258" s="1"/>
  <c r="CW70" i="258"/>
  <c r="CT228" i="10"/>
  <c r="CU220" i="10"/>
  <c r="P32" i="247"/>
  <c r="CU167" i="10"/>
  <c r="CV73" i="258"/>
  <c r="CV74" i="258" s="1"/>
  <c r="P54" i="247" l="1"/>
  <c r="CU228" i="10"/>
  <c r="P56" i="247" s="1"/>
  <c r="CV136" i="10"/>
  <c r="CV167" i="10" s="1"/>
  <c r="CV136" i="258"/>
  <c r="CV119" i="258"/>
  <c r="CV146" i="258" s="1"/>
  <c r="CW72" i="258"/>
  <c r="CW73" i="258"/>
  <c r="CW74" i="258" s="1"/>
  <c r="CW119" i="258" s="1"/>
  <c r="CW146" i="258" s="1"/>
  <c r="CW44" i="10" s="1"/>
  <c r="CW117" i="258" l="1"/>
  <c r="CW142" i="258" s="1"/>
  <c r="CX70" i="258"/>
  <c r="CV220" i="10"/>
  <c r="CV137" i="258"/>
  <c r="CW75" i="258"/>
  <c r="CW120" i="258" s="1"/>
  <c r="CV44" i="10"/>
  <c r="P55" i="247"/>
  <c r="CV228" i="10" l="1"/>
  <c r="CV168" i="10"/>
  <c r="CW136" i="10"/>
  <c r="CW167" i="10" s="1"/>
  <c r="CW136" i="258"/>
  <c r="CX72" i="258"/>
  <c r="CX73" i="258"/>
  <c r="CX74" i="258" s="1"/>
  <c r="D25" i="247"/>
  <c r="W177" i="5"/>
  <c r="C25" i="247"/>
  <c r="AJ177" i="5"/>
  <c r="E24" i="247"/>
  <c r="C26" i="247"/>
  <c r="D26" i="247"/>
  <c r="E26" i="247"/>
  <c r="C24" i="247"/>
  <c r="BN180" i="5"/>
  <c r="BM180" i="5"/>
  <c r="BH180" i="5"/>
  <c r="AG177" i="5"/>
  <c r="BO180" i="5"/>
  <c r="D24" i="247"/>
  <c r="CB180" i="5"/>
  <c r="E27" i="247"/>
  <c r="BR180" i="5"/>
  <c r="CX119" i="258" l="1"/>
  <c r="CX146" i="258" s="1"/>
  <c r="CW168" i="10"/>
  <c r="CX117" i="258"/>
  <c r="CX142" i="258" s="1"/>
  <c r="CY70" i="258"/>
  <c r="CW220" i="10"/>
  <c r="CW137" i="258"/>
  <c r="AI176" i="5"/>
  <c r="AE176" i="5"/>
  <c r="D27" i="247"/>
  <c r="P49" i="247"/>
  <c r="E25" i="247"/>
  <c r="O49" i="247"/>
  <c r="AB177" i="5"/>
  <c r="CC180" i="5"/>
  <c r="BP180" i="5"/>
  <c r="AJ180" i="5"/>
  <c r="C27" i="247"/>
  <c r="AJ176" i="5"/>
  <c r="BG176" i="5"/>
  <c r="BJ180" i="5"/>
  <c r="BW180" i="5"/>
  <c r="W180" i="5"/>
  <c r="CW228" i="10" l="1"/>
  <c r="CY72" i="258"/>
  <c r="CY73" i="258"/>
  <c r="CY74" i="258" s="1"/>
  <c r="CX136" i="10"/>
  <c r="CX167" i="10" s="1"/>
  <c r="CX136" i="258"/>
  <c r="CX44" i="10"/>
  <c r="BS180" i="5"/>
  <c r="BV176" i="5"/>
  <c r="K7" i="247"/>
  <c r="BF180" i="5"/>
  <c r="BQ176" i="5"/>
  <c r="P51" i="247"/>
  <c r="P50" i="247" s="1"/>
  <c r="BB176" i="5"/>
  <c r="AW176" i="5"/>
  <c r="BB177" i="5"/>
  <c r="O51" i="247"/>
  <c r="O50" i="247" s="1"/>
  <c r="BX180" i="5"/>
  <c r="BL176" i="5"/>
  <c r="BG177" i="5"/>
  <c r="AG180" i="5"/>
  <c r="AH177" i="5"/>
  <c r="X177" i="5"/>
  <c r="AB180" i="5"/>
  <c r="AR176" i="5"/>
  <c r="BV177" i="5"/>
  <c r="BT180" i="5"/>
  <c r="BI180" i="5"/>
  <c r="AJ178" i="5"/>
  <c r="CX168" i="10" l="1"/>
  <c r="CY117" i="258"/>
  <c r="CY142" i="258" s="1"/>
  <c r="CZ72" i="258"/>
  <c r="CZ117" i="258" s="1"/>
  <c r="CZ142" i="258" s="1"/>
  <c r="CX220" i="10"/>
  <c r="CX137" i="258"/>
  <c r="CY119" i="258"/>
  <c r="CY146" i="258" s="1"/>
  <c r="CY75" i="258"/>
  <c r="CY120" i="258" s="1"/>
  <c r="AW177" i="5"/>
  <c r="CA177" i="5"/>
  <c r="AC177" i="5"/>
  <c r="CA176" i="5"/>
  <c r="L7" i="247"/>
  <c r="AD176" i="5"/>
  <c r="CF176" i="5"/>
  <c r="M7" i="247"/>
  <c r="CF177" i="5"/>
  <c r="AG176" i="5"/>
  <c r="M9" i="247"/>
  <c r="M43" i="247" s="1"/>
  <c r="CD180" i="5"/>
  <c r="M13" i="247"/>
  <c r="M12" i="247"/>
  <c r="L12" i="247"/>
  <c r="L13" i="247"/>
  <c r="K13" i="247"/>
  <c r="BY180" i="5"/>
  <c r="BQ177" i="5"/>
  <c r="AL177" i="5"/>
  <c r="AG178" i="5"/>
  <c r="AB178" i="5"/>
  <c r="AJ181" i="5"/>
  <c r="W178" i="5"/>
  <c r="CY44" i="10" l="1"/>
  <c r="CZ146" i="258"/>
  <c r="CY136" i="10"/>
  <c r="CY136" i="258"/>
  <c r="CX228" i="10"/>
  <c r="AM177" i="5"/>
  <c r="K12" i="247"/>
  <c r="X180" i="5"/>
  <c r="AM176" i="5"/>
  <c r="BL177" i="5"/>
  <c r="AL176" i="5"/>
  <c r="AC180" i="5"/>
  <c r="E55" i="247"/>
  <c r="M16" i="247"/>
  <c r="E54" i="247" s="1"/>
  <c r="M8" i="247"/>
  <c r="BG180" i="5"/>
  <c r="L16" i="247"/>
  <c r="D54" i="247" s="1"/>
  <c r="D55" i="247"/>
  <c r="K16" i="247"/>
  <c r="C54" i="247" s="1"/>
  <c r="C55" i="247"/>
  <c r="AW180" i="5"/>
  <c r="AR177" i="5"/>
  <c r="AH176" i="5"/>
  <c r="AJ182" i="5"/>
  <c r="AJ183" i="5" s="1"/>
  <c r="AH178" i="5"/>
  <c r="AC178" i="5"/>
  <c r="CY220" i="10" l="1"/>
  <c r="CY137" i="258"/>
  <c r="CZ136" i="258"/>
  <c r="CZ137" i="258" s="1"/>
  <c r="CZ136" i="10"/>
  <c r="CZ167" i="10" s="1"/>
  <c r="CY167" i="10"/>
  <c r="CY168" i="10" s="1"/>
  <c r="CZ168" i="10" s="1"/>
  <c r="CZ44" i="10"/>
  <c r="BB180" i="5"/>
  <c r="AH180" i="5"/>
  <c r="BB178" i="5"/>
  <c r="AR180" i="5"/>
  <c r="BG178" i="5"/>
  <c r="X178" i="5"/>
  <c r="CE180" i="5"/>
  <c r="AM180" i="5"/>
  <c r="AW178" i="5"/>
  <c r="BB181" i="5"/>
  <c r="AH181" i="5"/>
  <c r="AC181" i="5"/>
  <c r="CY228" i="10" l="1"/>
  <c r="CZ220" i="10"/>
  <c r="CZ228" i="10" s="1"/>
  <c r="BV178" i="5"/>
  <c r="K17" i="247"/>
  <c r="C45" i="247" s="1"/>
  <c r="BA181" i="5"/>
  <c r="CA178" i="5"/>
  <c r="L17" i="247"/>
  <c r="D45" i="247" s="1"/>
  <c r="AL180" i="5"/>
  <c r="CF180" i="5"/>
  <c r="M11" i="247"/>
  <c r="CF178" i="5"/>
  <c r="M17" i="247"/>
  <c r="E45" i="247" s="1"/>
  <c r="X181" i="5"/>
  <c r="M18" i="247"/>
  <c r="M42" i="247"/>
  <c r="L18" i="247"/>
  <c r="L42" i="247"/>
  <c r="BQ178" i="5"/>
  <c r="BL178" i="5"/>
  <c r="AL178" i="5"/>
  <c r="AH182" i="5"/>
  <c r="AH183" i="5" s="1"/>
  <c r="BA182" i="5"/>
  <c r="BA183" i="5" s="1"/>
  <c r="AC182" i="5"/>
  <c r="AC183" i="5" s="1"/>
  <c r="BB182" i="5"/>
  <c r="BB183" i="5" s="1"/>
  <c r="BG181" i="5" l="1"/>
  <c r="E58" i="247"/>
  <c r="E50" i="247"/>
  <c r="D46" i="247"/>
  <c r="D52" i="247"/>
  <c r="D47" i="247"/>
  <c r="E52" i="247"/>
  <c r="E46" i="247"/>
  <c r="E47" i="247"/>
  <c r="C46" i="247"/>
  <c r="C52" i="247"/>
  <c r="C47" i="247"/>
  <c r="AG181" i="5"/>
  <c r="AG182" i="5"/>
  <c r="AG183" i="5" s="1"/>
  <c r="AM178" i="5"/>
  <c r="K9" i="247"/>
  <c r="K43" i="247" s="1"/>
  <c r="K44" i="247" s="1"/>
  <c r="L9" i="247"/>
  <c r="L43" i="247" s="1"/>
  <c r="CF181" i="5" l="1"/>
  <c r="M46" i="247"/>
  <c r="M44" i="247" s="1"/>
  <c r="AR178" i="5"/>
  <c r="BG182" i="5"/>
  <c r="BG183" i="5" s="1"/>
  <c r="AB181" i="5"/>
  <c r="X182" i="5"/>
  <c r="X183" i="5" s="1"/>
  <c r="CA181" i="5"/>
  <c r="L46" i="247"/>
  <c r="L44" i="247" s="1"/>
  <c r="M58" i="247"/>
  <c r="L58" i="247"/>
  <c r="CA182" i="5"/>
  <c r="CA183" i="5" s="1"/>
  <c r="CF182" i="5"/>
  <c r="CF183" i="5" s="1"/>
  <c r="BK181" i="5"/>
  <c r="BL181" i="5"/>
  <c r="AL181" i="5"/>
  <c r="AM181" i="5"/>
  <c r="L8" i="247"/>
  <c r="W181" i="5"/>
  <c r="K8" i="247"/>
  <c r="BQ180" i="5" l="1"/>
  <c r="AB182" i="5"/>
  <c r="AB183" i="5" s="1"/>
  <c r="E59" i="247"/>
  <c r="E60" i="247" s="1"/>
  <c r="D59" i="247"/>
  <c r="D60" i="247" s="1"/>
  <c r="BU180" i="5"/>
  <c r="BZ180" i="5"/>
  <c r="BK182" i="5"/>
  <c r="BK183" i="5" s="1"/>
  <c r="BL182" i="5"/>
  <c r="BL183" i="5" s="1"/>
  <c r="AM182" i="5"/>
  <c r="AM183" i="5" s="1"/>
  <c r="AL182" i="5"/>
  <c r="AL183" i="5" s="1"/>
  <c r="W182" i="5"/>
  <c r="W183" i="5" s="1"/>
  <c r="BV180" i="5" l="1"/>
  <c r="K11" i="247"/>
  <c r="CA180" i="5"/>
  <c r="L11" i="247"/>
  <c r="D58" i="247" l="1"/>
  <c r="D50" i="247"/>
  <c r="C58" i="247"/>
  <c r="C50" i="247"/>
  <c r="O9" i="247" l="1"/>
  <c r="O43" i="247" s="1"/>
  <c r="P9" i="247" l="1"/>
  <c r="P43" i="247" s="1"/>
  <c r="O27" i="247" l="1"/>
  <c r="P27" i="247" l="1"/>
  <c r="CM220" i="10" l="1"/>
  <c r="CM228" i="10" l="1"/>
  <c r="CP220" i="10"/>
  <c r="CP228" i="10" l="1"/>
  <c r="O56" i="247" s="1"/>
  <c r="O54" i="247"/>
  <c r="O55" i="247" l="1"/>
  <c r="F25" i="247" l="1"/>
  <c r="F27" i="247" l="1"/>
  <c r="F24" i="247"/>
  <c r="CK177" i="5" l="1"/>
  <c r="N13" i="247"/>
  <c r="N12" i="247"/>
  <c r="F55" i="247" l="1"/>
  <c r="N16" i="247"/>
  <c r="F54" i="247" s="1"/>
  <c r="CI180" i="5" l="1"/>
  <c r="C37" i="247"/>
  <c r="CK180" i="5"/>
  <c r="N11" i="247"/>
  <c r="F58" i="247" l="1"/>
  <c r="F50" i="247"/>
  <c r="CK178" i="5"/>
  <c r="N17" i="247"/>
  <c r="F45" i="247" s="1"/>
  <c r="N18" i="247"/>
  <c r="N42" i="247"/>
  <c r="F52" i="247" l="1"/>
  <c r="F47" i="247"/>
  <c r="F46" i="247"/>
  <c r="CK181" i="5" l="1"/>
  <c r="N46" i="247"/>
  <c r="N44" i="247" s="1"/>
  <c r="N58" i="247"/>
  <c r="CK182" i="5"/>
  <c r="CK183" i="5" s="1"/>
  <c r="F59" i="247" l="1"/>
  <c r="F60" i="247" s="1"/>
  <c r="CK176" i="5" l="1"/>
  <c r="N7" i="247"/>
  <c r="N8" i="247"/>
  <c r="H26" i="247" l="1"/>
  <c r="G26" i="247"/>
  <c r="CM18" i="5" l="1"/>
  <c r="CM20" i="5"/>
  <c r="CM86" i="5" l="1"/>
  <c r="F32" i="247"/>
  <c r="CM83" i="5"/>
  <c r="CM21" i="5" l="1"/>
  <c r="CN20" i="5"/>
  <c r="CN21" i="5" l="1"/>
  <c r="CN87" i="5" s="1"/>
  <c r="CN86" i="5"/>
  <c r="CO20" i="5"/>
  <c r="CO86" i="5" s="1"/>
  <c r="CM77" i="5"/>
  <c r="CM87" i="5"/>
  <c r="Y8" i="271" l="1"/>
  <c r="CP20" i="5"/>
  <c r="CQ20" i="5"/>
  <c r="CM93" i="5"/>
  <c r="CM79" i="5"/>
  <c r="CM78" i="5"/>
  <c r="CM80" i="5"/>
  <c r="G11" i="247"/>
  <c r="CP86" i="5"/>
  <c r="CO21" i="5"/>
  <c r="CN77" i="5"/>
  <c r="Z8" i="271" l="1"/>
  <c r="CQ86" i="5"/>
  <c r="CO77" i="5"/>
  <c r="CQ21" i="5"/>
  <c r="CN93" i="5"/>
  <c r="CN80" i="5"/>
  <c r="CN79" i="5"/>
  <c r="CN78" i="5"/>
  <c r="CO87" i="5"/>
  <c r="CP21" i="5"/>
  <c r="CP77" i="5"/>
  <c r="CR20" i="5"/>
  <c r="CR86" i="5" s="1"/>
  <c r="AB8" i="271" l="1"/>
  <c r="AA8" i="271"/>
  <c r="CP93" i="5"/>
  <c r="CP87" i="5"/>
  <c r="G12" i="247"/>
  <c r="CO93" i="5"/>
  <c r="CO80" i="5"/>
  <c r="CO79" i="5"/>
  <c r="CO78" i="5"/>
  <c r="CQ87" i="5"/>
  <c r="CQ77" i="5"/>
  <c r="CP79" i="5"/>
  <c r="CP78" i="5"/>
  <c r="CP80" i="5"/>
  <c r="CS20" i="5"/>
  <c r="CR21" i="5"/>
  <c r="CR87" i="5" s="1"/>
  <c r="CS86" i="5" l="1"/>
  <c r="CS21" i="5"/>
  <c r="CT20" i="5"/>
  <c r="CT86" i="5" s="1"/>
  <c r="CQ93" i="5"/>
  <c r="CQ79" i="5"/>
  <c r="CQ78" i="5"/>
  <c r="CQ80" i="5"/>
  <c r="CR77" i="5"/>
  <c r="CS77" i="5" l="1"/>
  <c r="CS87" i="5"/>
  <c r="CV20" i="5"/>
  <c r="CT21" i="5"/>
  <c r="CT87" i="5" s="1"/>
  <c r="CR93" i="5"/>
  <c r="CR80" i="5"/>
  <c r="CR79" i="5"/>
  <c r="CR78" i="5"/>
  <c r="CU20" i="5"/>
  <c r="CV21" i="5" l="1"/>
  <c r="CU21" i="5"/>
  <c r="H11" i="247"/>
  <c r="CU86" i="5"/>
  <c r="CW20" i="5"/>
  <c r="CW86" i="5" s="1"/>
  <c r="CT77" i="5"/>
  <c r="CV86" i="5"/>
  <c r="CS93" i="5"/>
  <c r="CS80" i="5"/>
  <c r="CS79" i="5"/>
  <c r="CS78" i="5"/>
  <c r="CT93" i="5" l="1"/>
  <c r="CU93" i="5" s="1"/>
  <c r="CT79" i="5"/>
  <c r="CT78" i="5"/>
  <c r="CT80" i="5"/>
  <c r="CU77" i="5"/>
  <c r="CV77" i="5"/>
  <c r="CX20" i="5"/>
  <c r="CY20" i="5"/>
  <c r="CY86" i="5" s="1"/>
  <c r="H12" i="247"/>
  <c r="CU87" i="5"/>
  <c r="CW21" i="5"/>
  <c r="CW87" i="5" s="1"/>
  <c r="CV87" i="5"/>
  <c r="CX21" i="5" l="1"/>
  <c r="CY21" i="5"/>
  <c r="CY87" i="5" s="1"/>
  <c r="CX86" i="5"/>
  <c r="CZ20" i="5"/>
  <c r="CZ86" i="5" s="1"/>
  <c r="CV93" i="5"/>
  <c r="CV80" i="5"/>
  <c r="CV79" i="5"/>
  <c r="CV78" i="5"/>
  <c r="CW77" i="5"/>
  <c r="CU79" i="5"/>
  <c r="CU78" i="5"/>
  <c r="CU80" i="5"/>
  <c r="G25" i="247"/>
  <c r="CW93" i="5" l="1"/>
  <c r="CW80" i="5"/>
  <c r="CW79" i="5"/>
  <c r="CW78" i="5"/>
  <c r="CX87" i="5"/>
  <c r="CZ21" i="5"/>
  <c r="CZ87" i="5" s="1"/>
  <c r="CX77" i="5"/>
  <c r="CY77" i="5"/>
  <c r="CZ77" i="5"/>
  <c r="CZ80" i="5" l="1"/>
  <c r="CZ79" i="5"/>
  <c r="CZ78" i="5"/>
  <c r="CY93" i="5"/>
  <c r="CY79" i="5"/>
  <c r="CY78" i="5"/>
  <c r="CY80" i="5"/>
  <c r="CX93" i="5"/>
  <c r="CZ93" i="5" s="1"/>
  <c r="CX79" i="5"/>
  <c r="CX78" i="5"/>
  <c r="CX80" i="5"/>
  <c r="CL180" i="5" l="1"/>
  <c r="E37" i="247"/>
  <c r="H25" i="247" l="1"/>
  <c r="BK180" i="5" l="1"/>
  <c r="BL180" i="5"/>
  <c r="CN19" i="5" l="1"/>
  <c r="CN84" i="5" s="1"/>
  <c r="CN88" i="5" s="1"/>
  <c r="CM19" i="5"/>
  <c r="CO19" i="5" l="1"/>
  <c r="CO84" i="5" s="1"/>
  <c r="CO88" i="5" s="1"/>
  <c r="CM84" i="5"/>
  <c r="CM22" i="5"/>
  <c r="Y7" i="271" l="1"/>
  <c r="Y9" i="271" s="1"/>
  <c r="CM88" i="5"/>
  <c r="CP88" i="5" s="1"/>
  <c r="CM92" i="5"/>
  <c r="CM23" i="5"/>
  <c r="CM24" i="5"/>
  <c r="CQ19" i="5"/>
  <c r="CP19" i="5"/>
  <c r="CR19" i="5"/>
  <c r="CR84" i="5" s="1"/>
  <c r="CR88" i="5" s="1"/>
  <c r="G10" i="247" l="1"/>
  <c r="CP84" i="5"/>
  <c r="CP90" i="5" s="1"/>
  <c r="CM94" i="5"/>
  <c r="CQ84" i="5"/>
  <c r="CQ88" i="5" s="1"/>
  <c r="CM89" i="5"/>
  <c r="CM10" i="10" s="1"/>
  <c r="CS19" i="5"/>
  <c r="CS84" i="5" s="1"/>
  <c r="CS88" i="5" s="1"/>
  <c r="CM15" i="10" l="1"/>
  <c r="CM98" i="5"/>
  <c r="CT19" i="5"/>
  <c r="CT84" i="5" s="1"/>
  <c r="CT88" i="5" s="1"/>
  <c r="CU88" i="5" s="1"/>
  <c r="Y18" i="271" l="1"/>
  <c r="CM132" i="10"/>
  <c r="CM201" i="10" s="1"/>
  <c r="CM16" i="10"/>
  <c r="CM115" i="10"/>
  <c r="CM17" i="10"/>
  <c r="CM124" i="10"/>
  <c r="CM28" i="10"/>
  <c r="CM96" i="5"/>
  <c r="CU19" i="5"/>
  <c r="CV19" i="5"/>
  <c r="CM194" i="10" l="1"/>
  <c r="CM198" i="10"/>
  <c r="CV84" i="5"/>
  <c r="CV88" i="5" s="1"/>
  <c r="H10" i="247"/>
  <c r="CU84" i="5"/>
  <c r="CU90" i="5" s="1"/>
  <c r="CM95" i="5"/>
  <c r="CW19" i="5"/>
  <c r="CW84" i="5" s="1"/>
  <c r="CW88" i="5" s="1"/>
  <c r="CM102" i="5" l="1"/>
  <c r="CM100" i="5" s="1"/>
  <c r="CX19" i="5"/>
  <c r="CX84" i="5" s="1"/>
  <c r="CX88" i="5" s="1"/>
  <c r="CM35" i="10" l="1"/>
  <c r="Y12" i="271"/>
  <c r="CM38" i="10"/>
  <c r="CY19" i="5"/>
  <c r="CY84" i="5" s="1"/>
  <c r="CY88" i="5" s="1"/>
  <c r="CZ88" i="5" s="1"/>
  <c r="CM41" i="10" l="1"/>
  <c r="CZ19" i="5"/>
  <c r="CZ84" i="5" s="1"/>
  <c r="CZ90" i="5" s="1"/>
  <c r="Y20" i="271" l="1"/>
  <c r="Y15" i="271"/>
  <c r="CM94" i="10"/>
  <c r="CM48" i="10"/>
  <c r="Y25" i="271" s="1"/>
  <c r="CM31" i="10"/>
  <c r="CM97" i="10" l="1"/>
  <c r="CM178" i="10"/>
  <c r="CM32" i="10"/>
  <c r="CM19" i="10"/>
  <c r="CM51" i="10"/>
  <c r="CM49" i="10"/>
  <c r="Y21" i="271" l="1"/>
  <c r="Y26" i="271"/>
  <c r="CM57" i="10"/>
  <c r="CM68" i="10"/>
  <c r="CM69" i="10" s="1"/>
  <c r="CM101" i="10"/>
  <c r="CM98" i="10"/>
  <c r="CM179" i="10"/>
  <c r="CM20" i="10"/>
  <c r="CM23" i="10"/>
  <c r="Y29" i="271" l="1"/>
  <c r="CM129" i="10"/>
  <c r="CM116" i="10"/>
  <c r="CM25" i="10"/>
  <c r="CM26" i="10" s="1"/>
  <c r="CM60" i="10"/>
  <c r="CM58" i="10"/>
  <c r="CM90" i="10"/>
  <c r="CM102" i="10"/>
  <c r="Y30" i="271" l="1"/>
  <c r="CM61" i="10"/>
  <c r="CM104" i="10"/>
  <c r="CM134" i="10"/>
  <c r="CM139" i="10" s="1"/>
  <c r="CM200" i="10"/>
  <c r="CM143" i="10"/>
  <c r="CM92" i="10"/>
  <c r="CM192" i="10"/>
  <c r="CM158" i="10"/>
  <c r="CM199" i="10"/>
  <c r="CM157" i="10" l="1"/>
  <c r="CM149" i="10"/>
  <c r="CM150" i="10"/>
  <c r="CM203" i="10"/>
  <c r="CM206" i="10" s="1"/>
  <c r="CM148" i="258" s="1"/>
  <c r="CN18" i="5"/>
  <c r="CM151" i="258" l="1"/>
  <c r="CM159" i="258" s="1"/>
  <c r="CM160" i="258" s="1"/>
  <c r="CM237" i="10"/>
  <c r="CM238" i="10" s="1"/>
  <c r="CM231" i="10"/>
  <c r="CM233" i="10" s="1"/>
  <c r="CM182" i="10"/>
  <c r="CM162" i="10"/>
  <c r="CM183" i="10"/>
  <c r="CM175" i="10"/>
  <c r="CN22" i="5"/>
  <c r="G32" i="247"/>
  <c r="CN83" i="5"/>
  <c r="CN89" i="5" s="1"/>
  <c r="CN10" i="10" s="1"/>
  <c r="CO18" i="5"/>
  <c r="CP18" i="5" s="1"/>
  <c r="Z7" i="271" l="1"/>
  <c r="Z9" i="271" s="1"/>
  <c r="CM164" i="10"/>
  <c r="CN155" i="10"/>
  <c r="CN15" i="10"/>
  <c r="CN232" i="10"/>
  <c r="CM113" i="10"/>
  <c r="CM127" i="258" s="1"/>
  <c r="CP22" i="5"/>
  <c r="G8" i="247"/>
  <c r="CP83" i="5"/>
  <c r="CN92" i="5"/>
  <c r="CN24" i="5"/>
  <c r="CN23" i="5"/>
  <c r="CO22" i="5"/>
  <c r="CO83" i="5"/>
  <c r="CO89" i="5" s="1"/>
  <c r="H32" i="247"/>
  <c r="CQ18" i="5"/>
  <c r="Z18" i="271" l="1"/>
  <c r="AA7" i="271"/>
  <c r="AA9" i="271" s="1"/>
  <c r="CP23" i="5"/>
  <c r="AB7" i="271"/>
  <c r="AB9" i="271" s="1"/>
  <c r="CN126" i="258"/>
  <c r="CM128" i="258"/>
  <c r="CM235" i="10"/>
  <c r="CN124" i="10"/>
  <c r="CN28" i="10"/>
  <c r="CN132" i="10"/>
  <c r="CN201" i="10" s="1"/>
  <c r="CN16" i="10"/>
  <c r="CN17" i="10"/>
  <c r="CN115" i="10"/>
  <c r="CP89" i="5"/>
  <c r="CO10" i="10"/>
  <c r="CM119" i="10"/>
  <c r="CM169" i="10"/>
  <c r="CM176" i="5"/>
  <c r="F36" i="247"/>
  <c r="CO92" i="5"/>
  <c r="CO94" i="5" s="1"/>
  <c r="CO23" i="5"/>
  <c r="CO24" i="5"/>
  <c r="CN94" i="5"/>
  <c r="CP92" i="5"/>
  <c r="CQ22" i="5"/>
  <c r="CQ83" i="5"/>
  <c r="CQ89" i="5" s="1"/>
  <c r="CQ10" i="10" s="1"/>
  <c r="CR18" i="5"/>
  <c r="CN149" i="258" l="1"/>
  <c r="CN129" i="258"/>
  <c r="CN194" i="10"/>
  <c r="CM174" i="10"/>
  <c r="CM176" i="10"/>
  <c r="CQ15" i="10"/>
  <c r="CM170" i="10"/>
  <c r="CM126" i="10"/>
  <c r="CM152" i="10" s="1"/>
  <c r="CO15" i="10"/>
  <c r="CP10" i="10"/>
  <c r="CN198" i="10"/>
  <c r="CQ92" i="5"/>
  <c r="CQ23" i="5"/>
  <c r="CQ24" i="5"/>
  <c r="CR22" i="5"/>
  <c r="CR83" i="5"/>
  <c r="CR89" i="5" s="1"/>
  <c r="CR10" i="10" s="1"/>
  <c r="CR15" i="10" s="1"/>
  <c r="CP94" i="5"/>
  <c r="CN98" i="5"/>
  <c r="CS18" i="5"/>
  <c r="CP15" i="10" l="1"/>
  <c r="AA18" i="271"/>
  <c r="CO115" i="10"/>
  <c r="CO16" i="10"/>
  <c r="CO124" i="10"/>
  <c r="CO17" i="10"/>
  <c r="CO132" i="10"/>
  <c r="CO28" i="10"/>
  <c r="CP28" i="10" s="1"/>
  <c r="CP29" i="10" s="1"/>
  <c r="CM171" i="10"/>
  <c r="CM240" i="10"/>
  <c r="CR16" i="10"/>
  <c r="CR124" i="10"/>
  <c r="CR17" i="10"/>
  <c r="CR28" i="10"/>
  <c r="CR132" i="10"/>
  <c r="CR115" i="10"/>
  <c r="CP16" i="10"/>
  <c r="CQ124" i="10"/>
  <c r="CQ17" i="10"/>
  <c r="CQ132" i="10"/>
  <c r="CQ115" i="10"/>
  <c r="CQ28" i="10"/>
  <c r="CQ16" i="10"/>
  <c r="CS22" i="5"/>
  <c r="CS83" i="5"/>
  <c r="CS89" i="5" s="1"/>
  <c r="CS10" i="10" s="1"/>
  <c r="CN176" i="5"/>
  <c r="G36" i="247"/>
  <c r="CN97" i="5"/>
  <c r="CN96" i="5" s="1"/>
  <c r="CR92" i="5"/>
  <c r="CR94" i="5" s="1"/>
  <c r="CR24" i="5"/>
  <c r="CR23" i="5"/>
  <c r="CQ94" i="5"/>
  <c r="AB18" i="271" l="1"/>
  <c r="CS15" i="10"/>
  <c r="CR201" i="10"/>
  <c r="CP132" i="10"/>
  <c r="CP250" i="10" s="1"/>
  <c r="CO201" i="10"/>
  <c r="CP201" i="10" s="1"/>
  <c r="CR194" i="10"/>
  <c r="CP124" i="10"/>
  <c r="CO194" i="10"/>
  <c r="CP194" i="10" s="1"/>
  <c r="CP115" i="10"/>
  <c r="CP243" i="10" s="1"/>
  <c r="CQ198" i="10"/>
  <c r="CO198" i="10"/>
  <c r="CR198" i="10"/>
  <c r="CO98" i="5"/>
  <c r="CN95" i="5"/>
  <c r="CT18" i="5"/>
  <c r="CO176" i="5"/>
  <c r="H36" i="247"/>
  <c r="CS92" i="5"/>
  <c r="CS24" i="5"/>
  <c r="CS23" i="5"/>
  <c r="CR176" i="5"/>
  <c r="O10" i="247"/>
  <c r="O28" i="247"/>
  <c r="CQ176" i="5"/>
  <c r="CQ201" i="10" l="1"/>
  <c r="CS16" i="10"/>
  <c r="CS132" i="10"/>
  <c r="CS201" i="10" s="1"/>
  <c r="CS28" i="10"/>
  <c r="CS124" i="10"/>
  <c r="CS17" i="10"/>
  <c r="CS115" i="10"/>
  <c r="CP198" i="10"/>
  <c r="CP249" i="10"/>
  <c r="CQ194" i="10"/>
  <c r="CS94" i="5"/>
  <c r="CN102" i="5"/>
  <c r="CN100" i="5" s="1"/>
  <c r="CT22" i="5"/>
  <c r="CT83" i="5"/>
  <c r="CT89" i="5" s="1"/>
  <c r="CU18" i="5"/>
  <c r="CO97" i="5"/>
  <c r="CP97" i="5" s="1"/>
  <c r="CO96" i="5"/>
  <c r="CP98" i="5"/>
  <c r="CV18" i="5"/>
  <c r="O23" i="247"/>
  <c r="CN35" i="10" l="1"/>
  <c r="Z12" i="271"/>
  <c r="CN38" i="10"/>
  <c r="CS198" i="10"/>
  <c r="CS194" i="10"/>
  <c r="CU89" i="5"/>
  <c r="CT10" i="10"/>
  <c r="CT92" i="5"/>
  <c r="CT23" i="5"/>
  <c r="CT24" i="5"/>
  <c r="CV22" i="5"/>
  <c r="CV83" i="5"/>
  <c r="CV89" i="5" s="1"/>
  <c r="CV10" i="10" s="1"/>
  <c r="CQ98" i="5"/>
  <c r="CO95" i="5"/>
  <c r="CP96" i="5"/>
  <c r="CW18" i="5"/>
  <c r="CU22" i="5"/>
  <c r="H8" i="247"/>
  <c r="CU83" i="5"/>
  <c r="CS176" i="5"/>
  <c r="CU23" i="5" l="1"/>
  <c r="CT15" i="10"/>
  <c r="CU10" i="10"/>
  <c r="CV15" i="10"/>
  <c r="CN41" i="10"/>
  <c r="CO102" i="5"/>
  <c r="CO100" i="5" s="1"/>
  <c r="AA12" i="271" s="1"/>
  <c r="CP95" i="5"/>
  <c r="CV92" i="5"/>
  <c r="CV24" i="5"/>
  <c r="CV23" i="5"/>
  <c r="CW22" i="5"/>
  <c r="CW83" i="5"/>
  <c r="CW89" i="5" s="1"/>
  <c r="CW10" i="10" s="1"/>
  <c r="CW15" i="10" s="1"/>
  <c r="CQ97" i="5"/>
  <c r="CQ96" i="5" s="1"/>
  <c r="CT94" i="5"/>
  <c r="CU92" i="5"/>
  <c r="CY18" i="5"/>
  <c r="CX18" i="5"/>
  <c r="CZ18" i="5" s="1"/>
  <c r="Z20" i="271" l="1"/>
  <c r="CU15" i="10"/>
  <c r="CW132" i="10"/>
  <c r="CW124" i="10"/>
  <c r="CW16" i="10"/>
  <c r="CW17" i="10"/>
  <c r="CW28" i="10"/>
  <c r="CW115" i="10"/>
  <c r="CN94" i="10"/>
  <c r="CN31" i="10"/>
  <c r="CU16" i="10"/>
  <c r="CP100" i="5"/>
  <c r="CO35" i="10"/>
  <c r="CV17" i="10"/>
  <c r="CV124" i="10"/>
  <c r="CW194" i="10" s="1"/>
  <c r="CV28" i="10"/>
  <c r="CV132" i="10"/>
  <c r="CV16" i="10"/>
  <c r="CV115" i="10"/>
  <c r="CW198" i="10" s="1"/>
  <c r="CT17" i="10"/>
  <c r="CT132" i="10"/>
  <c r="CT28" i="10"/>
  <c r="CU28" i="10" s="1"/>
  <c r="CU29" i="10" s="1"/>
  <c r="CT115" i="10"/>
  <c r="CT16" i="10"/>
  <c r="CT124" i="10"/>
  <c r="CT176" i="5"/>
  <c r="CZ22" i="5"/>
  <c r="CZ83" i="5"/>
  <c r="CX22" i="5"/>
  <c r="CX83" i="5"/>
  <c r="CX89" i="5" s="1"/>
  <c r="CU94" i="5"/>
  <c r="CV94" i="5"/>
  <c r="CY22" i="5"/>
  <c r="CY83" i="5"/>
  <c r="CY89" i="5" s="1"/>
  <c r="CY10" i="10" s="1"/>
  <c r="CY15" i="10" s="1"/>
  <c r="CR98" i="5"/>
  <c r="CQ95" i="5"/>
  <c r="CW92" i="5"/>
  <c r="CW94" i="5" s="1"/>
  <c r="CW24" i="5"/>
  <c r="CW23" i="5"/>
  <c r="CV176" i="5"/>
  <c r="CW176" i="5"/>
  <c r="P10" i="247"/>
  <c r="CP102" i="5" l="1"/>
  <c r="AB12" i="271"/>
  <c r="CZ23" i="5"/>
  <c r="CW201" i="10"/>
  <c r="CN97" i="10"/>
  <c r="CN178" i="10"/>
  <c r="CY124" i="10"/>
  <c r="CZ124" i="10" s="1"/>
  <c r="CY28" i="10"/>
  <c r="CY132" i="10"/>
  <c r="CY115" i="10"/>
  <c r="CZ115" i="10" s="1"/>
  <c r="CY16" i="10"/>
  <c r="CZ89" i="5"/>
  <c r="CX10" i="10"/>
  <c r="CU132" i="10"/>
  <c r="CU250" i="10" s="1"/>
  <c r="CT201" i="10"/>
  <c r="CU201" i="10" s="1"/>
  <c r="CU115" i="10"/>
  <c r="CV198" i="10"/>
  <c r="CT198" i="10"/>
  <c r="CU198" i="10" s="1"/>
  <c r="CV201" i="10"/>
  <c r="CO38" i="10"/>
  <c r="CP35" i="10"/>
  <c r="CU124" i="10"/>
  <c r="CT194" i="10"/>
  <c r="CU194" i="10" s="1"/>
  <c r="CN32" i="10"/>
  <c r="CN19" i="10"/>
  <c r="CU176" i="5"/>
  <c r="P7" i="247"/>
  <c r="CY92" i="5"/>
  <c r="CY94" i="5" s="1"/>
  <c r="CY23" i="5"/>
  <c r="CY24" i="5"/>
  <c r="CR97" i="5"/>
  <c r="CR96" i="5" s="1"/>
  <c r="CX92" i="5"/>
  <c r="CX24" i="5"/>
  <c r="CX23" i="5"/>
  <c r="CQ102" i="5"/>
  <c r="CQ100" i="5" s="1"/>
  <c r="CQ35" i="10" s="1"/>
  <c r="Z21" i="271" l="1"/>
  <c r="CN101" i="10"/>
  <c r="CN98" i="10"/>
  <c r="CN179" i="10"/>
  <c r="CO41" i="10"/>
  <c r="CP38" i="10"/>
  <c r="CP41" i="10" s="1"/>
  <c r="CU243" i="10"/>
  <c r="P23" i="247"/>
  <c r="CQ38" i="10"/>
  <c r="CX15" i="10"/>
  <c r="CZ10" i="10"/>
  <c r="CN23" i="10"/>
  <c r="CN20" i="10"/>
  <c r="CU249" i="10"/>
  <c r="CV194" i="10"/>
  <c r="P28" i="247"/>
  <c r="CZ132" i="10"/>
  <c r="CX94" i="5"/>
  <c r="CZ92" i="5"/>
  <c r="CS98" i="5"/>
  <c r="CR95" i="5"/>
  <c r="CZ15" i="10" l="1"/>
  <c r="AB20" i="271"/>
  <c r="AA20" i="271"/>
  <c r="CZ243" i="10"/>
  <c r="CZ16" i="10"/>
  <c r="CP94" i="10"/>
  <c r="CP31" i="10"/>
  <c r="CN129" i="10"/>
  <c r="CN116" i="10"/>
  <c r="CN25" i="10"/>
  <c r="CN26" i="10" s="1"/>
  <c r="CX17" i="10"/>
  <c r="CX16" i="10"/>
  <c r="CX132" i="10"/>
  <c r="CX28" i="10"/>
  <c r="CZ28" i="10" s="1"/>
  <c r="CZ29" i="10" s="1"/>
  <c r="CX124" i="10"/>
  <c r="CX115" i="10"/>
  <c r="CX176" i="5"/>
  <c r="CY17" i="10"/>
  <c r="CZ249" i="10"/>
  <c r="CO94" i="10"/>
  <c r="CO31" i="10"/>
  <c r="CZ250" i="10"/>
  <c r="CQ41" i="10"/>
  <c r="CS97" i="5"/>
  <c r="CR102" i="5"/>
  <c r="CR100" i="5" s="1"/>
  <c r="CR35" i="10" s="1"/>
  <c r="CZ94" i="5"/>
  <c r="CY176" i="5"/>
  <c r="CY194" i="10" l="1"/>
  <c r="CX194" i="10"/>
  <c r="CO97" i="10"/>
  <c r="CO178" i="10"/>
  <c r="CP32" i="10"/>
  <c r="CP19" i="10"/>
  <c r="CO32" i="10"/>
  <c r="CO19" i="10"/>
  <c r="CQ94" i="10"/>
  <c r="CQ31" i="10"/>
  <c r="CX201" i="10"/>
  <c r="CY201" i="10"/>
  <c r="CZ201" i="10" s="1"/>
  <c r="CP97" i="10"/>
  <c r="CP178" i="10"/>
  <c r="CR38" i="10"/>
  <c r="CR41" i="10"/>
  <c r="CN200" i="10"/>
  <c r="CN134" i="10"/>
  <c r="CN139" i="10" s="1"/>
  <c r="CY198" i="10"/>
  <c r="CX198" i="10"/>
  <c r="CN199" i="10"/>
  <c r="CS96" i="5"/>
  <c r="AB21" i="271" l="1"/>
  <c r="AA21" i="271"/>
  <c r="CO20" i="10"/>
  <c r="CO23" i="10"/>
  <c r="CP101" i="10"/>
  <c r="CP98" i="10"/>
  <c r="CP179" i="10"/>
  <c r="CQ178" i="10"/>
  <c r="CQ97" i="10"/>
  <c r="CO98" i="10"/>
  <c r="CO101" i="10"/>
  <c r="CO179" i="10"/>
  <c r="CR94" i="10"/>
  <c r="CR97" i="10" s="1"/>
  <c r="CR31" i="10"/>
  <c r="CN203" i="10"/>
  <c r="CZ198" i="10"/>
  <c r="CQ32" i="10"/>
  <c r="CQ19" i="10"/>
  <c r="CP23" i="10"/>
  <c r="CP20" i="10"/>
  <c r="CZ194" i="10"/>
  <c r="CT98" i="5"/>
  <c r="CS95" i="5"/>
  <c r="CZ176" i="5"/>
  <c r="CR178" i="10" l="1"/>
  <c r="CR32" i="10"/>
  <c r="CR19" i="10"/>
  <c r="CQ179" i="10"/>
  <c r="CQ101" i="10"/>
  <c r="CR179" i="10"/>
  <c r="CQ98" i="10"/>
  <c r="CP25" i="10"/>
  <c r="CP26" i="10" s="1"/>
  <c r="CR98" i="10"/>
  <c r="CR101" i="10"/>
  <c r="CQ20" i="10"/>
  <c r="CQ23" i="10"/>
  <c r="CO129" i="10"/>
  <c r="CO116" i="10"/>
  <c r="CO25" i="10"/>
  <c r="CO26" i="10" s="1"/>
  <c r="CT97" i="5"/>
  <c r="CU97" i="5" s="1"/>
  <c r="CU98" i="5"/>
  <c r="CS102" i="5"/>
  <c r="CS100" i="5" s="1"/>
  <c r="CS35" i="10" s="1"/>
  <c r="CT96" i="5" l="1"/>
  <c r="CV98" i="5" s="1"/>
  <c r="CO134" i="10"/>
  <c r="CO139" i="10" s="1"/>
  <c r="CP129" i="10"/>
  <c r="CO200" i="10"/>
  <c r="CP200" i="10" s="1"/>
  <c r="CS38" i="10"/>
  <c r="CQ129" i="10"/>
  <c r="CQ116" i="10"/>
  <c r="CQ25" i="10"/>
  <c r="CQ26" i="10" s="1"/>
  <c r="CP116" i="10"/>
  <c r="CP244" i="10" s="1"/>
  <c r="CO199" i="10"/>
  <c r="CR20" i="10"/>
  <c r="CR23" i="10"/>
  <c r="CU96" i="5"/>
  <c r="CS41" i="10" l="1"/>
  <c r="CP247" i="10"/>
  <c r="CP134" i="10"/>
  <c r="CP139" i="10" s="1"/>
  <c r="CP245" i="10"/>
  <c r="CT95" i="5"/>
  <c r="CO203" i="10"/>
  <c r="CP199" i="10"/>
  <c r="CP203" i="10" s="1"/>
  <c r="CQ200" i="10"/>
  <c r="CQ134" i="10"/>
  <c r="CQ139" i="10" s="1"/>
  <c r="CR129" i="10"/>
  <c r="CR116" i="10"/>
  <c r="CR25" i="10"/>
  <c r="CR26" i="10" s="1"/>
  <c r="CQ199" i="10"/>
  <c r="CT102" i="5"/>
  <c r="CT100" i="5" s="1"/>
  <c r="CU95" i="5"/>
  <c r="CV97" i="5"/>
  <c r="CV96" i="5"/>
  <c r="CU100" i="5" l="1"/>
  <c r="CU102" i="5" s="1"/>
  <c r="CT35" i="10"/>
  <c r="CR200" i="10"/>
  <c r="CR134" i="10"/>
  <c r="CR139" i="10" s="1"/>
  <c r="CR199" i="10"/>
  <c r="CQ203" i="10"/>
  <c r="CS94" i="10"/>
  <c r="CS31" i="10"/>
  <c r="CW98" i="5"/>
  <c r="CV95" i="5"/>
  <c r="CS97" i="10" l="1"/>
  <c r="CS178" i="10"/>
  <c r="CS32" i="10"/>
  <c r="CS19" i="10"/>
  <c r="CR203" i="10"/>
  <c r="CT38" i="10"/>
  <c r="CU35" i="10"/>
  <c r="CP176" i="5"/>
  <c r="O7" i="247"/>
  <c r="CV102" i="5"/>
  <c r="CV100" i="5" s="1"/>
  <c r="CV35" i="10" s="1"/>
  <c r="CW97" i="5"/>
  <c r="CV38" i="10" l="1"/>
  <c r="CV41" i="10" s="1"/>
  <c r="CT41" i="10"/>
  <c r="CU38" i="10"/>
  <c r="CU41" i="10" s="1"/>
  <c r="CS98" i="10"/>
  <c r="CS101" i="10"/>
  <c r="CS179" i="10"/>
  <c r="CS23" i="10"/>
  <c r="CS20" i="10"/>
  <c r="CW96" i="5"/>
  <c r="CV94" i="10" l="1"/>
  <c r="CV31" i="10"/>
  <c r="CU94" i="10"/>
  <c r="CU31" i="10"/>
  <c r="CT31" i="10"/>
  <c r="CT94" i="10"/>
  <c r="CS129" i="10"/>
  <c r="CS116" i="10"/>
  <c r="CS25" i="10"/>
  <c r="CS26" i="10" s="1"/>
  <c r="CX98" i="5"/>
  <c r="CW95" i="5"/>
  <c r="CV178" i="10" l="1"/>
  <c r="CV97" i="10"/>
  <c r="CU32" i="10"/>
  <c r="CU19" i="10"/>
  <c r="CT32" i="10"/>
  <c r="CT19" i="10"/>
  <c r="CS199" i="10"/>
  <c r="CS200" i="10"/>
  <c r="CS134" i="10"/>
  <c r="CS139" i="10" s="1"/>
  <c r="CU178" i="10"/>
  <c r="CU97" i="10"/>
  <c r="CT97" i="10"/>
  <c r="CT178" i="10"/>
  <c r="CV32" i="10"/>
  <c r="CV19" i="10"/>
  <c r="CX97" i="5"/>
  <c r="CX96" i="5" s="1"/>
  <c r="CM177" i="5"/>
  <c r="CW102" i="5"/>
  <c r="CW100" i="5" s="1"/>
  <c r="CW35" i="10" s="1"/>
  <c r="F38" i="247"/>
  <c r="CT23" i="10" l="1"/>
  <c r="CT20" i="10"/>
  <c r="CW38" i="10"/>
  <c r="CW41" i="10"/>
  <c r="CT98" i="10"/>
  <c r="CT101" i="10"/>
  <c r="CT179" i="10"/>
  <c r="CV23" i="10"/>
  <c r="CV20" i="10"/>
  <c r="CU179" i="10"/>
  <c r="CU101" i="10"/>
  <c r="CU98" i="10"/>
  <c r="CS203" i="10"/>
  <c r="CU20" i="10"/>
  <c r="CU23" i="10"/>
  <c r="CV101" i="10"/>
  <c r="CV179" i="10"/>
  <c r="CV98" i="10"/>
  <c r="CY98" i="5"/>
  <c r="CX95" i="5"/>
  <c r="CW94" i="10" l="1"/>
  <c r="CW31" i="10"/>
  <c r="CT129" i="10"/>
  <c r="CT116" i="10"/>
  <c r="CT25" i="10"/>
  <c r="CT26" i="10" s="1"/>
  <c r="CU25" i="10"/>
  <c r="CU26" i="10" s="1"/>
  <c r="CV129" i="10"/>
  <c r="CV116" i="10"/>
  <c r="CV25" i="10"/>
  <c r="CV26" i="10" s="1"/>
  <c r="CY97" i="5"/>
  <c r="CZ97" i="5" s="1"/>
  <c r="CZ98" i="5"/>
  <c r="CM180" i="5"/>
  <c r="F37" i="247"/>
  <c r="CX102" i="5"/>
  <c r="CX100" i="5" s="1"/>
  <c r="CX35" i="10" s="1"/>
  <c r="CV134" i="10" l="1"/>
  <c r="CV139" i="10" s="1"/>
  <c r="CV200" i="10"/>
  <c r="CV199" i="10"/>
  <c r="CU116" i="10"/>
  <c r="CU244" i="10" s="1"/>
  <c r="CT199" i="10"/>
  <c r="CT200" i="10"/>
  <c r="CU200" i="10" s="1"/>
  <c r="CT134" i="10"/>
  <c r="CT139" i="10" s="1"/>
  <c r="CU129" i="10"/>
  <c r="CW97" i="10"/>
  <c r="CW178" i="10"/>
  <c r="CX38" i="10"/>
  <c r="CX41" i="10" s="1"/>
  <c r="CW32" i="10"/>
  <c r="CW19" i="10"/>
  <c r="CY96" i="5"/>
  <c r="F40" i="247"/>
  <c r="CU134" i="10" l="1"/>
  <c r="CU139" i="10" s="1"/>
  <c r="CU245" i="10"/>
  <c r="CU247" i="10" s="1"/>
  <c r="CT203" i="10"/>
  <c r="CU199" i="10"/>
  <c r="CU203" i="10" s="1"/>
  <c r="CX94" i="10"/>
  <c r="CX31" i="10"/>
  <c r="CV203" i="10"/>
  <c r="CW23" i="10"/>
  <c r="CW20" i="10"/>
  <c r="CW98" i="10"/>
  <c r="CW101" i="10"/>
  <c r="CW179" i="10"/>
  <c r="CN177" i="5"/>
  <c r="CY95" i="5"/>
  <c r="CZ96" i="5"/>
  <c r="CM178" i="5"/>
  <c r="F39" i="247"/>
  <c r="G38" i="247"/>
  <c r="CX32" i="10" l="1"/>
  <c r="CX19" i="10"/>
  <c r="CW129" i="10"/>
  <c r="CW116" i="10"/>
  <c r="CW25" i="10"/>
  <c r="CW26" i="10" s="1"/>
  <c r="CX97" i="10"/>
  <c r="CX178" i="10"/>
  <c r="CY102" i="5"/>
  <c r="CY100" i="5" s="1"/>
  <c r="CZ95" i="5"/>
  <c r="G27" i="247"/>
  <c r="G24" i="247"/>
  <c r="CM181" i="5"/>
  <c r="CZ100" i="5" l="1"/>
  <c r="CZ102" i="5" s="1"/>
  <c r="CY35" i="10"/>
  <c r="CW199" i="10"/>
  <c r="CW200" i="10"/>
  <c r="CW134" i="10"/>
  <c r="CW139" i="10" s="1"/>
  <c r="CX101" i="10"/>
  <c r="CX98" i="10"/>
  <c r="CX179" i="10"/>
  <c r="CX23" i="10"/>
  <c r="CX20" i="10"/>
  <c r="CN180" i="5"/>
  <c r="G37" i="247"/>
  <c r="CM182" i="5"/>
  <c r="CM183" i="5" s="1"/>
  <c r="CW203" i="10" l="1"/>
  <c r="CX129" i="10"/>
  <c r="CX116" i="10"/>
  <c r="CX25" i="10"/>
  <c r="CX26" i="10" s="1"/>
  <c r="CY38" i="10"/>
  <c r="CZ35" i="10"/>
  <c r="CP177" i="5"/>
  <c r="CO177" i="5"/>
  <c r="CQ177" i="5"/>
  <c r="O12" i="247"/>
  <c r="H38" i="247"/>
  <c r="CX200" i="10" l="1"/>
  <c r="CX134" i="10"/>
  <c r="CX139" i="10" s="1"/>
  <c r="CX199" i="10"/>
  <c r="CY41" i="10"/>
  <c r="CZ38" i="10"/>
  <c r="CZ41" i="10" s="1"/>
  <c r="O8" i="247"/>
  <c r="CZ94" i="10" l="1"/>
  <c r="CZ31" i="10"/>
  <c r="CX203" i="10"/>
  <c r="CY94" i="10"/>
  <c r="CY31" i="10"/>
  <c r="CP180" i="5"/>
  <c r="O11" i="247"/>
  <c r="CO180" i="5"/>
  <c r="H37" i="247"/>
  <c r="CQ180" i="5"/>
  <c r="CZ178" i="10" l="1"/>
  <c r="CZ97" i="10"/>
  <c r="CY97" i="10"/>
  <c r="CY178" i="10"/>
  <c r="CY32" i="10"/>
  <c r="CY19" i="10"/>
  <c r="CZ32" i="10"/>
  <c r="CZ19" i="10"/>
  <c r="CR177" i="5"/>
  <c r="CN43" i="10"/>
  <c r="CZ20" i="10" l="1"/>
  <c r="CZ23" i="10"/>
  <c r="CY101" i="10"/>
  <c r="CY98" i="10"/>
  <c r="CY179" i="10"/>
  <c r="CY23" i="10"/>
  <c r="CY20" i="10"/>
  <c r="CZ179" i="10"/>
  <c r="CZ101" i="10"/>
  <c r="CZ98" i="10"/>
  <c r="CN45" i="10"/>
  <c r="O24" i="247"/>
  <c r="O33" i="247"/>
  <c r="CN48" i="10" l="1"/>
  <c r="Z25" i="271" s="1"/>
  <c r="Z24" i="271"/>
  <c r="Z15" i="271"/>
  <c r="CY129" i="10"/>
  <c r="CY116" i="10"/>
  <c r="CY25" i="10"/>
  <c r="CY26" i="10" s="1"/>
  <c r="CZ25" i="10"/>
  <c r="CZ26" i="10" s="1"/>
  <c r="CN51" i="10"/>
  <c r="CN49" i="10"/>
  <c r="O34" i="247"/>
  <c r="O45" i="247"/>
  <c r="CS177" i="5"/>
  <c r="CR180" i="5"/>
  <c r="CN57" i="10" l="1"/>
  <c r="Z26" i="271"/>
  <c r="CY134" i="10"/>
  <c r="CY139" i="10" s="1"/>
  <c r="CZ129" i="10"/>
  <c r="CY200" i="10"/>
  <c r="CZ200" i="10" s="1"/>
  <c r="CZ116" i="10"/>
  <c r="CZ244" i="10" s="1"/>
  <c r="CY199" i="10"/>
  <c r="CN102" i="10"/>
  <c r="CN90" i="10"/>
  <c r="CN60" i="10"/>
  <c r="CN58" i="10"/>
  <c r="CN68" i="10"/>
  <c r="CN69" i="10" s="1"/>
  <c r="H27" i="247"/>
  <c r="H24" i="247"/>
  <c r="Z30" i="271" l="1"/>
  <c r="Z29" i="271"/>
  <c r="CY203" i="10"/>
  <c r="CZ199" i="10"/>
  <c r="CZ203" i="10" s="1"/>
  <c r="CZ134" i="10"/>
  <c r="CZ139" i="10" s="1"/>
  <c r="CZ245" i="10"/>
  <c r="CZ247" i="10" s="1"/>
  <c r="CN61" i="10"/>
  <c r="CN104" i="10"/>
  <c r="CN192" i="10"/>
  <c r="CN206" i="10" s="1"/>
  <c r="CN148" i="258" s="1"/>
  <c r="CN158" i="10"/>
  <c r="CN92" i="10"/>
  <c r="CN143" i="10"/>
  <c r="CT177" i="5"/>
  <c r="CS180" i="5"/>
  <c r="CN151" i="258" l="1"/>
  <c r="CN159" i="258" s="1"/>
  <c r="CN160" i="258" s="1"/>
  <c r="CN237" i="10"/>
  <c r="CN238" i="10" s="1"/>
  <c r="CN231" i="10"/>
  <c r="CN233" i="10" s="1"/>
  <c r="CN157" i="10"/>
  <c r="CN149" i="10"/>
  <c r="CU177" i="5"/>
  <c r="CT180" i="5"/>
  <c r="CV177" i="5"/>
  <c r="P12" i="247"/>
  <c r="CN183" i="10" l="1"/>
  <c r="CN182" i="10"/>
  <c r="CN162" i="10"/>
  <c r="CN175" i="10"/>
  <c r="CN150" i="10"/>
  <c r="CO232" i="10"/>
  <c r="CN113" i="10"/>
  <c r="CN127" i="258" s="1"/>
  <c r="CN181" i="5"/>
  <c r="G40" i="247"/>
  <c r="CN178" i="5"/>
  <c r="G39" i="247"/>
  <c r="P8" i="247"/>
  <c r="CO126" i="258" l="1"/>
  <c r="CN128" i="258"/>
  <c r="CN119" i="10"/>
  <c r="CN169" i="10"/>
  <c r="CN164" i="10"/>
  <c r="CO155" i="10"/>
  <c r="CN235" i="10"/>
  <c r="CN182" i="5"/>
  <c r="CN183" i="5" s="1"/>
  <c r="CU180" i="5"/>
  <c r="P11" i="247"/>
  <c r="CW177" i="5"/>
  <c r="CV180" i="5"/>
  <c r="CO149" i="258" l="1"/>
  <c r="CO129" i="258"/>
  <c r="CN170" i="10"/>
  <c r="CN126" i="10"/>
  <c r="CN152" i="10" s="1"/>
  <c r="CN176" i="10"/>
  <c r="CN174" i="10"/>
  <c r="P33" i="247"/>
  <c r="CN240" i="10" l="1"/>
  <c r="CN171" i="10"/>
  <c r="P24" i="247"/>
  <c r="P45" i="247"/>
  <c r="CX177" i="5"/>
  <c r="P34" i="247"/>
  <c r="CW180" i="5"/>
  <c r="CO43" i="10" l="1"/>
  <c r="CO45" i="10" l="1"/>
  <c r="CP43" i="10"/>
  <c r="CP45" i="10" s="1"/>
  <c r="CX180" i="5"/>
  <c r="CP48" i="10" l="1"/>
  <c r="AB25" i="271" s="1"/>
  <c r="AB24" i="271"/>
  <c r="AB15" i="271"/>
  <c r="CO48" i="10"/>
  <c r="AA25" i="271" s="1"/>
  <c r="AA24" i="271"/>
  <c r="AA15" i="271"/>
  <c r="CO51" i="10"/>
  <c r="CO49" i="10"/>
  <c r="CP49" i="10"/>
  <c r="CY177" i="5"/>
  <c r="O13" i="247"/>
  <c r="AA26" i="271" l="1"/>
  <c r="CO68" i="10"/>
  <c r="CO69" i="10" s="1"/>
  <c r="CP51" i="10"/>
  <c r="CO57" i="10"/>
  <c r="CZ177" i="5"/>
  <c r="CY180" i="5"/>
  <c r="AA29" i="271" l="1"/>
  <c r="AB26" i="271"/>
  <c r="CO102" i="10"/>
  <c r="CO58" i="10"/>
  <c r="CO90" i="10"/>
  <c r="CO60" i="10"/>
  <c r="CP68" i="10"/>
  <c r="CP69" i="10" s="1"/>
  <c r="CP52" i="10"/>
  <c r="CP57" i="10"/>
  <c r="O14" i="247"/>
  <c r="CP53" i="10" l="1"/>
  <c r="AB27" i="271"/>
  <c r="AA30" i="271"/>
  <c r="AB29" i="271"/>
  <c r="CO61" i="10"/>
  <c r="CO104" i="10"/>
  <c r="CO192" i="10"/>
  <c r="CO206" i="10" s="1"/>
  <c r="CO148" i="258" s="1"/>
  <c r="CO158" i="10"/>
  <c r="CO92" i="10"/>
  <c r="CO143" i="10"/>
  <c r="CP58" i="10"/>
  <c r="CP60" i="10"/>
  <c r="CP102" i="10"/>
  <c r="CP90" i="10"/>
  <c r="CZ180" i="5"/>
  <c r="G55" i="247"/>
  <c r="O16" i="247"/>
  <c r="G54" i="247" s="1"/>
  <c r="AB30" i="271" l="1"/>
  <c r="CO151" i="258"/>
  <c r="CO159" i="258" s="1"/>
  <c r="CO160" i="258" s="1"/>
  <c r="CP148" i="258"/>
  <c r="CP61" i="10"/>
  <c r="CP104" i="10"/>
  <c r="CO237" i="10"/>
  <c r="CO238" i="10" s="1"/>
  <c r="CO231" i="10"/>
  <c r="CO233" i="10" s="1"/>
  <c r="CP192" i="10"/>
  <c r="CP206" i="10" s="1"/>
  <c r="CP158" i="10"/>
  <c r="CP92" i="10"/>
  <c r="CO157" i="10"/>
  <c r="CP143" i="10"/>
  <c r="CO149" i="10"/>
  <c r="CO178" i="5"/>
  <c r="H39" i="247"/>
  <c r="H40" i="247"/>
  <c r="CO181" i="5"/>
  <c r="CO235" i="10" l="1"/>
  <c r="CO113" i="10"/>
  <c r="CO127" i="258" s="1"/>
  <c r="CO128" i="258" s="1"/>
  <c r="CP237" i="10"/>
  <c r="CP238" i="10" s="1"/>
  <c r="CP231" i="10"/>
  <c r="CP233" i="10" s="1"/>
  <c r="CP157" i="10"/>
  <c r="CP159" i="10" s="1"/>
  <c r="CP149" i="10"/>
  <c r="CO183" i="10"/>
  <c r="CO182" i="10"/>
  <c r="CO162" i="10"/>
  <c r="CO164" i="10" s="1"/>
  <c r="CO175" i="10"/>
  <c r="CO150" i="10"/>
  <c r="CP178" i="5"/>
  <c r="O17" i="247"/>
  <c r="G45" i="247" s="1"/>
  <c r="CO182" i="5"/>
  <c r="CO183" i="5" s="1"/>
  <c r="O42" i="247"/>
  <c r="O18" i="247"/>
  <c r="CU232" i="10" l="1"/>
  <c r="CQ232" i="10"/>
  <c r="CP182" i="10"/>
  <c r="CP183" i="10"/>
  <c r="CP162" i="10"/>
  <c r="CP175" i="10"/>
  <c r="CP150" i="10"/>
  <c r="CO119" i="10"/>
  <c r="CP113" i="10"/>
  <c r="CP127" i="258" s="1"/>
  <c r="CQ126" i="258" s="1"/>
  <c r="CO169" i="10"/>
  <c r="G47" i="247"/>
  <c r="G46" i="247"/>
  <c r="G52" i="247"/>
  <c r="O37" i="247"/>
  <c r="G48" i="247" s="1"/>
  <c r="CP235" i="10" l="1"/>
  <c r="CQ149" i="258"/>
  <c r="CQ129" i="258"/>
  <c r="CO170" i="10"/>
  <c r="CO126" i="10"/>
  <c r="CO152" i="10" s="1"/>
  <c r="CO174" i="10"/>
  <c r="CO176" i="10"/>
  <c r="CP119" i="10"/>
  <c r="CP169" i="10"/>
  <c r="CU155" i="10"/>
  <c r="CQ155" i="10"/>
  <c r="CP164" i="10"/>
  <c r="CP181" i="5"/>
  <c r="O46" i="247"/>
  <c r="O44" i="247" s="1"/>
  <c r="O58" i="247"/>
  <c r="CP182" i="5"/>
  <c r="CP183" i="5" s="1"/>
  <c r="O22" i="247"/>
  <c r="CP170" i="10" l="1"/>
  <c r="CP126" i="10"/>
  <c r="CP152" i="10" s="1"/>
  <c r="CO240" i="10"/>
  <c r="CO171" i="10"/>
  <c r="CP174" i="10"/>
  <c r="CP176" i="10"/>
  <c r="O59" i="247"/>
  <c r="G56" i="247"/>
  <c r="G59" i="247"/>
  <c r="G60" i="247" s="1"/>
  <c r="CP240" i="10" l="1"/>
  <c r="CP171" i="10"/>
  <c r="G57" i="247"/>
  <c r="G49" i="247"/>
  <c r="G50" i="247" s="1"/>
  <c r="G58" i="247"/>
  <c r="CQ43" i="10"/>
  <c r="O29" i="247"/>
  <c r="CQ45" i="10" l="1"/>
  <c r="CQ48" i="10" s="1"/>
  <c r="O38" i="247"/>
  <c r="O35" i="247" s="1"/>
  <c r="O25" i="247"/>
  <c r="CQ51" i="10" l="1"/>
  <c r="CQ49" i="10"/>
  <c r="CQ68" i="10" l="1"/>
  <c r="CQ69" i="10" s="1"/>
  <c r="CQ57" i="10"/>
  <c r="CQ102" i="10" l="1"/>
  <c r="CQ60" i="10"/>
  <c r="CQ90" i="10"/>
  <c r="CQ58" i="10"/>
  <c r="CQ192" i="10" l="1"/>
  <c r="CQ206" i="10" s="1"/>
  <c r="CQ148" i="258" s="1"/>
  <c r="CQ158" i="10"/>
  <c r="CQ92" i="10"/>
  <c r="CQ143" i="10"/>
  <c r="CQ61" i="10"/>
  <c r="CQ104" i="10"/>
  <c r="CQ178" i="5"/>
  <c r="CQ151" i="258" l="1"/>
  <c r="CQ159" i="258" s="1"/>
  <c r="CQ160" i="258" s="1"/>
  <c r="CQ237" i="10"/>
  <c r="CQ231" i="10"/>
  <c r="CQ233" i="10" s="1"/>
  <c r="CQ181" i="5"/>
  <c r="CQ157" i="10"/>
  <c r="CQ149" i="10"/>
  <c r="CQ238" i="10" l="1"/>
  <c r="CQ182" i="5"/>
  <c r="CQ183" i="5" s="1"/>
  <c r="CQ183" i="10"/>
  <c r="CQ182" i="10"/>
  <c r="CQ162" i="10"/>
  <c r="CQ175" i="10"/>
  <c r="CQ150" i="10"/>
  <c r="CR232" i="10"/>
  <c r="CQ113" i="10"/>
  <c r="CQ127" i="258" s="1"/>
  <c r="CQ235" i="10" l="1"/>
  <c r="CR126" i="258"/>
  <c r="CQ128" i="258"/>
  <c r="CQ164" i="10"/>
  <c r="CR155" i="10"/>
  <c r="CQ119" i="10"/>
  <c r="CQ169" i="10"/>
  <c r="CR149" i="258" l="1"/>
  <c r="CR129" i="258"/>
  <c r="CQ176" i="10"/>
  <c r="CQ174" i="10"/>
  <c r="CQ170" i="10"/>
  <c r="CQ126" i="10"/>
  <c r="CQ152" i="10" s="1"/>
  <c r="CQ240" i="10" l="1"/>
  <c r="CQ171" i="10"/>
  <c r="CR43" i="10"/>
  <c r="CR45" i="10" l="1"/>
  <c r="CR48" i="10" s="1"/>
  <c r="CR57" i="10" l="1"/>
  <c r="CR49" i="10"/>
  <c r="CR51" i="10"/>
  <c r="CR102" i="10" l="1"/>
  <c r="CR90" i="10"/>
  <c r="CR60" i="10"/>
  <c r="CR58" i="10"/>
  <c r="CR68" i="10"/>
  <c r="CR69" i="10" s="1"/>
  <c r="CR61" i="10" l="1"/>
  <c r="CR104" i="10"/>
  <c r="CR178" i="5"/>
  <c r="CR192" i="10"/>
  <c r="CR206" i="10" s="1"/>
  <c r="CR148" i="258" s="1"/>
  <c r="CR158" i="10"/>
  <c r="CR92" i="10"/>
  <c r="CR143" i="10"/>
  <c r="CR151" i="258" l="1"/>
  <c r="CR159" i="258" s="1"/>
  <c r="CR160" i="258" s="1"/>
  <c r="CR231" i="10"/>
  <c r="CR233" i="10" s="1"/>
  <c r="CR237" i="10"/>
  <c r="CR181" i="5"/>
  <c r="CR157" i="10"/>
  <c r="CR149" i="10"/>
  <c r="CR235" i="10" l="1"/>
  <c r="CS232" i="10"/>
  <c r="CR113" i="10"/>
  <c r="CR127" i="258" s="1"/>
  <c r="CR183" i="10"/>
  <c r="CR182" i="10"/>
  <c r="CR162" i="10"/>
  <c r="CR175" i="10"/>
  <c r="CR150" i="10"/>
  <c r="CR238" i="10"/>
  <c r="CR182" i="5"/>
  <c r="CR183" i="5" s="1"/>
  <c r="CS126" i="258" l="1"/>
  <c r="CR128" i="258"/>
  <c r="CR119" i="10"/>
  <c r="CR169" i="10"/>
  <c r="CR164" i="10"/>
  <c r="CS155" i="10"/>
  <c r="CS149" i="258" l="1"/>
  <c r="CS129" i="258"/>
  <c r="CR170" i="10"/>
  <c r="CR126" i="10"/>
  <c r="CR152" i="10" s="1"/>
  <c r="CR176" i="10"/>
  <c r="CR174" i="10"/>
  <c r="CR240" i="10" l="1"/>
  <c r="CR171" i="10"/>
  <c r="CS43" i="10"/>
  <c r="CS45" i="10" l="1"/>
  <c r="CS48" i="10" s="1"/>
  <c r="CS57" i="10" l="1"/>
  <c r="CS49" i="10"/>
  <c r="CS51" i="10"/>
  <c r="CS102" i="10" l="1"/>
  <c r="CS90" i="10"/>
  <c r="CS58" i="10"/>
  <c r="CS60" i="10"/>
  <c r="CS68" i="10"/>
  <c r="CS69" i="10" s="1"/>
  <c r="CS61" i="10" l="1"/>
  <c r="CS104" i="10"/>
  <c r="CS178" i="5"/>
  <c r="CS192" i="10"/>
  <c r="CS206" i="10" s="1"/>
  <c r="CS148" i="258" s="1"/>
  <c r="CS158" i="10"/>
  <c r="CS92" i="10"/>
  <c r="CS143" i="10"/>
  <c r="CS151" i="258" l="1"/>
  <c r="CS159" i="258" s="1"/>
  <c r="CS160" i="258" s="1"/>
  <c r="CS237" i="10"/>
  <c r="CS231" i="10"/>
  <c r="CS233" i="10" s="1"/>
  <c r="CS181" i="5"/>
  <c r="CS157" i="10"/>
  <c r="CS149" i="10"/>
  <c r="CS238" i="10" l="1"/>
  <c r="CS182" i="5"/>
  <c r="CS183" i="5" s="1"/>
  <c r="CS182" i="10"/>
  <c r="CS183" i="10"/>
  <c r="CS162" i="10"/>
  <c r="CS175" i="10"/>
  <c r="CS150" i="10"/>
  <c r="CT232" i="10"/>
  <c r="CS113" i="10"/>
  <c r="CS127" i="258" s="1"/>
  <c r="CS235" i="10" l="1"/>
  <c r="CT126" i="258"/>
  <c r="CS128" i="258"/>
  <c r="CS164" i="10"/>
  <c r="CT155" i="10"/>
  <c r="CS119" i="10"/>
  <c r="CS169" i="10"/>
  <c r="CT149" i="258" l="1"/>
  <c r="CT129" i="258"/>
  <c r="CS176" i="10"/>
  <c r="CS174" i="10"/>
  <c r="CS170" i="10"/>
  <c r="CS126" i="10"/>
  <c r="CS152" i="10" s="1"/>
  <c r="CT43" i="10" l="1"/>
  <c r="CS240" i="10"/>
  <c r="CS171" i="10"/>
  <c r="CT45" i="10" l="1"/>
  <c r="CT48" i="10" s="1"/>
  <c r="CU43" i="10"/>
  <c r="CU45" i="10" s="1"/>
  <c r="CT51" i="10" l="1"/>
  <c r="CT49" i="10"/>
  <c r="CU48" i="10"/>
  <c r="CU49" i="10" l="1"/>
  <c r="P13" i="247"/>
  <c r="CT68" i="10"/>
  <c r="CT69" i="10" s="1"/>
  <c r="CU51" i="10"/>
  <c r="CT57" i="10"/>
  <c r="CU52" i="10" l="1"/>
  <c r="CU68" i="10"/>
  <c r="CU69" i="10" s="1"/>
  <c r="P14" i="247"/>
  <c r="CT58" i="10"/>
  <c r="CT102" i="10"/>
  <c r="CT60" i="10"/>
  <c r="CT90" i="10"/>
  <c r="CU57" i="10"/>
  <c r="CU102" i="10" l="1"/>
  <c r="CU60" i="10"/>
  <c r="CU90" i="10"/>
  <c r="CU58" i="10"/>
  <c r="P16" i="247"/>
  <c r="H54" i="247" s="1"/>
  <c r="CT61" i="10"/>
  <c r="CT104" i="10"/>
  <c r="CT178" i="5"/>
  <c r="CU53" i="10"/>
  <c r="H55" i="247"/>
  <c r="CT192" i="10"/>
  <c r="CT206" i="10" s="1"/>
  <c r="CT148" i="258" s="1"/>
  <c r="CT158" i="10"/>
  <c r="CT92" i="10"/>
  <c r="CT143" i="10"/>
  <c r="CT151" i="258" l="1"/>
  <c r="CT159" i="258" s="1"/>
  <c r="CT160" i="258" s="1"/>
  <c r="CU148" i="258"/>
  <c r="CT231" i="10"/>
  <c r="CT233" i="10" s="1"/>
  <c r="CT237" i="10"/>
  <c r="CT181" i="5"/>
  <c r="CU192" i="10"/>
  <c r="CU158" i="10"/>
  <c r="CU92" i="10"/>
  <c r="P18" i="247" s="1"/>
  <c r="CT157" i="10"/>
  <c r="CU143" i="10"/>
  <c r="CT149" i="10"/>
  <c r="CU61" i="10"/>
  <c r="CU104" i="10"/>
  <c r="P17" i="247"/>
  <c r="H45" i="247" s="1"/>
  <c r="CU178" i="5"/>
  <c r="CU206" i="10" l="1"/>
  <c r="P42" i="247"/>
  <c r="CT113" i="10"/>
  <c r="CT127" i="258" s="1"/>
  <c r="CT128" i="258" s="1"/>
  <c r="CU157" i="10"/>
  <c r="CU159" i="10" s="1"/>
  <c r="CU149" i="10"/>
  <c r="H46" i="247"/>
  <c r="H47" i="247"/>
  <c r="H52" i="247"/>
  <c r="CT182" i="10"/>
  <c r="CT183" i="10"/>
  <c r="CT162" i="10"/>
  <c r="CT164" i="10" s="1"/>
  <c r="CT175" i="10"/>
  <c r="CT150" i="10"/>
  <c r="CT238" i="10"/>
  <c r="CT182" i="5"/>
  <c r="CT183" i="5" s="1"/>
  <c r="CT235" i="10" l="1"/>
  <c r="CU237" i="10"/>
  <c r="CU231" i="10"/>
  <c r="CU181" i="5"/>
  <c r="P46" i="247"/>
  <c r="P44" i="247" s="1"/>
  <c r="CU183" i="10"/>
  <c r="CU182" i="10"/>
  <c r="CU162" i="10"/>
  <c r="CU175" i="10"/>
  <c r="CU150" i="10"/>
  <c r="P37" i="247"/>
  <c r="H48" i="247" s="1"/>
  <c r="CU113" i="10"/>
  <c r="CU127" i="258" s="1"/>
  <c r="CV126" i="258" s="1"/>
  <c r="CT119" i="10"/>
  <c r="CT169" i="10"/>
  <c r="CV149" i="258" l="1"/>
  <c r="CV129" i="258"/>
  <c r="CT170" i="10"/>
  <c r="CT126" i="10"/>
  <c r="CT152" i="10" s="1"/>
  <c r="CT174" i="10"/>
  <c r="CT176" i="10"/>
  <c r="CU238" i="10"/>
  <c r="H59" i="247" s="1"/>
  <c r="H60" i="247" s="1"/>
  <c r="CU182" i="5"/>
  <c r="CU183" i="5" s="1"/>
  <c r="CU119" i="10"/>
  <c r="CU169" i="10"/>
  <c r="P22" i="247"/>
  <c r="CU164" i="10"/>
  <c r="CZ155" i="10"/>
  <c r="CV155" i="10"/>
  <c r="CU233" i="10"/>
  <c r="P58" i="247"/>
  <c r="CU174" i="10" l="1"/>
  <c r="CU176" i="10"/>
  <c r="P59" i="247"/>
  <c r="H56" i="247"/>
  <c r="CT240" i="10"/>
  <c r="CT171" i="10"/>
  <c r="CU170" i="10"/>
  <c r="CU126" i="10"/>
  <c r="CU235" i="10"/>
  <c r="CZ232" i="10"/>
  <c r="CV232" i="10"/>
  <c r="CV43" i="10"/>
  <c r="CU152" i="10" l="1"/>
  <c r="P29" i="247"/>
  <c r="H58" i="247"/>
  <c r="H57" i="247"/>
  <c r="H49" i="247"/>
  <c r="H50" i="247" s="1"/>
  <c r="CV45" i="10"/>
  <c r="CV48" i="10" s="1"/>
  <c r="CU240" i="10"/>
  <c r="CU171" i="10"/>
  <c r="CV57" i="10" l="1"/>
  <c r="CV49" i="10"/>
  <c r="CV51" i="10"/>
  <c r="P38" i="247"/>
  <c r="P35" i="247" s="1"/>
  <c r="P25" i="247"/>
  <c r="CV102" i="10" l="1"/>
  <c r="CV90" i="10"/>
  <c r="CV60" i="10"/>
  <c r="CV58" i="10"/>
  <c r="CV68" i="10"/>
  <c r="CV69" i="10" s="1"/>
  <c r="CV61" i="10" l="1"/>
  <c r="CV104" i="10"/>
  <c r="CV178" i="5"/>
  <c r="CV192" i="10"/>
  <c r="CV206" i="10" s="1"/>
  <c r="CV148" i="258" s="1"/>
  <c r="CV158" i="10"/>
  <c r="CV92" i="10"/>
  <c r="CV143" i="10"/>
  <c r="CV151" i="258" l="1"/>
  <c r="CV159" i="258" s="1"/>
  <c r="CV160" i="258" s="1"/>
  <c r="CV237" i="10"/>
  <c r="CV231" i="10"/>
  <c r="CV233" i="10" s="1"/>
  <c r="CV181" i="5"/>
  <c r="CV157" i="10"/>
  <c r="CV149" i="10"/>
  <c r="CV183" i="10" l="1"/>
  <c r="CV182" i="10"/>
  <c r="CV162" i="10"/>
  <c r="CV175" i="10"/>
  <c r="CV150" i="10"/>
  <c r="CV238" i="10"/>
  <c r="CV182" i="5"/>
  <c r="CV183" i="5" s="1"/>
  <c r="CW232" i="10"/>
  <c r="CV113" i="10"/>
  <c r="CV127" i="258" s="1"/>
  <c r="CV235" i="10" l="1"/>
  <c r="CW126" i="258"/>
  <c r="CV128" i="258"/>
  <c r="CV164" i="10"/>
  <c r="CW155" i="10"/>
  <c r="CV119" i="10"/>
  <c r="CV169" i="10"/>
  <c r="CW149" i="258" l="1"/>
  <c r="CW129" i="258"/>
  <c r="CV176" i="10"/>
  <c r="CV174" i="10"/>
  <c r="CV170" i="10"/>
  <c r="CV126" i="10"/>
  <c r="CV152" i="10" s="1"/>
  <c r="CV240" i="10" l="1"/>
  <c r="CV171" i="10"/>
  <c r="CW43" i="10"/>
  <c r="CW45" i="10" l="1"/>
  <c r="CW48" i="10" s="1"/>
  <c r="CW57" i="10" l="1"/>
  <c r="CW49" i="10"/>
  <c r="CW51" i="10"/>
  <c r="CW102" i="10" l="1"/>
  <c r="CW90" i="10"/>
  <c r="CW58" i="10"/>
  <c r="CW60" i="10"/>
  <c r="CW68" i="10"/>
  <c r="CW69" i="10" s="1"/>
  <c r="CW61" i="10" l="1"/>
  <c r="CW104" i="10"/>
  <c r="CW178" i="5"/>
  <c r="CW192" i="10"/>
  <c r="CW206" i="10" s="1"/>
  <c r="CW148" i="258" s="1"/>
  <c r="CW158" i="10"/>
  <c r="CW92" i="10"/>
  <c r="CW143" i="10"/>
  <c r="CW151" i="258" l="1"/>
  <c r="CW159" i="258" s="1"/>
  <c r="CW160" i="258" s="1"/>
  <c r="CW237" i="10"/>
  <c r="CW231" i="10"/>
  <c r="CW233" i="10" s="1"/>
  <c r="CW181" i="5"/>
  <c r="CW157" i="10"/>
  <c r="CW149" i="10"/>
  <c r="CW183" i="10" l="1"/>
  <c r="CW182" i="10"/>
  <c r="CW162" i="10"/>
  <c r="CW175" i="10"/>
  <c r="CW150" i="10"/>
  <c r="CW238" i="10"/>
  <c r="CW182" i="5"/>
  <c r="CW183" i="5" s="1"/>
  <c r="CX232" i="10"/>
  <c r="CW113" i="10"/>
  <c r="CW127" i="258" s="1"/>
  <c r="CW235" i="10" l="1"/>
  <c r="CX126" i="258"/>
  <c r="CW128" i="258"/>
  <c r="CX155" i="10"/>
  <c r="CW164" i="10"/>
  <c r="CW119" i="10"/>
  <c r="CW169" i="10"/>
  <c r="CX149" i="258" l="1"/>
  <c r="CX129" i="258"/>
  <c r="CW176" i="10"/>
  <c r="CW174" i="10"/>
  <c r="CW170" i="10"/>
  <c r="CW126" i="10"/>
  <c r="CW152" i="10" s="1"/>
  <c r="CX43" i="10" l="1"/>
  <c r="CW240" i="10"/>
  <c r="CW171" i="10"/>
  <c r="CX45" i="10" l="1"/>
  <c r="CX48" i="10" s="1"/>
  <c r="CX51" i="10" l="1"/>
  <c r="CX49" i="10"/>
  <c r="CX68" i="10" l="1"/>
  <c r="CX69" i="10" s="1"/>
  <c r="CX57" i="10"/>
  <c r="CX102" i="10" l="1"/>
  <c r="CX90" i="10"/>
  <c r="CX58" i="10"/>
  <c r="CX60" i="10"/>
  <c r="CX61" i="10" l="1"/>
  <c r="CX104" i="10"/>
  <c r="CX178" i="5"/>
  <c r="CX192" i="10"/>
  <c r="CX206" i="10" s="1"/>
  <c r="CX148" i="258" s="1"/>
  <c r="CX158" i="10"/>
  <c r="CX92" i="10"/>
  <c r="CX143" i="10"/>
  <c r="CX151" i="258" l="1"/>
  <c r="CX159" i="258" s="1"/>
  <c r="CX160" i="258" s="1"/>
  <c r="CX231" i="10"/>
  <c r="CX233" i="10" s="1"/>
  <c r="CX237" i="10"/>
  <c r="CX181" i="5"/>
  <c r="CX157" i="10"/>
  <c r="CX149" i="10"/>
  <c r="CX182" i="10" l="1"/>
  <c r="CX183" i="10"/>
  <c r="CX162" i="10"/>
  <c r="CX175" i="10"/>
  <c r="CX150" i="10"/>
  <c r="CX238" i="10"/>
  <c r="CX182" i="5"/>
  <c r="CX183" i="5" s="1"/>
  <c r="CY232" i="10"/>
  <c r="CX113" i="10"/>
  <c r="CX127" i="258" s="1"/>
  <c r="CY126" i="258" l="1"/>
  <c r="CX128" i="258"/>
  <c r="CX119" i="10"/>
  <c r="CX169" i="10"/>
  <c r="CX235" i="10"/>
  <c r="CY155" i="10"/>
  <c r="CX164" i="10"/>
  <c r="CY149" i="258" l="1"/>
  <c r="CY129" i="258"/>
  <c r="CX170" i="10"/>
  <c r="CX126" i="10"/>
  <c r="CX152" i="10" s="1"/>
  <c r="CX176" i="10"/>
  <c r="CX174" i="10"/>
  <c r="CY43" i="10" l="1"/>
  <c r="CX240" i="10"/>
  <c r="CX171" i="10"/>
  <c r="CY45" i="10" l="1"/>
  <c r="CY48" i="10" s="1"/>
  <c r="CZ43" i="10"/>
  <c r="CZ45" i="10" s="1"/>
  <c r="CY51" i="10" l="1"/>
  <c r="CY49" i="10"/>
  <c r="CZ48" i="10"/>
  <c r="CY68" i="10" l="1"/>
  <c r="CY69" i="10" s="1"/>
  <c r="CZ51" i="10"/>
  <c r="CZ49" i="10"/>
  <c r="CY57" i="10"/>
  <c r="CZ57" i="10" l="1"/>
  <c r="CY102" i="10"/>
  <c r="CY60" i="10"/>
  <c r="CY90" i="10"/>
  <c r="CY58" i="10"/>
  <c r="CZ102" i="10"/>
  <c r="CZ90" i="10"/>
  <c r="CZ60" i="10"/>
  <c r="CZ58" i="10"/>
  <c r="CZ68" i="10"/>
  <c r="CZ69" i="10" s="1"/>
  <c r="CZ52" i="10"/>
  <c r="CZ53" i="10" s="1"/>
  <c r="CY192" i="10" l="1"/>
  <c r="CY206" i="10" s="1"/>
  <c r="CY148" i="258" s="1"/>
  <c r="CY158" i="10"/>
  <c r="CY92" i="10"/>
  <c r="CY143" i="10"/>
  <c r="CZ61" i="10"/>
  <c r="CZ104" i="10"/>
  <c r="CZ178" i="5"/>
  <c r="CZ192" i="10"/>
  <c r="CZ206" i="10" s="1"/>
  <c r="CZ158" i="10"/>
  <c r="CZ92" i="10"/>
  <c r="CY61" i="10"/>
  <c r="CY104" i="10"/>
  <c r="CY178" i="5"/>
  <c r="CY151" i="258" l="1"/>
  <c r="CY159" i="258" s="1"/>
  <c r="CY160" i="258" s="1"/>
  <c r="CZ148" i="258"/>
  <c r="CZ143" i="10"/>
  <c r="CY157" i="10"/>
  <c r="CY149" i="10"/>
  <c r="CY237" i="10"/>
  <c r="CY231" i="10"/>
  <c r="CY233" i="10" s="1"/>
  <c r="CY181" i="5"/>
  <c r="CZ237" i="10"/>
  <c r="CZ231" i="10"/>
  <c r="CZ233" i="10" s="1"/>
  <c r="CZ181" i="5"/>
  <c r="CZ157" i="10" l="1"/>
  <c r="CZ159" i="10" s="1"/>
  <c r="CZ149" i="10"/>
  <c r="CY238" i="10"/>
  <c r="CY182" i="5"/>
  <c r="CY183" i="5" s="1"/>
  <c r="CY113" i="10"/>
  <c r="CZ238" i="10"/>
  <c r="DA238" i="10" s="1"/>
  <c r="CZ182" i="5"/>
  <c r="CZ183" i="5" s="1"/>
  <c r="CY183" i="10"/>
  <c r="CY182" i="10"/>
  <c r="CY162" i="10"/>
  <c r="CY164" i="10" s="1"/>
  <c r="CY175" i="10"/>
  <c r="CY150" i="10"/>
  <c r="CY235" i="10" l="1"/>
  <c r="CY127" i="258"/>
  <c r="CY128" i="258" s="1"/>
  <c r="CZ183" i="10"/>
  <c r="CZ182" i="10"/>
  <c r="CZ162" i="10"/>
  <c r="CZ164" i="10" s="1"/>
  <c r="CZ175" i="10"/>
  <c r="CZ150" i="10"/>
  <c r="CY119" i="10"/>
  <c r="CZ113" i="10"/>
  <c r="CZ127" i="258" s="1"/>
  <c r="CY169" i="10"/>
  <c r="CZ119" i="10" l="1"/>
  <c r="CZ169" i="10"/>
  <c r="CZ235" i="10"/>
  <c r="CY174" i="10"/>
  <c r="CY176" i="10"/>
  <c r="CY170" i="10"/>
  <c r="CY126" i="10"/>
  <c r="CY152" i="10" s="1"/>
  <c r="CZ170" i="10" l="1"/>
  <c r="CZ126" i="10"/>
  <c r="CZ152" i="10" s="1"/>
  <c r="CY240" i="10"/>
  <c r="CY171" i="10"/>
  <c r="CZ176" i="10"/>
  <c r="CZ174" i="10"/>
  <c r="CZ240" i="10" l="1"/>
  <c r="CZ171" i="10"/>
</calcChain>
</file>

<file path=xl/comments1.xml><?xml version="1.0" encoding="utf-8"?>
<comments xmlns="http://schemas.openxmlformats.org/spreadsheetml/2006/main">
  <authors>
    <author>Hunter Alley</author>
    <author>Sood, Piyush (Research)</author>
    <author>Evan L. Kurtz</author>
    <author>Piyush Sood</author>
    <author>alelevy</author>
    <author>E Kurtz</author>
    <author>Rocha Calejon, Serena (Research)</author>
    <author>Alley, Hunter (Research)</author>
    <author>Evan Kurtz</author>
    <author>Nandu, Ankit (Research)</author>
  </authors>
  <commentList>
    <comment ref="B7" authorId="0">
      <text>
        <r>
          <rPr>
            <b/>
            <sz val="9"/>
            <color indexed="81"/>
            <rFont val="Tahoma"/>
            <family val="2"/>
          </rPr>
          <t>Hunter Alley:</t>
        </r>
        <r>
          <rPr>
            <sz val="9"/>
            <color indexed="81"/>
            <rFont val="Tahoma"/>
            <family val="2"/>
          </rPr>
          <t xml:space="preserve">
Steel Hollow Sections ASTM A500 
Source: AMM</t>
        </r>
      </text>
    </comment>
    <comment ref="CE20" authorId="1">
      <text>
        <r>
          <rPr>
            <b/>
            <sz val="9"/>
            <color indexed="81"/>
            <rFont val="Tahoma"/>
            <family val="2"/>
          </rPr>
          <t>Sood, Piyush (Research):</t>
        </r>
        <r>
          <rPr>
            <sz val="9"/>
            <color indexed="81"/>
            <rFont val="Tahoma"/>
            <family val="2"/>
          </rPr>
          <t xml:space="preserve">
includes piling</t>
        </r>
      </text>
    </comment>
    <comment ref="CG20" authorId="1">
      <text>
        <r>
          <rPr>
            <b/>
            <sz val="9"/>
            <color indexed="81"/>
            <rFont val="Tahoma"/>
            <family val="2"/>
          </rPr>
          <t>Sood, Piyush (Research):</t>
        </r>
        <r>
          <rPr>
            <sz val="9"/>
            <color indexed="81"/>
            <rFont val="Tahoma"/>
            <family val="2"/>
          </rPr>
          <t xml:space="preserve">
no longer includes piling</t>
        </r>
      </text>
    </comment>
    <comment ref="AN27" authorId="2">
      <text>
        <r>
          <rPr>
            <b/>
            <sz val="8"/>
            <color indexed="81"/>
            <rFont val="Tahoma"/>
            <family val="2"/>
          </rPr>
          <t>Evan L. Kurtz:</t>
        </r>
        <r>
          <rPr>
            <sz val="8"/>
            <color indexed="81"/>
            <rFont val="Tahoma"/>
            <family val="2"/>
          </rPr>
          <t xml:space="preserve">
Decatur galv line start-up</t>
        </r>
      </text>
    </comment>
    <comment ref="AP27" authorId="2">
      <text>
        <r>
          <rPr>
            <b/>
            <sz val="8"/>
            <color indexed="81"/>
            <rFont val="Tahoma"/>
            <family val="2"/>
          </rPr>
          <t>Evan L. Kurtz:</t>
        </r>
        <r>
          <rPr>
            <sz val="8"/>
            <color indexed="81"/>
            <rFont val="Tahoma"/>
            <family val="2"/>
          </rPr>
          <t xml:space="preserve">
Blythville Castrip start-up
</t>
        </r>
      </text>
    </comment>
    <comment ref="AN28" authorId="2">
      <text>
        <r>
          <rPr>
            <b/>
            <sz val="8"/>
            <color indexed="81"/>
            <rFont val="Tahoma"/>
            <family val="2"/>
          </rPr>
          <t>Evan L. Kurtz:</t>
        </r>
        <r>
          <rPr>
            <sz val="8"/>
            <color indexed="81"/>
            <rFont val="Tahoma"/>
            <family val="2"/>
          </rPr>
          <t xml:space="preserve">
Memphis SBQ start-up</t>
        </r>
      </text>
    </comment>
    <comment ref="CZ28" authorId="3">
      <text>
        <r>
          <rPr>
            <b/>
            <sz val="9"/>
            <color indexed="81"/>
            <rFont val="Tahoma"/>
            <family val="2"/>
          </rPr>
          <t>Piyush Sood:</t>
        </r>
        <r>
          <rPr>
            <sz val="9"/>
            <color indexed="81"/>
            <rFont val="Tahoma"/>
            <family val="2"/>
          </rPr>
          <t xml:space="preserve">
Bourbonnais – MBQ mill was announced in Nov 2017 and is expected to cost $180mn, taking 2 years to complete (annual capacity 500kt)
Sedalia – Rebar mill was announced in Nov 2017 and is expected to cost $250mn, with start-up expected in 2019 pending certain permits and approvals (annual capacity 300-400kt)
</t>
        </r>
      </text>
    </comment>
    <comment ref="CK33" authorId="1">
      <text>
        <r>
          <rPr>
            <b/>
            <sz val="9"/>
            <color indexed="81"/>
            <rFont val="Tahoma"/>
            <family val="2"/>
          </rPr>
          <t>Sood, Piyush (Research):</t>
        </r>
        <r>
          <rPr>
            <sz val="9"/>
            <color indexed="81"/>
            <rFont val="Tahoma"/>
            <family val="2"/>
          </rPr>
          <t xml:space="preserve">
60% hot band, 20% cold rolled, 20% galvanized</t>
        </r>
      </text>
    </comment>
    <comment ref="CY34" authorId="3">
      <text>
        <r>
          <rPr>
            <b/>
            <sz val="9"/>
            <color indexed="81"/>
            <rFont val="Tahoma"/>
            <family val="2"/>
          </rPr>
          <t>Piyush Sood:</t>
        </r>
        <r>
          <rPr>
            <sz val="9"/>
            <color indexed="81"/>
            <rFont val="Tahoma"/>
            <family val="2"/>
          </rPr>
          <t xml:space="preserve">
Bourbonnais – MBQ mill was announced in Nov 2017 and is expected to cost $180mn, taking 2 years to complete (annual capacity 500kt)
Sedalia – Rebar mill was announced in Nov 2017 and is expected to cost $250mn, with start-up expected in 2019 pending certain permits and approvals (annual capacity 300-400kt)
</t>
        </r>
      </text>
    </comment>
    <comment ref="CZ34" authorId="3">
      <text>
        <r>
          <rPr>
            <b/>
            <sz val="9"/>
            <color indexed="81"/>
            <rFont val="Tahoma"/>
            <family val="2"/>
          </rPr>
          <t>Piyush Sood:</t>
        </r>
        <r>
          <rPr>
            <sz val="9"/>
            <color indexed="81"/>
            <rFont val="Tahoma"/>
            <family val="2"/>
          </rPr>
          <t xml:space="preserve">
Rebar and MBQ mills ramp up</t>
        </r>
      </text>
    </comment>
    <comment ref="BL51" authorId="2">
      <text>
        <r>
          <rPr>
            <b/>
            <sz val="8"/>
            <color indexed="81"/>
            <rFont val="Tahoma"/>
            <family val="2"/>
          </rPr>
          <t>Evan L. Kurtz:</t>
        </r>
        <r>
          <rPr>
            <sz val="8"/>
            <color indexed="81"/>
            <rFont val="Tahoma"/>
            <family val="2"/>
          </rPr>
          <t xml:space="preserve">
500k tons for Castrip</t>
        </r>
      </text>
    </comment>
    <comment ref="BU51" authorId="4">
      <text>
        <r>
          <rPr>
            <b/>
            <sz val="8"/>
            <color indexed="81"/>
            <rFont val="Tahoma"/>
            <family val="2"/>
          </rPr>
          <t>alelevy:</t>
        </r>
        <r>
          <rPr>
            <sz val="8"/>
            <color indexed="81"/>
            <rFont val="Tahoma"/>
            <family val="2"/>
          </rPr>
          <t xml:space="preserve">
Included Gallatin (1.8 mt)</t>
        </r>
      </text>
    </comment>
    <comment ref="CA51" authorId="0">
      <text>
        <r>
          <rPr>
            <b/>
            <sz val="9"/>
            <color indexed="81"/>
            <rFont val="Tahoma"/>
            <family val="2"/>
          </rPr>
          <t>Hunter Alley:</t>
        </r>
        <r>
          <rPr>
            <sz val="9"/>
            <color indexed="81"/>
            <rFont val="Tahoma"/>
            <family val="2"/>
          </rPr>
          <t xml:space="preserve">
Inlcudes 4.1 mnt of CR sheet and 2.0 mnt of galvanized sheet.
</t>
        </r>
      </text>
    </comment>
    <comment ref="CF51" authorId="0">
      <text>
        <r>
          <rPr>
            <b/>
            <sz val="9"/>
            <color indexed="81"/>
            <rFont val="Tahoma"/>
            <family val="2"/>
          </rPr>
          <t>Hunter Alley:</t>
        </r>
        <r>
          <rPr>
            <sz val="9"/>
            <color indexed="81"/>
            <rFont val="Tahoma"/>
            <family val="2"/>
          </rPr>
          <t xml:space="preserve">
Inlcudes 4.1 mnt of CR sheet and 2.0 mnt of galvanized sheet.
</t>
        </r>
      </text>
    </comment>
    <comment ref="CP51" authorId="0">
      <text>
        <r>
          <rPr>
            <b/>
            <sz val="9"/>
            <color indexed="81"/>
            <rFont val="Tahoma"/>
            <family val="2"/>
          </rPr>
          <t>Hunter Alley:</t>
        </r>
        <r>
          <rPr>
            <sz val="9"/>
            <color indexed="81"/>
            <rFont val="Tahoma"/>
            <family val="2"/>
          </rPr>
          <t xml:space="preserve">
Inlcudes 4.1 mnt of CR sheet and 2.0 mnt of galvanized sheet.
</t>
        </r>
      </text>
    </comment>
    <comment ref="CZ51" authorId="1">
      <text>
        <r>
          <rPr>
            <b/>
            <sz val="9"/>
            <color indexed="81"/>
            <rFont val="Tahoma"/>
            <family val="2"/>
          </rPr>
          <t>Sood, Piyush (Research):</t>
        </r>
        <r>
          <rPr>
            <sz val="9"/>
            <color indexed="81"/>
            <rFont val="Tahoma"/>
            <family val="2"/>
          </rPr>
          <t xml:space="preserve">
Ading Arkansas, Gallatin, JFE</t>
        </r>
      </text>
    </comment>
    <comment ref="CZ52" authorId="3">
      <text>
        <r>
          <rPr>
            <b/>
            <sz val="9"/>
            <color indexed="81"/>
            <rFont val="Tahoma"/>
            <family val="2"/>
          </rPr>
          <t>Piyush Sood:</t>
        </r>
        <r>
          <rPr>
            <sz val="9"/>
            <color indexed="81"/>
            <rFont val="Tahoma"/>
            <family val="2"/>
          </rPr>
          <t xml:space="preserve">
Bourbonnais – MBQ mill was announced in Nov 2017 and is expected to cost $180mn, taking 2 years to complete (annual capacity 500kt)
Sedalia – Rebar mill was announced in Nov 2017 and is expected to cost $250mn, with start-up expected in 2019 pending certain permits and approvals (annual capacity 300-400kt)
</t>
        </r>
      </text>
    </comment>
    <comment ref="CF55" authorId="5">
      <text>
        <r>
          <rPr>
            <b/>
            <sz val="9"/>
            <color indexed="81"/>
            <rFont val="Tahoma"/>
            <family val="2"/>
          </rPr>
          <t>E Kurtz:</t>
        </r>
        <r>
          <rPr>
            <sz val="9"/>
            <color indexed="81"/>
            <rFont val="Tahoma"/>
            <family val="2"/>
          </rPr>
          <t xml:space="preserve">
Product capacities are estimates until the 10-K is released
</t>
        </r>
      </text>
    </comment>
    <comment ref="CK55" authorId="6">
      <text>
        <r>
          <rPr>
            <b/>
            <sz val="9"/>
            <color indexed="81"/>
            <rFont val="Tahoma"/>
            <family val="2"/>
          </rPr>
          <t>Rocha Calejon, Serena (Research):</t>
        </r>
        <r>
          <rPr>
            <sz val="9"/>
            <color indexed="81"/>
            <rFont val="Tahoma"/>
            <family val="2"/>
          </rPr>
          <t xml:space="preserve">
we performed an analysis to understand the impact on our steel mills capacities in the fourth quarter of 2016. As a result of the analysis, we estimate Nucors total steelmaking annual capacity to be approximately 26.7 million tons. The estimate is a 7% decrease from our previous estimate of just under 29 million tons.</t>
        </r>
      </text>
    </comment>
    <comment ref="CP55" authorId="5">
      <text>
        <r>
          <rPr>
            <b/>
            <sz val="9"/>
            <color indexed="81"/>
            <rFont val="Tahoma"/>
            <family val="2"/>
          </rPr>
          <t>E Kurtz:</t>
        </r>
        <r>
          <rPr>
            <sz val="9"/>
            <color indexed="81"/>
            <rFont val="Tahoma"/>
            <family val="2"/>
          </rPr>
          <t xml:space="preserve">
Product capacities are estimates until the 10-K is released
</t>
        </r>
      </text>
    </comment>
    <comment ref="CF58" authorId="5">
      <text>
        <r>
          <rPr>
            <b/>
            <sz val="9"/>
            <color indexed="81"/>
            <rFont val="Tahoma"/>
            <family val="2"/>
          </rPr>
          <t>E Kurtz:</t>
        </r>
        <r>
          <rPr>
            <sz val="9"/>
            <color indexed="81"/>
            <rFont val="Tahoma"/>
            <family val="2"/>
          </rPr>
          <t xml:space="preserve">
4Q16 CC
</t>
        </r>
      </text>
    </comment>
    <comment ref="CZ58" authorId="3">
      <text>
        <r>
          <rPr>
            <b/>
            <sz val="9"/>
            <color indexed="81"/>
            <rFont val="Tahoma"/>
            <family val="2"/>
          </rPr>
          <t>Piyush Sood:</t>
        </r>
        <r>
          <rPr>
            <sz val="9"/>
            <color indexed="81"/>
            <rFont val="Tahoma"/>
            <family val="2"/>
          </rPr>
          <t xml:space="preserve">
Bourbonnais – MBQ mill was announced in Nov 2017 and is expected to cost $180mn, taking 2 years to complete (annual capacity 500kt)
Sedalia – Rebar mill was announced in Nov 2017 and is expected to cost $250mn, with start-up expected in 2019 pending certain permits and approvals (annual capacity 300-400kt)
</t>
        </r>
      </text>
    </comment>
    <comment ref="CG59" authorId="0">
      <text>
        <r>
          <rPr>
            <b/>
            <sz val="9"/>
            <color indexed="81"/>
            <rFont val="Tahoma"/>
            <family val="2"/>
          </rPr>
          <t>Hunter Alley:</t>
        </r>
        <r>
          <rPr>
            <sz val="9"/>
            <color indexed="81"/>
            <rFont val="Tahoma"/>
            <family val="2"/>
          </rPr>
          <t xml:space="preserve">
Stopped reporting production.</t>
        </r>
      </text>
    </comment>
    <comment ref="CG97" authorId="1">
      <text>
        <r>
          <rPr>
            <b/>
            <sz val="9"/>
            <color indexed="81"/>
            <rFont val="Tahoma"/>
            <family val="2"/>
          </rPr>
          <t>Sood, Piyush (Research):</t>
        </r>
        <r>
          <rPr>
            <sz val="9"/>
            <color indexed="81"/>
            <rFont val="Tahoma"/>
            <family val="2"/>
          </rPr>
          <t xml:space="preserve">
reclassification of tubing and piling to Steel products</t>
        </r>
      </text>
    </comment>
    <comment ref="P100" authorId="2">
      <text>
        <r>
          <rPr>
            <b/>
            <sz val="8"/>
            <color indexed="81"/>
            <rFont val="Tahoma"/>
            <family val="2"/>
          </rPr>
          <t>Evan L. Kurtz:</t>
        </r>
        <r>
          <rPr>
            <sz val="8"/>
            <color indexed="81"/>
            <rFont val="Tahoma"/>
            <family val="2"/>
          </rPr>
          <t xml:space="preserve">
Excludes $7.2m charge for curtailments and unanticipated downtime.</t>
        </r>
      </text>
    </comment>
    <comment ref="BR100" authorId="4">
      <text>
        <r>
          <rPr>
            <b/>
            <sz val="8"/>
            <color indexed="81"/>
            <rFont val="Tahoma"/>
            <family val="2"/>
          </rPr>
          <t>alelevy:</t>
        </r>
        <r>
          <rPr>
            <sz val="8"/>
            <color indexed="81"/>
            <rFont val="Tahoma"/>
            <family val="2"/>
          </rPr>
          <t xml:space="preserve">
Adjusted for $9m asset disposal charge</t>
        </r>
      </text>
    </comment>
    <comment ref="BT100" authorId="4">
      <text>
        <r>
          <rPr>
            <b/>
            <sz val="9"/>
            <color indexed="81"/>
            <rFont val="Tahoma"/>
            <family val="2"/>
          </rPr>
          <t>alelevy:</t>
        </r>
        <r>
          <rPr>
            <sz val="9"/>
            <color indexed="81"/>
            <rFont val="Tahoma"/>
            <family val="2"/>
          </rPr>
          <t xml:space="preserve">
Adjusted for $12.5m write down</t>
        </r>
      </text>
    </comment>
    <comment ref="BU100" authorId="4">
      <text>
        <r>
          <rPr>
            <b/>
            <sz val="9"/>
            <color indexed="81"/>
            <rFont val="Tahoma"/>
            <family val="2"/>
          </rPr>
          <t>alelevy:</t>
        </r>
        <r>
          <rPr>
            <sz val="9"/>
            <color indexed="81"/>
            <rFont val="Tahoma"/>
            <family val="2"/>
          </rPr>
          <t xml:space="preserve">
Seq. lower</t>
        </r>
      </text>
    </comment>
    <comment ref="BZ100" authorId="7">
      <text>
        <r>
          <rPr>
            <b/>
            <sz val="9"/>
            <color indexed="81"/>
            <rFont val="Tahoma"/>
            <family val="2"/>
          </rPr>
          <t>Alley, Hunter (Research):</t>
        </r>
        <r>
          <rPr>
            <sz val="9"/>
            <color indexed="81"/>
            <rFont val="Tahoma"/>
            <family val="2"/>
          </rPr>
          <t xml:space="preserve">
$153 mn adjustment for impairment charges at Duferdofin-Nurcor. </t>
        </r>
      </text>
    </comment>
    <comment ref="CE100" authorId="5">
      <text>
        <r>
          <rPr>
            <b/>
            <sz val="9"/>
            <color indexed="81"/>
            <rFont val="Tahoma"/>
            <family val="2"/>
          </rPr>
          <t>E Kurtz:</t>
        </r>
        <r>
          <rPr>
            <sz val="9"/>
            <color indexed="81"/>
            <rFont val="Tahoma"/>
            <family val="2"/>
          </rPr>
          <t xml:space="preserve">
Assumes 100% of the inventory  reestimate and compensation accounting charge impacted the steel segment</t>
        </r>
      </text>
    </comment>
    <comment ref="AG111" authorId="2">
      <text>
        <r>
          <rPr>
            <b/>
            <sz val="8"/>
            <color indexed="81"/>
            <rFont val="Tahoma"/>
            <family val="2"/>
          </rPr>
          <t>Evan L. Kurtz:</t>
        </r>
        <r>
          <rPr>
            <sz val="8"/>
            <color indexed="81"/>
            <rFont val="Tahoma"/>
            <family val="2"/>
          </rPr>
          <t xml:space="preserve">
Acquisition of Verco Decking</t>
        </r>
      </text>
    </comment>
    <comment ref="AI116" authorId="2">
      <text>
        <r>
          <rPr>
            <b/>
            <sz val="8"/>
            <color indexed="81"/>
            <rFont val="Tahoma"/>
            <family val="2"/>
          </rPr>
          <t>Evan L. Kurtz:</t>
        </r>
        <r>
          <rPr>
            <sz val="8"/>
            <color indexed="81"/>
            <rFont val="Tahoma"/>
            <family val="2"/>
          </rPr>
          <t xml:space="preserve">
Harris Steel</t>
        </r>
      </text>
    </comment>
    <comment ref="AK116" authorId="2">
      <text>
        <r>
          <rPr>
            <b/>
            <sz val="8"/>
            <color indexed="81"/>
            <rFont val="Tahoma"/>
            <family val="2"/>
          </rPr>
          <t>Evan L. Kurtz:</t>
        </r>
        <r>
          <rPr>
            <sz val="8"/>
            <color indexed="81"/>
            <rFont val="Tahoma"/>
            <family val="2"/>
          </rPr>
          <t xml:space="preserve">
Magnatrax</t>
        </r>
      </text>
    </comment>
    <comment ref="AL116" authorId="2">
      <text>
        <r>
          <rPr>
            <b/>
            <sz val="8"/>
            <color indexed="81"/>
            <rFont val="Tahoma"/>
            <family val="2"/>
          </rPr>
          <t>Evan L. Kurtz:</t>
        </r>
        <r>
          <rPr>
            <sz val="8"/>
            <color indexed="81"/>
            <rFont val="Tahoma"/>
            <family val="2"/>
          </rPr>
          <t xml:space="preserve">
Nelson and Barker</t>
        </r>
      </text>
    </comment>
    <comment ref="CG135" authorId="1">
      <text>
        <r>
          <rPr>
            <b/>
            <sz val="9"/>
            <color indexed="81"/>
            <rFont val="Tahoma"/>
            <family val="2"/>
          </rPr>
          <t>Sood, Piyush (Research):</t>
        </r>
        <r>
          <rPr>
            <sz val="9"/>
            <color indexed="81"/>
            <rFont val="Tahoma"/>
            <family val="2"/>
          </rPr>
          <t xml:space="preserve">
reclassification of tubing and piling to Steel products</t>
        </r>
      </text>
    </comment>
    <comment ref="BJ148" authorId="8">
      <text>
        <r>
          <rPr>
            <b/>
            <sz val="8"/>
            <color indexed="81"/>
            <rFont val="Tahoma"/>
            <family val="2"/>
          </rPr>
          <t>Evan Kurtz:</t>
        </r>
        <r>
          <rPr>
            <sz val="8"/>
            <color indexed="81"/>
            <rFont val="Tahoma"/>
            <family val="2"/>
          </rPr>
          <t xml:space="preserve">
Adjustment for $28.2mn inv. Acctg charge for Skyline and $17.6mn for sale of Nucor Wire Rod</t>
        </r>
      </text>
    </comment>
    <comment ref="CL158" authorId="9">
      <text>
        <r>
          <rPr>
            <b/>
            <sz val="9"/>
            <color indexed="81"/>
            <rFont val="Tahoma"/>
            <family val="2"/>
          </rPr>
          <t>Nandu, Ankit (Research):</t>
        </r>
        <r>
          <rPr>
            <sz val="9"/>
            <color indexed="81"/>
            <rFont val="Tahoma"/>
            <family val="2"/>
          </rPr>
          <t xml:space="preserve">
Beginning in the first quarter of 2018, Nucor began reporting its piling and tubular products businesses as part of the steel products segment.</t>
        </r>
      </text>
    </comment>
    <comment ref="CF159" authorId="5">
      <text>
        <r>
          <rPr>
            <b/>
            <sz val="9"/>
            <color indexed="81"/>
            <rFont val="Tahoma"/>
            <family val="2"/>
          </rPr>
          <t>E Kurtz:</t>
        </r>
        <r>
          <rPr>
            <sz val="9"/>
            <color indexed="81"/>
            <rFont val="Tahoma"/>
            <family val="2"/>
          </rPr>
          <t xml:space="preserve">
Shipped 1mn in 2016, assumes 80% utilization</t>
        </r>
      </text>
    </comment>
    <comment ref="BO168" authorId="4">
      <text>
        <r>
          <rPr>
            <b/>
            <sz val="8"/>
            <color indexed="81"/>
            <rFont val="Tahoma"/>
            <family val="2"/>
          </rPr>
          <t>alelevy:</t>
        </r>
        <r>
          <rPr>
            <sz val="8"/>
            <color indexed="81"/>
            <rFont val="Tahoma"/>
            <family val="2"/>
          </rPr>
          <t xml:space="preserve">
Adjusted for $14m charge related to dome collapse at Louisiana DRI facility</t>
        </r>
      </text>
    </comment>
    <comment ref="BZ168" authorId="7">
      <text>
        <r>
          <rPr>
            <b/>
            <sz val="9"/>
            <color indexed="81"/>
            <rFont val="Tahoma"/>
            <family val="2"/>
          </rPr>
          <t>Alley, Hunter (Research):</t>
        </r>
        <r>
          <rPr>
            <sz val="9"/>
            <color indexed="81"/>
            <rFont val="Tahoma"/>
            <family val="2"/>
          </rPr>
          <t xml:space="preserve">
$84 mn adjustment for impairment charges related to Louisiana blast furnace assets.
</t>
        </r>
      </text>
    </comment>
    <comment ref="AM185" authorId="2">
      <text>
        <r>
          <rPr>
            <b/>
            <sz val="8"/>
            <color indexed="81"/>
            <rFont val="Tahoma"/>
            <family val="2"/>
          </rPr>
          <t>Evan L. Kurtz:</t>
        </r>
        <r>
          <rPr>
            <sz val="8"/>
            <color indexed="81"/>
            <rFont val="Tahoma"/>
            <family val="2"/>
          </rPr>
          <t xml:space="preserve">
$200m on greenfield projects</t>
        </r>
      </text>
    </comment>
    <comment ref="AR185" authorId="2">
      <text>
        <r>
          <rPr>
            <b/>
            <sz val="8"/>
            <color indexed="81"/>
            <rFont val="Tahoma"/>
            <family val="2"/>
          </rPr>
          <t>Evan L. Kurtz:</t>
        </r>
        <r>
          <rPr>
            <sz val="8"/>
            <color indexed="81"/>
            <rFont val="Tahoma"/>
            <family val="2"/>
          </rPr>
          <t xml:space="preserve">
Over $300m in greenfield projects</t>
        </r>
      </text>
    </comment>
    <comment ref="AW185" authorId="2">
      <text>
        <r>
          <rPr>
            <b/>
            <sz val="8"/>
            <color indexed="81"/>
            <rFont val="Tahoma"/>
            <family val="2"/>
          </rPr>
          <t>Evan L. Kurtz:</t>
        </r>
        <r>
          <rPr>
            <sz val="8"/>
            <color indexed="81"/>
            <rFont val="Tahoma"/>
            <family val="2"/>
          </rPr>
          <t xml:space="preserve">
$400m maintenance
1-27-09 guidance</t>
        </r>
      </text>
    </comment>
    <comment ref="BB185" authorId="2">
      <text>
        <r>
          <rPr>
            <b/>
            <sz val="8"/>
            <color indexed="81"/>
            <rFont val="Tahoma"/>
            <family val="2"/>
          </rPr>
          <t>Evan L. Kurtz:</t>
        </r>
        <r>
          <rPr>
            <sz val="8"/>
            <color indexed="81"/>
            <rFont val="Tahoma"/>
            <family val="2"/>
          </rPr>
          <t xml:space="preserve">
$375 guidance 2Q10 cc</t>
        </r>
      </text>
    </comment>
    <comment ref="BG185" authorId="2">
      <text>
        <r>
          <rPr>
            <b/>
            <sz val="8"/>
            <color indexed="81"/>
            <rFont val="Tahoma"/>
            <family val="2"/>
          </rPr>
          <t>Evan L. Kurtz:</t>
        </r>
        <r>
          <rPr>
            <sz val="8"/>
            <color indexed="81"/>
            <rFont val="Tahoma"/>
            <family val="2"/>
          </rPr>
          <t xml:space="preserve">
$380m maintenance &amp; other
$80m DRI
$60m Nat gas drilling</t>
        </r>
      </text>
    </comment>
    <comment ref="BL185" authorId="2">
      <text>
        <r>
          <rPr>
            <b/>
            <sz val="8"/>
            <color indexed="81"/>
            <rFont val="Tahoma"/>
            <family val="2"/>
          </rPr>
          <t>Evan L. Kurtz:</t>
        </r>
        <r>
          <rPr>
            <sz val="8"/>
            <color indexed="81"/>
            <rFont val="Tahoma"/>
            <family val="2"/>
          </rPr>
          <t xml:space="preserve">
$300m maintenance
$450m DRI </t>
        </r>
      </text>
    </comment>
    <comment ref="BQ185" authorId="2">
      <text>
        <r>
          <rPr>
            <b/>
            <sz val="8"/>
            <color indexed="81"/>
            <rFont val="Tahoma"/>
            <family val="2"/>
          </rPr>
          <t>Evan L. Kurtz:</t>
        </r>
        <r>
          <rPr>
            <sz val="8"/>
            <color indexed="81"/>
            <rFont val="Tahoma"/>
            <family val="2"/>
          </rPr>
          <t xml:space="preserve">
$280mn DRI
$260mn Gas investment
$160mn SBQ
$100mn Sheet piling
$100mn Light guage sheet</t>
        </r>
      </text>
    </comment>
    <comment ref="CF185" authorId="2">
      <text>
        <r>
          <rPr>
            <b/>
            <sz val="8"/>
            <color indexed="81"/>
            <rFont val="Tahoma"/>
            <family val="2"/>
          </rPr>
          <t>Evan L. Kurtz:</t>
        </r>
        <r>
          <rPr>
            <sz val="8"/>
            <color indexed="81"/>
            <rFont val="Tahoma"/>
            <family val="2"/>
          </rPr>
          <t xml:space="preserve">
1Q16: Reiterated $500mn
4Q15: $500mn</t>
        </r>
      </text>
    </comment>
    <comment ref="CK185" authorId="5">
      <text>
        <r>
          <rPr>
            <b/>
            <sz val="9"/>
            <color indexed="81"/>
            <rFont val="Tahoma"/>
            <family val="2"/>
          </rPr>
          <t>E Kurtz:</t>
        </r>
        <r>
          <rPr>
            <sz val="9"/>
            <color indexed="81"/>
            <rFont val="Tahoma"/>
            <family val="2"/>
          </rPr>
          <t xml:space="preserve">
3Q17: $500mn
3Q16: At least as strong as 2016
4Q16: $575mm</t>
        </r>
      </text>
    </comment>
    <comment ref="CP185" authorId="3">
      <text>
        <r>
          <rPr>
            <b/>
            <sz val="9"/>
            <color indexed="81"/>
            <rFont val="Tahoma"/>
            <family val="2"/>
          </rPr>
          <t>Piyush Sood:</t>
        </r>
        <r>
          <rPr>
            <sz val="9"/>
            <color indexed="81"/>
            <rFont val="Tahoma"/>
            <family val="2"/>
          </rPr>
          <t xml:space="preserve">
Rebar and MBQ mill
+235 to round it off to $1bn</t>
        </r>
      </text>
    </comment>
    <comment ref="CU185" authorId="3">
      <text>
        <r>
          <rPr>
            <b/>
            <sz val="9"/>
            <color indexed="81"/>
            <rFont val="Tahoma"/>
            <family val="2"/>
          </rPr>
          <t>Piyush Sood:</t>
        </r>
        <r>
          <rPr>
            <sz val="9"/>
            <color indexed="81"/>
            <rFont val="Tahoma"/>
            <family val="2"/>
          </rPr>
          <t xml:space="preserve">
Rebar and MBQ mill</t>
        </r>
      </text>
    </comment>
  </commentList>
</comments>
</file>

<file path=xl/comments2.xml><?xml version="1.0" encoding="utf-8"?>
<comments xmlns="http://schemas.openxmlformats.org/spreadsheetml/2006/main">
  <authors>
    <author>Evan L. Kurtz</author>
    <author>Evan Kurtz</author>
    <author>Alley, Hunter (Research)</author>
    <author>Hunter Alley</author>
    <author>alelevy</author>
    <author>lindbmar</author>
    <author>Nandu, Ankit (Research)</author>
    <author>E Kurtz</author>
  </authors>
  <commentList>
    <comment ref="AD28" authorId="0">
      <text>
        <r>
          <rPr>
            <b/>
            <sz val="8"/>
            <color indexed="81"/>
            <rFont val="Tahoma"/>
            <family val="2"/>
          </rPr>
          <t>Evan L. Kurtz:</t>
        </r>
        <r>
          <rPr>
            <sz val="8"/>
            <color indexed="81"/>
            <rFont val="Tahoma"/>
            <family val="2"/>
          </rPr>
          <t xml:space="preserve">
revised in Q2</t>
        </r>
      </text>
    </comment>
    <comment ref="BF28" authorId="1">
      <text>
        <r>
          <rPr>
            <b/>
            <sz val="8"/>
            <color indexed="81"/>
            <rFont val="Tahoma"/>
            <family val="2"/>
          </rPr>
          <t>Evan Kurtz:</t>
        </r>
        <r>
          <rPr>
            <sz val="8"/>
            <color indexed="81"/>
            <rFont val="Tahoma"/>
            <family val="2"/>
          </rPr>
          <t xml:space="preserve">
Freight costs moved to cogs</t>
        </r>
      </text>
    </comment>
    <comment ref="P35" authorId="0">
      <text>
        <r>
          <rPr>
            <b/>
            <sz val="8"/>
            <color indexed="81"/>
            <rFont val="Tahoma"/>
            <family val="2"/>
          </rPr>
          <t>Evan L. Kurtz:</t>
        </r>
        <r>
          <rPr>
            <sz val="8"/>
            <color indexed="81"/>
            <rFont val="Tahoma"/>
            <family val="2"/>
          </rPr>
          <t xml:space="preserve">
Excludes $7.2m charge for curtailments and unanticipated downtime.</t>
        </r>
      </text>
    </comment>
    <comment ref="BZ35" authorId="2">
      <text>
        <r>
          <rPr>
            <b/>
            <sz val="9"/>
            <color indexed="81"/>
            <rFont val="Tahoma"/>
            <family val="2"/>
          </rPr>
          <t>Alley, Hunter (Research):</t>
        </r>
        <r>
          <rPr>
            <sz val="9"/>
            <color indexed="81"/>
            <rFont val="Tahoma"/>
            <family val="2"/>
          </rPr>
          <t xml:space="preserve">
$153 mn adjustment for impairment charges at Duferdofin-Nurcor. </t>
        </r>
      </text>
    </comment>
    <comment ref="CE35" authorId="3">
      <text>
        <r>
          <rPr>
            <b/>
            <sz val="9"/>
            <color indexed="81"/>
            <rFont val="Tahoma"/>
            <family val="2"/>
          </rPr>
          <t>Hunter Alley:</t>
        </r>
        <r>
          <rPr>
            <sz val="9"/>
            <color indexed="81"/>
            <rFont val="Tahoma"/>
            <family val="2"/>
          </rPr>
          <t xml:space="preserve">
3Q Earnings Release:
Earnings in the fourth quarter of 2016 are expected to decrease notably compared to the third quarter of 2016 primarily due to lower margins in the steel mills segment, with the most significant impact being on the sheet mills. We expect the raw materials segment to return to a loss position due to the impact of lower transfer prices at our DRI facilities in the fourth quarter. The performance of our steel products segment is expected to decrease due to end of year seasonality that is typical in the fourth quarter.</t>
        </r>
      </text>
    </comment>
    <comment ref="BO37" authorId="4">
      <text>
        <r>
          <rPr>
            <b/>
            <sz val="8"/>
            <color indexed="81"/>
            <rFont val="Tahoma"/>
            <family val="2"/>
          </rPr>
          <t>alelevy:</t>
        </r>
        <r>
          <rPr>
            <sz val="8"/>
            <color indexed="81"/>
            <rFont val="Tahoma"/>
            <family val="2"/>
          </rPr>
          <t xml:space="preserve">
Adjusted for $14m charge related to dome collapse at Louisiana DRI facility</t>
        </r>
      </text>
    </comment>
    <comment ref="BZ37" authorId="2">
      <text>
        <r>
          <rPr>
            <b/>
            <sz val="9"/>
            <color indexed="81"/>
            <rFont val="Tahoma"/>
            <family val="2"/>
          </rPr>
          <t>Alley, Hunter (Research):</t>
        </r>
        <r>
          <rPr>
            <sz val="9"/>
            <color indexed="81"/>
            <rFont val="Tahoma"/>
            <family val="2"/>
          </rPr>
          <t xml:space="preserve">
$84 mn adjustment for impairment charges related to Louisiana blast furnace assets.
</t>
        </r>
      </text>
    </comment>
    <comment ref="U38" authorId="0">
      <text>
        <r>
          <rPr>
            <b/>
            <sz val="8"/>
            <color indexed="81"/>
            <rFont val="Tahoma"/>
            <family val="2"/>
          </rPr>
          <t>Evan L. Kurtz:</t>
        </r>
        <r>
          <rPr>
            <sz val="8"/>
            <color indexed="81"/>
            <rFont val="Tahoma"/>
            <family val="2"/>
          </rPr>
          <t xml:space="preserve">
excludes $13.2m asset impairment charge</t>
        </r>
      </text>
    </comment>
    <comment ref="U39" authorId="0">
      <text>
        <r>
          <rPr>
            <b/>
            <sz val="8"/>
            <color indexed="81"/>
            <rFont val="Tahoma"/>
            <family val="2"/>
          </rPr>
          <t>Evan L. Kurtz:</t>
        </r>
        <r>
          <rPr>
            <sz val="8"/>
            <color indexed="81"/>
            <rFont val="Tahoma"/>
            <family val="2"/>
          </rPr>
          <t xml:space="preserve">
excludes $13.2m asset impairment charge</t>
        </r>
      </text>
    </comment>
    <comment ref="CE39" authorId="3">
      <text>
        <r>
          <rPr>
            <b/>
            <sz val="9"/>
            <color indexed="81"/>
            <rFont val="Tahoma"/>
            <family val="2"/>
          </rPr>
          <t>Hunter Alley:</t>
        </r>
        <r>
          <rPr>
            <sz val="9"/>
            <color indexed="81"/>
            <rFont val="Tahoma"/>
            <family val="2"/>
          </rPr>
          <t xml:space="preserve">
Swithched from LIFO to FIFO.</t>
        </r>
      </text>
    </comment>
    <comment ref="CF39" authorId="3">
      <text>
        <r>
          <rPr>
            <b/>
            <sz val="9"/>
            <color indexed="81"/>
            <rFont val="Tahoma"/>
            <family val="2"/>
          </rPr>
          <t>Hunter Alley:</t>
        </r>
        <r>
          <rPr>
            <sz val="9"/>
            <color indexed="81"/>
            <rFont val="Tahoma"/>
            <family val="2"/>
          </rPr>
          <t xml:space="preserve">
@3Q earnings call: Targeting $141</t>
        </r>
      </text>
    </comment>
    <comment ref="BA41" authorId="0">
      <text>
        <r>
          <rPr>
            <b/>
            <sz val="8"/>
            <color indexed="81"/>
            <rFont val="Tahoma"/>
            <family val="2"/>
          </rPr>
          <t>Evan L. Kurtz:</t>
        </r>
        <r>
          <rPr>
            <sz val="8"/>
            <color indexed="81"/>
            <rFont val="Tahoma"/>
            <family val="2"/>
          </rPr>
          <t xml:space="preserve">
Added back $10mn for HiSmelt write off</t>
        </r>
      </text>
    </comment>
    <comment ref="BF41" authorId="1">
      <text>
        <r>
          <rPr>
            <b/>
            <sz val="8"/>
            <color indexed="81"/>
            <rFont val="Tahoma"/>
            <family val="2"/>
          </rPr>
          <t>Evan Kurtz:</t>
        </r>
        <r>
          <rPr>
            <sz val="8"/>
            <color indexed="81"/>
            <rFont val="Tahoma"/>
            <family val="2"/>
          </rPr>
          <t xml:space="preserve">
- removed 29mn pre-tax gain from actuarial correction</t>
        </r>
      </text>
    </comment>
    <comment ref="BI41" authorId="4">
      <text>
        <r>
          <rPr>
            <b/>
            <sz val="8"/>
            <color indexed="81"/>
            <rFont val="Tahoma"/>
            <family val="2"/>
          </rPr>
          <t>alelevy:</t>
        </r>
        <r>
          <rPr>
            <sz val="8"/>
            <color indexed="81"/>
            <rFont val="Tahoma"/>
            <family val="2"/>
          </rPr>
          <t xml:space="preserve">
Adjusted for Duferdofin Nucor impairment charge and one-time expense related to Skyline acq.</t>
        </r>
      </text>
    </comment>
    <comment ref="BJ41" authorId="4">
      <text>
        <r>
          <rPr>
            <b/>
            <sz val="8"/>
            <color indexed="81"/>
            <rFont val="Tahoma"/>
            <family val="2"/>
          </rPr>
          <t>alelevy:</t>
        </r>
        <r>
          <rPr>
            <sz val="8"/>
            <color indexed="81"/>
            <rFont val="Tahoma"/>
            <family val="2"/>
          </rPr>
          <t xml:space="preserve">
Adjusted for pre-tax $28.2m purchase accounting change related to Skyline acq, and $17.6m pre-tax loss on sale of Nucor Wire Products PA</t>
        </r>
      </text>
    </comment>
    <comment ref="BK41" authorId="5">
      <text>
        <r>
          <rPr>
            <b/>
            <sz val="8"/>
            <color indexed="81"/>
            <rFont val="Tahoma"/>
            <family val="2"/>
          </rPr>
          <t>lindbmar:</t>
        </r>
        <r>
          <rPr>
            <sz val="8"/>
            <color indexed="81"/>
            <rFont val="Tahoma"/>
            <family val="2"/>
          </rPr>
          <t xml:space="preserve">
Adjusted for pre-tax $12m purchase accounting change related to Skyline acq.</t>
        </r>
      </text>
    </comment>
    <comment ref="BO41" authorId="4">
      <text>
        <r>
          <rPr>
            <b/>
            <sz val="8"/>
            <color indexed="81"/>
            <rFont val="Tahoma"/>
            <family val="2"/>
          </rPr>
          <t>alelevy:</t>
        </r>
        <r>
          <rPr>
            <sz val="8"/>
            <color indexed="81"/>
            <rFont val="Tahoma"/>
            <family val="2"/>
          </rPr>
          <t xml:space="preserve">
Adjusted for $14m charge related to dome collapse at Louisiana DRI facility</t>
        </r>
      </text>
    </comment>
    <comment ref="BR41" authorId="4">
      <text>
        <r>
          <rPr>
            <b/>
            <sz val="8"/>
            <color indexed="81"/>
            <rFont val="Tahoma"/>
            <family val="2"/>
          </rPr>
          <t>alelevy:</t>
        </r>
        <r>
          <rPr>
            <sz val="8"/>
            <color indexed="81"/>
            <rFont val="Tahoma"/>
            <family val="2"/>
          </rPr>
          <t xml:space="preserve">
Adjusted for $9m asset disposal charge</t>
        </r>
      </text>
    </comment>
    <comment ref="BT41" authorId="4">
      <text>
        <r>
          <rPr>
            <b/>
            <sz val="9"/>
            <color indexed="81"/>
            <rFont val="Tahoma"/>
            <family val="2"/>
          </rPr>
          <t>alelevy:</t>
        </r>
        <r>
          <rPr>
            <sz val="9"/>
            <color indexed="81"/>
            <rFont val="Tahoma"/>
            <family val="2"/>
          </rPr>
          <t xml:space="preserve">
Adjusted for $12.5m write down</t>
        </r>
      </text>
    </comment>
    <comment ref="BZ41" authorId="2">
      <text>
        <r>
          <rPr>
            <b/>
            <sz val="9"/>
            <color indexed="81"/>
            <rFont val="Tahoma"/>
            <family val="2"/>
          </rPr>
          <t>Alley, Hunter (Research):</t>
        </r>
        <r>
          <rPr>
            <sz val="9"/>
            <color indexed="81"/>
            <rFont val="Tahoma"/>
            <family val="2"/>
          </rPr>
          <t xml:space="preserve">
Adjusted for $153 mn at Duferdofin-Nucor and $84 mn for Louisiana blast furnace assets. </t>
        </r>
      </text>
    </comment>
    <comment ref="CE41" authorId="6">
      <text>
        <r>
          <rPr>
            <b/>
            <sz val="9"/>
            <color indexed="81"/>
            <rFont val="Tahoma"/>
            <family val="2"/>
          </rPr>
          <t>Nandu, Ankit (Research):</t>
        </r>
        <r>
          <rPr>
            <sz val="9"/>
            <color indexed="81"/>
            <rFont val="Tahoma"/>
            <family val="2"/>
          </rPr>
          <t xml:space="preserve">
Excludes effects of a change in estimate related to the cost of certain inventories, resulting in a benefit of $77.6 mn</t>
        </r>
      </text>
    </comment>
    <comment ref="CG41" authorId="6">
      <text>
        <r>
          <rPr>
            <b/>
            <sz val="9"/>
            <color indexed="81"/>
            <rFont val="Tahoma"/>
            <family val="2"/>
          </rPr>
          <t>Nandu, Ankit (Research):</t>
        </r>
        <r>
          <rPr>
            <sz val="9"/>
            <color indexed="81"/>
            <rFont val="Tahoma"/>
            <family val="2"/>
          </rPr>
          <t xml:space="preserve">
Excludes inventory related purchase accounting charges associated with the recent acquisitions of Southland Tube and Republic Conduit</t>
        </r>
      </text>
    </comment>
    <comment ref="CI41" authorId="6">
      <text>
        <r>
          <rPr>
            <b/>
            <sz val="9"/>
            <color indexed="81"/>
            <rFont val="Tahoma"/>
            <family val="2"/>
          </rPr>
          <t>Nandu, Ankit (Research):</t>
        </r>
        <r>
          <rPr>
            <sz val="9"/>
            <color indexed="81"/>
            <rFont val="Tahoma"/>
            <family val="2"/>
          </rPr>
          <t xml:space="preserve">
Excludes net benefit related to tax return true ups and state tax credits</t>
        </r>
      </text>
    </comment>
    <comment ref="CL41" authorId="6">
      <text>
        <r>
          <rPr>
            <b/>
            <sz val="9"/>
            <color indexed="81"/>
            <rFont val="Tahoma"/>
            <family val="2"/>
          </rPr>
          <t>Nandu, Ankit (Research):</t>
        </r>
        <r>
          <rPr>
            <sz val="9"/>
            <color indexed="81"/>
            <rFont val="Tahoma"/>
            <family val="2"/>
          </rPr>
          <t xml:space="preserve">
Included in the first quarter of 2018 results was an expense of $21.8 million, or $0.07 per diluted share, related to the write off of deferred tax assets due to the change in the tax status of a subsidiary. </t>
        </r>
      </text>
    </comment>
    <comment ref="BI51" authorId="4">
      <text>
        <r>
          <rPr>
            <b/>
            <sz val="8"/>
            <color indexed="81"/>
            <rFont val="Tahoma"/>
            <family val="2"/>
          </rPr>
          <t>alelevy:</t>
        </r>
        <r>
          <rPr>
            <sz val="8"/>
            <color indexed="81"/>
            <rFont val="Tahoma"/>
            <family val="2"/>
          </rPr>
          <t xml:space="preserve">
Adjusted for one-time expense related to Skyline acq.</t>
        </r>
      </text>
    </comment>
    <comment ref="BJ51" authorId="4">
      <text>
        <r>
          <rPr>
            <b/>
            <sz val="8"/>
            <color indexed="81"/>
            <rFont val="Tahoma"/>
            <family val="2"/>
          </rPr>
          <t>alelevy:</t>
        </r>
        <r>
          <rPr>
            <sz val="8"/>
            <color indexed="81"/>
            <rFont val="Tahoma"/>
            <family val="2"/>
          </rPr>
          <t xml:space="preserve">
Adjusted for one-time items related to Skyline acq and loss on sale of Nucor Wire Products PA</t>
        </r>
      </text>
    </comment>
    <comment ref="BK51" authorId="5">
      <text>
        <r>
          <rPr>
            <b/>
            <sz val="8"/>
            <color indexed="81"/>
            <rFont val="Tahoma"/>
            <family val="2"/>
          </rPr>
          <t>lindbmar:</t>
        </r>
        <r>
          <rPr>
            <sz val="8"/>
            <color indexed="81"/>
            <rFont val="Tahoma"/>
            <family val="2"/>
          </rPr>
          <t xml:space="preserve">
Adjusted for one-time items related to Skyline acq.</t>
        </r>
      </text>
    </comment>
    <comment ref="BO51" authorId="4">
      <text>
        <r>
          <rPr>
            <b/>
            <sz val="8"/>
            <color indexed="81"/>
            <rFont val="Tahoma"/>
            <family val="2"/>
          </rPr>
          <t>alelevy:</t>
        </r>
        <r>
          <rPr>
            <sz val="8"/>
            <color indexed="81"/>
            <rFont val="Tahoma"/>
            <family val="2"/>
          </rPr>
          <t xml:space="preserve">
Adjusted for tax impact of charge related to dome collapse at Louisiana DRI facility</t>
        </r>
      </text>
    </comment>
    <comment ref="BP51" authorId="4">
      <text>
        <r>
          <rPr>
            <b/>
            <sz val="8"/>
            <color indexed="81"/>
            <rFont val="Tahoma"/>
            <family val="2"/>
          </rPr>
          <t>alelevy:</t>
        </r>
        <r>
          <rPr>
            <sz val="8"/>
            <color indexed="81"/>
            <rFont val="Tahoma"/>
            <family val="2"/>
          </rPr>
          <t xml:space="preserve">
Adjusted for $21.3 out-of-period non-cash gain related to correction to deferred taxes</t>
        </r>
      </text>
    </comment>
    <comment ref="BR51" authorId="4">
      <text>
        <r>
          <rPr>
            <b/>
            <sz val="8"/>
            <color indexed="81"/>
            <rFont val="Tahoma"/>
            <family val="2"/>
          </rPr>
          <t>alelevy:</t>
        </r>
        <r>
          <rPr>
            <sz val="8"/>
            <color indexed="81"/>
            <rFont val="Tahoma"/>
            <family val="2"/>
          </rPr>
          <t xml:space="preserve">
Adjusted for $12.8m NY state tax change charge and tax impact of $9m asset disposal charge</t>
        </r>
      </text>
    </comment>
    <comment ref="BT51" authorId="4">
      <text>
        <r>
          <rPr>
            <b/>
            <sz val="9"/>
            <color indexed="81"/>
            <rFont val="Tahoma"/>
            <family val="2"/>
          </rPr>
          <t>alelevy:</t>
        </r>
        <r>
          <rPr>
            <sz val="9"/>
            <color indexed="81"/>
            <rFont val="Tahoma"/>
            <family val="2"/>
          </rPr>
          <t xml:space="preserve">
Adjusted for tax impact of one-time items</t>
        </r>
      </text>
    </comment>
    <comment ref="BZ51" authorId="3">
      <text>
        <r>
          <rPr>
            <b/>
            <sz val="9"/>
            <color indexed="81"/>
            <rFont val="Tahoma"/>
            <family val="2"/>
          </rPr>
          <t>Hunter Alley:</t>
        </r>
        <r>
          <rPr>
            <sz val="9"/>
            <color indexed="81"/>
            <rFont val="Tahoma"/>
            <family val="2"/>
          </rPr>
          <t xml:space="preserve">
Adjustment for non-recurring items</t>
        </r>
      </text>
    </comment>
    <comment ref="CE51" authorId="6">
      <text>
        <r>
          <rPr>
            <b/>
            <sz val="9"/>
            <color indexed="81"/>
            <rFont val="Tahoma"/>
            <family val="2"/>
          </rPr>
          <t>Nandu, Ankit (Research):</t>
        </r>
        <r>
          <rPr>
            <sz val="9"/>
            <color indexed="81"/>
            <rFont val="Tahoma"/>
            <family val="2"/>
          </rPr>
          <t xml:space="preserve">
Tax impact of one time items</t>
        </r>
      </text>
    </comment>
    <comment ref="CG51" authorId="6">
      <text>
        <r>
          <rPr>
            <b/>
            <sz val="9"/>
            <color indexed="81"/>
            <rFont val="Tahoma"/>
            <family val="2"/>
          </rPr>
          <t>Nandu, Ankit (Research):</t>
        </r>
        <r>
          <rPr>
            <sz val="9"/>
            <color indexed="81"/>
            <rFont val="Tahoma"/>
            <family val="2"/>
          </rPr>
          <t xml:space="preserve">
Adj for tax impact of one time items</t>
        </r>
      </text>
    </comment>
    <comment ref="CJ51" authorId="6">
      <text>
        <r>
          <rPr>
            <b/>
            <sz val="9"/>
            <color indexed="81"/>
            <rFont val="Tahoma"/>
            <family val="2"/>
          </rPr>
          <t>Nandu, Ankit (Research):</t>
        </r>
        <r>
          <rPr>
            <sz val="9"/>
            <color indexed="81"/>
            <rFont val="Tahoma"/>
            <family val="2"/>
          </rPr>
          <t xml:space="preserve">
Included in the fourth quarter of 2017 results was a net benefit of $175.2 million, or $0.55 per diluted share, related to the impacts of U.S. federal tax legislation enacted in the fourth quarter of 2017. </t>
        </r>
      </text>
    </comment>
    <comment ref="BF55" authorId="1">
      <text>
        <r>
          <rPr>
            <b/>
            <sz val="8"/>
            <color indexed="81"/>
            <rFont val="Tahoma"/>
            <family val="2"/>
          </rPr>
          <t>Evan Kurtz:</t>
        </r>
        <r>
          <rPr>
            <sz val="8"/>
            <color indexed="81"/>
            <rFont val="Tahoma"/>
            <family val="2"/>
          </rPr>
          <t xml:space="preserve">
Removes $7mn one-time tax gain</t>
        </r>
      </text>
    </comment>
    <comment ref="AI60" authorId="0">
      <text>
        <r>
          <rPr>
            <b/>
            <sz val="8"/>
            <color indexed="81"/>
            <rFont val="Tahoma"/>
            <family val="2"/>
          </rPr>
          <t>Evan L. Kurtz:</t>
        </r>
        <r>
          <rPr>
            <sz val="8"/>
            <color indexed="81"/>
            <rFont val="Tahoma"/>
            <family val="2"/>
          </rPr>
          <t xml:space="preserve">
3/8/07 Guidance:
$1.15 - $1.25</t>
        </r>
      </text>
    </comment>
    <comment ref="AJ60" authorId="0">
      <text>
        <r>
          <rPr>
            <b/>
            <sz val="8"/>
            <color indexed="81"/>
            <rFont val="Tahoma"/>
            <family val="2"/>
          </rPr>
          <t>Evan L. Kurtz:</t>
        </r>
        <r>
          <rPr>
            <sz val="8"/>
            <color indexed="81"/>
            <rFont val="Tahoma"/>
            <family val="2"/>
          </rPr>
          <t xml:space="preserve">
guidance of $1.05 - $1.15</t>
        </r>
      </text>
    </comment>
    <comment ref="AL60" authorId="0">
      <text>
        <r>
          <rPr>
            <b/>
            <sz val="8"/>
            <color indexed="81"/>
            <rFont val="Tahoma"/>
            <family val="2"/>
          </rPr>
          <t>Evan L. Kurtz:</t>
        </r>
        <r>
          <rPr>
            <sz val="8"/>
            <color indexed="81"/>
            <rFont val="Tahoma"/>
            <family val="2"/>
          </rPr>
          <t xml:space="preserve">
$1.10 - $1.20 guidance</t>
        </r>
      </text>
    </comment>
    <comment ref="AN60" authorId="0">
      <text>
        <r>
          <rPr>
            <b/>
            <sz val="8"/>
            <color indexed="81"/>
            <rFont val="Tahoma"/>
            <family val="2"/>
          </rPr>
          <t>Evan L. Kurtz:</t>
        </r>
        <r>
          <rPr>
            <sz val="8"/>
            <color indexed="81"/>
            <rFont val="Tahoma"/>
            <family val="2"/>
          </rPr>
          <t xml:space="preserve">
$1.20 - $1.30 guidance</t>
        </r>
      </text>
    </comment>
    <comment ref="AO60" authorId="0">
      <text>
        <r>
          <rPr>
            <b/>
            <sz val="8"/>
            <color indexed="81"/>
            <rFont val="Tahoma"/>
            <family val="2"/>
          </rPr>
          <t>Evan L. Kurtz:</t>
        </r>
        <r>
          <rPr>
            <sz val="8"/>
            <color indexed="81"/>
            <rFont val="Tahoma"/>
            <family val="2"/>
          </rPr>
          <t xml:space="preserve">
$1.75 - $1.80 guidance</t>
        </r>
      </text>
    </comment>
    <comment ref="AP60" authorId="0">
      <text>
        <r>
          <rPr>
            <b/>
            <sz val="8"/>
            <color indexed="81"/>
            <rFont val="Tahoma"/>
            <family val="2"/>
          </rPr>
          <t>Evan L. Kurtz:</t>
        </r>
        <r>
          <rPr>
            <sz val="8"/>
            <color indexed="81"/>
            <rFont val="Tahoma"/>
            <family val="2"/>
          </rPr>
          <t xml:space="preserve">
$2.15 - $2.20 7/17/08</t>
        </r>
      </text>
    </comment>
    <comment ref="CD60" authorId="7">
      <text>
        <r>
          <rPr>
            <b/>
            <sz val="9"/>
            <color indexed="81"/>
            <rFont val="Tahoma"/>
            <family val="2"/>
          </rPr>
          <t>E Kurtz:</t>
        </r>
        <r>
          <rPr>
            <sz val="9"/>
            <color indexed="81"/>
            <rFont val="Tahoma"/>
            <family val="2"/>
          </rPr>
          <t xml:space="preserve">
Guided to $0.85 - 0.90</t>
        </r>
      </text>
    </comment>
    <comment ref="CE60" authorId="3">
      <text>
        <r>
          <rPr>
            <b/>
            <sz val="9"/>
            <color indexed="81"/>
            <rFont val="Tahoma"/>
            <family val="2"/>
          </rPr>
          <t>Hunter Alley:</t>
        </r>
        <r>
          <rPr>
            <sz val="9"/>
            <color indexed="81"/>
            <rFont val="Tahoma"/>
            <family val="2"/>
          </rPr>
          <t xml:space="preserve">
$0.30-$0.35 Guidance
http://www.nucor.com/investor/news/?rid=2230083
</t>
        </r>
      </text>
    </comment>
    <comment ref="CF60" authorId="7">
      <text>
        <r>
          <rPr>
            <b/>
            <sz val="9"/>
            <color indexed="81"/>
            <rFont val="Tahoma"/>
            <family val="2"/>
          </rPr>
          <t>E Kurtz:</t>
        </r>
        <r>
          <rPr>
            <sz val="9"/>
            <color indexed="81"/>
            <rFont val="Tahoma"/>
            <family val="2"/>
          </rPr>
          <t xml:space="preserve">
2Q16: improved from 2015
1Q16 guidance: 2016 slightly improved from 2015</t>
        </r>
      </text>
    </comment>
    <comment ref="V63" authorId="0">
      <text>
        <r>
          <rPr>
            <b/>
            <sz val="8"/>
            <color indexed="81"/>
            <rFont val="Tahoma"/>
            <family val="2"/>
          </rPr>
          <t>Evan L. Kurtz:</t>
        </r>
        <r>
          <rPr>
            <sz val="8"/>
            <color indexed="81"/>
            <rFont val="Tahoma"/>
            <family val="2"/>
          </rPr>
          <t xml:space="preserve">
2-1 split</t>
        </r>
      </text>
    </comment>
    <comment ref="AE63" authorId="0">
      <text>
        <r>
          <rPr>
            <b/>
            <sz val="8"/>
            <color indexed="81"/>
            <rFont val="Tahoma"/>
            <family val="2"/>
          </rPr>
          <t>Evan L. Kurtz:</t>
        </r>
        <r>
          <rPr>
            <sz val="8"/>
            <color indexed="81"/>
            <rFont val="Tahoma"/>
            <family val="2"/>
          </rPr>
          <t xml:space="preserve">
2-1 split</t>
        </r>
      </text>
    </comment>
    <comment ref="V73" authorId="0">
      <text>
        <r>
          <rPr>
            <b/>
            <sz val="8"/>
            <color indexed="81"/>
            <rFont val="Tahoma"/>
            <family val="2"/>
          </rPr>
          <t>Evan L. Kurtz:</t>
        </r>
        <r>
          <rPr>
            <sz val="8"/>
            <color indexed="81"/>
            <rFont val="Tahoma"/>
            <family val="2"/>
          </rPr>
          <t xml:space="preserve">
2-1 split</t>
        </r>
      </text>
    </comment>
    <comment ref="AE73" authorId="0">
      <text>
        <r>
          <rPr>
            <b/>
            <sz val="8"/>
            <color indexed="81"/>
            <rFont val="Tahoma"/>
            <family val="2"/>
          </rPr>
          <t>Evan L. Kurtz:</t>
        </r>
        <r>
          <rPr>
            <sz val="8"/>
            <color indexed="81"/>
            <rFont val="Tahoma"/>
            <family val="2"/>
          </rPr>
          <t xml:space="preserve">
2-1 split</t>
        </r>
      </text>
    </comment>
    <comment ref="V76" authorId="0">
      <text>
        <r>
          <rPr>
            <b/>
            <sz val="8"/>
            <color indexed="81"/>
            <rFont val="Tahoma"/>
            <family val="2"/>
          </rPr>
          <t>Evan L. Kurtz:</t>
        </r>
        <r>
          <rPr>
            <sz val="8"/>
            <color indexed="81"/>
            <rFont val="Tahoma"/>
            <family val="2"/>
          </rPr>
          <t xml:space="preserve">
2-1 split</t>
        </r>
      </text>
    </comment>
    <comment ref="AE76" authorId="0">
      <text>
        <r>
          <rPr>
            <b/>
            <sz val="8"/>
            <color indexed="81"/>
            <rFont val="Tahoma"/>
            <family val="2"/>
          </rPr>
          <t>Evan L. Kurtz:</t>
        </r>
        <r>
          <rPr>
            <sz val="8"/>
            <color indexed="81"/>
            <rFont val="Tahoma"/>
            <family val="2"/>
          </rPr>
          <t xml:space="preserve">
2-1 split</t>
        </r>
      </text>
    </comment>
    <comment ref="P79" authorId="0">
      <text>
        <r>
          <rPr>
            <b/>
            <sz val="8"/>
            <color indexed="81"/>
            <rFont val="Tahoma"/>
            <family val="2"/>
          </rPr>
          <t>Evan L. Kurtz:</t>
        </r>
        <r>
          <rPr>
            <sz val="8"/>
            <color indexed="81"/>
            <rFont val="Tahoma"/>
            <family val="2"/>
          </rPr>
          <t xml:space="preserve">
$7.2m pretax</t>
        </r>
      </text>
    </comment>
    <comment ref="K81" authorId="0">
      <text>
        <r>
          <rPr>
            <b/>
            <sz val="8"/>
            <color indexed="81"/>
            <rFont val="Tahoma"/>
            <family val="2"/>
          </rPr>
          <t>Evan L. Kurtz:</t>
        </r>
        <r>
          <rPr>
            <sz val="8"/>
            <color indexed="81"/>
            <rFont val="Tahoma"/>
            <family val="2"/>
          </rPr>
          <t xml:space="preserve">
$29.9m pre-tax gain from anti-trust settlement</t>
        </r>
      </text>
    </comment>
    <comment ref="O81" authorId="0">
      <text>
        <r>
          <rPr>
            <b/>
            <sz val="8"/>
            <color indexed="81"/>
            <rFont val="Tahoma"/>
            <family val="2"/>
          </rPr>
          <t>Evan L. Kurtz:</t>
        </r>
        <r>
          <rPr>
            <sz val="8"/>
            <color indexed="81"/>
            <rFont val="Tahoma"/>
            <family val="2"/>
          </rPr>
          <t xml:space="preserve">
$2.3m pre-tax gain from anti-trust settlement</t>
        </r>
      </text>
    </comment>
    <comment ref="Q81" authorId="0">
      <text>
        <r>
          <rPr>
            <b/>
            <sz val="8"/>
            <color indexed="81"/>
            <rFont val="Tahoma"/>
            <family val="2"/>
          </rPr>
          <t>Evan L. Kurtz:</t>
        </r>
        <r>
          <rPr>
            <sz val="8"/>
            <color indexed="81"/>
            <rFont val="Tahoma"/>
            <family val="2"/>
          </rPr>
          <t xml:space="preserve">
$4.8m pre-tax gain from anti-trust settlement</t>
        </r>
      </text>
    </comment>
    <comment ref="R81" authorId="0">
      <text>
        <r>
          <rPr>
            <b/>
            <sz val="8"/>
            <color indexed="81"/>
            <rFont val="Tahoma"/>
            <family val="2"/>
          </rPr>
          <t>Evan L. Kurtz:</t>
        </r>
        <r>
          <rPr>
            <sz val="8"/>
            <color indexed="81"/>
            <rFont val="Tahoma"/>
            <family val="2"/>
          </rPr>
          <t xml:space="preserve">
$4.4m pre-tax gain from anti-trust settlement</t>
        </r>
      </text>
    </comment>
    <comment ref="Y81" authorId="0">
      <text>
        <r>
          <rPr>
            <b/>
            <sz val="8"/>
            <color indexed="81"/>
            <rFont val="Tahoma"/>
            <family val="2"/>
          </rPr>
          <t>Evan L. Kurtz:</t>
        </r>
        <r>
          <rPr>
            <sz val="8"/>
            <color indexed="81"/>
            <rFont val="Tahoma"/>
            <family val="2"/>
          </rPr>
          <t xml:space="preserve">
$9.2m pre-tax Environmental litigation settlement gain</t>
        </r>
      </text>
    </comment>
    <comment ref="T83" authorId="0">
      <text>
        <r>
          <rPr>
            <b/>
            <sz val="8"/>
            <color indexed="81"/>
            <rFont val="Tahoma"/>
            <family val="2"/>
          </rPr>
          <t>Evan L. Kurtz:</t>
        </r>
        <r>
          <rPr>
            <sz val="8"/>
            <color indexed="81"/>
            <rFont val="Tahoma"/>
            <family val="2"/>
          </rPr>
          <t xml:space="preserve">
$1.596m pre-tax</t>
        </r>
      </text>
    </comment>
    <comment ref="U86" authorId="0">
      <text>
        <r>
          <rPr>
            <b/>
            <sz val="8"/>
            <color indexed="81"/>
            <rFont val="Tahoma"/>
            <family val="2"/>
          </rPr>
          <t>Evan L. Kurtz:</t>
        </r>
        <r>
          <rPr>
            <sz val="8"/>
            <color indexed="81"/>
            <rFont val="Tahoma"/>
            <family val="2"/>
          </rPr>
          <t xml:space="preserve">
$13.2m pre-tax write down of Kingman, AZ mill</t>
        </r>
      </text>
    </comment>
    <comment ref="AQ86" authorId="0">
      <text>
        <r>
          <rPr>
            <b/>
            <sz val="8"/>
            <color indexed="81"/>
            <rFont val="Tahoma"/>
            <family val="2"/>
          </rPr>
          <t>Evan L. Kurtz:</t>
        </r>
        <r>
          <rPr>
            <sz val="8"/>
            <color indexed="81"/>
            <rFont val="Tahoma"/>
            <family val="2"/>
          </rPr>
          <t xml:space="preserve">
Inventory write-down and HiSmelt impairment</t>
        </r>
      </text>
    </comment>
    <comment ref="BA86" authorId="0">
      <text>
        <r>
          <rPr>
            <b/>
            <sz val="8"/>
            <color indexed="81"/>
            <rFont val="Tahoma"/>
            <family val="2"/>
          </rPr>
          <t>Evan L. Kurtz:</t>
        </r>
        <r>
          <rPr>
            <sz val="8"/>
            <color indexed="81"/>
            <rFont val="Tahoma"/>
            <family val="2"/>
          </rPr>
          <t xml:space="preserve">
HiSmelt write off</t>
        </r>
      </text>
    </comment>
    <comment ref="BD86" authorId="0">
      <text>
        <r>
          <rPr>
            <b/>
            <sz val="8"/>
            <color indexed="81"/>
            <rFont val="Tahoma"/>
            <family val="2"/>
          </rPr>
          <t>Evan L. Kurtz:</t>
        </r>
        <r>
          <rPr>
            <sz val="8"/>
            <color indexed="81"/>
            <rFont val="Tahoma"/>
            <family val="2"/>
          </rPr>
          <t xml:space="preserve">
Rounding error fix for Modelware</t>
        </r>
      </text>
    </comment>
    <comment ref="BF86" authorId="1">
      <text>
        <r>
          <rPr>
            <b/>
            <sz val="8"/>
            <color indexed="81"/>
            <rFont val="Tahoma"/>
            <family val="2"/>
          </rPr>
          <t>Evan Kurtz:</t>
        </r>
        <r>
          <rPr>
            <sz val="8"/>
            <color indexed="81"/>
            <rFont val="Tahoma"/>
            <family val="2"/>
          </rPr>
          <t xml:space="preserve">
accounting correction and tax benefit</t>
        </r>
      </text>
    </comment>
    <comment ref="BH86" authorId="1">
      <text>
        <r>
          <rPr>
            <b/>
            <sz val="8"/>
            <color indexed="81"/>
            <rFont val="Tahoma"/>
            <family val="2"/>
          </rPr>
          <t>Evan Kurtz:</t>
        </r>
        <r>
          <rPr>
            <sz val="8"/>
            <color indexed="81"/>
            <rFont val="Tahoma"/>
            <family val="2"/>
          </rPr>
          <t xml:space="preserve">
tax adjustment</t>
        </r>
      </text>
    </comment>
    <comment ref="BI86" authorId="4">
      <text>
        <r>
          <rPr>
            <b/>
            <sz val="8"/>
            <color indexed="81"/>
            <rFont val="Tahoma"/>
            <family val="2"/>
          </rPr>
          <t>alelevy:</t>
        </r>
        <r>
          <rPr>
            <sz val="8"/>
            <color indexed="81"/>
            <rFont val="Tahoma"/>
            <family val="2"/>
          </rPr>
          <t xml:space="preserve">
Duferdofin Nucor impairment charge and one-time expense related to Skyline acq.</t>
        </r>
      </text>
    </comment>
    <comment ref="BJ86" authorId="4">
      <text>
        <r>
          <rPr>
            <b/>
            <sz val="8"/>
            <color indexed="81"/>
            <rFont val="Tahoma"/>
            <family val="2"/>
          </rPr>
          <t>alelevy:</t>
        </r>
        <r>
          <rPr>
            <sz val="8"/>
            <color indexed="81"/>
            <rFont val="Tahoma"/>
            <family val="2"/>
          </rPr>
          <t xml:space="preserve">
Adjusted for one-time items related to Skyline acq and loss on sale of Nucor Wire Products PA</t>
        </r>
      </text>
    </comment>
    <comment ref="BK86" authorId="5">
      <text>
        <r>
          <rPr>
            <b/>
            <sz val="8"/>
            <color indexed="81"/>
            <rFont val="Tahoma"/>
            <family val="2"/>
          </rPr>
          <t>lindbmar:</t>
        </r>
        <r>
          <rPr>
            <sz val="8"/>
            <color indexed="81"/>
            <rFont val="Tahoma"/>
            <family val="2"/>
          </rPr>
          <t xml:space="preserve">
Adjusted for one-time items related to Skyline acq.</t>
        </r>
      </text>
    </comment>
    <comment ref="BP86" authorId="4">
      <text>
        <r>
          <rPr>
            <b/>
            <sz val="8"/>
            <color indexed="81"/>
            <rFont val="Tahoma"/>
            <family val="2"/>
          </rPr>
          <t>alelevy:</t>
        </r>
        <r>
          <rPr>
            <sz val="8"/>
            <color indexed="81"/>
            <rFont val="Tahoma"/>
            <family val="2"/>
          </rPr>
          <t xml:space="preserve">
$21.3 out-of-period non-cash gain related to correction to deferred taxes</t>
        </r>
      </text>
    </comment>
    <comment ref="BR86" authorId="4">
      <text>
        <r>
          <rPr>
            <b/>
            <sz val="8"/>
            <color indexed="81"/>
            <rFont val="Tahoma"/>
            <family val="2"/>
          </rPr>
          <t>alelevy:</t>
        </r>
        <r>
          <rPr>
            <sz val="8"/>
            <color indexed="81"/>
            <rFont val="Tahoma"/>
            <family val="2"/>
          </rPr>
          <t xml:space="preserve">
$12.8m NY state tax change charge and after-tax impact of $9m asset disposal charge</t>
        </r>
      </text>
    </comment>
    <comment ref="BT86" authorId="4">
      <text>
        <r>
          <rPr>
            <b/>
            <sz val="9"/>
            <color indexed="81"/>
            <rFont val="Tahoma"/>
            <family val="2"/>
          </rPr>
          <t>alelevy:</t>
        </r>
        <r>
          <rPr>
            <sz val="9"/>
            <color indexed="81"/>
            <rFont val="Tahoma"/>
            <family val="2"/>
          </rPr>
          <t xml:space="preserve">
After-tax write down</t>
        </r>
      </text>
    </comment>
    <comment ref="BZ86" authorId="6">
      <text>
        <r>
          <rPr>
            <b/>
            <sz val="9"/>
            <color indexed="81"/>
            <rFont val="Tahoma"/>
            <family val="2"/>
          </rPr>
          <t>Nandu, Ankit (Research):</t>
        </r>
        <r>
          <rPr>
            <sz val="9"/>
            <color indexed="81"/>
            <rFont val="Tahoma"/>
            <family val="2"/>
          </rPr>
          <t xml:space="preserve">
After tax impairment charges. </t>
        </r>
      </text>
    </comment>
    <comment ref="AI122" authorId="0">
      <text>
        <r>
          <rPr>
            <b/>
            <sz val="8"/>
            <color indexed="81"/>
            <rFont val="Tahoma"/>
            <family val="2"/>
          </rPr>
          <t>Evan L. Kurtz:</t>
        </r>
        <r>
          <rPr>
            <sz val="8"/>
            <color indexed="81"/>
            <rFont val="Tahoma"/>
            <family val="2"/>
          </rPr>
          <t xml:space="preserve">
Previously not disclosed quarterly.  $482m contribution from Harris</t>
        </r>
      </text>
    </comment>
    <comment ref="CE195" authorId="6">
      <text>
        <r>
          <rPr>
            <b/>
            <sz val="9"/>
            <color indexed="81"/>
            <rFont val="Tahoma"/>
            <family val="2"/>
          </rPr>
          <t>Nandu, Ankit (Research):</t>
        </r>
        <r>
          <rPr>
            <sz val="9"/>
            <color indexed="81"/>
            <rFont val="Tahoma"/>
            <family val="2"/>
          </rPr>
          <t xml:space="preserve">
Adjusted for difference in annual net income</t>
        </r>
      </text>
    </comment>
    <comment ref="AI210" authorId="0">
      <text>
        <r>
          <rPr>
            <b/>
            <sz val="8"/>
            <color indexed="81"/>
            <rFont val="Tahoma"/>
            <family val="2"/>
          </rPr>
          <t>Evan L. Kurtz:</t>
        </r>
        <r>
          <rPr>
            <sz val="8"/>
            <color indexed="81"/>
            <rFont val="Tahoma"/>
            <family val="2"/>
          </rPr>
          <t xml:space="preserve">
Harris acquisition</t>
        </r>
      </text>
    </comment>
    <comment ref="AL210" authorId="0">
      <text>
        <r>
          <rPr>
            <b/>
            <sz val="8"/>
            <color indexed="81"/>
            <rFont val="Tahoma"/>
            <family val="2"/>
          </rPr>
          <t>Evan L. Kurtz:</t>
        </r>
        <r>
          <rPr>
            <sz val="8"/>
            <color indexed="81"/>
            <rFont val="Tahoma"/>
            <family val="2"/>
          </rPr>
          <t xml:space="preserve">
$54m for Nelson
~$25m for Barker</t>
        </r>
      </text>
    </comment>
    <comment ref="AN210" authorId="0">
      <text>
        <r>
          <rPr>
            <b/>
            <sz val="8"/>
            <color indexed="81"/>
            <rFont val="Tahoma"/>
            <family val="2"/>
          </rPr>
          <t>Evan L. Kurtz:</t>
        </r>
        <r>
          <rPr>
            <sz val="8"/>
            <color indexed="81"/>
            <rFont val="Tahoma"/>
            <family val="2"/>
          </rPr>
          <t xml:space="preserve">
Purchase of DJ Joseph</t>
        </r>
      </text>
    </comment>
    <comment ref="AP210" authorId="0">
      <text>
        <r>
          <rPr>
            <b/>
            <sz val="8"/>
            <color indexed="81"/>
            <rFont val="Tahoma"/>
            <family val="2"/>
          </rPr>
          <t>Evan L. Kurtz:</t>
        </r>
        <r>
          <rPr>
            <sz val="8"/>
            <color indexed="81"/>
            <rFont val="Tahoma"/>
            <family val="2"/>
          </rPr>
          <t xml:space="preserve">
$658 for Duferdofin + 
$185 for Ambassador</t>
        </r>
      </text>
    </comment>
    <comment ref="AI211" authorId="0">
      <text>
        <r>
          <rPr>
            <b/>
            <sz val="8"/>
            <color indexed="81"/>
            <rFont val="Tahoma"/>
            <family val="2"/>
          </rPr>
          <t>Evan L. Kurtz:</t>
        </r>
        <r>
          <rPr>
            <sz val="8"/>
            <color indexed="81"/>
            <rFont val="Tahoma"/>
            <family val="2"/>
          </rPr>
          <t xml:space="preserve">
Sales of Ferro Gusa Carajas stake to CVRD</t>
        </r>
      </text>
    </comment>
    <comment ref="AP212" authorId="0">
      <text>
        <r>
          <rPr>
            <b/>
            <sz val="8"/>
            <color indexed="81"/>
            <rFont val="Tahoma"/>
            <family val="2"/>
          </rPr>
          <t>Evan L. Kurtz:</t>
        </r>
        <r>
          <rPr>
            <sz val="8"/>
            <color indexed="81"/>
            <rFont val="Tahoma"/>
            <family val="2"/>
          </rPr>
          <t xml:space="preserve">
$658 for Duferdofin + 
$185 for Ambassador</t>
        </r>
      </text>
    </comment>
    <comment ref="AY212" authorId="0">
      <text>
        <r>
          <rPr>
            <b/>
            <sz val="8"/>
            <color indexed="81"/>
            <rFont val="Tahoma"/>
            <family val="2"/>
          </rPr>
          <t>Evan L. Kurtz:</t>
        </r>
        <r>
          <rPr>
            <sz val="8"/>
            <color indexed="81"/>
            <rFont val="Tahoma"/>
            <family val="2"/>
          </rPr>
          <t xml:space="preserve">
NuMit</t>
        </r>
      </text>
    </comment>
    <comment ref="BA212" authorId="0">
      <text>
        <r>
          <rPr>
            <b/>
            <sz val="8"/>
            <color indexed="81"/>
            <rFont val="Tahoma"/>
            <family val="2"/>
          </rPr>
          <t>Evan L. Kurtz:</t>
        </r>
        <r>
          <rPr>
            <sz val="8"/>
            <color indexed="81"/>
            <rFont val="Tahoma"/>
            <family val="2"/>
          </rPr>
          <t xml:space="preserve">
Restricted cash from GOB issuance</t>
        </r>
      </text>
    </comment>
  </commentList>
</comments>
</file>

<file path=xl/comments3.xml><?xml version="1.0" encoding="utf-8"?>
<comments xmlns="http://schemas.openxmlformats.org/spreadsheetml/2006/main">
  <authors>
    <author>Evan Kurtz</author>
    <author>Evan L. Kurtz</author>
    <author>E Kurtz</author>
  </authors>
  <commentList>
    <comment ref="G2" authorId="0">
      <text>
        <r>
          <rPr>
            <b/>
            <sz val="8"/>
            <color indexed="81"/>
            <rFont val="Tahoma"/>
            <family val="2"/>
          </rPr>
          <t>Evan Kurtz:</t>
        </r>
        <r>
          <rPr>
            <sz val="8"/>
            <color indexed="81"/>
            <rFont val="Tahoma"/>
            <family val="2"/>
          </rPr>
          <t xml:space="preserve">
As mix between large beam and medium section chages, so does the premium</t>
        </r>
      </text>
    </comment>
    <comment ref="N2" authorId="1">
      <text>
        <r>
          <rPr>
            <b/>
            <sz val="8"/>
            <color indexed="81"/>
            <rFont val="Tahoma"/>
            <family val="2"/>
          </rPr>
          <t>Evan L. Kurtz:</t>
        </r>
        <r>
          <rPr>
            <sz val="8"/>
            <color indexed="81"/>
            <rFont val="Tahoma"/>
            <family val="2"/>
          </rPr>
          <t xml:space="preserve">
Highly correlated with prior quarter HRC movements</t>
        </r>
      </text>
    </comment>
    <comment ref="G65" authorId="2">
      <text>
        <r>
          <rPr>
            <b/>
            <sz val="9"/>
            <color indexed="81"/>
            <rFont val="Tahoma"/>
            <family val="2"/>
          </rPr>
          <t>E Kurtz:</t>
        </r>
        <r>
          <rPr>
            <sz val="9"/>
            <color indexed="81"/>
            <rFont val="Tahoma"/>
            <family val="2"/>
          </rPr>
          <t xml:space="preserve">
High price piling business moving to tubular </t>
        </r>
      </text>
    </comment>
  </commentList>
</comments>
</file>

<file path=xl/comments4.xml><?xml version="1.0" encoding="utf-8"?>
<comments xmlns="http://schemas.openxmlformats.org/spreadsheetml/2006/main">
  <authors>
    <author>Evan Kurtz</author>
  </authors>
  <commentList>
    <comment ref="G22" authorId="0">
      <text>
        <r>
          <rPr>
            <b/>
            <sz val="8"/>
            <color indexed="81"/>
            <rFont val="Tahoma"/>
            <family val="2"/>
          </rPr>
          <t>Evan Kurtz:</t>
        </r>
        <r>
          <rPr>
            <sz val="8"/>
            <color indexed="81"/>
            <rFont val="Tahoma"/>
            <family val="2"/>
          </rPr>
          <t xml:space="preserve">
range 0.11% - 1.7%</t>
        </r>
      </text>
    </comment>
  </commentList>
</comments>
</file>

<file path=xl/comments5.xml><?xml version="1.0" encoding="utf-8"?>
<comments xmlns="http://schemas.openxmlformats.org/spreadsheetml/2006/main">
  <authors>
    <author>Evan L. Kurtz</author>
  </authors>
  <commentList>
    <comment ref="A1" authorId="0">
      <text>
        <r>
          <rPr>
            <b/>
            <sz val="8"/>
            <color indexed="81"/>
            <rFont val="Tahoma"/>
            <family val="2"/>
          </rPr>
          <t>卟䙄_x0003_＀＀⌄䲑_x001B_啎幅䝆也呅䥟䍎兟㌨㌲㐲Ⱜ兆착!＀＀ ＀＀	＀＀_x0008_＀＀_x0001_＀＀_x0001_＀＀_x0001_＀＀豀碵꼝쐕찀⌄䲑_x001B_啎幅䝆也呅䥟䍎兟㌨㈵㘴Ⱜ兆착!＀＀ ＀＀	＀＀_x0008_＀＀_x0001_＀＀_x0001_＀＀_x0001_＀＀豀碵꼝쐕찀⌄䲑_x001B_啎幅䝆也呅䥟䍎兟㌨ㄸ㠶Ⱜ兆착!＀＀ ＀＀	＀＀_x0008_＀＀_x0001_＀＀_x0001_＀＀_x0001_＀＀᪠_xDD2F_渤䁯찀⌂䲑_x0017_啎幅䝆䕟呎噟䱁䕕㌨㌷㔱착!＀＀ ＀＀	＀＀_x0008_＀＀_x0001_＀＀_x0001_＀＀_x0001_＀＀炤਽⯷䂲찀⌀䲑_x0013_啎幅䝆偟䥒䕃㌨〸㜱착!＀＀ ＀＀	＀＀_x0008_＀＀_x0001_＀＀_x0001_＀＀_x0001_＀＀ᑺ➮䀬찀⌄䲑$啎幅彐剐䍉彅噁⡇⼱㄰〯ⰳ㈱㌯⼱㌰䌬⥙!＀＀ ＀＀	＀＀_x0008_＀＀_x0001_＀＀_x0001_＀＀_x0001_＀＀ᔖ㩱盉䀧찀⌄䲑_x001B_啎幅䝆也呅䥟䍎兟㌨㘴㤹Ⱜ兆착!＀＀ ＀＀	＀＀_x0008_＀＀_x0001_＀＀_x0001_＀＀_x0001_＀＀豀碵꼝쐕찀⌀䲑_x0013_啎幅䝆偟䥒䕃㌨ㄷ㐶착!＀＀ ＀＀	＀＀_x0008_＀＀_x0001_＀＀_x0001_＀＀_x0001_＀＀馚香_xD999_䀣찀⌀䲑_x0013_啎幅䝆偟䥒䕃㌨㘹㤲착!＀＀ ＀＀	＀＀_x0008_＀＀_x0001_＀＀_x0001_＀＀_x0001_＀＀ᑻ䞮ꫡ䁒찀⌀䲑_x0013_啎幅䝆偟䥒䕃㌨㜸㘷착!＀＀ ＀＀	＀＀_x0008_＀＀_x0001_＀＀_x0001_＀＀_x0001_＀＀㌳㌳茳䁅찀⌀䲑_x0013_啎幅䝆偟䥒䕃㌨㤷㘸착!＀＀ ＀＀	＀＀_x0008_＀＀_x0001_＀＀_x0001_＀＀_x0001_＀＀＀＀＀＀＀＀䀬찀⌄䲑$啎幅彐剐䍉彅噁⡇⼱㄰〯ⰴ㈱㌯⼱㐰䌬⥙!＀＀ ＀＀	＀＀_x0008_＀＀_x0001_＀＀_x0001_＀＀_x0001_＀＀ᬳ鉤Α䀳찀⌀䲑6啎幅䍅彁䕍乁䕟䥂䑔彁䅃䅌㈨〰ⰵ㄰㌯⼱〲㄰ㄬ⼲ㄳ㈯㄰ⰰ⥍ѐ＀＀ ＀＀и＀＀π＀＀_x0001_＀＀x＀＀_x0001_＀＀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鮦⃄㶰䂆尩슏䟵䂄ꧻ飱䂊ꧻ飱䂊㭥俟늍䂋㭥俟늍䂋㭥俟늍䂋㭥俟늍䂋䷓ၢ_xFFFF_ｘ䂃䷓ၢ_xFFFF_ｘ䂃䷓ၢ_xFFFF_ｘ䂃蜫_xD916_㋎䂆璽ᢓᒄ䂈ొ⬂_xDD07_䂈璽ᢓ甄䂌ᑻ䞮䇡䂐炤਽韗䂒ਾꏗ❰䂙ਾꏗ❰䂙쳍쳌ꭌ䂙슐⣵՜䂝슐⣵՜䂝ꏗ㵰_xD88A_䂛馚香ꨙ䂞馚香ꨙ䂞竡긔埇䂢쳍쳌䂌䂢⣶轜ஂ䂣晧晦⥦䂢빷᪟䭯䂢쳍쳌㶌䂢ᑻ䞮뱡䂢尩슏䂢尩슏䂢ᑺᄮ䂣ᑺ舮䂣롑舞䂣恂탥舢䂣᪠_xDD2F_舤䂣᪠_xDD2F_舤䂣᪠_xDD2F_舤䂣᪠_xDD2F_舤䂣롑舞䂣롑舞䂣ၢ㥘艴䂣ၢ㥘艴䂣ၢ㥘艴䂣ၢ㥘艴䂣ၢ㥘艴䂣ၢ㥘艴䂣ၢ㥘艴䂣ၢ㥘艴䂣ၢ㥘艴䂣ၢ㥘艴䂣ၢ㥘艴䂣ၢ㥘艴䂣멞౉节䂣멞౉节䂣멞౉节䂣䷒芢䂣䷒芢䂣䷒芢䂣䷒芢䂣䷒芢䂣䷒芢䂣䷒芢䂣䷒芢䂣䷒芢䂣䷒芢䂣䷒芢䂣䷒芢䂣䷒芢䂣䷒芢䂣ᑺ舮䂣ᑺ舮䂣ᑺ舮䂣ᑺ舮䂣ᑺ舮䂣ᑺ舮䂣ᑺ舮䂣ᑺ舮䂣ᑺ舮䂣ᑺ舮䂣ᑺ舮䂣ᑺ舮䂣ᑺ舮䂣ᑺ舮䂣ᑺ舮䂣ᑺ舮䂣ᑺ舮䂣ᑺ舮䂣ᑺ舮䂣ᑺ舮䂣ᑺ舮䂣ᑺ舮䂣＀＀＀＀＀＀＀＀＀＀＀＀＀＀＀＀＀＀＀＀＀＀＀＀＀＀＀＀＀＀＀＀＀＀＀＀＀＀＀＀＀＀＀＀＀＀＀＀＀＀＀＀＀＀＀＀＀＀＀＀＀＀＀＀＀＀＀＀＀＀＀＀＀＀＀＀＀＀＀＀＀＀＀＀＀＀＀＀＀＀＀＀＀＀＀＀＀＀＀＀＀＀＀＀＀＀＀＀＀＀＀＀＀＀＀＀＀＀＀＀⌄䲑_x001B_啎幅䝆也呅䥟䍎兟㌨㠶ㄹⰬ兆착!＀＀ ＀＀	＀＀_x0008_＀＀_x0001_＀＀_x0001_＀＀_x0001_＀＀尡蔁䁓찀⌃䲑_x0017_啎幅䝆䕟呎噟䱁䕕㌨㔸㐶착!＀＀ ＀＀	＀＀_x0008_＀＀_x0001_＀＀_x0001_＀＀_x0001_＀＀욧씫䃀찀⌀䲑_x0013_啎幅䝆偟䥒䕃㌨㐹㘱착!＀＀ ＀＀	＀＀_x0008_＀＀_x0001_＀＀_x0001_＀＀_x0001_＀＀ᑻ䞮髡䁍찀⌄䲑(啎幅彐剐䍉彅䍈彌剆⡑⼱㄰〯ⰲ㈱㌯⼱㈰䌬⥙!＀＀ ＀＀	＀＀_x0008_＀＀_x0001_＀＀_x0001_＀＀_x0001_＀＀馚香䦙䀱찀⌂䲑_x0017_啎幅䝆䕟呎噟䱁䕕㌨㔷㤲착!＀＀ ＀＀	＀＀_x0008_＀＀_x0001_＀＀_x0001_＀＀_x0001_＀＀㧀⃃䂨찀⌄䲑_x001B_啎幅䝆也呅䥟䍎兟㌨㠲㌷Ⱜ兆착!＀＀ ＀＀	＀＀_x0008_＀＀_x0001_＀＀_x0001_＀＀_x0001_＀＀豀碵꼝쐕찀⌄䲑_x001B_啎幅䝆也呅䥟䍎兟㌨㜵㔹Ⱜ兆착!＀＀ ＀＀	＀＀_x0008_＀＀_x0001_＀＀_x0001_＀＀_x0001_＀＀豀碵꼝쐕찀⌂䲑_x0017_啎幅䝆䕟呎噟䱁䕕㌨㜷ㄱ착!＀＀ ＀＀	＀＀_x0008_＀＀_x0001_＀＀_x0001_＀＀_x0001_＀＀⣶轜䤂䂮찀⌃䲑_x0017_啎幅䝆䕟呎噟䱁䕕㌨ㄹㄴ착!＀＀ ＀＀	＀＀_x0008_＀＀_x0001_＀＀_x0001_＀＀_x0001_＀＀蜫_xD916_캎䃐찀⌀䲑_x0013_啎幅䝆偟䥒䕃㌨ㄸ㠶착!＀＀ ＀＀	＀＀_x0008_＀＀_x0001_＀＀_x0001_＀＀_x0001_＀＀㵱휊ィ䀳찀⌀䲑_x0013_啎幅䝆偟䥒䕃㌨㔷〶착!＀＀ ＀＀	＀＀_x0008_＀＀_x0001_＀＀_x0001_＀＀_x0001_＀＀롒蔞ᇫ䀥찀⌀䲑_x0013_啎幅䝆偟䥒䕃㌨㌷㔱착!＀＀ ＀＀	＀＀_x0008_＀＀_x0001_＀＀_x0001_＀＀_x0001_＀＀＀＀＀＀䀀䀬찀⌄䲑_x0017_啎幅䝆䕟呎噟䱁䕕㌨㔹㠶착!＀＀ ＀＀	＀＀_x0008_＀＀_x0001_＀＀_x0001_＀＀_x0001_＀＀ⴎ鶲㲟䃖찀╢䲑_x0014_啎幅彐佃彍䡓当問⡔⤰!＀＀ ＀＀	＀＀_x0008_＀＀_x0001_＀＀_x0001_＀＀_x0001_＀＀탥_xDB22_룹䁳찀⌄䲑_x0017_啎幅䝆䕟呎噟䱁䕕㌨㠹㌱착!＀＀ ＀＀	＀＀_x0008_＀＀_x0001_＀＀_x0001_＀＀_x0001_＀＀⋐Г䃐찀⌃䲑_x0017_啎幅䝆䕟呎噟䱁䕕㌨㤸〶착!＀＀ ＀＀	＀＀_x0008_＀＀_x0001_＀＀_x0001_＀＀_x0001_＀＀좴빶䤯䃋찀⌄䲑_x001B_啎幅䝆也呅䥟䍎兟㌨㌶ㄴⰬ兆착!＀＀ ＀＀	＀＀_x0008_＀＀_x0001_＀＀_x0001_＀＀_x0001_＀＀䗥勗䁉찀⌄䲑_x001B_啎幅䝆也呅䥟䍎兟㌨㈹㌶Ⱜ兆착Ą＀＀ ＀＀ì＀＀_x0008_＀＀_x0001_＀＀_x0001_＀＀_x0001_＀＀馚香趙䁵摦畳㩰⼯楄敲瑣潩獮䘯捡却瑥䄠摵瑩湩⁧楖睥牥愿瑣潩㵮啁䥄彔䅖啌♅䉄ㄽ㤲䤦ㅄ㘽〷㐳ㄶ☰䅖啌䥅㵄㄰㔵☱䑓呁㵅〲㜰㈰倦剅佉呄偙㵅呑归呓♄楷摮睯瀽灯灵湟彯慢♲楷瑤㵨㠳☵敨杩瑨ㄽ〲匦䅔呒䵟塁䵉婉䑅䘽䱁䕓挦敲瑡牯昽捡獴瑥搦獩汰祡獟牴湩㵧畁楤t⌂䲑_x0017_啎幅䝆䕟呎噟䱁䕕㌨ㄷ㌰착!＀＀ ＀＀	＀＀_x0008_＀＀_x0001_＀＀_x0001_＀＀_x0001_＀＀磕⛩ᦑ䂰찀⌄䲑_x001B_啎幅䝆也呅䥟䍎兟㌨㘲㤸Ⱜ兆착!＀＀ ＀＀	＀＀_x0008_＀＀_x0001_＀＀_x0001_＀＀_x0001_＀＀豀碵꼝쐕찀⌂䲑_x0017_啎幅䝆䕟呎噟䱁䕕㌨㤷㔲착!＀＀ ＀＀	＀＀_x0008_＀＀_x0001_＀＀_x0001_＀＀_x0001_＀＀㽽帵┊䂴찀⌄䲑_x0017_啎幅䝆䕟呎噟䱁䕕㌨㌹㔵착!＀＀ ＀＀	＀＀_x0008_＀＀_x0001_＀＀_x0001_＀＀_x0001_＀＀롑䃐찀⌄䲑$啎幅彐剐䍉彅噁⡇⼱㄰〯ⰵ㈱㌯⼱㔰䌬⥙!＀＀ ＀＀	＀＀_x0008_＀＀_x0001_＀＀_x0001_＀＀_x0001_＀＀໔䵿惖䀼찀⌀䲑_x0013_啎幅䝆偟䥒䕃㌨㔸㐶착!＀＀ ＀＀	＀＀_x0008_＀＀_x0001_＀＀_x0001_＀＀_x0001_＀＀馚香릙䀻찀⌀䲑6啎幅䍅彁䕍乁䕟䥂䑔彁䅃䅌㈨〰ⰶ㄰㌯⼱〲㄰ㄬ⼲ㄳ㈯㄰ⰰ⥍ѐ＀＀ ＀＀и＀＀π＀＀_x0001_＀＀x＀＀_x0001_＀＀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赐溗툒䂆凬Ẹꢅ䂑凬Ẹꢅ䂑슏⣵⡜䂔䞮竡䂚䞮竡䂚ᑺ뀮䂘ꏗ㵰_xD88A_䂙蔟凫䂙凬Ẹ븅䂚쳍쳌_xDBCC_䂜쳍쳌_xDBCC_䂜ᑺ訮䂠Ẹ恑䂠蔟凫喸䂠犰酨䂜ꏗ㵰Њ䂝凬Ẹḅ䂝尩슏沵䂠⣶轜ퟂ䂟轜_xDDA8_䂞摚_xDF3B_瓏䂟沋ﯧ卩䂡䷓ၢ䂠ਾꏗ䂢扎堐䂥扎堐䂥욧Ћ䂦롑瘞䂧㵱휊뒣䂧쳍쳌튌䂧๖눭瞝䂩๖눭瞝䂩龿⼚늝䂨_xDB23_绹佪䂩_xDB23_绹佪䂩茓쫀伡䂩틲才俐䂩틲才俐䂩긕侺䂩ꇋ뙅퇳䂨ꇋ뙅퇳䂨ꧻႱ䂩ꧻႱ䂩ꧻႱ䂩ꧻႱ䂩ꧻ볱䂨ꧻ볱䂨ꧻ볱䂨ꧻ볱䂨ꧻ볱䂨ꧻ볱䂨ꧻ볱䂨ꧻ볱䂨ꧻ볱䂨ꧻ볱䂨ꧻ볱䂨鮦⃄龰䂨鮦⃄龰䂨鮦⃄龰䂨슐⣵䂨슐⣵䂨슐⣵䂨슐⣵䂨슐⣵䂨슐⣵䂨슐⣵䂨슐⣵䂨슐⣵䂨슐⣵䂨슐⣵䂨슐⣵䂨슐⣵䂨슐⣵䂨슐⣵䂨슐⣵䂨슐⣵䂨슐⣵䂨슐⣵䂨슐⣵䂨슐⣵䂨슐⣵䂨＀＀＀＀＀＀＀＀＀＀＀＀＀＀＀＀＀＀＀＀＀＀＀＀＀＀＀＀＀＀＀＀＀＀＀＀＀＀＀＀＀＀＀＀＀＀＀＀＀＀＀＀＀＀＀＀＀＀＀＀＀＀＀＀＀＀＀＀＀＀＀＀＀＀＀＀＀＀＀＀＀＀＀＀＀＀＀＀＀＀＀＀＀＀＀＀＀＀＀＀＀＀＀＀＀＀＀＀＀＀＀＀＀＀＀＀＀＀＀＀⌂䲑_x0017_啎幅䝆䕟呎噟䱁䕕㌨㤶㈲착!＀＀ ＀＀	＀＀_x0008_＀＀_x0001_＀＀_x0001_＀＀_x0001_＀＀摚_xDF3B_ů䂬찀⌀䲑_x0013_啎幅䝆偟䥒䕃㌨㔷㤲착!＀＀ ＀＀	＀＀_x0008_＀＀_x0001_＀＀_x0001_＀＀_x0001_＀＀㌳㌳䀢찀⌀䲑3啎幅䍅彁䕍乁䕟卐䍟䱁⡁〲㌰〬⼱ㄳ㈯〰ⰱ㈱㌯⼱〲㤰䴬착Ϥ＀＀ ＀＀ό＀＀͠＀＀_x0001_＀＀l＀＀_x0001_＀＀尩슏⣵㿱尩슏⣵㿱땠流㿯땠流㿯㺫字_xFFFF_ﾱ㿯㺫字_xFFFF_ﾱ㿯閜㿭嶎窢恫㿬슐⣵轜㿩ĺ葍輍㿩庞쬩䜐㿩庞쬩䜐㿩ᑺ䞮㿬溘茒쫀㿩溘茒쫀㿩㫚醓㿪밁ህ_xFFFF_４㿬裎_xDED2_诠㿭濅⬊퐕㿭奻㜤倫㿮_xDD32_ᭋ㿫猺ए㯟㿨ˁ釢㿧ˁ釢㿧︡鈆ᔜ㿦ⴅ㿡ꁼ텰谤㿠툅㿚輌⳽ꊖ㿙_xDEEB_ଯ排㿙鋺串᫨㿑㪊ཱི_xDF09_㿏燫␺ਐ㿏位攁㿇臻꽡卦㿇兄侠䧤㿆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馚香香㿉＀＀＀＀＀＀＀＀＀＀＀＀＀＀＀＀＀＀＀＀＀＀＀＀＀＀＀＀＀＀＀＀＀＀＀＀＀＀＀＀＀＀＀＀＀＀＀＀＀＀＀＀＀＀＀＀＀＀＀＀＀＀＀＀＀＀＀＀＀＀＀＀＀＀＀＀＀＀＀＀＀＀＀＀＀＀＀＀＀＀＀＀＀＀＀＀＀＀＀＀＀＀＀＀＀＀＀＀⌄䲑(啎幅彐剐䍉彅䍈彌剆⡑⼱㄰〯ⰳ㈱㌯⼱㌰䌬⥙!＀＀ ＀＀	＀＀_x0008_＀＀_x0001_＀＀_x0001_＀＀_x0001_＀＀㌳㌳䀬찀⌃䲑_x0017_啎幅䝆䕟呎噟䱁䕕㌨㌸㈵착!＀＀ ＀＀	＀＀_x0008_＀＀_x0001_＀＀_x0001_＀＀_x0001_＀＀褷恁䃀찀⌄䲑_x001B_啎幅䝆也呅䥟䍎兟㌨㠷㈰Ⱜ兆착!＀＀ ＀＀	＀＀_x0008_＀＀_x0001_＀＀_x0001_＀＀_x0001_＀＀馚香_xD999_䀠찀⌀䲑_x0013_啎幅䝆偟䥒䕃㌨㜷ㄱ착!＀＀ ＀＀	＀＀_x0008_＀＀_x0001_＀＀_x0001_＀＀_x0001_＀＀⣶轜ᗂ䀣찀⌄䲑_x0017_啎幅䝆䕟呎噟䱁䕕㌨㤹㐶착!＀＀ ＀＀	＀＀_x0008_＀＀_x0001_＀＀_x0001_＀＀_x0001_＀＀꟰䯆艗䃍찀⌀䲑_x0013_啎幅䝆偟䥒䕃㌨ㄹㄴ착!＀＀ ＀＀	＀＀_x0008_＀＀_x0001_＀＀_x0001_＀＀_x0001_＀＀슏⣵潜䁎찀⌄䲑3啎幅䍅彁䕍乁䕟卐䍟䱁⡁〲㜰ㄬ⼰ㄳ㈯〰ⰷ㤰㌯⼱〲㠰䴬착＀＀ ＀＀l＀＀`＀＀_x0001_＀＀_x000C_＀＀_x0001_＀＀᲎೩貌䀓㯯잆虾䀓ዹ㠪邼䀓尨슏䀓尨슏䀓尨슏䀓尨슏䀓尨슏䀓尨슏䀓尨슏䀓尨슏䀓尨슏䀓＀＀＀＀＀＀＀＀＀＀＀＀⌃䲑_x0017_啎幅䝆䕟呎噟䱁䕕㌨ㄸ㜰착!＀＀ ＀＀	＀＀_x0008_＀＀_x0001_＀＀_x0001_＀＀_x0001_＀＀㽽帵⬊䂵찀⌄䲑_x001B_啎幅䝆也呅䥟䍎兟㌨㜳㔸Ⱜ兆착!＀＀ ＀＀	＀＀_x0008_＀＀_x0001_＀＀_x0001_＀＀_x0001_＀＀豀碵꼝쐕찀⋿䲑_x001C_啎幅彐剐䍉彅噁⡇㤳ㄸⰳ㤳〹⤳!＀＀ ＀＀	＀＀_x0008_＀＀_x0001_＀＀_x0001_＀＀_x0001_＀＀岼矄_xDA62_䁃찀⌃䲑_x0017_啎幅䝆䕟呎噟䱁䕕㌨㤸㤲착!＀＀ ＀＀	＀＀_x0008_＀＀_x0001_＀＀_x0001_＀＀_x0001_＀＀盉龾䃍찀⌀䲑_x0013_啎幅䝆偟䥒䕃㌨㔹㠶착!＀＀ ＀＀	＀＀_x0008_＀＀_x0001_＀＀_x0001_＀＀_x0001_＀＀＀＀＀＀䁒찀⌀䲑_x0013_啎幅䝆偟䥒䕃㌨㤸〶착!＀＀ ＀＀	＀＀_x0008_＀＀_x0001_＀＀_x0001_＀＀_x0001_＀＀슏⣵潜䁈찀⌄䲑_x0017_偓〵䙞彇剐䍉⡅ⰰㄭ奁䐬착ࣽ＀＀ ＀＀ࣥ＀＀ߨ＀＀_x0001_＀＀ý＀＀_x0001_＀＀晦晦葦䂑馚香螙䂑㌳㌳嘳䂑蔟凫䂸䂑긔⭺䂑슏⣵ཛྷ䂑ꏗ㵰䈊䂑晦晦ࡦ䂑轜䂐Ẹ救䂐ᑺ掮䂐슏⣵ꉜ䂐ᑻ䞮峡䂐Ẹ絑䂐긔潺䂐਽ꏗ군䂐⣶轜뻂䂐凬Ẹ캅䂐㵱휊ᢣ䂑轜ረ䂑凬Ẹ_xDD85_䂐＀＀＀＀_xDD00_䂐਽ꏗ䂐ᑻ䞮ס䂑휊炣落䂑轜鼨䂑尨蚏䂑竡긔靇䂑尩슏鳵䂑炤਽臗䂑਽ꏗ靰䂑晦晦㙦䂑롑㘞䂑凬Ẹ䢅䂑슏⣵杜䂑ꏗ㵰氊䂑㵱휊㪣䂑ᑺᚮ䂑슏⣵뙜䂐롒蔞䂐＀＀＀＀봀䂐凬Ẹꎅ䂐롒蔞⇫䂑ᑺᲮ䂑슏⣵ᵜ䂑＀＀＀＀_xDB00_䂐炤਽ퟗ䂐＀＀＀＀뤀䂐䞮竡鄔䂐휊炣ွ䂐㵱휊䂏긔ൺ䂐炤਽᫗䂐尩슏䓵䂐竡긔쩇䂐ꏗ㵰팊䂐⣶轜웂䂐轜ဨ䂑휊炣ᴽ䂑쳍쳌擌䂑ꏗ㵰瘊䂑轜瀨䂑਽ꏗ橰䂑롒蔞泫䂑凬Ẹڅ䂑晦晦๦䂑슏⣵ﭜ䂐⣶轜绂䂐＀＀＀＀頀䂐ᑻ䞮槡䂐＀＀＀＀ꎀ䂐Ẹ㭑䂑凬Ẹ⦅䂑炤਽뫗䂐㵱휊֣䂑휊炣㰽䂑쳍쳌꿌䂐롑젞䂐馚香욙䂐⣶轜ﻂ䂐슏⣵빜䂐㌳㌳氳䂑㌳㌳茳䂑⣶轜쏂䂑蔟凫뺸䂑⣶轜ᗂ䂒ᑺ亮䂒轜༨䂒롒蔞ừ䂒凬Ẹ宅䂑馚香ꂙ䂑馚香㞙䂒晦晦噦䂒ꏗ㵰줊䂒⣶轜諂䂒롑_xDB1E_䂒਽ꏗ鵰䂒炤਽绗䂒㌳㌳䂒롑Ԟ䂓ᑺ䂒⣶轜ퟂ䂒ᑺ_xDCAE_䂒䞮竡똔䂒凬Ẹꂅ䂒ᑺ䂒馚香䂒㌳㌳딳䂒롒蔞뇫䂒긔ꥺ䂒⣶轜观䂒쳍쳌秌䂒⣶轜闂䂒⣶轜跂䂒晦晦桦䂒蔟凫䖸䂒䞮竡唔䂒ᑻ䞮員䂒슏⣵㩜䂒롒蔞㛫䂒ᑻ䞮㻡䂒ᑺ墮䂒휊炣㜽䂒馚香ᾙ䂒Ẹ㝑䂒炤਽㣗䂒炤਽ᷗ䂒ꏗ㵰見䂑尩슏䂑尩슏䂑਽ꏗ䂑쳍쳌퇌䂑凬Ẹ쨅䂑쳍쳌쫌䂑ᑻ䞮诡䂑轜笨䂑휊炣礽䂑炤਽滗䂑尩슏䇵䂑⣶轜㯂䂑尩슏䓵䂑晦晦ᩦ䂑尨倏䂑ᑺ咮䂑＀＀＀＀䬀䂑ꏗ㵰⸊䂑긔᭺䂑ꏗ㵰츊䂐ᑻ䞮_xD9E1_䂐凬Ẹ낅䂐䞮竡먔䂐尩슏苵䂐⣶轜ꣂ䂐਽ꏗ鱰䂐롑┞䂑竡긔㵇䂑⣶轜ӂ䂑긔읺䂐롑䂐＀＀＀＀☀䂑ᑺႮ䂑롑⌞䂑ꏗ㵰༊䂑롒蔞燫䂑轜젨䂑롒蔞䂑롑쀞䂑炤਽䂑蔟凫䂑ᑻ䞮샡䂑롒蔞䂑롒蔞䂑竡긔훇䂑尨쒏䂑䞮竡숔䂑尩슏돵䂑晦晦汦䂑ᑺ馮䂑쳍쳌飌䂑롑鼞䂑롒蔞駫䂑슏⣵艜䂑䞮竡研䂑㌳㌳栳䂑ᑻ䞮㧡䂑Ẹ⁑䂑蔟凫咸䂑蔟凫侸䂑਽ꏗ桰䂑㵱휊䦣䂑晦晦㥦䂑쳍쳌ῌ䂑⣶轜࿂䂑＀＀＀＀㴀䂑롒蔞䟫䂑ᑺ⾮䂑尩슏哵䂑਽ꏗ印䂑凬Ẹẅ䂑尩슏෵䂑凬Ẹ媅䂑馚香䚙䂑尩슏䣵䂑凬Ẹඅ䂑馚香ᮙ䂑㌳㌳圳䂑竡긔奇䂑㌳㌳唳䂑롒蔞ᗫ䂑尩슏ﳵ䂐ꏗ㵰⨊䂑ꏗ㵰ᐊ䂑Ẹᑑ䂑㌳㌳딳䂐凬Ẹꪅ䂐＀＀＀＀娀䂐㵱휊喣䂐凬Ẹ䮅䂐竡긔デ䂐਽ꏗꡰ䂐凬Ẹ䪅䂐㵱휊鶣䂐쳍쳌ꯌ䂐晦晦_xDE66_䂐㵱휊Ꭳ䂑馚香䂐휊炣ఽ䂑㵱휊➣䂑蔟凫ﺸ䂐휊炣∽䂑䞮竡န䂑⣶轜쓂䂐䯇褷탁䂐尩슏뷵䂐롒蔞ꗫ䂐炤਽虗䂐ᑻ䞮竡䂐炤਽䇗䂐炤਽ӗ䂐晦晦ᝦ䂐䆉葐䂐਽ꏗ鉰䂐롒蔞鯫䂐凬Ẹ内䂐롑欞䂐긔鍺䂐㵱휊뺣䂐㵱휊ꊣ䂐㌳㌳넳䂐尩슏ꗵ䂐ꏗ㵰댊䂐凬Ẹ犅䂐슏⣵敜䂐＀＀＀＀＀＀＀＀＀＀＀＀＀＀＀＀＀＀＀＀＀＀＀＀＀＀＀＀＀＀＀＀＀＀＀＀＀＀＀＀＀＀＀＀＀＀＀＀＀＀＀＀＀＀＀＀＀＀＀＀＀＀＀＀＀＀＀＀＀＀＀＀＀＀＀＀＀＀＀＀＀＀＀＀＀＀＀＀＀＀＀＀＀＀＀＀＀＀＀＀＀＀＀＀＀＀＀＀＀＀＀＀＀＀＀＀＀＀＀＀＀＀＀＀＀＀＀＀＀＀＀＀＀＀＀＀＀＀＀＀＀＀＀＀＀＀＀＀＀＀＀＀＀＀＀＀＀＀＀＀＀＀＀＀＀＀＀＀＀＀＀＀＀＀＀＀＀＀＀＀＀＀＀＀＀＀＀＀＀＀＀＀＀＀＀＀＀＀＀＀＀＀＀＀＀＀＀＀＀＀＀＀＀＀＀＀＀＀＀＀＀＀＀＀＀＀＀＀＀＀＀＀＀＀＀＀＀＀＀＀＀＀＀＀＀＀＀＀＀＀＀＀찀⌀䲑_x0013_啎幅䝆偟䥒䕃㌨ㄷ㌰착!＀＀ ＀＀	＀＀_x0008_＀＀_x0001_＀＀_x0001_＀＀_x0001_＀＀롒蔞䀧찀⌀䲑_x0013_啎幅䝆偟䥒䕃㌨㤷㔲착!＀＀ ＀＀	＀＀_x0008_＀＀_x0001_＀＀_x0001_＀＀_x0001_＀＀휊炣樽䀫찀⌀䲑_x0013_啎幅䝆偟䥒䕃㌨㌹㔵착!＀＀ ＀＀	＀＀_x0008_＀＀_x0001_＀＀_x0001_＀＀_x0001_＀＀轜밨䁍찀⌄䲑_x001B_啎幅䝆也呅䥟䍎兟㌨㘶㘱Ⱜ兆착!＀＀ ＀＀	＀＀_x0008_＀＀_x0001_＀＀_x0001_＀＀_x0001_＀＀웼黗彙䁔찀⌄䲑_x001B_啎幅䝆也呅䥟䍎兟㌨㔹㠳Ⱜ兆착Ą＀＀ ＀＀ì＀＀_x0008_＀＀_x0001_＀＀_x0001_＀＀_x0001_＀＀틲才鰐䁹摦畳㩰⼯楄敲瑣潩獮䘯捡却瑥䄠摵瑩湩⁧楖睥牥愿瑣潩㵮啁䥄彔䅖啌♅䉄ㄽ㤲䤦ㅄ㘽〷㐳ㄶ☰䅖啌䥅㵄㄰㔵☱䑓呁㵅〲㠰㄰倦剅佉呄偙㵅呑归呓♄楷摮睯瀽灯灵湟彯慢♲楷瑤㵨㠳☵敨杩瑨ㄽ〲匦䅔呒䵟塁䵉婉䑅䘽䱁䕓挦敲瑡牯昽捡獴瑥搦獩汰祡獟牴湩㵧畁楤t┯䲑_x0016_啎幅䙆也呅䑟䉅⡔呑ⱒ⤰Ō＀＀ ＀＀Ĵ＀＀_x0008_＀＀_x0001_＀＀_x0001_＀＀_x0001_＀＀㌳㌳匳䂞摦畳㩰⼯楤敲瑣潩獮䘯呁嘠敩敷㽲捡楴湯唽䑐呁♅牣慥潴㵲慦瑣敳♴奄彎剁升吽啒♅佄彃䅎䕍䘽呁䘺䱑䅟䑕呉义彇䱃䕉呎呟䵅䱐呁⹅䅆♔楤灳慬役瑳楲杮䄽摵瑩嘦剁䬺奅堽噋䑁䱉剉♁䅖㩒啑剅㵙歒晚歔啖じ䙒汑潑噕卒䑌灁圦义佄㵗䥆卒彔佐啐♐䕈䝉呈㐽〵圦䑉䡔㐽〵匦䅔呒䵟塁䵉婉䑅䘽䱁䕓嘦剁䌺䱁久䅄㵒单嘦剁区䵙佂㵌啎♅䅖㩒义䕄㵘0⌄䲑_x001B_啎幅䝆也呅䥟䍎兟㌨〶㠶Ⱜ兆착!＀＀ ＀＀	＀＀_x0008_＀＀_x0001_＀＀_x0001_＀＀_x0001_＀＀䤊䠎䁐찀⌄䲑$啎幅彐剐䍉彅噁⡇⼱㄰〯ⰶ㈱㌯⼱㘰䌬⥙!＀＀ ＀＀	＀＀_x0008_＀＀_x0001_＀＀_x0001_＀＀_x0001_＀＀髿冬褏䁉찀⌂䲑_x0017_啎幅䝆䕟呎噟䱁䕕㌨㐷㠶착!＀＀ ＀＀	＀＀_x0008_＀＀_x0001_＀＀_x0001_＀＀_x0001_＀＀ⷠꂐ_xDD08_䂱찀⌄䲑(啎幅彐剐䍉彅䍌彌剆⡑⼱㄰〯ⰳ㈱㌯⼱㌰䌬⥙!＀＀ ＀＀	＀＀_x0008_＀＀_x0001_＀＀_x0001_＀＀_x0001_＀＀ਾꏗﵰ䀡찀⌃䲑_x0017_啎幅䝆䕟呎噟䱁䕕㌨㔸㌰착!＀＀ ＀＀	＀＀_x0008_＀＀_x0001_＀＀_x0001_＀＀_x0001_＀＀璼ᢓヤ䃁찀⼪乌_x0016_啎幅䝆䵟䅅彎偅当奆⠲⤰!＀＀ ＀＀	＀＀_x0008_＀＀_x0001_＀＀_x0001_＀＀_x0001_＀＀殮婣욛䀍찀⌀䲑_x0013_啎幅䝆偟䥒䕃㌨㤶㈲착!＀＀ ＀＀	＀＀_x0008_＀＀_x0001_＀＀_x0001_＀＀_x0001_＀＀㌳㌳댳䀤찀⌄䲑_x001B_啎幅䝆也呅䥟䍎兟㌨㜵㌰Ⱜ兆착!＀＀ ＀＀	＀＀_x0008_＀＀_x0001_＀＀_x0001_＀＀_x0001_＀＀豀碵꼝쐕찀⌀䲑_x0013_啎幅䝆偟䥒䕃㌨㌸㈵착!＀＀ ＀＀	＀＀_x0008_＀＀_x0001_＀＀_x0001_＀＀_x0001_＀＀凬Ẹ⮅䀺찀⌄䲑_x001B_啎幅䝆也呅䥟䍎兟㌨㘸㔲Ⱜ兆착!＀＀ ＀＀	＀＀_x0008_＀＀_x0001_＀＀_x0001_＀＀_x0001_＀＀ㄦ㸈䁲찀⌄䲑_x001B_啎幅䝆也呅䥟䍎兟㌨㈲㌳Ⱜ兆착!＀＀ ＀＀	＀＀_x0008_＀＀_x0001_＀＀_x0001_＀＀_x0001_＀＀豀碵꼝쐕찀⋿䲑_x001C_啎幅彐剐䍉彅噁⡇㤳㌵ⰸ㤳㈶⤹!＀＀ ＀＀	＀＀_x0008_＀＀_x0001_＀＀_x0001_＀＀_x0001_＀＀喇醼챹䁒찀⌄䲑_x001B_啎幅䝆也呅䥟䍎兟㌨ㄵ㔵Ⱜ兆착!＀＀ ＀＀	＀＀_x0008_＀＀_x0001_＀＀_x0001_＀＀_x0001_＀＀豀碵꼝쐕찀⌄䲑(啎幅彐剐䍉彅䍈彌剆⡑⼱㄰〯ⰴ㈱㌯⼱㐰䌬⥙!＀＀ ＀＀	＀＀_x0008_＀＀_x0001_＀＀_x0001_＀＀_x0001_＀＀휊炣訽䀻찀ꌘ䵁_x001C_啎幅彐剐䍉彅噁⡇〴㘲ⰸ〴㔳⤹!＀＀ ＀＀	＀＀_x0008_＀＀_x0001_＀＀_x0001_＀＀_x0001_＀＀䵁嬭ϫ䁆찀⌄䲑_x001B_啎幅䝆也呅䥟䍎兟㌨〸㜷Ⱜ兆착!＀＀ ＀＀	＀＀_x0008_＀＀_x0001_＀＀_x0001_＀＀_x0001_＀＀Წ摚伻䁜찀⌀䲑_x0013_啎幅䝆偟䥒䕃㌨ㄸ㜰착!＀＀ ＀＀	＀＀_x0008_＀＀_x0001_＀＀_x0001_＀＀_x0001_＀＀㌳㌳댳䀭찀⌄䲑_x0017_啎幅䍅彁䕍乁卟䱁卅ㄨ〬착!＀＀ ＀＀	＀＀_x0008_＀＀_x0001_＀＀_x0001_＀＀_x0001_＀＀绺뱪ᘄ䃏찀⌄䲑(啎幅彐剐䍉彅䍈彌剆⡑⼱㄰〯ⰵ㈱㌯⼱㔰䌬⥙!＀＀ ＀＀	＀＀_x0008_＀＀_x0001_＀＀_x0001_＀＀_x0001_＀＀슏⣵作䁁찀⌀䲑_x0013_啎幅䝆偟䥒䕃㌨㤸㤲착!＀＀ ＀＀	＀＀_x0008_＀＀_x0001_＀＀_x0001_＀＀_x0001_＀＀⣶轜闂䁊찀⌄䲑_x001B_啎幅䝆也呅䥟䍎兟㌨㘴㜰Ⱜ兆착!＀＀ ＀＀	＀＀_x0008_＀＀_x0001_＀＀_x0001_＀＀_x0001_＀＀豀碵꼝쐕찀⌄䲑_x0017_啎幅䝆䕟呎噟䱁䕕㌨㜹㈵착!＀＀ ＀＀	＀＀_x0008_＀＀_x0001_＀＀_x0001_＀＀_x0001_＀＀摚_xDF3B_拏䃊찀⌄䲑_x001B_啎幅䝆也呅䥟䍎兟㌨㔷㤲Ⱜ兆착!＀＀ ＀＀	＀＀_x0008_＀＀_x0001_＀＀_x0001_＀＀_x0001_＀＀ﷴ磔雩䁃찀⌄䲑_x001B_啎幅䝆也呅䥟䍎兟㌨㈴㈴Ⱜ兆착!＀＀ ＀＀	＀＀_x0008_＀＀_x0001_＀＀_x0001_＀＀_x0001_＀＀豀碵꼝쐕찀⌄䲑_x001B_啎幅䝆也呅䥟䍎兟㌨ㄷ㐶Ⱜ兆착!＀＀ ＀＀	＀＀_x0008_＀＀_x0001_＀＀_x0001_＀＀_x0001_＀＀ొ⬂皇䀴찀⌄䲑_x001B_啎幅䝆也呅䥟䍎兟㌨㠴〸Ⱜ兆착!＀＀ ＀＀	＀＀_x0008_＀＀_x0001_＀＀_x0001_＀＀_x0001_＀＀豀碵꼝쐕찀⌄䲑_x001B_啎幅䝆也呅䥟䍎兟㌨〴㤵Ⱜ兆착!＀＀ ＀＀	＀＀_x0008_＀＀_x0001_＀＀_x0001_＀＀_x0001_＀＀豀碵꼝쐕찀⌂䲑_x0017_啎幅䝆䕟呎噟䱁䕕㌨〷㈴착!＀＀ ＀＀	＀＀_x0008_＀＀_x0001_＀＀_x0001_＀＀_x0001_＀＀㙺㺫ꂇ䂰찀⌄䲑_x0017_啎幅䝆䕟呎噟䱁䕕㌨㔹㜰착!＀＀ ＀＀	＀＀_x0008_＀＀_x0001_＀＀_x0001_＀＀_x0001_＀＀䦺Ȍઓ䃓찀⌃䲑_x0017_啎幅䝆䕟呎噟䱁䕕㌨㜸㜱착!＀＀ ＀＀	＀＀_x0008_＀＀_x0001_＀＀_x0001_＀＀_x0001_＀＀磕⛩㕁䃃찀⌂䲑_x0017_啎幅䝆䕟呎噟䱁䕕㌨㠷㐶착!＀＀ ＀＀	＀＀_x0008_＀＀_x0001_＀＀_x0001_＀＀_x0001_＀＀_xDABA_ﶊᬅ䂳찀⌄䲑_x0017_啎幅䝆䕟呎噟䱁䕕㌨㈹㐹착!＀＀ ＀＀	＀＀_x0008_＀＀_x0001_＀＀_x0001_＀＀_x0001_＀＀鍵Иᄆ䃍찀⌄䲑_x001B_啎幅䝆也呅䥟䍎兟㌨ㄳ㘴Ⱜ兆착!＀＀ ＀＀	＀＀_x0008_＀＀_x0001_＀＀_x0001_＀＀_x0001_＀＀豀碵꼝쐕찀⌅䲑_x0019_啎幅彧牰捩彥潬彷㈵⡷ⰰ搬착!＀＀ ＀＀	＀＀_x0008_＀＀_x0001_＀＀_x0001_＀＀_x0001_＀＀ᑻ䞮_xDAE1_䁁찀⌀䲑6啎幅䍅彁䕍乁䕟䥂䑔彁䅃䅌㈨〰ⰷ㄰㌯⼱〲㄰ㄬ⼲ㄳ㈯㄰ⰰ⥍ѐ＀＀ ＀＀и＀＀π＀＀_x0001_＀＀x＀＀_x0001_＀＀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ꏗ㵰䪊䂠ꏗ㵰䪊䂠ꏗ㵰䪊䂠ᑻ䞮ꃡ䂞ᑻ䞮ꃡ䂞롒蔞䂘凬Ẹ⬅䂙蔟凫ම䂚ᑺꦮ䂟尨ԏ䂞尨ԏ䂞ᑻ䞮䂝尩슏舵䂠Й๖൭䂠盉龾齚䂠摚_xDF3B_塏䂢摚_xDF3B_塏䂢凬Ẹ砅䂢좴빶֟䂣Й๖똭䂤晧晦틦䂤⣶轜⁂䂧⣶轜⁂䂧긕햺䂦䂧䂧堑됹⌈䂨摚_xDF3B_폏䂨鮦⃄_xD9B0_䂨⛪࠱妬䂧뀡桲_xDD11_䂦蜫_xD916_䂦尩슏蟵䂦晧晦ꕦ䂦_xDB23_绹ꩪ䂦_xDB23_绹귪䂦䖢鑽䂦䖢鑽䂦䖢鑽䂦䖢鑽䂦糮㔿_xDDDE_䂦糮㔿_xDDDE_䂦糮㔿_xDDDE_䂦糮㔿_xDDDE_䂦鮦⃄཰䂧鮦⃄཰䂧鮦⃄཰䂧_xDD2F_ؤກ䂧_xDD2F_ؤກ䂧_xDD2F_ؤກ䂧挥䂧挥䂧挥䂧挥䂧挥䂧挥䂧挥䂧挥䂧挥䂧挥䂧挥䂧挥䂧挥䂧挥䂧挥䂧挥䂧挥䂧挥䂧挥䂧挥䂧挥䂧挥䂧＀＀＀＀＀＀＀＀＀＀＀＀＀＀＀＀＀＀＀＀＀＀＀＀＀＀＀＀＀＀＀＀＀＀＀＀＀＀＀＀＀＀＀＀＀＀＀＀＀＀＀＀＀＀＀＀＀＀＀＀＀＀＀＀＀＀＀＀＀＀＀＀＀＀＀＀＀＀＀＀＀＀＀＀＀＀＀＀＀＀＀＀＀＀＀＀＀＀＀＀＀＀＀＀＀＀＀＀＀＀＀＀＀＀＀＀＀＀＀＀⌀䲑_x0013_啎幅䝆偟䥒䕃㌨㐷㠶착!＀＀ ＀＀	＀＀_x0008_＀＀_x0001_＀＀_x0001_＀＀_x0001_＀＀휊炣䀫찀⌄䲑$啎幅彐剐䍉彅噁⡇⼱㄰〯ⰷ㈱㌯⼱㜰䌬⥙!＀＀ ＀＀	＀＀_x0008_＀＀_x0001_＀＀_x0001_＀＀_x0001_＀＀阩婛ﴍ䁍찀⌃䲑_x0017_啎幅䝆䕟呎噟䱁䕕㌨㈸ㄹ착!＀＀ ＀＀	＀＀_x0008_＀＀_x0001_＀＀_x0001_＀＀_x0001_＀＀痷鳠抁䂼찀⌀䲑_x0013_啎幅䝆偟䥒䕃㌨㔸㌰착!＀＀ ＀＀	＀＀_x0008_＀＀_x0001_＀＀_x0001_＀＀_x0001_＀＀ᑻ䞮竡䀺찀⌄䲑_x001B_啎幅䝆也呅䥟䍎兟㌨㈸〶Ⱜ兆착!＀＀ ＀＀	＀＀_x0008_＀＀_x0001_＀＀_x0001_＀＀_x0001_＀＀磕⛩䁹찀⌄䲑(啎幅彐剐䍉彅䍌彌剆⡑⼱㄰〯ⰴ㈱㌯⼱㐰䌬⥙!＀＀ ＀＀	＀＀_x0008_＀＀_x0001_＀＀_x0001_＀＀_x0001_＀＀凬Ẹꮅ䀪찀⌀䲑3啎幅䍅彁䕍乁䕟卐䍟䱁⡁〲㐰〬⼱ㄳ㈯〰ⰱ㈱㌯⼱〲㤰䴬착Ϥ＀＀ ＀＀ό＀＀͠＀＀_x0001_＀＀l＀＀_x0001_＀＀豀碵꼝쐕豀碵꼝쐕豀碵꼝쐕豀碵꼝쐕豀碵꼝쐕豀碵꼝쐕豀碵꼝쐕豀碵꼝쐕豀碵꼝쐕豀碵꼝쐕豀碵꼝쐕豀碵꼝쐕豀碵꼝쐕豀碵꼝쐕豀碵꼝쐕豀碵꼝쐕㲟퐬暚㿤䡀뀖㿥▰菤춞㿭㪧曤䆸㿲嚬ﰦ㽒㿲㽊㋖㿰㽊㋖㿰㽊㋖㿰콗弛㿵轠钉獦㿬亝졨㿪☑㩻蜍㿩⣪汢腼㿩☑㩻蜍㿩_xD8A4_罶ṡ㿤뺺܏ᄉ㿣뻬硣柬㿣䢿쭨ᒹ㿣렽欻_xDDB7_㿡裼稓㿡枱㿢渘甊⺢㿥Ⳝꉾ㿫鋢代㿷版࿹럩㿻Þ_xDF33_࿁䀀⤴_xDD05_뉞䀃_xDEF8_ꃟ᪽䀄䬚᭘ꝣ䀈辬뺇㖻䀋⓭鰢䀋뱻ຐ섏䀉긕ᑺ䀌긕ᑺ䀌긕ᑺ䀌긕ᑺ䀌긕ᑺ䀌긕ᑺ䀌긕ᑺ䀌긕ᑺ䀌긕ᑺ䀌긕ᑺ䀌긕ᑺ䀌긕ᑺ䀌긕ᑺ䀌긕ᑺ䀌긕ᑺ䀌긕ᑺ䀌긕ᑺ䀌긕ᑺ䀌긕ᑺ䀌긕ᑺ䀌긕ᑺ䀌긕ᑺ䀌긕ᑺ䀌긕ᑺ䀌긕ᑺ䀌긕ᑺ䀌긕ᑺ䀌긕ᑺ䀌긕ᑺ䀌긕ᑺ䀌긕ᑺ䀌긕ᑺ䀌긕ᑺ䀌긕ᑺ䀌긕ᑺ䀌긕ᑺ䀌긕ᑺ䀌긕ᑺ䀌긕ᑺ䀌긕ᑺ䀌긕ᑺ䀌긕ᑺ䀌긕ᑺ䀌긕ᑺ䀌긕ᑺ䀌긕ᑺ䀌긕ᑺ䀌긕ᑺ䀌긕ᑺ䀌긕ᑺ䀌긕ᑺ䀌긕ᑺ䀌긕ᑺ䀌긕ᑺ䀌긕ᑺ䀌긕ᑺ䀌긕ᑺ䀌긕ᑺ䀌긕ᑺ䀌긕ᑺ䀌＀＀＀＀＀＀＀＀＀＀＀＀＀＀＀＀＀＀＀＀＀＀＀＀＀＀＀＀＀＀＀＀＀＀＀＀＀＀＀＀＀＀＀＀＀＀＀＀＀＀＀＀＀＀＀＀＀＀＀＀＀＀＀＀＀＀＀＀＀＀＀＀＀＀＀＀＀＀＀＀＀＀＀＀＀＀＀＀＀＀＀＀＀＀＀＀＀＀＀＀＀＀＀＀＀＀＀＀⎉䲑$啎幅彐剐䍉彅噁⡇⼱㄰〯ⰸ㈱㌯⼱㠰䌬⥙!＀＀ ＀＀	＀＀_x0008_＀＀_x0001_＀＀_x0001_＀＀_x0001_＀＀쐉﫫包䁌찀⌂䲑_x0017_啎幅䝆䕟呎噟䱁䕕㌨〸㘴착!＀＀ ＀＀	＀＀_x0008_＀＀_x0001_＀＀_x0001_＀＀_x0001_＀＀摚_xDF3B_暟䂶찀⌂䲑_x0017_啎幅䝆䕟呎噟䱁䕕㌨㈷㘵착!＀＀ ＀＀	＀＀_x0008_＀＀_x0001_＀＀_x0001_＀＀_x0001_＀＀틲才ᢀ䂱찀⌄䲑(啎幅彐剐䍉彅䍌彌剆⡑⼱㄰〯ⰵ㈱㌯⼱㔰䌬⥙!＀＀ ＀＀	＀＀_x0008_＀＀_x0001_＀＀_x0001_＀＀_x0001_＀＀슏⣵콜䀶찀⌄䲑(啎幅彐剐䍉彅䍬彌剆⡑⼱㄰㤯ⰷ㈱㌯⼱㜹䌬⥙!＀＀ ＀＀	＀＀_x0008_＀＀_x0001_＀＀_x0001_＀＀_x0001_＀＀＀＀＀＀ꀀ䀦찀⌃䲑_x0017_啎幅䝆䕟呎噟䱁䕕㌨㠸㠶착!＀＀ ＀＀	＀＀_x0008_＀＀_x0001_＀＀_x0001_＀＀_x0001_＀＀Ẹꂁ䃎찀⌄䲑3啎幅䍅彁䕍乁䕟卐䍟䱁⡁〲㠰ㄬ⼰ㄳ㈯〰ⰷ㤰㌯⼱〲㠰䴬착＀＀ ＀＀l＀＀`＀＀_x0001_＀＀_x000C_＀＀_x0001_＀＀_xD8A5_㣑濔䀖螃_xDF69_翜䀖᱔帇蜭䀖쯄맓풢䀖_xDE8B_肩⹻䀗뗭샆䀘꽴望뒲䀚㓁Ἄ쌑䀚ꞹ㮫ꬖ䀛搆瞯䱿䀜搆瞯䱿䀜ᖏ㛼ࣄ䀞＀＀＀＀＀＀＀＀＀＀＀＀⌄䲑_x0017_啎幅䝆䕟呎噟䱁䕕㌨㤹㌰착!＀＀ ＀＀	＀＀_x0008_＀＀_x0001_＀＀_x0001_＀＀_x0001_＀＀率橾ﱬ䃉찀⌄䲑_x001B_啎幅䝆也呅䥟䍎兟㌨㔲㠰Ⱜ兆착!＀＀ ＀＀	＀＀_x0008_＀＀_x0001_＀＀_x0001_＀＀_x0001_＀＀豀碵꼝쐕찀⌄䲑(啎幅彐剐䍉彅䍬彌剆⡑⼱㄰㤯ⰸ㈱㌯⼱㠹䌬⥙!＀＀ ＀＀	＀＀_x0008_＀＀_x0001_＀＀_x0001_＀＀_x0001_＀＀＀＀＀＀䀡찀⌄䲑(啎幅彐剐䍉彅䍈彌剆⡑⼱㄰〯ⰶ㈱㌯⼱㘰䌬⥙!＀＀ ＀＀	＀＀_x0008_＀＀_x0001_＀＀_x0001_＀＀_x0001_＀＀⣶轜痂䁐찀⌀䲑_x0013_啎幅䝆偟䥒䕃㌨〷㈴착!＀＀ ＀＀	＀＀_x0008_＀＀_x0001_＀＀_x0001_＀＀_x0001_＀＀轜鰨䀩찀⌀䲑_x0013_啎幅䝆偟䥒䕃㌨㔹㜰착!＀＀ ＀＀	＀＀_x0008_＀＀_x0001_＀＀_x0001_＀＀_x0001_＀＀긔⑺䁐찀⌀䲑_x0013_啎幅䝆偟䥒䕃㌨㜸㜱착!＀＀ ＀＀	＀＀_x0008_＀＀_x0001_＀＀_x0001_＀＀_x0001_＀＀䞮竡긔䁀찀⌀䲑_x0013_啎幅䝆偟䥒䕃㌨㠷㐶착!＀＀ ＀＀	＀＀_x0008_＀＀_x0001_＀＀_x0001_＀＀_x0001_＀＀긔둺䀩찀⌀䲑_x0013_啎幅䝆偟䥒䕃㌨㈹㐹착!＀＀ ＀＀	＀＀_x0008_＀＀_x0001_＀＀_x0001_＀＀_x0001_＀＀馚香ᦙ䁉찀⌄䲑_x0016_啎幅䍅彁䕍乁䕟䥂⡔ⰱ⤰!＀＀ ＀＀	＀＀_x0008_＀＀_x0001_＀＀_x0001_＀＀_x0001_＀＀砄␋憨䂆찀⌂䲑_x0017_啎幅䝆䕟呎噟䱁䕕㌨㠷㈰착!＀＀ ＀＀	＀＀_x0008_＀＀_x0001_＀＀_x0001_＀＀_x0001_＀＀਽ꏗ勐䂲찀⌄䲑_x001B_啎幅䝆也呅䥟䍎兟㌨㜷ㄱⰬ兆착!＀＀ ＀＀	＀＀_x0008_＀＀_x0001_＀＀_x0001_＀＀_x0001_＀＀磕⛩젱䀱찀⌄䲑_x0016_啎幅䝆偟䥒䕃〨⴬䄱ⱙ⥄ࣽ＀＀ ＀＀ࣥ＀＀ߨ＀＀_x0001_＀＀ý＀＀_x0001_＀＀긔둺䁃긔呺䁄凬Ẹஅ䁄휊炣䁃炤਽ϗ䁄㵱휊낣䁃ꏗ㵰圊䁃Ẹ㡑䁃ᑻ䞮﫡䁂炤਽揗䁂긔呺䁂＀＀＀＀ꀀ䁂㵱휊ィ䁂ꏗ㵰圊䁂ꏗ㵰圊䁂竡긔䁂슏⣵⽜䁃롑䔞䁃凬Ẹꮅ䁃尩슏ꣵ䁃⣶轜㗂䁃凬Ẹஅ䁃ᑺ䞮䁃䞮竡⸔䁃馚香_xD999_䁃尨ʏ䁄蔟凫ﺸ䁃਽ꏗﵰ䁃晦晦♦䁄䞮竡䁃尨⊏䁄롒蔞釫䁃긔鑺䁃晦晦왦䁃晦晦䁃䞮竡ด䁄凬Ẹ䁃⣶轜헂䁃䞮竡踔䁃尩슏䁃馚香㦙䁃凬Ẹஅ䁃尨ꊏ䁃㌳㌳댳䁃ᑻ䞮髡䁃⣶轜嗂䁃䞮竡츔䁃䞮竡踔䁃尩슏裵䁃슏⣵꽜䁂尩슏ꣵ䁂竡긔䁂炤਽⏗䁃਽ꏗ㵰䁃롒蔞ᇫ䁄긔鑺䁄롑䔞䁄轜_xDC28_䁄휊炣訽䁄尨䁄蔟凫뺸䁄Ẹ_xD851_䁄⣶轜ᗂ䁅㌳㌳匳䁅ꏗ㵰㜊䁅㵱휊傣䁅ꏗ㵰㜊䁅凬Ẹ讅䁄馚香禙䁄슏⣵ཛྷ䁄ꏗ㵰眊䁄롑䔞䁅竡긔慇䁅ꏗ㵰뜊䁄晦晦虦䁅쳍쳌䁅馚香㦙䁅㌳㌳猳䁅＀＀＀＀ 䁅馚香禙䁅ᑻ䞮嫡䁅ᑺ䞮䁆竡긔䅇䁆炤਽쏗䁆롒蔞䁆휊炣⨽䁇尨抏䁇蔟凫ﺸ䁆尩슏䣵䁇㌳㌳猳䁆馚香妙䁆尨䁆긔鑺䁆ꏗ㵰䁆尩슏ꣵ䁆긔푺䁆竡긔腇䁆슏⣵作䁆竡긔䁆ᑺޮ䁇尨ꊏ䁆䞮竡踔䁆竡긔ꅇ䁆炤਽쏗䁆롒蔞퇫䁆㌳㌳匳䁇⣶轜헂䁇＀＀＀＀耀䁇㌳㌳錳䁇㌳㌳댳䁇蔟凫뺸䁇䞮竡츔䁇롒蔞퇫䁇炤਽쏗䁇馚香蓮䁆㵱휊낣䁆ᑺ잮䁆롑Ԟ䁇⣶轜헂䁆㵱휊炣䁆尩슏䁆휊炣⨽䁇긔呺䁆롒蔞㇫䁆蔟凫庸䁆䞮竡踔䁆尩슏ࣵ䁇슏⣵轜䁆炤਽ꏗ䁆竡긔腇䁆炤਽菗䁆ꏗ㵰眊䁆凬Ẹ殅䁆ᑺ䞮䁆竡긔셇䁅긔鑺䁅긔瑺䁅슏⣵⽜䁅㌳㌳댳䁄㵱휊䁄凬Ẹஅ䁅＀＀＀＀＀＀䁅긔푺䁅쳍쳌Ⳍ䁆슏⣵콜䁅Ẹ㡑䁅Ẹ塑䁅㵱휊那䁄㌳㌳錳䁄⣶轜䁃ᑻ䞮㫡䁄尩슏죵䁃ᑻ䞮㫡䁄＀＀＀＀쀀䁃Ẹ䁄⣶轜痂䁅轜ﰨ䁄晦晦晦䁄㌳㌳댳䁄凬Ẹ䮅䁅ᑺ잮䁅㵱휊Ⴃ䁆Ẹᡑ䁆Ẹ_xD851_䁆䞮竡踔䁇䞮竡ด䁈ꏗ㵰뜊䁇긔䁇ꏗ㵰㜊䁈긔㑺䁈롒蔞퇫䁈ꏗ㵰䁈਽ꏗ鵰䁈尩슏죵䁈슏⣵ཛྷ䁈롑䁇㌳㌳匳䁇ᑺ螮䁇ᑺޮ䁇馚香禙䁇쳍쳌賌䁇쳍쳌ೌ䁇凬Ẹꮅ䁆슏⣵作䁆휊炣䁅＀＀＀＀耀䁅䞮竡踔䁅尨芏䁅휊炣樽䁅＀＀＀＀ 䁅롑Ԟ䁅ᑺ螮䁅ᑺ➮䁅蔟凫纸䁅롒蔞釫䁅炤਽菗䁅ᑺޮ䁆롑ꔞ䁅긔㑺䁅ᑺ䁄휊炣訽䁅轜ﰨ䁄蔟凫_xDEB8_䁄㵱휊那䁄轜鰨䁄⣶轜䁄਽ꏗᵰ䁅竡긔Ň䁅휊炣樽䁄䞮竡且䁄ᑻ䞮뫡䁄＀＀＀＀怀䁄㵱휊낣䁄凬Ẹꮅ䁃炤਽䁃⣶轜嗂䁃롑蔞䁃尨芏䁃쳍쳌䁃＀＀＀＀ꀀ䁄馚香蓮䁃尨芏䁄炤਽ꏗ䁅⣶轜ᗂ䁆ꏗ㵰ᜊ䁆＀＀＀＀＀＀䁇긔푺䁆炤਽䁆਽ꏗ鵰䁆㵱휊Ⴃ䁇슏⣵䁆＀＀＀＀怀䁆尩슏棵䁆ᑺ螮䁆炤਽쏗䁆롑ꔞ䁆尨ꊏ䁆＀＀＀＀쀀䁆䞮竡⸔䁆馚香禙䁆竡긔腇䁇晦晦晦䁇롒蔞뇫䁇쳍쳌泌䁇휊炣䁇尨抏䁈轜_xDC28_䁈尨ꊏ䁈馚香_xD999_䁈凬Ẹ䁈䞮竡ด䁈롑䁇ᑺ枮䁇＀＀＀＀＀＀＀＀＀＀＀＀＀＀＀＀＀＀＀＀＀＀＀＀＀＀＀＀＀＀＀＀＀＀＀＀＀＀＀＀＀＀＀＀＀＀＀＀＀＀＀＀＀＀＀＀＀＀＀＀＀＀＀＀＀＀＀＀＀＀＀＀＀＀＀＀＀＀＀＀＀＀＀＀＀＀＀＀＀＀＀＀＀＀＀＀＀＀＀＀＀＀＀＀＀＀＀＀＀＀＀＀＀＀＀＀＀＀＀＀＀＀＀＀＀＀＀＀＀＀＀＀＀＀＀＀＀＀＀＀＀＀＀＀＀＀＀＀＀＀＀＀＀＀＀＀＀＀＀＀＀＀＀＀＀＀＀＀＀＀＀＀＀＀＀＀＀＀＀＀＀＀＀＀＀＀＀＀＀＀＀＀＀＀＀＀＀＀＀＀＀＀＀＀＀＀＀＀＀＀＀＀＀＀＀＀＀＀＀＀＀＀＀＀＀＀＀＀＀＀＀＀＀＀＀＀＀＀＀＀＀＀＀＀＀＀＀＀＀＀＀＀찀⌃䲑_x0017_啎幅䝆䕟呎噟䱁䕕㌨㐸㈴착!＀＀ ＀＀	＀＀_x0008_＀＀_x0001_＀＀_x0001_＀＀_x0001_＀＀_xDF3B_赏ꅗ䃂찀⌂䲑_x0017_啎幅䝆䕟呎噟䱁䕕㌨㘷㈵착!＀＀ ＀＀	＀＀_x0008_＀＀_x0001_＀＀_x0001_＀＀_x0001_＀＀酨糭⡿䂪찀⌃䲑_x0017_啎幅䝆䕟呎噟䱁䕕㌨〹㈸착!＀＀ ＀＀	＀＀_x0008_＀＀_x0001_＀＀_x0001_＀＀_x0001_＀＀Წ摚䃍찀⌀䲑_x0013_啎幅䝆偟䥒䕃㌨㈸ㄹ착!＀＀ ＀＀	＀＀_x0008_＀＀_x0001_＀＀_x0001_＀＀_x0001_＀＀਽ꏗᵰ䀵찀⌄䲑_x001B_啎幅䝆也呅䥟䍎兟㌨㘳㐹Ⱜ兆착!＀＀ ＀＀	＀＀_x0008_＀＀_x0001_＀＀_x0001_＀＀_x0001_＀＀豀碵꼝쐕찀⌂䲑_x0017_啎幅䝆䕟呎噟䱁䕕㌨㐷㜰착!＀＀ ＀＀	＀＀_x0008_＀＀_x0001_＀＀_x0001_＀＀_x0001_＀＀ᑺ⌮䂵찀⌀䲑_x0013_啎幅䝆偟䥒䕃㌨〸㘴착!＀＀ ＀＀	＀＀_x0008_＀＀_x0001_＀＀_x0001_＀＀_x0001_＀＀㌳㌳猳䀯찀⌀䲑_x0013_啎幅䝆偟䥒䕃㌨㈷㘵착!＀＀ ＀＀	＀＀_x0008_＀＀_x0001_＀＀_x0001_＀＀_x0001_＀＀ᑻ䞮竡䀪찀⌄䲑_x001B_啎幅䝆也呅䥟䍎兟㌨㈶〵Ⱜ兆착!＀＀ ＀＀	＀＀_x0008_＀＀_x0001_＀＀_x0001_＀＀_x0001_＀＀捖欉Ᵽ䀼찀⌀䲑3啎幅䍅彁䕍乁䕟卐䍟䱁⡁〲㔰〬⼱ㄳ㈯〰ⰱ㈱㌯⼱〲㤰䴬착Ϥ＀＀ ＀＀ό＀＀͠＀＀_x0001_＀＀l＀＀_x0001_＀＀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叅㒏궸㿟춊뗇抡㿖_xDE40_嚫ﰦ㿥_xDE40_嚫ﰦ㿥೜䏳㿨೜䏳㿨೜䏳㿨೜䏳㿨쩬_xDE15_ꋥ㿡쩬_xDE15_ꋥ㿡툋䖌_xD9D3_㿤㮕乽쮋㿦㳤໌㿫곟湷羐㿯᷒컄㨔㿵☰緽㿸栣Ⓦ엪㿻ᱨ埪䀀遱㨋䀁ᦟ䟄䀂_xDE50_퇇礜䀄ﵱ㺻㙳䀅␭瑠鍹䀅뗭郆䀇앭닾剻䀉뭛䋭_xDD73_䀎ါ⤽᪓䀎サ䚜䀎︉銷鬝䀎_xDEF0_捑ⱂ䀎篞Ꮈ䀎㪫֫䀍㍄깏䀎ᶼ듡无䀏㛢쀚䀏롑蔞䀐롑蔞䀐롑蔞䀐롑蔞䀐롑蔞䀐롑蔞䀐롑蔞䀐롑蔞䀐롑蔞䀐롑蔞䀐롑蔞䀐롑蔞䀐롑蔞䀐롑蔞䀐롑蔞䀐롑蔞䀐롑蔞䀐롑蔞䀐롑蔞䀐롑蔞䀐롑蔞䀐롑蔞䀐롑蔞䀐롑蔞䀐롑蔞䀐롑蔞䀐롑蔞䀐롑蔞䀐롑蔞䀐롑蔞䀐롑蔞䀐롑蔞䀐롑蔞䀐롑蔞䀐롑蔞䀐롑蔞䀐롑蔞䀐롑蔞䀐롑蔞䀐롑蔞䀐롑蔞䀐롑蔞䀐롑蔞䀐롑蔞䀐롑蔞䀐롑蔞䀐롑蔞䀐롑蔞䀐＀＀＀＀＀＀＀＀＀＀＀＀＀＀＀＀＀＀＀＀＀＀＀＀＀＀＀＀＀＀＀＀＀＀＀＀＀＀＀＀＀＀＀＀＀＀＀＀＀＀＀＀＀＀＀＀＀＀＀＀＀＀＀＀＀＀＀＀＀＀＀＀＀＀＀＀＀＀＀＀＀＀＀＀＀＀＀＀＀＀＀＀＀＀＀＀＀＀＀＀＀＀＀＀＀＀＀＀⎉䲑$啎幅彐剐䍉彅噁⡇⼱㄰〯ⰹ㈱㌯⼱㤰䌬⥙!＀＀ ＀＀	＀＀_x0008_＀＀_x0001_＀＀_x0001_＀＀_x0001_＀＀魼穇䁅찀⌄䲑_x001B_啎幅䝆也呅䥟䍎兟㌨ㄹ㈷Ⱜ兆착Ą＀＀ ＀＀ì＀＀_x0008_＀＀_x0001_＀＀_x0001_＀＀_x0001_＀＀㥘좴큶䁷摦畳㩰⼯楄敲瑣潩獮䘯捡却瑥䄠摵瑩湩⁧楖睥牥愿瑣潩㵮啁䥄彔䅖啌♅䉄ㄽ㤲䤦ㅄ㘽〷㐳ㄶ☰䅖啌䥅㵄㄰㔵☱䑓呁㵅〲㜰㄰倦剅佉呄偙㵅呑归呓♄楷摮睯瀽灯灵湟彯慢♲楷瑤㵨㠳☵敨杩瑨ㄽ〲匦䅔呒䵟塁䵉婉䑅䘽䱁䕓挦敲瑡牯昽捡獴瑥搦獩汰祡獟牴湩㵧畁楤t⌀䲑_x0013_啎幅䝆偟䥒䕃㌨㠸㠶착!＀＀ ＀＀	＀＀_x0008_＀＀_x0001_＀＀_x0001_＀＀_x0001_＀＀竡긔兇䁊찀⌄䲑_x0017_啎幅䝆䕟呎噟䱁䕕㌨㘹ㄹ착!＀＀ ＀＀	＀＀_x0008_＀＀_x0001_＀＀_x0001_＀＀_x0001_＀＀㽽帵椚䃒찀⌄䲑_x001B_啎幅䝆也呅䥟䍎兟㌨㜲ㄸⰬ兆착!＀＀ ＀＀	＀＀_x0008_＀＀_x0001_＀＀_x0001_＀＀_x0001_＀＀豀碵꼝쐕찀⌄䲑(啎幅彐剐䍉彅䍌彌剆⡑⼱㄰〯ⰶ㈱㌯⼱㘰䌬⥙!＀＀ ＀＀	＀＀_x0008_＀＀_x0001_＀＀_x0001_＀＀_x0001_＀＀쳍쳌᳌䁁찀⌄䲑_x001B_啎幅䝆也呅䥟䍎兟㌨㔲㠹Ⱜ兆착!＀＀ ＀＀	＀＀_x0008_＀＀_x0001_＀＀_x0001_＀＀_x0001_＀＀豀碵꼝쐕찀⌃䲑_x0017_啎幅䝆䕟呎噟䱁䕕㌨㘸㘵착!＀＀ ＀＀	＀＀_x0008_＀＀_x0001_＀＀_x0001_＀＀_x0001_＀＀ⓝ脆䷥䃂찀⌄䲑(啎幅彐剐䍉彅䍈彌剆⡑⼱㄰〯ⰷ㈱㌯⼱㜰䌬⥙!＀＀ ＀＀	＀＀_x0008_＀＀_x0001_＀＀_x0001_＀＀_x0001_＀＀＀＀＀＀倀䁑찀⌃䲑_x0017_啎幅䝆䕟呎噟䱁䕕㌨㈹㌳착!＀＀ ＀＀	＀＀_x0008_＀＀_x0001_＀＀_x0001_＀＀_x0001_＀＀䞮竡䃒찀⌂䲑_x0017_啎幅䝆䕟呎噟䱁䕕㌨㤶〵착!＀＀ ＀＀	＀＀_x0008_＀＀_x0001_＀＀_x0001_＀＀_x0001_＀＀肝숦돦䂭찀⌂䲑_x0017_啎幅䝆䕟呎噟䱁䕕㌨㔷〹착!＀＀ ＀＀	＀＀_x0008_＀＀_x0001_＀＀_x0001_＀＀_x0001_＀＀쟣뮘ꨖ䂯찀⌀䲑_x0013_啎幅䝆偟䥒䕃㌨㠷㈰착!＀＀ ＀＀	＀＀_x0008_＀＀_x0001_＀＀_x0001_＀＀_x0001_＀＀쳍쳌泌䀨찀⌀䲑_x0013_啎幅䝆偟䥒䕃㌨㐸㈴착!＀＀ ＀＀	＀＀_x0008_＀＀_x0001_＀＀_x0001_＀＀_x0001_＀＀ᑺ잮䀼찀⌀䲑_x0013_啎幅䝆偟䥒䕃㌨㘷㈵착!＀＀ ＀＀	＀＀_x0008_＀＀_x0001_＀＀_x0001_＀＀_x0001_＀＀긔䀣찀⌀䲑_x0013_啎幅䝆偟䥒䕃㌨〹㈸착!＀＀ ＀＀	＀＀_x0008_＀＀_x0001_＀＀_x0001_＀＀_x0001_＀＀긔呺䁋찀⌀䲑6啎幅䍅彁䕍乁䕟䥂䑔彁䅃䅌㈨〰ⰸ㄰㌯⼱〲㄰ㄬ⼲ㄳ㈯㄰ⰰ⥍ѐ＀＀ ＀＀и＀＀π＀＀_x0001_＀＀x＀＀_x0001_＀＀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蠳䂙㌳㌳蠳䂙㌳㌳蠳䂙쳍쳌ꇌ䂛쳍쳌ꇌ䂛쳍쳌ꇌ䂛쳍쳌ꇌ䂛쳍쳌ꇌ䂛쳍쳌ꇌ䂛롑壞䂩롑壞䂩㵱휊臣䂩ၢ㥘華䂦ၢ㥘華䂦摚_xDF3B_瀏䂧_xDD2F_ؤ뭁䂧ꏗ㵰ﶊ䂧㽼᩵䂧ၢ㥘整䂨롑輞䂨竡긔돇䂨桳ꅼ䂨蜫_xD916_뷎䂨ᑻ䞮ꑡ䂨磕⛩娱䂩_xD917_䂩ㄧ갈뼜䂫尨䛏䂮尩슏답䂮恂탥ᥢ䂰롒蔞颫䂰璽ᢓ髤䂰ᑺ坎䂱閁譃얬䂰娝㭤폿䂰욨㝋שּ䂬晧晦ᜦ䂭ㄦ㿈䂭틲才䂭_xDF3C_赏锗䂭_xDF3C_赏锗䂭_xDF3C_赏锗䂭_xDF3C_赏锗䂭_xDF3C_赏锗䂭_xDF3C_赏锗䂭_xDF3C_赏锗䂭_xDF3C_赏锗䂭_xDF3C_赏锗䂭_xDF3C_赏锗䂭_xDF3C_赏锗䂭_xDF3C_赏锗䂭_xDF3C_赏锗䂭_xDF3C_赏锗䂭_xDF3C_赏锗䂭_xDF3C_赏锗䂭_xDF3C_赏锗䂭_xDF3C_赏锗䂭_xDF3C_赏锗䂭_xDF3C_赏锗䂭_xDF3C_赏锗䂭＀＀＀＀＀＀＀＀＀＀＀＀＀＀＀＀＀＀＀＀＀＀＀＀＀＀＀＀＀＀＀＀＀＀＀＀＀＀＀＀＀＀＀＀＀＀＀＀＀＀＀＀＀＀＀＀＀＀＀＀＀＀＀＀＀＀＀＀＀＀＀＀＀＀＀＀＀＀＀＀＀＀＀＀＀＀＀＀＀＀＀＀＀＀＀＀＀＀＀＀＀＀＀＀＀＀＀＀＀＀＀＀＀＀＀＀＀＀＀＀⌂䲑_x0017_啎幅䝆䕟呎噟䱁䕕㌨ㄷ㔹착!＀＀ ＀＀	＀＀_x0008_＀＀_x0001_＀＀_x0001_＀＀_x0001_＀＀晦晦ꂦ䂫찀⌀䲑_x0013_啎幅䝆偟䥒䕃㌨㐷㜰착!＀＀ ＀＀	＀＀_x0008_＀＀_x0001_＀＀_x0001_＀＀_x0001_＀＀ᑻ䞮ꫡ䀰찀⌃䲑_x0017_啎幅䝆䕟呎噟䱁䕕㌨㈸〳착!＀＀ ＀＀	＀＀_x0008_＀＀_x0001_＀＀_x0001_＀＀_x0001_＀＀磕⛩숱䂺찀⌀䲑_x0013_啎幅䝆偟䥒䕃㌨㘹ㄹ착!＀＀ ＀＀	＀＀_x0008_＀＀_x0001_＀＀_x0001_＀＀_x0001_＀＀＀＀＀＀䀀䁊찀⌄䲑3啎幅䍅彁䕍乁䕟卐䍟䱁⡁〲㤰ㄬ⼰ㄳ㈯〰ⰷ㤰㌯⼱〲㠰䴬착＀＀ ＀＀l＀＀`＀＀_x0001_＀＀_x000C_＀＀_x0001_＀＀圄ɹݡ䀘圄ɹݡ䀘쉦䀗卩轵Ṭ䀘᝺쟯䟭䀘㓛ힶ庂䀙憌偎䀛뗠ୋ䀜ꕃ茑䀝郖잸쟒䀝郖잸쟒䀝進靧赯䀝＀＀＀＀＀＀＀＀＀＀＀＀⌃䲑_x0017_啎幅䝆䕟呎噟䱁䕕㌨㠸㜰착!＀＀ ＀＀	＀＀_x0008_＀＀_x0001_＀＀_x0001_＀＀_x0001_＀＀犰酨笝䃎찀⌄䲑_x0017_啎幅䝆䕟呎噟䱁䕕㌨㐹㜴착!＀＀ ＀＀	＀＀_x0008_＀＀_x0001_＀＀_x0001_＀＀_x0001_＀＀ꏗ㵰襢䃑찀⌄䲑_x001B_啎幅䝆也呅䥟䍎兟㌨㘳㌰Ⱜ兆착!＀＀ ＀＀	＀＀_x0008_＀＀_x0001_＀＀_x0001_＀＀_x0001_＀＀豀碵꼝쐕찀⌄䲑(啎幅彐剐䍉彅䍌彌剆⡑⼱㄰〯ⰷ㈱㌯⼱㜰䌬⥙!＀＀ ＀＀	＀＀_x0008_＀＀_x0001_＀＀_x0001_＀＀_x0001_＀＀䞮竡䁆찀⌄䲑_x001B_啎幅䝆也呅䥟䍎兟㌨㔶㔲Ⱜ兆착!＀＀ ＀＀	＀＀_x0008_＀＀_x0001_＀＀_x0001_＀＀_x0001_＀＀入䗘曑䁘찀⌄䲑_x001B_啎幅䝆也呅䥟䍎兟㌨㐹㜴Ⱜ兆착Ą＀＀ ＀＀ì＀＀_x0008_＀＀_x0001_＀＀_x0001_＀＀_x0001_＀＀욨㝋춉䁶摦畳㩰⼯楄敲瑣潩獮䘯捡却瑥䄠摵瑩湩⁧楖睥牥愿瑣潩㵮啁䥄彔䅖啌♅䉄ㄽ㤲䤦ㅄ㘽〷㐳ㄶ☰䅖啌䥅㵄㄰㔵☱䑓呁㵅〲㜰㐰倦剅佉呄偙㵅呑归呓♄楷摮睯瀽灯灵湟彯慢♲楷瑤㵨㠳☵敨杩瑨ㄽ〲匦䅔呒䵟塁䵉婉䑅䘽䱁䕓挦敲瑡牯昽捡獴瑥搦獩汰祡獟牴湩㵧畁楤t⌀䲑_x0013_啎幅䝆偟䥒䕃㌨㘸㘵착!＀＀ ＀＀	＀＀_x0008_＀＀_x0001_＀＀_x0001_＀＀_x0001_＀＀쳍쳌䀽찀⎉䲑(啎幅彐剐䍉彅䍈彌剆⡑⼱㄰〯ⰸ㈱㌯⼱㠰䌬⥙!＀＀ ＀＀	＀＀_x0008_＀＀_x0001_＀＀_x0001_＀＀_x0001_＀＀긕葺䁔찀⌃䲑_x0017_啎幅䝆䕟呎噟䱁䕕㌨ㄸ㤹착!＀＀ ＀＀	＀＀_x0008_＀＀_x0001_＀＀_x0001_＀＀_x0001_＀＀⑴_xFFFF_ﾗ欐䂼찀⌂䲑_x0017_啎幅䝆䕟呎噟䱁䕕㌨㜷ㄴ착!＀＀ ＀＀	＀＀_x0008_＀＀_x0001_＀＀_x0001_＀＀_x0001_＀＀臘䙳䂯찀⌄䲑_x001B_啎幅䝆也呅䥟䍎兟㌨ㄲ㈴Ⱜ兆착!＀＀ ＀＀	＀＀_x0008_＀＀_x0001_＀＀_x0001_＀＀_x0001_＀＀豀碵꼝쐕찀⌀䲑_x0013_啎幅䝆偟䥒䕃㌨㈹㌳착!＀＀ ＀＀	＀＀_x0008_＀＀_x0001_＀＀_x0001_＀＀_x0001_＀＀尨䁐찀⎉䲑(啎幅彐剐䍉彅䍈彌剆⡑⼱㄰〯ⰹ㈱㌯⼱㤰䌬⥙!＀＀ ＀＀	＀＀_x0008_＀＀_x0001_＀＀_x0001_＀＀_x0001_＀＀凬Ẹ䁈찀⌄䲑_x001B_啎幅䝆也呅䥟䍎兟㌨〵㐶Ⱜ兆착!＀＀ ＀＀	＀＀_x0008_＀＀_x0001_＀＀_x0001_＀＀_x0001_＀＀豀碵꼝쐕찀⌀䲑_x0013_啎幅䝆偟䥒䕃㌨㤶〵착!＀＀ ＀＀	＀＀_x0008_＀＀_x0001_＀＀_x0001_＀＀_x0001_＀＀馚香ᦙ䀦찀⌄䲑_x0015_啎幅䝆䑟呁⡅ⰰㄭ奁䐬착ଷ＀＀ ＀＀ଟ＀＀ਢ＀＀_x0001_＀＀ý＀＀_x0008_＀＀⼹㐱㈯㄰0⼹㌱㈯㄰0⼹〱㈯㄰0⼹㤰㈯㄰0⼹㠰㈯㄰0⼹㜰㈯㄰0⼹㌰㈯㄰0⼹㈰㈯㄰0⼹㄰㈯㄰0⼸ㄳ㈯㄰0⼸〳㈯㄰0⼸㜲㈯㄰0⼸㘲㈯㄰0⼸㔲㈯㄰0⼸㐲㈯㄰0⼸㌲㈯㄰0⼸〲㈯㄰0⼸㤱㈯㄰0⼸㠱㈯㄰0⼸㜱㈯㄰0⼸㘱㈯㄰0⼸㌱㈯㄰0⼸㈱㈯㄰0⼸ㄱ㈯㄰0⼸〱㈯㄰0⼸㤰㈯㄰0⼸㘰㈯㄰0⼸㔰㈯㄰0⼸㐰㈯㄰0⼸㌰㈯㄰0⼸㈰㈯㄰0⼷〳㈯㄰0⼷㤲㈯㄰0⼷㠲㈯㄰0⼷㜲㈯㄰0⼷㘲㈯㄰0⼷㌲㈯㄰0⼷㈲㈯㄰0⼷ㄲ㈯㄰0⼷〲㈯㄰0⼷㤱㈯㄰0⼷㘱㈯㄰0⼷㔱㈯㄰0⼷㐱㈯㄰0⼷㌱㈯㄰0⼷㈱㈯㄰0⼷㤰㈯㄰0⼷㠰㈯㄰0⼷㜰㈯㄰0⼷㘰㈯㄰0⼷㈰㈯㄰0⼷㄰㈯㄰0⼶〳㈯㄰0⼶㤲㈯㄰0⼶㠲㈯㄰0⼶㔲㈯㄰0⼶㐲㈯㄰0⼶㌲㈯㄰0⼶㈲㈯㄰0⼶ㄲ㈯㄰0⼶㠱㈯㄰0⼶㜱㈯㄰0⼶㘱㈯㄰0⼶㔱㈯㄰0⼶㐱㈯㄰0⼶ㄱ㈯㄰0⼶〱㈯㄰0⼶㤰㈯㄰0⼶㠰㈯㄰0⼶㜰㈯㄰0⼶㐰㈯㄰0⼶㌰㈯㄰0⼶㈰㈯㄰0⼶㄰㈯㄰0⼵㠲㈯㄰0⼵㜲㈯㄰0⼵㘲㈯㄰0⼵㔲㈯㄰0⼵㐲㈯㄰0⼵ㄲ㈯㄰0⼵〲㈯㄰0⼵㤱㈯㄰0⼵㠱㈯㄰0⼵㜱㈯㄰0⼵㐱㈯㄰0⼵㌱㈯㄰0⼵㈱㈯㄰0⼵ㄱ㈯㄰0⼵〱㈯㄰0⼵㜰㈯㄰0⼵㘰㈯㄰0⼵㔰㈯㄰0⼵㐰㈯㄰0⼵㌰㈯㄰0⼴〳㈯㄰0⼴㤲㈯㄰0⼴㠲㈯㄰0⼴㜲㈯㄰0⼴㘲㈯㄰0⼴㌲㈯㄰0⼴㈲㈯㄰0⼴ㄲ㈯㄰0⼴〲㈯㄰0⼴㤱㈯㄰0⼴㘱㈯㄰0⼴㔱㈯㄰0⼴㐱㈯㄰0⼴㌱㈯㄰0⼴㈱㈯㄰0⼴㤰㈯㄰0⼴㠰㈯㄰0⼴㜰㈯㄰0⼴㘰㈯㄰0⼴㔰㈯㄰0⼴㄰㈯㄰0⼳ㄳ㈯㄰0⼳〳㈯㄰0⼳㤲㈯㄰0⼳㘲㈯㄰0⼳㔲㈯㄰0⼳㐲㈯㄰0⼳㌲㈯㄰0⼳㈲㈯㄰0⼳㤱㈯㄰0⼳㠱㈯㄰0⼳㜱㈯㄰0⼳㘱㈯㄰0⼳㔱㈯㄰0⼳㈱㈯㄰0⼳ㄱ㈯㄰0⼳〱㈯㄰0⼳㤰㈯㄰0⼳㠰㈯㄰0⼳㔰㈯㄰0⼳㐰㈯㄰0⼳㌰㈯㄰0⼳㈰㈯㄰0⼳㄰㈯㄰0⼲㘲㈯㄰0⼲㔲㈯㄰0⼲㐲㈯㄰0⼲㌲㈯㄰0⼲㈲㈯㄰0⼲㤱㈯㄰0⼲㠱㈯㄰0⼲㜱㈯㄰0⼲㘱㈯㄰0⼲㈱㈯㄰0⼲ㄱ㈯㄰0⼲〱㈯㄰0⼲㤰㈯㄰0⼲㠰㈯㄰0⼲㔰㈯㄰0⼲㐰㈯㄰0⼲㌰㈯㄰0⼲㈰㈯㄰0⼲㄰㈯㄰0⼱㤲㈯㄰0⼱㠲㈯㄰0⼱㜲㈯㄰0⼱㘲㈯㄰0⼱㔲㈯㄰0⼱㈲㈯㄰0⼱ㄲ㈯㄰0⼱〲㈯㄰0⼱㤱㈯㄰0⼱㔱㈯㄰0⼱㐱㈯㄰0⼱㌱㈯㄰0⼱㈱㈯㄰0⼱ㄱ㈯㄰0⼱㠰㈯㄰0⼱㜰㈯㄰0⼱㘰㈯㄰0⼱㔰㈯㄰0⼱㐰㈯㄰0㈱㌯⼱〲㤰㄀⼲〳㈯〰9㈱㈯⼹〲㤰㄀⼲㠲㈯〰9㈱㈯⼴〲㤰㄀⼲㌲㈯〰9㈱㈯⼲〲㤰㄀⼲ㄲ㈯〰9㈱ㄯ⼸〲㤰㄀⼲㜱㈯〰9㈱ㄯ⼶〲㤰㄀⼲㔱㈯〰9㈱ㄯ⼴〲㤰㄀⼲ㄱ㈯〰9㈱ㄯ⼰〲㤰㄀⼲㤰㈯〰9㈱〯⼸〲㤰㄀⼲㜰㈯〰9㈱〯⼴〲㤰㄀⼲㌰㈯〰9㈱〯⼲〲㤰㄀⼲㄰㈯〰9ㄱ㌯⼰〲㤰㄀⼱㜲㈯〰9ㄱ㈯⼵〲㤰㄀⼱㐲㈯〰9ㄱ㈯⼳〲㤰㄀⼱〲㈯〰9ㄱㄯ⼹〲㤰㄀⼱㠱㈯〰9ㄱㄯ⼷〲㤰㄀⼱㘱㈯〰9ㄱㄯ⼳〲㤰㄀⼱㈱㈯〰9ㄱㄯ⼱〲㤰㄀⼱〱㈯〰9ㄱ〯⼹〲㤰㄀⼱㘰㈯〰9ㄱ〯⼵〲㤰㄀⼱㐰㈯〰9ㄱ〯⼳〲㤰㄀⼱㈰㈯〰9〱㌯⼰〲㤰㄀⼰㤲㈯〰9〱㈯⼸〲㤰㄀⼰㜲㈯〰9〱㈯⼶〲㤰㄀⼰㌲㈯〰9〱㈯⼲〲㤰㄀⼰ㄲ㈯〰9〱㈯⼰〲㤰㄀⼰㤱㈯〰9〱ㄯ⼶〲㤰㄀⼰㔱㈯〰9〱ㄯ⼴〲㤰㄀⼰㌱㈯〰9〱ㄯ⼲〲㤰㄀⼰㤰㈯〰9〱〯⼸〲㤰㄀⼰㜰㈯〰9〱〯⼶〲㤰㄀⼰㔰㈯〰9〱〯⼲〲㤰㄀⼰㄰㈯〰9⼹〳㈯〰9⼹㤲㈯〰9⼹㠲㈯〰9⼹㔲㈯〰9⼹㐲㈯〰9⼹㌲㈯〰9⼹㈲㈯〰9⼹ㄲ㈯〰9⼹㠱㈯〰9⼹㜱㈯〰9⼹㘱㈯〰9⼹㔱㈯〰9⼹㐱㈯〰9＀＀＀＀＀＀＀＀＀＀＀＀＀＀＀＀＀＀＀＀＀＀＀＀＀＀＀＀＀＀＀＀＀＀＀＀＀＀＀＀＀＀＀＀＀＀＀＀＀＀＀＀＀＀＀＀＀＀＀＀＀＀＀＀＀＀＀＀＀＀＀＀＀＀＀＀＀＀＀＀＀＀＀＀＀＀＀＀＀＀＀＀＀＀＀＀＀＀＀＀＀＀＀＀＀＀＀＀＀＀＀＀＀＀＀＀＀＀＀＀＀＀＀＀＀＀＀＀＀＀＀＀＀＀＀＀＀＀＀＀＀＀＀＀＀＀＀＀＀＀＀＀＀＀＀＀＀＀＀＀＀＀＀＀＀＀＀＀＀＀＀＀＀＀＀＀＀＀＀＀＀＀＀＀＀＀＀＀＀＀＀＀＀＀＀＀＀＀＀＀＀＀＀＀＀＀＀＀＀＀＀＀＀＀＀＀＀＀＀＀＀＀＀＀＀＀＀＀＀＀＀＀＀＀＀＀＀＀＀＀＀＀＀＀＀＀＀＀＀＀＀＀찀⌀䲑6啎幅䍅彁䕍乁䕟䥂䑔彁䅃䅌㈨〰ⰱ㄰㌯⼱〲㄰ㄬ⼲ㄳ㈯㄰ⰰ⥍ѐ＀＀ ＀＀и＀＀π＀＀_x0001_＀＀x＀＀_x0001_＀＀豀碵꼝쐕豀碵꼝쐕豀碵꼝쐕쳍쳌壌䂂쳍쳌壌䂂쳍쳌壌䂂쳍쳌壌䂂쳍쳌壌䂂쳍쳌壌䂂豀碵꼝쐕豀碵꼝쐕豀碵꼝쐕豀碵꼝쐕豀碵꼝쐕豀碵꼝쐕豀碵꼝쐕娝㭤䂁娝㭤䂁娝㭤䂁틲才숐䂂틲才숐䂂틲才숐䂂틲才숐䂂틲才숐䂂틲才숐䂂틲才숐䂂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㝌䆉腠䂁＀＀＀＀＀＀＀＀＀＀＀＀＀＀＀＀＀＀＀＀＀＀＀＀＀＀＀＀＀＀＀＀＀＀＀＀＀＀＀＀＀＀＀＀＀＀＀＀＀＀＀＀＀＀＀＀＀＀＀＀＀＀＀＀＀＀＀＀＀＀＀＀＀＀＀＀＀＀＀＀＀＀＀＀＀＀＀＀＀＀＀＀＀＀＀＀＀＀＀＀＀＀＀＀＀＀＀＀＀＀＀＀＀＀＀＀＀＀＀＀⌀䲑_x0013_啎幅䝆偟䥒䕃㌨㔷〹착!＀＀ ＀＀	＀＀_x0008_＀＀_x0001_＀＀_x0001_＀＀_x0001_＀＀蔟凫Ẹ䀩찀⌂䲑_x0017_啎幅䝆䕟呎噟䱁䕕㌨㌷㘴착!＀＀ ＀＀	＀＀_x0008_＀＀_x0001_＀＀_x0001_＀＀_x0001_＀＀ᑻ䞮껁䂴찀⌃䲑_x0017_啎幅䝆䕟呎噟䱁䕕㌨〹ㄲ착!＀＀ ＀＀	＀＀_x0008_＀＀_x0001_＀＀_x0001_＀＀_x0001_＀＀酨糭㩗䃐찀⌄䲑_x001B_啎幅䝆也呅䥟䍎兟㌨㘷ㄲⰬ兆착!＀＀ ＀＀	＀＀_x0008_＀＀_x0001_＀＀_x0001_＀＀_x0001_＀＀帵䦺爌䁅찀⌀䲑_x0013_啎幅䝆偟䥒䕃㌨ㄷ㔹착!＀＀ ＀＀	＀＀_x0008_＀＀_x0001_＀＀_x0001_＀＀_x0001_＀＀晦晦Ꙧ䀤찀⌀䲑_x0013_啎幅䝆偟䥒䕃㌨㈸〳착!＀＀ ＀＀	＀＀_x0008_＀＀_x0001_＀＀_x0001_＀＀_x0001_＀＀尨銏䀳찀⌃䲑_x0017_啎幅䝆䕟呎噟䱁䕕㌨㤸〹착!＀＀ ＀＀	＀＀_x0008_＀＀_x0001_＀＀_x0001_＀＀_x0001_＀＀롑ㄾ䃋찀⌄䲑_x001B_啎幅䝆也呅䥟䍎兟㌨㤳㤶Ⱜ兆착!＀＀ ＀＀	＀＀_x0008_＀＀_x0001_＀＀_x0001_＀＀_x0001_＀＀豀碵꼝쐕찀⌀䲑3啎幅䍅彁䕍乁䕟卐䍟䱁⡁〲㘰〬⼱ㄳ㈯〰ⰱ㈱㌯⼱〲㤰䴬착Ϥ＀＀ ＀＀ό＀＀͠＀＀_x0001_＀＀l＀＀_x0001_＀＀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ﮓ訝ﴂ㿥ᑐᏨ㿴ᑐᏨ㿴_xDF11_妉옯㿶_xDABA_ﶊ㿼_xDABA_ﶊ㿼楺䂊㿾㛼磄்䀁轋窦ἲ䀁뗃쏚衞䀁㽊䀀鰟ᵏ㒫䀂噬깽䀅㍥ꒇ䨖䀆萤ᭇ䀇ꈸ홻稵䀆鄐皚റ䀆잎同ῆ䀆ꁻ᠕媲䀆怽㈞䏥䀇⾔Ⅸ茁䀇_xFFFF_ﾰ㜺䙭䀈≂䀌╒_xDECA_蹒䀍⎖⁤_xDECF_䀐嚣뺘胗䀒ꡥꦊᏴ䀓砠筼胗䀓ᾫﱇ䀔⋲ᑫ䀕鉗휼ꇷ䀕퇈夜䀖퇈夜䀖璅䀕Ẹ롑䀖Ẹ롑䀖Ẹ롑䀖Ẹ롑䀖Ẹ롑䀖Ẹ롑䀖Ẹ롑䀖Ẹ롑䀖Ẹ롑䀖Ẹ롑䀖Ẹ롑䀖Ẹ롑䀖Ẹ롑䀖Ẹ롑䀖Ẹ롑䀖Ẹ롑䀖Ẹ롑䀖Ẹ롑䀖Ẹ롑䀖Ẹ롑䀖Ẹ롑䀖Ẹ롑䀖Ẹ롑䀖Ẹ롑䀖Ẹ롑䀖Ẹ롑䀖Ẹ롑䀖Ẹ롑䀖Ẹ롑䀖Ẹ롑䀖Ẹ롑䀖Ẹ롑䀖Ẹ롑䀖Ẹ롑䀖Ẹ롑䀖Ẹ롑䀖＀＀＀＀＀＀＀＀＀＀＀＀＀＀＀＀＀＀＀＀＀＀＀＀＀＀＀＀＀＀＀＀＀＀＀＀＀＀＀＀＀＀＀＀＀＀＀＀＀＀＀＀＀＀＀＀＀＀＀＀＀＀＀＀＀＀＀＀＀＀＀＀＀＀＀＀＀＀＀＀＀＀＀＀＀＀＀＀＀＀＀＀＀＀＀＀＀＀＀＀＀＀＀＀＀＀＀＀⌂䲑_x0017_啎幅䝆䕟呎噟䱁䕕㌨㤷㔵착!＀＀ ＀＀	＀＀_x0008_＀＀_x0001_＀＀_x0001_＀＀_x0001_＀＀冃鵉襀䂴찀⌃䲑_x0017_啎幅䝆䕟呎噟䱁䕕㌨㔸㔹착!＀＀ ＀＀	＀＀_x0008_＀＀_x0001_＀＀_x0001_＀＀_x0001_＀＀ꧻᖡ䃁찀⌀䲑_x0013_啎幅䝆偟䥒䕃㌨㠸㜰착!＀＀ ＀＀	＀＀_x0008_＀＀_x0001_＀＀_x0001_＀＀_x0001_＀＀尨㊏䁊찀⌄䲑_x001B_啎幅䝆也呅䥟䍎兟㌨ㄶ〶Ⱜ兆착!＀＀ ＀＀	＀＀_x0008_＀＀_x0001_＀＀_x0001_＀＀_x0001_＀＀䮲潔鰍䁎찀⌀䲑_x0013_啎幅䝆偟䥒䕃㌨㐹㜴착!＀＀ ＀＀	＀＀_x0008_＀＀_x0001_＀＀_x0001_＀＀_x0001_＀＀轜鰨䁍찀⌅䲑_x0016_啎幅䝆䵟呋噟䱁䕕〨Ⱜ⥄!＀＀ ＀＀	＀＀_x0008_＀＀_x0001_＀＀_x0001_＀＀_x0001_＀＀ⴎ鶲䨟䃈찀⌄䲑_x001B_啎幅䝆也呅䥟䍎兟㌨〹㈸Ⱜ兆착!＀＀ ＀＀	＀＀_x0008_＀＀_x0001_＀＀_x0001_＀＀_x0001_＀＀脆䎕芋䁹찀⎉䲑(啎幅彐剐䍉彅䍌彌剆⡑⼱㄰〯ⰸ㈱㌯⼱㠰䌬⥙!＀＀ ＀＀	＀＀_x0008_＀＀_x0001_＀＀_x0001_＀＀_x0001_＀＀롑蔞䀹찀⌄䲑_x001B_啎幅䝆也呅䥟䍎兟㌨㔴㔱Ⱜ兆착!＀＀ ＀＀	＀＀_x0008_＀＀_x0001_＀＀_x0001_＀＀_x0001_＀＀豀碵꼝쐕찀⌄䲑_x001B_啎幅䝆也呅䥟䍎兟㌨㐷㜳Ⱜ兆착!＀＀ ＀＀	＀＀_x0008_＀＀_x0001_＀＀_x0001_＀＀_x0001_＀＀됹盈_xDFBE_䁍찀⼪乌_x0016_啎幅䝆䵟䅅彎偅当奆⠳⤰!＀＀ ＀＀	＀＀_x0008_＀＀_x0001_＀＀_x0001_＀＀_x0001_＀＀⭶ƕ䚱䀑찀⌃䲑_x0017_啎幅䝆䕟呎噟䱁䕕㌨ㄹ㈷착!＀＀ ＀＀	＀＀_x0008_＀＀_x0001_＀＀_x0001_＀＀_x0001_＀＀ⓝ脆ⶥ䃒찀⌀䲑_x0013_啎幅䝆偟䥒䕃㌨ㄸ㤹착!＀＀ ＀＀	＀＀_x0008_＀＀_x0001_＀＀_x0001_＀＀_x0001_＀＀馚香䀴찀⎉䲑(啎幅彐剐䍉彅䍌彌剆⡑⼱㄰〯ⰹ㈱㌯⼱㤰䌬⥙!＀＀ ＀＀	＀＀_x0008_＀＀_x0001_＀＀_x0001_＀＀_x0001_＀＀ਾꏗ뵰䀾찀⌀䲑_x0013_啎幅䝆偟䥒䕃㌨㜷ㄴ착!＀＀ ＀＀	＀＀_x0008_＀＀_x0001_＀＀_x0001_＀＀_x0001_＀＀쳍쳌泌䀤찀⌄䲑_x0017_啎幅䝆䕟呎噟䱁䕕㌨㤹㐹착!＀＀ ＀＀	＀＀_x0008_＀＀_x0001_＀＀_x0001_＀＀_x0001_＀＀๖눭⿽䃎찀⌄䲑_x001B_啎幅䝆也呅䥟䍎兟㌨㐳㤱Ⱜ兆착!＀＀ ＀＀	＀＀_x0008_＀＀_x0001_＀＀_x0001_＀＀_x0001_＀＀豀碵꼝쐕찀⌄䲑(啎幅彐剐䍉彅䍬彌剆⡑⼱㄰〯ⰱ㈱㌯⼱㄰䌬⥙!＀＀ ＀＀	＀＀_x0008_＀＀_x0001_＀＀_x0001_＀＀_x0001_＀＀＀＀＀＀䀀䀡찀⌀䲑_x0013_啎幅䝆偟䥒䕃㌨㌷㘴착!＀＀ ＀＀	＀＀_x0008_＀＀_x0001_＀＀_x0001_＀＀_x0001_＀＀슏⣵ཛྷ䀰찀⌄䲑_x001B_啎幅䝆也呅䥟䍎兟㌨〳㐵Ⱜ兆착!＀＀ ＀＀	＀＀_x0008_＀＀_x0001_＀＀_x0001_＀＀_x0001_＀＀豀碵꼝쐕찀⌄䲑_x0017_啎幅䍅彁䕍乁卟䱁卅㈨〬착!＀＀ ＀＀	＀＀_x0008_＀＀_x0001_＀＀_x0001_＀＀_x0001_＀＀⣶轜垢䃒찀⌄䲑_x0017_啎幅䝆䕟呎噟䱁䕕㌨㔹㤹착!＀＀ ＀＀	＀＀_x0008_＀＀_x0001_＀＀_x0001_＀＀_x0001_＀＀鮦⃄ਠ䃖찀⌀䲑6啎幅䍅彁䕍乁䕟䥂䑔彁䅃䅌㈨〰ⰹ㄰㌯⼱〲㄰ㄬ⼲ㄳ㈯㄰ⰰ⥍ѐ＀＀ ＀＀и＀＀π＀＀_x0001_＀＀x＀＀_x0001_＀＀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쳍쳌챌䂩쳍쳌챌䂩쳍쳌챌䂩蔟凫¸䂭蔟凫¸䂭蔟凫ᒸ䂭轜딨䂬凬Ẹ␅䂩凬Ẹ␅䂩롑ꌞ䂩ᑺ씮䂩إ閁沃䂩橿璼䙓䂪褷恁ᾥ䂫⃅犰䦨䂬ਾꏗ૰䂯멞౉휢䂰᪠_xDD2F_酤䂱溘茒郀䂲ⴎ鶲邏䂲퓽䟸䂲Ẹ㒑䂬鞍ቮ䂫Ẹ䂧꟰䯆컷䂣馚香ə䂤눭ᘧ䂕궬忘챶䁿璽ᢓ 䁽㷚塹쒨䁹桳豼䁳㝌䆉뉠䁴奋㢆ⷖ䁳씅㆏㉷䁳罣㷙㉹䁳㕀멞鱉䁯뀡桲劑䁰욨㝋覉䁰率橾袼䁰㫼칰覈䁰㫼칰覈䁰㫼칰覈䁰㫼칰覈䁰㫼칰覈䁰㫼칰覈䁰㫼칰覈䁰㫼칰覈䁰㫼칰覈䁰＀＀＀＀＀＀＀＀＀＀＀＀＀＀＀＀＀＀＀＀＀＀＀＀＀＀＀＀＀＀＀＀＀＀＀＀＀＀＀＀＀＀＀＀＀＀＀＀＀＀＀＀＀＀＀＀＀＀＀＀＀＀＀＀＀＀＀＀＀＀＀＀＀＀＀＀＀＀＀＀＀＀＀＀＀＀＀＀＀＀＀＀＀＀＀＀＀＀＀＀＀＀＀＀＀＀＀＀＀＀＀＀＀＀＀＀＀＀＀＀⌄䲑_x0017_啎幅䝆䕟呎噟䱁䕕㌨㠹㐴착!＀＀ ＀＀	＀＀_x0008_＀＀_x0001_＀＀_x0001_＀＀_x0001_＀＀_xDF3B_赏뛗䃌찀⌀䲑_x0013_啎幅䝆偟䥒䕃㌨〹ㄲ착!＀＀ ＀＀	＀＀_x0008_＀＀_x0001_＀＀_x0001_＀＀_x0001_＀＀긔㑺䁍찀⌅䲑_x0010_啎幅彇剐䍉⡅低⥗!＀＀ ＀＀	＀＀_x0008_＀＀_x0001_＀＀_x0001_＀＀_x0001_＀＀롒蔞釫䁃찀⌀䲑_x0013_啎幅䝆偟䥒䕃㌨㤸〹착!＀＀ ＀＀	＀＀_x0008_＀＀_x0001_＀＀_x0001_＀＀_x0001_＀＀蔟凫뺸䁈찀⌂䲑_x0017_啎幅䝆䕟呎噟䱁䕕㌨ㄷ㐳착!＀＀ ＀＀	＀＀_x0008_＀＀_x0001_＀＀_x0001_＀＀_x0001_＀＀㝌䆉ܠ䂰찀⌄䲑_x001B_啎幅䝆也呅䥟䍎兟㌨㘵ㄱⰬ兆착!＀＀ ＀＀	＀＀_x0008_＀＀_x0001_＀＀_x0001_＀＀_x0001_＀＀豀碵꼝쐕찀⌄䲑_x001B_啎幅䝆也呅䥟䍎兟㌨㔸㌳Ⱜ兆착!＀＀ ＀＀	＀＀_x0008_＀＀_x0001_＀＀_x0001_＀＀_x0001_＀＀摚_xDF3B_⭏䁴찀⌄䲑_x0017_啎幅䝆䕟呎噟䱁䕕㌨㌹㘸착!＀＀ ＀＀	＀＀_x0008_＀＀_x0001_＀＀_x0001_＀＀_x0001_＀＀갈娜ꏄ䃑찀⌀䲑_x0013_啎幅䝆偟䥒䕃㌨㤷㔵착!＀＀ ＀＀	＀＀_x0008_＀＀_x0001_＀＀_x0001_＀＀_x0001_＀＀䞮竡ด䀬찀⌄䲑_x001B_啎幅䝆也呅䥟䍎兟㌨㤷㘸Ⱜ兆착!＀＀ ＀＀	＀＀_x0008_＀＀_x0001_＀＀_x0001_＀＀_x0001_＀＀摚_xDF3B_赏䀴찀⌀䲑_x0013_啎幅䝆偟䥒䕃㌨㔸㔹착!＀＀ ＀＀	＀＀_x0008_＀＀_x0001_＀＀_x0001_＀＀_x0001_＀＀਽ꏗ㵰䀼찀⌄䲑_x001B_啎幅䝆也呅䥟䍎兟㌨ㄴ〵Ⱜ兆착!＀＀ ＀＀	＀＀_x0008_＀＀_x0001_＀＀_x0001_＀＀_x0001_＀＀豀碵꼝쐕찀⌃䲑_x0017_啎幅䝆䕟呎噟䱁䕕㌨㔸㌳착!＀＀ ＀＀	＀＀_x0008_＀＀_x0001_＀＀_x0001_＀＀_x0001_＀＀ᑺ誎䂻찀⌄䲑_x001B_啎幅䝆也呅䥟䍎兟㌨〷㈷Ⱜ兆착!＀＀ ＀＀	＀＀_x0008_＀＀_x0001_＀＀_x0001_＀＀_x0001_＀＀_xDD2F_ؤꖁ䁀찀⌃䲑_x0017_啎幅䝆䕟呎噟䱁䕕㌨㌸㌸착!＀＀ ＀＀	＀＀_x0008_＀＀_x0001_＀＀_x0001_＀＀_x0001_＀＀蔟凫Ⓒ䃂찀⌂䲑_x0017_啎幅䝆䕟呎噟䱁䕕㌨㘷〸착!＀＀ ＀＀	＀＀_x0008_＀＀_x0001_＀＀_x0001_＀＀_x0001_＀＀眲ℭタ䂫찀⋿䲑_x001C_啎幅彐剐䍉彅噁⡇㤳㈷ⰱ㤳ㄸ⤳!＀＀ ＀＀	＀＀_x0008_＀＀_x0001_＀＀_x0001_＀＀_x0001_＀＀ꮋ뻊㨫䁂찀ꌘ䵁_x001C_啎幅彐剐䍉彅噁⡇〴㔴ⰱ〴㐵⤳!＀＀ ＀＀	＀＀_x0008_＀＀_x0001_＀＀_x0001_＀＀_x0001_＀＀꒔♫ᣟ䁄찀⌀䲑_x0013_啎幅䝆偟䥒䕃㌨ㄹ㈷착!＀＀ ＀＀	＀＀_x0008_＀＀_x0001_＀＀_x0001_＀＀_x0001_＀＀Ẹ䡑䁐찀⌄䲑_x001B_啎幅䝆䵟䅅彎偅当奆⠱ⰰⰬ〹착!＀＀ ＀＀	＀＀_x0008_＀＀_x0001_＀＀_x0001_＀＀_x0001_＀＀蟗䛵炭㿭찀⌃䲑_x0017_啎幅䝆䕟呎噟䱁䕕㌨ㄸ㠳착!＀＀ ＀＀	＀＀_x0008_＀＀_x0001_＀＀_x0001_＀＀_x0001_＀＀晦晦⠦䂷찀⌀䲑6啎幅䍅彁䕍乁䕟䥂䑔彁䅃䅌㈨〰ⰲ㄰㌯⼱〲㄰ㄬ⼲ㄳ㈯㄰ⰰ⥍ѐ＀＀ ＀＀и＀＀π＀＀_x0001_＀＀x＀＀_x0001_＀＀豀碵꼝쐕豀碵꼝쐕豀碵꼝쐕䷓ၢ摘䂀䷓ၢ摘䂀䷓ၢ摘䂀䷓ၢ摘䂀䷓ၢ摘䂀䷓ၢ摘䂀豀碵꼝쐕豀碵꼝쐕豀碵꼝쐕豀碵꼝쐕豀碵꼝쐕豀碵꼝쐕豀碵꼝쐕ㄧ갈_xD91C_䂊ㄧ갈_xD91C_䂊㌳㌳갳䂅䷓ၢᓘ䂆좵빶딟䂅㕀멞ᅉ䂄㕀멞ᅉ䂄桳᛼䂄컙号滣䂄䎖沋䂃ⴎ鶲棯䂃ⴎ鶲棯䂃ⴎ鶲棯䂃ⴎ鶲棯䂃ⴎ鶲棯䂃ⴎ鶲棯䂃ⴎ鶲棯䂃꾷㖃䂃꾷㖃䂃꾷㖃䂃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韶鏝ꠇ䂂＀＀＀＀＀＀＀＀＀＀＀＀＀＀＀＀＀＀＀＀＀＀＀＀＀＀＀＀＀＀＀＀＀＀＀＀＀＀＀＀＀＀＀＀＀＀＀＀＀＀＀＀＀＀＀＀＀＀＀＀＀＀＀＀＀＀＀＀＀＀＀＀＀＀＀＀＀＀＀＀＀＀＀＀＀＀＀＀＀＀＀＀＀＀＀＀＀＀＀＀＀＀＀＀＀＀＀＀＀＀＀＀＀＀＀＀＀＀＀＀⌄䲑$啎幅彐剐䍉彅噁⡇⼱㄰㤯ⰷ㈱㌯⼱㜹䌬⥙!＀＀ ＀＀	＀＀_x0008_＀＀_x0001_＀＀_x0001_＀＀_x0001_＀＀걠息ꭲ䀪찀⌄䲑_x0017_啎幅䝆䕟呎噟䱁䕕㌨㜹㈸착!＀＀ ＀＀	＀＀_x0008_＀＀_x0001_＀＀_x0001_＀＀_x0001_＀＀摚_xDF3B_沟䃇찀⌀䲑_x0013_啎幅䝆偟䥒䕃㌨㔹㤹착!＀＀ ＀＀	＀＀_x0008_＀＀_x0001_＀＀_x0001_＀＀_x0001_＀＀㌳㌳댳䁒찀⌄䲑(啎幅彐剐䍉彅䍬彌剆⡑⼱㄰〯ⰲ㈱㌯⼱㈰䌬⥙!＀＀ ＀＀	＀＀_x0008_＀＀_x0001_＀＀_x0001_＀＀_x0001_＀＀㌳㌳䀢찀⌂䲑_x0017_啎幅䝆䕟呎噟䱁䕕㌨〷㈷착!＀＀ ＀＀	＀＀_x0008_＀＀_x0001_＀＀_x0001_＀＀_x0001_＀＀鰏ꈳ杔䂰찀⌀䲑_x0013_啎幅䝆偟䥒䕃㌨ㄷ㐳착!＀＀ ＀＀	＀＀_x0008_＀＀_x0001_＀＀_x0001_＀＀_x0001_＀＀쳍쳌䳌䀨찀⌂䲑_x0017_啎幅䝆䕟呎噟䱁䕕㌨㠷㐹착!＀＀ ＀＀	＀＀_x0008_＀＀_x0001_＀＀_x0001_＀＀_x0001_＀＀體ᷦ桗䂱찀⌀䲑_x0013_啎幅䝆偟䥒䕃㌨㌹㘸착!＀＀ ＀＀	＀＀_x0008_＀＀_x0001_＀＀_x0001_＀＀_x0001_＀＀尨ʏ䁏찀⌀䲑3啎幅䍅彁䕍乁䕟卐䍟䱁⡁〲㜰〬⼱ㄳ㈯〰ⰱ㈱㌯⼱〲㤰䴬착Ϥ＀＀ ＀＀ό＀＀͠＀＀_x0001_＀＀l＀＀_x0001_＀＀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オႶꃤ䀉磾_xDAAF_䀄ꚵ읹㨩䀅_xDA51_簛剡䀄_xDA51_簛剡䀄䫵虙䀂툤︶Մ䀃犛瞅梹䀃㰍ỷ뤮䀇⡊ⅽ_xDCE4_䀆⡊ⅽ_xDCE4_䀆胋钳ܬ䀉섳깰١䀌䆪_xDB98_벽䀋С䯤䀍ร䃙梺䀐ꆜ䀐찡廭䀐쉌㲅宂䀑酆䚵䀒_xDC1A_ᛖ힞䀒慣鲈꺾䀓慣鲈꺾䀓ဏ퇌韣䀓씑෤㌰䀕씑෤㌰䀕༫菒䀕갭Ἓ䀖ꑕ_xD8C2_偂䀖༴酠齟䀔⻟헻䀓漄ꍈ䀓ߔ垒䀓᲎೩貌䀓㯯잆虾䀓ዹ㠪邼䀓尨슏䀓尨슏䀓尨슏䀓尨슏䀓尨슏䀓尨슏䀓尨슏䀓尨슏䀓尨슏䀓尨슏䀓尨슏䀓尨슏䀓尨슏䀓尨슏䀓尨슏䀓尨슏䀓尨슏䀓尨슏䀓尨슏䀓尨슏䀓尨슏䀓尨슏䀓尨슏䀓尨슏䀓＀＀＀＀＀＀＀＀＀＀＀＀＀＀＀＀＀＀＀＀＀＀＀＀＀＀＀＀＀＀＀＀＀＀＀＀＀＀＀＀＀＀＀＀＀＀＀＀＀＀＀＀＀＀＀＀＀＀＀＀＀＀＀＀＀＀＀＀＀＀＀＀＀＀＀＀＀＀＀＀＀＀＀＀＀＀＀＀＀＀＀＀＀＀＀＀＀＀＀＀＀＀＀＀＀＀＀＀⌅䲑_x001A_啎幅彧牰捩彥楨桧㕟眲〨Ⱜ⥤!＀＀ ＀＀	＀＀_x0008_＀＀_x0001_＀＀_x0001_＀＀_x0001_＀＀휊炣訽䁉찀⌄䲑_x0016_啎幅䍅彁䕍乁䕟䥂⡔ⰲ⤰!＀＀ ＀＀	＀＀_x0008_＀＀_x0001_＀＀_x0001_＀＀_x0001_＀＀鮥魄䂛찀⌂䲑_x0017_啎幅䝆䕟呎噟䱁䕕㌨㐷㤹착!＀＀ ＀＀	＀＀_x0008_＀＀_x0001_＀＀_x0001_＀＀_x0001_＀＀㥘좴詶䂯찀⌄䲑_x001B_啎幅䝆也呅䥟䍎兟㌨㐲㘱Ⱜ兆착!＀＀ ＀＀	＀＀_x0008_＀＀_x0001_＀＀_x0001_＀＀_x0001_＀＀豀碵꼝쐕찀⌄䲑_x001B_啎幅䝆也呅䥟䍎兟㌨㌵㠳Ⱜ兆착!＀＀ ＀＀	＀＀_x0008_＀＀_x0001_＀＀_x0001_＀＀_x0001_＀＀豀碵꼝쐕찀⌄䲑_x001B_啎幅䝆也呅䥟䍎兟㌨㤵㘷Ⱜ兆착!＀＀ ＀＀	＀＀_x0008_＀＀_x0001_＀＀_x0001_＀＀_x0001_＀＀ꑪ๶䁒찀⌄䲑_x001B_啎幅䝆也呅䥟䍎兟㌨㠸㠹Ⱜ兆착Ą＀＀ ＀＀ì＀＀_x0008_＀＀_x0001_＀＀_x0001_＀＀_x0001_＀＀ొ⬂䲇䁼摦畳㩰⼯楄敲瑣潩獮䘯捡却瑥䄠摵瑩湩⁧楖睥牥愿瑣潩㵮啁䥄彔䅖啌♅䉄ㄽ㤲䤦ㅄ㘽〷㐳ㄶ☰䅖啌䥅㵄㄰㔵☱䑓呁㵅〲㘰㈰倦剅佉呄偙㵅呑归呓♄楷摮睯瀽灯灵湟彯慢♲楷瑤㵨㠳☵敨杩瑨ㄽ〲匦䅔呒䵟塁䵉婉䑅䘽䱁䕓挦敲瑡牯昽捡獴瑥搦獩汰祡獟牴湩㵧畁楤t⌀䲑_x0013_啎幅䝆偟䥒䕃㌨㔸㌳착!＀＀ ＀＀	＀＀_x0008_＀＀_x0001_＀＀_x0001_＀＀_x0001_＀＀슏⣵콜䀶찀⌀䲑_x0013_啎幅䝆偟䥒䕃㌨㌸㌸착!＀＀ ＀＀	＀＀_x0008_＀＀_x0001_＀＀_x0001_＀＀_x0001_＀＀긔ᑺ䀼찀⌀䲑6啎幅䍅彁䕍乁䕟䥂䑔彁䅃䅌㈨㄰ⰰ㄰㌯⼱〲㄰ㄬ⼲ㄳ㈯㄰ⰰ⥍ѐ＀＀ ＀＀и＀＀π＀＀_x0001_＀＀x＀＀_x0001_＀＀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凬Ẹ㒅䂩凬Ẹ㒅䂩凬Ẹ㒅䂩尩슏쿵䂫褷恁䂫_xDD2F_ؤ揁䂯Წ摚⎻䂰尨塯䂱쒜뀠滒䂱犰酨䂲ᑻ䞮䂲＀＀＀＀邀䂱롒蔞ㅫ䂭Й๖㍭䂭馚香_xD959_䂩쫁䖡ᒶ䂩犰酨釭䂨롑ꂞ䂤_xD917_䂟娝㭤_x001F_䂠롑咞䂠컙号ꍣ䂠㕀멞䂠䆉䂠욨㝋竉䂠䷒觢䂠Წ摚쎻䂟馚香យ䂜삃ꇊ♅䂛컙号䂘ꧻ䍱䂙ꧻ쟱䂘䆉ⱐ䂘溘茒_xDDC0_䂔䆉毐䂔䷓ၢ绘䂓䷓ၢ绘䂓䷓ၢ绘䂓䷓ၢ绘䂓＀＀＀＀＀＀＀＀＀＀＀＀＀＀＀＀＀＀＀＀＀＀＀＀＀＀＀＀＀＀＀＀＀＀＀＀＀＀＀＀＀＀＀＀＀＀＀＀＀＀＀＀＀＀＀＀＀＀＀＀＀＀＀＀＀＀＀＀＀＀＀＀＀＀＀＀＀＀＀＀＀＀＀＀＀＀＀＀＀＀＀＀＀＀＀＀＀＀＀＀＀＀＀＀＀＀＀＀＀＀＀＀＀＀＀＀＀＀＀＀⌀䲑_x0013_啎幅䝆偟䥒䕃㌨㘷〸착!＀＀ ＀＀	＀＀_x0008_＀＀_x0001_＀＀_x0001_＀＀_x0001_＀＀쳍쳌쳌䀤찀⌃䲑_x0017_啎幅䝆䕟呎噟䱁䕕㌨㌸ㄲ착!＀＀ ＀＀	＀＀_x0008_＀＀_x0001_＀＀_x0001_＀＀_x0001_＀＀਽ꏗ舀䃁찀⌀䲑_x0013_啎幅䝆偟䥒䕃㌨ㄸ㠳착!＀＀ ＀＀	＀＀_x0008_＀＀_x0001_＀＀_x0001_＀＀_x0001_＀＀晦晦癦䀰찀⌄䲑_x001B_啎幅䝆也呅䥟䍎兟㌨㤱㠵Ⱜ兆착!＀＀ ＀＀	＀＀_x0008_＀＀_x0001_＀＀_x0001_＀＀_x0001_＀＀豀碵꼝쐕찀⌃䲑_x0017_啎幅䝆䕟呎噟䱁䕕㌨㠸㠹착!＀＀ ＀＀	＀＀_x0008_＀＀_x0001_＀＀_x0001_＀＀_x0001_＀＀਽ꏗ蚐䃎찀⌄䲑_x0017_啎幅䝆䕟呎噟䱁䕕㌨㤹㌳착!＀＀ ＀＀	＀＀_x0008_＀＀_x0001_＀＀_x0001_＀＀_x0001_＀＀鞍ቮ衣䃋찀⌄䲑$啎幅彐剐䍉彅噁⡇⼱㄰㤯ⰸ㈱㌯⼱㠹䌬⥙!＀＀ ＀＀	＀＀_x0008_＀＀_x0001_＀＀_x0001_＀＀_x0001_＀＀㊤᳅贄䀧찀⌄䲑_x0017_啎幅䝆䕟呎噟䱁䕕㌨㔹㠳착!＀＀ ＀＀	＀＀_x0008_＀＀_x0001_＀＀_x0001_＀＀_x0001_＀＀磕⛩೑䃔찀⌃䲑_x0017_啎幅䝆䕟呎噟䱁䕕㌨㜸㠴착!＀＀ ＀＀	＀＀_x0008_＀＀_x0001_＀＀_x0001_＀＀_x0001_＀＀ᑺ茾䃈찀⌀䲑_x0013_啎幅䝆偟䥒䕃㌨〷㈷착!＀＀ ＀＀	＀＀_x0008_＀＀_x0001_＀＀_x0001_＀＀_x0001_＀＀롒蔞燫䀨찀⌄䲑$啎幅彐剐䍉彅噁⡇⼱㄰㤯ⰹ㈱㌯⼱㤹䌬⥙!＀＀ ＀＀	＀＀_x0008_＀＀_x0001_＀＀_x0001_＀＀_x0001_＀＀㾳湐进䀨찀⌀䲑_x0013_啎幅䝆偟䥒䕃㌨㠷㐹착!＀＀ ＀＀	＀＀_x0008_＀＀_x0001_＀＀_x0001_＀＀_x0001_＀＀㵱휊䀦찀⌄䲑_x0017_啎幅䝆䕟呎噟䱁䕕㌨㌹㔲착!＀＀ ＀＀	＀＀_x0008_＀＀_x0001_＀＀_x0001_＀＀_x0001_＀＀⣶轜塒䃏찀⌄䲑(啎幅彐剐䍉彅䍈彌剆⡑⼱㄰㤯ⰷ㈱㌯⼱㜹䌬⥙!＀＀ ＀＀	＀＀_x0008_＀＀_x0001_＀＀_x0001_＀＀_x0001_＀＀＀＀＀＀⠀䀯찀⌃䲑_x0017_啎幅䝆䕟呎噟䱁䕕㌨㐸㈷착!＀＀ ＀＀	＀＀_x0008_＀＀_x0001_＀＀_x0001_＀＀_x0001_＀＀뱪鍴鯨䃀찀⌀䲑_x0013_啎幅䝆偟䥒䕃㌨㐷㤹착!＀＀ ＀＀	＀＀_x0008_＀＀_x0001_＀＀_x0001_＀＀_x0001_＀＀롑Ԟ䀩찀⼪乌_x0019_啎幅䝆䵟䅅彎偅当兆⠱ⰰⰬ착!＀＀ ＀＀	＀＀_x0008_＀＀_x0001_＀＀_x0001_＀＀_x0001_＀＀୭㿥찀⌂䲑_x0017_啎幅䝆䕟呎噟䱁䕕㌨㐷㜳착!＀＀ ＀＀	＀＀_x0008_＀＀_x0001_＀＀_x0001_＀＀_x0001_＀＀䦺Ȍ곻䂴찀⌄䲑_x001B_啎幅䝆也呅䥟䍎兟㌨㌳㠲Ⱜ兆착!＀＀ ＀＀	＀＀_x0008_＀＀_x0001_＀＀_x0001_＀＀_x0001_＀＀豀碵꼝쐕찀⌃䲑_x0017_啎幅䝆䕟呎噟䱁䕕㌨〸㜷착!＀＀ ＀＀	＀＀_x0008_＀＀_x0001_＀＀_x0001_＀＀_x0001_＀＀_xDC5D_͆켸䂵찀⌂䲑_x0017_啎幅䝆䕟呎噟䱁䕕㌨㈷㜸착!＀＀ ＀＀	＀＀_x0008_＀＀_x0001_＀＀_x0001_＀＀_x0001_＀＀ꗣ쒛Ⳁ䂳찀⌄䲑_x001B_啎幅䝆䵟䅅彎偅当奆⠲ⰰⰬ〹착!＀＀ ＀＀	＀＀_x0008_＀＀_x0001_＀＀_x0001_＀＀_x0001_＀＀箪먉ꭢ䀈찀⌀䲑_x0013_啎幅䝆偟䥒䕃㌨㌸ㄲ착!＀＀ ＀＀	＀＀_x0008_＀＀_x0001_＀＀_x0001_＀＀_x0001_＀＀㌳㌳猳䀺찀⌀䲑_x0013_啎幅䝆偟䥒䕃㌨㠸㠹착!＀＀ ＀＀	＀＀_x0008_＀＀_x0001_＀＀_x0001_＀＀_x0001_＀＀＀＀＀＀ 䁋찀⌀䲑6啎幅䍅彁䕍乁䕟䥂䑔彁䅃䅌㈨〰ⰳ㄰㌯⼱〲㄰ㄬ⼲ㄳ㈯㄰ⰰ⥍ѐ＀＀ ＀＀и＀＀π＀＀_x0001_＀＀x＀＀_x0001_＀＀豀碵꼝쐕豀碵꼝쐕豀碵꼝쐕扎堐䘹䂊扎堐䘹䂊扎堐䘹䂊扎堐䘹䂊扎堐䘹䂊扎堐䘹䂊豀碵꼝쐕豀碵꼝쐕豀碵꼝쐕豀碵꼝쐕豀碵꼝쐕豀碵꼝쐕豀碵꼝쐕竡긔則䂎竡긔則䂎⣶轜듂䂌轝涨䂏轝涨䂏갉娜飤䂌갉娜飤䂌갉娜飤䂌ẹ恑䂏⼛ⓝ붆䂊ἡ泴䇖䂇ၢ㥘튴䂆ၢ㥘튴䂆ၢ㥘튴䂆俟鞍폮䂂俟鞍폮䂂俟鞍폮䂂＀＀＀＀倀䁾＀＀＀＀倀䁾＀＀＀＀倀䁾긕왺䁽긕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긕乺䁽＀＀＀＀＀＀＀＀＀＀＀＀＀＀＀＀＀＀＀＀＀＀＀＀＀＀＀＀＀＀＀＀＀＀＀＀＀＀＀＀＀＀＀＀＀＀＀＀＀＀＀＀＀＀＀＀＀＀＀＀＀＀＀＀＀＀＀＀＀＀＀＀＀＀＀＀＀＀＀＀＀＀＀＀＀＀＀＀＀＀＀＀＀＀＀＀＀＀＀＀＀＀＀＀＀＀＀＀＀＀＀＀＀＀＀＀＀＀＀＀⌄䲑_x001B_啎幅䝆也呅䥟䍎兟㌨㠸㜰Ⱜ兆착Ą＀＀ ＀＀ì＀＀_x0008_＀＀_x0001_＀＀_x0001_＀＀_x0001_＀＀橿璼늓䁷摦畳㩰⼯楄敲瑣潩獮䘯捡却瑥䄠摵瑩湩⁧楖睥牥愿瑣潩㵮啁䥄彔䅖啌♅䉄ㄽ㤲䤦ㅄ㘽〷㐳ㄶ☰䅖啌䥅㵄㄰㔵☱䑓呁㵅〲㘰㄰倦剅佉呄偙㵅呑归呓♄楷摮睯瀽灯灵湟彯慢♲楷瑤㵨㠳☵敨杩瑨ㄽ〲匦䅔呒䵟塁䵉婉䑅䘽䱁䕓挦敲瑡牯昽捡獴瑥搦獩汰祡獟牴湩㵧畁楤t⌃䲑_x0017_啎幅䝆䕟呎噟䱁䕕㌨㘸㘸착!＀＀ ＀＀	＀＀_x0008_＀＀_x0001_＀＀_x0001_＀＀_x0001_＀＀ⓝ脆聵䃄찀⌄䲑_x0017_啎幅䝆䕟呎噟䱁䕕㌨㜹ㄲ착!＀＀ ＀＀	＀＀_x0008_＀＀_x0001_＀＀_x0001_＀＀_x0001_＀＀鮥쑄䃉찀⌀䲑_x0013_啎幅䝆偟䥒䕃㌨㔹㠳착!＀＀ ＀＀	＀＀_x0008_＀＀_x0001_＀＀_x0001_＀＀_x0001_＀＀슏⣵䁐찀⌀䲑_x0013_啎幅䝆偟䥒䕃㌨㜸㠴착!＀＀ ＀＀	＀＀_x0008_＀＀_x0001_＀＀_x0001_＀＀_x0001_＀＀蔟凫ຸ䁅찀⌄䲑_x001B_啎幅䝆也呅䥟䍎兟㌨㐴㐲Ⱜ兆착!＀＀ ＀＀	＀＀_x0008_＀＀_x0001_＀＀_x0001_＀＀_x0001_＀＀豀碵꼝쐕찀⌂䲑_x0017_啎幅䝆䕟呎噟䱁䕕㌨〷ㄱ착!＀＀ ＀＀	＀＀_x0008_＀＀_x0001_＀＀_x0001_＀＀_x0001_＀＀茒쫀突䂰찀⌄䲑_x001B_啎幅䝆也呅䥟䍎兟㌨㌷㘴Ⱜ兆착!＀＀ ＀＀	＀＀_x0008_＀＀_x0001_＀＀_x0001_＀＀_x0001_＀＀赐溗䌒䀴찀⌀䲑3啎幅䍅彁䕍乁䕟卐䍟䱁⡁〲㠰〬⼱ㄳ㈯〰ⰱ㈱㌯⼱〲㤰䴬착Ϥ＀＀ ＀＀ό＀＀͠＀＀_x0001_＀＀l＀＀_x0001_＀＀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㵱휊炣䀃㵱휊炣䀃㵱휊炣䀃尨슏䀅尨슏䀅尨슏䀅尨슏䀅尨슏䀅尨슏䀅법윺䲀䀗犎鬰㌀䀖犎鬰㌀䀖땆⢈䀔㌉_xFFFF_ｭ竊䀔ᚠ螃齩䀔㫿洷짆䀕헾뻣䀕彫⽀駜䀕Ꭽ䀕繍຋䀖馄羶ᕥ䀖_xD8A5_㣑濔䀖螃_xDF69_翜䀖᱔帇蜭䀖쯄맓풢䀖_xDE8B_肩⹻䀗뗭샆䀘꽴望뒲䀚㓁Ἄ쌑䀚ꞹ㮫ꬖ䀛搆瞯䱿䀜搆瞯䱿䀜ᖏ㛼ࣄ䀞ﺜ䟬梊䀜竔톿箎䀜ᐅ耣䀗凬Ẹ䀗凬Ẹ䀗凬Ẹ䀗凬Ẹ䀗凬Ẹ䀗凬Ẹ䀗凬Ẹ䀗凬Ẹ䀗凬Ẹ䀗凬Ẹ䀗凬Ẹ䀗凬Ẹ䀗＀＀＀＀＀＀＀＀＀＀＀＀＀＀＀＀＀＀＀＀＀＀＀＀＀＀＀＀＀＀＀＀＀＀＀＀＀＀＀＀＀＀＀＀＀＀＀＀＀＀＀＀＀＀＀＀＀＀＀＀＀＀＀＀＀＀＀＀＀＀＀＀＀＀＀＀＀＀＀＀＀＀＀＀＀＀＀＀＀＀＀＀＀＀＀＀＀＀＀＀＀＀＀＀＀＀＀＀⌂䲑_x0017_啎幅䝆䕟呎噟䱁䕕㌨㠷㌳착!＀＀ ＀＀	＀＀_x0008_＀＀_x0001_＀＀_x0001_＀＀_x0001_＀＀란艀瞒䂲찀⌄䲑_x0017_啎幅䝆䕟呎噟䱁䕕㌨㈹㌶착!＀＀ ＀＀	＀＀_x0008_＀＀_x0001_＀＀_x0001_＀＀_x0001_＀＀᪠_xDD2F_Ĭ䃑찀⌄䲑_x001B_啎幅䝆也呅䥟䍎兟㌨㠳㜷Ⱜ兆착!＀＀ ＀＀	＀＀_x0008_＀＀_x0001_＀＀_x0001_＀＀_x0001_＀＀豀碵꼝쐕찀⌀䲑_x0013_啎幅䝆偟䥒䕃㌨㌹㔲착!＀＀ ＀＀	＀＀_x0008_＀＀_x0001_＀＀_x0001_＀＀_x0001_＀＀㌳㌳猳䁊찀⌄䲑_x001B_啎幅䝆也呅䥟䍎兟㌨㜶㤹Ⱜ兆착!＀＀ ＀＀	＀＀_x0008_＀＀_x0001_＀＀_x0001_＀＀_x0001_＀＀斝ꄖ䁐찀⌀䲑_x0013_啎幅䝆偟䥒䕃㌨㐸㈷착!＀＀ ＀＀	＀＀_x0008_＀＀_x0001_＀＀_x0001_＀＀_x0001_＀＀쳍쳌賌䀹찀⌄䲑$啎幅彐剐䍉彅噁⡇⼱㄰〯ⰰ㈱㌯⼱〰䌬⥙!＀＀ ＀＀	＀＀_x0008_＀＀_x0001_＀＀_x0001_＀＀_x0001_＀＀萯凿䀤찀⌄䲑_x001B_啎幅䝆也呅䥟䍎兟㌨㔳ㄱⰬ兆착!＀＀ ＀＀	＀＀_x0008_＀＀_x0001_＀＀_x0001_＀＀_x0001_＀＀豀碵꼝쐕찀⌄䲑(啎幅彐剐䍉彅䍈彌剆⡑⼱㄰㤯ⰸ㈱㌯⼱㠹䌬⥙!＀＀ ＀＀	＀＀_x0008_＀＀_x0001_＀＀_x0001_＀＀_x0001_＀＀＀＀＀＀ࠀ䀮찀⌄䲑_x001B_啎幅䝆也呅䥟䍎兟㌨㐶㌳Ⱜ兆착!＀＀ ＀＀	＀＀_x0008_＀＀_x0001_＀＀_x0001_＀＀_x0001_＀＀䐘ꚤ੝䁑찀⌄䲑_x001B_啎幅䝆也呅䥟䍎兟㌨㌹㔵Ⱜ兆착Ą＀＀ ＀＀ì＀＀_x0008_＀＀_x0001_＀＀_x0001_＀＀_x0001_＀＀㭤俟펍䁷摦畳㩰⼯楄敲瑣潩獮䘯捡却瑥䄠摵瑩湩⁧楖睥牥愿瑣潩㵮啁䥄彔䅖啌♅䉄ㄽ㤲䤦ㅄ㘽〷㐳ㄶ☰䅖啌䥅㵄㄰㔵☱䑓呁㵅〲㜰㌰倦剅佉呄偙㵅呑归呓♄楷摮睯瀽灯灵湟彯慢♲楷瑤㵨㠳☵敨杩瑨ㄽ〲匦䅔呒䵟塁䵉婉䑅䘽䱁䕓挦敲瑡牯昽捡獴瑥搦獩汰祡獟牴湩㵧畁楤t⌃䲑_x0017_啎幅䝆䕟呎噟䱁䕕㌨ㄹ㌱착!＀＀ ＀＀	＀＀_x0008_＀＀_x0001_＀＀_x0001_＀＀_x0001_＀＀䃑찀⌀䲑_x0013_啎幅䝆偟䥒䕃㌨㐷㜳착!＀＀ ＀＀	＀＀_x0008_＀＀_x0001_＀＀_x0001_＀＀_x0001_＀＀尨䊏䀰찀⌃䲑_x0017_啎幅䝆䕟呎噟䱁䕕㌨㈸〶착!＀＀ ＀＀	＀＀_x0008_＀＀_x0001_＀＀_x0001_＀＀_x0001_＀＀㽽帵蠪䂾찀⌀䲑_x0013_啎幅䝆偟䥒䕃㌨〸㜷착!＀＀ ＀＀	＀＀_x0008_＀＀_x0001_＀＀_x0001_＀＀_x0001_＀＀਽ꏗ뵰䀮찀⌀䲑_x0013_啎幅䝆偟䥒䕃㌨㈷㜸착!＀＀ ＀＀	＀＀_x0008_＀＀_x0001_＀＀_x0001_＀＀_x0001_＀＀晦晦䀭찀⌄䲑_x0017_啎幅䝆䕟呎噟䱁䕕㌨㠹㈷착!＀＀ ＀＀	＀＀_x0008_＀＀_x0001_＀＀_x0001_＀＀_x0001_＀＀ꧻ嗱䃈찀⌄䲑_x001B_啎幅䝆也呅䥟䍎兟㌨㔵〲Ⱜ兆착!＀＀ ＀＀	＀＀_x0008_＀＀_x0001_＀＀_x0001_＀＀_x0001_＀＀豀碵꼝쐕찀ꌘ䵁_x001C_啎幅彐剐䍉彅噁⡇〴㠰ⰶ〴㜱⤸!＀＀ ＀＀	＀＀_x0008_＀＀_x0001_＀＀_x0001_＀＀_x0001_＀＀߳켃ꎽ䁅찀⌄䲑_x001B_啎幅䝆也呅䥟䍎兟㌨㐸㈴Ⱜ兆착!＀＀ ＀＀	＀＀_x0008_＀＀_x0001_＀＀_x0001_＀＀_x0001_＀＀눭⪧䁶찀⌂䲑_x0017_啎幅䝆䕟呎噟䱁䕕㌨㈷㔲착!＀＀ ＀＀	＀＀_x0008_＀＀_x0001_＀＀_x0001_＀＀_x0001_＀＀盉龾࠺䂰찀⌄䲑_x001B_啎幅䝆也呅䥟䍎兟㌨〲〵Ⱜ兆착!＀＀ ＀＀	＀＀_x0008_＀＀_x0001_＀＀_x0001_＀＀_x0001_＀＀豀碵꼝쐕찀⌃䲑_x0017_啎幅䝆䕟呎噟䱁䕕㌨㠸㜳착!＀＀ ＀＀	＀＀_x0008_＀＀_x0001_＀＀_x0001_＀＀_x0001_＀＀ㄧ갈딌䃏찀⌀䲑_x0013_啎幅䝆偟䥒䕃㌨㘸㘸착!＀＀ ＀＀	＀＀_x0008_＀＀_x0001_＀＀_x0001_＀＀_x0001_＀＀롑씞䁀찀⌀䲑_x0013_啎幅䝆偟䥒䕃㌨㜹ㄲ착!＀＀ ＀＀	＀＀_x0008_＀＀_x0001_＀＀_x0001_＀＀_x0001_＀＀＀＀＀＀쀀䁃찀⌀䲑3啎幅䍅彁䕍乁䕟卐䍟䱁⡁〲㄰〬⼱ㄳ㈯〰ⰱ㈱㌯⼱〲㤰䴬착Ϥ＀＀ ＀＀ό＀＀͠＀＀_x0001_＀＀l＀＀_x0001_＀＀긕ᑺ㿮u巄ઽ㿫ޢؾ츫㿨躇ۓ㿦რ풪쇬㿥斘艏㿢尞声آ㿢ꔟ坭﵃㿠ꚇ㪃㿜晔㇯럽㿗晕㇯㟽㿕칦≄ཾ㿕㇫ᤶ쳺㿔ᾉ㔈烨㿕ᾉ㔈烨㿕馚香香㿕_xDF9C_誋嚓㿕噉谴㑱㿕噉谴㑱㿕輞ꠙ羌㿕輞ꠙ羌㿕輞ꠙ羌㿕輞ꠙ羌㿕輞ꠙ羌㿕輞ꠙ羌㿕輞ꠙ羌㿕_xDC08_椴㿕_xDC08_椴㿕_xDC08_椴㿕_xDC08_椴㿕_xDC08_椴㿕_xDC08_椴㿕_xDC08_椴㿕_xDC08_椴㿕_xDC08_椴㿕_xDC08_椴㿕_xDC08_椴㿕_xDC08_椴㿕_xDC08_椴㿕_xDC08_椴㿕_xDC08_椴㿕_xDC08_椴㿕_xDC08_椴㿕_xDC08_椴㿕_xDC08_椴㿕_xDC08_椴㿕_xDC08_椴㿕_xDC08_椴㿕_xDC08_椴㿕_xDC08_椴㿕_xDC08_椴㿕_xDC08_椴㿕_xDC08_椴㿕_xDC08_椴㿕_xDC08_椴㿕_xDC08_椴㿕_xDC08_椴㿕_xDC08_椴㿕_xDC08_椴㿕_xDC08_椴㿕_xDC08_椴㿕_xDC08_椴㿕_xDC08_椴㿕_xDC08_椴㿕_xDC08_椴㿕_xDC08_椴㿕_xDC08_椴㿕_xDC08_椴㿕_xDC08_椴㿕_xDC08_椴㿕_xDC08_椴㿕_xDC08_椴㿕_xDC08_椴㿕_xDC08_椴㿕_xDC08_椴㿕_xDC08_椴㿕_xDC08_椴㿕䓳姆⟇㿕䓳姆⟇㿕䓳姆⟇㿕䓳姆⟇㿕䓳姆⟇㿕䓳姆⟇㿕䓳姆⟇㿕䓳姆⟇㿕䓳姆⟇㿕䓳姆⟇㿕䓳姆⟇㿕╡ⷕ㛱㿕╡ⷕ㛱㿕╡ⷕ㛱㿕╡ⷕ㛱㿕懵冽䰫㿕懵冽䰫㿕懵冽䰫㿕ᒐ憑漕㿕ᒐ憑漕㿕ᒐ憑漕㿕ᒐ憑漕㿕ᒐ憑漕㿕ᒐ憑漕㿕ᒐ憑漕㿕ᒐ憑漕㿕ᒐ憑漕㿕ᒐ憑漕㿕ᒐ憑漕㿕ᒐ憑漕㿕ᒐ憑漕㿕＀＀＀＀＀＀＀＀＀＀＀＀＀＀＀＀＀＀＀＀＀＀＀＀＀＀＀＀＀＀＀＀＀＀＀＀＀＀＀＀＀＀＀＀＀＀＀＀＀＀＀＀＀＀＀＀＀＀＀＀＀＀＀＀＀＀＀＀＀＀＀＀＀＀＀＀＀＀＀＀＀＀＀＀＀＀＀＀＀＀＀＀＀＀＀＀＀＀＀＀＀＀＀＀＀＀＀＀⋿䲑_x001C_啎幅彐剐䍉彅噁⡇㤳㤹ⰴ〴㠰⤶!＀＀ ＀＀	＀＀_x0008_＀＀_x0001_＀＀_x0001_＀＀_x0001_＀＀誇ﹱ젦䁆찀⌀䲑_x0013_啎幅䝆偟䥒䕃㌨〷ㄱ착!＀＀ ＀＀	＀＀_x0008_＀＀_x0001_＀＀_x0001_＀＀_x0001_＀＀਽ꏗ嵰䀩찀⌂䲑_x0017_啎幅䝆䕟呎噟䱁䕕㌨㤶ㄸ착!＀＀ ＀＀	＀＀_x0008_＀＀_x0001_＀＀_x0001_＀＀_x0001_＀＀該纲䂪찀⌀䲑_x0013_啎幅䝆偟䥒䕃㌨㠷㌳착!＀＀ ＀＀	＀＀_x0008_＀＀_x0001_＀＀_x0001_＀＀_x0001_＀＀尩슏ꣵ䀨찀⌀䲑_x0013_啎幅䝆偟䥒䕃㌨㈹㌶착!＀＀ ＀＀	＀＀_x0008_＀＀_x0001_＀＀_x0001_＀＀_x0001_＀＀㌳㌳匳䁍찀ꌘ䵁_x0017_啎幅彐剐䍉彅噁⡇㐬㈰㠶착!＀＀ ＀＀	＀＀_x0008_＀＀_x0001_＀＀_x0001_＀＀_x0001_＀＀惪鿽꓃䁄찀⌂䲑_x0017_啎幅䝆䕟呎噟䱁䕕㌨㌷㘷착!＀＀ ＀＀	＀＀_x0008_＀＀_x0001_＀＀_x0001_＀＀_x0001_＀＀橿璼䂲찀⌄䲑_x001B_啎幅䝆也呅䥟䍎兟㌨㠱㜶Ⱜ兆착!＀＀ ＀＀	＀＀_x0008_＀＀_x0001_＀＀_x0001_＀＀_x0001_＀＀豀碵꼝쐕찀⌄䲑$啎幅彐剐䍉彅噁⡇⼱㄰〯ⰱ㈱㌯⼱㄰䌬⥙!＀＀ ＀＀	＀＀_x0008_＀＀_x0001_＀＀_x0001_＀＀_x0001_＀＀马鱷΢䀧찀⌃䲑_x0017_啎幅䝆䕟呎噟䱁䕕㌨㐸ㄱ착!＀＀ ＀＀	＀＀_x0008_＀＀_x0001_＀＀_x0001_＀＀_x0001_＀＀쳍쳌ᆜ䃄찀⌂䲑_x0017_啎幅䝆䕟呎噟䱁䕕㌨㘷ㄲ착!＀＀ ＀＀	＀＀_x0008_＀＀_x0001_＀＀_x0001_＀＀_x0001_＀＀쟣뮘ǖ䂫찀⼪乌_x0016_啎幅䝆䵟䅅彎偅当奆⠱⤰!＀＀ ＀＀	＀＀_x0008_＀＀_x0001_＀＀_x0001_＀＀_x0001_＀＀嶼ڊ놄䀅찀⌄䲑_x001B_啎幅䝆也呅䥟䍎兟㌨㜴㤸Ⱜ兆착!＀＀ ＀＀	＀＀_x0008_＀＀_x0001_＀＀_x0001_＀＀_x0001_＀＀豀碵꼝쐕찀⌃䲑_x0017_啎幅䝆䕟呎噟䱁䕕㌨〹ㄵ착!＀＀ ＀＀	＀＀_x0008_＀＀_x0001_＀＀_x0001_＀＀_x0001_＀＀_xDB23_绹ꜚ䃐찀⌄䲑(啎幅彐剐䍉彅䍈彌剆⡑⼱㄰㤯ⰹ㈱㌯⼱㤹䌬⥙!＀＀ ＀＀	＀＀_x0008_＀＀_x0001_＀＀_x0001_＀＀_x0001_＀＀_x0001_＀＀倀䀮찀⌄䲑_x0017_啎幅䍅彁䕍乁卟䱁卅㌨〬착!＀＀ ＀＀	＀＀_x0008_＀＀_x0001_＀＀_x0001_＀＀_x0001_＀＀쳍쳌坬䃔찀⌀䲑_x0013_啎幅䝆偟䥒䕃㌨ㄹ㌱착!＀＀ ＀＀	＀＀_x0008_＀＀_x0001_＀＀_x0001_＀＀_x0001_＀＀尨⊏䁐찀⌀䲑_x0013_啎幅䝆偟䥒䕃㌨㈸〶착!＀＀ ＀＀	＀＀_x0008_＀＀_x0001_＀＀_x0001_＀＀_x0001_＀＀ᑺ힮䀶찀⌄䲑_x001B_啎幅䝆也呅䥟䍎兟㌨㈳㠳Ⱜ兆착!＀＀ ＀＀	＀＀_x0008_＀＀_x0001_＀＀_x0001_＀＀_x0001_＀＀豀碵꼝쐕찀⌀䲑_x0013_啎幅䝆偟䥒䕃㌨㈷㔲착!＀＀ ＀＀	＀＀_x0008_＀＀_x0001_＀＀_x0001_＀＀_x0001_＀＀਽ꏗ뵰䀨찀⌄䲑_x0017_啎幅䝆䕟呎噟䱁䕕㌨㐹㠷착!＀＀ ＀＀	＀＀_x0008_＀＀_x0001_＀＀_x0001_＀＀_x0001_＀＀鶲꟯☆䃑찀⌀䲑6啎幅䍅彁䕍乁䕟䥂䑔彁䅃䅌㈨〰ⰴ㄰㌯⼱〲㄰ㄬ⼲ㄳ㈯㄰ⰰ⥍ѐ＀＀ ＀＀и＀＀π＀＀_x0001_＀＀x＀＀_x0001_＀＀豀碵꼝쐕豀碵꼝쐕豀碵꼝쐕豀碵꼝쐕豀碵꼝쐕豀碵꼝쐕豀碵꼝쐕豀碵꼝쐕豀碵꼝쐕豀碵꼝쐕豀碵꼝쐕豀碵꼝쐕豀碵꼝쐕豀碵꼝쐕豀碵꼝쐕豀碵꼝쐕Წ摚鰻䂉좴빶殟䂊䆉Ӑ䂎閁譃鯬䂐閁譃鯬䂐꟰䯆쐷䂏꟰䯆쐷䂏꟰䯆쐷䂏긕㙺䂒⋑率浾䂏褷恁ụ䂋扎堐㜹䂌䆊❐䂈⧈鈺緋䂊⛪࠱鄬䂅⛪࠱鄬䂅⛪࠱鄬䂅틲才挐䂈틲才挐䂈틲才挐䂈᪠_xDD2F_㼤䂇赐溗璒䂆࠱Წ靚䂉鮥᷄䂐롒蔞ⷫ䂕롒蔞﷫䂗ᑺЮ䂠ᑺЮ䂠ਾꏗ忰䂠ᑻ䞮羡䂡ᑻ䞮羡䂡㌳㌳糳䂡긕尺䂡긕尺䂡긕尺䂡긕尺䂡긕尺䂡ᢔ嘄塎䂡ᢔ嘄塎䂡ᢔ嘄塎䂡ᢔ嘄塎䂡ᢔ嘄塎䂡ᢔ嘄塎䂡긕嘺䂡긕嘺䂡譄哻䂡譄哻䂡譄哻䂡譄哻䂡譄哻䂡譄哻䂡譄哻䂡譄哻䂡譄哻䂡譄哻䂡譄哻䂡譄哻䂡譄哻䂡譄哻䂡譄哻䂡譄哻䂡譄哻䂡譄哻䂡譄哻䂡譄哻䂡๖눭嘝䂡๖눭嘝䂡๖눭嘝䂡๖눭嘝䂡๖눭嘝䂡๖눭嘝䂡๖눭嘝䂡๖눭嘝䂡๖눭嘝䂡๖눭嘝䂡๖눭嘝䂡๖눭嘝䂡๖눭嘝䂡๖눭嘝䂡๖눭嘝䂡๖눭嘝䂡๖눭嘝䂡䎖沋堧䂡䎖沋堧䂡䎖沋堧䂡䎖沋堧䂡䎖沋堧䂡䎖沋堧䂡䎖沋堧䂡䎖沋堧䂡䎖沋堧䂡䎖沋堧䂡䎖沋堧䂡䎖沋堧䂡䎖沋堧䂡䎖沋堧䂡䎖沋堧䂡䎖沋堧䂡䎖沋堧䂡䎖沋堧䂡䎖沋堧䂡䎖沋堧䂡䎖沋堧䂡䎖沋堧䂡＀＀＀＀＀＀＀＀＀＀＀＀＀＀＀＀＀＀＀＀＀＀＀＀＀＀＀＀＀＀＀＀＀＀＀＀＀＀＀＀＀＀＀＀＀＀＀＀＀＀＀＀＀＀＀＀＀＀＀＀＀＀＀＀＀＀＀＀＀＀＀＀＀＀＀＀＀＀＀＀＀＀＀＀＀＀＀＀＀＀＀＀＀＀＀＀＀＀＀＀＀＀＀＀＀＀＀＀＀＀＀＀＀＀＀＀＀＀＀＀⌀䲑_x0013_啎幅䝆偟䥒䕃㌨㠸㜳착!＀＀ ＀＀	＀＀_x0008_＀＀_x0001_＀＀_x0001_＀＀_x0001_＀＀긔㑺䁋찀⌄䲑_x0017_啎幅䝆䕟呎噟䱁䕕㌨㘹〶착!＀＀ ＀＀	＀＀_x0008_＀＀_x0001_＀＀_x0001_＀＀_x0001_＀＀탥󘪩䃓찀⌄䲑(啎幅彐剐䍉彅䍈彌剆⡑⼱㄰〯ⰰ㈱㌯⼱〰䌬⥙!＀＀ ＀＀	＀＀_x0008_＀＀_x0001_＀＀_x0001_＀＀_x0001_＀＀＀＀＀＀䀫찀⌄䲑_x001B_啎幅䝆也呅䥟䍎兟㌨㜸㜱Ⱜ兆착!＀＀ ＀＀	＀＀_x0008_＀＀_x0001_＀＀_x0001_＀＀_x0001_＀＀脆䎕傋䁵찀⌄䲑_x001B_啎幅䝆也呅䥟䍎兟㌨㐵〳Ⱜ兆착!＀＀ ＀＀	＀＀_x0008_＀＀_x0001_＀＀_x0001_＀＀_x0001_＀＀豀碵꼝쐕찀⌄䲑_x001B_啎幅䝆也呅䥟䍎兟㌨㌸㈵Ⱜ兆착!＀＀ ＀＀	＀＀_x0008_＀＀_x0001_＀＀_x0001_＀＀_x0001_＀＀鮦⃄嚰䁵찀⌄䲑_x001B_啎幅䝆也呅䥟䍎兟㌨㤲㌶Ⱜ兆착!＀＀ ＀＀	＀＀_x0008_＀＀_x0001_＀＀_x0001_＀＀_x0001_＀＀豀碵꼝쐕찀⌄䲑_x001B_啎幅䝆也呅䥟䍎兟㌨㤸〹Ⱜ兆착Ą＀＀ ＀＀ì＀＀_x0008_＀＀_x0001_＀＀_x0001_＀＀_x0001_＀＀좴빶ⲟ䂀摦畳㩰⼯楄敲瑣潩獮䘯捡却瑥䄠摵瑩湩⁧楖睥牥愿瑣潩㵮啁䥄彔䅖啌♅䉄ㄽ㤲䤦ㅄ㘽〷㐳ㄶ☰䅖啌䥅㵄㄰㔵☱䑓呁㵅〲㘰㌰倦剅佉呄偙㵅呑归呓♄楷摮睯瀽灯灵湟彯慢♲楷瑤㵨㠳☵敨杩瑨ㄽ〲匦䅔呒䵟塁䵉婉䑅䘽䱁䕓挦敲瑡牯昽捡獴瑥搦獩汰祡獟牴湩㵧畁楤t⌄䲑_x001B_啎幅䝆也呅䥟䍎兟㌨㠵㔸Ⱜ兆착!＀＀ ＀＀	＀＀_x0008_＀＀_x0001_＀＀_x0001_＀＀_x0001_＀＀熗͓䣍䁐찀⌃䲑_x0017_啎幅䝆䕟呎噟䱁䕕㌨㘸㔲착!＀＀ ＀＀	＀＀_x0008_＀＀_x0001_＀＀_x0001_＀＀_x0001_＀＀䦺Ȍૻ䃂찀⌂䲑_x0017_啎幅䝆䕟呎噟䱁䕕㌨㜷㈷착!＀＀ ＀＀	＀＀_x0008_＀＀_x0001_＀＀_x0001_＀＀_x0001_＀＀㔿멞ࣩ䂲찀⌀䲑_x0013_啎幅䝆偟䥒䕃㌨㤶ㄸ착!＀＀ ＀＀	＀＀_x0008_＀＀_x0001_＀＀_x0001_＀＀_x0001_＀＀尩슏ࣵ䀤찀⌀䲑3啎幅䍅彁䕍乁䕟卐䍟䱁⡁〲㤰〬⼱ㄳ㈯〰ⰱ㈱㌯⼱〲㤰䴬착Ϥ＀＀ ＀＀ό＀＀͠＀＀_x0001_＀＀l＀＀_x0001_＀＀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䀗㌴㌳㌳䀗㌴㌳㌳䀗쳍쳌쳌䀚纻滁曘䀗纻滁曘䀗纻滁曘䀗픧䴾䀕퓩쾕볲䀕圄ɹݡ䀘圄ɹݡ䀘쉦䀗卩轵Ṭ䀘᝺쟯䟭䀘㓛ힶ庂䀙憌偎䀛뗠ୋ䀜ꕃ茑䀝郖잸쟒䀝郖잸쟒䀝進靧赯䀝쁾䌃䀖谀큧࿐䀖d㷆䀑ᦨ䕒꫱䀍畤ឤ䀎钲淑㿪켄侀㄰뿥鞜᫔杖뿨詏㓻咓뿬툕⼫뿨琀醡뿧뇼銩뿩䉉돇㹰뿫狺䢰㱝뿫ꂺ斾坎뿰＀＀＀＀＀＀＀＀＀＀＀＀＀＀＀＀＀＀＀＀＀＀＀＀＀＀＀＀＀＀＀＀＀＀＀＀＀＀＀＀＀＀＀＀＀＀＀＀＀＀＀＀＀＀＀＀＀＀＀＀＀＀＀＀＀＀＀＀＀＀＀＀＀＀＀＀＀＀＀＀＀＀＀＀＀＀＀＀＀＀＀＀＀＀＀＀＀＀＀＀＀＀＀＀＀＀＀＀⌄䲑_x001B_啎幅䝆也呅䥟䍎兟㌨㌴㐳Ⱜ兆착!＀＀ ＀＀	＀＀_x0008_＀＀_x0001_＀＀_x0001_＀＀_x0001_＀＀豀碵꼝쐕찀⌄䲑_x001B_啎幅䝆也呅䥟䍎兟㌨㈷㘵Ⱜ兆착!＀＀ ＀＀	＀＀_x0008_＀＀_x0001_＀＀_x0001_＀＀_x0001_＀＀耰ꇰ睄䀺찀⌄䲑_x001B_啎幅䝆也呅䥟䍎兟㌨㤴㈷Ⱜ兆착!＀＀ ＀＀	＀＀_x0008_＀＀_x0001_＀＀_x0001_＀＀_x0001_＀＀豀碵꼝쐕찀⌄䲑_x001B_啎幅䝆也呅䥟䍎兟㌨㠷㐹Ⱜ兆착!＀＀ ＀＀	＀＀_x0008_＀＀_x0001_＀＀_x0001_＀＀_x0001_＀＀茒쫀֡䀰찀⌃䲑_x0017_啎幅䝆䕟呎噟䱁䕕㌨㈹㈰착!＀＀ ＀＀	＀＀_x0008_＀＀_x0001_＀＀_x0001_＀＀_x0001_＀＀酨糭꾯䃑찀⌄䲑(啎幅彐剐䍉彅䍌彌剆⡑⼱㄰㤯ⰹ㈱㌯⼱㤹䌬⥙!＀＀ ＀＀	＀＀_x0008_＀＀_x0001_＀＀_x0001_＀＀_x0001_＀＀＀＀＀＀䀤찀⌀䲑_x0013_啎幅䝆偟䥒䕃㌨㌷㘷착!＀＀ ＀＀	＀＀_x0008_＀＀_x0001_＀＀_x0001_＀＀_x0001_＀＀馚香㦙䀭찀⌀䲑_x0013_啎幅䝆偟䥒䕃㌨㐸ㄱ착!＀＀ ＀＀	＀＀_x0008_＀＀_x0001_＀＀_x0001_＀＀_x0001_＀＀凬Ẹ⮅䀿찀⌀䲑_x0013_啎幅䝆偟䥒䕃㌨㘷ㄲ착!＀＀ ＀＀	＀＀_x0008_＀＀_x0001_＀＀_x0001_＀＀_x0001_＀＀晦晦Ꙧ䀤찀⌀䲑_x0013_啎幅䝆偟䥒䕃㌨〹ㄵ착!＀＀ ＀＀	＀＀_x0008_＀＀_x0001_＀＀_x0001_＀＀_x0001_＀＀쳍쳌䁍찀⌄䲑_x001B_啎幅䝆䵟䅅彎偅当奆⠳ⰰⰬ〹착!＀＀ ＀＀	＀＀_x0008_＀＀_x0001_＀＀_x0001_＀＀_x0001_＀＀_xD8E5_㿕엣䀑찀⌄䲑$啎幅彐剐䍉彅噁⡇⼱㄰〯ⰲ㈱㌯⼱㈰䌬⥙!＀＀ ＀＀	＀＀_x0008_＀＀_x0001_＀＀_x0001_＀＀_x0001_＀＀娾㆜䀪찀⌂䲑_x0017_啎幅䝆䕟呎噟䱁䕕㌨〸㜱착!＀＀ ＀＀	＀＀_x0008_＀＀_x0001_＀＀_x0001_＀＀_x0001_＀＀體ᷦ悷䂴찀⋿䲑_x001C_啎幅彐剐䍉彅噁⡇㤳㈶ⰹ㤳㈷⤱!＀＀ ＀＀	＀＀_x0008_＀＀_x0001_＀＀_x0001_＀＀_x0001_＀＀᭝옪쟹䁊찀⌄䲑_x001B_啎幅䝆也呅䥟䍎兟㌨㤶ㄸⰬ兆착!＀＀ ＀＀	＀＀_x0008_＀＀_x0001_＀＀_x0001_＀＀_x0001_＀＀䎳쏼庖䁀찀⌂䲑_x0017_啎幅䝆䕟呎噟䱁䕕㌨ㄷ㐶착!＀＀ ＀＀	＀＀_x0008_＀＀_x0001_＀＀_x0001_＀＀_x0001_＀＀ᄴ㰶ꞽ䂪찀ꌘ䵁_x001C_啎幅彐剐䍉彅噁⡇〴㔳ⰹ〴㔴⤱!＀＀ ＀＀	＀＀_x0008_＀＀_x0001_＀＀_x0001_＀＀_x0001_＀＀⸟应䁃찀⌄䲑_x0017_啎幅䝆䕟呎噟䱁䕕㌨㘹㤲착!＀＀ ＀＀	＀＀_x0008_＀＀_x0001_＀＀_x0001_＀＀_x0001_＀＀ꏗ㵰䎺䃙찀⌃䲑_x0017_啎幅䝆䕟呎噟䱁䕕㌨㜸㘷착!＀＀ ＀＀	＀＀_x0008_＀＀_x0001_＀＀_x0001_＀＀_x0001_＀＀䞮竡ၤ䃉찀⌂䲑_x0017_啎幅䝆䕟呎噟䱁䕕㌨㤷㘸착!＀＀ ＀＀	＀＀_x0008_＀＀_x0001_＀＀_x0001_＀＀_x0001_＀＀ꏗ㵰䡚䂴찀⌀䲑_x0013_啎幅䝆偟䥒䕃㌨㐹㠷착!＀＀ ＀＀	＀＀_x0008_＀＀_x0001_＀＀_x0001_＀＀_x0001_＀＀凬Ẹ䁌찀⌄䲑(啎幅彐剐䍉彅䍌彌剆⡑⼱㄰〯ⰰ㈱㌯⼱〰䌬⥙!＀＀ ＀＀	＀＀_x0008_＀＀_x0001_＀＀_x0001_＀＀_x0001_＀＀＀＀＀＀＀＀䀞찀⋿䲑_x001C_啎幅彐剐䍉彅噁⡇㤳〹ⰳ㤳㤹⤴!＀＀ ＀＀	＀＀_x0008_＀＀_x0001_＀＀_x0001_＀＀_x0001_＀＀ᆲ히韵䁅찀⌀䲑_x0013_啎幅䝆偟䥒䕃㌨㘹〶착!＀＀ ＀＀	＀＀_x0008_＀＀_x0001_＀＀_x0001_＀＀_x0001_＀＀轜鰨䁌찀⌄䲑_x0016_啎幅䍅彁䕍乁䕟䥂⡔ⰳ⤰!＀＀ ＀＀	＀＀_x0008_＀＀_x0001_＀＀_x0001_＀＀_x0001_＀＀ⓝ脆ᮕ䂣찀⌄䲑_x0017_啎幅䝆䕟呎噟䱁䕕㌨㐹㘱착!＀＀ ＀＀	＀＀_x0008_＀＀_x0001_＀＀_x0001_＀＀_x0001_＀＀蜫_xD916_螮䃑찀⌄䲑(啎幅彐剐䍉彅䍈彌剆⡑⼱㄰〯ⰱ㈱㌯⼱㄰䌬⥙!＀＀ ＀＀	＀＀_x0008_＀＀_x0001_＀＀_x0001_＀＀_x0001_＀＀＀＀＀＀＀＀䀬찀ꭜ䳁_x000F_啎幅䝆偟䥒䕃〨착!＀＀ ＀＀	＀＀_x0008_＀＀_x0001_＀＀_x0001_＀＀_x0001_＀＀롒蔞䁂찀⌀䲑_x0013_啎幅䝆偟䥒䕃㌨㘸㔲착!＀＀ ＀＀	＀＀_x0008_＀＀_x0001_＀＀_x0001_＀＀_x0001_＀＀蔟凫纸䀽찀⌀䲑_x0013_啎幅䝆偟䥒䕃㌨㜷㈷착!＀＀ ＀＀	＀＀_x0008_＀＀_x0001_＀＀_x0001_＀＀_x0001_＀＀롒蔞퇫䀧찀⌀䲑3啎幅䍅彁䕍乁䕟卐䍟䱁⡁〲㈰〬⼱ㄳ㈯〰ⰱ㈱㌯⼱〲㤰䴬착Ϥ＀＀ ＀＀ό＀＀͠＀＀_x0001_＀＀l＀＀_x0001_＀＀쳍쳌쳌㿬竡긔㿮瓻昼犠㿯ⴘ䷶륐㿬栉氢㩸㿪栉氢멸㿬ᓸ됙㿩⽦仛ꍛ㿪炤਽ꏗ㿦尨슏㿡䅄蘺䰑㿠츭彳㿠靿썣៤㿡슐⣵轜㿡슐⣵轜㿡潌⹿爚㿢繷죶놋㿣⽜韲㿣㳽࣋㿤眭艦᳡㿤亱褙㿡ä觤㿞屖_xDBC1_휨㿝屖_xDBC1_휨㿝쟄꫌鱴㿝䍼돡㿞픱ᐧ饽㿟_xDD22_⧏俈㿟₸陛䮯㿟₸陛䮯㿟₸陛䮯㿟₸陛䮯㿟₸陛䮯㿟粕⻬剐㿞粕⻬剐㿞楐፩㷌㿞楐፩㷌㿞楐፩㷌㿞楐፩㷌㿞䠖籐㿞䠖籐㿞䠖籐㿞䠖籐㿞䠖籐㿞䠖籐㿞䠖籐㿞䠖籐㿞䠖籐㿞䠖籐㿞䠖籐㿞䠖籐㿞䠖籐㿞䠖籐㿞䠖籐㿞䠖籐㿞䠖籐㿞䠖籐㿞䠖籐㿞䠖籐㿞䠖籐㿞䠖籐㿞䠖籐㿞䠖籐㿞䠖籐㿞䠖籐㿞䠖籐㿞䠖籐㿞䠖籐㿞䠖籐㿞䠖籐㿞䠖籐㿞䠖籐㿞䠖籐㿞䠖籐㿞䠖籐㿞䠖籐㿞䠖籐㿞✵㈯㼁㿞✵㈯㼁㿞✵㈯㼁㿞✵㈯㼁㿞厣㿞厣㿞厣㿞厣㿞厣㿞厣㿞厣㿞⏯桏㿞⏯桏㿞⏯桏㿞⏯桏㿞⺇뙍舦㿞⺇뙍舦㿞⺇뙍舦㿞뷦酻␚㿟뷦酻␚㿟뷦酻␚㿟뷦酻␚㿟뷦酻␚㿟뷦酻␚㿟뷦酻␚㿟뷦酻␚㿟뷦酻␚㿟뷦酻␚㿟뷦酻␚㿟뷦酻␚㿟뷦酻␚㿟＀＀＀＀＀＀＀＀＀＀＀＀＀＀＀＀＀＀＀＀＀＀＀＀＀＀＀＀＀＀＀＀＀＀＀＀＀＀＀＀＀＀＀＀＀＀＀＀＀＀＀＀＀＀＀＀＀＀＀＀＀＀＀＀＀＀＀＀＀＀＀＀＀＀＀＀＀＀＀＀＀＀＀＀＀＀＀＀＀＀＀＀＀＀＀＀＀＀＀＀＀＀＀＀＀＀＀＀⌄䲑_x001B_啎幅䝆也呅䥟䍎兟㌨㜶㜰Ⱜ兆착!＀＀ ＀＀	＀＀_x0008_＀＀_x0001_＀＀_x0001_＀＀_x0001_＀＀솋듃獯䁔찀⌄䲑_x001B_啎幅䝆也呅䥟䍎兟㌨㘹㤲Ⱜ兆착Ą＀＀ ＀＀ì＀＀_x0008_＀＀_x0001_＀＀_x0001_＀＀_x0001_＀＀ㄦ☈䂂摦畳㩰⼯楄敲瑣潩獮䘯捡却瑥䄠摵瑩湩⁧楖睥牥愿瑣潩㵮啁䥄彔䅖啌♅䉄ㄽ㤲䤦ㅄ㘽〷㐳ㄶ☰䅖啌䥅㵄㄰㔵☱䑓呁㵅〲㠰㈰倦剅佉呄偙㵅呑归呓♄楷摮睯瀽灯灵湟彯慢♲楷瑤㵨㠳☵敨杩瑨ㄽ〲匦䅔呒䵟塁䵉婉䑅䘽䱁䕓挦敲瑡牯昽捡獴瑥搦獩汰祡獟牴湩㵧畁楤t⌃䲑_x0017_啎幅䝆䕟呎噟䱁䕕㌨ㄸ㠶착!＀＀ ＀＀	＀＀_x0008_＀＀_x0001_＀＀_x0001_＀＀_x0001_＀＀ﷴ磔䣩䂺찀⌂䲑_x0017_啎幅䝆䕟呎噟䱁䕕㌨㔷〶착!＀＀ ＀＀	＀＀_x0008_＀＀_x0001_＀＀_x0001_＀＀_x0001_＀＀字뾱랬䂪찀⌀䲑_x0013_啎幅䝆偟䥒䕃㌨㈹㈰착!＀＀ ＀＀	＀＀_x0008_＀＀_x0001_＀＀_x0001_＀＀_x0001_＀＀ᑻ䞮뫡䁏찀</t>
        </r>
      </text>
    </comment>
    <comment ref="B1" authorId="0">
      <text>
        <r>
          <rPr>
            <b/>
            <sz val="8"/>
            <color indexed="81"/>
            <rFont val="Tahoma"/>
            <family val="2"/>
          </rPr>
          <t>32280</t>
        </r>
      </text>
    </comment>
  </commentList>
</comments>
</file>

<file path=xl/comments6.xml><?xml version="1.0" encoding="utf-8"?>
<comments xmlns="http://schemas.openxmlformats.org/spreadsheetml/2006/main">
  <authors>
    <author>Hunter Alley</author>
  </authors>
  <commentList>
    <comment ref="B7" authorId="0">
      <text>
        <r>
          <rPr>
            <b/>
            <sz val="9"/>
            <color indexed="81"/>
            <rFont val="Tahoma"/>
            <family val="2"/>
          </rPr>
          <t>Hunter Alley:</t>
        </r>
        <r>
          <rPr>
            <sz val="9"/>
            <color indexed="81"/>
            <rFont val="Tahoma"/>
            <family val="2"/>
          </rPr>
          <t xml:space="preserve">
Comes from supplemental documents.</t>
        </r>
      </text>
    </comment>
    <comment ref="B8" authorId="0">
      <text>
        <r>
          <rPr>
            <b/>
            <sz val="9"/>
            <color indexed="81"/>
            <rFont val="Tahoma"/>
            <family val="2"/>
          </rPr>
          <t>Hunter Alley:</t>
        </r>
        <r>
          <rPr>
            <sz val="9"/>
            <color indexed="81"/>
            <rFont val="Tahoma"/>
            <family val="2"/>
          </rPr>
          <t xml:space="preserve">
Appears in front page text of earnings release
</t>
        </r>
      </text>
    </comment>
    <comment ref="B20" authorId="0">
      <text>
        <r>
          <rPr>
            <b/>
            <sz val="9"/>
            <color indexed="81"/>
            <rFont val="Tahoma"/>
            <family val="2"/>
          </rPr>
          <t>Hunter Alley:</t>
        </r>
        <r>
          <rPr>
            <sz val="9"/>
            <color indexed="81"/>
            <rFont val="Tahoma"/>
            <family val="2"/>
          </rPr>
          <t xml:space="preserve">
EBT on cover plus interst expense.</t>
        </r>
      </text>
    </comment>
  </commentList>
</comments>
</file>

<file path=xl/comments7.xml><?xml version="1.0" encoding="utf-8"?>
<comments xmlns="http://schemas.openxmlformats.org/spreadsheetml/2006/main">
  <authors>
    <author>balachan</author>
    <author>Evan L. Kurtz</author>
  </authors>
  <commentList>
    <comment ref="J10" authorId="0">
      <text>
        <r>
          <rPr>
            <b/>
            <sz val="8"/>
            <color indexed="81"/>
            <rFont val="Tahoma"/>
            <family val="2"/>
          </rPr>
          <t>balachan:</t>
        </r>
        <r>
          <rPr>
            <sz val="8"/>
            <color indexed="81"/>
            <rFont val="Tahoma"/>
            <family val="2"/>
          </rPr>
          <t xml:space="preserve">
Cold finished steel bars for shafting and precision machined parts.</t>
        </r>
      </text>
    </comment>
    <comment ref="J11" authorId="0">
      <text>
        <r>
          <rPr>
            <b/>
            <sz val="8"/>
            <color indexed="81"/>
            <rFont val="Tahoma"/>
            <family val="2"/>
          </rPr>
          <t>balachan:</t>
        </r>
        <r>
          <rPr>
            <sz val="8"/>
            <color indexed="81"/>
            <rFont val="Tahoma"/>
            <family val="2"/>
          </rPr>
          <t xml:space="preserve">
Cold finished steel bars for shafting and precision machined parts.</t>
        </r>
      </text>
    </comment>
    <comment ref="F21" authorId="0">
      <text>
        <r>
          <rPr>
            <b/>
            <sz val="8"/>
            <color indexed="81"/>
            <rFont val="Tahoma"/>
            <family val="2"/>
          </rPr>
          <t>balachan:</t>
        </r>
        <r>
          <rPr>
            <sz val="8"/>
            <color indexed="81"/>
            <rFont val="Tahoma"/>
            <family val="2"/>
          </rPr>
          <t xml:space="preserve">
Cold rolled sheet</t>
        </r>
      </text>
    </comment>
    <comment ref="F22" authorId="0">
      <text>
        <r>
          <rPr>
            <b/>
            <sz val="8"/>
            <color indexed="81"/>
            <rFont val="Tahoma"/>
            <family val="2"/>
          </rPr>
          <t>balachan:</t>
        </r>
        <r>
          <rPr>
            <sz val="8"/>
            <color indexed="81"/>
            <rFont val="Tahoma"/>
            <family val="2"/>
          </rPr>
          <t xml:space="preserve">
Cold rolled sheet</t>
        </r>
      </text>
    </comment>
    <comment ref="F23" authorId="0">
      <text>
        <r>
          <rPr>
            <b/>
            <sz val="8"/>
            <color indexed="81"/>
            <rFont val="Tahoma"/>
            <family val="2"/>
          </rPr>
          <t>balachan:</t>
        </r>
        <r>
          <rPr>
            <sz val="8"/>
            <color indexed="81"/>
            <rFont val="Tahoma"/>
            <family val="2"/>
          </rPr>
          <t xml:space="preserve">
Cold rolled sheet</t>
        </r>
      </text>
    </comment>
    <comment ref="F24" authorId="0">
      <text>
        <r>
          <rPr>
            <b/>
            <sz val="8"/>
            <color indexed="81"/>
            <rFont val="Tahoma"/>
            <family val="2"/>
          </rPr>
          <t>balachan:</t>
        </r>
        <r>
          <rPr>
            <sz val="8"/>
            <color indexed="81"/>
            <rFont val="Tahoma"/>
            <family val="2"/>
          </rPr>
          <t xml:space="preserve">
Cold rolled sheet</t>
        </r>
      </text>
    </comment>
    <comment ref="B25" authorId="0">
      <text>
        <r>
          <rPr>
            <b/>
            <sz val="8"/>
            <color indexed="81"/>
            <rFont val="Tahoma"/>
            <family val="2"/>
          </rPr>
          <t>balachan:</t>
        </r>
        <r>
          <rPr>
            <sz val="8"/>
            <color indexed="81"/>
            <rFont val="Tahoma"/>
            <family val="2"/>
          </rPr>
          <t xml:space="preserve">
Structural Mill</t>
        </r>
      </text>
    </comment>
    <comment ref="B26" authorId="0">
      <text>
        <r>
          <rPr>
            <b/>
            <sz val="8"/>
            <color indexed="81"/>
            <rFont val="Tahoma"/>
            <family val="2"/>
          </rPr>
          <t>balachan:</t>
        </r>
        <r>
          <rPr>
            <sz val="8"/>
            <color indexed="81"/>
            <rFont val="Tahoma"/>
            <family val="2"/>
          </rPr>
          <t xml:space="preserve">
Structural Mill</t>
        </r>
      </text>
    </comment>
    <comment ref="J32" authorId="0">
      <text>
        <r>
          <rPr>
            <b/>
            <sz val="8"/>
            <color indexed="81"/>
            <rFont val="Tahoma"/>
            <family val="2"/>
          </rPr>
          <t>balachan:</t>
        </r>
        <r>
          <rPr>
            <sz val="8"/>
            <color indexed="81"/>
            <rFont val="Tahoma"/>
            <family val="2"/>
          </rPr>
          <t xml:space="preserve">
Cold finished steel bars for shafting and precision machined parts.</t>
        </r>
      </text>
    </comment>
    <comment ref="J39" authorId="0">
      <text>
        <r>
          <rPr>
            <b/>
            <sz val="8"/>
            <color indexed="81"/>
            <rFont val="Tahoma"/>
            <family val="2"/>
          </rPr>
          <t>balachan:</t>
        </r>
        <r>
          <rPr>
            <sz val="8"/>
            <color indexed="81"/>
            <rFont val="Tahoma"/>
            <family val="2"/>
          </rPr>
          <t xml:space="preserve">
Cold finished steel bars for shafting and precision machined parts.</t>
        </r>
      </text>
    </comment>
    <comment ref="T43" authorId="1">
      <text>
        <r>
          <rPr>
            <b/>
            <sz val="8"/>
            <color indexed="81"/>
            <rFont val="Tahoma"/>
            <family val="2"/>
          </rPr>
          <t>Evan L. Kurtz:</t>
        </r>
        <r>
          <rPr>
            <sz val="8"/>
            <color indexed="81"/>
            <rFont val="Tahoma"/>
            <family val="2"/>
          </rPr>
          <t xml:space="preserve">
20m in brokerage</t>
        </r>
      </text>
    </comment>
    <comment ref="T56" authorId="1">
      <text>
        <r>
          <rPr>
            <b/>
            <sz val="8"/>
            <color indexed="81"/>
            <rFont val="Tahoma"/>
            <family val="2"/>
          </rPr>
          <t>Evan L. Kurtz:</t>
        </r>
        <r>
          <rPr>
            <sz val="8"/>
            <color indexed="81"/>
            <rFont val="Tahoma"/>
            <family val="2"/>
          </rPr>
          <t xml:space="preserve">
DJJ purchase price was $1.4b</t>
        </r>
      </text>
    </comment>
  </commentList>
</comments>
</file>

<file path=xl/sharedStrings.xml><?xml version="1.0" encoding="utf-8"?>
<sst xmlns="http://schemas.openxmlformats.org/spreadsheetml/2006/main" count="1544" uniqueCount="1057">
  <si>
    <t>Accounts Receivable</t>
  </si>
  <si>
    <t>Inventories</t>
  </si>
  <si>
    <t>Other Current Assets</t>
  </si>
  <si>
    <t>Current Assets</t>
  </si>
  <si>
    <t>Other Assets</t>
  </si>
  <si>
    <t>Cash Rate</t>
  </si>
  <si>
    <t>Debt Issuance</t>
  </si>
  <si>
    <t>Debt Paydown</t>
  </si>
  <si>
    <t>Delta to last actuals</t>
  </si>
  <si>
    <t>Short Term Debt and LT Due within 1-Yr.</t>
  </si>
  <si>
    <t>Cash &amp; equivalents at BOP</t>
  </si>
  <si>
    <t>Variable rate</t>
  </si>
  <si>
    <t>2009 Notes 6%</t>
  </si>
  <si>
    <t>2012 Notes 4 7/8%</t>
  </si>
  <si>
    <t>2012 Notes 5%</t>
  </si>
  <si>
    <t>2013 Notes 5%</t>
  </si>
  <si>
    <t>2017 Notes 5 3/4%</t>
  </si>
  <si>
    <t>2018 Notes 5.85%</t>
  </si>
  <si>
    <t>2037 Notes 6.4%</t>
  </si>
  <si>
    <t>Change in ST Debt</t>
  </si>
  <si>
    <t>Lookups</t>
  </si>
  <si>
    <t>Fabrication Productions</t>
  </si>
  <si>
    <t>EPS Growth YoY</t>
  </si>
  <si>
    <t>FCF Yield</t>
  </si>
  <si>
    <t>ROIC</t>
  </si>
  <si>
    <t>NUE,mscalc:returnOnNetOperatingAssets,2009FY,,FYR</t>
  </si>
  <si>
    <t>NUE,mscalc:returnOnNetOperatingAssets,2010FY,,FYR</t>
  </si>
  <si>
    <t>$R$2</t>
  </si>
  <si>
    <t>Capacity Utilization</t>
  </si>
  <si>
    <t>Outside shipment to total</t>
  </si>
  <si>
    <t>Metal Spread</t>
  </si>
  <si>
    <t>Total Shipments</t>
  </si>
  <si>
    <t>Other changes in assets and liabilities</t>
  </si>
  <si>
    <t>Cash From Operations</t>
  </si>
  <si>
    <t>Total changes in working capital</t>
  </si>
  <si>
    <t>Accrued and Other liabilities</t>
  </si>
  <si>
    <t>Accounts Payable</t>
  </si>
  <si>
    <t>Invested in capital projects</t>
  </si>
  <si>
    <t>1Q02</t>
  </si>
  <si>
    <t>Assets</t>
  </si>
  <si>
    <t>Estimated Shipments</t>
  </si>
  <si>
    <t>Revenue/ton</t>
  </si>
  <si>
    <t>Seattle Works</t>
  </si>
  <si>
    <t>Seattle,Washington</t>
  </si>
  <si>
    <t>Marion Works</t>
  </si>
  <si>
    <t>Marion,Ohio</t>
  </si>
  <si>
    <t>Wallingford Works</t>
  </si>
  <si>
    <t>Wallingford,Connecticut</t>
  </si>
  <si>
    <t>Check</t>
  </si>
  <si>
    <t>Working Capital Analysis</t>
  </si>
  <si>
    <t>Change in Payables</t>
  </si>
  <si>
    <t>Steel Operations</t>
  </si>
  <si>
    <t>Acquisitions</t>
  </si>
  <si>
    <t>Capex</t>
  </si>
  <si>
    <t>Net Cash used in Investing</t>
  </si>
  <si>
    <t>Proceeds from Equity</t>
  </si>
  <si>
    <t>Proceeds from Debt</t>
  </si>
  <si>
    <t>Net Cash Inflow</t>
  </si>
  <si>
    <t>Average Stock Price</t>
  </si>
  <si>
    <t>Average Basic Shares Outstanding</t>
  </si>
  <si>
    <t>Total Debt</t>
  </si>
  <si>
    <t>4Q05</t>
  </si>
  <si>
    <t>EBITDA</t>
  </si>
  <si>
    <t>HRC</t>
  </si>
  <si>
    <t>2003A</t>
  </si>
  <si>
    <t>Net Income (Reported)</t>
  </si>
  <si>
    <t>Payables</t>
  </si>
  <si>
    <t>Important Ratios</t>
  </si>
  <si>
    <t>Liabilities &amp; Equity</t>
  </si>
  <si>
    <t>EV/EBITDA</t>
  </si>
  <si>
    <t>Revenue</t>
  </si>
  <si>
    <t>CapEx (from 10-K)</t>
  </si>
  <si>
    <t>Plate Mills</t>
  </si>
  <si>
    <t>Darlington Works</t>
  </si>
  <si>
    <t>Darlington,South Carolina</t>
  </si>
  <si>
    <t>Operating Profit</t>
  </si>
  <si>
    <t>Retained Earnings</t>
  </si>
  <si>
    <t>Accumulated Comprehensive Income(loss)</t>
  </si>
  <si>
    <t>Common Stock Held in Treasury</t>
  </si>
  <si>
    <t>Blended Bar</t>
  </si>
  <si>
    <t>Rebar/M Bar</t>
  </si>
  <si>
    <t>Spot Price</t>
  </si>
  <si>
    <t>Other Long Term Liabilities</t>
  </si>
  <si>
    <t>Common Stock</t>
  </si>
  <si>
    <t>(Increase) in Working Capital</t>
  </si>
  <si>
    <t>Net Cash from Operations</t>
  </si>
  <si>
    <t>Change in Working Capital</t>
  </si>
  <si>
    <t>Cash At Beginning of Period</t>
  </si>
  <si>
    <t>Cash at End of Period</t>
  </si>
  <si>
    <t>Cash Cycle</t>
  </si>
  <si>
    <t>Kwinana,Western Australia</t>
  </si>
  <si>
    <t>Corporate</t>
  </si>
  <si>
    <t>CAPEX</t>
  </si>
  <si>
    <t xml:space="preserve">   Total</t>
  </si>
  <si>
    <t>EBITDA - CAPEX</t>
  </si>
  <si>
    <t>EBITDA/Ton</t>
  </si>
  <si>
    <t>Earnings/Ton</t>
  </si>
  <si>
    <t>Book Value</t>
  </si>
  <si>
    <t>Segment Analysis</t>
  </si>
  <si>
    <t>REVENUE</t>
  </si>
  <si>
    <t xml:space="preserve">  Total</t>
  </si>
  <si>
    <t>Total Net Sales</t>
  </si>
  <si>
    <t>Net Income</t>
  </si>
  <si>
    <t>Details of Charges/(Gains)</t>
  </si>
  <si>
    <t>SEGMENT REVENUE</t>
  </si>
  <si>
    <t>Seq. Growth %</t>
  </si>
  <si>
    <t>Revenues</t>
  </si>
  <si>
    <t>EBIT</t>
  </si>
  <si>
    <t>1Q</t>
  </si>
  <si>
    <t>NUE.N,mscalc:targetPrice</t>
  </si>
  <si>
    <t>,mscalc:sedolCodeCalc</t>
  </si>
  <si>
    <t>,mscalc:closePriceCurrencyCalc</t>
  </si>
  <si>
    <t>,mscalc:targetPrice,,,,USD</t>
  </si>
  <si>
    <t>#1 Busheling Scrap (Long Ton)</t>
  </si>
  <si>
    <t>Blended Scrap</t>
  </si>
  <si>
    <t>Tax Details</t>
  </si>
  <si>
    <t>Reported Taxes</t>
  </si>
  <si>
    <t>4QE</t>
  </si>
  <si>
    <t>Y-O-Y Change</t>
  </si>
  <si>
    <t>Auburn Works</t>
  </si>
  <si>
    <t>Inventory Turnover (COGS/Avg.Inv.)</t>
  </si>
  <si>
    <t>Blended Spot Scrap Cost</t>
  </si>
  <si>
    <t>Shares Outstanding Details</t>
  </si>
  <si>
    <t>Total</t>
  </si>
  <si>
    <t>Phoenix Works</t>
  </si>
  <si>
    <t>Phoenix,Arizona</t>
  </si>
  <si>
    <t>Steel decking</t>
  </si>
  <si>
    <t>CapEx</t>
  </si>
  <si>
    <t>Cash COGS</t>
  </si>
  <si>
    <t>Net Cash used in Financing</t>
  </si>
  <si>
    <t>Shipments, kt</t>
  </si>
  <si>
    <t>Other ST Liabilities</t>
  </si>
  <si>
    <t>Cold Finished bar</t>
  </si>
  <si>
    <t>#1 Busheling Scrap</t>
  </si>
  <si>
    <t>1Q12</t>
  </si>
  <si>
    <t>2Q12</t>
  </si>
  <si>
    <t>3Q12</t>
  </si>
  <si>
    <t>4Q12</t>
  </si>
  <si>
    <t>Proceeds from issuance of common stock</t>
  </si>
  <si>
    <t>Cash flows from financing activities</t>
  </si>
  <si>
    <t>Dividends paid</t>
  </si>
  <si>
    <t>Purchase of treasury shares</t>
  </si>
  <si>
    <t>Net Debt</t>
  </si>
  <si>
    <t>Financing Activities</t>
  </si>
  <si>
    <t>ASSET LIFE ANALYSIS</t>
  </si>
  <si>
    <t>CapEx per ton</t>
  </si>
  <si>
    <t>Plymouth Works</t>
  </si>
  <si>
    <t>Closing Cash Balance</t>
  </si>
  <si>
    <t>Scrap</t>
  </si>
  <si>
    <t>Short term investment decrease/increase</t>
  </si>
  <si>
    <t>Nucor Mills and Capacity</t>
  </si>
  <si>
    <t>Investing Activities</t>
  </si>
  <si>
    <t>Other</t>
  </si>
  <si>
    <t>($ millions Except Per Share Data)</t>
  </si>
  <si>
    <t>Operating Activities</t>
  </si>
  <si>
    <t>Currency</t>
  </si>
  <si>
    <t>2022 Notes 4.125%</t>
  </si>
  <si>
    <t>FY10</t>
  </si>
  <si>
    <t>FY11</t>
  </si>
  <si>
    <t>FY12</t>
  </si>
  <si>
    <t>This sheet contains Factset binary data for use with this workbook's =FDS codes.  Modifying the worksheet's contents may damage the workbook's =FDS functionality.</t>
  </si>
  <si>
    <t>Steel Production (k metric tonnes)</t>
  </si>
  <si>
    <t>Steel Shipments (k metric tonnes)</t>
  </si>
  <si>
    <t>Steel Capacity (k metric tonnes)</t>
  </si>
  <si>
    <t>Sheet Realization</t>
  </si>
  <si>
    <t>Steel Shipments</t>
  </si>
  <si>
    <t>Leverage (Net Debt/EBITDA)</t>
  </si>
  <si>
    <t>51</t>
  </si>
  <si>
    <t>Finished Replacement Cost Per Ton</t>
  </si>
  <si>
    <t>Finished Replacement Cost</t>
  </si>
  <si>
    <t>Raw Material Replacement Cost Per Ton</t>
  </si>
  <si>
    <t>Raw Material Replacement Costs</t>
  </si>
  <si>
    <t>Total Replacement Value</t>
  </si>
  <si>
    <t>Less Net Debt</t>
  </si>
  <si>
    <t>Debt Schedule ($MM)</t>
  </si>
  <si>
    <t>Interest</t>
  </si>
  <si>
    <t>LIBOR Swap curve</t>
  </si>
  <si>
    <t>Revolver</t>
  </si>
  <si>
    <t>US revolver/term loan rate</t>
  </si>
  <si>
    <t>Beginning balance</t>
  </si>
  <si>
    <t xml:space="preserve">Issuance </t>
  </si>
  <si>
    <t>(Paydown)</t>
  </si>
  <si>
    <t>Ending balance</t>
  </si>
  <si>
    <t>Average balance</t>
  </si>
  <si>
    <t>Cash Interest</t>
  </si>
  <si>
    <t>Total Revolver Size</t>
  </si>
  <si>
    <t>Max Capacity:</t>
  </si>
  <si>
    <t>Cash Interest Expense (incl. fees)</t>
  </si>
  <si>
    <t>Mandatory Paydown</t>
  </si>
  <si>
    <t>Cash and equivalents</t>
  </si>
  <si>
    <t>Free Cash Flow (inc. ALL investing CF)</t>
  </si>
  <si>
    <t>SG&amp;A</t>
  </si>
  <si>
    <t>D&amp;A</t>
  </si>
  <si>
    <t>Pre-Tax Income</t>
  </si>
  <si>
    <t>2020 Gulf Opportunity Notes 4.5%</t>
  </si>
  <si>
    <t>CFO</t>
  </si>
  <si>
    <t>Acquisitions, net of cash acquired</t>
  </si>
  <si>
    <t>2Q</t>
  </si>
  <si>
    <t>4Q</t>
  </si>
  <si>
    <t>1Q11</t>
  </si>
  <si>
    <t>2Q11</t>
  </si>
  <si>
    <t>3Q11</t>
  </si>
  <si>
    <t>4Q11</t>
  </si>
  <si>
    <t>Diluted Shares Out (m)</t>
  </si>
  <si>
    <t>Adj. EPS</t>
  </si>
  <si>
    <t>Dividend Per Share</t>
  </si>
  <si>
    <t>Payout ratio</t>
  </si>
  <si>
    <t>3Q06</t>
  </si>
  <si>
    <t>4Q06</t>
  </si>
  <si>
    <t>Other Liabilities</t>
  </si>
  <si>
    <t>Summary Balance Sheet</t>
  </si>
  <si>
    <t>1Q16</t>
  </si>
  <si>
    <t>2Q16</t>
  </si>
  <si>
    <t>3Q16</t>
  </si>
  <si>
    <t>4Q16</t>
  </si>
  <si>
    <t>FY16</t>
  </si>
  <si>
    <t>Product Mix</t>
  </si>
  <si>
    <t>QoQ Comparison</t>
  </si>
  <si>
    <t>YoY Comparison</t>
  </si>
  <si>
    <t>Published</t>
  </si>
  <si>
    <t>Quarterly Links</t>
  </si>
  <si>
    <t>Earnings Variance</t>
  </si>
  <si>
    <t>Actual</t>
  </si>
  <si>
    <t>Estimate</t>
  </si>
  <si>
    <t>1QE</t>
  </si>
  <si>
    <t>3QE</t>
  </si>
  <si>
    <t>Total Liabilities &amp; Shareholder's Equity</t>
  </si>
  <si>
    <t>Florence,South Carolina</t>
  </si>
  <si>
    <t>Rebar Fabrication</t>
  </si>
  <si>
    <t>Net Interest Expense</t>
  </si>
  <si>
    <t xml:space="preserve"> </t>
  </si>
  <si>
    <t>Pretax Income</t>
  </si>
  <si>
    <t>Income Taxes</t>
  </si>
  <si>
    <t>Tax Rate</t>
  </si>
  <si>
    <t>Free Cash Flow / Share</t>
  </si>
  <si>
    <t>Maturity</t>
  </si>
  <si>
    <t>1Q06</t>
  </si>
  <si>
    <t>2Q06</t>
  </si>
  <si>
    <t>Steel Revenue per ton</t>
  </si>
  <si>
    <t>Cash Taxes</t>
  </si>
  <si>
    <t>Percent of sales</t>
  </si>
  <si>
    <t>Nucor Realizations</t>
  </si>
  <si>
    <t>Scrap Realized Price($/ton)</t>
  </si>
  <si>
    <t>P/E</t>
  </si>
  <si>
    <t>P/B</t>
  </si>
  <si>
    <t>M. Margin</t>
  </si>
  <si>
    <t>Paid-in Capital</t>
  </si>
  <si>
    <t>Cash dividends paid</t>
  </si>
  <si>
    <t>Cash From Financing Activities</t>
  </si>
  <si>
    <t>Steel</t>
  </si>
  <si>
    <t>Change Before Gains/(Charges)</t>
  </si>
  <si>
    <t>Dividend per Share</t>
  </si>
  <si>
    <t>Other Long Term Assets</t>
  </si>
  <si>
    <t>Other Current Liabilities</t>
  </si>
  <si>
    <t>Steel Products</t>
  </si>
  <si>
    <r>
      <t xml:space="preserve">Prices </t>
    </r>
    <r>
      <rPr>
        <b/>
        <i/>
        <sz val="8"/>
        <rFont val="Arial"/>
        <family val="2"/>
      </rPr>
      <t>(US$ per Ton)</t>
    </r>
  </si>
  <si>
    <t>Quarterly Operating Data</t>
  </si>
  <si>
    <t>Quarterly Financial Data</t>
  </si>
  <si>
    <t>Dividend Payout Ratio</t>
  </si>
  <si>
    <t>Average Days Receivables</t>
  </si>
  <si>
    <t>Birmingham,Alabama</t>
  </si>
  <si>
    <t>Net income</t>
  </si>
  <si>
    <t>Free Cash Flow</t>
  </si>
  <si>
    <t>Industrial Revenue Bonds</t>
  </si>
  <si>
    <t>Quarterly Income Statement</t>
  </si>
  <si>
    <t>Annual Growth %</t>
  </si>
  <si>
    <t>Cash available to repay debt</t>
  </si>
  <si>
    <t>Litigation Charges</t>
  </si>
  <si>
    <t>Sale of Assets (Gain)/Loss</t>
  </si>
  <si>
    <t>Marketing, admin. &amp; other</t>
  </si>
  <si>
    <t>Minority interests</t>
  </si>
  <si>
    <t>1QA</t>
  </si>
  <si>
    <t>2QA</t>
  </si>
  <si>
    <t>3QA</t>
  </si>
  <si>
    <t>Total Steel</t>
  </si>
  <si>
    <t>Depreciation</t>
  </si>
  <si>
    <t>Goodwill</t>
  </si>
  <si>
    <t>Book Value Per Share</t>
  </si>
  <si>
    <t>Tangible Book Value Per Share</t>
  </si>
  <si>
    <t>Cash Cost of Goods Sold</t>
  </si>
  <si>
    <t>Total Interest Expense</t>
  </si>
  <si>
    <t>Hertford Works</t>
  </si>
  <si>
    <t>Hertford County,North Carolina</t>
  </si>
  <si>
    <t xml:space="preserve">Chemung ,New York </t>
  </si>
  <si>
    <t>Chemung Works</t>
  </si>
  <si>
    <t>Current Estimates</t>
  </si>
  <si>
    <t>Changes to Estimates</t>
  </si>
  <si>
    <t>Sales Volume (kt)</t>
  </si>
  <si>
    <t>Average Selling Price ($/t)</t>
  </si>
  <si>
    <t>Segments</t>
  </si>
  <si>
    <t>Financials</t>
  </si>
  <si>
    <t>Income Tax Expense</t>
  </si>
  <si>
    <t>Consensus</t>
  </si>
  <si>
    <t>LIFO Credit/(Charge)</t>
  </si>
  <si>
    <t>Swansea Works</t>
  </si>
  <si>
    <t>Terrel,Texas</t>
  </si>
  <si>
    <t>2023 Notes 4.0%</t>
  </si>
  <si>
    <t>Interest Expense</t>
  </si>
  <si>
    <t>Cash Flow Items</t>
  </si>
  <si>
    <t>Results</t>
  </si>
  <si>
    <t>Issuance of Common stock</t>
  </si>
  <si>
    <t>Common Dividend</t>
  </si>
  <si>
    <t>Changes in Reserves</t>
  </si>
  <si>
    <t>Repurchase of Treasury Stock</t>
  </si>
  <si>
    <t>Others</t>
  </si>
  <si>
    <t>Avg. Days Payables Out</t>
  </si>
  <si>
    <t>Leverage Ratios</t>
  </si>
  <si>
    <t xml:space="preserve"> Net Debt/(Net Debt + Equity)</t>
  </si>
  <si>
    <t>Other LT Assets</t>
  </si>
  <si>
    <t>Plymouth,Utah</t>
  </si>
  <si>
    <t>Opening Balance</t>
  </si>
  <si>
    <t>Closing Balance</t>
  </si>
  <si>
    <t>Fabricated Products</t>
  </si>
  <si>
    <t xml:space="preserve">Total Crude Capacity 
(2007) mn tons </t>
  </si>
  <si>
    <t>Rebar Fab.</t>
  </si>
  <si>
    <t>Avg. Depreciation Period</t>
  </si>
  <si>
    <t>Scrap Assets</t>
  </si>
  <si>
    <t>Various</t>
  </si>
  <si>
    <t>1Q10</t>
  </si>
  <si>
    <t>2Q10</t>
  </si>
  <si>
    <t>3Q10</t>
  </si>
  <si>
    <t>4Q10</t>
  </si>
  <si>
    <t>Implied Market Value</t>
  </si>
  <si>
    <t>5-Year Average</t>
  </si>
  <si>
    <t>FCF MARGIN</t>
  </si>
  <si>
    <t>CAPEX / D&amp;A</t>
  </si>
  <si>
    <t>Kankakee,Illinois</t>
  </si>
  <si>
    <t>Jackson Works</t>
  </si>
  <si>
    <t>Jackson,Missisippi</t>
  </si>
  <si>
    <t xml:space="preserve">  Total Assets</t>
  </si>
  <si>
    <t>Nucor Corporation</t>
  </si>
  <si>
    <t>Net Change in ST Debt</t>
  </si>
  <si>
    <t>Issuance of LT debt</t>
  </si>
  <si>
    <t>Reduction of LT debt</t>
  </si>
  <si>
    <t>Cash and Cash Equivalents</t>
  </si>
  <si>
    <t>Total Liabilities &amp; Minority Interest</t>
  </si>
  <si>
    <t>Other Intangible Assets, net</t>
  </si>
  <si>
    <t>Liabilities and Shareholders' Equity</t>
  </si>
  <si>
    <t>ST Debt</t>
  </si>
  <si>
    <t>Current Liabilities</t>
  </si>
  <si>
    <t>FY14</t>
  </si>
  <si>
    <t>Calculated Scrap Shipments</t>
  </si>
  <si>
    <t>Nucor Replacement Cost Analysis</t>
  </si>
  <si>
    <t>Crude Replacement Cost Per Ton</t>
  </si>
  <si>
    <t>NUE.N,mscalc:closePriceCurrencyCalc</t>
  </si>
  <si>
    <t>NUE.N,mscalc:targetPrice,,,,USD</t>
  </si>
  <si>
    <t>NUE.N,mscalc:sedolCodeCalc</t>
  </si>
  <si>
    <t>2651086</t>
  </si>
  <si>
    <t>Segment Operating Profit</t>
  </si>
  <si>
    <t>Pretax Margin</t>
  </si>
  <si>
    <t>Net Income Margin</t>
  </si>
  <si>
    <t>3Q</t>
  </si>
  <si>
    <t>Scrap Analysis</t>
  </si>
  <si>
    <t>DA</t>
  </si>
  <si>
    <t>Gross Profit</t>
  </si>
  <si>
    <t>Change</t>
  </si>
  <si>
    <t xml:space="preserve">Crawfordville,Indiana </t>
  </si>
  <si>
    <t>Long-Term Debt</t>
  </si>
  <si>
    <t>Nucor Production</t>
  </si>
  <si>
    <t>Annual Increase %</t>
  </si>
  <si>
    <t>Seq. Increase %</t>
  </si>
  <si>
    <t>Nucor (Shipments to Outside Customers)</t>
  </si>
  <si>
    <t>Cost of Debt</t>
  </si>
  <si>
    <t>Share Repurchases</t>
  </si>
  <si>
    <t>Value Per Share</t>
  </si>
  <si>
    <t>Current Stock Price</t>
  </si>
  <si>
    <t>Tax</t>
  </si>
  <si>
    <t>Change in Receivables</t>
  </si>
  <si>
    <t>2Q04</t>
  </si>
  <si>
    <t>3Q04</t>
  </si>
  <si>
    <t>2Q02</t>
  </si>
  <si>
    <t>3Q02</t>
  </si>
  <si>
    <t>4Q02</t>
  </si>
  <si>
    <t>1Q03</t>
  </si>
  <si>
    <t>2Q03</t>
  </si>
  <si>
    <t>3Q03</t>
  </si>
  <si>
    <t>4Q03</t>
  </si>
  <si>
    <t>1Q04</t>
  </si>
  <si>
    <t>2Q05</t>
  </si>
  <si>
    <t>3Q05</t>
  </si>
  <si>
    <t xml:space="preserve">Goodwill Impairment </t>
  </si>
  <si>
    <t>Minimum cash balance (estimate)</t>
  </si>
  <si>
    <t>Fort Payne Works</t>
  </si>
  <si>
    <t>Fort Payne,Alabama</t>
  </si>
  <si>
    <t xml:space="preserve">Grapeland,Texas </t>
  </si>
  <si>
    <t>Grapeland Works</t>
  </si>
  <si>
    <t>St.Joe Works</t>
  </si>
  <si>
    <t>St.Joe,Indiana</t>
  </si>
  <si>
    <t>ROE</t>
  </si>
  <si>
    <t>Total Tons Shipped</t>
  </si>
  <si>
    <t>% of Revenue</t>
  </si>
  <si>
    <t>Net PP&amp;E</t>
  </si>
  <si>
    <t>Summary Information</t>
  </si>
  <si>
    <t>Key Assumptions</t>
  </si>
  <si>
    <t xml:space="preserve">Income Statement </t>
  </si>
  <si>
    <t>Year End December</t>
  </si>
  <si>
    <t>Year End December (US$M)</t>
  </si>
  <si>
    <t>Realizations, $/t</t>
  </si>
  <si>
    <t>Brigham Works</t>
  </si>
  <si>
    <t>EBIT / Interest Expense</t>
  </si>
  <si>
    <t>EBITDA / Interest Expense</t>
  </si>
  <si>
    <t>1Q15</t>
  </si>
  <si>
    <t>2Q15</t>
  </si>
  <si>
    <t>3Q15</t>
  </si>
  <si>
    <t>4Q15</t>
  </si>
  <si>
    <t>Shareholders' Equity</t>
  </si>
  <si>
    <t>Working Capital</t>
  </si>
  <si>
    <t>Working Capital / Sales</t>
  </si>
  <si>
    <t>Summary Cash Flow Statement</t>
  </si>
  <si>
    <t>2002A</t>
  </si>
  <si>
    <t>Shares Outstanding</t>
  </si>
  <si>
    <t>($ millions)</t>
  </si>
  <si>
    <t>Norfolk Works</t>
  </si>
  <si>
    <t>Norfolk,Nebraska</t>
  </si>
  <si>
    <t>FREE CASH FLOW (After-tax EBIT plus D&amp;A less Capex)</t>
  </si>
  <si>
    <t>Trinidad &amp;Tobago</t>
  </si>
  <si>
    <t>DRI</t>
  </si>
  <si>
    <t>Steel joist and joist girders</t>
  </si>
  <si>
    <t>EV</t>
  </si>
  <si>
    <t>Period-End Basic Shares Out (Est.)</t>
  </si>
  <si>
    <t>LIFO Credit (Charge)</t>
  </si>
  <si>
    <t>Total Charges/(Gains) Excluded</t>
  </si>
  <si>
    <t>Corporate &amp; Other Expense</t>
  </si>
  <si>
    <t>EBIT MARGIN</t>
  </si>
  <si>
    <t>EBITDA MARGIN</t>
  </si>
  <si>
    <t>Cash Flow Statement</t>
  </si>
  <si>
    <t>Diluted Shares Outstanding</t>
  </si>
  <si>
    <t>Quarterly Data</t>
  </si>
  <si>
    <t>FCF (CFO-Capex)</t>
  </si>
  <si>
    <t>FCF Per Share</t>
  </si>
  <si>
    <t xml:space="preserve">Mill Capacity Details </t>
  </si>
  <si>
    <t>(000s short tons)</t>
  </si>
  <si>
    <t>Finished</t>
  </si>
  <si>
    <t>Raw Material</t>
  </si>
  <si>
    <t>North American Mills</t>
  </si>
  <si>
    <t>Location</t>
  </si>
  <si>
    <t>Cash From Investing Activities</t>
  </si>
  <si>
    <t>Exchange Rate Effect on Cash</t>
  </si>
  <si>
    <t>Total Cash Flows</t>
  </si>
  <si>
    <t>Crawfordville Works</t>
  </si>
  <si>
    <t>Hickman Works</t>
  </si>
  <si>
    <t>Hickman,Arakansas</t>
  </si>
  <si>
    <t>Hot-Rolled Sheet</t>
  </si>
  <si>
    <t>Building systems</t>
  </si>
  <si>
    <t>Total Average Price</t>
  </si>
  <si>
    <t>Interest Income</t>
  </si>
  <si>
    <t>Total Cost of Goods Sold</t>
  </si>
  <si>
    <t>Jewett Works</t>
  </si>
  <si>
    <t>Jewett,Texas</t>
  </si>
  <si>
    <t>EPS as Reported</t>
  </si>
  <si>
    <t>Balance Sheet</t>
  </si>
  <si>
    <t>SHIPMENTS</t>
  </si>
  <si>
    <t>FY1</t>
  </si>
  <si>
    <t>FY2</t>
  </si>
  <si>
    <t>FY8</t>
  </si>
  <si>
    <t>FY3</t>
  </si>
  <si>
    <t>FY4</t>
  </si>
  <si>
    <t>FY5</t>
  </si>
  <si>
    <t>FY6</t>
  </si>
  <si>
    <t>FY7</t>
  </si>
  <si>
    <t>EBITDA/t</t>
  </si>
  <si>
    <t>NA</t>
  </si>
  <si>
    <t>Sheet</t>
  </si>
  <si>
    <t>Bars</t>
  </si>
  <si>
    <t>Structural</t>
  </si>
  <si>
    <t>Plate</t>
  </si>
  <si>
    <t>Steel Joists</t>
  </si>
  <si>
    <t>Steel Deck</t>
  </si>
  <si>
    <t>Cold Finished Sheet</t>
  </si>
  <si>
    <t>High quality metallics</t>
  </si>
  <si>
    <t>Trinidad DRI Plant</t>
  </si>
  <si>
    <t>Sequential Change</t>
  </si>
  <si>
    <t>Statutory Tax Rate</t>
  </si>
  <si>
    <t>2Q07</t>
  </si>
  <si>
    <t>3Q07</t>
  </si>
  <si>
    <t>Aurburn,New York</t>
  </si>
  <si>
    <t xml:space="preserve">Birmingham Works </t>
  </si>
  <si>
    <t>1Q07</t>
  </si>
  <si>
    <t>Sales Realizations</t>
  </si>
  <si>
    <t>Other Short term investments</t>
  </si>
  <si>
    <t>Other Non Cash Items</t>
  </si>
  <si>
    <t>Unearned Compensation</t>
  </si>
  <si>
    <t>As reported</t>
  </si>
  <si>
    <t xml:space="preserve">Distribution to Minority </t>
  </si>
  <si>
    <t>EBTDA per Ton</t>
  </si>
  <si>
    <t>Scrap cost per ton</t>
  </si>
  <si>
    <t>Total Capacity</t>
  </si>
  <si>
    <t>4Q07</t>
  </si>
  <si>
    <t>1Q08</t>
  </si>
  <si>
    <t>2Q08</t>
  </si>
  <si>
    <t>Federal Income Taxes</t>
  </si>
  <si>
    <t>Raw Materials</t>
  </si>
  <si>
    <t>Count</t>
  </si>
  <si>
    <t>Fastners</t>
  </si>
  <si>
    <t>Gross Fixed Assets</t>
  </si>
  <si>
    <t>Retirements</t>
  </si>
  <si>
    <t>% of Gross PP&amp;E</t>
  </si>
  <si>
    <t>Net Additions</t>
  </si>
  <si>
    <t>Depreciation Expense</t>
  </si>
  <si>
    <t>2043 Notes 5.2%</t>
  </si>
  <si>
    <t>2016e</t>
  </si>
  <si>
    <t>Fontana Works</t>
  </si>
  <si>
    <t>Fontana,California</t>
  </si>
  <si>
    <t>Antioch Works</t>
  </si>
  <si>
    <t xml:space="preserve">Antioch,California </t>
  </si>
  <si>
    <t>Oak Creek,Wisconson</t>
  </si>
  <si>
    <t>Oak Creek Works</t>
  </si>
  <si>
    <t>Waterloo Works</t>
  </si>
  <si>
    <t>Waterloo,Indiana</t>
  </si>
  <si>
    <t>Swansea,South Carolina</t>
  </si>
  <si>
    <t>Terrell Works</t>
  </si>
  <si>
    <t>FY9</t>
  </si>
  <si>
    <t>Debt Schedule</t>
  </si>
  <si>
    <t>FY13</t>
  </si>
  <si>
    <t>1Q13</t>
  </si>
  <si>
    <t>2Q13</t>
  </si>
  <si>
    <t>3Q13</t>
  </si>
  <si>
    <t>4Q13</t>
  </si>
  <si>
    <t>1Q14</t>
  </si>
  <si>
    <t>2Q14</t>
  </si>
  <si>
    <t>3Q14</t>
  </si>
  <si>
    <t>4Q14</t>
  </si>
  <si>
    <t>Current Price as a % of Repl. Value</t>
  </si>
  <si>
    <t>Berkeley Works</t>
  </si>
  <si>
    <t>3Q08</t>
  </si>
  <si>
    <t>4Q08</t>
  </si>
  <si>
    <t>1Q09</t>
  </si>
  <si>
    <t>2Q09</t>
  </si>
  <si>
    <t>3Q09</t>
  </si>
  <si>
    <t>4Q09</t>
  </si>
  <si>
    <t>Steel Prod.</t>
  </si>
  <si>
    <t>Shipments</t>
  </si>
  <si>
    <t>Birgham City Utah</t>
  </si>
  <si>
    <t>Berkeley County,South Carolina</t>
  </si>
  <si>
    <t>Decatur Works</t>
  </si>
  <si>
    <t>Decatur,Alabama</t>
  </si>
  <si>
    <t>Blytheville Works</t>
  </si>
  <si>
    <t>Blytheville,Arakansas</t>
  </si>
  <si>
    <t xml:space="preserve">Florence Works </t>
  </si>
  <si>
    <t>Discount/Premium to List</t>
  </si>
  <si>
    <t>Reported EPS</t>
  </si>
  <si>
    <t>Sale of assets</t>
  </si>
  <si>
    <t>All other - net</t>
  </si>
  <si>
    <t>Volume Growth</t>
  </si>
  <si>
    <t>Capital Expenditures</t>
  </si>
  <si>
    <t>Change in bank overdrafts</t>
  </si>
  <si>
    <t>Cumulative Effect of Accounting Change</t>
  </si>
  <si>
    <t>Minority Interest</t>
  </si>
  <si>
    <t>Deferred income taxes</t>
  </si>
  <si>
    <t>Description</t>
  </si>
  <si>
    <t>($ in Millions)</t>
  </si>
  <si>
    <t xml:space="preserve"> Net Debt/EBITDA</t>
  </si>
  <si>
    <t>SBQ</t>
  </si>
  <si>
    <t>Long Term Debt</t>
  </si>
  <si>
    <t>USD</t>
  </si>
  <si>
    <t>Segment EBIT</t>
  </si>
  <si>
    <t>Cash and Equivalents</t>
  </si>
  <si>
    <t>Receivables</t>
  </si>
  <si>
    <t>Goodwill and Intangibles</t>
  </si>
  <si>
    <t>Total Assets</t>
  </si>
  <si>
    <t>One-time Items in Noncontrolling Int.</t>
  </si>
  <si>
    <t>FY15</t>
  </si>
  <si>
    <t>EPS</t>
  </si>
  <si>
    <t>Sheets</t>
  </si>
  <si>
    <t>x</t>
  </si>
  <si>
    <t>Nucor</t>
  </si>
  <si>
    <t>Bar Mills</t>
  </si>
  <si>
    <t>Tuscaloosa,Alabama</t>
  </si>
  <si>
    <t>Hismelt Plant</t>
  </si>
  <si>
    <t>Short Term Debt</t>
  </si>
  <si>
    <t>4Q04</t>
  </si>
  <si>
    <t>1Q05</t>
  </si>
  <si>
    <t>Sales</t>
  </si>
  <si>
    <t>Income Statement</t>
  </si>
  <si>
    <t>Accumulated Depreciation</t>
  </si>
  <si>
    <t>Interest expense</t>
  </si>
  <si>
    <t>Depreciation &amp; Amortization</t>
  </si>
  <si>
    <t>NUE.N</t>
  </si>
  <si>
    <t>Retirement of Debt</t>
  </si>
  <si>
    <t>Depreciation and Amortization</t>
  </si>
  <si>
    <t xml:space="preserve">Diluted EPS Before Gains/(Charges)   </t>
  </si>
  <si>
    <t>Adj. Net Income</t>
  </si>
  <si>
    <t>Adj. Diluted EPS</t>
  </si>
  <si>
    <t>2QE</t>
  </si>
  <si>
    <t>Tuscaloosa Works</t>
  </si>
  <si>
    <t>Rebar</t>
  </si>
  <si>
    <t>Blended Cost</t>
  </si>
  <si>
    <t>Metal Costs</t>
  </si>
  <si>
    <t>Joist Volumes</t>
  </si>
  <si>
    <t>Deck &amp; CFS Volumes</t>
  </si>
  <si>
    <t>Rebar Fab Volumes</t>
  </si>
  <si>
    <t>Kankakee Works</t>
  </si>
  <si>
    <t>Change in Inventories</t>
  </si>
  <si>
    <t>Curtailments, Closures</t>
  </si>
  <si>
    <t>check</t>
  </si>
  <si>
    <t>FY17</t>
  </si>
  <si>
    <t>1Q17</t>
  </si>
  <si>
    <t>2Q17</t>
  </si>
  <si>
    <t>3Q17</t>
  </si>
  <si>
    <t>4Q17</t>
  </si>
  <si>
    <t>Adj. Financials</t>
  </si>
  <si>
    <t>Income Tax Rate</t>
  </si>
  <si>
    <t>Diluted EPS</t>
  </si>
  <si>
    <t>Shredded Scrap (Long Ton)</t>
  </si>
  <si>
    <t>Segment EBT</t>
  </si>
  <si>
    <t>Steel Mills</t>
  </si>
  <si>
    <t>Corporate/Eliminations</t>
  </si>
  <si>
    <t>Metal Margin ($/t)</t>
  </si>
  <si>
    <t>Average Scrap Cost ($/t)</t>
  </si>
  <si>
    <t>2016 Avg</t>
  </si>
  <si>
    <t>2015 Avg</t>
  </si>
  <si>
    <t>Div. Yield</t>
  </si>
  <si>
    <t>Leverage (Net Debt/Capital)</t>
  </si>
  <si>
    <t>Cash flow Statement</t>
  </si>
  <si>
    <t>Statement of Shareholders Equity (ex - min interest)</t>
  </si>
  <si>
    <t>Funded Debt to Capital</t>
  </si>
  <si>
    <t>Total FCF available for financing activities</t>
  </si>
  <si>
    <t>Net cash used in financing activities</t>
  </si>
  <si>
    <t>Surplus (Shortfall)</t>
  </si>
  <si>
    <t>Shredded Scrap</t>
  </si>
  <si>
    <t>2018E</t>
  </si>
  <si>
    <t>1Q18</t>
  </si>
  <si>
    <t>2Q18</t>
  </si>
  <si>
    <t>3Q18</t>
  </si>
  <si>
    <t>4Q18</t>
  </si>
  <si>
    <t>FY18</t>
  </si>
  <si>
    <t>4Q16e</t>
  </si>
  <si>
    <t>2017e</t>
  </si>
  <si>
    <t>Raw Materials Segment Analysis</t>
  </si>
  <si>
    <t>Days in Quarter</t>
  </si>
  <si>
    <t>2014 Avg</t>
  </si>
  <si>
    <t>FY19</t>
  </si>
  <si>
    <t>2019E</t>
  </si>
  <si>
    <t>1Q19</t>
  </si>
  <si>
    <t>2Q19</t>
  </si>
  <si>
    <t>3Q19</t>
  </si>
  <si>
    <t>4Q19</t>
  </si>
  <si>
    <t>2018e</t>
  </si>
  <si>
    <t>4Q17e</t>
  </si>
  <si>
    <t>1Q17e</t>
  </si>
  <si>
    <t>2Q17e</t>
  </si>
  <si>
    <t>3Q17e</t>
  </si>
  <si>
    <t>Tubular</t>
  </si>
  <si>
    <t>Relization Vs Spot</t>
  </si>
  <si>
    <t>Total Finished Product Capacity</t>
  </si>
  <si>
    <t>Nucor Steelmaking Capacity</t>
  </si>
  <si>
    <t>Shipments/Finished Capacity</t>
  </si>
  <si>
    <t>Rebars</t>
  </si>
  <si>
    <t>2017 Avg</t>
  </si>
  <si>
    <t>Hollow Sections ASTM A500</t>
  </si>
  <si>
    <t>2020E</t>
  </si>
  <si>
    <t>FY20</t>
  </si>
  <si>
    <t>1Q20</t>
  </si>
  <si>
    <t>2Q20</t>
  </si>
  <si>
    <t>3Q20</t>
  </si>
  <si>
    <t>4Q20</t>
  </si>
  <si>
    <t>Steel Segment</t>
  </si>
  <si>
    <t>Shred</t>
  </si>
  <si>
    <t>Busheling</t>
  </si>
  <si>
    <t>Realized Non Metal Cost, $/t</t>
  </si>
  <si>
    <t>Additional Costs, $/t</t>
  </si>
  <si>
    <t>Calculated Non Metal Cost, $/t</t>
  </si>
  <si>
    <t>Others, as a % of bar revenue</t>
  </si>
  <si>
    <t>Steel Products Segment</t>
  </si>
  <si>
    <t>EBITDA per Ton</t>
  </si>
  <si>
    <t>Steel Products Revenue per ton</t>
  </si>
  <si>
    <t>Other products revenue/ton</t>
  </si>
  <si>
    <t>Total Revenue per ton</t>
  </si>
  <si>
    <t>Calculated Total External Shipments</t>
  </si>
  <si>
    <t>Calculated Building Group, Steel Mesh, Grating, Fastner Shipments</t>
  </si>
  <si>
    <t>SEGMENT PROFIT (EBIT)</t>
  </si>
  <si>
    <t>2019e</t>
  </si>
  <si>
    <t>Adjustments</t>
  </si>
  <si>
    <t>Estimated Steel Products Revenue per ton</t>
  </si>
  <si>
    <t>Estimated EBITDA per ton</t>
  </si>
  <si>
    <t>Operating Drivers</t>
  </si>
  <si>
    <t>2Q2018</t>
  </si>
  <si>
    <t>3Q2018</t>
  </si>
  <si>
    <t>4Q2018</t>
  </si>
  <si>
    <t>1Q18e</t>
  </si>
  <si>
    <t>2Q18e</t>
  </si>
  <si>
    <t>3Q18e</t>
  </si>
  <si>
    <t>4Q18e</t>
  </si>
  <si>
    <t>EBITDA/t, only external shipments</t>
  </si>
  <si>
    <t>Non-Controlling Interest</t>
  </si>
  <si>
    <t>Variance</t>
  </si>
  <si>
    <t>68</t>
  </si>
  <si>
    <t>2020e</t>
  </si>
  <si>
    <t>1Q18 Analysis</t>
  </si>
  <si>
    <t>Last Updated: 04/17/18</t>
  </si>
  <si>
    <t>Piling</t>
  </si>
  <si>
    <t>Tubular Pricing, $/ton, old series</t>
  </si>
  <si>
    <t>Tubular finished capacity</t>
  </si>
  <si>
    <t>Tubular Revenues</t>
  </si>
  <si>
    <t>Manual Calculation</t>
  </si>
  <si>
    <t>Research</t>
  </si>
  <si>
    <t>e = Morgan Stanley Research estimates unless otherwise noted</t>
  </si>
  <si>
    <t>Source: Morgan Stanley Research unless otherwise noted</t>
  </si>
  <si>
    <t>Stocks ratings are relative to the analyst's industry coverage universe.</t>
  </si>
  <si>
    <t>1585 Broadway</t>
  </si>
  <si>
    <t>New York, NY  10036-8293</t>
  </si>
  <si>
    <t>United States</t>
  </si>
  <si>
    <t>Tel: +1 (1)212 761 4000</t>
  </si>
  <si>
    <t>Authors: Piyush Sood, Lynn Bernabei, Serena Rocha Calejon</t>
  </si>
  <si>
    <t>Date: 24 Apr 2018</t>
  </si>
  <si>
    <t>Ticker: NUE.N</t>
  </si>
  <si>
    <t>Stock Rating: Equal-Weight</t>
  </si>
  <si>
    <t>Industry: Steel</t>
  </si>
  <si>
    <t>Industry View: In-Line</t>
  </si>
  <si>
    <t>Price as of 24 Apr 2018: 62.88</t>
  </si>
  <si>
    <t>Target Price: 73</t>
  </si>
  <si>
    <t>Analyst Certification</t>
  </si>
  <si>
    <t>Unless otherwise stated, the individuals listed on the cover page of this report are research analysts.</t>
  </si>
  <si>
    <t>Global Research Conflict Management Policy</t>
  </si>
  <si>
    <t>Important US Regulatory Disclosures on Subject Companies</t>
  </si>
  <si>
    <t>Morgan Stanley &amp; Co. LLC makes a market in the securities of Nucor Corporation.</t>
  </si>
  <si>
    <t>STOCK RATINGS</t>
  </si>
  <si>
    <t>Global Stock Ratings Distribution</t>
  </si>
  <si>
    <t>(as of March 31, 2018)</t>
  </si>
  <si>
    <t>Coverage Universe</t>
  </si>
  <si>
    <t>Investment Banking Clients (IBC)</t>
  </si>
  <si>
    <t>Other Material Investment Services Clients (MISC)</t>
  </si>
  <si>
    <t>Stock Rating Category</t>
  </si>
  <si>
    <t>% of Total</t>
  </si>
  <si>
    <t>% of Total IBC</t>
  </si>
  <si>
    <t>% of Rating Category</t>
  </si>
  <si>
    <t>% of Total Other MISC</t>
  </si>
  <si>
    <t>Overweight/Buy</t>
  </si>
  <si>
    <t>Equal-weight/Hold</t>
  </si>
  <si>
    <t>Not-Rated/Hold</t>
  </si>
  <si>
    <t>Underweight/Sell</t>
  </si>
  <si>
    <t>Analyst Stock Ratings</t>
  </si>
  <si>
    <t>Analyst Industry Views</t>
  </si>
  <si>
    <t>.</t>
  </si>
  <si>
    <t>Stock Price, Price Target and Rating History (See Rating Definitions)</t>
  </si>
  <si>
    <t>Important Disclosures for Morgan Stanley Smith Barney LLC Customers</t>
  </si>
  <si>
    <t>Other Important Disclosures</t>
  </si>
  <si>
    <t>Morgan Stanley Research, or any portion thereof may not be reprinted, sold or redistributed without the</t>
  </si>
  <si>
    <t>written consent of Morgan Stanley.</t>
  </si>
  <si>
    <t>The trademarks and service marks contained in Morgan Stanley Research are the property of their</t>
  </si>
  <si>
    <t>respective owners. Third-party data providers make no warranties or representations relating to the</t>
  </si>
  <si>
    <t>accuracy, completeness, or timeliness of the data they provide and shall not have liability for any</t>
  </si>
  <si>
    <t>damages relating to such data. The Global Industry Classification Standard (GICS) was developed by and</t>
  </si>
  <si>
    <t>is the exclusive property of MSCI and S&amp;P.</t>
  </si>
  <si>
    <t>As required by the Capital Markets Board of Turkey, investment information, comments and recommendations</t>
  </si>
  <si>
    <t>stated here, are not within the scope of investment advisory activity. Investment advisory service is</t>
  </si>
  <si>
    <t>provided exclusively to persons based on their risk and income preferences by the authorized firms.</t>
  </si>
  <si>
    <t>Comments and recommendations stated here are general in nature. These opinions may not fit to your</t>
  </si>
  <si>
    <t>financial status, risk and return preferences. For this reason, to make an investment decision by</t>
  </si>
  <si>
    <t>relying solely to this information stated here may not bring about outcomes that fit your expectations.</t>
  </si>
  <si>
    <t>The information in Morgan Stanley Research is being communicated by Morgan Stanley &amp; Co. International</t>
  </si>
  <si>
    <t>plc (QFC Branch), regulated by the Qatar Financial Centre Regulatory Authority (the QFCRA), and is</t>
  </si>
  <si>
    <t>directed at business customers and market counterparties only and is not intended for Retail Customers</t>
  </si>
  <si>
    <t>as defined by the QFCRA.</t>
  </si>
  <si>
    <t>plc (DIFC Branch), regulated by the Dubai Financial Services Authority (the DFSA), and is directed at</t>
  </si>
  <si>
    <t>Professional Clients only, as defined by the DFSA. The financial products or financial services to which</t>
  </si>
  <si>
    <t>this research relates will only be made available to a customer who we are satisfied meets the</t>
  </si>
  <si>
    <t>regulatory criteria to be a Professional Client.</t>
  </si>
  <si>
    <t>Morgan Stanley Research is disseminated in Brazil by Morgan Stanley C.T.V.M. S.A.; in Mexico by Morgan</t>
  </si>
  <si>
    <t>Stanley México, Casa de Bolsa, S.A. de C.V which is regulated by Comision Nacional Bancaria y de</t>
  </si>
  <si>
    <t>Valores. Paseo de los Tamarindos 90, Torre 1, Col. Bosques de las Lomas Floor 29, 05120 Mexico City; in</t>
  </si>
  <si>
    <t>Japan by Morgan Stanley MUFG Securities Co., Ltd. and, for Commodities related research reports only,</t>
  </si>
  <si>
    <t>Morgan Stanley Capital Group Japan Co., Ltd; in Hong Kong by Morgan Stanley Asia Limited (which accepts</t>
  </si>
  <si>
    <t>responsibility for its contents) and by Morgan Stanley Asia International Limited, Hong Kong Branch; in</t>
  </si>
  <si>
    <t>Singapore by Morgan Stanley Asia (Singapore) Pte. (Registration number 199206298Z) and/or Morgan Stanley</t>
  </si>
  <si>
    <t>Asia (Singapore) Securities Pte Ltd (Registration number 200008434H), regulated by the Monetary</t>
  </si>
  <si>
    <t>Authority of Singapore (which accepts legal responsibility for its contents and should be contacted with</t>
  </si>
  <si>
    <t>respect to any matters arising from, or in connection with, Morgan Stanley Research) and by Morgan</t>
  </si>
  <si>
    <t>Stanley Asia International Limited, Singapore Branch (Registration number T11FC0207F); in Australia to</t>
  </si>
  <si>
    <t>"wholesale clients" within the meaning of the Australian Corporations Act by Morgan Stanley Australia</t>
  </si>
  <si>
    <t>Limited A.B.N. 67 003 734 576, holder of Australian financial services license No. 233742, which accepts</t>
  </si>
  <si>
    <t>responsibility for its contents; in Australia to "wholesale clients" and "retail clients" within the</t>
  </si>
  <si>
    <t>meaning of the Australian Corporations Act by Morgan Stanley Wealth Management Australia Pty Ltd (A.B.N.</t>
  </si>
  <si>
    <t>19 009 145 555, holder of Australian financial services license No. 240813, which accepts responsibility</t>
  </si>
  <si>
    <t>for its contents; in Korea by Morgan Stanley &amp; Co International plc, Seoul Branch; in India by Morgan</t>
  </si>
  <si>
    <t>Stanley India Company Private Limited; in Indonesia by PT. Morgan Stanley Sekuritas Indonesia; in Canada</t>
  </si>
  <si>
    <t>by Morgan Stanley Canada Limited, which has approved of and takes responsibility for its contents in</t>
  </si>
  <si>
    <t>Canada; in Germany by Morgan Stanley Bank AG, Frankfurt am Main and Morgan Stanley Private Wealth</t>
  </si>
  <si>
    <t>Management Limited, Niederlassung Deutschland, regulated by Bundesanstalt fuer</t>
  </si>
  <si>
    <t>Finanzdienstleistungsaufsicht (BaFin); in Spain by Morgan Stanley, S.V., S.A., a Morgan Stanley group</t>
  </si>
  <si>
    <t>company, which is supervised by the Spanish Securities Markets Commission (CNMV) and states that Morgan</t>
  </si>
  <si>
    <t>Stanley Research has been written and distributed in accordance with the rules of conduct applicable to</t>
  </si>
  <si>
    <t>financial research as established under Spanish regulations; in the US by Morgan Stanley &amp; Co. LLC,</t>
  </si>
  <si>
    <t>which accepts responsibility for its contents. Morgan Stanley &amp; Co. International plc, authorized by the</t>
  </si>
  <si>
    <t>Prudential Regulatory Authority and regulated by the Financial Conduct Authority and the Prudential</t>
  </si>
  <si>
    <t>Regulatory Authority, disseminates in the UK research that it has prepared, and approves solely for the</t>
  </si>
  <si>
    <t>purposes of section 21 of the Financial Services and Markets Act 2000, research which has been prepared</t>
  </si>
  <si>
    <t>by any of its affiliates. RMB Morgan Stanley Proprietary Limited is a member of the JSE Limited and</t>
  </si>
  <si>
    <t>regulated by the Financial Services Board in South Africa. RMB Morgan Stanley Proprietary Limited is a</t>
  </si>
  <si>
    <t>joint venture owned equally by Morgan Stanley International Holdings Inc. and RMB Investment Advisory</t>
  </si>
  <si>
    <t>(Proprietary) Limited, which is wholly owned by FirstRand Limited. The information in Morgan Stanley</t>
  </si>
  <si>
    <t>Research is being disseminated by Morgan Stanley Saudi Arabia, regulated by the Capital Market Authority</t>
  </si>
  <si>
    <t>in the Kingdom of Saudi Arabia , and is directed at Sophisticated investors only.</t>
  </si>
  <si>
    <t>Morgan Stanley is not incorporated under PRC law and the research in relation to this report is</t>
  </si>
  <si>
    <t>conducted outside the PRC. Morgan Stanley Research does not constitute an offer to sell or the</t>
  </si>
  <si>
    <t>solicitation of an offer to buy any securities in the PRC. PRC investors shall have the relevant</t>
  </si>
  <si>
    <t>qualifications to invest in such securities and shall be responsible for obtaining all relevant</t>
  </si>
  <si>
    <t>approvals, licenses, verifications and/or registrations from the relevant governmental authorities</t>
  </si>
  <si>
    <t>themselves. Neither this report nor any part of it is intended as, or shall constitute, provision of any</t>
  </si>
  <si>
    <t>consultancy or advisory service of securities investment as defined under PRC law. Such information is</t>
  </si>
  <si>
    <t>provided for your reference only.</t>
  </si>
  <si>
    <t>To our readers based in Taiwan or trading in Taiwan securities/instruments: Information on</t>
  </si>
  <si>
    <t>securities/instruments that trade in Taiwan is distributed by Morgan Stanley Taiwan Limited ("MSTL").</t>
  </si>
  <si>
    <t>Such information is for your reference only. The reader should independently evaluate the investment</t>
  </si>
  <si>
    <t>risks and is solely responsible for their investment decisions. Morgan Stanley Research may not be</t>
  </si>
  <si>
    <t>distributed to the public media or quoted or used by the public media without the express written</t>
  </si>
  <si>
    <t>consent of Morgan Stanley. Any non-customer reader within the scope of Article 7-1 of the Taiwan Stock</t>
  </si>
  <si>
    <t>Exchange Recommendation Regulations accessing and/or receiving Morgan Stanley Research is not permitted</t>
  </si>
  <si>
    <t>to provide Morgan Stanley Research to any third party (including but not limited to related parties,</t>
  </si>
  <si>
    <t>affiliated companies and any other third parties) or engage in any activities regarding Morgan Stanley</t>
  </si>
  <si>
    <t>Research which may create or give the appearance of creating a conflict of interest. Information on</t>
  </si>
  <si>
    <t>securities/instruments that do not trade in Taiwan is for informational purposes only and is not to be</t>
  </si>
  <si>
    <t>construed as a recommendation or a solicitation to trade in such securities/instruments. MSTL may not</t>
  </si>
  <si>
    <t>execute transactions for clients in these securities/instruments.</t>
  </si>
  <si>
    <t>Morgan Stanley may make investment decisions that are inconsistent with the recommendations or views in</t>
  </si>
  <si>
    <t>this report.</t>
  </si>
  <si>
    <t>Morgan Stanley Research personnel may participate in company events such as site visits and are</t>
  </si>
  <si>
    <t>generally prohibited from accepting payment by the company of associated expenses unless pre-approved by</t>
  </si>
  <si>
    <t>authorized members of Research management.</t>
  </si>
  <si>
    <t>With the exception of information regarding Morgan Stanley, Morgan Stanley Research is based on public</t>
  </si>
  <si>
    <t>information. Morgan Stanley makes every effort to use reliable, comprehensive information, but we make</t>
  </si>
  <si>
    <t>no representation that it is accurate or complete. We have no obligation to tell you when opinions or</t>
  </si>
  <si>
    <t>information in Morgan Stanley Research change apart from when we intend to discontinue equity research</t>
  </si>
  <si>
    <t>coverage of a subject company. Facts and views presented in Morgan Stanley Research have not been</t>
  </si>
  <si>
    <t>reviewed by, and may not reflect information known to, professionals in other Morgan Stanley business</t>
  </si>
  <si>
    <t>areas, including investment banking personnel.</t>
  </si>
  <si>
    <t>The "Important US Regulatory Disclosures on Subject Companies" section in Morgan Stanley Research lists</t>
  </si>
  <si>
    <t>all companies mentioned where Morgan Stanley owns 1% or more of a class of common equity securities of</t>
  </si>
  <si>
    <t>the companies. For all other companies mentioned in Morgan Stanley Research, Morgan Stanley may have an</t>
  </si>
  <si>
    <t>investment of less than 1% in securities/instruments or derivatives of securities/instruments of</t>
  </si>
  <si>
    <t>companies and may trade them in ways different from those discussed in Morgan Stanley Research.</t>
  </si>
  <si>
    <t>Employees of Morgan Stanley not involved in the preparation of Morgan Stanley Research may have</t>
  </si>
  <si>
    <t>investments in securities/instruments or derivatives of securities/instruments of companies mentioned</t>
  </si>
  <si>
    <t>and may trade them in ways different from those discussed in Morgan Stanley Research. Derivatives may be</t>
  </si>
  <si>
    <t>issued by Morgan Stanley or associated persons.</t>
  </si>
  <si>
    <t>The fixed income research analysts, strategists or economists principally responsible for the</t>
  </si>
  <si>
    <t>preparation of Morgan Stanley Research have received compensation based upon various factors, including</t>
  </si>
  <si>
    <t>quality, accuracy and value of research, firm profitability or revenues (which include fixed income</t>
  </si>
  <si>
    <t>trading and capital markets profitability or revenues), client feedback and competitive factors. Fixed</t>
  </si>
  <si>
    <t>Income Research analysts', strategists' or economists' compensation is not linked to investment banking</t>
  </si>
  <si>
    <t>or capital markets transactions performed by Morgan Stanley or the profitability or revenues of</t>
  </si>
  <si>
    <t>particular trading desks.</t>
  </si>
  <si>
    <t>Morgan Stanley Research does not provide individually tailored investment advice. Morgan Stanley</t>
  </si>
  <si>
    <t>Research has been prepared without regard to the circumstances and objectives of those who receive it.</t>
  </si>
  <si>
    <t>Morgan Stanley recommends that investors independently evaluate particular investments and strategies,</t>
  </si>
  <si>
    <t>and encourages investors to seek the advice of a financial adviser. The appropriateness of an investment</t>
  </si>
  <si>
    <t>or strategy will depend on an investor's circumstances and objectives. The securities, instruments, or</t>
  </si>
  <si>
    <t>strategies discussed in Morgan Stanley Research may not be suitable for all investors, and certain</t>
  </si>
  <si>
    <t>investors may not be eligible to purchase or participate in some or all of them. Morgan Stanley Research</t>
  </si>
  <si>
    <t>is not an offer to buy or sell or the solicitation of an offer to buy or sell any security/instrument or</t>
  </si>
  <si>
    <t>to participate in any particular trading strategy. The value of and income from your investments may</t>
  </si>
  <si>
    <t>vary because of changes in interest rates, foreign exchange rates, default rates, prepayment rates,</t>
  </si>
  <si>
    <t>securities/instruments prices, market indexes, operational or financial conditions of companies or other</t>
  </si>
  <si>
    <t>factors. There may be time limitations on the exercise of options or other rights in</t>
  </si>
  <si>
    <t>securities/instruments transactions. Past performance is not necessarily a guide to future performance.</t>
  </si>
  <si>
    <t>Estimates of future performance are based on assumptions that may not be realized. If provided, and</t>
  </si>
  <si>
    <t>unless otherwise stated, the closing price on the cover page is that of the primary exchange for the</t>
  </si>
  <si>
    <t>subject company's securities/instruments.</t>
  </si>
  <si>
    <t>If you do not agree to our Terms of Use and/or if you do not wish to provide your consent to Morgan</t>
  </si>
  <si>
    <t>Stanley processing your personal data or using cookies please do not access our research.</t>
  </si>
  <si>
    <t>Any access and/or use of Morgan Stanley Research is subject to Morgan Stanley's Terms of Use</t>
  </si>
  <si>
    <t>(http://www.morganstanley.com/terms.html). By accessing and/or using Morgan Stanley Research, you are</t>
  </si>
  <si>
    <t>indicating that you have read and agree to be bound by our Terms of Use</t>
  </si>
  <si>
    <t>(http://www.morganstanley.com/terms.html). In addition you consent to Morgan Stanley processing your</t>
  </si>
  <si>
    <t>personal data and using cookies in accordance with our Privacy Policy and our Global Cookies Policy</t>
  </si>
  <si>
    <t>(http://www.morganstanley.com/privacy_pledge.html), including for the purposes of setting your</t>
  </si>
  <si>
    <t>preferences and to collect readership data so that we can deliver better and more personalized service</t>
  </si>
  <si>
    <t>and products to you. To find out more information about how Morgan Stanley processes personal data, how</t>
  </si>
  <si>
    <t>we use cookies and how to reject cookies see our Privacy Policy and our Global Cookies Policy</t>
  </si>
  <si>
    <t>(http://www.morganstanley.com/privacy_pledge.html).</t>
  </si>
  <si>
    <t>Morgan Stanley Research is provided to our clients through our proprietary research portal on Matrix and</t>
  </si>
  <si>
    <t>also distributed electronically by Morgan Stanley to clients. Certain, but not all, Morgan Stanley</t>
  </si>
  <si>
    <t>Research products are also made available to clients through third-party vendors or redistributed to</t>
  </si>
  <si>
    <t>clients through alternate electronic means as a convenience. For access to all available Morgan Stanley</t>
  </si>
  <si>
    <t>Research, please contact your sales representative or go to Matrix at</t>
  </si>
  <si>
    <t>http://www.morganstanley.com/matrix.</t>
  </si>
  <si>
    <t>Morgan Stanley produces an equity research product called a "Tactical Idea." Views contained in a</t>
  </si>
  <si>
    <t>"Tactical Idea" on a particular stock may be contrary to the recommendations or views expressed in</t>
  </si>
  <si>
    <t>research on the same stock. This may be the result of differing time horizons, methodologies, market</t>
  </si>
  <si>
    <t>events, or other factors. For all research available on a particular stock, please contact your sales</t>
  </si>
  <si>
    <t>representative or go to Matrix at http://www.morganstanley.com/matrix.</t>
  </si>
  <si>
    <t>Morgan Stanley is not acting as a municipal advisor and the opinions or views contained herein are not</t>
  </si>
  <si>
    <t>intended to be, and do not constitute, advice within the meaning of Section 975 of the Dodd-Frank Wall</t>
  </si>
  <si>
    <t>Street Reform and Consumer Protection Act.</t>
  </si>
  <si>
    <t>Morgan Stanley Research policy is to update research reports as and when the Research Analyst and</t>
  </si>
  <si>
    <t>Research Management deem appropriate, based on developments with the issuer, the sector, or the market</t>
  </si>
  <si>
    <t>that may have a material impact on the research views or opinions stated therein. In addition, certain</t>
  </si>
  <si>
    <t>Research publications are intended to be updated on a regular periodic basis</t>
  </si>
  <si>
    <t>(weekly/monthly/quarterly/annual) and will ordinarily be updated with that frequency, unless the</t>
  </si>
  <si>
    <t>Research Analyst and Research Management determine that a different publication schedule is appropriate</t>
  </si>
  <si>
    <t>based on current conditions.</t>
  </si>
  <si>
    <t>Morgan Stanley &amp; Co. International PLC and its affiliates have a significant financial interest in the</t>
  </si>
  <si>
    <t>debt securities of Nucor Corporation.</t>
  </si>
  <si>
    <t>Each Morgan Stanley Equity Research report is reviewed and approved on behalf of Morgan Stanley Smith</t>
  </si>
  <si>
    <t>Barney LLC. This review and approval is conducted by the same person who reviews the Equity Research</t>
  </si>
  <si>
    <t>report on behalf of Morgan Stanley. This could create a conflict of interest.</t>
  </si>
  <si>
    <t>Important disclosures regarding the relationship between the companies that are the subject of Morgan</t>
  </si>
  <si>
    <t>Stanley Research and Morgan Stanley Smith Barney LLC or Morgan Stanley or any of their affiliates, are</t>
  </si>
  <si>
    <t>available on the Morgan Stanley Wealth Management disclosure website at</t>
  </si>
  <si>
    <t>www.morganstanley.com/online/researchdisclosures. For Morgan Stanley specific disclosures, you may refer</t>
  </si>
  <si>
    <t>to www.morganstanley.com/researchdisclosures.</t>
  </si>
  <si>
    <t>Benchmarks for each region are as follows: North America - S&amp;P 500; Latin America - relevant MSCI</t>
  </si>
  <si>
    <t>country index or MSCI Latin America Index; Europe - MSCI Europe; Japan - TOPIX; Asia - relevant MSCI</t>
  </si>
  <si>
    <t>country index or MSCI sub-regional index or MSCI AC Asia Pacific ex Japan Index.</t>
  </si>
  <si>
    <t>Cautious (C): The analyst views the performance of his or her industry coverage universe over the next</t>
  </si>
  <si>
    <t>12-18 months with caution vs. the relevant broad market benchmark, as indicated below.</t>
  </si>
  <si>
    <t>In-Line (I): The analyst expects the performance of his or her industry coverage universe over the next</t>
  </si>
  <si>
    <t>12-18 months to be in line with the relevant broad market benchmark, as indicated below.</t>
  </si>
  <si>
    <t>Attractive (A): The analyst expects the performance of his or her industry coverage universe over the</t>
  </si>
  <si>
    <t>next 12-18 months to be attractive vs. the relevant broad market benchmark, as indicated below.</t>
  </si>
  <si>
    <t>Unless otherwise specified, the time frame for price targets included in Morgan Stanley Research is 12</t>
  </si>
  <si>
    <t>to 18 months.</t>
  </si>
  <si>
    <t>Underweight (U). The stock's total return is expected to be below the average total return of the</t>
  </si>
  <si>
    <t>analyst's industry (or industry team's) coverage universe, on a risk-adjusted basis, over the next 12-18</t>
  </si>
  <si>
    <t>months.</t>
  </si>
  <si>
    <t>Not-Rated (NR). Currently the analyst does not have adequate conviction about the stock's total return</t>
  </si>
  <si>
    <t>relative to the average total return of the analyst's industry (or industry team's) coverage universe,</t>
  </si>
  <si>
    <t>on a risk-adjusted basis, over the next 12-18 months.</t>
  </si>
  <si>
    <t>Equal-weight (E). The stock's total return is expected to be in line with the average total return of</t>
  </si>
  <si>
    <t>the analyst's industry (or industry team's) coverage universe, on a risk-adjusted basis, over the next</t>
  </si>
  <si>
    <t>12-18 months.</t>
  </si>
  <si>
    <t>Overweight (O). The stock's total return is expected to exceed the average total return of the analyst's</t>
  </si>
  <si>
    <t>industry (or industry team's) coverage universe, on a risk-adjusted basis, over the next 12-18 months.</t>
  </si>
  <si>
    <t>Data include common stock and ADRs currently assigned ratings. Investment Banking Clients are companies</t>
  </si>
  <si>
    <t>from whom Morgan Stanley received investment banking compensation in the last 12 months. Due to rounding</t>
  </si>
  <si>
    <t>off of decimals, the percentages provided in the "% of total" column may not add up to exactly 100</t>
  </si>
  <si>
    <t>percent.</t>
  </si>
  <si>
    <t>For disclosure purposes only (in accordance with NASD and NYSE requirements), we include the category</t>
  </si>
  <si>
    <t>headings of Buy, Hold, and Sell alongside our ratings of Overweight, Equal-weight, Not-Rated and</t>
  </si>
  <si>
    <t>Underweight. Morgan Stanley does not assign ratings of Buy, Hold or Sell to the stocks we cover.</t>
  </si>
  <si>
    <t>Overweight, Equal-weight, Not-Rated and Underweight are not the equivalent of buy, hold, and sell but</t>
  </si>
  <si>
    <t>represent recommended relative weightings (see definitions below). To satisfy regulatory requirements,</t>
  </si>
  <si>
    <t>we correspond Overweight, our most positive stock rating, with a buy recommendation; we correspond</t>
  </si>
  <si>
    <t>Equal-weight and Not-Rated to hold and Underweight to sell recommendations, respectively.</t>
  </si>
  <si>
    <t>The Stock Ratings described below apply to Morgan Stanley's Fundamental Equity Research and do not apply</t>
  </si>
  <si>
    <t>to Debt Research produced by the Firm.</t>
  </si>
  <si>
    <t>Morgan Stanley uses a relative rating system using terms such as Overweight, Equal-weight, Not-Rated or</t>
  </si>
  <si>
    <t>Underweight (see definitions below). Morgan Stanley does not assign ratings of Buy, Hold or Sell to the</t>
  </si>
  <si>
    <t>stocks we cover. Overweight, Equal-weight, Not-Rated and Underweight are not the equivalent of buy, hold</t>
  </si>
  <si>
    <t>and sell. Investors should carefully read the definitions of all ratings used in Morgan Stanley</t>
  </si>
  <si>
    <t>Research. In addition, since Morgan Stanley Research contains more complete information concerning the</t>
  </si>
  <si>
    <t>analyst's views, investors should carefully read Morgan Stanley Research, in its entirety, and not infer</t>
  </si>
  <si>
    <t>the contents from the rating alone. In any case, ratings (or research) should not be used or relied upon</t>
  </si>
  <si>
    <t>as investment advice. An investor's decision to buy or sell a stock should depend on individual</t>
  </si>
  <si>
    <t>circumstances (such as the investor's existing holdings) and other considerations.</t>
  </si>
  <si>
    <t>Certain disclosures listed above are also for compliance with applicable regulations in non-US</t>
  </si>
  <si>
    <t>jurisdictions.</t>
  </si>
  <si>
    <t>Morgan Stanley and its affiliates do business that relates to companies/instruments covered in Morgan</t>
  </si>
  <si>
    <t>Stanley Research, including market making, providing liquidity, fund management, commercial banking,</t>
  </si>
  <si>
    <t>extension of credit, investment services and investment banking. Morgan Stanley sells to and buys from</t>
  </si>
  <si>
    <t>customers the securities/instruments of companies covered in Morgan Stanley Research on a principal</t>
  </si>
  <si>
    <t>basis. Morgan Stanley may have a position in the debt of the Company or instruments discussed in this</t>
  </si>
  <si>
    <t>report. Morgan Stanley trades or may trade as principal in the debt securities (or in related</t>
  </si>
  <si>
    <t>derivatives) that are the subject of the debt research report.</t>
  </si>
  <si>
    <t>The equity research analysts or strategists principally responsible for the preparation of Morgan</t>
  </si>
  <si>
    <t>Stanley Research have received compensation based upon various factors, including quality of research,</t>
  </si>
  <si>
    <t>investor client feedback, stock picking, competitive factors, firm revenues and overall investment</t>
  </si>
  <si>
    <t>banking revenues. Equity Research analysts' or strategists' compensation is not linked to investment</t>
  </si>
  <si>
    <t>banking or capital markets transactions performed by Morgan Stanley or the profitability or revenues of</t>
  </si>
  <si>
    <t>Within the last 12 months, Morgan Stanley has provided or is providing investment banking services to,</t>
  </si>
  <si>
    <t>or has an investment banking client relationship with, the following company: Nucor Corporation.</t>
  </si>
  <si>
    <t>In the next 3 months, Morgan Stanley expects to receive or intends to seek compensation for investment</t>
  </si>
  <si>
    <t>banking services from Nucor Corporation.</t>
  </si>
  <si>
    <t>As of March 29, 2018, Morgan Stanley beneficially owned 1% or more of a class of common equity</t>
  </si>
  <si>
    <t>securities of the following companies covered in Morgan Stanley Research: Nucor Corporation.</t>
  </si>
  <si>
    <t>Morgan Stanley Research has been published in accordance with our conflict management policy, which is</t>
  </si>
  <si>
    <t>available at www.morganstanley.com/institutional/research/conflictpolicies.</t>
  </si>
  <si>
    <t>The following analysts hereby certify that their views about the companies and their securities</t>
  </si>
  <si>
    <t>discussed in this report are accurately expressed and that they have not received and will not receive</t>
  </si>
  <si>
    <t>direct or indirect compensation in exchange for expressing specific recommendations or views in this</t>
  </si>
  <si>
    <t>report: Piyush Sood.</t>
  </si>
  <si>
    <t>For valuation methodology and risks associated with any recommendation, rating or price target</t>
  </si>
  <si>
    <t>referenced in this research report, please contact the Client Support Team as follows: US/Canada +1 800</t>
  </si>
  <si>
    <t>303-2495; Hong Kong +852 2848-5999; Latin America +1 718 754-5444 (U.S.); London +44 (0)20-7425-8169;</t>
  </si>
  <si>
    <t>Singapore +65 6834-6860; Sydney +61 (0)2-9770-1505; Tokyo +81 (0)3-6836-9000. Alternatively you may</t>
  </si>
  <si>
    <t>contact your investment representative or Morgan Stanley Research at 1585 Broadway, (Attention: Research</t>
  </si>
  <si>
    <t>Management), New York, NY 10036 USA.</t>
  </si>
  <si>
    <t>For important disclosures, stock price charts and equity rating histories regarding companies that are</t>
  </si>
  <si>
    <t>the subject of this report, please see the Morgan Stanley Research Disclosure Website at</t>
  </si>
  <si>
    <t>www.morganstanley.com/researchdisclosures, or contact your investment representative or Morgan Stanley</t>
  </si>
  <si>
    <t>Research at 1585 Broadway, (Attention: Research Management), New York, NY, 10036 USA.</t>
  </si>
  <si>
    <t>The information and opinions in Morgan Stanley Research were prepared by Morgan Stanley &amp; Co. LLC,</t>
  </si>
  <si>
    <t>and/or Morgan Stanley C.T.V.M. S.A., and/or Morgan Stanley Mexico, Casa de Bolsa, S.A. de C.V., and/or</t>
  </si>
  <si>
    <t>Morgan Stanley Canada Limited. As used in this disclosure section, "Morgan Stanley" includes Morgan</t>
  </si>
  <si>
    <t>Stanley &amp; Co. LLC, Morgan Stanley C.T.V.M. S.A., Morgan Stanley Mexico, Casa de Bolsa, S.A. de C.V.,</t>
  </si>
  <si>
    <t>Morgan Stanley Canada Limited and their affiliates as necessary.</t>
  </si>
  <si>
    <t>Morgan Stanley does and seeks to do business with companies covered in Morgan Stanley Research. As a</t>
  </si>
  <si>
    <t>result, investors should be aware that the firm may have a conflict of interest that could affect the</t>
  </si>
  <si>
    <t>objectivity of Morgan Stanley Research. Investors should consider Morgan Stanley Research as only a</t>
  </si>
  <si>
    <t>single factor in making their investment decision.</t>
  </si>
  <si>
    <t>© Copyright 2018 Morgan Stanley</t>
  </si>
  <si>
    <t>MacroVersion</t>
  </si>
  <si>
    <t>PublishDate</t>
  </si>
  <si>
    <t>Discipline</t>
  </si>
  <si>
    <t>ResearchTopic</t>
  </si>
  <si>
    <t>Company</t>
  </si>
  <si>
    <t>DocType</t>
  </si>
  <si>
    <t>Model</t>
  </si>
  <si>
    <t>SubjectCode</t>
  </si>
  <si>
    <t>KeepVersions</t>
  </si>
  <si>
    <t>All</t>
  </si>
  <si>
    <t>Rating</t>
  </si>
  <si>
    <t>CurrYearTotalRevenue*</t>
  </si>
  <si>
    <t>CurrYearEPS*</t>
  </si>
  <si>
    <t>NextYearTotalRevenue*</t>
  </si>
  <si>
    <t>NextYearEPS*</t>
  </si>
  <si>
    <t>FollowingYearTotalRevenue*</t>
  </si>
  <si>
    <t>FollowingYearEPS*</t>
  </si>
  <si>
    <t>5YearGrowthRate</t>
  </si>
  <si>
    <t>UpdateReason</t>
  </si>
  <si>
    <t>Authors</t>
  </si>
  <si>
    <t>Tickers</t>
  </si>
  <si>
    <t>CUSIP</t>
  </si>
  <si>
    <t>RIC</t>
  </si>
  <si>
    <t>SEDOL</t>
  </si>
  <si>
    <t>PathName</t>
  </si>
  <si>
    <t>Distribution</t>
  </si>
  <si>
    <t>Deleted</t>
  </si>
  <si>
    <t>NO</t>
  </si>
  <si>
    <t>EmailAlert</t>
  </si>
  <si>
    <t>YES</t>
  </si>
  <si>
    <t>CurrQtrEPS</t>
  </si>
  <si>
    <t>CYEnd</t>
  </si>
  <si>
    <t>CQEnd</t>
  </si>
  <si>
    <t>CurrYearTotalRevenueActual*</t>
  </si>
  <si>
    <t>NextYearTotalRevenueActual*</t>
  </si>
  <si>
    <t>FollowingYearTotalRevenueActual*</t>
  </si>
  <si>
    <t>Multiplier</t>
  </si>
  <si>
    <t>TemplateRegion</t>
  </si>
  <si>
    <t>ObjectType</t>
  </si>
  <si>
    <t>excel</t>
  </si>
  <si>
    <t>LanguageCode</t>
  </si>
  <si>
    <t>en-US</t>
  </si>
  <si>
    <t>SubmitterUserId</t>
  </si>
  <si>
    <t>IndustryId</t>
  </si>
  <si>
    <t>TickerRegion</t>
  </si>
  <si>
    <t>AdditionalInstructions</t>
  </si>
  <si>
    <t>*Estimated</t>
  </si>
  <si>
    <t>Equal-Weight / In-Line</t>
  </si>
  <si>
    <t>Quarterly Update</t>
  </si>
  <si>
    <t>NorthAmerica</t>
  </si>
  <si>
    <t>nanduank</t>
  </si>
  <si>
    <t>MSA904MN, MSA42HCW, MSA54PPW</t>
  </si>
  <si>
    <t>L:\METALS\1Models\Updating Models\To Publish\NUE_Current_Updating.xlsx</t>
  </si>
  <si>
    <t>[BRO MSA]</t>
  </si>
  <si>
    <t>[PRODUCT MODEL]</t>
  </si>
  <si>
    <t>[EMAIL_ALERT YES]</t>
  </si>
  <si>
    <t>[DISCIPLINE Company]</t>
  </si>
  <si>
    <t>[SUPPRESSED NO]</t>
  </si>
  <si>
    <t>[DOCDAT 2018-04-24]</t>
  </si>
  <si>
    <t>[DOCTIME 02:29]</t>
  </si>
  <si>
    <t>[PSYM NUE.N(S&amp;P) (None)]</t>
  </si>
  <si>
    <t>[COU 1]</t>
  </si>
  <si>
    <t>[ANA MSA42HCW MSA54PPW]</t>
  </si>
  <si>
    <t>[HL NUE.N Model]</t>
  </si>
  <si>
    <t>[IND IRNSTL]</t>
  </si>
  <si>
    <t>[PANA MSA904MN]</t>
  </si>
</sst>
</file>

<file path=xl/styles.xml><?xml version="1.0" encoding="utf-8"?>
<styleSheet xmlns="http://schemas.openxmlformats.org/spreadsheetml/2006/main" xmlns:mc="http://schemas.openxmlformats.org/markup-compatibility/2006" xmlns:x14ac="http://schemas.microsoft.com/office/spreadsheetml/2009/9/ac" mc:Ignorable="x14ac">
  <numFmts count="42">
    <numFmt numFmtId="5" formatCode="&quot;$&quot;#,##0_);\(&quot;$&quot;#,##0\)"/>
    <numFmt numFmtId="6" formatCode="&quot;$&quot;#,##0_);[Red]\(&quot;$&quot;#,##0\)"/>
    <numFmt numFmtId="7" formatCode="&quot;$&quot;#,##0.00_);\(&quot;$&quot;#,##0.00\)"/>
    <numFmt numFmtId="8" formatCode="&quot;$&quot;#,##0.00_);[Red]\(&quot;$&quot;#,##0.00\)"/>
    <numFmt numFmtId="41" formatCode="_(* #,##0_);_(* \(#,##0\);_(* &quot;-&quot;_);_(@_)"/>
    <numFmt numFmtId="44" formatCode="_(&quot;$&quot;* #,##0.00_);_(&quot;$&quot;* \(#,##0.00\);_(&quot;$&quot;* &quot;-&quot;??_);_(@_)"/>
    <numFmt numFmtId="43" formatCode="_(* #,##0.00_);_(* \(#,##0.00\);_(* &quot;-&quot;??_);_(@_)"/>
    <numFmt numFmtId="164" formatCode="_(* #,##0_);_(* \(#,##0\);_(* &quot;-&quot;??_);_(@_)"/>
    <numFmt numFmtId="165" formatCode="0.0%"/>
    <numFmt numFmtId="166" formatCode="#,##0.0_);\(#,##0.0\)"/>
    <numFmt numFmtId="167" formatCode="0_);\(0\)"/>
    <numFmt numFmtId="168" formatCode="0.0_)"/>
    <numFmt numFmtId="169" formatCode="General_)"/>
    <numFmt numFmtId="170" formatCode="_(* #,##0.0_);_(* \(#,##0.0\);_(* &quot;-&quot;??_);_(@_)"/>
    <numFmt numFmtId="171" formatCode="0.0"/>
    <numFmt numFmtId="173" formatCode="#,##0.0"/>
    <numFmt numFmtId="176" formatCode="mm/dd/yy"/>
    <numFmt numFmtId="177" formatCode="0.0\x"/>
    <numFmt numFmtId="178" formatCode="_(* #,##0.0000_);_(* \(#,##0.0000\);_(* &quot;-&quot;??_);_(@_)"/>
    <numFmt numFmtId="179" formatCode="m/d/yy;@"/>
    <numFmt numFmtId="180" formatCode="_(* #,##0.000_);_(* \(#,##0.000\);_(* &quot;-&quot;??_);_(@_)"/>
    <numFmt numFmtId="181" formatCode="_(* #,##0.00000_);_(* \(#,##0.00000\);_(* &quot;-&quot;??_);_(@_)"/>
    <numFmt numFmtId="182" formatCode="_(* #,##0.000000_);_(* \(#,##0.000000\);_(* &quot;-&quot;??_);_(@_)"/>
    <numFmt numFmtId="183" formatCode="_(* #,##0.00000000_);_(* \(#,##0.00000000\);_(* &quot;-&quot;??_);_(@_)"/>
    <numFmt numFmtId="184" formatCode="#,##0.0000000000000000000000_);\(#,##0.0000000000000000000000\)"/>
    <numFmt numFmtId="185" formatCode="_-* #,##0.00_-;\-* #,##0.00_-;_-* &quot;-&quot;??_-;_-@_-"/>
    <numFmt numFmtId="186" formatCode="[$-409]mmm\-yy;@"/>
    <numFmt numFmtId="187" formatCode="#,##0.000_);\(#,##0.000\)"/>
    <numFmt numFmtId="192" formatCode="_(&quot;$&quot;* #,##0_);_(&quot;$&quot;* \(#,##0\);_(&quot;$&quot;* &quot;-&quot;??_);_(@_)"/>
    <numFmt numFmtId="193" formatCode="#,##0.00\ ;\(#,##0.00\)"/>
    <numFmt numFmtId="194" formatCode="_(* #,##0.0_);_(* \(#,##0.0\);_(* &quot;-&quot;?_);_(@_)"/>
    <numFmt numFmtId="195" formatCode="mmmm\ d\,\ yyyy"/>
    <numFmt numFmtId="196" formatCode="0.000%"/>
    <numFmt numFmtId="197" formatCode="\L\ \+\ 0"/>
    <numFmt numFmtId="198" formatCode="#0.00%_);\(#0.00%\)"/>
    <numFmt numFmtId="199" formatCode="mm/dd/yy;@"/>
    <numFmt numFmtId="200" formatCode="0%;\ \(0%\)"/>
    <numFmt numFmtId="201" formatCode="0.0\x;\ \(0.0\x\)"/>
    <numFmt numFmtId="202" formatCode="0.0000%"/>
    <numFmt numFmtId="203" formatCode="0%;\(0%\)"/>
    <numFmt numFmtId="204" formatCode="_(* #,##0.0000_);_(* \(#,##0.0000\);_(* &quot;-&quot;?_);_(@_)"/>
    <numFmt numFmtId="210" formatCode="mm/dd/yy\ hh:mm"/>
  </numFmts>
  <fonts count="118">
    <font>
      <sz val="10"/>
      <name val="Arial"/>
    </font>
    <font>
      <sz val="10"/>
      <name val="Arial"/>
      <family val="2"/>
    </font>
    <font>
      <sz val="8"/>
      <name val="Times New Roman"/>
      <family val="1"/>
    </font>
    <font>
      <b/>
      <sz val="11"/>
      <name val="Times New Roman"/>
      <family val="1"/>
    </font>
    <font>
      <i/>
      <sz val="8"/>
      <name val="Times New Roman"/>
      <family val="1"/>
    </font>
    <font>
      <i/>
      <sz val="8"/>
      <name val="Times New Roman"/>
      <family val="1"/>
    </font>
    <font>
      <sz val="8"/>
      <name val="Times New Roman"/>
      <family val="1"/>
    </font>
    <font>
      <sz val="8"/>
      <name val="Arial"/>
      <family val="2"/>
    </font>
    <font>
      <u/>
      <sz val="10"/>
      <color indexed="53"/>
      <name val="Arial"/>
      <family val="2"/>
    </font>
    <font>
      <u/>
      <sz val="10"/>
      <color indexed="53"/>
      <name val="Arial"/>
      <family val="2"/>
    </font>
    <font>
      <sz val="10"/>
      <name val="Arial"/>
      <family val="2"/>
    </font>
    <font>
      <sz val="9"/>
      <name val="Arial"/>
      <family val="2"/>
    </font>
    <font>
      <sz val="10"/>
      <color indexed="10"/>
      <name val="Arial"/>
      <family val="2"/>
    </font>
    <font>
      <b/>
      <sz val="10"/>
      <name val="Arial"/>
      <family val="2"/>
    </font>
    <font>
      <sz val="8"/>
      <name val="Arial"/>
      <family val="2"/>
    </font>
    <font>
      <b/>
      <sz val="9"/>
      <name val="Arial"/>
      <family val="2"/>
    </font>
    <font>
      <b/>
      <u/>
      <sz val="8"/>
      <name val="Arial"/>
      <family val="2"/>
    </font>
    <font>
      <b/>
      <sz val="8"/>
      <name val="Arial"/>
      <family val="2"/>
    </font>
    <font>
      <i/>
      <sz val="8"/>
      <name val="Arial"/>
      <family val="2"/>
    </font>
    <font>
      <sz val="9"/>
      <name val="Times New Roman"/>
      <family val="1"/>
    </font>
    <font>
      <sz val="8"/>
      <color indexed="12"/>
      <name val="Arial"/>
      <family val="2"/>
    </font>
    <font>
      <sz val="10"/>
      <name val="MS Sans Serif"/>
      <family val="2"/>
    </font>
    <font>
      <b/>
      <sz val="12"/>
      <name val="Arial"/>
      <family val="2"/>
    </font>
    <font>
      <sz val="8"/>
      <color indexed="81"/>
      <name val="Tahoma"/>
      <family val="2"/>
    </font>
    <font>
      <b/>
      <sz val="8"/>
      <color indexed="81"/>
      <name val="Tahoma"/>
      <family val="2"/>
    </font>
    <font>
      <b/>
      <sz val="10"/>
      <color indexed="8"/>
      <name val="Times New Roman"/>
      <family val="1"/>
    </font>
    <font>
      <sz val="10"/>
      <color indexed="8"/>
      <name val="Times New Roman"/>
      <family val="1"/>
    </font>
    <font>
      <b/>
      <sz val="8"/>
      <color indexed="9"/>
      <name val="Arial"/>
      <family val="2"/>
    </font>
    <font>
      <b/>
      <sz val="11"/>
      <name val="Arial"/>
      <family val="2"/>
    </font>
    <font>
      <sz val="8.5"/>
      <name val="Arial"/>
      <family val="2"/>
    </font>
    <font>
      <b/>
      <sz val="8.5"/>
      <name val="Arial"/>
      <family val="2"/>
    </font>
    <font>
      <sz val="6"/>
      <name val="Arial"/>
      <family val="2"/>
    </font>
    <font>
      <sz val="8"/>
      <color indexed="9"/>
      <name val="Arial"/>
      <family val="2"/>
    </font>
    <font>
      <sz val="10"/>
      <color indexed="9"/>
      <name val="Arial"/>
      <family val="2"/>
    </font>
    <font>
      <b/>
      <sz val="10"/>
      <color indexed="9"/>
      <name val="Arial"/>
      <family val="2"/>
    </font>
    <font>
      <b/>
      <i/>
      <sz val="8"/>
      <name val="Arial"/>
      <family val="2"/>
    </font>
    <font>
      <sz val="8"/>
      <color indexed="8"/>
      <name val="Arial"/>
      <family val="2"/>
    </font>
    <font>
      <b/>
      <sz val="8"/>
      <color indexed="8"/>
      <name val="Arial"/>
      <family val="2"/>
    </font>
    <font>
      <b/>
      <sz val="10"/>
      <color indexed="12"/>
      <name val="Arial"/>
      <family val="2"/>
    </font>
    <font>
      <i/>
      <sz val="8"/>
      <color indexed="8"/>
      <name val="Arial"/>
      <family val="2"/>
    </font>
    <font>
      <b/>
      <sz val="10"/>
      <color indexed="10"/>
      <name val="Arial"/>
      <family val="2"/>
    </font>
    <font>
      <u/>
      <sz val="8"/>
      <color indexed="12"/>
      <name val="Arial"/>
      <family val="2"/>
    </font>
    <font>
      <sz val="8"/>
      <color indexed="18"/>
      <name val="Arial"/>
      <family val="2"/>
    </font>
    <font>
      <b/>
      <i/>
      <sz val="8"/>
      <color indexed="8"/>
      <name val="Arial"/>
      <family val="2"/>
    </font>
    <font>
      <sz val="8"/>
      <name val="Arisl"/>
    </font>
    <font>
      <b/>
      <sz val="8"/>
      <name val="Arisl"/>
    </font>
    <font>
      <i/>
      <sz val="8"/>
      <name val="Arisl"/>
    </font>
    <font>
      <b/>
      <sz val="14"/>
      <name val="Arial"/>
      <family val="2"/>
    </font>
    <font>
      <u/>
      <sz val="8"/>
      <name val="Arial"/>
      <family val="2"/>
    </font>
    <font>
      <sz val="8"/>
      <color indexed="19"/>
      <name val="Arial"/>
      <family val="2"/>
    </font>
    <font>
      <b/>
      <sz val="8"/>
      <color indexed="60"/>
      <name val="Arial"/>
      <family val="2"/>
    </font>
    <font>
      <sz val="8"/>
      <color indexed="60"/>
      <name val="Arial"/>
      <family val="2"/>
    </font>
    <font>
      <sz val="8"/>
      <color indexed="19"/>
      <name val="Arisl"/>
    </font>
    <font>
      <sz val="10"/>
      <name val="Helv"/>
    </font>
    <font>
      <sz val="11"/>
      <name val="Arial"/>
      <family val="2"/>
    </font>
    <font>
      <b/>
      <sz val="8.5"/>
      <name val="Arial"/>
      <family val="2"/>
    </font>
    <font>
      <sz val="8.5"/>
      <name val="Arial"/>
      <family val="2"/>
    </font>
    <font>
      <sz val="8.5"/>
      <color indexed="12"/>
      <name val="Arial"/>
      <family val="2"/>
    </font>
    <font>
      <i/>
      <sz val="8.5"/>
      <name val="Arial"/>
      <family val="2"/>
    </font>
    <font>
      <i/>
      <sz val="8.5"/>
      <color indexed="8"/>
      <name val="Arial"/>
      <family val="2"/>
    </font>
    <font>
      <i/>
      <sz val="10"/>
      <name val="Arial"/>
      <family val="2"/>
    </font>
    <font>
      <i/>
      <sz val="8.5"/>
      <name val="Arial"/>
      <family val="2"/>
    </font>
    <font>
      <i/>
      <sz val="8.5"/>
      <color indexed="12"/>
      <name val="Arial"/>
      <family val="2"/>
    </font>
    <font>
      <sz val="8.5"/>
      <color indexed="17"/>
      <name val="Arial"/>
      <family val="2"/>
    </font>
    <font>
      <sz val="8.5"/>
      <color indexed="46"/>
      <name val="Arial"/>
      <family val="2"/>
    </font>
    <font>
      <sz val="8.5"/>
      <color indexed="19"/>
      <name val="Arial"/>
      <family val="2"/>
    </font>
    <font>
      <sz val="8.5"/>
      <color indexed="8"/>
      <name val="Arial"/>
      <family val="2"/>
    </font>
    <font>
      <i/>
      <sz val="8"/>
      <color indexed="9"/>
      <name val="Arial"/>
      <family val="2"/>
    </font>
    <font>
      <b/>
      <sz val="8.5"/>
      <color indexed="9"/>
      <name val="Arial"/>
      <family val="2"/>
    </font>
    <font>
      <sz val="8.5"/>
      <color indexed="9"/>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62"/>
      <name val="Cambria"/>
      <family val="2"/>
    </font>
    <font>
      <b/>
      <sz val="11"/>
      <color indexed="8"/>
      <name val="Calibri"/>
      <family val="2"/>
    </font>
    <font>
      <sz val="11"/>
      <color indexed="10"/>
      <name val="Calibri"/>
      <family val="2"/>
    </font>
    <font>
      <sz val="8"/>
      <color indexed="23"/>
      <name val="Arial"/>
      <family val="2"/>
    </font>
    <font>
      <sz val="10"/>
      <color indexed="61"/>
      <name val="Arial"/>
      <family val="2"/>
    </font>
    <font>
      <b/>
      <sz val="8"/>
      <color indexed="9"/>
      <name val="Arial"/>
      <family val="2"/>
    </font>
    <font>
      <sz val="8"/>
      <color indexed="61"/>
      <name val="Arial"/>
      <family val="2"/>
    </font>
    <font>
      <sz val="12"/>
      <name val="바탕체"/>
      <family val="3"/>
      <charset val="129"/>
    </font>
    <font>
      <sz val="12"/>
      <name val="바탕체"/>
      <family val="3"/>
    </font>
    <font>
      <sz val="8"/>
      <color indexed="9"/>
      <name val="Arial"/>
      <family val="2"/>
    </font>
    <font>
      <b/>
      <u/>
      <sz val="8"/>
      <color indexed="9"/>
      <name val="Arial"/>
      <family val="2"/>
    </font>
    <font>
      <b/>
      <sz val="8"/>
      <name val="Arial"/>
      <family val="2"/>
    </font>
    <font>
      <b/>
      <sz val="8"/>
      <color indexed="61"/>
      <name val="Arial"/>
      <family val="2"/>
    </font>
    <font>
      <sz val="9"/>
      <color indexed="81"/>
      <name val="Tahoma"/>
      <family val="2"/>
    </font>
    <font>
      <b/>
      <sz val="9"/>
      <color indexed="81"/>
      <name val="Tahoma"/>
      <family val="2"/>
    </font>
    <font>
      <sz val="10"/>
      <name val="Arial"/>
      <family val="2"/>
    </font>
    <font>
      <sz val="8"/>
      <color rgb="FF0000FF"/>
      <name val="Arial"/>
      <family val="2"/>
    </font>
    <font>
      <b/>
      <sz val="8"/>
      <color rgb="FF0000FF"/>
      <name val="Arial"/>
      <family val="2"/>
    </font>
    <font>
      <i/>
      <sz val="8"/>
      <color rgb="FF0000FF"/>
      <name val="Arial"/>
      <family val="2"/>
    </font>
    <font>
      <sz val="8"/>
      <color rgb="FF000000"/>
      <name val="Arial"/>
      <family val="2"/>
    </font>
    <font>
      <i/>
      <sz val="8.5"/>
      <color rgb="FF0000FF"/>
      <name val="Arial"/>
      <family val="2"/>
    </font>
    <font>
      <sz val="8"/>
      <color rgb="FFFF0000"/>
      <name val="Arial"/>
      <family val="2"/>
    </font>
    <font>
      <sz val="8.5"/>
      <color rgb="FF0000FF"/>
      <name val="Arial"/>
      <family val="2"/>
    </font>
    <font>
      <b/>
      <sz val="8"/>
      <color rgb="FF000000"/>
      <name val="Arial"/>
      <family val="2"/>
    </font>
    <font>
      <sz val="10"/>
      <color rgb="FF000000"/>
      <name val="Arial"/>
      <family val="2"/>
    </font>
    <font>
      <sz val="8"/>
      <color theme="1"/>
      <name val="Arisl"/>
    </font>
    <font>
      <b/>
      <u/>
      <sz val="8"/>
      <color theme="0"/>
      <name val="Arial"/>
      <family val="2"/>
    </font>
    <font>
      <sz val="7"/>
      <color rgb="FF0000FF"/>
      <name val="Arial"/>
      <family val="2"/>
    </font>
    <font>
      <b/>
      <sz val="8"/>
      <color theme="0"/>
      <name val="Arisl"/>
    </font>
    <font>
      <sz val="8"/>
      <color theme="0"/>
      <name val="Arisl"/>
    </font>
    <font>
      <sz val="10"/>
      <color rgb="FF0000FF"/>
      <name val="Arial"/>
      <family val="2"/>
    </font>
    <font>
      <sz val="8"/>
      <color rgb="FF0000FF"/>
      <name val="Arisl"/>
    </font>
    <font>
      <sz val="10"/>
      <name val="Courier"/>
      <family val="3"/>
    </font>
    <font>
      <b/>
      <sz val="12"/>
      <color rgb="FF000080"/>
      <name val="Arial"/>
      <family val="2"/>
    </font>
  </fonts>
  <fills count="27">
    <fill>
      <patternFill patternType="none"/>
    </fill>
    <fill>
      <patternFill patternType="gray125"/>
    </fill>
    <fill>
      <patternFill patternType="solid">
        <fgColor indexed="47"/>
      </patternFill>
    </fill>
    <fill>
      <patternFill patternType="solid">
        <fgColor indexed="29"/>
      </patternFill>
    </fill>
    <fill>
      <patternFill patternType="solid">
        <fgColor indexed="43"/>
      </patternFill>
    </fill>
    <fill>
      <patternFill patternType="solid">
        <fgColor indexed="27"/>
      </patternFill>
    </fill>
    <fill>
      <patternFill patternType="solid">
        <fgColor indexed="22"/>
      </patternFill>
    </fill>
    <fill>
      <patternFill patternType="solid">
        <fgColor indexed="44"/>
      </patternFill>
    </fill>
    <fill>
      <patternFill patternType="solid">
        <fgColor indexed="49"/>
      </patternFill>
    </fill>
    <fill>
      <patternFill patternType="solid">
        <fgColor indexed="26"/>
      </patternFill>
    </fill>
    <fill>
      <patternFill patternType="solid">
        <fgColor indexed="54"/>
      </patternFill>
    </fill>
    <fill>
      <patternFill patternType="solid">
        <fgColor indexed="45"/>
      </patternFill>
    </fill>
    <fill>
      <patternFill patternType="solid">
        <fgColor indexed="9"/>
      </patternFill>
    </fill>
    <fill>
      <patternFill patternType="solid">
        <fgColor indexed="55"/>
      </patternFill>
    </fill>
    <fill>
      <patternFill patternType="solid">
        <fgColor indexed="42"/>
      </patternFill>
    </fill>
    <fill>
      <patternFill patternType="solid">
        <fgColor indexed="43"/>
        <bgColor indexed="64"/>
      </patternFill>
    </fill>
    <fill>
      <patternFill patternType="solid">
        <fgColor indexed="9"/>
        <bgColor indexed="64"/>
      </patternFill>
    </fill>
    <fill>
      <patternFill patternType="solid">
        <fgColor indexed="54"/>
        <bgColor indexed="64"/>
      </patternFill>
    </fill>
    <fill>
      <patternFill patternType="solid">
        <fgColor theme="0"/>
        <bgColor indexed="64"/>
      </patternFill>
    </fill>
    <fill>
      <patternFill patternType="solid">
        <fgColor rgb="FFD9D9D9"/>
        <bgColor indexed="64"/>
      </patternFill>
    </fill>
    <fill>
      <patternFill patternType="solid">
        <fgColor theme="0" tint="-0.14999847407452621"/>
        <bgColor indexed="64"/>
      </patternFill>
    </fill>
    <fill>
      <patternFill patternType="solid">
        <fgColor theme="3" tint="-0.249977111117893"/>
        <bgColor indexed="64"/>
      </patternFill>
    </fill>
    <fill>
      <patternFill patternType="solid">
        <fgColor theme="4" tint="0.79998168889431442"/>
        <bgColor indexed="64"/>
      </patternFill>
    </fill>
    <fill>
      <patternFill patternType="solid">
        <fgColor theme="3" tint="0.39997558519241921"/>
        <bgColor indexed="64"/>
      </patternFill>
    </fill>
    <fill>
      <patternFill patternType="solid">
        <fgColor theme="3" tint="0.79998168889431442"/>
        <bgColor indexed="64"/>
      </patternFill>
    </fill>
    <fill>
      <patternFill patternType="solid">
        <fgColor rgb="FFFFFF00"/>
        <bgColor indexed="64"/>
      </patternFill>
    </fill>
    <fill>
      <patternFill patternType="solid">
        <fgColor indexed="65"/>
        <bgColor indexed="64"/>
      </patternFill>
    </fill>
  </fills>
  <borders count="43">
    <border>
      <left/>
      <right/>
      <top/>
      <bottom/>
      <diagonal/>
    </border>
    <border>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8"/>
      </bottom>
      <diagonal/>
    </border>
    <border>
      <left/>
      <right/>
      <top style="thin">
        <color indexed="49"/>
      </top>
      <bottom style="double">
        <color indexed="49"/>
      </bottom>
      <diagonal/>
    </border>
    <border>
      <left/>
      <right/>
      <top style="medium">
        <color indexed="64"/>
      </top>
      <bottom style="medium">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style="hair">
        <color indexed="64"/>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9"/>
      </bottom>
      <diagonal/>
    </border>
    <border>
      <left/>
      <right/>
      <top/>
      <bottom style="thin">
        <color theme="0"/>
      </bottom>
      <diagonal/>
    </border>
    <border>
      <left/>
      <right/>
      <top/>
      <bottom style="dotted">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hair">
        <color indexed="64"/>
      </bottom>
      <diagonal/>
    </border>
    <border>
      <left/>
      <right style="thin">
        <color indexed="64"/>
      </right>
      <top/>
      <bottom style="hair">
        <color indexed="64"/>
      </bottom>
      <diagonal/>
    </border>
    <border>
      <left/>
      <right style="thin">
        <color indexed="64"/>
      </right>
      <top/>
      <bottom style="dotted">
        <color auto="1"/>
      </bottom>
      <diagonal/>
    </border>
    <border>
      <left style="thin">
        <color indexed="64"/>
      </left>
      <right/>
      <top/>
      <bottom style="dotted">
        <color auto="1"/>
      </bottom>
      <diagonal/>
    </border>
    <border>
      <left style="thin">
        <color auto="1"/>
      </left>
      <right/>
      <top/>
      <bottom style="thin">
        <color indexed="64"/>
      </bottom>
      <diagonal/>
    </border>
    <border>
      <left/>
      <right style="thin">
        <color auto="1"/>
      </right>
      <top/>
      <bottom style="thin">
        <color indexed="64"/>
      </bottom>
      <diagonal/>
    </border>
    <border>
      <left style="thin">
        <color auto="1"/>
      </left>
      <right/>
      <top style="thin">
        <color indexed="64"/>
      </top>
      <bottom style="thin">
        <color indexed="64"/>
      </bottom>
      <diagonal/>
    </border>
    <border>
      <left/>
      <right style="thin">
        <color auto="1"/>
      </right>
      <top style="thin">
        <color indexed="64"/>
      </top>
      <bottom style="thin">
        <color indexed="64"/>
      </bottom>
      <diagonal/>
    </border>
    <border>
      <left style="thin">
        <color auto="1"/>
      </left>
      <right/>
      <top style="hair">
        <color indexed="64"/>
      </top>
      <bottom/>
      <diagonal/>
    </border>
    <border>
      <left/>
      <right style="thin">
        <color auto="1"/>
      </right>
      <top style="hair">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diagonal/>
    </border>
  </borders>
  <cellStyleXfs count="111">
    <xf numFmtId="0" fontId="0" fillId="0" borderId="0" applyNumberFormat="0" applyFill="0" applyBorder="0" applyAlignment="0" applyProtection="0"/>
    <xf numFmtId="0" fontId="10" fillId="0" borderId="0">
      <protection locked="0"/>
    </xf>
    <xf numFmtId="0" fontId="10" fillId="0" borderId="0">
      <protection locked="0"/>
    </xf>
    <xf numFmtId="0" fontId="10" fillId="0" borderId="0">
      <protection locked="0"/>
    </xf>
    <xf numFmtId="0" fontId="10" fillId="0" borderId="0">
      <protection locked="0"/>
    </xf>
    <xf numFmtId="0" fontId="10" fillId="0" borderId="0">
      <protection locked="0"/>
    </xf>
    <xf numFmtId="0" fontId="10" fillId="0" borderId="0">
      <protection locked="0"/>
    </xf>
    <xf numFmtId="0" fontId="10" fillId="0" borderId="0">
      <protection locked="0"/>
    </xf>
    <xf numFmtId="0" fontId="10" fillId="0" borderId="0">
      <protection locked="0"/>
    </xf>
    <xf numFmtId="0" fontId="10" fillId="0" borderId="0">
      <protection locked="0"/>
    </xf>
    <xf numFmtId="0" fontId="10" fillId="0" borderId="0">
      <protection locked="0"/>
    </xf>
    <xf numFmtId="0" fontId="10" fillId="0" borderId="0">
      <protection locked="0"/>
    </xf>
    <xf numFmtId="0" fontId="10" fillId="0" borderId="0">
      <protection locked="0"/>
    </xf>
    <xf numFmtId="0" fontId="10" fillId="0" borderId="0">
      <protection locked="0"/>
    </xf>
    <xf numFmtId="0" fontId="10" fillId="0" borderId="0">
      <protection locked="0"/>
    </xf>
    <xf numFmtId="0" fontId="10" fillId="0" borderId="0">
      <protection locked="0"/>
    </xf>
    <xf numFmtId="0" fontId="10" fillId="0" borderId="0">
      <protection locked="0"/>
    </xf>
    <xf numFmtId="0" fontId="10" fillId="0" borderId="0">
      <protection locked="0"/>
    </xf>
    <xf numFmtId="0" fontId="10" fillId="0" borderId="0">
      <protection locked="0"/>
    </xf>
    <xf numFmtId="0" fontId="10" fillId="0" borderId="0">
      <protection locked="0"/>
    </xf>
    <xf numFmtId="0" fontId="10" fillId="0" borderId="0">
      <protection locked="0"/>
    </xf>
    <xf numFmtId="0" fontId="10" fillId="0" borderId="0">
      <protection locked="0"/>
    </xf>
    <xf numFmtId="0" fontId="10" fillId="0" borderId="0">
      <protection locked="0"/>
    </xf>
    <xf numFmtId="0" fontId="10" fillId="0" borderId="0" applyNumberFormat="0" applyFill="0" applyBorder="0" applyAlignment="0" applyProtection="0"/>
    <xf numFmtId="0" fontId="53" fillId="0" borderId="0"/>
    <xf numFmtId="0" fontId="1" fillId="0" borderId="0"/>
    <xf numFmtId="0" fontId="1" fillId="0" borderId="0"/>
    <xf numFmtId="0" fontId="21" fillId="0" borderId="0"/>
    <xf numFmtId="0" fontId="21" fillId="0" borderId="0"/>
    <xf numFmtId="0" fontId="21" fillId="0" borderId="0"/>
    <xf numFmtId="0" fontId="70" fillId="2" borderId="0" applyNumberFormat="0" applyBorder="0" applyAlignment="0" applyProtection="0"/>
    <xf numFmtId="0" fontId="70" fillId="3" borderId="0" applyNumberFormat="0" applyBorder="0" applyAlignment="0" applyProtection="0"/>
    <xf numFmtId="0" fontId="70" fillId="4" borderId="0" applyNumberFormat="0" applyBorder="0" applyAlignment="0" applyProtection="0"/>
    <xf numFmtId="0" fontId="70" fillId="2" borderId="0" applyNumberFormat="0" applyBorder="0" applyAlignment="0" applyProtection="0"/>
    <xf numFmtId="0" fontId="70" fillId="5" borderId="0" applyNumberFormat="0" applyBorder="0" applyAlignment="0" applyProtection="0"/>
    <xf numFmtId="0" fontId="70" fillId="4" borderId="0" applyNumberFormat="0" applyBorder="0" applyAlignment="0" applyProtection="0"/>
    <xf numFmtId="0" fontId="70" fillId="6" borderId="0" applyNumberFormat="0" applyBorder="0" applyAlignment="0" applyProtection="0"/>
    <xf numFmtId="0" fontId="70" fillId="3" borderId="0" applyNumberFormat="0" applyBorder="0" applyAlignment="0" applyProtection="0"/>
    <xf numFmtId="0" fontId="70" fillId="4" borderId="0" applyNumberFormat="0" applyBorder="0" applyAlignment="0" applyProtection="0"/>
    <xf numFmtId="0" fontId="70" fillId="6" borderId="0" applyNumberFormat="0" applyBorder="0" applyAlignment="0" applyProtection="0"/>
    <xf numFmtId="0" fontId="70" fillId="7" borderId="0" applyNumberFormat="0" applyBorder="0" applyAlignment="0" applyProtection="0"/>
    <xf numFmtId="0" fontId="70" fillId="4" borderId="0" applyNumberFormat="0" applyBorder="0" applyAlignment="0" applyProtection="0"/>
    <xf numFmtId="0" fontId="71" fillId="8" borderId="0" applyNumberFormat="0" applyBorder="0" applyAlignment="0" applyProtection="0"/>
    <xf numFmtId="0" fontId="71" fillId="3" borderId="0" applyNumberFormat="0" applyBorder="0" applyAlignment="0" applyProtection="0"/>
    <xf numFmtId="0" fontId="71" fillId="9" borderId="0" applyNumberFormat="0" applyBorder="0" applyAlignment="0" applyProtection="0"/>
    <xf numFmtId="0" fontId="71" fillId="6" borderId="0" applyNumberFormat="0" applyBorder="0" applyAlignment="0" applyProtection="0"/>
    <xf numFmtId="0" fontId="71" fillId="8" borderId="0" applyNumberFormat="0" applyBorder="0" applyAlignment="0" applyProtection="0"/>
    <xf numFmtId="0" fontId="71" fillId="4" borderId="0" applyNumberFormat="0" applyBorder="0" applyAlignment="0" applyProtection="0"/>
    <xf numFmtId="0" fontId="71" fillId="8" borderId="0" applyNumberFormat="0" applyBorder="0" applyAlignment="0" applyProtection="0"/>
    <xf numFmtId="0" fontId="71" fillId="3" borderId="0" applyNumberFormat="0" applyBorder="0" applyAlignment="0" applyProtection="0"/>
    <xf numFmtId="0" fontId="71" fillId="9" borderId="0" applyNumberFormat="0" applyBorder="0" applyAlignment="0" applyProtection="0"/>
    <xf numFmtId="0" fontId="71" fillId="10" borderId="0" applyNumberFormat="0" applyBorder="0" applyAlignment="0" applyProtection="0"/>
    <xf numFmtId="0" fontId="71" fillId="8" borderId="0" applyNumberFormat="0" applyBorder="0" applyAlignment="0" applyProtection="0"/>
    <xf numFmtId="0" fontId="71" fillId="3" borderId="0" applyNumberFormat="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72" fillId="11" borderId="0" applyNumberFormat="0" applyBorder="0" applyAlignment="0" applyProtection="0"/>
    <xf numFmtId="168" fontId="6" fillId="0" borderId="1" applyNumberFormat="0" applyFont="0" applyFill="0" applyAlignment="0" applyProtection="0"/>
    <xf numFmtId="0" fontId="25" fillId="0" borderId="0"/>
    <xf numFmtId="0" fontId="10" fillId="0" borderId="0"/>
    <xf numFmtId="0" fontId="10" fillId="0" borderId="0"/>
    <xf numFmtId="0" fontId="73" fillId="12" borderId="2" applyNumberFormat="0" applyAlignment="0" applyProtection="0"/>
    <xf numFmtId="0" fontId="74" fillId="13" borderId="3" applyNumberFormat="0" applyAlignment="0" applyProtection="0"/>
    <xf numFmtId="43" fontId="1" fillId="0" borderId="0" applyFont="0" applyFill="0" applyBorder="0" applyAlignment="0" applyProtection="0"/>
    <xf numFmtId="185" fontId="1" fillId="0" borderId="0" applyFont="0" applyFill="0" applyBorder="0" applyAlignment="0" applyProtection="0"/>
    <xf numFmtId="44" fontId="1" fillId="0" borderId="0" applyFont="0" applyFill="0" applyBorder="0" applyAlignment="0" applyProtection="0"/>
    <xf numFmtId="44" fontId="99" fillId="0" borderId="0" applyFont="0" applyFill="0" applyBorder="0" applyAlignment="0" applyProtection="0"/>
    <xf numFmtId="0" fontId="75" fillId="0" borderId="0" applyNumberFormat="0" applyFill="0" applyBorder="0" applyAlignment="0" applyProtection="0"/>
    <xf numFmtId="0" fontId="76" fillId="14" borderId="0" applyNumberFormat="0" applyBorder="0" applyAlignment="0" applyProtection="0"/>
    <xf numFmtId="0" fontId="77" fillId="0" borderId="4" applyNumberFormat="0" applyFill="0" applyAlignment="0" applyProtection="0"/>
    <xf numFmtId="0" fontId="78" fillId="0" borderId="5" applyNumberFormat="0" applyFill="0" applyAlignment="0" applyProtection="0"/>
    <xf numFmtId="0" fontId="79" fillId="0" borderId="6" applyNumberFormat="0" applyFill="0" applyAlignment="0" applyProtection="0"/>
    <xf numFmtId="0" fontId="79" fillId="0" borderId="0" applyNumberFormat="0" applyFill="0" applyBorder="0" applyAlignment="0" applyProtection="0"/>
    <xf numFmtId="168" fontId="3" fillId="0" borderId="0" applyNumberFormat="0" applyFill="0" applyBorder="0" applyAlignment="0" applyProtection="0"/>
    <xf numFmtId="0" fontId="9"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0" fontId="80" fillId="4" borderId="2" applyNumberFormat="0" applyAlignment="0" applyProtection="0"/>
    <xf numFmtId="168" fontId="5" fillId="0" borderId="0"/>
    <xf numFmtId="0" fontId="81" fillId="0" borderId="7" applyNumberFormat="0" applyFill="0" applyAlignment="0" applyProtection="0"/>
    <xf numFmtId="0" fontId="82" fillId="4" borderId="0" applyNumberFormat="0" applyBorder="0" applyAlignment="0" applyProtection="0"/>
    <xf numFmtId="0" fontId="99" fillId="0" borderId="0"/>
    <xf numFmtId="0" fontId="1" fillId="0" borderId="0"/>
    <xf numFmtId="169" fontId="6" fillId="0" borderId="0"/>
    <xf numFmtId="0" fontId="11" fillId="0" borderId="0"/>
    <xf numFmtId="0" fontId="1" fillId="0" borderId="0"/>
    <xf numFmtId="0" fontId="1" fillId="0" borderId="0"/>
    <xf numFmtId="0" fontId="6" fillId="0" borderId="0"/>
    <xf numFmtId="0" fontId="1" fillId="0" borderId="0"/>
    <xf numFmtId="39" fontId="7" fillId="0" borderId="0"/>
    <xf numFmtId="0" fontId="1" fillId="0" borderId="0"/>
    <xf numFmtId="0" fontId="10" fillId="0" borderId="0" applyFill="0" applyAlignment="0">
      <protection locked="0"/>
    </xf>
    <xf numFmtId="0" fontId="1" fillId="4" borderId="8" applyNumberFormat="0" applyFont="0" applyAlignment="0" applyProtection="0"/>
    <xf numFmtId="0" fontId="83" fillId="12" borderId="9" applyNumberFormat="0" applyAlignment="0" applyProtection="0"/>
    <xf numFmtId="0" fontId="19" fillId="0" borderId="0">
      <alignment vertical="center"/>
    </xf>
    <xf numFmtId="9" fontId="1" fillId="0" borderId="0" applyFont="0" applyFill="0" applyBorder="0" applyAlignment="0" applyProtection="0"/>
    <xf numFmtId="9" fontId="10" fillId="0" borderId="0" applyFont="0" applyFill="0" applyBorder="0" applyAlignment="0" applyProtection="0"/>
    <xf numFmtId="0" fontId="10" fillId="15" borderId="0" applyNumberFormat="0" applyFont="0" applyBorder="0" applyAlignment="0" applyProtection="0"/>
    <xf numFmtId="0" fontId="26" fillId="0" borderId="0"/>
    <xf numFmtId="0" fontId="26" fillId="0" borderId="10">
      <alignment horizontal="centerContinuous"/>
    </xf>
    <xf numFmtId="0" fontId="4" fillId="0" borderId="10"/>
    <xf numFmtId="0" fontId="84" fillId="0" borderId="0" applyNumberFormat="0" applyFill="0" applyBorder="0" applyAlignment="0" applyProtection="0"/>
    <xf numFmtId="0" fontId="85" fillId="0" borderId="11" applyNumberFormat="0" applyFill="0" applyAlignment="0" applyProtection="0"/>
    <xf numFmtId="0" fontId="86" fillId="0" borderId="0" applyNumberFormat="0" applyFill="0" applyBorder="0" applyAlignment="0" applyProtection="0"/>
    <xf numFmtId="0" fontId="10" fillId="0" borderId="0" applyFont="0" applyFill="0" applyBorder="0" applyAlignment="0" applyProtection="0"/>
    <xf numFmtId="0" fontId="91" fillId="0" borderId="0" applyFont="0" applyFill="0" applyBorder="0" applyAlignment="0" applyProtection="0"/>
    <xf numFmtId="0" fontId="92" fillId="0" borderId="0"/>
    <xf numFmtId="0" fontId="1" fillId="0" borderId="0"/>
    <xf numFmtId="0" fontId="1" fillId="15" borderId="0" applyNumberFormat="0" applyFont="0" applyBorder="0" applyAlignment="0" applyProtection="0"/>
    <xf numFmtId="0" fontId="116" fillId="0" borderId="0"/>
  </cellStyleXfs>
  <cellXfs count="1351">
    <xf numFmtId="0" fontId="0" fillId="0" borderId="0" xfId="0"/>
    <xf numFmtId="37" fontId="114" fillId="0" borderId="0" xfId="65" applyNumberFormat="1" applyFont="1" applyFill="1" applyBorder="1" applyAlignment="1">
      <alignment horizontal="center"/>
    </xf>
    <xf numFmtId="37" fontId="102" fillId="20" borderId="0" xfId="96" applyNumberFormat="1" applyFont="1" applyFill="1"/>
    <xf numFmtId="49" fontId="0" fillId="0" borderId="0" xfId="0" applyNumberFormat="1"/>
    <xf numFmtId="0" fontId="12" fillId="0" borderId="0" xfId="0" applyFont="1"/>
    <xf numFmtId="0" fontId="13" fillId="0" borderId="0" xfId="0" applyFont="1"/>
    <xf numFmtId="0" fontId="7" fillId="0" borderId="0" xfId="0" applyFont="1"/>
    <xf numFmtId="0" fontId="20" fillId="16" borderId="0" xfId="88" applyFont="1" applyFill="1" applyAlignment="1">
      <alignment horizontal="center"/>
    </xf>
    <xf numFmtId="0" fontId="14" fillId="16" borderId="0" xfId="88" applyFont="1" applyFill="1"/>
    <xf numFmtId="10" fontId="20" fillId="16" borderId="0" xfId="96" applyNumberFormat="1" applyFont="1" applyFill="1" applyAlignment="1">
      <alignment horizontal="center"/>
    </xf>
    <xf numFmtId="165" fontId="17" fillId="16" borderId="0" xfId="96" applyNumberFormat="1" applyFont="1" applyFill="1"/>
    <xf numFmtId="38" fontId="17" fillId="16" borderId="0" xfId="88" applyNumberFormat="1" applyFont="1" applyFill="1"/>
    <xf numFmtId="0" fontId="17" fillId="16" borderId="0" xfId="0" applyFont="1" applyFill="1" applyBorder="1" applyAlignment="1"/>
    <xf numFmtId="166" fontId="17" fillId="16" borderId="0" xfId="0" applyNumberFormat="1" applyFont="1" applyFill="1" applyBorder="1" applyAlignment="1"/>
    <xf numFmtId="0" fontId="14" fillId="16" borderId="0" xfId="0" applyFont="1" applyFill="1" applyBorder="1" applyAlignment="1">
      <alignment horizontal="left" indent="1"/>
    </xf>
    <xf numFmtId="166" fontId="14" fillId="16" borderId="0" xfId="0" applyNumberFormat="1" applyFont="1" applyFill="1" applyBorder="1" applyAlignment="1"/>
    <xf numFmtId="166" fontId="14" fillId="16" borderId="0" xfId="88" applyNumberFormat="1" applyFont="1" applyFill="1" applyBorder="1"/>
    <xf numFmtId="166" fontId="17" fillId="16" borderId="0" xfId="0" applyNumberFormat="1" applyFont="1" applyFill="1" applyBorder="1" applyAlignment="1">
      <alignment horizontal="right"/>
    </xf>
    <xf numFmtId="0" fontId="14" fillId="16" borderId="0" xfId="0" applyFont="1" applyFill="1" applyBorder="1" applyAlignment="1"/>
    <xf numFmtId="0" fontId="14" fillId="16" borderId="0" xfId="88" applyFont="1" applyFill="1" applyBorder="1"/>
    <xf numFmtId="0" fontId="14" fillId="16" borderId="0" xfId="0" applyFont="1" applyFill="1" applyBorder="1"/>
    <xf numFmtId="166" fontId="14" fillId="16" borderId="0" xfId="0" applyNumberFormat="1" applyFont="1" applyFill="1" applyBorder="1" applyAlignment="1">
      <alignment horizontal="right"/>
    </xf>
    <xf numFmtId="9" fontId="14" fillId="16" borderId="0" xfId="96" applyFont="1" applyFill="1"/>
    <xf numFmtId="0" fontId="10" fillId="16" borderId="0" xfId="0" applyFont="1" applyFill="1"/>
    <xf numFmtId="0" fontId="0" fillId="16" borderId="0" xfId="0" applyFill="1"/>
    <xf numFmtId="0" fontId="17" fillId="16" borderId="0" xfId="91" applyFont="1" applyFill="1"/>
    <xf numFmtId="0" fontId="12" fillId="0" borderId="0" xfId="92" applyFont="1" applyFill="1" applyProtection="1"/>
    <xf numFmtId="0" fontId="12" fillId="0" borderId="13" xfId="92" applyFont="1" applyBorder="1" applyProtection="1"/>
    <xf numFmtId="0" fontId="40" fillId="0" borderId="13" xfId="92" applyFont="1" applyFill="1" applyBorder="1" applyAlignment="1" applyProtection="1">
      <alignment horizontal="left"/>
    </xf>
    <xf numFmtId="39" fontId="40" fillId="0" borderId="13" xfId="92" applyNumberFormat="1" applyFont="1" applyFill="1" applyBorder="1" applyAlignment="1" applyProtection="1">
      <alignment horizontal="right"/>
    </xf>
    <xf numFmtId="0" fontId="12" fillId="0" borderId="0" xfId="92" applyFont="1" applyProtection="1"/>
    <xf numFmtId="0" fontId="12" fillId="0" borderId="0" xfId="92" applyFont="1" applyAlignment="1" applyProtection="1"/>
    <xf numFmtId="0" fontId="12" fillId="0" borderId="13" xfId="92" applyFont="1" applyBorder="1" applyAlignment="1" applyProtection="1"/>
    <xf numFmtId="0" fontId="13" fillId="0" borderId="0" xfId="92" applyFont="1" applyFill="1" applyBorder="1" applyAlignment="1" applyProtection="1">
      <alignment horizontal="left"/>
    </xf>
    <xf numFmtId="0" fontId="12" fillId="0" borderId="0" xfId="92" applyFont="1" applyBorder="1" applyAlignment="1" applyProtection="1"/>
    <xf numFmtId="0" fontId="12" fillId="0" borderId="0" xfId="92" applyFont="1" applyBorder="1" applyProtection="1"/>
    <xf numFmtId="0" fontId="12" fillId="0" borderId="14" xfId="92" applyFont="1" applyBorder="1" applyProtection="1"/>
    <xf numFmtId="0" fontId="12" fillId="0" borderId="0" xfId="92" applyFont="1" applyFill="1" applyBorder="1" applyAlignment="1" applyProtection="1">
      <alignment horizontal="left"/>
    </xf>
    <xf numFmtId="0" fontId="12" fillId="0" borderId="0" xfId="92" applyFont="1" applyFill="1" applyBorder="1" applyProtection="1"/>
    <xf numFmtId="0" fontId="10" fillId="0" borderId="0" xfId="92" applyFont="1" applyFill="1" applyBorder="1" applyAlignment="1" applyProtection="1">
      <alignment horizontal="left"/>
    </xf>
    <xf numFmtId="3" fontId="12" fillId="0" borderId="0" xfId="92" applyNumberFormat="1" applyFont="1" applyFill="1" applyBorder="1" applyAlignment="1" applyProtection="1">
      <alignment horizontal="left"/>
    </xf>
    <xf numFmtId="0" fontId="10" fillId="0" borderId="0" xfId="92" applyFont="1" applyProtection="1"/>
    <xf numFmtId="0" fontId="13" fillId="0" borderId="0" xfId="92" applyFont="1" applyProtection="1"/>
    <xf numFmtId="0" fontId="10" fillId="0" borderId="13" xfId="92" applyFont="1" applyFill="1" applyBorder="1" applyAlignment="1" applyProtection="1">
      <alignment horizontal="left"/>
    </xf>
    <xf numFmtId="3" fontId="10" fillId="0" borderId="0" xfId="92" applyNumberFormat="1" applyFont="1" applyFill="1" applyBorder="1" applyAlignment="1" applyProtection="1"/>
    <xf numFmtId="3" fontId="13" fillId="0" borderId="0" xfId="92" applyNumberFormat="1" applyFont="1" applyFill="1" applyBorder="1" applyAlignment="1" applyProtection="1"/>
    <xf numFmtId="0" fontId="40" fillId="0" borderId="0" xfId="92" applyFont="1" applyFill="1" applyBorder="1" applyAlignment="1" applyProtection="1">
      <alignment horizontal="left"/>
    </xf>
    <xf numFmtId="0" fontId="10" fillId="0" borderId="0" xfId="89" applyFont="1"/>
    <xf numFmtId="3" fontId="13" fillId="0" borderId="13" xfId="92" applyNumberFormat="1" applyFont="1" applyFill="1" applyBorder="1" applyAlignment="1" applyProtection="1"/>
    <xf numFmtId="3" fontId="12" fillId="0" borderId="0" xfId="92" applyNumberFormat="1" applyFont="1" applyFill="1" applyBorder="1" applyAlignment="1" applyProtection="1"/>
    <xf numFmtId="0" fontId="13" fillId="0" borderId="0" xfId="92" applyFont="1" applyBorder="1">
      <protection locked="0"/>
    </xf>
    <xf numFmtId="0" fontId="12" fillId="0" borderId="0" xfId="89" applyFont="1"/>
    <xf numFmtId="0" fontId="12" fillId="16" borderId="0" xfId="85" applyFont="1" applyFill="1" applyBorder="1"/>
    <xf numFmtId="164" fontId="12" fillId="0" borderId="0" xfId="65" applyNumberFormat="1" applyFont="1" applyFill="1" applyBorder="1" applyAlignment="1">
      <alignment horizontal="right"/>
    </xf>
    <xf numFmtId="0" fontId="10" fillId="0" borderId="0" xfId="92" applyFont="1" applyBorder="1" applyProtection="1"/>
    <xf numFmtId="3" fontId="13" fillId="0" borderId="15" xfId="92" applyNumberFormat="1" applyFont="1" applyFill="1" applyBorder="1" applyAlignment="1" applyProtection="1"/>
    <xf numFmtId="0" fontId="33" fillId="0" borderId="0" xfId="92" applyFont="1" applyBorder="1" applyProtection="1"/>
    <xf numFmtId="164" fontId="10" fillId="0" borderId="0" xfId="65" applyNumberFormat="1" applyFont="1" applyFill="1" applyBorder="1" applyAlignment="1">
      <alignment horizontal="left"/>
    </xf>
    <xf numFmtId="0" fontId="13" fillId="0" borderId="0" xfId="92" applyFont="1" applyBorder="1" applyProtection="1"/>
    <xf numFmtId="0" fontId="10" fillId="16" borderId="0" xfId="0" applyFont="1" applyFill="1" applyBorder="1"/>
    <xf numFmtId="0" fontId="10" fillId="0" borderId="0" xfId="92" applyFont="1" applyFill="1" applyBorder="1" applyAlignment="1">
      <alignment horizontal="left"/>
      <protection locked="0"/>
    </xf>
    <xf numFmtId="0" fontId="10" fillId="16" borderId="0" xfId="85" applyFont="1" applyFill="1" applyBorder="1"/>
    <xf numFmtId="0" fontId="10" fillId="0" borderId="0" xfId="92" applyFont="1" applyFill="1" applyBorder="1" applyAlignment="1">
      <protection locked="0"/>
    </xf>
    <xf numFmtId="0" fontId="10" fillId="16" borderId="13" xfId="0" applyFont="1" applyFill="1" applyBorder="1" applyAlignment="1">
      <alignment horizontal="left"/>
    </xf>
    <xf numFmtId="0" fontId="13" fillId="16" borderId="13" xfId="85" applyFont="1" applyFill="1" applyBorder="1"/>
    <xf numFmtId="0" fontId="13" fillId="0" borderId="15" xfId="92" applyFont="1" applyFill="1" applyBorder="1" applyAlignment="1" applyProtection="1">
      <alignment horizontal="left"/>
    </xf>
    <xf numFmtId="0" fontId="14" fillId="16" borderId="0" xfId="0" applyFont="1" applyFill="1"/>
    <xf numFmtId="168" fontId="28" fillId="16" borderId="0" xfId="75" applyFont="1" applyFill="1" applyAlignment="1">
      <alignment horizontal="left"/>
    </xf>
    <xf numFmtId="168" fontId="28" fillId="16" borderId="13" xfId="75" applyFont="1" applyFill="1" applyBorder="1" applyAlignment="1">
      <alignment horizontal="left"/>
    </xf>
    <xf numFmtId="0" fontId="14" fillId="16" borderId="13" xfId="0" applyFont="1" applyFill="1" applyBorder="1"/>
    <xf numFmtId="0" fontId="14" fillId="16" borderId="14" xfId="0" applyFont="1" applyFill="1" applyBorder="1"/>
    <xf numFmtId="0" fontId="17" fillId="16" borderId="0" xfId="0" applyFont="1" applyFill="1" applyBorder="1"/>
    <xf numFmtId="0" fontId="18" fillId="16" borderId="0" xfId="0" applyFont="1" applyFill="1" applyBorder="1"/>
    <xf numFmtId="0" fontId="14" fillId="16" borderId="0" xfId="0" applyFont="1" applyFill="1" applyBorder="1" applyAlignment="1">
      <alignment horizontal="right"/>
    </xf>
    <xf numFmtId="0" fontId="14" fillId="16" borderId="0" xfId="0" applyFont="1" applyFill="1" applyBorder="1" applyAlignment="1">
      <alignment horizontal="center"/>
    </xf>
    <xf numFmtId="164" fontId="36" fillId="16" borderId="0" xfId="65" applyNumberFormat="1" applyFont="1" applyFill="1" applyBorder="1"/>
    <xf numFmtId="9" fontId="36" fillId="16" borderId="0" xfId="96" applyFont="1" applyFill="1" applyBorder="1"/>
    <xf numFmtId="0" fontId="14" fillId="16" borderId="1" xfId="0" applyFont="1" applyFill="1" applyBorder="1"/>
    <xf numFmtId="164" fontId="36" fillId="16" borderId="1" xfId="65" applyNumberFormat="1" applyFont="1" applyFill="1" applyBorder="1"/>
    <xf numFmtId="0" fontId="17" fillId="16" borderId="0" xfId="0" applyFont="1" applyFill="1"/>
    <xf numFmtId="164" fontId="37" fillId="16" borderId="0" xfId="65" applyNumberFormat="1" applyFont="1" applyFill="1" applyBorder="1"/>
    <xf numFmtId="0" fontId="14" fillId="16" borderId="0" xfId="0" applyFont="1" applyFill="1" applyAlignment="1">
      <alignment horizontal="left"/>
    </xf>
    <xf numFmtId="0" fontId="18" fillId="16" borderId="0" xfId="0" applyFont="1" applyFill="1"/>
    <xf numFmtId="182" fontId="36" fillId="16" borderId="0" xfId="65" applyNumberFormat="1" applyFont="1" applyFill="1" applyBorder="1"/>
    <xf numFmtId="164" fontId="36" fillId="16" borderId="16" xfId="65" applyNumberFormat="1" applyFont="1" applyFill="1" applyBorder="1"/>
    <xf numFmtId="164" fontId="17" fillId="16" borderId="0" xfId="65" applyNumberFormat="1" applyFont="1" applyFill="1"/>
    <xf numFmtId="164" fontId="17" fillId="16" borderId="0" xfId="65" applyNumberFormat="1" applyFont="1" applyFill="1" applyBorder="1"/>
    <xf numFmtId="181" fontId="17" fillId="16" borderId="0" xfId="65" applyNumberFormat="1" applyFont="1" applyFill="1"/>
    <xf numFmtId="164" fontId="37" fillId="16" borderId="0" xfId="96" applyNumberFormat="1" applyFont="1" applyFill="1" applyBorder="1"/>
    <xf numFmtId="178" fontId="17" fillId="16" borderId="0" xfId="65" applyNumberFormat="1" applyFont="1" applyFill="1"/>
    <xf numFmtId="0" fontId="16" fillId="16" borderId="0" xfId="0" applyFont="1" applyFill="1" applyAlignment="1">
      <alignment horizontal="left"/>
    </xf>
    <xf numFmtId="164" fontId="36" fillId="16" borderId="0" xfId="96" applyNumberFormat="1" applyFont="1" applyFill="1" applyBorder="1"/>
    <xf numFmtId="164" fontId="14" fillId="16" borderId="0" xfId="65" applyNumberFormat="1" applyFont="1" applyFill="1" applyBorder="1"/>
    <xf numFmtId="164" fontId="14" fillId="16" borderId="0" xfId="0" applyNumberFormat="1" applyFont="1" applyFill="1" applyBorder="1"/>
    <xf numFmtId="37" fontId="36" fillId="16" borderId="0" xfId="65" applyNumberFormat="1" applyFont="1" applyFill="1" applyBorder="1"/>
    <xf numFmtId="165" fontId="36" fillId="16" borderId="0" xfId="96" applyNumberFormat="1" applyFont="1" applyFill="1" applyBorder="1"/>
    <xf numFmtId="177" fontId="36" fillId="16" borderId="0" xfId="96" applyNumberFormat="1" applyFont="1" applyFill="1" applyBorder="1"/>
    <xf numFmtId="7" fontId="14" fillId="16" borderId="0" xfId="0" applyNumberFormat="1" applyFont="1" applyFill="1"/>
    <xf numFmtId="7" fontId="14" fillId="16" borderId="0" xfId="0" applyNumberFormat="1" applyFont="1" applyFill="1" applyBorder="1"/>
    <xf numFmtId="37" fontId="14" fillId="16" borderId="0" xfId="0" applyNumberFormat="1" applyFont="1" applyFill="1" applyBorder="1"/>
    <xf numFmtId="166" fontId="14" fillId="16" borderId="0" xfId="0" applyNumberFormat="1" applyFont="1" applyFill="1" applyBorder="1"/>
    <xf numFmtId="164" fontId="14" fillId="16" borderId="0" xfId="0" applyNumberFormat="1" applyFont="1" applyFill="1"/>
    <xf numFmtId="37" fontId="14" fillId="16" borderId="0" xfId="0" applyNumberFormat="1" applyFont="1" applyFill="1"/>
    <xf numFmtId="0" fontId="28" fillId="16" borderId="0" xfId="0" applyFont="1" applyFill="1" applyBorder="1"/>
    <xf numFmtId="0" fontId="28" fillId="16" borderId="13" xfId="0" applyFont="1" applyFill="1" applyBorder="1"/>
    <xf numFmtId="0" fontId="17" fillId="16" borderId="13" xfId="0" applyFont="1" applyFill="1" applyBorder="1"/>
    <xf numFmtId="0" fontId="14" fillId="16" borderId="13" xfId="0" applyFont="1" applyFill="1" applyBorder="1" applyAlignment="1">
      <alignment horizontal="left"/>
    </xf>
    <xf numFmtId="164" fontId="14" fillId="16" borderId="0" xfId="65" applyNumberFormat="1" applyFont="1" applyFill="1" applyBorder="1" applyAlignment="1">
      <alignment horizontal="center"/>
    </xf>
    <xf numFmtId="164" fontId="14" fillId="16" borderId="0" xfId="65" applyNumberFormat="1" applyFont="1" applyFill="1" applyBorder="1" applyAlignment="1">
      <alignment horizontal="left"/>
    </xf>
    <xf numFmtId="164" fontId="14" fillId="16" borderId="0" xfId="65" applyNumberFormat="1" applyFont="1" applyFill="1" applyBorder="1" applyAlignment="1"/>
    <xf numFmtId="164" fontId="14" fillId="16" borderId="13" xfId="65" applyNumberFormat="1" applyFont="1" applyFill="1" applyBorder="1" applyAlignment="1">
      <alignment horizontal="center"/>
    </xf>
    <xf numFmtId="164" fontId="17" fillId="16" borderId="0" xfId="0" applyNumberFormat="1" applyFont="1" applyFill="1"/>
    <xf numFmtId="164" fontId="17" fillId="16" borderId="0" xfId="0" applyNumberFormat="1" applyFont="1" applyFill="1" applyBorder="1"/>
    <xf numFmtId="9" fontId="39" fillId="16" borderId="0" xfId="96" applyFont="1" applyFill="1" applyBorder="1"/>
    <xf numFmtId="165" fontId="14" fillId="16" borderId="0" xfId="96" applyNumberFormat="1" applyFont="1" applyFill="1" applyBorder="1"/>
    <xf numFmtId="0" fontId="14" fillId="16" borderId="0" xfId="0" applyFont="1" applyFill="1" applyBorder="1" applyAlignment="1">
      <alignment horizontal="left"/>
    </xf>
    <xf numFmtId="37" fontId="14" fillId="16" borderId="0" xfId="65" applyNumberFormat="1" applyFont="1" applyFill="1" applyBorder="1"/>
    <xf numFmtId="165" fontId="36" fillId="16" borderId="0" xfId="65" applyNumberFormat="1" applyFont="1" applyFill="1" applyBorder="1"/>
    <xf numFmtId="37" fontId="14" fillId="16" borderId="0" xfId="65" applyNumberFormat="1" applyFont="1" applyFill="1" applyBorder="1" applyAlignment="1">
      <alignment horizontal="right"/>
    </xf>
    <xf numFmtId="165" fontId="39" fillId="16" borderId="0" xfId="65" applyNumberFormat="1" applyFont="1" applyFill="1" applyBorder="1" applyAlignment="1"/>
    <xf numFmtId="165" fontId="39" fillId="16" borderId="0" xfId="0" applyNumberFormat="1" applyFont="1" applyFill="1" applyBorder="1" applyAlignment="1"/>
    <xf numFmtId="37" fontId="37" fillId="16" borderId="0" xfId="96" applyNumberFormat="1" applyFont="1" applyFill="1" applyBorder="1"/>
    <xf numFmtId="0" fontId="17" fillId="16" borderId="14" xfId="0" applyFont="1" applyFill="1" applyBorder="1"/>
    <xf numFmtId="0" fontId="18" fillId="16" borderId="14" xfId="0" applyFont="1" applyFill="1" applyBorder="1"/>
    <xf numFmtId="164" fontId="36" fillId="16" borderId="14" xfId="65" applyNumberFormat="1" applyFont="1" applyFill="1" applyBorder="1"/>
    <xf numFmtId="164" fontId="20" fillId="16" borderId="0" xfId="65" applyNumberFormat="1" applyFont="1" applyFill="1" applyBorder="1" applyAlignment="1">
      <alignment horizontal="center"/>
    </xf>
    <xf numFmtId="164" fontId="20" fillId="16" borderId="0" xfId="0" applyNumberFormat="1" applyFont="1" applyFill="1" applyBorder="1"/>
    <xf numFmtId="164" fontId="36" fillId="16" borderId="0" xfId="65" applyNumberFormat="1" applyFont="1" applyFill="1" applyBorder="1" applyAlignment="1">
      <alignment horizontal="center"/>
    </xf>
    <xf numFmtId="164" fontId="36" fillId="16" borderId="0" xfId="0" applyNumberFormat="1" applyFont="1" applyFill="1"/>
    <xf numFmtId="164" fontId="36" fillId="16" borderId="0" xfId="0" applyNumberFormat="1" applyFont="1" applyFill="1" applyBorder="1"/>
    <xf numFmtId="0" fontId="42" fillId="16" borderId="0" xfId="0" applyFont="1" applyFill="1" applyBorder="1"/>
    <xf numFmtId="164" fontId="42" fillId="16" borderId="0" xfId="0" applyNumberFormat="1" applyFont="1" applyFill="1" applyBorder="1"/>
    <xf numFmtId="164" fontId="20" fillId="16" borderId="0" xfId="65" applyNumberFormat="1" applyFont="1" applyFill="1" applyBorder="1"/>
    <xf numFmtId="0" fontId="42" fillId="16" borderId="0" xfId="0" applyFont="1" applyFill="1"/>
    <xf numFmtId="164" fontId="20" fillId="16" borderId="0" xfId="0" applyNumberFormat="1" applyFont="1" applyFill="1"/>
    <xf numFmtId="9" fontId="14" fillId="16" borderId="0" xfId="96" applyNumberFormat="1" applyFont="1" applyFill="1" applyBorder="1"/>
    <xf numFmtId="9" fontId="18" fillId="16" borderId="0" xfId="96" applyFont="1" applyFill="1" applyBorder="1"/>
    <xf numFmtId="0" fontId="20" fillId="16" borderId="0" xfId="0" applyFont="1" applyFill="1"/>
    <xf numFmtId="0" fontId="14" fillId="16" borderId="15" xfId="0" applyFont="1" applyFill="1" applyBorder="1"/>
    <xf numFmtId="0" fontId="17" fillId="16" borderId="15" xfId="0" applyFont="1" applyFill="1" applyBorder="1" applyAlignment="1">
      <alignment horizontal="left"/>
    </xf>
    <xf numFmtId="0" fontId="17" fillId="16" borderId="15" xfId="0" applyFont="1" applyFill="1" applyBorder="1"/>
    <xf numFmtId="7" fontId="17" fillId="16" borderId="15" xfId="0" applyNumberFormat="1" applyFont="1" applyFill="1" applyBorder="1"/>
    <xf numFmtId="7" fontId="17" fillId="16" borderId="0" xfId="0" applyNumberFormat="1" applyFont="1" applyFill="1" applyBorder="1"/>
    <xf numFmtId="9" fontId="14" fillId="16" borderId="0" xfId="96" applyFont="1" applyFill="1" applyBorder="1"/>
    <xf numFmtId="166" fontId="14" fillId="16" borderId="0" xfId="65" applyNumberFormat="1" applyFont="1" applyFill="1" applyBorder="1"/>
    <xf numFmtId="7" fontId="17" fillId="16" borderId="0" xfId="0" applyNumberFormat="1" applyFont="1" applyFill="1"/>
    <xf numFmtId="165" fontId="42" fillId="16" borderId="0" xfId="0" applyNumberFormat="1" applyFont="1" applyFill="1" applyBorder="1"/>
    <xf numFmtId="0" fontId="18" fillId="16" borderId="0" xfId="0" applyFont="1" applyFill="1" applyAlignment="1">
      <alignment horizontal="left"/>
    </xf>
    <xf numFmtId="164" fontId="14" fillId="16" borderId="1" xfId="0" applyNumberFormat="1" applyFont="1" applyFill="1" applyBorder="1"/>
    <xf numFmtId="164" fontId="14" fillId="16" borderId="0" xfId="65" applyNumberFormat="1" applyFont="1" applyFill="1" applyBorder="1" applyAlignment="1">
      <alignment vertical="justify"/>
    </xf>
    <xf numFmtId="164" fontId="14" fillId="16" borderId="16" xfId="65" applyNumberFormat="1" applyFont="1" applyFill="1" applyBorder="1" applyAlignment="1">
      <alignment vertical="justify"/>
    </xf>
    <xf numFmtId="0" fontId="20" fillId="16" borderId="0" xfId="0" applyFont="1" applyFill="1" applyBorder="1"/>
    <xf numFmtId="164" fontId="14" fillId="16" borderId="1" xfId="65" applyNumberFormat="1" applyFont="1" applyFill="1" applyBorder="1" applyAlignment="1">
      <alignment horizontal="center"/>
    </xf>
    <xf numFmtId="164" fontId="17" fillId="16" borderId="0" xfId="65" applyNumberFormat="1" applyFont="1" applyFill="1" applyBorder="1" applyAlignment="1">
      <alignment horizontal="center"/>
    </xf>
    <xf numFmtId="37" fontId="17" fillId="16" borderId="0" xfId="65" applyNumberFormat="1" applyFont="1" applyFill="1" applyBorder="1" applyAlignment="1"/>
    <xf numFmtId="165" fontId="14" fillId="16" borderId="0" xfId="65" applyNumberFormat="1" applyFont="1" applyFill="1" applyBorder="1"/>
    <xf numFmtId="37" fontId="17" fillId="16" borderId="0" xfId="65" applyNumberFormat="1" applyFont="1" applyFill="1" applyBorder="1" applyAlignment="1">
      <alignment horizontal="right"/>
    </xf>
    <xf numFmtId="0" fontId="35" fillId="16" borderId="0" xfId="0" applyFont="1" applyFill="1"/>
    <xf numFmtId="170" fontId="39" fillId="16" borderId="0" xfId="65" applyNumberFormat="1" applyFont="1" applyFill="1" applyBorder="1"/>
    <xf numFmtId="37" fontId="20" fillId="16" borderId="0" xfId="65" applyNumberFormat="1" applyFont="1" applyFill="1" applyBorder="1" applyAlignment="1">
      <alignment horizontal="right"/>
    </xf>
    <xf numFmtId="165" fontId="18" fillId="16" borderId="0" xfId="65" applyNumberFormat="1" applyFont="1" applyFill="1" applyBorder="1" applyAlignment="1"/>
    <xf numFmtId="37" fontId="17" fillId="16" borderId="0" xfId="96" applyNumberFormat="1" applyFont="1" applyFill="1" applyBorder="1"/>
    <xf numFmtId="164" fontId="14" fillId="16" borderId="14" xfId="65" applyNumberFormat="1" applyFont="1" applyFill="1" applyBorder="1"/>
    <xf numFmtId="9" fontId="14" fillId="16" borderId="13" xfId="0" applyNumberFormat="1" applyFont="1" applyFill="1" applyBorder="1"/>
    <xf numFmtId="43" fontId="20" fillId="16" borderId="0" xfId="0" applyNumberFormat="1" applyFont="1" applyFill="1" applyBorder="1"/>
    <xf numFmtId="166" fontId="14" fillId="16" borderId="0" xfId="65" applyNumberFormat="1" applyFont="1" applyFill="1" applyBorder="1" applyAlignment="1">
      <alignment horizontal="right"/>
    </xf>
    <xf numFmtId="166" fontId="36" fillId="16" borderId="0" xfId="65" applyNumberFormat="1" applyFont="1" applyFill="1" applyBorder="1" applyAlignment="1">
      <alignment horizontal="right"/>
    </xf>
    <xf numFmtId="170" fontId="14" fillId="16" borderId="0" xfId="0" applyNumberFormat="1" applyFont="1" applyFill="1" applyBorder="1"/>
    <xf numFmtId="9" fontId="43" fillId="16" borderId="0" xfId="96" applyFont="1" applyFill="1" applyBorder="1"/>
    <xf numFmtId="164" fontId="36" fillId="16" borderId="13" xfId="65" applyNumberFormat="1" applyFont="1" applyFill="1" applyBorder="1"/>
    <xf numFmtId="164" fontId="14" fillId="16" borderId="13" xfId="65" applyNumberFormat="1" applyFont="1" applyFill="1" applyBorder="1"/>
    <xf numFmtId="37" fontId="37" fillId="16" borderId="0" xfId="65" applyNumberFormat="1" applyFont="1" applyFill="1" applyBorder="1"/>
    <xf numFmtId="164" fontId="14" fillId="16" borderId="1" xfId="65" applyNumberFormat="1" applyFont="1" applyFill="1" applyBorder="1"/>
    <xf numFmtId="164" fontId="17" fillId="16" borderId="0" xfId="65" applyNumberFormat="1" applyFont="1" applyFill="1" applyBorder="1" applyAlignment="1">
      <alignment vertical="justify"/>
    </xf>
    <xf numFmtId="37" fontId="17" fillId="16" borderId="0" xfId="0" applyNumberFormat="1" applyFont="1" applyFill="1" applyBorder="1"/>
    <xf numFmtId="164" fontId="14" fillId="16" borderId="16" xfId="65" applyNumberFormat="1" applyFont="1" applyFill="1" applyBorder="1"/>
    <xf numFmtId="37" fontId="17" fillId="16" borderId="0" xfId="0" applyNumberFormat="1" applyFont="1" applyFill="1"/>
    <xf numFmtId="164" fontId="17" fillId="16" borderId="0" xfId="96" applyNumberFormat="1" applyFont="1" applyFill="1" applyBorder="1"/>
    <xf numFmtId="164" fontId="14" fillId="16" borderId="0" xfId="96" applyNumberFormat="1" applyFont="1" applyFill="1" applyBorder="1"/>
    <xf numFmtId="182" fontId="37" fillId="16" borderId="0" xfId="96" applyNumberFormat="1" applyFont="1" applyFill="1" applyBorder="1"/>
    <xf numFmtId="43" fontId="14" fillId="16" borderId="0" xfId="65" applyFont="1" applyFill="1"/>
    <xf numFmtId="180" fontId="14" fillId="16" borderId="0" xfId="0" applyNumberFormat="1" applyFont="1" applyFill="1" applyBorder="1"/>
    <xf numFmtId="165" fontId="20" fillId="16" borderId="0" xfId="96" applyNumberFormat="1" applyFont="1" applyFill="1" applyBorder="1"/>
    <xf numFmtId="164" fontId="42" fillId="16" borderId="0" xfId="65" applyNumberFormat="1" applyFont="1" applyFill="1" applyBorder="1"/>
    <xf numFmtId="37" fontId="36" fillId="16" borderId="0" xfId="0" applyNumberFormat="1" applyFont="1" applyFill="1" applyBorder="1"/>
    <xf numFmtId="1" fontId="36" fillId="16" borderId="0" xfId="96" applyNumberFormat="1" applyFont="1" applyFill="1" applyBorder="1"/>
    <xf numFmtId="43" fontId="14" fillId="16" borderId="0" xfId="96" applyNumberFormat="1" applyFont="1" applyFill="1" applyBorder="1"/>
    <xf numFmtId="180" fontId="14" fillId="16" borderId="0" xfId="96" applyNumberFormat="1" applyFont="1" applyFill="1" applyBorder="1"/>
    <xf numFmtId="170" fontId="17" fillId="16" borderId="0" xfId="0" applyNumberFormat="1" applyFont="1" applyFill="1"/>
    <xf numFmtId="180" fontId="17" fillId="16" borderId="0" xfId="0" applyNumberFormat="1" applyFont="1" applyFill="1"/>
    <xf numFmtId="180" fontId="17" fillId="16" borderId="0" xfId="0" applyNumberFormat="1" applyFont="1" applyFill="1" applyBorder="1"/>
    <xf numFmtId="184" fontId="17" fillId="16" borderId="0" xfId="0" applyNumberFormat="1" applyFont="1" applyFill="1" applyBorder="1"/>
    <xf numFmtId="37" fontId="17" fillId="16" borderId="0" xfId="65" applyNumberFormat="1" applyFont="1" applyFill="1" applyBorder="1"/>
    <xf numFmtId="7" fontId="36" fillId="16" borderId="0" xfId="65" applyNumberFormat="1" applyFont="1" applyFill="1" applyBorder="1"/>
    <xf numFmtId="7" fontId="14" fillId="16" borderId="0" xfId="65" applyNumberFormat="1" applyFont="1" applyFill="1" applyBorder="1"/>
    <xf numFmtId="37" fontId="20" fillId="16" borderId="0" xfId="0" applyNumberFormat="1" applyFont="1" applyFill="1" applyBorder="1"/>
    <xf numFmtId="166" fontId="20" fillId="16" borderId="0" xfId="0" applyNumberFormat="1" applyFont="1" applyFill="1" applyBorder="1"/>
    <xf numFmtId="0" fontId="38" fillId="16" borderId="13" xfId="0" applyFont="1" applyFill="1" applyBorder="1" applyAlignment="1">
      <alignment horizontal="centerContinuous"/>
    </xf>
    <xf numFmtId="0" fontId="17" fillId="16" borderId="0" xfId="85" applyFont="1" applyFill="1"/>
    <xf numFmtId="0" fontId="14" fillId="16" borderId="0" xfId="85" applyFont="1" applyFill="1"/>
    <xf numFmtId="1" fontId="14" fillId="16" borderId="0" xfId="0" applyNumberFormat="1" applyFont="1" applyFill="1"/>
    <xf numFmtId="5" fontId="14" fillId="16" borderId="0" xfId="0" applyNumberFormat="1" applyFont="1" applyFill="1"/>
    <xf numFmtId="0" fontId="41" fillId="16" borderId="0" xfId="76" applyFont="1" applyFill="1" applyBorder="1" applyAlignment="1" applyProtection="1"/>
    <xf numFmtId="0" fontId="18" fillId="16" borderId="1" xfId="0" applyFont="1" applyFill="1" applyBorder="1"/>
    <xf numFmtId="187" fontId="14" fillId="16" borderId="0" xfId="0" applyNumberFormat="1" applyFont="1" applyFill="1"/>
    <xf numFmtId="0" fontId="17" fillId="16" borderId="0" xfId="0" applyFont="1" applyFill="1" applyAlignment="1">
      <alignment horizontal="left" vertical="center" indent="1"/>
    </xf>
    <xf numFmtId="37" fontId="17" fillId="16" borderId="0" xfId="96" applyNumberFormat="1" applyFont="1" applyFill="1"/>
    <xf numFmtId="164" fontId="17" fillId="16" borderId="0" xfId="96" applyNumberFormat="1" applyFont="1" applyFill="1"/>
    <xf numFmtId="9" fontId="18" fillId="16" borderId="0" xfId="96" applyFont="1" applyFill="1"/>
    <xf numFmtId="167" fontId="14" fillId="16" borderId="0" xfId="0" applyNumberFormat="1" applyFont="1" applyFill="1"/>
    <xf numFmtId="37" fontId="36" fillId="16" borderId="0" xfId="0" applyNumberFormat="1" applyFont="1" applyFill="1"/>
    <xf numFmtId="37" fontId="14" fillId="16" borderId="1" xfId="0" applyNumberFormat="1" applyFont="1" applyFill="1" applyBorder="1"/>
    <xf numFmtId="37" fontId="36" fillId="16" borderId="1" xfId="0" applyNumberFormat="1" applyFont="1" applyFill="1" applyBorder="1"/>
    <xf numFmtId="9" fontId="35" fillId="16" borderId="0" xfId="96" applyFont="1" applyFill="1"/>
    <xf numFmtId="164" fontId="18" fillId="16" borderId="0" xfId="65" applyNumberFormat="1" applyFont="1" applyFill="1"/>
    <xf numFmtId="164" fontId="35" fillId="16" borderId="0" xfId="65" applyNumberFormat="1" applyFont="1" applyFill="1"/>
    <xf numFmtId="5" fontId="14" fillId="16" borderId="0" xfId="96" applyNumberFormat="1" applyFont="1" applyFill="1"/>
    <xf numFmtId="0" fontId="14" fillId="16" borderId="1" xfId="85" applyFont="1" applyFill="1" applyBorder="1"/>
    <xf numFmtId="5" fontId="14" fillId="16" borderId="1" xfId="96" applyNumberFormat="1" applyFont="1" applyFill="1" applyBorder="1"/>
    <xf numFmtId="5" fontId="17" fillId="16" borderId="0" xfId="96" applyNumberFormat="1" applyFont="1" applyFill="1"/>
    <xf numFmtId="164" fontId="14" fillId="16" borderId="0" xfId="96" applyNumberFormat="1" applyFont="1" applyFill="1"/>
    <xf numFmtId="0" fontId="14" fillId="16" borderId="0" xfId="85" applyFont="1" applyFill="1" applyAlignment="1"/>
    <xf numFmtId="0" fontId="14" fillId="16" borderId="0" xfId="91" applyFont="1" applyFill="1"/>
    <xf numFmtId="0" fontId="28" fillId="16" borderId="0" xfId="91" applyFont="1" applyFill="1" applyBorder="1"/>
    <xf numFmtId="0" fontId="17" fillId="16" borderId="0" xfId="91" applyFont="1" applyFill="1" applyBorder="1"/>
    <xf numFmtId="0" fontId="28" fillId="16" borderId="13" xfId="91" applyFont="1" applyFill="1" applyBorder="1"/>
    <xf numFmtId="0" fontId="17" fillId="16" borderId="13" xfId="91" applyFont="1" applyFill="1" applyBorder="1"/>
    <xf numFmtId="0" fontId="14" fillId="16" borderId="13" xfId="91" applyFont="1" applyFill="1" applyBorder="1"/>
    <xf numFmtId="0" fontId="14" fillId="16" borderId="0" xfId="91" applyFont="1" applyFill="1" applyBorder="1"/>
    <xf numFmtId="0" fontId="18" fillId="16" borderId="0" xfId="91" applyFont="1" applyFill="1"/>
    <xf numFmtId="0" fontId="14" fillId="16" borderId="14" xfId="91" applyFont="1" applyFill="1" applyBorder="1"/>
    <xf numFmtId="0" fontId="14" fillId="16" borderId="14" xfId="91" applyFont="1" applyFill="1" applyBorder="1" applyAlignment="1">
      <alignment horizontal="center"/>
    </xf>
    <xf numFmtId="0" fontId="14" fillId="16" borderId="0" xfId="91" applyFont="1" applyFill="1" applyBorder="1" applyAlignment="1">
      <alignment horizontal="center"/>
    </xf>
    <xf numFmtId="5" fontId="36" fillId="16" borderId="0" xfId="65" applyNumberFormat="1" applyFont="1" applyFill="1" applyBorder="1"/>
    <xf numFmtId="0" fontId="14" fillId="16" borderId="1" xfId="91" applyFont="1" applyFill="1" applyBorder="1"/>
    <xf numFmtId="5" fontId="36" fillId="16" borderId="1" xfId="65" applyNumberFormat="1" applyFont="1" applyFill="1" applyBorder="1"/>
    <xf numFmtId="5" fontId="37" fillId="16" borderId="0" xfId="65" applyNumberFormat="1" applyFont="1" applyFill="1" applyBorder="1"/>
    <xf numFmtId="9" fontId="14" fillId="16" borderId="0" xfId="96" applyFont="1" applyFill="1" applyBorder="1" applyAlignment="1">
      <alignment horizontal="center"/>
    </xf>
    <xf numFmtId="41" fontId="36" fillId="16" borderId="0" xfId="65" applyNumberFormat="1" applyFont="1" applyFill="1" applyBorder="1"/>
    <xf numFmtId="41" fontId="36" fillId="16" borderId="1" xfId="65" applyNumberFormat="1" applyFont="1" applyFill="1" applyBorder="1"/>
    <xf numFmtId="41" fontId="37" fillId="16" borderId="0" xfId="65" applyNumberFormat="1" applyFont="1" applyFill="1" applyBorder="1"/>
    <xf numFmtId="37" fontId="14" fillId="16" borderId="0" xfId="91" applyNumberFormat="1" applyFont="1" applyFill="1" applyBorder="1"/>
    <xf numFmtId="37" fontId="14" fillId="16" borderId="0" xfId="91" applyNumberFormat="1" applyFont="1" applyFill="1"/>
    <xf numFmtId="165" fontId="14" fillId="16" borderId="1" xfId="96" applyNumberFormat="1" applyFont="1" applyFill="1" applyBorder="1"/>
    <xf numFmtId="165" fontId="17" fillId="16" borderId="0" xfId="96" applyNumberFormat="1" applyFont="1" applyFill="1" applyBorder="1"/>
    <xf numFmtId="165" fontId="14" fillId="16" borderId="0" xfId="91" applyNumberFormat="1" applyFont="1" applyFill="1" applyBorder="1"/>
    <xf numFmtId="0" fontId="44" fillId="16" borderId="0" xfId="0" applyFont="1" applyFill="1" applyBorder="1"/>
    <xf numFmtId="0" fontId="45" fillId="16" borderId="0" xfId="0" applyFont="1" applyFill="1" applyBorder="1" applyAlignment="1">
      <alignment horizontal="centerContinuous"/>
    </xf>
    <xf numFmtId="164" fontId="44" fillId="16" borderId="0" xfId="65" applyNumberFormat="1" applyFont="1" applyFill="1" applyBorder="1" applyAlignment="1"/>
    <xf numFmtId="0" fontId="44" fillId="16" borderId="0" xfId="0" applyNumberFormat="1" applyFont="1" applyFill="1" applyBorder="1" applyAlignment="1">
      <alignment horizontal="right"/>
    </xf>
    <xf numFmtId="164" fontId="44" fillId="16" borderId="0" xfId="65" applyNumberFormat="1" applyFont="1" applyFill="1" applyBorder="1"/>
    <xf numFmtId="0" fontId="44" fillId="16" borderId="0" xfId="0" applyFont="1" applyFill="1"/>
    <xf numFmtId="9" fontId="44" fillId="16" borderId="0" xfId="96" applyFont="1" applyFill="1" applyBorder="1"/>
    <xf numFmtId="9" fontId="44" fillId="16" borderId="0" xfId="96" applyNumberFormat="1" applyFont="1" applyFill="1" applyBorder="1"/>
    <xf numFmtId="37" fontId="44" fillId="16" borderId="0" xfId="0" applyNumberFormat="1" applyFont="1" applyFill="1"/>
    <xf numFmtId="0" fontId="44" fillId="16" borderId="0" xfId="0" applyFont="1" applyFill="1" applyBorder="1" applyAlignment="1"/>
    <xf numFmtId="164" fontId="44" fillId="16" borderId="0" xfId="96" applyNumberFormat="1" applyFont="1" applyFill="1" applyBorder="1"/>
    <xf numFmtId="0" fontId="46" fillId="16" borderId="0" xfId="0" applyFont="1" applyFill="1" applyBorder="1" applyAlignment="1">
      <alignment horizontal="center"/>
    </xf>
    <xf numFmtId="0" fontId="22" fillId="16" borderId="0" xfId="91" applyFont="1" applyFill="1" applyBorder="1"/>
    <xf numFmtId="43" fontId="14" fillId="16" borderId="0" xfId="91" applyNumberFormat="1" applyFont="1" applyFill="1"/>
    <xf numFmtId="0" fontId="41" fillId="16" borderId="0" xfId="77" applyFont="1" applyFill="1" applyAlignment="1" applyProtection="1"/>
    <xf numFmtId="0" fontId="15" fillId="16" borderId="12" xfId="91" applyFont="1" applyFill="1" applyBorder="1" applyAlignment="1">
      <alignment horizontal="centerContinuous"/>
    </xf>
    <xf numFmtId="0" fontId="15" fillId="16" borderId="0" xfId="91" applyFont="1" applyFill="1" applyBorder="1" applyAlignment="1">
      <alignment horizontal="center"/>
    </xf>
    <xf numFmtId="0" fontId="17" fillId="16" borderId="0" xfId="91" applyFont="1" applyFill="1" applyAlignment="1">
      <alignment horizontal="center"/>
    </xf>
    <xf numFmtId="0" fontId="17" fillId="16" borderId="0" xfId="91" applyFont="1" applyFill="1" applyAlignment="1">
      <alignment horizontal="center" wrapText="1"/>
    </xf>
    <xf numFmtId="0" fontId="48" fillId="16" borderId="0" xfId="91" applyFont="1" applyFill="1" applyAlignment="1">
      <alignment horizontal="center"/>
    </xf>
    <xf numFmtId="0" fontId="48" fillId="16" borderId="0" xfId="91" applyFont="1" applyFill="1" applyAlignment="1">
      <alignment horizontal="center" wrapText="1"/>
    </xf>
    <xf numFmtId="0" fontId="14" fillId="16" borderId="0" xfId="91" applyFont="1" applyFill="1" applyAlignment="1">
      <alignment horizontal="center"/>
    </xf>
    <xf numFmtId="173" fontId="14" fillId="16" borderId="0" xfId="91" applyNumberFormat="1" applyFont="1" applyFill="1" applyAlignment="1">
      <alignment horizontal="center"/>
    </xf>
    <xf numFmtId="0" fontId="14" fillId="16" borderId="0" xfId="91" applyFont="1" applyFill="1" applyAlignment="1"/>
    <xf numFmtId="171" fontId="14" fillId="16" borderId="0" xfId="91" applyNumberFormat="1" applyFont="1" applyFill="1" applyAlignment="1">
      <alignment horizontal="center"/>
    </xf>
    <xf numFmtId="3" fontId="14" fillId="16" borderId="0" xfId="91" applyNumberFormat="1" applyFont="1" applyFill="1"/>
    <xf numFmtId="4" fontId="14" fillId="16" borderId="0" xfId="91" applyNumberFormat="1" applyFont="1" applyFill="1" applyAlignment="1">
      <alignment horizontal="center"/>
    </xf>
    <xf numFmtId="3" fontId="14" fillId="16" borderId="0" xfId="91" applyNumberFormat="1" applyFont="1" applyFill="1" applyAlignment="1">
      <alignment horizontal="left"/>
    </xf>
    <xf numFmtId="173" fontId="17" fillId="16" borderId="0" xfId="91" applyNumberFormat="1" applyFont="1" applyFill="1" applyAlignment="1">
      <alignment horizontal="center"/>
    </xf>
    <xf numFmtId="0" fontId="17" fillId="16" borderId="13" xfId="91" applyFont="1" applyFill="1" applyBorder="1" applyAlignment="1">
      <alignment horizontal="center"/>
    </xf>
    <xf numFmtId="41" fontId="14" fillId="16" borderId="0" xfId="91" applyNumberFormat="1" applyFont="1" applyFill="1" applyAlignment="1">
      <alignment horizontal="center"/>
    </xf>
    <xf numFmtId="3" fontId="14" fillId="16" borderId="0" xfId="91" applyNumberFormat="1" applyFont="1" applyFill="1" applyAlignment="1">
      <alignment horizontal="center"/>
    </xf>
    <xf numFmtId="41" fontId="14" fillId="16" borderId="13" xfId="91" applyNumberFormat="1" applyFont="1" applyFill="1" applyBorder="1" applyAlignment="1">
      <alignment horizontal="center"/>
    </xf>
    <xf numFmtId="0" fontId="48" fillId="16" borderId="0" xfId="91" applyFont="1" applyFill="1"/>
    <xf numFmtId="41" fontId="17" fillId="16" borderId="0" xfId="91" applyNumberFormat="1" applyFont="1" applyFill="1" applyAlignment="1">
      <alignment horizontal="center"/>
    </xf>
    <xf numFmtId="41" fontId="17" fillId="16" borderId="0" xfId="91" applyNumberFormat="1" applyFont="1" applyFill="1"/>
    <xf numFmtId="5" fontId="17" fillId="16" borderId="0" xfId="91" applyNumberFormat="1" applyFont="1" applyFill="1"/>
    <xf numFmtId="9" fontId="14" fillId="16" borderId="0" xfId="96" applyFont="1" applyFill="1" applyAlignment="1">
      <alignment horizontal="right"/>
    </xf>
    <xf numFmtId="0" fontId="13" fillId="16" borderId="0" xfId="0" applyFont="1" applyFill="1"/>
    <xf numFmtId="164" fontId="2" fillId="16" borderId="0" xfId="65" applyNumberFormat="1" applyFont="1" applyFill="1" applyBorder="1" applyAlignment="1">
      <alignment horizontal="center"/>
    </xf>
    <xf numFmtId="9" fontId="18" fillId="16" borderId="0" xfId="96" applyNumberFormat="1" applyFont="1" applyFill="1" applyBorder="1"/>
    <xf numFmtId="9" fontId="18" fillId="16" borderId="0" xfId="0" applyNumberFormat="1" applyFont="1" applyFill="1" applyBorder="1"/>
    <xf numFmtId="0" fontId="22" fillId="0" borderId="0" xfId="92" applyFont="1" applyFill="1" applyProtection="1"/>
    <xf numFmtId="0" fontId="22" fillId="0" borderId="13" xfId="92" applyFont="1" applyFill="1" applyBorder="1" applyAlignment="1" applyProtection="1">
      <alignment horizontal="left"/>
    </xf>
    <xf numFmtId="164" fontId="49" fillId="16" borderId="0" xfId="65" applyNumberFormat="1" applyFont="1" applyFill="1" applyBorder="1"/>
    <xf numFmtId="0" fontId="49" fillId="16" borderId="0" xfId="0" applyFont="1" applyFill="1" applyBorder="1"/>
    <xf numFmtId="0" fontId="50" fillId="16" borderId="0" xfId="0" applyFont="1" applyFill="1"/>
    <xf numFmtId="0" fontId="51" fillId="16" borderId="0" xfId="0" applyFont="1" applyFill="1" applyAlignment="1">
      <alignment horizontal="left"/>
    </xf>
    <xf numFmtId="0" fontId="51" fillId="16" borderId="0" xfId="0" applyFont="1" applyFill="1"/>
    <xf numFmtId="164" fontId="51" fillId="16" borderId="0" xfId="96" applyNumberFormat="1" applyFont="1" applyFill="1" applyBorder="1"/>
    <xf numFmtId="180" fontId="51" fillId="16" borderId="0" xfId="96" applyNumberFormat="1" applyFont="1" applyFill="1" applyBorder="1"/>
    <xf numFmtId="181" fontId="51" fillId="16" borderId="0" xfId="65" applyNumberFormat="1" applyFont="1" applyFill="1" applyBorder="1"/>
    <xf numFmtId="43" fontId="51" fillId="16" borderId="0" xfId="96" applyNumberFormat="1" applyFont="1" applyFill="1" applyBorder="1"/>
    <xf numFmtId="183" fontId="51" fillId="16" borderId="0" xfId="96" applyNumberFormat="1" applyFont="1" applyFill="1" applyBorder="1"/>
    <xf numFmtId="182" fontId="51" fillId="16" borderId="0" xfId="96" applyNumberFormat="1" applyFont="1" applyFill="1" applyBorder="1"/>
    <xf numFmtId="195" fontId="54" fillId="16" borderId="13" xfId="90" applyNumberFormat="1" applyFont="1" applyFill="1" applyBorder="1" applyAlignment="1">
      <alignment horizontal="left"/>
    </xf>
    <xf numFmtId="186" fontId="14" fillId="16" borderId="13" xfId="90" applyNumberFormat="1" applyFont="1" applyFill="1" applyBorder="1" applyAlignment="1">
      <alignment horizontal="left"/>
    </xf>
    <xf numFmtId="0" fontId="56" fillId="16" borderId="13" xfId="87" applyNumberFormat="1" applyFont="1" applyFill="1" applyBorder="1"/>
    <xf numFmtId="41" fontId="56" fillId="16" borderId="13" xfId="87" applyNumberFormat="1" applyFont="1" applyFill="1" applyBorder="1"/>
    <xf numFmtId="0" fontId="56" fillId="16" borderId="0" xfId="87" applyNumberFormat="1" applyFont="1" applyFill="1"/>
    <xf numFmtId="41" fontId="56" fillId="16" borderId="0" xfId="87" applyNumberFormat="1" applyFont="1" applyFill="1"/>
    <xf numFmtId="41" fontId="56" fillId="16" borderId="0" xfId="87" applyNumberFormat="1" applyFont="1" applyFill="1" applyBorder="1"/>
    <xf numFmtId="194" fontId="57" fillId="16" borderId="0" xfId="87" applyNumberFormat="1" applyFont="1" applyFill="1" applyBorder="1"/>
    <xf numFmtId="10" fontId="58" fillId="16" borderId="0" xfId="65" applyNumberFormat="1" applyFont="1" applyFill="1" applyBorder="1"/>
    <xf numFmtId="10" fontId="58" fillId="16" borderId="0" xfId="87" applyNumberFormat="1" applyFont="1" applyFill="1" applyBorder="1"/>
    <xf numFmtId="0" fontId="1" fillId="16" borderId="0" xfId="87" applyFont="1" applyFill="1"/>
    <xf numFmtId="10" fontId="29" fillId="16" borderId="0" xfId="87" applyNumberFormat="1" applyFont="1" applyFill="1"/>
    <xf numFmtId="10" fontId="57" fillId="16" borderId="0" xfId="87" applyNumberFormat="1" applyFont="1" applyFill="1" applyBorder="1"/>
    <xf numFmtId="10" fontId="59" fillId="16" borderId="0" xfId="87" applyNumberFormat="1" applyFont="1" applyFill="1" applyBorder="1"/>
    <xf numFmtId="0" fontId="55" fillId="16" borderId="0" xfId="87" applyNumberFormat="1" applyFont="1" applyFill="1"/>
    <xf numFmtId="194" fontId="29" fillId="16" borderId="0" xfId="87" applyNumberFormat="1" applyFont="1" applyFill="1"/>
    <xf numFmtId="194" fontId="56" fillId="16" borderId="0" xfId="87" applyNumberFormat="1" applyFont="1" applyFill="1" applyBorder="1"/>
    <xf numFmtId="0" fontId="58" fillId="16" borderId="0" xfId="87" applyNumberFormat="1" applyFont="1" applyFill="1"/>
    <xf numFmtId="41" fontId="58" fillId="16" borderId="0" xfId="87" applyNumberFormat="1" applyFont="1" applyFill="1"/>
    <xf numFmtId="0" fontId="60" fillId="16" borderId="0" xfId="87" applyFont="1" applyFill="1"/>
    <xf numFmtId="10" fontId="61" fillId="16" borderId="0" xfId="87" applyNumberFormat="1" applyFont="1" applyFill="1"/>
    <xf numFmtId="10" fontId="62" fillId="16" borderId="0" xfId="87" applyNumberFormat="1" applyFont="1" applyFill="1" applyBorder="1"/>
    <xf numFmtId="197" fontId="63" fillId="16" borderId="19" xfId="26" applyNumberFormat="1" applyFont="1" applyFill="1" applyBorder="1"/>
    <xf numFmtId="179" fontId="63" fillId="16" borderId="19" xfId="87" applyNumberFormat="1" applyFont="1" applyFill="1" applyBorder="1"/>
    <xf numFmtId="0" fontId="1" fillId="16" borderId="0" xfId="87" applyFill="1" applyAlignment="1">
      <alignment horizontal="centerContinuous"/>
    </xf>
    <xf numFmtId="198" fontId="56" fillId="16" borderId="0" xfId="87" applyNumberFormat="1" applyFont="1" applyFill="1"/>
    <xf numFmtId="194" fontId="63" fillId="16" borderId="0" xfId="87" applyNumberFormat="1" applyFont="1" applyFill="1"/>
    <xf numFmtId="194" fontId="64" fillId="16" borderId="0" xfId="87" applyNumberFormat="1" applyFont="1" applyFill="1" applyBorder="1"/>
    <xf numFmtId="41" fontId="55" fillId="16" borderId="0" xfId="87" applyNumberFormat="1" applyFont="1" applyFill="1" applyAlignment="1">
      <alignment horizontal="right"/>
    </xf>
    <xf numFmtId="166" fontId="65" fillId="16" borderId="0" xfId="87" applyNumberFormat="1" applyFont="1" applyFill="1"/>
    <xf numFmtId="194" fontId="29" fillId="16" borderId="19" xfId="87" applyNumberFormat="1" applyFont="1" applyFill="1" applyBorder="1"/>
    <xf numFmtId="41" fontId="29" fillId="16" borderId="0" xfId="87" applyNumberFormat="1" applyFont="1" applyFill="1"/>
    <xf numFmtId="196" fontId="63" fillId="16" borderId="19" xfId="87" applyNumberFormat="1" applyFont="1" applyFill="1" applyBorder="1"/>
    <xf numFmtId="194" fontId="56" fillId="16" borderId="0" xfId="87" applyNumberFormat="1" applyFont="1" applyFill="1"/>
    <xf numFmtId="194" fontId="57" fillId="16" borderId="0" xfId="87" applyNumberFormat="1" applyFont="1" applyFill="1"/>
    <xf numFmtId="196" fontId="57" fillId="16" borderId="13" xfId="87" applyNumberFormat="1" applyFont="1" applyFill="1" applyBorder="1"/>
    <xf numFmtId="194" fontId="66" fillId="16" borderId="0" xfId="87" applyNumberFormat="1" applyFont="1" applyFill="1" applyBorder="1"/>
    <xf numFmtId="0" fontId="55" fillId="16" borderId="15" xfId="87" applyNumberFormat="1" applyFont="1" applyFill="1" applyBorder="1"/>
    <xf numFmtId="0" fontId="56" fillId="16" borderId="15" xfId="87" applyNumberFormat="1" applyFont="1" applyFill="1" applyBorder="1"/>
    <xf numFmtId="41" fontId="56" fillId="16" borderId="15" xfId="87" applyNumberFormat="1" applyFont="1" applyFill="1" applyBorder="1"/>
    <xf numFmtId="194" fontId="55" fillId="16" borderId="15" xfId="87" applyNumberFormat="1" applyFont="1" applyFill="1" applyBorder="1"/>
    <xf numFmtId="194" fontId="30" fillId="16" borderId="15" xfId="87" applyNumberFormat="1" applyFont="1" applyFill="1" applyBorder="1"/>
    <xf numFmtId="0" fontId="56" fillId="16" borderId="0" xfId="87" applyFont="1" applyFill="1" applyBorder="1"/>
    <xf numFmtId="41" fontId="55" fillId="16" borderId="0" xfId="87" applyNumberFormat="1" applyFont="1" applyFill="1"/>
    <xf numFmtId="194" fontId="55" fillId="16" borderId="0" xfId="87" applyNumberFormat="1" applyFont="1" applyFill="1"/>
    <xf numFmtId="194" fontId="55" fillId="16" borderId="0" xfId="87" applyNumberFormat="1" applyFont="1" applyFill="1" applyBorder="1"/>
    <xf numFmtId="0" fontId="55" fillId="16" borderId="0" xfId="87" applyFont="1" applyFill="1" applyBorder="1"/>
    <xf numFmtId="0" fontId="1" fillId="16" borderId="0" xfId="87" applyFill="1"/>
    <xf numFmtId="196" fontId="57" fillId="16" borderId="0" xfId="87" applyNumberFormat="1" applyFont="1" applyFill="1" applyBorder="1"/>
    <xf numFmtId="0" fontId="56" fillId="16" borderId="13" xfId="87" applyFont="1" applyFill="1" applyBorder="1"/>
    <xf numFmtId="41" fontId="55" fillId="16" borderId="0" xfId="87" applyNumberFormat="1" applyFont="1" applyFill="1" applyBorder="1"/>
    <xf numFmtId="0" fontId="11" fillId="16" borderId="0" xfId="87" applyFont="1" applyFill="1"/>
    <xf numFmtId="41" fontId="11" fillId="16" borderId="0" xfId="87" applyNumberFormat="1" applyFont="1" applyFill="1"/>
    <xf numFmtId="194" fontId="56" fillId="16" borderId="13" xfId="87" applyNumberFormat="1" applyFont="1" applyFill="1" applyBorder="1"/>
    <xf numFmtId="199" fontId="14" fillId="16" borderId="0" xfId="0" applyNumberFormat="1" applyFont="1" applyFill="1"/>
    <xf numFmtId="199" fontId="17" fillId="16" borderId="0" xfId="0" applyNumberFormat="1" applyFont="1" applyFill="1" applyAlignment="1">
      <alignment horizontal="left"/>
    </xf>
    <xf numFmtId="199" fontId="14" fillId="16" borderId="0" xfId="0" applyNumberFormat="1" applyFont="1" applyFill="1" applyBorder="1"/>
    <xf numFmtId="37" fontId="44" fillId="16" borderId="0" xfId="0" applyNumberFormat="1" applyFont="1" applyFill="1" applyBorder="1" applyAlignment="1">
      <alignment horizontal="center"/>
    </xf>
    <xf numFmtId="37" fontId="44" fillId="16" borderId="0" xfId="0" applyNumberFormat="1" applyFont="1" applyFill="1" applyAlignment="1">
      <alignment horizontal="center"/>
    </xf>
    <xf numFmtId="0" fontId="1" fillId="0" borderId="0" xfId="0" applyFont="1"/>
    <xf numFmtId="37" fontId="14" fillId="0" borderId="0" xfId="0" applyNumberFormat="1" applyFont="1" applyFill="1"/>
    <xf numFmtId="0" fontId="14" fillId="0" borderId="0" xfId="0" applyFont="1" applyFill="1"/>
    <xf numFmtId="164" fontId="36" fillId="0" borderId="0" xfId="0" applyNumberFormat="1" applyFont="1" applyFill="1"/>
    <xf numFmtId="9" fontId="14" fillId="0" borderId="0" xfId="96" applyFont="1" applyFill="1"/>
    <xf numFmtId="7" fontId="17" fillId="0" borderId="0" xfId="0" applyNumberFormat="1" applyFont="1" applyFill="1"/>
    <xf numFmtId="37" fontId="17" fillId="0" borderId="0" xfId="0" applyNumberFormat="1" applyFont="1" applyFill="1"/>
    <xf numFmtId="199" fontId="31" fillId="16" borderId="0" xfId="0" applyNumberFormat="1" applyFont="1" applyFill="1" applyBorder="1" applyAlignment="1">
      <alignment horizontal="center"/>
    </xf>
    <xf numFmtId="9" fontId="18" fillId="0" borderId="0" xfId="96" applyFont="1" applyFill="1"/>
    <xf numFmtId="0" fontId="14" fillId="0" borderId="0" xfId="0" applyFont="1" applyFill="1" applyBorder="1"/>
    <xf numFmtId="9" fontId="35" fillId="0" borderId="0" xfId="96" applyFont="1" applyFill="1"/>
    <xf numFmtId="164" fontId="17" fillId="0" borderId="0" xfId="0" applyNumberFormat="1" applyFont="1" applyFill="1"/>
    <xf numFmtId="0" fontId="20" fillId="0" borderId="0" xfId="0" applyFont="1" applyFill="1"/>
    <xf numFmtId="5" fontId="14" fillId="0" borderId="0" xfId="96" applyNumberFormat="1" applyFont="1" applyFill="1"/>
    <xf numFmtId="0" fontId="18" fillId="0" borderId="0" xfId="0" applyFont="1" applyFill="1"/>
    <xf numFmtId="9" fontId="18" fillId="0" borderId="0" xfId="96" applyFont="1" applyFill="1" applyBorder="1"/>
    <xf numFmtId="9" fontId="39" fillId="0" borderId="0" xfId="96" applyFont="1" applyFill="1" applyBorder="1"/>
    <xf numFmtId="164" fontId="14" fillId="0" borderId="0" xfId="0" applyNumberFormat="1" applyFont="1" applyFill="1"/>
    <xf numFmtId="37" fontId="36" fillId="0" borderId="0" xfId="65" applyNumberFormat="1" applyFont="1" applyFill="1" applyBorder="1"/>
    <xf numFmtId="164" fontId="36" fillId="0" borderId="0" xfId="65" applyNumberFormat="1" applyFont="1" applyFill="1" applyBorder="1"/>
    <xf numFmtId="9" fontId="36" fillId="0" borderId="0" xfId="96" applyFont="1" applyFill="1" applyBorder="1"/>
    <xf numFmtId="164" fontId="14" fillId="0" borderId="16" xfId="65" applyNumberFormat="1" applyFont="1" applyFill="1" applyBorder="1" applyAlignment="1">
      <alignment vertical="justify"/>
    </xf>
    <xf numFmtId="164" fontId="36" fillId="0" borderId="13" xfId="65" applyNumberFormat="1" applyFont="1" applyFill="1" applyBorder="1"/>
    <xf numFmtId="164" fontId="36" fillId="0" borderId="16" xfId="65" applyNumberFormat="1" applyFont="1" applyFill="1" applyBorder="1"/>
    <xf numFmtId="164" fontId="17" fillId="0" borderId="0" xfId="65" applyNumberFormat="1" applyFont="1" applyFill="1"/>
    <xf numFmtId="164" fontId="37" fillId="0" borderId="0" xfId="96" applyNumberFormat="1" applyFont="1" applyFill="1" applyBorder="1"/>
    <xf numFmtId="164" fontId="36" fillId="0" borderId="0" xfId="96" applyNumberFormat="1" applyFont="1" applyFill="1" applyBorder="1"/>
    <xf numFmtId="164" fontId="14" fillId="0" borderId="0" xfId="96" applyNumberFormat="1" applyFont="1" applyFill="1" applyBorder="1"/>
    <xf numFmtId="164" fontId="14" fillId="0" borderId="0" xfId="65" applyNumberFormat="1" applyFont="1" applyFill="1" applyBorder="1" applyAlignment="1">
      <alignment horizontal="center"/>
    </xf>
    <xf numFmtId="165" fontId="18" fillId="0" borderId="0" xfId="65" applyNumberFormat="1" applyFont="1" applyFill="1" applyBorder="1" applyAlignment="1"/>
    <xf numFmtId="37" fontId="37" fillId="0" borderId="0" xfId="96" applyNumberFormat="1" applyFont="1" applyFill="1" applyBorder="1"/>
    <xf numFmtId="164" fontId="36" fillId="0" borderId="14" xfId="65" applyNumberFormat="1" applyFont="1" applyFill="1" applyBorder="1"/>
    <xf numFmtId="164" fontId="20" fillId="0" borderId="0" xfId="65" applyNumberFormat="1" applyFont="1" applyFill="1" applyBorder="1" applyAlignment="1">
      <alignment horizontal="center"/>
    </xf>
    <xf numFmtId="164" fontId="14" fillId="0" borderId="0" xfId="0" applyNumberFormat="1" applyFont="1" applyFill="1" applyBorder="1"/>
    <xf numFmtId="164" fontId="17" fillId="0" borderId="0" xfId="0" applyNumberFormat="1" applyFont="1" applyFill="1" applyBorder="1"/>
    <xf numFmtId="9" fontId="18" fillId="0" borderId="0" xfId="0" applyNumberFormat="1" applyFont="1" applyFill="1" applyBorder="1"/>
    <xf numFmtId="0" fontId="0" fillId="0" borderId="0" xfId="0" applyFill="1"/>
    <xf numFmtId="7" fontId="17" fillId="0" borderId="15" xfId="0" applyNumberFormat="1" applyFont="1" applyFill="1" applyBorder="1"/>
    <xf numFmtId="164" fontId="17" fillId="0" borderId="0" xfId="65" applyNumberFormat="1" applyFont="1" applyFill="1" applyBorder="1" applyAlignment="1">
      <alignment horizontal="center"/>
    </xf>
    <xf numFmtId="37" fontId="17" fillId="0" borderId="0" xfId="96" applyNumberFormat="1" applyFont="1" applyFill="1"/>
    <xf numFmtId="179" fontId="63" fillId="0" borderId="19" xfId="87" applyNumberFormat="1" applyFont="1" applyFill="1" applyBorder="1"/>
    <xf numFmtId="199" fontId="7" fillId="0" borderId="0" xfId="0" applyNumberFormat="1" applyFont="1"/>
    <xf numFmtId="197" fontId="63" fillId="16" borderId="0" xfId="26" applyNumberFormat="1" applyFont="1" applyFill="1" applyBorder="1"/>
    <xf numFmtId="37" fontId="87" fillId="16" borderId="0" xfId="0" applyNumberFormat="1" applyFont="1" applyFill="1" applyAlignment="1">
      <alignment horizontal="right"/>
    </xf>
    <xf numFmtId="0" fontId="14" fillId="0" borderId="0" xfId="0" applyFont="1" applyFill="1" applyAlignment="1">
      <alignment horizontal="left"/>
    </xf>
    <xf numFmtId="168" fontId="28" fillId="0" borderId="0" xfId="75" applyFont="1" applyFill="1" applyBorder="1" applyAlignment="1">
      <alignment horizontal="left"/>
    </xf>
    <xf numFmtId="0" fontId="17" fillId="0" borderId="0" xfId="0" applyFont="1" applyFill="1" applyBorder="1"/>
    <xf numFmtId="0" fontId="14" fillId="0" borderId="13" xfId="0" applyFont="1" applyFill="1" applyBorder="1"/>
    <xf numFmtId="0" fontId="14" fillId="0" borderId="0" xfId="0" applyFont="1" applyFill="1" applyBorder="1" applyAlignment="1">
      <alignment horizontal="center"/>
    </xf>
    <xf numFmtId="168" fontId="17" fillId="0" borderId="0" xfId="75" applyFont="1" applyFill="1" applyBorder="1" applyAlignment="1">
      <alignment horizontal="left"/>
    </xf>
    <xf numFmtId="169" fontId="14" fillId="0" borderId="0" xfId="84" applyFont="1" applyFill="1"/>
    <xf numFmtId="0" fontId="17" fillId="0" borderId="0" xfId="0" applyFont="1" applyFill="1"/>
    <xf numFmtId="169" fontId="17" fillId="0" borderId="0" xfId="84" quotePrefix="1" applyFont="1" applyFill="1" applyAlignment="1">
      <alignment horizontal="left"/>
    </xf>
    <xf numFmtId="169" fontId="17" fillId="0" borderId="0" xfId="84" applyFont="1" applyFill="1" applyAlignment="1">
      <alignment horizontal="left"/>
    </xf>
    <xf numFmtId="0" fontId="17" fillId="0" borderId="0" xfId="0" applyFont="1" applyFill="1" applyAlignment="1">
      <alignment horizontal="left"/>
    </xf>
    <xf numFmtId="0" fontId="50" fillId="0" borderId="0" xfId="0" applyFont="1" applyFill="1"/>
    <xf numFmtId="0" fontId="51" fillId="0" borderId="0" xfId="0" applyFont="1" applyFill="1" applyAlignment="1">
      <alignment horizontal="left"/>
    </xf>
    <xf numFmtId="0" fontId="51" fillId="0" borderId="0" xfId="0" applyFont="1" applyFill="1"/>
    <xf numFmtId="0" fontId="16" fillId="0" borderId="0" xfId="0" applyFont="1" applyFill="1"/>
    <xf numFmtId="168" fontId="28" fillId="0" borderId="0" xfId="75" applyFont="1" applyFill="1" applyAlignment="1">
      <alignment horizontal="left"/>
    </xf>
    <xf numFmtId="168" fontId="28" fillId="0" borderId="13" xfId="75" applyFont="1" applyFill="1" applyBorder="1" applyAlignment="1">
      <alignment horizontal="left"/>
    </xf>
    <xf numFmtId="0" fontId="18" fillId="0" borderId="0" xfId="0" applyFont="1" applyFill="1" applyBorder="1"/>
    <xf numFmtId="0" fontId="42" fillId="0" borderId="0" xfId="0" applyFont="1" applyFill="1"/>
    <xf numFmtId="0" fontId="36" fillId="0" borderId="0" xfId="0" applyFont="1" applyFill="1" applyBorder="1"/>
    <xf numFmtId="37" fontId="10" fillId="0" borderId="0" xfId="92" applyNumberFormat="1" applyFont="1" applyFill="1" applyBorder="1" applyAlignment="1" applyProtection="1">
      <alignment horizontal="center"/>
    </xf>
    <xf numFmtId="7" fontId="10" fillId="0" borderId="0" xfId="92" applyNumberFormat="1" applyFont="1" applyFill="1" applyAlignment="1">
      <alignment horizontal="center"/>
      <protection locked="0"/>
    </xf>
    <xf numFmtId="200" fontId="10" fillId="0" borderId="0" xfId="96" applyNumberFormat="1" applyFont="1" applyFill="1" applyBorder="1" applyAlignment="1">
      <alignment horizontal="center"/>
    </xf>
    <xf numFmtId="201" fontId="10" fillId="0" borderId="0" xfId="92" applyNumberFormat="1" applyFont="1" applyFill="1" applyBorder="1" applyAlignment="1" applyProtection="1">
      <alignment horizontal="center"/>
    </xf>
    <xf numFmtId="177" fontId="10" fillId="0" borderId="0" xfId="92" applyNumberFormat="1" applyFont="1" applyFill="1" applyBorder="1" applyAlignment="1" applyProtection="1">
      <alignment horizontal="center"/>
    </xf>
    <xf numFmtId="37" fontId="10" fillId="0" borderId="0" xfId="65" applyNumberFormat="1" applyFont="1" applyFill="1" applyBorder="1" applyAlignment="1">
      <alignment horizontal="center"/>
    </xf>
    <xf numFmtId="7" fontId="10" fillId="0" borderId="0" xfId="92" applyNumberFormat="1" applyFont="1" applyFill="1" applyBorder="1" applyAlignment="1" applyProtection="1">
      <alignment horizontal="center"/>
    </xf>
    <xf numFmtId="200" fontId="10" fillId="0" borderId="13" xfId="96" applyNumberFormat="1" applyFont="1" applyFill="1" applyBorder="1" applyAlignment="1">
      <alignment horizontal="center"/>
    </xf>
    <xf numFmtId="192" fontId="12" fillId="0" borderId="0" xfId="67" applyNumberFormat="1" applyFont="1" applyFill="1" applyBorder="1" applyAlignment="1">
      <alignment horizontal="center"/>
    </xf>
    <xf numFmtId="164" fontId="10" fillId="0" borderId="0" xfId="65" applyNumberFormat="1" applyFont="1" applyFill="1" applyBorder="1" applyAlignment="1">
      <alignment horizontal="center"/>
    </xf>
    <xf numFmtId="9" fontId="10" fillId="0" borderId="13" xfId="96" applyFont="1" applyFill="1" applyBorder="1" applyAlignment="1">
      <alignment horizontal="center"/>
    </xf>
    <xf numFmtId="171" fontId="12" fillId="0" borderId="0" xfId="92" applyNumberFormat="1" applyFont="1" applyFill="1" applyBorder="1" applyAlignment="1" applyProtection="1">
      <alignment horizontal="center"/>
    </xf>
    <xf numFmtId="0" fontId="13" fillId="0" borderId="15" xfId="92" applyFont="1" applyFill="1" applyBorder="1" applyAlignment="1" applyProtection="1">
      <alignment horizontal="center"/>
    </xf>
    <xf numFmtId="0" fontId="0" fillId="0" borderId="0" xfId="0" applyAlignment="1">
      <alignment horizontal="center"/>
    </xf>
    <xf numFmtId="9" fontId="10" fillId="0" borderId="0" xfId="92" applyNumberFormat="1" applyFont="1" applyFill="1" applyBorder="1" applyAlignment="1" applyProtection="1">
      <alignment horizontal="center"/>
    </xf>
    <xf numFmtId="0" fontId="1" fillId="0" borderId="0" xfId="0" applyFont="1" applyFill="1" applyAlignment="1">
      <alignment horizontal="center"/>
    </xf>
    <xf numFmtId="7" fontId="10" fillId="0" borderId="13" xfId="92" applyNumberFormat="1" applyFont="1" applyFill="1" applyBorder="1" applyAlignment="1" applyProtection="1">
      <alignment horizontal="center"/>
    </xf>
    <xf numFmtId="0" fontId="12" fillId="0" borderId="0" xfId="92" applyFont="1" applyAlignment="1" applyProtection="1">
      <alignment horizontal="center"/>
    </xf>
    <xf numFmtId="7" fontId="13" fillId="0" borderId="0" xfId="92" applyNumberFormat="1" applyFont="1" applyFill="1" applyAlignment="1" applyProtection="1">
      <alignment horizontal="center"/>
    </xf>
    <xf numFmtId="193" fontId="12" fillId="0" borderId="0" xfId="92" applyNumberFormat="1" applyFont="1" applyFill="1" applyBorder="1" applyAlignment="1" applyProtection="1">
      <alignment horizontal="center"/>
    </xf>
    <xf numFmtId="3" fontId="12" fillId="0" borderId="0" xfId="92" applyNumberFormat="1" applyFont="1" applyFill="1" applyBorder="1" applyAlignment="1" applyProtection="1">
      <alignment horizontal="center"/>
    </xf>
    <xf numFmtId="37" fontId="10" fillId="0" borderId="13" xfId="65" applyNumberFormat="1" applyFont="1" applyFill="1" applyBorder="1" applyAlignment="1">
      <alignment horizontal="center"/>
    </xf>
    <xf numFmtId="37" fontId="13" fillId="0" borderId="0" xfId="65" applyNumberFormat="1" applyFont="1" applyFill="1" applyBorder="1" applyAlignment="1">
      <alignment horizontal="center"/>
    </xf>
    <xf numFmtId="37" fontId="10" fillId="0" borderId="0" xfId="65" applyNumberFormat="1" applyFont="1" applyFill="1" applyAlignment="1">
      <alignment horizontal="center"/>
    </xf>
    <xf numFmtId="37" fontId="10" fillId="0" borderId="0" xfId="92" applyNumberFormat="1" applyFont="1" applyFill="1" applyAlignment="1" applyProtection="1">
      <alignment horizontal="center"/>
    </xf>
    <xf numFmtId="37" fontId="13" fillId="0" borderId="0" xfId="66" applyNumberFormat="1" applyFont="1" applyFill="1" applyBorder="1" applyAlignment="1" applyProtection="1">
      <alignment horizontal="center"/>
      <protection locked="0"/>
    </xf>
    <xf numFmtId="37" fontId="13" fillId="0" borderId="13" xfId="66" applyNumberFormat="1" applyFont="1" applyFill="1" applyBorder="1" applyAlignment="1" applyProtection="1">
      <alignment horizontal="center"/>
      <protection locked="0"/>
    </xf>
    <xf numFmtId="37" fontId="13" fillId="0" borderId="15" xfId="65" applyNumberFormat="1" applyFont="1" applyFill="1" applyBorder="1" applyAlignment="1">
      <alignment horizontal="center"/>
    </xf>
    <xf numFmtId="9" fontId="90" fillId="0" borderId="0" xfId="96" applyFont="1" applyAlignment="1">
      <alignment horizontal="center"/>
    </xf>
    <xf numFmtId="0" fontId="7" fillId="16" borderId="0" xfId="0" applyFont="1" applyFill="1"/>
    <xf numFmtId="164" fontId="0" fillId="0" borderId="0" xfId="0" applyNumberFormat="1"/>
    <xf numFmtId="43" fontId="20" fillId="16" borderId="0" xfId="65" applyNumberFormat="1" applyFont="1" applyFill="1" applyBorder="1" applyAlignment="1">
      <alignment horizontal="center"/>
    </xf>
    <xf numFmtId="43" fontId="36" fillId="16" borderId="14" xfId="65" applyNumberFormat="1" applyFont="1" applyFill="1" applyBorder="1"/>
    <xf numFmtId="0" fontId="7" fillId="0" borderId="0" xfId="86" applyFont="1"/>
    <xf numFmtId="0" fontId="1" fillId="0" borderId="0" xfId="86"/>
    <xf numFmtId="0" fontId="7" fillId="0" borderId="0" xfId="86" applyFont="1" applyBorder="1"/>
    <xf numFmtId="0" fontId="95" fillId="0" borderId="0" xfId="86" applyFont="1" applyFill="1" applyBorder="1" applyAlignment="1">
      <alignment horizontal="right"/>
    </xf>
    <xf numFmtId="0" fontId="95" fillId="0" borderId="0" xfId="86" applyFont="1" applyBorder="1" applyAlignment="1">
      <alignment horizontal="right"/>
    </xf>
    <xf numFmtId="0" fontId="7" fillId="0" borderId="0" xfId="86" applyFont="1" applyBorder="1" applyAlignment="1">
      <alignment horizontal="center"/>
    </xf>
    <xf numFmtId="0" fontId="14" fillId="0" borderId="0" xfId="86" applyFont="1" applyBorder="1" applyAlignment="1">
      <alignment horizontal="left"/>
    </xf>
    <xf numFmtId="0" fontId="7" fillId="0" borderId="0" xfId="86" applyFont="1" applyBorder="1" applyAlignment="1">
      <alignment horizontal="left"/>
    </xf>
    <xf numFmtId="0" fontId="95" fillId="0" borderId="0" xfId="86" applyFont="1" applyAlignment="1">
      <alignment horizontal="right"/>
    </xf>
    <xf numFmtId="0" fontId="7" fillId="0" borderId="0" xfId="86" applyFont="1" applyAlignment="1">
      <alignment horizontal="center"/>
    </xf>
    <xf numFmtId="37" fontId="14" fillId="0" borderId="0" xfId="86" applyNumberFormat="1" applyFont="1" applyAlignment="1">
      <alignment horizontal="center"/>
    </xf>
    <xf numFmtId="0" fontId="7" fillId="0" borderId="0" xfId="86" applyFont="1" applyAlignment="1">
      <alignment horizontal="left"/>
    </xf>
    <xf numFmtId="37" fontId="17" fillId="0" borderId="0" xfId="86" applyNumberFormat="1" applyFont="1" applyAlignment="1">
      <alignment horizontal="center"/>
    </xf>
    <xf numFmtId="0" fontId="7" fillId="0" borderId="0" xfId="86" applyFont="1" applyFill="1"/>
    <xf numFmtId="5" fontId="7" fillId="0" borderId="0" xfId="86" applyNumberFormat="1" applyFont="1" applyAlignment="1">
      <alignment horizontal="center"/>
    </xf>
    <xf numFmtId="9" fontId="7" fillId="0" borderId="0" xfId="96" applyFont="1" applyAlignment="1">
      <alignment horizontal="center"/>
    </xf>
    <xf numFmtId="37" fontId="7" fillId="0" borderId="0" xfId="86" applyNumberFormat="1" applyFont="1" applyAlignment="1">
      <alignment horizontal="center"/>
    </xf>
    <xf numFmtId="0" fontId="95" fillId="0" borderId="0" xfId="86" applyFont="1"/>
    <xf numFmtId="37" fontId="95" fillId="0" borderId="0" xfId="86" applyNumberFormat="1" applyFont="1" applyAlignment="1">
      <alignment horizontal="center"/>
    </xf>
    <xf numFmtId="0" fontId="95" fillId="0" borderId="0" xfId="86" applyFont="1" applyAlignment="1">
      <alignment horizontal="left"/>
    </xf>
    <xf numFmtId="7" fontId="95" fillId="0" borderId="0" xfId="86" applyNumberFormat="1" applyFont="1" applyAlignment="1">
      <alignment horizontal="center"/>
    </xf>
    <xf numFmtId="37" fontId="90" fillId="0" borderId="0" xfId="86" applyNumberFormat="1" applyFont="1" applyAlignment="1">
      <alignment horizontal="center"/>
    </xf>
    <xf numFmtId="5" fontId="90" fillId="0" borderId="0" xfId="86" applyNumberFormat="1" applyFont="1" applyAlignment="1">
      <alignment horizontal="center"/>
    </xf>
    <xf numFmtId="0" fontId="90" fillId="0" borderId="0" xfId="86" applyFont="1"/>
    <xf numFmtId="37" fontId="96" fillId="0" borderId="0" xfId="86" applyNumberFormat="1" applyFont="1" applyAlignment="1">
      <alignment horizontal="center"/>
    </xf>
    <xf numFmtId="7" fontId="96" fillId="0" borderId="0" xfId="86" applyNumberFormat="1" applyFont="1" applyAlignment="1">
      <alignment horizontal="center"/>
    </xf>
    <xf numFmtId="37" fontId="7" fillId="0" borderId="0" xfId="86" applyNumberFormat="1" applyFont="1" applyFill="1" applyAlignment="1">
      <alignment horizontal="center"/>
    </xf>
    <xf numFmtId="38" fontId="7" fillId="0" borderId="0" xfId="86" applyNumberFormat="1" applyFont="1" applyFill="1" applyAlignment="1">
      <alignment horizontal="center"/>
    </xf>
    <xf numFmtId="5" fontId="7" fillId="0" borderId="0" xfId="86" applyNumberFormat="1" applyFont="1" applyFill="1" applyAlignment="1">
      <alignment horizontal="center"/>
    </xf>
    <xf numFmtId="6" fontId="7" fillId="0" borderId="0" xfId="86" applyNumberFormat="1" applyFont="1" applyFill="1" applyAlignment="1">
      <alignment horizontal="center"/>
    </xf>
    <xf numFmtId="38" fontId="7" fillId="0" borderId="0" xfId="86" applyNumberFormat="1" applyFont="1" applyAlignment="1">
      <alignment horizontal="center"/>
    </xf>
    <xf numFmtId="38" fontId="95" fillId="0" borderId="0" xfId="86" applyNumberFormat="1" applyFont="1" applyAlignment="1">
      <alignment horizontal="center"/>
    </xf>
    <xf numFmtId="8" fontId="95" fillId="0" borderId="0" xfId="86" applyNumberFormat="1" applyFont="1" applyFill="1" applyAlignment="1">
      <alignment horizontal="center"/>
    </xf>
    <xf numFmtId="37" fontId="7" fillId="0" borderId="0" xfId="86" quotePrefix="1" applyNumberFormat="1" applyFont="1" applyAlignment="1">
      <alignment horizontal="center"/>
    </xf>
    <xf numFmtId="8" fontId="7" fillId="0" borderId="0" xfId="86" applyNumberFormat="1" applyFont="1" applyFill="1" applyAlignment="1">
      <alignment horizontal="center"/>
    </xf>
    <xf numFmtId="0" fontId="44" fillId="16" borderId="0" xfId="0" applyNumberFormat="1" applyFont="1" applyFill="1" applyBorder="1" applyAlignment="1">
      <alignment horizontal="centerContinuous"/>
    </xf>
    <xf numFmtId="164" fontId="44" fillId="16" borderId="0" xfId="0" applyNumberFormat="1" applyFont="1" applyFill="1" applyBorder="1"/>
    <xf numFmtId="169" fontId="7" fillId="0" borderId="0" xfId="84" applyFont="1" applyFill="1"/>
    <xf numFmtId="0" fontId="7" fillId="16" borderId="0" xfId="0" applyFont="1" applyFill="1" applyBorder="1"/>
    <xf numFmtId="165" fontId="100" fillId="16" borderId="0" xfId="96" applyNumberFormat="1" applyFont="1" applyFill="1"/>
    <xf numFmtId="0" fontId="7" fillId="16" borderId="0" xfId="85" applyFont="1" applyFill="1"/>
    <xf numFmtId="37" fontId="7" fillId="0" borderId="0" xfId="86" applyNumberFormat="1" applyFont="1"/>
    <xf numFmtId="37" fontId="7" fillId="0" borderId="0" xfId="0" applyNumberFormat="1" applyFont="1" applyFill="1"/>
    <xf numFmtId="37" fontId="100" fillId="16" borderId="0" xfId="0" applyNumberFormat="1" applyFont="1" applyFill="1"/>
    <xf numFmtId="37" fontId="101" fillId="16" borderId="0" xfId="96" applyNumberFormat="1" applyFont="1" applyFill="1"/>
    <xf numFmtId="37" fontId="101" fillId="0" borderId="0" xfId="96" applyNumberFormat="1" applyFont="1" applyFill="1"/>
    <xf numFmtId="164" fontId="17" fillId="16" borderId="16" xfId="0" applyNumberFormat="1" applyFont="1" applyFill="1" applyBorder="1"/>
    <xf numFmtId="37" fontId="100" fillId="0" borderId="0" xfId="0" applyNumberFormat="1" applyFont="1" applyFill="1"/>
    <xf numFmtId="37" fontId="100" fillId="16" borderId="1" xfId="0" applyNumberFormat="1" applyFont="1" applyFill="1" applyBorder="1"/>
    <xf numFmtId="37" fontId="102" fillId="16" borderId="0" xfId="96" applyNumberFormat="1" applyFont="1" applyFill="1" applyBorder="1"/>
    <xf numFmtId="37" fontId="101" fillId="0" borderId="0" xfId="0" applyNumberFormat="1" applyFont="1" applyFill="1"/>
    <xf numFmtId="9" fontId="102" fillId="16" borderId="0" xfId="96" applyFont="1" applyFill="1" applyBorder="1"/>
    <xf numFmtId="37" fontId="100" fillId="16" borderId="0" xfId="0" applyNumberFormat="1" applyFont="1" applyFill="1" applyBorder="1"/>
    <xf numFmtId="37" fontId="100" fillId="0" borderId="0" xfId="0" applyNumberFormat="1" applyFont="1" applyFill="1" applyBorder="1"/>
    <xf numFmtId="37" fontId="100" fillId="0" borderId="1" xfId="0" applyNumberFormat="1" applyFont="1" applyFill="1" applyBorder="1"/>
    <xf numFmtId="37" fontId="101" fillId="16" borderId="0" xfId="0" applyNumberFormat="1" applyFont="1" applyFill="1"/>
    <xf numFmtId="0" fontId="44" fillId="0" borderId="0" xfId="0" applyNumberFormat="1" applyFont="1" applyFill="1" applyBorder="1" applyAlignment="1">
      <alignment horizontal="right"/>
    </xf>
    <xf numFmtId="164" fontId="44" fillId="0" borderId="0" xfId="65" applyNumberFormat="1" applyFont="1" applyFill="1" applyBorder="1"/>
    <xf numFmtId="9" fontId="44" fillId="0" borderId="0" xfId="96" applyFont="1" applyFill="1" applyBorder="1"/>
    <xf numFmtId="37" fontId="100" fillId="16" borderId="0" xfId="65" applyNumberFormat="1" applyFont="1" applyFill="1" applyBorder="1"/>
    <xf numFmtId="165" fontId="102" fillId="16" borderId="0" xfId="65" applyNumberFormat="1" applyFont="1" applyFill="1" applyBorder="1" applyAlignment="1"/>
    <xf numFmtId="164" fontId="100" fillId="16" borderId="0" xfId="65" applyNumberFormat="1" applyFont="1" applyFill="1" applyBorder="1" applyAlignment="1">
      <alignment horizontal="center"/>
    </xf>
    <xf numFmtId="9" fontId="100" fillId="16" borderId="13" xfId="0" applyNumberFormat="1" applyFont="1" applyFill="1" applyBorder="1"/>
    <xf numFmtId="164" fontId="100" fillId="16" borderId="13" xfId="65" applyNumberFormat="1" applyFont="1" applyFill="1" applyBorder="1" applyAlignment="1">
      <alignment horizontal="center"/>
    </xf>
    <xf numFmtId="164" fontId="100" fillId="0" borderId="0" xfId="0" applyNumberFormat="1" applyFont="1" applyFill="1" applyBorder="1"/>
    <xf numFmtId="164" fontId="100" fillId="0" borderId="0" xfId="65" applyNumberFormat="1" applyFont="1" applyFill="1" applyBorder="1" applyAlignment="1">
      <alignment horizontal="center"/>
    </xf>
    <xf numFmtId="164" fontId="100" fillId="16" borderId="0" xfId="65" applyNumberFormat="1" applyFont="1" applyFill="1" applyBorder="1"/>
    <xf numFmtId="166" fontId="100" fillId="16" borderId="0" xfId="65" applyNumberFormat="1" applyFont="1" applyFill="1" applyBorder="1" applyAlignment="1">
      <alignment horizontal="right"/>
    </xf>
    <xf numFmtId="166" fontId="100" fillId="16" borderId="0" xfId="65" applyNumberFormat="1" applyFont="1" applyFill="1" applyBorder="1"/>
    <xf numFmtId="7" fontId="100" fillId="0" borderId="0" xfId="0" applyNumberFormat="1" applyFont="1" applyFill="1" applyBorder="1"/>
    <xf numFmtId="7" fontId="100" fillId="16" borderId="0" xfId="0" applyNumberFormat="1" applyFont="1" applyFill="1" applyBorder="1"/>
    <xf numFmtId="166" fontId="100" fillId="0" borderId="0" xfId="65" applyNumberFormat="1" applyFont="1" applyFill="1" applyBorder="1" applyAlignment="1">
      <alignment horizontal="right"/>
    </xf>
    <xf numFmtId="164" fontId="100" fillId="16" borderId="0" xfId="0" applyNumberFormat="1" applyFont="1" applyFill="1" applyBorder="1"/>
    <xf numFmtId="164" fontId="100" fillId="16" borderId="0" xfId="0" applyNumberFormat="1" applyFont="1" applyFill="1"/>
    <xf numFmtId="164" fontId="100" fillId="16" borderId="1" xfId="65" applyNumberFormat="1" applyFont="1" applyFill="1" applyBorder="1"/>
    <xf numFmtId="164" fontId="100" fillId="0" borderId="0" xfId="65" applyNumberFormat="1" applyFont="1" applyFill="1" applyBorder="1"/>
    <xf numFmtId="165" fontId="100" fillId="16" borderId="0" xfId="65" applyNumberFormat="1" applyFont="1" applyFill="1" applyBorder="1"/>
    <xf numFmtId="10" fontId="104" fillId="16" borderId="0" xfId="87" applyNumberFormat="1" applyFont="1" applyFill="1" applyBorder="1"/>
    <xf numFmtId="166" fontId="100" fillId="16" borderId="0" xfId="0" applyNumberFormat="1" applyFont="1" applyFill="1" applyBorder="1" applyAlignment="1"/>
    <xf numFmtId="0" fontId="0" fillId="0" borderId="0" xfId="0" applyBorder="1"/>
    <xf numFmtId="1" fontId="13" fillId="0" borderId="13" xfId="92" applyNumberFormat="1" applyFont="1" applyFill="1" applyBorder="1" applyAlignment="1">
      <alignment horizontal="center"/>
      <protection locked="0"/>
    </xf>
    <xf numFmtId="165" fontId="7" fillId="16" borderId="0" xfId="96" applyNumberFormat="1" applyFont="1" applyFill="1"/>
    <xf numFmtId="37" fontId="7" fillId="16" borderId="0" xfId="85" applyNumberFormat="1" applyFont="1" applyFill="1"/>
    <xf numFmtId="37" fontId="7" fillId="0" borderId="0" xfId="85" applyNumberFormat="1" applyFont="1" applyFill="1"/>
    <xf numFmtId="37" fontId="100" fillId="16" borderId="0" xfId="85" applyNumberFormat="1" applyFont="1" applyFill="1"/>
    <xf numFmtId="0" fontId="100" fillId="16" borderId="0" xfId="0" applyFont="1" applyFill="1"/>
    <xf numFmtId="0" fontId="100" fillId="0" borderId="0" xfId="0" applyFont="1" applyFill="1"/>
    <xf numFmtId="165" fontId="101" fillId="16" borderId="0" xfId="0" applyNumberFormat="1" applyFont="1" applyFill="1"/>
    <xf numFmtId="9" fontId="100" fillId="16" borderId="0" xfId="96" applyNumberFormat="1" applyFont="1" applyFill="1"/>
    <xf numFmtId="165" fontId="100" fillId="0" borderId="0" xfId="96" applyNumberFormat="1" applyFont="1" applyFill="1"/>
    <xf numFmtId="164" fontId="100" fillId="0" borderId="0" xfId="0" applyNumberFormat="1" applyFont="1" applyFill="1"/>
    <xf numFmtId="165" fontId="101" fillId="0" borderId="0" xfId="0" applyNumberFormat="1" applyFont="1" applyFill="1"/>
    <xf numFmtId="37" fontId="7" fillId="16" borderId="0" xfId="0" applyNumberFormat="1" applyFont="1" applyFill="1"/>
    <xf numFmtId="164" fontId="7" fillId="16" borderId="0" xfId="65" applyNumberFormat="1" applyFont="1" applyFill="1" applyBorder="1"/>
    <xf numFmtId="9" fontId="7" fillId="16" borderId="0" xfId="96" applyNumberFormat="1" applyFont="1" applyFill="1"/>
    <xf numFmtId="165" fontId="7" fillId="0" borderId="0" xfId="96" applyNumberFormat="1" applyFont="1" applyFill="1"/>
    <xf numFmtId="9" fontId="7" fillId="16" borderId="0" xfId="96" applyFont="1" applyFill="1"/>
    <xf numFmtId="9" fontId="7" fillId="0" borderId="0" xfId="96" applyFont="1" applyFill="1"/>
    <xf numFmtId="164" fontId="7" fillId="16" borderId="0" xfId="0" applyNumberFormat="1" applyFont="1" applyFill="1"/>
    <xf numFmtId="164" fontId="7" fillId="0" borderId="0" xfId="0" applyNumberFormat="1" applyFont="1" applyFill="1"/>
    <xf numFmtId="7" fontId="7" fillId="16" borderId="0" xfId="0" applyNumberFormat="1" applyFont="1" applyFill="1"/>
    <xf numFmtId="7" fontId="7" fillId="0" borderId="0" xfId="0" applyNumberFormat="1" applyFont="1" applyFill="1"/>
    <xf numFmtId="164" fontId="100" fillId="0" borderId="13" xfId="65" applyNumberFormat="1" applyFont="1" applyFill="1" applyBorder="1" applyAlignment="1">
      <alignment horizontal="center"/>
    </xf>
    <xf numFmtId="9" fontId="100" fillId="0" borderId="13" xfId="0" applyNumberFormat="1" applyFont="1" applyFill="1" applyBorder="1"/>
    <xf numFmtId="166" fontId="100" fillId="0" borderId="0" xfId="65" applyNumberFormat="1" applyFont="1" applyFill="1" applyBorder="1"/>
    <xf numFmtId="7" fontId="101" fillId="16" borderId="0" xfId="0" applyNumberFormat="1" applyFont="1" applyFill="1" applyBorder="1"/>
    <xf numFmtId="164" fontId="7" fillId="16" borderId="0" xfId="65" applyNumberFormat="1" applyFont="1" applyFill="1" applyBorder="1" applyAlignment="1">
      <alignment horizontal="center"/>
    </xf>
    <xf numFmtId="164" fontId="7" fillId="0" borderId="0" xfId="65" applyNumberFormat="1" applyFont="1" applyFill="1" applyBorder="1" applyAlignment="1">
      <alignment horizontal="center"/>
    </xf>
    <xf numFmtId="37" fontId="7" fillId="16" borderId="0" xfId="65" applyNumberFormat="1" applyFont="1" applyFill="1" applyBorder="1"/>
    <xf numFmtId="165" fontId="7" fillId="16" borderId="0" xfId="65" applyNumberFormat="1" applyFont="1" applyFill="1" applyBorder="1"/>
    <xf numFmtId="37" fontId="7" fillId="0" borderId="0" xfId="65" applyNumberFormat="1" applyFont="1" applyFill="1" applyBorder="1"/>
    <xf numFmtId="165" fontId="7" fillId="0" borderId="0" xfId="65" applyNumberFormat="1" applyFont="1" applyFill="1" applyBorder="1"/>
    <xf numFmtId="37" fontId="7" fillId="16" borderId="0" xfId="65" applyNumberFormat="1" applyFont="1" applyFill="1" applyBorder="1" applyAlignment="1">
      <alignment horizontal="right"/>
    </xf>
    <xf numFmtId="37" fontId="7" fillId="0" borderId="0" xfId="65" applyNumberFormat="1" applyFont="1" applyFill="1" applyBorder="1" applyAlignment="1">
      <alignment horizontal="right"/>
    </xf>
    <xf numFmtId="164" fontId="7" fillId="16" borderId="13" xfId="65" applyNumberFormat="1" applyFont="1" applyFill="1" applyBorder="1" applyAlignment="1">
      <alignment horizontal="center"/>
    </xf>
    <xf numFmtId="164" fontId="7" fillId="0" borderId="13" xfId="65" applyNumberFormat="1" applyFont="1" applyFill="1" applyBorder="1" applyAlignment="1">
      <alignment horizontal="center"/>
    </xf>
    <xf numFmtId="164" fontId="7" fillId="0" borderId="0" xfId="0" applyNumberFormat="1" applyFont="1" applyFill="1" applyBorder="1"/>
    <xf numFmtId="164" fontId="7" fillId="16" borderId="0" xfId="0" applyNumberFormat="1" applyFont="1" applyFill="1" applyBorder="1"/>
    <xf numFmtId="9" fontId="7" fillId="16" borderId="13" xfId="0" applyNumberFormat="1" applyFont="1" applyFill="1" applyBorder="1"/>
    <xf numFmtId="9" fontId="7" fillId="0" borderId="13" xfId="0" applyNumberFormat="1" applyFont="1" applyFill="1" applyBorder="1"/>
    <xf numFmtId="164" fontId="7" fillId="0" borderId="0" xfId="65" applyNumberFormat="1" applyFont="1" applyFill="1" applyBorder="1"/>
    <xf numFmtId="9" fontId="7" fillId="16" borderId="0" xfId="96" applyFont="1" applyFill="1" applyBorder="1"/>
    <xf numFmtId="9" fontId="7" fillId="0" borderId="0" xfId="96" applyFont="1" applyFill="1" applyBorder="1"/>
    <xf numFmtId="166" fontId="7" fillId="16" borderId="0" xfId="65" applyNumberFormat="1" applyFont="1" applyFill="1" applyBorder="1"/>
    <xf numFmtId="166" fontId="7" fillId="0" borderId="0" xfId="65" applyNumberFormat="1" applyFont="1" applyFill="1" applyBorder="1"/>
    <xf numFmtId="166" fontId="7" fillId="16" borderId="0" xfId="65" applyNumberFormat="1" applyFont="1" applyFill="1" applyBorder="1" applyAlignment="1">
      <alignment horizontal="right"/>
    </xf>
    <xf numFmtId="7" fontId="7" fillId="16" borderId="0" xfId="0" applyNumberFormat="1" applyFont="1" applyFill="1" applyBorder="1"/>
    <xf numFmtId="164" fontId="17" fillId="0" borderId="0" xfId="65" applyNumberFormat="1" applyFont="1" applyFill="1" applyBorder="1"/>
    <xf numFmtId="164" fontId="7" fillId="16" borderId="1" xfId="65" applyNumberFormat="1" applyFont="1" applyFill="1" applyBorder="1"/>
    <xf numFmtId="164" fontId="7" fillId="0" borderId="1" xfId="65" applyNumberFormat="1" applyFont="1" applyFill="1" applyBorder="1"/>
    <xf numFmtId="164" fontId="7" fillId="16" borderId="0" xfId="96" applyNumberFormat="1" applyFont="1" applyFill="1" applyBorder="1"/>
    <xf numFmtId="164" fontId="7" fillId="0" borderId="0" xfId="96" applyNumberFormat="1" applyFont="1" applyFill="1" applyBorder="1"/>
    <xf numFmtId="165" fontId="7" fillId="16" borderId="0" xfId="96" applyNumberFormat="1" applyFont="1" applyFill="1" applyBorder="1"/>
    <xf numFmtId="165" fontId="7" fillId="0" borderId="0" xfId="96" applyNumberFormat="1" applyFont="1" applyFill="1" applyBorder="1"/>
    <xf numFmtId="177" fontId="7" fillId="16" borderId="0" xfId="96" applyNumberFormat="1" applyFont="1" applyFill="1" applyBorder="1"/>
    <xf numFmtId="177" fontId="7" fillId="0" borderId="0" xfId="96" applyNumberFormat="1" applyFont="1" applyFill="1" applyBorder="1"/>
    <xf numFmtId="7" fontId="7" fillId="0" borderId="0" xfId="0" applyNumberFormat="1" applyFont="1" applyFill="1" applyBorder="1"/>
    <xf numFmtId="164" fontId="7" fillId="16" borderId="16" xfId="65" applyNumberFormat="1" applyFont="1" applyFill="1" applyBorder="1" applyAlignment="1">
      <alignment vertical="justify"/>
    </xf>
    <xf numFmtId="7" fontId="7" fillId="16" borderId="0" xfId="65" applyNumberFormat="1" applyFont="1" applyFill="1" applyBorder="1"/>
    <xf numFmtId="37" fontId="17" fillId="0" borderId="0" xfId="65" applyNumberFormat="1" applyFont="1" applyFill="1" applyBorder="1"/>
    <xf numFmtId="7" fontId="7" fillId="0" borderId="0" xfId="65" applyNumberFormat="1" applyFont="1" applyFill="1" applyBorder="1"/>
    <xf numFmtId="37" fontId="7" fillId="16" borderId="0" xfId="0" applyNumberFormat="1" applyFont="1" applyFill="1" applyBorder="1"/>
    <xf numFmtId="166" fontId="7" fillId="16" borderId="0" xfId="0" applyNumberFormat="1" applyFont="1" applyFill="1" applyBorder="1"/>
    <xf numFmtId="37" fontId="7" fillId="0" borderId="0" xfId="0" applyNumberFormat="1" applyFont="1" applyFill="1" applyBorder="1"/>
    <xf numFmtId="166" fontId="7" fillId="0" borderId="0" xfId="0" applyNumberFormat="1" applyFont="1" applyFill="1" applyBorder="1"/>
    <xf numFmtId="164" fontId="100" fillId="16" borderId="1" xfId="0" applyNumberFormat="1" applyFont="1" applyFill="1" applyBorder="1"/>
    <xf numFmtId="164" fontId="7" fillId="16" borderId="1" xfId="0" applyNumberFormat="1" applyFont="1" applyFill="1" applyBorder="1"/>
    <xf numFmtId="10" fontId="104" fillId="16" borderId="0" xfId="65" applyNumberFormat="1" applyFont="1" applyFill="1" applyBorder="1"/>
    <xf numFmtId="194" fontId="106" fillId="16" borderId="0" xfId="87" applyNumberFormat="1" applyFont="1" applyFill="1" applyBorder="1"/>
    <xf numFmtId="194" fontId="106" fillId="16" borderId="0" xfId="87" applyNumberFormat="1" applyFont="1" applyFill="1"/>
    <xf numFmtId="194" fontId="29" fillId="16" borderId="0" xfId="87" applyNumberFormat="1" applyFont="1" applyFill="1" applyBorder="1"/>
    <xf numFmtId="202" fontId="58" fillId="16" borderId="0" xfId="87" applyNumberFormat="1" applyFont="1" applyFill="1" applyBorder="1"/>
    <xf numFmtId="194" fontId="30" fillId="16" borderId="0" xfId="87" applyNumberFormat="1" applyFont="1" applyFill="1" applyBorder="1"/>
    <xf numFmtId="194" fontId="29" fillId="16" borderId="13" xfId="87" applyNumberFormat="1" applyFont="1" applyFill="1" applyBorder="1"/>
    <xf numFmtId="166" fontId="7" fillId="16" borderId="0" xfId="0" applyNumberFormat="1" applyFont="1" applyFill="1" applyBorder="1" applyAlignment="1"/>
    <xf numFmtId="164" fontId="101" fillId="16" borderId="0" xfId="96" applyNumberFormat="1" applyFont="1" applyFill="1"/>
    <xf numFmtId="0" fontId="100" fillId="16" borderId="1" xfId="0" applyFont="1" applyFill="1" applyBorder="1"/>
    <xf numFmtId="5" fontId="100" fillId="16" borderId="0" xfId="96" applyNumberFormat="1" applyFont="1" applyFill="1"/>
    <xf numFmtId="5" fontId="7" fillId="16" borderId="0" xfId="0" applyNumberFormat="1" applyFont="1" applyFill="1"/>
    <xf numFmtId="167" fontId="7" fillId="16" borderId="0" xfId="0" applyNumberFormat="1" applyFont="1" applyFill="1"/>
    <xf numFmtId="5" fontId="7" fillId="0" borderId="0" xfId="0" applyNumberFormat="1" applyFont="1" applyFill="1"/>
    <xf numFmtId="167" fontId="7" fillId="0" borderId="0" xfId="0" applyNumberFormat="1" applyFont="1" applyFill="1"/>
    <xf numFmtId="37" fontId="7" fillId="16" borderId="1" xfId="0" applyNumberFormat="1" applyFont="1" applyFill="1" applyBorder="1"/>
    <xf numFmtId="37" fontId="7" fillId="0" borderId="1" xfId="0" applyNumberFormat="1" applyFont="1" applyFill="1" applyBorder="1"/>
    <xf numFmtId="5" fontId="7" fillId="16" borderId="0" xfId="96" applyNumberFormat="1" applyFont="1" applyFill="1"/>
    <xf numFmtId="5" fontId="7" fillId="16" borderId="1" xfId="96" applyNumberFormat="1" applyFont="1" applyFill="1" applyBorder="1"/>
    <xf numFmtId="5" fontId="7" fillId="16" borderId="0" xfId="65" applyNumberFormat="1" applyFont="1" applyFill="1" applyBorder="1"/>
    <xf numFmtId="5" fontId="7" fillId="16" borderId="1" xfId="65" applyNumberFormat="1" applyFont="1" applyFill="1" applyBorder="1"/>
    <xf numFmtId="5" fontId="7" fillId="16" borderId="0" xfId="96" applyNumberFormat="1" applyFont="1" applyFill="1" applyBorder="1"/>
    <xf numFmtId="5" fontId="7" fillId="0" borderId="0" xfId="96" applyNumberFormat="1" applyFont="1" applyFill="1"/>
    <xf numFmtId="5" fontId="7" fillId="0" borderId="1" xfId="96" applyNumberFormat="1" applyFont="1" applyFill="1" applyBorder="1"/>
    <xf numFmtId="43" fontId="7" fillId="16" borderId="0" xfId="65" applyFont="1" applyFill="1"/>
    <xf numFmtId="164" fontId="7" fillId="16" borderId="0" xfId="96" applyNumberFormat="1" applyFont="1" applyFill="1"/>
    <xf numFmtId="167" fontId="100" fillId="16" borderId="0" xfId="0" applyNumberFormat="1" applyFont="1" applyFill="1"/>
    <xf numFmtId="167" fontId="100" fillId="0" borderId="0" xfId="0" applyNumberFormat="1" applyFont="1" applyFill="1"/>
    <xf numFmtId="0" fontId="7" fillId="16" borderId="0" xfId="88" applyFont="1" applyFill="1"/>
    <xf numFmtId="164" fontId="100" fillId="18" borderId="0" xfId="0" applyNumberFormat="1" applyFont="1" applyFill="1" applyBorder="1"/>
    <xf numFmtId="164" fontId="100" fillId="18" borderId="0" xfId="65" applyNumberFormat="1" applyFont="1" applyFill="1" applyBorder="1" applyAlignment="1">
      <alignment horizontal="center"/>
    </xf>
    <xf numFmtId="37" fontId="100" fillId="19" borderId="0" xfId="86" applyNumberFormat="1" applyFont="1" applyFill="1" applyAlignment="1">
      <alignment horizontal="center"/>
    </xf>
    <xf numFmtId="5" fontId="100" fillId="19" borderId="0" xfId="86" applyNumberFormat="1" applyFont="1" applyFill="1" applyAlignment="1">
      <alignment horizontal="center"/>
    </xf>
    <xf numFmtId="0" fontId="101" fillId="19" borderId="0" xfId="86" applyFont="1" applyFill="1" applyAlignment="1">
      <alignment horizontal="center"/>
    </xf>
    <xf numFmtId="37" fontId="90" fillId="20" borderId="0" xfId="86" applyNumberFormat="1" applyFont="1" applyFill="1" applyAlignment="1">
      <alignment horizontal="center"/>
    </xf>
    <xf numFmtId="0" fontId="96" fillId="20" borderId="0" xfId="86" applyFont="1" applyFill="1" applyAlignment="1">
      <alignment horizontal="center"/>
    </xf>
    <xf numFmtId="8" fontId="90" fillId="20" borderId="0" xfId="86" applyNumberFormat="1" applyFont="1" applyFill="1" applyAlignment="1">
      <alignment horizontal="center"/>
    </xf>
    <xf numFmtId="0" fontId="7" fillId="20" borderId="0" xfId="86" applyFont="1" applyFill="1"/>
    <xf numFmtId="0" fontId="90" fillId="20" borderId="0" xfId="86" applyFont="1" applyFill="1" applyAlignment="1">
      <alignment horizontal="center"/>
    </xf>
    <xf numFmtId="0" fontId="10" fillId="20" borderId="0" xfId="92" applyFont="1" applyFill="1" applyBorder="1" applyAlignment="1">
      <alignment horizontal="left"/>
      <protection locked="0"/>
    </xf>
    <xf numFmtId="176" fontId="88" fillId="20" borderId="0" xfId="92" applyNumberFormat="1" applyFont="1" applyFill="1" applyBorder="1" applyAlignment="1" applyProtection="1">
      <alignment horizontal="right"/>
    </xf>
    <xf numFmtId="0" fontId="10" fillId="20" borderId="0" xfId="0" applyFont="1" applyFill="1" applyBorder="1"/>
    <xf numFmtId="7" fontId="10" fillId="20" borderId="0" xfId="0" applyNumberFormat="1" applyFont="1" applyFill="1" applyBorder="1"/>
    <xf numFmtId="0" fontId="7" fillId="0" borderId="0" xfId="86" applyFont="1" applyFill="1" applyBorder="1"/>
    <xf numFmtId="37" fontId="100" fillId="19" borderId="0" xfId="86" applyNumberFormat="1" applyFont="1" applyFill="1" applyBorder="1" applyAlignment="1">
      <alignment horizontal="center"/>
    </xf>
    <xf numFmtId="37" fontId="14" fillId="0" borderId="0" xfId="86" applyNumberFormat="1" applyFont="1" applyBorder="1" applyAlignment="1">
      <alignment horizontal="center"/>
    </xf>
    <xf numFmtId="203" fontId="14" fillId="0" borderId="0" xfId="96" applyNumberFormat="1" applyFont="1" applyBorder="1" applyAlignment="1">
      <alignment horizontal="center"/>
    </xf>
    <xf numFmtId="5" fontId="100" fillId="19" borderId="0" xfId="86" applyNumberFormat="1" applyFont="1" applyFill="1" applyBorder="1" applyAlignment="1">
      <alignment horizontal="center"/>
    </xf>
    <xf numFmtId="5" fontId="7" fillId="0" borderId="0" xfId="86" applyNumberFormat="1" applyFont="1" applyBorder="1" applyAlignment="1">
      <alignment horizontal="center"/>
    </xf>
    <xf numFmtId="203" fontId="7" fillId="0" borderId="0" xfId="96" applyNumberFormat="1" applyFont="1" applyBorder="1" applyAlignment="1">
      <alignment horizontal="center"/>
    </xf>
    <xf numFmtId="0" fontId="95" fillId="0" borderId="0" xfId="86" applyFont="1" applyBorder="1"/>
    <xf numFmtId="203" fontId="7" fillId="0" borderId="0" xfId="86" applyNumberFormat="1" applyFont="1" applyBorder="1"/>
    <xf numFmtId="37" fontId="7" fillId="0" borderId="0" xfId="86" applyNumberFormat="1" applyFont="1" applyBorder="1" applyAlignment="1">
      <alignment horizontal="center"/>
    </xf>
    <xf numFmtId="0" fontId="17" fillId="0" borderId="0" xfId="86" applyFont="1" applyBorder="1" applyAlignment="1">
      <alignment horizontal="left"/>
    </xf>
    <xf numFmtId="37" fontId="101" fillId="19" borderId="0" xfId="86" applyNumberFormat="1" applyFont="1" applyFill="1" applyBorder="1" applyAlignment="1">
      <alignment horizontal="center"/>
    </xf>
    <xf numFmtId="37" fontId="95" fillId="0" borderId="0" xfId="86" applyNumberFormat="1" applyFont="1" applyBorder="1" applyAlignment="1">
      <alignment horizontal="center"/>
    </xf>
    <xf numFmtId="203" fontId="95" fillId="0" borderId="0" xfId="96" applyNumberFormat="1" applyFont="1" applyBorder="1" applyAlignment="1">
      <alignment horizontal="center"/>
    </xf>
    <xf numFmtId="0" fontId="95" fillId="0" borderId="0" xfId="86" applyFont="1" applyBorder="1" applyAlignment="1">
      <alignment horizontal="left"/>
    </xf>
    <xf numFmtId="37" fontId="7" fillId="0" borderId="0" xfId="86" applyNumberFormat="1" applyFont="1" applyFill="1" applyBorder="1" applyAlignment="1">
      <alignment horizontal="center"/>
    </xf>
    <xf numFmtId="9" fontId="7" fillId="0" borderId="0" xfId="96" applyFont="1" applyBorder="1" applyAlignment="1">
      <alignment horizontal="center"/>
    </xf>
    <xf numFmtId="9" fontId="14" fillId="0" borderId="0" xfId="96" applyFont="1" applyFill="1" applyBorder="1" applyAlignment="1">
      <alignment horizontal="center"/>
    </xf>
    <xf numFmtId="7" fontId="101" fillId="19" borderId="0" xfId="86" applyNumberFormat="1" applyFont="1" applyFill="1" applyBorder="1" applyAlignment="1">
      <alignment horizontal="center"/>
    </xf>
    <xf numFmtId="7" fontId="95" fillId="0" borderId="0" xfId="86" applyNumberFormat="1" applyFont="1" applyBorder="1" applyAlignment="1">
      <alignment horizontal="center"/>
    </xf>
    <xf numFmtId="37" fontId="18" fillId="0" borderId="0" xfId="0" applyNumberFormat="1" applyFont="1" applyFill="1"/>
    <xf numFmtId="37" fontId="18" fillId="16" borderId="0" xfId="0" applyNumberFormat="1" applyFont="1" applyFill="1"/>
    <xf numFmtId="164" fontId="44" fillId="0" borderId="0" xfId="96" applyNumberFormat="1" applyFont="1" applyFill="1" applyBorder="1"/>
    <xf numFmtId="9" fontId="44" fillId="0" borderId="0" xfId="96" applyNumberFormat="1" applyFont="1" applyFill="1" applyBorder="1"/>
    <xf numFmtId="37" fontId="44" fillId="0" borderId="0" xfId="0" applyNumberFormat="1" applyFont="1" applyFill="1" applyBorder="1" applyAlignment="1">
      <alignment horizontal="center"/>
    </xf>
    <xf numFmtId="37" fontId="44" fillId="0" borderId="0" xfId="0" applyNumberFormat="1" applyFont="1" applyFill="1" applyAlignment="1">
      <alignment horizontal="center"/>
    </xf>
    <xf numFmtId="199" fontId="7" fillId="0" borderId="0" xfId="0" applyNumberFormat="1" applyFont="1" applyFill="1"/>
    <xf numFmtId="37" fontId="100" fillId="20" borderId="0" xfId="85" applyNumberFormat="1" applyFont="1" applyFill="1"/>
    <xf numFmtId="165" fontId="101" fillId="20" borderId="0" xfId="96" applyNumberFormat="1" applyFont="1" applyFill="1" applyBorder="1"/>
    <xf numFmtId="0" fontId="7" fillId="20" borderId="0" xfId="0" applyFont="1" applyFill="1"/>
    <xf numFmtId="164" fontId="7" fillId="20" borderId="0" xfId="0" applyNumberFormat="1" applyFont="1" applyFill="1"/>
    <xf numFmtId="0" fontId="0" fillId="20" borderId="0" xfId="0" applyFill="1"/>
    <xf numFmtId="7" fontId="17" fillId="0" borderId="0" xfId="0" applyNumberFormat="1" applyFont="1" applyFill="1" applyBorder="1"/>
    <xf numFmtId="10" fontId="104" fillId="0" borderId="0" xfId="87" applyNumberFormat="1" applyFont="1" applyFill="1" applyBorder="1"/>
    <xf numFmtId="194" fontId="29" fillId="20" borderId="0" xfId="87" applyNumberFormat="1" applyFont="1" applyFill="1" applyBorder="1"/>
    <xf numFmtId="204" fontId="56" fillId="16" borderId="0" xfId="87" applyNumberFormat="1" applyFont="1" applyFill="1" applyBorder="1"/>
    <xf numFmtId="166" fontId="100" fillId="16" borderId="0" xfId="0" applyNumberFormat="1" applyFont="1" applyFill="1" applyBorder="1"/>
    <xf numFmtId="10" fontId="52" fillId="17" borderId="0" xfId="96" applyNumberFormat="1" applyFont="1" applyFill="1" applyBorder="1"/>
    <xf numFmtId="43" fontId="52" fillId="17" borderId="0" xfId="65" applyFont="1" applyFill="1" applyBorder="1"/>
    <xf numFmtId="7" fontId="108" fillId="20" borderId="18" xfId="0" applyNumberFormat="1" applyFont="1" applyFill="1" applyBorder="1"/>
    <xf numFmtId="37" fontId="17" fillId="0" borderId="0" xfId="86" applyNumberFormat="1" applyFont="1" applyFill="1" applyBorder="1" applyAlignment="1">
      <alignment horizontal="center"/>
    </xf>
    <xf numFmtId="0" fontId="7" fillId="0" borderId="0" xfId="0" applyFont="1" applyFill="1"/>
    <xf numFmtId="9" fontId="7" fillId="16" borderId="0" xfId="0" applyNumberFormat="1" applyFont="1" applyFill="1"/>
    <xf numFmtId="9" fontId="7" fillId="0" borderId="0" xfId="0" applyNumberFormat="1" applyFont="1" applyFill="1"/>
    <xf numFmtId="37" fontId="103" fillId="16" borderId="0" xfId="0" applyNumberFormat="1" applyFont="1" applyFill="1"/>
    <xf numFmtId="0" fontId="7" fillId="16" borderId="13" xfId="0" applyFont="1" applyFill="1" applyBorder="1"/>
    <xf numFmtId="0" fontId="109" fillId="0" borderId="0" xfId="0" applyNumberFormat="1" applyFont="1" applyFill="1" applyBorder="1" applyAlignment="1">
      <alignment horizontal="right"/>
    </xf>
    <xf numFmtId="164" fontId="109" fillId="0" borderId="0" xfId="65" applyNumberFormat="1" applyFont="1" applyFill="1" applyBorder="1"/>
    <xf numFmtId="9" fontId="109" fillId="0" borderId="0" xfId="96" applyFont="1" applyFill="1" applyBorder="1"/>
    <xf numFmtId="164" fontId="109" fillId="0" borderId="0" xfId="96" applyNumberFormat="1" applyFont="1" applyFill="1" applyBorder="1"/>
    <xf numFmtId="9" fontId="109" fillId="0" borderId="0" xfId="96" applyNumberFormat="1" applyFont="1" applyFill="1" applyBorder="1"/>
    <xf numFmtId="164" fontId="17" fillId="0" borderId="16" xfId="0" applyNumberFormat="1" applyFont="1" applyFill="1" applyBorder="1"/>
    <xf numFmtId="0" fontId="93" fillId="21" borderId="0" xfId="86" applyFont="1" applyFill="1" applyBorder="1"/>
    <xf numFmtId="0" fontId="94" fillId="21" borderId="0" xfId="86" applyFont="1" applyFill="1" applyBorder="1" applyAlignment="1">
      <alignment horizontal="centerContinuous"/>
    </xf>
    <xf numFmtId="0" fontId="94" fillId="21" borderId="0" xfId="86" applyFont="1" applyFill="1" applyBorder="1" applyAlignment="1"/>
    <xf numFmtId="0" fontId="110" fillId="21" borderId="0" xfId="86" applyFont="1" applyFill="1" applyBorder="1" applyAlignment="1">
      <alignment horizontal="centerContinuous"/>
    </xf>
    <xf numFmtId="0" fontId="93" fillId="21" borderId="0" xfId="86" applyFont="1" applyFill="1" applyBorder="1" applyAlignment="1">
      <alignment horizontal="centerContinuous"/>
    </xf>
    <xf numFmtId="0" fontId="89" fillId="21" borderId="13" xfId="86" applyFont="1" applyFill="1" applyBorder="1"/>
    <xf numFmtId="0" fontId="89" fillId="21" borderId="13" xfId="86" applyFont="1" applyFill="1" applyBorder="1" applyAlignment="1">
      <alignment horizontal="center"/>
    </xf>
    <xf numFmtId="0" fontId="89" fillId="21" borderId="0" xfId="86" applyFont="1" applyFill="1" applyBorder="1" applyAlignment="1">
      <alignment horizontal="center"/>
    </xf>
    <xf numFmtId="0" fontId="89" fillId="21" borderId="0" xfId="86" applyFont="1" applyFill="1" applyBorder="1"/>
    <xf numFmtId="0" fontId="89" fillId="21" borderId="0" xfId="86" applyFont="1" applyFill="1" applyBorder="1" applyAlignment="1">
      <alignment horizontal="right"/>
    </xf>
    <xf numFmtId="0" fontId="93" fillId="21" borderId="0" xfId="86" applyFont="1" applyFill="1" applyBorder="1" applyAlignment="1">
      <alignment horizontal="center"/>
    </xf>
    <xf numFmtId="0" fontId="89" fillId="21" borderId="0" xfId="86" applyFont="1" applyFill="1"/>
    <xf numFmtId="0" fontId="89" fillId="21" borderId="0" xfId="86" applyFont="1" applyFill="1" applyAlignment="1">
      <alignment horizontal="right"/>
    </xf>
    <xf numFmtId="0" fontId="89" fillId="21" borderId="0" xfId="86" applyFont="1" applyFill="1" applyAlignment="1">
      <alignment horizontal="center"/>
    </xf>
    <xf numFmtId="0" fontId="93" fillId="21" borderId="0" xfId="86" applyFont="1" applyFill="1" applyAlignment="1">
      <alignment horizontal="center"/>
    </xf>
    <xf numFmtId="37" fontId="7" fillId="22" borderId="0" xfId="86" applyNumberFormat="1" applyFont="1" applyFill="1" applyAlignment="1">
      <alignment horizontal="center"/>
    </xf>
    <xf numFmtId="5" fontId="7" fillId="22" borderId="0" xfId="86" applyNumberFormat="1" applyFont="1" applyFill="1" applyAlignment="1">
      <alignment horizontal="center"/>
    </xf>
    <xf numFmtId="0" fontId="95" fillId="22" borderId="0" xfId="86" applyFont="1" applyFill="1" applyAlignment="1">
      <alignment horizontal="right"/>
    </xf>
    <xf numFmtId="37" fontId="95" fillId="22" borderId="0" xfId="86" applyNumberFormat="1" applyFont="1" applyFill="1" applyAlignment="1">
      <alignment horizontal="center"/>
    </xf>
    <xf numFmtId="8" fontId="95" fillId="22" borderId="0" xfId="86" applyNumberFormat="1" applyFont="1" applyFill="1" applyAlignment="1">
      <alignment horizontal="center"/>
    </xf>
    <xf numFmtId="0" fontId="7" fillId="22" borderId="0" xfId="86" applyFont="1" applyFill="1"/>
    <xf numFmtId="0" fontId="44" fillId="20" borderId="0" xfId="0" applyNumberFormat="1" applyFont="1" applyFill="1" applyBorder="1" applyAlignment="1">
      <alignment horizontal="right"/>
    </xf>
    <xf numFmtId="9" fontId="44" fillId="20" borderId="0" xfId="96" applyFont="1" applyFill="1" applyBorder="1"/>
    <xf numFmtId="164" fontId="44" fillId="20" borderId="0" xfId="65" applyNumberFormat="1" applyFont="1" applyFill="1" applyBorder="1"/>
    <xf numFmtId="164" fontId="44" fillId="20" borderId="0" xfId="96" applyNumberFormat="1" applyFont="1" applyFill="1" applyBorder="1"/>
    <xf numFmtId="176" fontId="10" fillId="20" borderId="0" xfId="92" applyNumberFormat="1" applyFont="1" applyFill="1" applyBorder="1" applyAlignment="1" applyProtection="1">
      <alignment horizontal="right"/>
    </xf>
    <xf numFmtId="0" fontId="27" fillId="21" borderId="0" xfId="86" applyFont="1" applyFill="1" applyBorder="1" applyAlignment="1">
      <alignment horizontal="center"/>
    </xf>
    <xf numFmtId="0" fontId="27" fillId="21" borderId="0" xfId="86" applyFont="1" applyFill="1" applyBorder="1" applyAlignment="1">
      <alignment horizontal="centerContinuous"/>
    </xf>
    <xf numFmtId="0" fontId="89" fillId="21" borderId="0" xfId="86" applyFont="1" applyFill="1" applyBorder="1" applyAlignment="1">
      <alignment horizontal="centerContinuous"/>
    </xf>
    <xf numFmtId="0" fontId="27" fillId="21" borderId="0" xfId="86" applyFont="1" applyFill="1" applyBorder="1"/>
    <xf numFmtId="0" fontId="7" fillId="21" borderId="0" xfId="86" applyFont="1" applyFill="1" applyBorder="1"/>
    <xf numFmtId="203" fontId="7" fillId="21" borderId="0" xfId="86" applyNumberFormat="1" applyFont="1" applyFill="1" applyBorder="1"/>
    <xf numFmtId="0" fontId="90" fillId="21" borderId="0" xfId="86" applyFont="1" applyFill="1"/>
    <xf numFmtId="0" fontId="89" fillId="21" borderId="0" xfId="86" applyFont="1" applyFill="1" applyAlignment="1">
      <alignment horizontal="centerContinuous"/>
    </xf>
    <xf numFmtId="0" fontId="27" fillId="21" borderId="0" xfId="86" applyFont="1" applyFill="1" applyAlignment="1">
      <alignment horizontal="center"/>
    </xf>
    <xf numFmtId="0" fontId="7" fillId="21" borderId="0" xfId="86" applyFont="1" applyFill="1"/>
    <xf numFmtId="179" fontId="111" fillId="16" borderId="13" xfId="0" applyNumberFormat="1" applyFont="1" applyFill="1" applyBorder="1" applyAlignment="1">
      <alignment horizontal="left"/>
    </xf>
    <xf numFmtId="186" fontId="100" fillId="16" borderId="13" xfId="90" applyNumberFormat="1" applyFont="1" applyFill="1" applyBorder="1" applyAlignment="1">
      <alignment horizontal="left"/>
    </xf>
    <xf numFmtId="186" fontId="103" fillId="16" borderId="13" xfId="90" applyNumberFormat="1" applyFont="1" applyFill="1" applyBorder="1" applyAlignment="1">
      <alignment horizontal="left"/>
    </xf>
    <xf numFmtId="0" fontId="34" fillId="21" borderId="15" xfId="92" applyFont="1" applyFill="1" applyBorder="1" applyAlignment="1">
      <protection locked="0"/>
    </xf>
    <xf numFmtId="0" fontId="34" fillId="21" borderId="15" xfId="92" applyFont="1" applyFill="1" applyBorder="1" applyAlignment="1">
      <alignment horizontal="right"/>
      <protection locked="0"/>
    </xf>
    <xf numFmtId="0" fontId="34" fillId="21" borderId="0" xfId="92" applyFont="1" applyFill="1" applyBorder="1" applyAlignment="1">
      <alignment horizontal="right"/>
      <protection locked="0"/>
    </xf>
    <xf numFmtId="0" fontId="34" fillId="21" borderId="15" xfId="92" applyFont="1" applyFill="1" applyBorder="1" applyAlignment="1">
      <alignment horizontal="center"/>
      <protection locked="0"/>
    </xf>
    <xf numFmtId="0" fontId="34" fillId="21" borderId="0" xfId="92" applyFont="1" applyFill="1" applyBorder="1" applyAlignment="1">
      <alignment horizontal="center"/>
      <protection locked="0"/>
    </xf>
    <xf numFmtId="0" fontId="27" fillId="21" borderId="0" xfId="0" applyFont="1" applyFill="1" applyBorder="1" applyAlignment="1">
      <alignment horizontal="right"/>
    </xf>
    <xf numFmtId="0" fontId="27" fillId="23" borderId="0" xfId="0" applyFont="1" applyFill="1" applyBorder="1" applyAlignment="1">
      <alignment horizontal="right"/>
    </xf>
    <xf numFmtId="0" fontId="67" fillId="21" borderId="0" xfId="0" applyFont="1" applyFill="1" applyBorder="1"/>
    <xf numFmtId="0" fontId="32" fillId="21" borderId="0" xfId="0" applyFont="1" applyFill="1" applyBorder="1"/>
    <xf numFmtId="0" fontId="32" fillId="21" borderId="0" xfId="0" applyFont="1" applyFill="1" applyBorder="1" applyAlignment="1">
      <alignment horizontal="left"/>
    </xf>
    <xf numFmtId="0" fontId="27" fillId="21" borderId="0" xfId="0" applyFont="1" applyFill="1" applyBorder="1" applyAlignment="1">
      <alignment horizontal="centerContinuous"/>
    </xf>
    <xf numFmtId="0" fontId="68" fillId="21" borderId="13" xfId="87" applyNumberFormat="1" applyFont="1" applyFill="1" applyBorder="1"/>
    <xf numFmtId="0" fontId="69" fillId="21" borderId="13" xfId="87" applyNumberFormat="1" applyFont="1" applyFill="1" applyBorder="1"/>
    <xf numFmtId="41" fontId="69" fillId="21" borderId="13" xfId="87" applyNumberFormat="1" applyFont="1" applyFill="1" applyBorder="1"/>
    <xf numFmtId="41" fontId="68" fillId="21" borderId="13" xfId="87" applyNumberFormat="1" applyFont="1" applyFill="1" applyBorder="1" applyAlignment="1">
      <alignment horizontal="right"/>
    </xf>
    <xf numFmtId="0" fontId="68" fillId="21" borderId="0" xfId="87" applyNumberFormat="1" applyFont="1" applyFill="1" applyBorder="1" applyAlignment="1">
      <alignment horizontal="right"/>
    </xf>
    <xf numFmtId="0" fontId="113" fillId="21" borderId="13" xfId="0" applyNumberFormat="1" applyFont="1" applyFill="1" applyBorder="1" applyAlignment="1">
      <alignment horizontal="centerContinuous"/>
    </xf>
    <xf numFmtId="164" fontId="113" fillId="21" borderId="13" xfId="65" applyNumberFormat="1" applyFont="1" applyFill="1" applyBorder="1" applyAlignment="1">
      <alignment horizontal="center" wrapText="1"/>
    </xf>
    <xf numFmtId="0" fontId="112" fillId="21" borderId="21" xfId="0" applyFont="1" applyFill="1" applyBorder="1" applyAlignment="1">
      <alignment horizontal="centerContinuous"/>
    </xf>
    <xf numFmtId="0" fontId="113" fillId="21" borderId="0" xfId="0" applyFont="1" applyFill="1" applyBorder="1"/>
    <xf numFmtId="0" fontId="113" fillId="21" borderId="0" xfId="0" applyFont="1" applyFill="1"/>
    <xf numFmtId="0" fontId="113" fillId="21" borderId="0" xfId="0" applyFont="1" applyFill="1" applyBorder="1" applyAlignment="1">
      <alignment horizontal="center" wrapText="1"/>
    </xf>
    <xf numFmtId="0" fontId="113" fillId="21" borderId="0" xfId="0" applyFont="1" applyFill="1" applyAlignment="1">
      <alignment horizontal="center"/>
    </xf>
    <xf numFmtId="186" fontId="7" fillId="16" borderId="13" xfId="90" applyNumberFormat="1" applyFont="1" applyFill="1" applyBorder="1" applyAlignment="1">
      <alignment horizontal="left"/>
    </xf>
    <xf numFmtId="41" fontId="29" fillId="16" borderId="0" xfId="87" applyNumberFormat="1" applyFont="1" applyFill="1" applyBorder="1"/>
    <xf numFmtId="204" fontId="29" fillId="16" borderId="0" xfId="87" applyNumberFormat="1" applyFont="1" applyFill="1" applyBorder="1"/>
    <xf numFmtId="0" fontId="29" fillId="16" borderId="0" xfId="87" applyFont="1" applyFill="1" applyBorder="1"/>
    <xf numFmtId="41" fontId="29" fillId="16" borderId="13" xfId="87" applyNumberFormat="1" applyFont="1" applyFill="1" applyBorder="1"/>
    <xf numFmtId="0" fontId="29" fillId="16" borderId="13" xfId="87" applyFont="1" applyFill="1" applyBorder="1"/>
    <xf numFmtId="164" fontId="1" fillId="0" borderId="0" xfId="65" applyNumberFormat="1" applyFont="1" applyFill="1" applyBorder="1" applyAlignment="1">
      <alignment horizontal="left"/>
    </xf>
    <xf numFmtId="49" fontId="7" fillId="20" borderId="0" xfId="0" applyNumberFormat="1" applyFont="1" applyFill="1"/>
    <xf numFmtId="37" fontId="103" fillId="0" borderId="0" xfId="85" applyNumberFormat="1" applyFont="1" applyFill="1"/>
    <xf numFmtId="37" fontId="102" fillId="0" borderId="0" xfId="96" applyNumberFormat="1" applyFont="1" applyFill="1"/>
    <xf numFmtId="0" fontId="0" fillId="24" borderId="0" xfId="0" applyFill="1" applyAlignment="1">
      <alignment horizontal="centerContinuous"/>
    </xf>
    <xf numFmtId="0" fontId="1" fillId="24" borderId="0" xfId="0" applyFont="1" applyFill="1" applyAlignment="1">
      <alignment horizontal="centerContinuous"/>
    </xf>
    <xf numFmtId="0" fontId="0" fillId="25" borderId="0" xfId="0" applyFill="1"/>
    <xf numFmtId="37" fontId="105" fillId="19" borderId="0" xfId="86" applyNumberFormat="1" applyFont="1" applyFill="1" applyBorder="1" applyAlignment="1">
      <alignment horizontal="center"/>
    </xf>
    <xf numFmtId="1" fontId="7" fillId="0" borderId="0" xfId="86" applyNumberFormat="1" applyFont="1"/>
    <xf numFmtId="5" fontId="0" fillId="0" borderId="0" xfId="0" applyNumberFormat="1"/>
    <xf numFmtId="9" fontId="7" fillId="0" borderId="0" xfId="97" applyNumberFormat="1" applyFont="1" applyBorder="1" applyAlignment="1">
      <alignment horizontal="center"/>
    </xf>
    <xf numFmtId="194" fontId="29" fillId="0" borderId="0" xfId="87" applyNumberFormat="1" applyFont="1" applyFill="1" applyBorder="1"/>
    <xf numFmtId="165" fontId="100" fillId="20" borderId="0" xfId="96" applyNumberFormat="1" applyFont="1" applyFill="1"/>
    <xf numFmtId="164" fontId="115" fillId="16" borderId="0" xfId="65" applyNumberFormat="1" applyFont="1" applyFill="1" applyBorder="1"/>
    <xf numFmtId="7" fontId="0" fillId="0" borderId="0" xfId="0" applyNumberFormat="1"/>
    <xf numFmtId="164" fontId="0" fillId="0" borderId="0" xfId="65" applyNumberFormat="1" applyFont="1"/>
    <xf numFmtId="9" fontId="7" fillId="0" borderId="0" xfId="96" applyNumberFormat="1" applyFont="1" applyBorder="1" applyAlignment="1">
      <alignment horizontal="center"/>
    </xf>
    <xf numFmtId="5" fontId="7" fillId="0" borderId="0" xfId="0" applyNumberFormat="1" applyFont="1"/>
    <xf numFmtId="37" fontId="0" fillId="0" borderId="0" xfId="0" applyNumberFormat="1"/>
    <xf numFmtId="9" fontId="102" fillId="16" borderId="0" xfId="0" applyNumberFormat="1" applyFont="1" applyFill="1" applyBorder="1"/>
    <xf numFmtId="7" fontId="44" fillId="16" borderId="0" xfId="0" applyNumberFormat="1" applyFont="1" applyFill="1" applyBorder="1"/>
    <xf numFmtId="37" fontId="100" fillId="20" borderId="0" xfId="96" applyNumberFormat="1" applyFont="1" applyFill="1"/>
    <xf numFmtId="37" fontId="7" fillId="22" borderId="0" xfId="86" quotePrefix="1" applyNumberFormat="1" applyFont="1" applyFill="1" applyAlignment="1">
      <alignment horizontal="center"/>
    </xf>
    <xf numFmtId="8" fontId="7" fillId="22" borderId="0" xfId="86" applyNumberFormat="1" applyFont="1" applyFill="1" applyAlignment="1">
      <alignment horizontal="center"/>
    </xf>
    <xf numFmtId="0" fontId="13" fillId="16" borderId="13" xfId="0" applyFont="1" applyFill="1" applyBorder="1" applyAlignment="1">
      <alignment horizontal="center"/>
    </xf>
    <xf numFmtId="0" fontId="7" fillId="16" borderId="13" xfId="0" applyFont="1" applyFill="1" applyBorder="1" applyAlignment="1">
      <alignment horizontal="center"/>
    </xf>
    <xf numFmtId="0" fontId="1" fillId="0" borderId="0" xfId="108"/>
    <xf numFmtId="37" fontId="100" fillId="16" borderId="22" xfId="0" applyNumberFormat="1" applyFont="1" applyFill="1" applyBorder="1"/>
    <xf numFmtId="37" fontId="7" fillId="0" borderId="22" xfId="85" applyNumberFormat="1" applyFont="1" applyFill="1" applyBorder="1"/>
    <xf numFmtId="37" fontId="7" fillId="16" borderId="22" xfId="85" applyNumberFormat="1" applyFont="1" applyFill="1" applyBorder="1"/>
    <xf numFmtId="164" fontId="100" fillId="20" borderId="0" xfId="65" applyNumberFormat="1" applyFont="1" applyFill="1" applyBorder="1"/>
    <xf numFmtId="0" fontId="7" fillId="16" borderId="0" xfId="0" applyFont="1" applyFill="1" applyAlignment="1">
      <alignment vertical="center"/>
    </xf>
    <xf numFmtId="37" fontId="7" fillId="16" borderId="0" xfId="96" applyNumberFormat="1" applyFont="1" applyFill="1"/>
    <xf numFmtId="1" fontId="7" fillId="16" borderId="0" xfId="0" applyNumberFormat="1" applyFont="1" applyFill="1"/>
    <xf numFmtId="0" fontId="17" fillId="0" borderId="0" xfId="0" applyFont="1"/>
    <xf numFmtId="0" fontId="27" fillId="23" borderId="0" xfId="0" applyFont="1" applyFill="1" applyBorder="1" applyAlignment="1">
      <alignment horizontal="center"/>
    </xf>
    <xf numFmtId="7" fontId="101" fillId="16" borderId="0" xfId="0" applyNumberFormat="1" applyFont="1" applyFill="1"/>
    <xf numFmtId="7" fontId="100" fillId="16" borderId="0" xfId="0" applyNumberFormat="1" applyFont="1" applyFill="1"/>
    <xf numFmtId="41" fontId="100" fillId="16" borderId="0" xfId="65" applyNumberFormat="1" applyFont="1" applyFill="1" applyBorder="1"/>
    <xf numFmtId="41" fontId="100" fillId="16" borderId="1" xfId="65" applyNumberFormat="1" applyFont="1" applyFill="1" applyBorder="1"/>
    <xf numFmtId="41" fontId="101" fillId="16" borderId="0" xfId="65" applyNumberFormat="1" applyFont="1" applyFill="1" applyBorder="1"/>
    <xf numFmtId="165" fontId="7" fillId="16" borderId="0" xfId="91" applyNumberFormat="1" applyFont="1" applyFill="1" applyBorder="1"/>
    <xf numFmtId="165" fontId="100" fillId="16" borderId="0" xfId="91" applyNumberFormat="1" applyFont="1" applyFill="1" applyBorder="1"/>
    <xf numFmtId="39" fontId="36" fillId="16" borderId="0" xfId="65" applyNumberFormat="1" applyFont="1" applyFill="1" applyBorder="1"/>
    <xf numFmtId="164" fontId="100" fillId="16" borderId="0" xfId="96" applyNumberFormat="1" applyFont="1" applyFill="1" applyBorder="1"/>
    <xf numFmtId="9" fontId="17" fillId="0" borderId="0" xfId="96" applyFont="1" applyFill="1" applyAlignment="1">
      <alignment horizontal="center"/>
    </xf>
    <xf numFmtId="9" fontId="0" fillId="0" borderId="0" xfId="96" applyFont="1"/>
    <xf numFmtId="168" fontId="28" fillId="16" borderId="0" xfId="75" applyFont="1" applyFill="1" applyAlignment="1"/>
    <xf numFmtId="0" fontId="28" fillId="16" borderId="0" xfId="0" applyFont="1" applyFill="1" applyBorder="1" applyAlignment="1"/>
    <xf numFmtId="0" fontId="28" fillId="16" borderId="13" xfId="0" applyFont="1" applyFill="1" applyBorder="1" applyAlignment="1"/>
    <xf numFmtId="0" fontId="27" fillId="21" borderId="0" xfId="0" applyFont="1" applyFill="1" applyBorder="1" applyAlignment="1"/>
    <xf numFmtId="0" fontId="17" fillId="16" borderId="0" xfId="85" applyFont="1" applyFill="1" applyAlignment="1"/>
    <xf numFmtId="0" fontId="14" fillId="16" borderId="0" xfId="0" applyFont="1" applyFill="1" applyAlignment="1"/>
    <xf numFmtId="0" fontId="17" fillId="16" borderId="0" xfId="0" applyFont="1" applyFill="1" applyAlignment="1"/>
    <xf numFmtId="0" fontId="14" fillId="16" borderId="1" xfId="0" applyFont="1" applyFill="1" applyBorder="1" applyAlignment="1"/>
    <xf numFmtId="0" fontId="18" fillId="16" borderId="0" xfId="0" applyFont="1" applyFill="1" applyAlignment="1"/>
    <xf numFmtId="0" fontId="7" fillId="16" borderId="0" xfId="0" applyFont="1" applyFill="1" applyAlignment="1"/>
    <xf numFmtId="0" fontId="17" fillId="16" borderId="0" xfId="0" applyFont="1" applyFill="1" applyAlignment="1">
      <alignment vertical="center"/>
    </xf>
    <xf numFmtId="0" fontId="0" fillId="0" borderId="0" xfId="0" applyAlignment="1"/>
    <xf numFmtId="0" fontId="14" fillId="0" borderId="0" xfId="0" applyFont="1" applyFill="1" applyAlignment="1"/>
    <xf numFmtId="0" fontId="17" fillId="0" borderId="0" xfId="0" applyFont="1" applyFill="1" applyAlignment="1"/>
    <xf numFmtId="0" fontId="0" fillId="16" borderId="0" xfId="0" applyFill="1" applyAlignment="1"/>
    <xf numFmtId="0" fontId="27" fillId="23" borderId="23" xfId="0" applyFont="1" applyFill="1" applyBorder="1" applyAlignment="1">
      <alignment horizontal="right"/>
    </xf>
    <xf numFmtId="0" fontId="27" fillId="23" borderId="14" xfId="0" applyFont="1" applyFill="1" applyBorder="1" applyAlignment="1">
      <alignment horizontal="right"/>
    </xf>
    <xf numFmtId="0" fontId="27" fillId="23" borderId="24" xfId="0" applyFont="1" applyFill="1" applyBorder="1" applyAlignment="1">
      <alignment horizontal="right"/>
    </xf>
    <xf numFmtId="37" fontId="87" fillId="16" borderId="25" xfId="0" applyNumberFormat="1" applyFont="1" applyFill="1" applyBorder="1" applyAlignment="1">
      <alignment horizontal="right"/>
    </xf>
    <xf numFmtId="37" fontId="87" fillId="16" borderId="0" xfId="0" applyNumberFormat="1" applyFont="1" applyFill="1" applyBorder="1" applyAlignment="1">
      <alignment horizontal="right"/>
    </xf>
    <xf numFmtId="37" fontId="87" fillId="16" borderId="26" xfId="0" applyNumberFormat="1" applyFont="1" applyFill="1" applyBorder="1" applyAlignment="1">
      <alignment horizontal="right"/>
    </xf>
    <xf numFmtId="37" fontId="7" fillId="16" borderId="25" xfId="85" applyNumberFormat="1" applyFont="1" applyFill="1" applyBorder="1"/>
    <xf numFmtId="37" fontId="7" fillId="16" borderId="0" xfId="85" applyNumberFormat="1" applyFont="1" applyFill="1" applyBorder="1"/>
    <xf numFmtId="37" fontId="7" fillId="16" borderId="26" xfId="85" applyNumberFormat="1" applyFont="1" applyFill="1" applyBorder="1"/>
    <xf numFmtId="37" fontId="7" fillId="16" borderId="25" xfId="0" applyNumberFormat="1" applyFont="1" applyFill="1" applyBorder="1"/>
    <xf numFmtId="37" fontId="7" fillId="16" borderId="26" xfId="0" applyNumberFormat="1" applyFont="1" applyFill="1" applyBorder="1"/>
    <xf numFmtId="37" fontId="14" fillId="16" borderId="25" xfId="0" applyNumberFormat="1" applyFont="1" applyFill="1" applyBorder="1"/>
    <xf numFmtId="37" fontId="14" fillId="16" borderId="26" xfId="0" applyNumberFormat="1" applyFont="1" applyFill="1" applyBorder="1"/>
    <xf numFmtId="0" fontId="100" fillId="16" borderId="25" xfId="0" applyFont="1" applyFill="1" applyBorder="1"/>
    <xf numFmtId="0" fontId="100" fillId="16" borderId="0" xfId="0" applyFont="1" applyFill="1" applyBorder="1"/>
    <xf numFmtId="0" fontId="100" fillId="16" borderId="26" xfId="0" applyFont="1" applyFill="1" applyBorder="1"/>
    <xf numFmtId="0" fontId="27" fillId="23" borderId="25" xfId="0" applyFont="1" applyFill="1" applyBorder="1" applyAlignment="1">
      <alignment horizontal="right"/>
    </xf>
    <xf numFmtId="0" fontId="27" fillId="23" borderId="26" xfId="0" applyFont="1" applyFill="1" applyBorder="1" applyAlignment="1">
      <alignment horizontal="right"/>
    </xf>
    <xf numFmtId="5" fontId="14" fillId="16" borderId="25" xfId="96" applyNumberFormat="1" applyFont="1" applyFill="1" applyBorder="1"/>
    <xf numFmtId="5" fontId="14" fillId="16" borderId="0" xfId="96" applyNumberFormat="1" applyFont="1" applyFill="1" applyBorder="1"/>
    <xf numFmtId="5" fontId="14" fillId="16" borderId="26" xfId="96" applyNumberFormat="1" applyFont="1" applyFill="1" applyBorder="1"/>
    <xf numFmtId="37" fontId="100" fillId="16" borderId="25" xfId="0" applyNumberFormat="1" applyFont="1" applyFill="1" applyBorder="1"/>
    <xf numFmtId="37" fontId="100" fillId="16" borderId="26" xfId="0" applyNumberFormat="1" applyFont="1" applyFill="1" applyBorder="1"/>
    <xf numFmtId="37" fontId="100" fillId="16" borderId="27" xfId="0" applyNumberFormat="1" applyFont="1" applyFill="1" applyBorder="1"/>
    <xf numFmtId="37" fontId="100" fillId="16" borderId="28" xfId="0" applyNumberFormat="1" applyFont="1" applyFill="1" applyBorder="1"/>
    <xf numFmtId="5" fontId="17" fillId="16" borderId="25" xfId="96" applyNumberFormat="1" applyFont="1" applyFill="1" applyBorder="1"/>
    <xf numFmtId="5" fontId="17" fillId="16" borderId="0" xfId="96" applyNumberFormat="1" applyFont="1" applyFill="1" applyBorder="1"/>
    <xf numFmtId="5" fontId="17" fillId="16" borderId="26" xfId="96" applyNumberFormat="1" applyFont="1" applyFill="1" applyBorder="1"/>
    <xf numFmtId="9" fontId="18" fillId="16" borderId="25" xfId="96" applyFont="1" applyFill="1" applyBorder="1"/>
    <xf numFmtId="9" fontId="18" fillId="16" borderId="26" xfId="96" applyFont="1" applyFill="1" applyBorder="1"/>
    <xf numFmtId="0" fontId="14" fillId="16" borderId="25" xfId="0" applyFont="1" applyFill="1" applyBorder="1"/>
    <xf numFmtId="0" fontId="14" fillId="16" borderId="26" xfId="0" applyFont="1" applyFill="1" applyBorder="1"/>
    <xf numFmtId="165" fontId="7" fillId="16" borderId="25" xfId="96" applyNumberFormat="1" applyFont="1" applyFill="1" applyBorder="1"/>
    <xf numFmtId="165" fontId="7" fillId="16" borderId="26" xfId="96" applyNumberFormat="1" applyFont="1" applyFill="1" applyBorder="1"/>
    <xf numFmtId="165" fontId="17" fillId="16" borderId="25" xfId="96" applyNumberFormat="1" applyFont="1" applyFill="1" applyBorder="1"/>
    <xf numFmtId="165" fontId="17" fillId="16" borderId="26" xfId="96" applyNumberFormat="1" applyFont="1" applyFill="1" applyBorder="1"/>
    <xf numFmtId="37" fontId="17" fillId="16" borderId="25" xfId="0" applyNumberFormat="1" applyFont="1" applyFill="1" applyBorder="1"/>
    <xf numFmtId="37" fontId="17" fillId="16" borderId="26" xfId="0" applyNumberFormat="1" applyFont="1" applyFill="1" applyBorder="1"/>
    <xf numFmtId="9" fontId="35" fillId="16" borderId="25" xfId="96" applyFont="1" applyFill="1" applyBorder="1"/>
    <xf numFmtId="9" fontId="35" fillId="16" borderId="0" xfId="96" applyFont="1" applyFill="1" applyBorder="1"/>
    <xf numFmtId="9" fontId="35" fillId="16" borderId="26" xfId="96" applyFont="1" applyFill="1" applyBorder="1"/>
    <xf numFmtId="164" fontId="7" fillId="16" borderId="27" xfId="0" applyNumberFormat="1" applyFont="1" applyFill="1" applyBorder="1"/>
    <xf numFmtId="164" fontId="7" fillId="16" borderId="28" xfId="0" applyNumberFormat="1" applyFont="1" applyFill="1" applyBorder="1"/>
    <xf numFmtId="164" fontId="17" fillId="16" borderId="25" xfId="0" applyNumberFormat="1" applyFont="1" applyFill="1" applyBorder="1"/>
    <xf numFmtId="164" fontId="17" fillId="16" borderId="26" xfId="0" applyNumberFormat="1" applyFont="1" applyFill="1" applyBorder="1"/>
    <xf numFmtId="164" fontId="18" fillId="16" borderId="25" xfId="65" applyNumberFormat="1" applyFont="1" applyFill="1" applyBorder="1"/>
    <xf numFmtId="164" fontId="18" fillId="16" borderId="0" xfId="65" applyNumberFormat="1" applyFont="1" applyFill="1" applyBorder="1"/>
    <xf numFmtId="164" fontId="18" fillId="16" borderId="26" xfId="65" applyNumberFormat="1" applyFont="1" applyFill="1" applyBorder="1"/>
    <xf numFmtId="9" fontId="7" fillId="16" borderId="25" xfId="96" applyFont="1" applyFill="1" applyBorder="1"/>
    <xf numFmtId="9" fontId="7" fillId="16" borderId="26" xfId="96" applyFont="1" applyFill="1" applyBorder="1"/>
    <xf numFmtId="165" fontId="100" fillId="16" borderId="25" xfId="96" applyNumberFormat="1" applyFont="1" applyFill="1" applyBorder="1"/>
    <xf numFmtId="165" fontId="100" fillId="16" borderId="0" xfId="96" applyNumberFormat="1" applyFont="1" applyFill="1" applyBorder="1"/>
    <xf numFmtId="165" fontId="100" fillId="16" borderId="26" xfId="96" applyNumberFormat="1" applyFont="1" applyFill="1" applyBorder="1"/>
    <xf numFmtId="5" fontId="7" fillId="16" borderId="25" xfId="96" applyNumberFormat="1" applyFont="1" applyFill="1" applyBorder="1"/>
    <xf numFmtId="5" fontId="7" fillId="16" borderId="26" xfId="96" applyNumberFormat="1" applyFont="1" applyFill="1" applyBorder="1"/>
    <xf numFmtId="5" fontId="7" fillId="16" borderId="27" xfId="96" applyNumberFormat="1" applyFont="1" applyFill="1" applyBorder="1"/>
    <xf numFmtId="5" fontId="7" fillId="16" borderId="28" xfId="96" applyNumberFormat="1" applyFont="1" applyFill="1" applyBorder="1"/>
    <xf numFmtId="9" fontId="7" fillId="16" borderId="25" xfId="0" applyNumberFormat="1" applyFont="1" applyFill="1" applyBorder="1"/>
    <xf numFmtId="9" fontId="7" fillId="16" borderId="0" xfId="0" applyNumberFormat="1" applyFont="1" applyFill="1" applyBorder="1"/>
    <xf numFmtId="9" fontId="7" fillId="16" borderId="26" xfId="0" applyNumberFormat="1" applyFont="1" applyFill="1" applyBorder="1"/>
    <xf numFmtId="164" fontId="7" fillId="16" borderId="25" xfId="65" applyNumberFormat="1" applyFont="1" applyFill="1" applyBorder="1"/>
    <xf numFmtId="164" fontId="7" fillId="16" borderId="26" xfId="65" applyNumberFormat="1" applyFont="1" applyFill="1" applyBorder="1"/>
    <xf numFmtId="164" fontId="36" fillId="16" borderId="25" xfId="65" applyNumberFormat="1" applyFont="1" applyFill="1" applyBorder="1"/>
    <xf numFmtId="164" fontId="36" fillId="16" borderId="26" xfId="65" applyNumberFormat="1" applyFont="1" applyFill="1" applyBorder="1"/>
    <xf numFmtId="5" fontId="14" fillId="16" borderId="25" xfId="0" applyNumberFormat="1" applyFont="1" applyFill="1" applyBorder="1"/>
    <xf numFmtId="5" fontId="14" fillId="16" borderId="0" xfId="0" applyNumberFormat="1" applyFont="1" applyFill="1" applyBorder="1"/>
    <xf numFmtId="5" fontId="14" fillId="16" borderId="26" xfId="0" applyNumberFormat="1" applyFont="1" applyFill="1" applyBorder="1"/>
    <xf numFmtId="37" fontId="101" fillId="16" borderId="25" xfId="0" applyNumberFormat="1" applyFont="1" applyFill="1" applyBorder="1"/>
    <xf numFmtId="37" fontId="101" fillId="16" borderId="0" xfId="0" applyNumberFormat="1" applyFont="1" applyFill="1" applyBorder="1"/>
    <xf numFmtId="5" fontId="7" fillId="16" borderId="25" xfId="0" applyNumberFormat="1" applyFont="1" applyFill="1" applyBorder="1"/>
    <xf numFmtId="5" fontId="7" fillId="16" borderId="0" xfId="0" applyNumberFormat="1" applyFont="1" applyFill="1" applyBorder="1"/>
    <xf numFmtId="5" fontId="7" fillId="16" borderId="26" xfId="0" applyNumberFormat="1" applyFont="1" applyFill="1" applyBorder="1"/>
    <xf numFmtId="37" fontId="101" fillId="16" borderId="25" xfId="96" applyNumberFormat="1" applyFont="1" applyFill="1" applyBorder="1"/>
    <xf numFmtId="37" fontId="101" fillId="16" borderId="0" xfId="96" applyNumberFormat="1" applyFont="1" applyFill="1" applyBorder="1"/>
    <xf numFmtId="37" fontId="17" fillId="16" borderId="26" xfId="96" applyNumberFormat="1" applyFont="1" applyFill="1" applyBorder="1"/>
    <xf numFmtId="167" fontId="7" fillId="16" borderId="25" xfId="0" applyNumberFormat="1" applyFont="1" applyFill="1" applyBorder="1"/>
    <xf numFmtId="167" fontId="7" fillId="16" borderId="0" xfId="0" applyNumberFormat="1" applyFont="1" applyFill="1" applyBorder="1"/>
    <xf numFmtId="167" fontId="7" fillId="16" borderId="26" xfId="0" applyNumberFormat="1" applyFont="1" applyFill="1" applyBorder="1"/>
    <xf numFmtId="0" fontId="0" fillId="0" borderId="25" xfId="0" applyBorder="1"/>
    <xf numFmtId="0" fontId="0" fillId="0" borderId="26" xfId="0" applyBorder="1"/>
    <xf numFmtId="37" fontId="7" fillId="0" borderId="25" xfId="0" applyNumberFormat="1" applyFont="1" applyFill="1" applyBorder="1"/>
    <xf numFmtId="37" fontId="7" fillId="0" borderId="26" xfId="0" applyNumberFormat="1" applyFont="1" applyFill="1" applyBorder="1"/>
    <xf numFmtId="37" fontId="17" fillId="0" borderId="25" xfId="0" applyNumberFormat="1" applyFont="1" applyFill="1" applyBorder="1"/>
    <xf numFmtId="37" fontId="17" fillId="0" borderId="0" xfId="0" applyNumberFormat="1" applyFont="1" applyFill="1" applyBorder="1"/>
    <xf numFmtId="37" fontId="17" fillId="0" borderId="26" xfId="0" applyNumberFormat="1" applyFont="1" applyFill="1" applyBorder="1"/>
    <xf numFmtId="1" fontId="7" fillId="16" borderId="25" xfId="0" applyNumberFormat="1" applyFont="1" applyFill="1" applyBorder="1"/>
    <xf numFmtId="1" fontId="7" fillId="16" borderId="0" xfId="0" applyNumberFormat="1" applyFont="1" applyFill="1" applyBorder="1"/>
    <xf numFmtId="1" fontId="7" fillId="16" borderId="26" xfId="0" applyNumberFormat="1" applyFont="1" applyFill="1" applyBorder="1"/>
    <xf numFmtId="37" fontId="101" fillId="16" borderId="26" xfId="0" applyNumberFormat="1" applyFont="1" applyFill="1" applyBorder="1"/>
    <xf numFmtId="1" fontId="14" fillId="16" borderId="25" xfId="0" applyNumberFormat="1" applyFont="1" applyFill="1" applyBorder="1"/>
    <xf numFmtId="1" fontId="14" fillId="16" borderId="0" xfId="0" applyNumberFormat="1" applyFont="1" applyFill="1" applyBorder="1"/>
    <xf numFmtId="1" fontId="14" fillId="16" borderId="26" xfId="0" applyNumberFormat="1" applyFont="1" applyFill="1" applyBorder="1"/>
    <xf numFmtId="164" fontId="7" fillId="16" borderId="25" xfId="96" applyNumberFormat="1" applyFont="1" applyFill="1" applyBorder="1"/>
    <xf numFmtId="164" fontId="7" fillId="16" borderId="26" xfId="96" applyNumberFormat="1" applyFont="1" applyFill="1" applyBorder="1"/>
    <xf numFmtId="164" fontId="7" fillId="16" borderId="25" xfId="0" applyNumberFormat="1" applyFont="1" applyFill="1" applyBorder="1"/>
    <xf numFmtId="164" fontId="7" fillId="16" borderId="26" xfId="0" applyNumberFormat="1" applyFont="1" applyFill="1" applyBorder="1"/>
    <xf numFmtId="7" fontId="17" fillId="16" borderId="25" xfId="0" applyNumberFormat="1" applyFont="1" applyFill="1" applyBorder="1"/>
    <xf numFmtId="7" fontId="17" fillId="16" borderId="26" xfId="0" applyNumberFormat="1" applyFont="1" applyFill="1" applyBorder="1"/>
    <xf numFmtId="7" fontId="7" fillId="16" borderId="25" xfId="0" applyNumberFormat="1" applyFont="1" applyFill="1" applyBorder="1"/>
    <xf numFmtId="7" fontId="7" fillId="16" borderId="26" xfId="0" applyNumberFormat="1" applyFont="1" applyFill="1" applyBorder="1"/>
    <xf numFmtId="165" fontId="101" fillId="16" borderId="25" xfId="0" applyNumberFormat="1" applyFont="1" applyFill="1" applyBorder="1"/>
    <xf numFmtId="165" fontId="101" fillId="16" borderId="0" xfId="0" applyNumberFormat="1" applyFont="1" applyFill="1" applyBorder="1"/>
    <xf numFmtId="165" fontId="101" fillId="16" borderId="26" xfId="0" applyNumberFormat="1" applyFont="1" applyFill="1" applyBorder="1"/>
    <xf numFmtId="0" fontId="0" fillId="16" borderId="25" xfId="0" applyFill="1" applyBorder="1"/>
    <xf numFmtId="0" fontId="0" fillId="16" borderId="0" xfId="0" applyFill="1" applyBorder="1"/>
    <xf numFmtId="0" fontId="0" fillId="16" borderId="26" xfId="0" applyFill="1" applyBorder="1"/>
    <xf numFmtId="0" fontId="7" fillId="0" borderId="25" xfId="0" applyFont="1" applyBorder="1"/>
    <xf numFmtId="0" fontId="7" fillId="0" borderId="0" xfId="0" applyFont="1" applyBorder="1"/>
    <xf numFmtId="0" fontId="7" fillId="0" borderId="26" xfId="0" applyFont="1" applyBorder="1"/>
    <xf numFmtId="164" fontId="7" fillId="20" borderId="25" xfId="0" applyNumberFormat="1" applyFont="1" applyFill="1" applyBorder="1"/>
    <xf numFmtId="164" fontId="7" fillId="20" borderId="0" xfId="0" applyNumberFormat="1" applyFont="1" applyFill="1" applyBorder="1"/>
    <xf numFmtId="164" fontId="7" fillId="20" borderId="26" xfId="0" applyNumberFormat="1" applyFont="1" applyFill="1" applyBorder="1"/>
    <xf numFmtId="9" fontId="7" fillId="16" borderId="25" xfId="96" applyNumberFormat="1" applyFont="1" applyFill="1" applyBorder="1"/>
    <xf numFmtId="9" fontId="100" fillId="16" borderId="0" xfId="96" applyFont="1" applyFill="1" applyBorder="1"/>
    <xf numFmtId="9" fontId="100" fillId="16" borderId="26" xfId="96" applyFont="1" applyFill="1" applyBorder="1"/>
    <xf numFmtId="0" fontId="7" fillId="16" borderId="26" xfId="0" applyFont="1" applyFill="1" applyBorder="1"/>
    <xf numFmtId="37" fontId="7" fillId="0" borderId="0" xfId="85" applyNumberFormat="1" applyFont="1" applyFill="1" applyBorder="1"/>
    <xf numFmtId="37" fontId="7" fillId="0" borderId="26" xfId="85" applyNumberFormat="1" applyFont="1" applyFill="1" applyBorder="1"/>
    <xf numFmtId="0" fontId="100" fillId="0" borderId="0" xfId="0" applyFont="1" applyFill="1" applyBorder="1"/>
    <xf numFmtId="0" fontId="100" fillId="0" borderId="26" xfId="0" applyFont="1" applyFill="1" applyBorder="1"/>
    <xf numFmtId="5" fontId="14" fillId="0" borderId="26" xfId="96" applyNumberFormat="1" applyFont="1" applyFill="1" applyBorder="1"/>
    <xf numFmtId="37" fontId="100" fillId="0" borderId="26" xfId="0" applyNumberFormat="1" applyFont="1" applyFill="1" applyBorder="1"/>
    <xf numFmtId="37" fontId="100" fillId="0" borderId="28" xfId="0" applyNumberFormat="1" applyFont="1" applyFill="1" applyBorder="1"/>
    <xf numFmtId="9" fontId="18" fillId="0" borderId="26" xfId="96" applyFont="1" applyFill="1" applyBorder="1"/>
    <xf numFmtId="165" fontId="7" fillId="0" borderId="26" xfId="96" applyNumberFormat="1" applyFont="1" applyFill="1" applyBorder="1"/>
    <xf numFmtId="0" fontId="14" fillId="0" borderId="26" xfId="0" applyFont="1" applyFill="1" applyBorder="1"/>
    <xf numFmtId="37" fontId="102" fillId="16" borderId="25" xfId="0" applyNumberFormat="1" applyFont="1" applyFill="1" applyBorder="1"/>
    <xf numFmtId="37" fontId="102" fillId="16" borderId="0" xfId="0" applyNumberFormat="1" applyFont="1" applyFill="1" applyBorder="1"/>
    <xf numFmtId="37" fontId="102" fillId="0" borderId="26" xfId="0" applyNumberFormat="1" applyFont="1" applyFill="1" applyBorder="1"/>
    <xf numFmtId="9" fontId="35" fillId="0" borderId="26" xfId="96" applyFont="1" applyFill="1" applyBorder="1"/>
    <xf numFmtId="164" fontId="7" fillId="0" borderId="28" xfId="0" applyNumberFormat="1" applyFont="1" applyFill="1" applyBorder="1"/>
    <xf numFmtId="164" fontId="17" fillId="0" borderId="26" xfId="0" applyNumberFormat="1" applyFont="1" applyFill="1" applyBorder="1"/>
    <xf numFmtId="164" fontId="18" fillId="0" borderId="26" xfId="65" applyNumberFormat="1" applyFont="1" applyFill="1" applyBorder="1"/>
    <xf numFmtId="9" fontId="7" fillId="16" borderId="0" xfId="96" applyNumberFormat="1" applyFont="1" applyFill="1" applyBorder="1"/>
    <xf numFmtId="9" fontId="7" fillId="0" borderId="26" xfId="96" applyNumberFormat="1" applyFont="1" applyFill="1" applyBorder="1"/>
    <xf numFmtId="9" fontId="7" fillId="0" borderId="26" xfId="96" applyFont="1" applyFill="1" applyBorder="1"/>
    <xf numFmtId="165" fontId="100" fillId="0" borderId="0" xfId="96" applyNumberFormat="1" applyFont="1" applyFill="1" applyBorder="1"/>
    <xf numFmtId="165" fontId="100" fillId="0" borderId="26" xfId="96" applyNumberFormat="1" applyFont="1" applyFill="1" applyBorder="1"/>
    <xf numFmtId="5" fontId="7" fillId="0" borderId="26" xfId="96" applyNumberFormat="1" applyFont="1" applyFill="1" applyBorder="1"/>
    <xf numFmtId="5" fontId="7" fillId="0" borderId="28" xfId="96" applyNumberFormat="1" applyFont="1" applyFill="1" applyBorder="1"/>
    <xf numFmtId="9" fontId="7" fillId="0" borderId="26" xfId="0" applyNumberFormat="1" applyFont="1" applyFill="1" applyBorder="1"/>
    <xf numFmtId="164" fontId="7" fillId="0" borderId="26" xfId="65" applyNumberFormat="1" applyFont="1" applyFill="1" applyBorder="1"/>
    <xf numFmtId="5" fontId="7" fillId="0" borderId="26" xfId="0" applyNumberFormat="1" applyFont="1" applyFill="1" applyBorder="1"/>
    <xf numFmtId="167" fontId="7" fillId="0" borderId="26" xfId="0" applyNumberFormat="1" applyFont="1" applyFill="1" applyBorder="1"/>
    <xf numFmtId="37" fontId="101" fillId="0" borderId="25" xfId="0" applyNumberFormat="1" applyFont="1" applyFill="1" applyBorder="1"/>
    <xf numFmtId="37" fontId="101" fillId="0" borderId="26" xfId="0" applyNumberFormat="1" applyFont="1" applyFill="1" applyBorder="1"/>
    <xf numFmtId="164" fontId="7" fillId="0" borderId="25" xfId="0" applyNumberFormat="1" applyFont="1" applyFill="1" applyBorder="1"/>
    <xf numFmtId="164" fontId="7" fillId="0" borderId="26" xfId="0" applyNumberFormat="1" applyFont="1" applyFill="1" applyBorder="1"/>
    <xf numFmtId="7" fontId="17" fillId="0" borderId="26" xfId="0" applyNumberFormat="1" applyFont="1" applyFill="1" applyBorder="1"/>
    <xf numFmtId="7" fontId="7" fillId="0" borderId="26" xfId="0" applyNumberFormat="1" applyFont="1" applyFill="1" applyBorder="1"/>
    <xf numFmtId="165" fontId="101" fillId="0" borderId="0" xfId="0" applyNumberFormat="1" applyFont="1" applyFill="1" applyBorder="1"/>
    <xf numFmtId="165" fontId="101" fillId="0" borderId="26" xfId="0" applyNumberFormat="1" applyFont="1" applyFill="1" applyBorder="1"/>
    <xf numFmtId="0" fontId="7" fillId="16" borderId="25" xfId="0" applyFont="1" applyFill="1" applyBorder="1"/>
    <xf numFmtId="37" fontId="7" fillId="0" borderId="25" xfId="85" applyNumberFormat="1" applyFont="1" applyFill="1" applyBorder="1"/>
    <xf numFmtId="165" fontId="7" fillId="0" borderId="25" xfId="96" applyNumberFormat="1" applyFont="1" applyFill="1" applyBorder="1"/>
    <xf numFmtId="37" fontId="102" fillId="16" borderId="26" xfId="0" applyNumberFormat="1" applyFont="1" applyFill="1" applyBorder="1"/>
    <xf numFmtId="9" fontId="7" fillId="0" borderId="25" xfId="96" applyNumberFormat="1" applyFont="1" applyFill="1" applyBorder="1"/>
    <xf numFmtId="9" fontId="7" fillId="0" borderId="0" xfId="96" applyNumberFormat="1" applyFont="1" applyFill="1" applyBorder="1"/>
    <xf numFmtId="37" fontId="101" fillId="0" borderId="0" xfId="0" applyNumberFormat="1" applyFont="1" applyFill="1" applyBorder="1"/>
    <xf numFmtId="5" fontId="7" fillId="0" borderId="0" xfId="0" applyNumberFormat="1" applyFont="1" applyFill="1" applyBorder="1"/>
    <xf numFmtId="37" fontId="101" fillId="0" borderId="0" xfId="96" applyNumberFormat="1" applyFont="1" applyFill="1" applyBorder="1"/>
    <xf numFmtId="164" fontId="7" fillId="0" borderId="25" xfId="65" applyNumberFormat="1" applyFont="1" applyFill="1" applyBorder="1"/>
    <xf numFmtId="167" fontId="7" fillId="0" borderId="0" xfId="0" applyNumberFormat="1" applyFont="1" applyFill="1" applyBorder="1"/>
    <xf numFmtId="37" fontId="102" fillId="0" borderId="0" xfId="0" applyNumberFormat="1" applyFont="1" applyFill="1" applyBorder="1"/>
    <xf numFmtId="43" fontId="7" fillId="16" borderId="28" xfId="0" applyNumberFormat="1" applyFont="1" applyFill="1" applyBorder="1"/>
    <xf numFmtId="9" fontId="7" fillId="0" borderId="25" xfId="96" applyFont="1" applyFill="1" applyBorder="1"/>
    <xf numFmtId="37" fontId="101" fillId="0" borderId="25" xfId="96" applyNumberFormat="1" applyFont="1" applyFill="1" applyBorder="1"/>
    <xf numFmtId="167" fontId="7" fillId="0" borderId="25" xfId="0" applyNumberFormat="1" applyFont="1" applyFill="1" applyBorder="1"/>
    <xf numFmtId="0" fontId="14" fillId="0" borderId="25" xfId="0" applyFont="1" applyFill="1" applyBorder="1"/>
    <xf numFmtId="37" fontId="102" fillId="0" borderId="25" xfId="0" applyNumberFormat="1" applyFont="1" applyFill="1" applyBorder="1"/>
    <xf numFmtId="37" fontId="102" fillId="16" borderId="25" xfId="96" applyNumberFormat="1" applyFont="1" applyFill="1" applyBorder="1"/>
    <xf numFmtId="37" fontId="102" fillId="16" borderId="26" xfId="96" applyNumberFormat="1" applyFont="1" applyFill="1" applyBorder="1"/>
    <xf numFmtId="0" fontId="100" fillId="0" borderId="25" xfId="0" applyFont="1" applyFill="1" applyBorder="1"/>
    <xf numFmtId="37" fontId="17" fillId="0" borderId="26" xfId="96" applyNumberFormat="1" applyFont="1" applyFill="1" applyBorder="1"/>
    <xf numFmtId="37" fontId="100" fillId="0" borderId="25" xfId="0" applyNumberFormat="1" applyFont="1" applyFill="1" applyBorder="1"/>
    <xf numFmtId="37" fontId="100" fillId="0" borderId="27" xfId="0" applyNumberFormat="1" applyFont="1" applyFill="1" applyBorder="1"/>
    <xf numFmtId="7" fontId="17" fillId="0" borderId="25" xfId="0" applyNumberFormat="1" applyFont="1" applyFill="1" applyBorder="1"/>
    <xf numFmtId="7" fontId="7" fillId="0" borderId="25" xfId="0" applyNumberFormat="1" applyFont="1" applyFill="1" applyBorder="1"/>
    <xf numFmtId="0" fontId="20" fillId="16" borderId="25" xfId="0" applyFont="1" applyFill="1" applyBorder="1"/>
    <xf numFmtId="0" fontId="20" fillId="16" borderId="26" xfId="0" applyFont="1" applyFill="1" applyBorder="1"/>
    <xf numFmtId="5" fontId="17" fillId="0" borderId="25" xfId="96" applyNumberFormat="1" applyFont="1" applyFill="1" applyBorder="1"/>
    <xf numFmtId="5" fontId="17" fillId="0" borderId="0" xfId="96" applyNumberFormat="1" applyFont="1" applyFill="1" applyBorder="1"/>
    <xf numFmtId="37" fontId="101" fillId="16" borderId="26" xfId="96" applyNumberFormat="1" applyFont="1" applyFill="1" applyBorder="1"/>
    <xf numFmtId="37" fontId="100" fillId="0" borderId="25" xfId="85" applyNumberFormat="1" applyFont="1" applyFill="1" applyBorder="1"/>
    <xf numFmtId="37" fontId="100" fillId="16" borderId="0" xfId="85" applyNumberFormat="1" applyFont="1" applyFill="1" applyBorder="1"/>
    <xf numFmtId="37" fontId="100" fillId="16" borderId="26" xfId="85" applyNumberFormat="1" applyFont="1" applyFill="1" applyBorder="1"/>
    <xf numFmtId="37" fontId="107" fillId="0" borderId="26" xfId="96" applyNumberFormat="1" applyFont="1" applyFill="1" applyBorder="1"/>
    <xf numFmtId="43" fontId="7" fillId="16" borderId="25" xfId="65" applyFont="1" applyFill="1" applyBorder="1"/>
    <xf numFmtId="43" fontId="7" fillId="16" borderId="0" xfId="65" applyFont="1" applyFill="1" applyBorder="1"/>
    <xf numFmtId="43" fontId="7" fillId="16" borderId="26" xfId="65" applyFont="1" applyFill="1" applyBorder="1"/>
    <xf numFmtId="0" fontId="7" fillId="0" borderId="26" xfId="0" applyFont="1" applyFill="1" applyBorder="1"/>
    <xf numFmtId="37" fontId="100" fillId="0" borderId="0" xfId="85" applyNumberFormat="1" applyFont="1" applyFill="1" applyBorder="1"/>
    <xf numFmtId="37" fontId="7" fillId="0" borderId="29" xfId="85" applyNumberFormat="1" applyFont="1" applyFill="1" applyBorder="1"/>
    <xf numFmtId="165" fontId="101" fillId="20" borderId="26" xfId="96" applyNumberFormat="1" applyFont="1" applyFill="1" applyBorder="1"/>
    <xf numFmtId="37" fontId="7" fillId="16" borderId="28" xfId="0" applyNumberFormat="1" applyFont="1" applyFill="1" applyBorder="1"/>
    <xf numFmtId="37" fontId="7" fillId="20" borderId="25" xfId="0" applyNumberFormat="1" applyFont="1" applyFill="1" applyBorder="1"/>
    <xf numFmtId="37" fontId="7" fillId="20" borderId="0" xfId="0" applyNumberFormat="1" applyFont="1" applyFill="1" applyBorder="1"/>
    <xf numFmtId="9" fontId="100" fillId="20" borderId="26" xfId="96" applyFont="1" applyFill="1" applyBorder="1"/>
    <xf numFmtId="5" fontId="100" fillId="20" borderId="26" xfId="0" applyNumberFormat="1" applyFont="1" applyFill="1" applyBorder="1"/>
    <xf numFmtId="164" fontId="100" fillId="20" borderId="25" xfId="65" applyNumberFormat="1" applyFont="1" applyFill="1" applyBorder="1"/>
    <xf numFmtId="164" fontId="100" fillId="20" borderId="26" xfId="65" applyNumberFormat="1" applyFont="1" applyFill="1" applyBorder="1"/>
    <xf numFmtId="164" fontId="17" fillId="0" borderId="26" xfId="0" applyNumberFormat="1" applyFont="1" applyBorder="1"/>
    <xf numFmtId="164" fontId="7" fillId="0" borderId="26" xfId="0" applyNumberFormat="1" applyFont="1" applyBorder="1"/>
    <xf numFmtId="9" fontId="14" fillId="16" borderId="26" xfId="96" applyFont="1" applyFill="1" applyBorder="1"/>
    <xf numFmtId="164" fontId="7" fillId="20" borderId="25" xfId="96" applyNumberFormat="1" applyFont="1" applyFill="1" applyBorder="1"/>
    <xf numFmtId="167" fontId="100" fillId="20" borderId="26" xfId="0" applyNumberFormat="1" applyFont="1" applyFill="1" applyBorder="1"/>
    <xf numFmtId="0" fontId="7" fillId="0" borderId="25" xfId="0" applyFont="1" applyFill="1" applyBorder="1"/>
    <xf numFmtId="0" fontId="7" fillId="0" borderId="0" xfId="0" applyFont="1" applyFill="1" applyBorder="1"/>
    <xf numFmtId="37" fontId="100" fillId="20" borderId="25" xfId="85" applyNumberFormat="1" applyFont="1" applyFill="1" applyBorder="1"/>
    <xf numFmtId="37" fontId="100" fillId="20" borderId="0" xfId="85" applyNumberFormat="1" applyFont="1" applyFill="1" applyBorder="1"/>
    <xf numFmtId="37" fontId="100" fillId="20" borderId="26" xfId="85" applyNumberFormat="1" applyFont="1" applyFill="1" applyBorder="1"/>
    <xf numFmtId="37" fontId="7" fillId="0" borderId="30" xfId="85" applyNumberFormat="1" applyFont="1" applyFill="1" applyBorder="1"/>
    <xf numFmtId="165" fontId="101" fillId="20" borderId="25" xfId="96" applyNumberFormat="1" applyFont="1" applyFill="1" applyBorder="1"/>
    <xf numFmtId="37" fontId="7" fillId="16" borderId="27" xfId="0" applyNumberFormat="1" applyFont="1" applyFill="1" applyBorder="1"/>
    <xf numFmtId="9" fontId="100" fillId="20" borderId="25" xfId="96" applyFont="1" applyFill="1" applyBorder="1"/>
    <xf numFmtId="9" fontId="100" fillId="20" borderId="0" xfId="96" applyFont="1" applyFill="1" applyBorder="1"/>
    <xf numFmtId="5" fontId="100" fillId="20" borderId="25" xfId="0" applyNumberFormat="1" applyFont="1" applyFill="1" applyBorder="1"/>
    <xf numFmtId="5" fontId="100" fillId="20" borderId="0" xfId="0" applyNumberFormat="1" applyFont="1" applyFill="1" applyBorder="1"/>
    <xf numFmtId="37" fontId="17" fillId="16" borderId="25" xfId="96" applyNumberFormat="1" applyFont="1" applyFill="1" applyBorder="1"/>
    <xf numFmtId="37" fontId="14" fillId="0" borderId="25" xfId="0" applyNumberFormat="1" applyFont="1" applyFill="1" applyBorder="1"/>
    <xf numFmtId="37" fontId="14" fillId="0" borderId="0" xfId="0" applyNumberFormat="1" applyFont="1" applyFill="1" applyBorder="1"/>
    <xf numFmtId="37" fontId="14" fillId="0" borderId="26" xfId="0" applyNumberFormat="1" applyFont="1" applyFill="1" applyBorder="1"/>
    <xf numFmtId="164" fontId="17" fillId="0" borderId="25" xfId="0" applyNumberFormat="1" applyFont="1" applyBorder="1"/>
    <xf numFmtId="164" fontId="17" fillId="0" borderId="0" xfId="0" applyNumberFormat="1" applyFont="1" applyBorder="1"/>
    <xf numFmtId="164" fontId="7" fillId="0" borderId="25" xfId="0" applyNumberFormat="1" applyFont="1" applyBorder="1"/>
    <xf numFmtId="164" fontId="7" fillId="0" borderId="0" xfId="0" applyNumberFormat="1" applyFont="1" applyBorder="1"/>
    <xf numFmtId="164" fontId="14" fillId="16" borderId="25" xfId="96" applyNumberFormat="1" applyFont="1" applyFill="1" applyBorder="1"/>
    <xf numFmtId="164" fontId="14" fillId="0" borderId="25" xfId="96" applyNumberFormat="1" applyFont="1" applyFill="1" applyBorder="1"/>
    <xf numFmtId="9" fontId="14" fillId="0" borderId="0" xfId="96" applyFont="1" applyFill="1" applyBorder="1"/>
    <xf numFmtId="9" fontId="14" fillId="0" borderId="26" xfId="96" applyFont="1" applyFill="1" applyBorder="1"/>
    <xf numFmtId="167" fontId="100" fillId="20" borderId="25" xfId="0" applyNumberFormat="1" applyFont="1" applyFill="1" applyBorder="1"/>
    <xf numFmtId="167" fontId="100" fillId="20" borderId="0" xfId="0" applyNumberFormat="1" applyFont="1" applyFill="1" applyBorder="1"/>
    <xf numFmtId="9" fontId="14" fillId="16" borderId="25" xfId="96" applyFont="1" applyFill="1" applyBorder="1"/>
    <xf numFmtId="9" fontId="14" fillId="0" borderId="25" xfId="96" applyFont="1" applyFill="1" applyBorder="1"/>
    <xf numFmtId="0" fontId="27" fillId="23" borderId="0" xfId="0" applyFont="1" applyFill="1" applyBorder="1" applyAlignment="1">
      <alignment horizontal="centerContinuous"/>
    </xf>
    <xf numFmtId="0" fontId="27" fillId="23" borderId="20" xfId="0" applyFont="1" applyFill="1" applyBorder="1" applyAlignment="1">
      <alignment horizontal="centerContinuous"/>
    </xf>
    <xf numFmtId="0" fontId="27" fillId="23" borderId="25" xfId="0" applyFont="1" applyFill="1" applyBorder="1" applyAlignment="1">
      <alignment horizontal="centerContinuous"/>
    </xf>
    <xf numFmtId="0" fontId="27" fillId="23" borderId="26" xfId="0" applyFont="1" applyFill="1" applyBorder="1" applyAlignment="1">
      <alignment horizontal="centerContinuous"/>
    </xf>
    <xf numFmtId="164" fontId="7" fillId="16" borderId="25" xfId="65" applyNumberFormat="1" applyFont="1" applyFill="1" applyBorder="1" applyAlignment="1">
      <alignment horizontal="center"/>
    </xf>
    <xf numFmtId="164" fontId="7" fillId="16" borderId="26" xfId="65" applyNumberFormat="1" applyFont="1" applyFill="1" applyBorder="1" applyAlignment="1">
      <alignment horizontal="center"/>
    </xf>
    <xf numFmtId="164" fontId="14" fillId="16" borderId="25" xfId="65" applyNumberFormat="1" applyFont="1" applyFill="1" applyBorder="1" applyAlignment="1">
      <alignment horizontal="center"/>
    </xf>
    <xf numFmtId="164" fontId="14" fillId="16" borderId="26" xfId="65" applyNumberFormat="1" applyFont="1" applyFill="1" applyBorder="1" applyAlignment="1">
      <alignment horizontal="center"/>
    </xf>
    <xf numFmtId="164" fontId="101" fillId="16" borderId="25" xfId="0" applyNumberFormat="1" applyFont="1" applyFill="1" applyBorder="1"/>
    <xf numFmtId="164" fontId="101" fillId="16" borderId="0" xfId="0" applyNumberFormat="1" applyFont="1" applyFill="1" applyBorder="1"/>
    <xf numFmtId="164" fontId="101" fillId="16" borderId="26" xfId="0" applyNumberFormat="1" applyFont="1" applyFill="1" applyBorder="1"/>
    <xf numFmtId="37" fontId="7" fillId="16" borderId="25" xfId="65" applyNumberFormat="1" applyFont="1" applyFill="1" applyBorder="1"/>
    <xf numFmtId="37" fontId="7" fillId="16" borderId="26" xfId="65" applyNumberFormat="1" applyFont="1" applyFill="1" applyBorder="1"/>
    <xf numFmtId="165" fontId="7" fillId="16" borderId="25" xfId="65" applyNumberFormat="1" applyFont="1" applyFill="1" applyBorder="1"/>
    <xf numFmtId="165" fontId="7" fillId="16" borderId="26" xfId="65" applyNumberFormat="1" applyFont="1" applyFill="1" applyBorder="1"/>
    <xf numFmtId="37" fontId="7" fillId="16" borderId="25" xfId="65" applyNumberFormat="1" applyFont="1" applyFill="1" applyBorder="1" applyAlignment="1">
      <alignment horizontal="right"/>
    </xf>
    <xf numFmtId="37" fontId="7" fillId="16" borderId="26" xfId="65" applyNumberFormat="1" applyFont="1" applyFill="1" applyBorder="1" applyAlignment="1">
      <alignment horizontal="right"/>
    </xf>
    <xf numFmtId="9" fontId="39" fillId="16" borderId="25" xfId="96" applyFont="1" applyFill="1" applyBorder="1"/>
    <xf numFmtId="9" fontId="39" fillId="16" borderId="26" xfId="96" applyFont="1" applyFill="1" applyBorder="1"/>
    <xf numFmtId="37" fontId="100" fillId="16" borderId="25" xfId="65" applyNumberFormat="1" applyFont="1" applyFill="1" applyBorder="1"/>
    <xf numFmtId="37" fontId="100" fillId="16" borderId="26" xfId="65" applyNumberFormat="1" applyFont="1" applyFill="1" applyBorder="1"/>
    <xf numFmtId="165" fontId="18" fillId="16" borderId="25" xfId="65" applyNumberFormat="1" applyFont="1" applyFill="1" applyBorder="1" applyAlignment="1"/>
    <xf numFmtId="165" fontId="18" fillId="16" borderId="26" xfId="65" applyNumberFormat="1" applyFont="1" applyFill="1" applyBorder="1" applyAlignment="1"/>
    <xf numFmtId="37" fontId="37" fillId="16" borderId="25" xfId="96" applyNumberFormat="1" applyFont="1" applyFill="1" applyBorder="1"/>
    <xf numFmtId="164" fontId="36" fillId="16" borderId="23" xfId="65" applyNumberFormat="1" applyFont="1" applyFill="1" applyBorder="1"/>
    <xf numFmtId="164" fontId="14" fillId="16" borderId="24" xfId="65" applyNumberFormat="1" applyFont="1" applyFill="1" applyBorder="1"/>
    <xf numFmtId="164" fontId="100" fillId="16" borderId="31" xfId="65" applyNumberFormat="1" applyFont="1" applyFill="1" applyBorder="1" applyAlignment="1">
      <alignment horizontal="center"/>
    </xf>
    <xf numFmtId="164" fontId="100" fillId="16" borderId="32" xfId="65" applyNumberFormat="1" applyFont="1" applyFill="1" applyBorder="1" applyAlignment="1">
      <alignment horizontal="center"/>
    </xf>
    <xf numFmtId="164" fontId="20" fillId="16" borderId="25" xfId="65" applyNumberFormat="1" applyFont="1" applyFill="1" applyBorder="1" applyAlignment="1">
      <alignment horizontal="center"/>
    </xf>
    <xf numFmtId="164" fontId="100" fillId="16" borderId="25" xfId="0" applyNumberFormat="1" applyFont="1" applyFill="1" applyBorder="1"/>
    <xf numFmtId="164" fontId="100" fillId="16" borderId="25" xfId="65" applyNumberFormat="1" applyFont="1" applyFill="1" applyBorder="1" applyAlignment="1">
      <alignment horizontal="center"/>
    </xf>
    <xf numFmtId="164" fontId="100" fillId="16" borderId="26" xfId="0" applyNumberFormat="1" applyFont="1" applyFill="1" applyBorder="1"/>
    <xf numFmtId="164" fontId="20" fillId="16" borderId="25" xfId="65" applyNumberFormat="1" applyFont="1" applyFill="1" applyBorder="1"/>
    <xf numFmtId="164" fontId="14" fillId="16" borderId="26" xfId="65" applyNumberFormat="1" applyFont="1" applyFill="1" applyBorder="1"/>
    <xf numFmtId="164" fontId="100" fillId="16" borderId="26" xfId="65" applyNumberFormat="1" applyFont="1" applyFill="1" applyBorder="1" applyAlignment="1">
      <alignment horizontal="center"/>
    </xf>
    <xf numFmtId="9" fontId="18" fillId="16" borderId="25" xfId="0" applyNumberFormat="1" applyFont="1" applyFill="1" applyBorder="1"/>
    <xf numFmtId="9" fontId="18" fillId="16" borderId="26" xfId="0" applyNumberFormat="1" applyFont="1" applyFill="1" applyBorder="1"/>
    <xf numFmtId="9" fontId="7" fillId="16" borderId="31" xfId="0" applyNumberFormat="1" applyFont="1" applyFill="1" applyBorder="1"/>
    <xf numFmtId="9" fontId="7" fillId="16" borderId="32" xfId="0" applyNumberFormat="1" applyFont="1" applyFill="1" applyBorder="1"/>
    <xf numFmtId="164" fontId="100" fillId="16" borderId="25" xfId="65" applyNumberFormat="1" applyFont="1" applyFill="1" applyBorder="1"/>
    <xf numFmtId="164" fontId="100" fillId="16" borderId="26" xfId="65" applyNumberFormat="1" applyFont="1" applyFill="1" applyBorder="1"/>
    <xf numFmtId="7" fontId="17" fillId="16" borderId="33" xfId="0" applyNumberFormat="1" applyFont="1" applyFill="1" applyBorder="1"/>
    <xf numFmtId="7" fontId="17" fillId="16" borderId="34" xfId="0" applyNumberFormat="1" applyFont="1" applyFill="1" applyBorder="1"/>
    <xf numFmtId="166" fontId="100" fillId="16" borderId="25" xfId="65" applyNumberFormat="1" applyFont="1" applyFill="1" applyBorder="1" applyAlignment="1">
      <alignment horizontal="right"/>
    </xf>
    <xf numFmtId="166" fontId="100" fillId="16" borderId="26" xfId="65" applyNumberFormat="1" applyFont="1" applyFill="1" applyBorder="1" applyAlignment="1">
      <alignment horizontal="right"/>
    </xf>
    <xf numFmtId="9" fontId="102" fillId="16" borderId="25" xfId="96" applyFont="1" applyFill="1" applyBorder="1"/>
    <xf numFmtId="9" fontId="102" fillId="16" borderId="26" xfId="96" applyFont="1" applyFill="1" applyBorder="1"/>
    <xf numFmtId="164" fontId="14" fillId="16" borderId="25" xfId="0" applyNumberFormat="1" applyFont="1" applyFill="1" applyBorder="1"/>
    <xf numFmtId="164" fontId="14" fillId="16" borderId="26" xfId="0" applyNumberFormat="1" applyFont="1" applyFill="1" applyBorder="1"/>
    <xf numFmtId="164" fontId="14" fillId="16" borderId="35" xfId="65" applyNumberFormat="1" applyFont="1" applyFill="1" applyBorder="1" applyAlignment="1">
      <alignment vertical="justify"/>
    </xf>
    <xf numFmtId="164" fontId="14" fillId="16" borderId="36" xfId="65" applyNumberFormat="1" applyFont="1" applyFill="1" applyBorder="1" applyAlignment="1">
      <alignment vertical="justify"/>
    </xf>
    <xf numFmtId="164" fontId="17" fillId="16" borderId="25" xfId="65" applyNumberFormat="1" applyFont="1" applyFill="1" applyBorder="1" applyAlignment="1">
      <alignment horizontal="center"/>
    </xf>
    <xf numFmtId="164" fontId="17" fillId="16" borderId="26" xfId="65" applyNumberFormat="1" applyFont="1" applyFill="1" applyBorder="1" applyAlignment="1">
      <alignment horizontal="center"/>
    </xf>
    <xf numFmtId="164" fontId="17" fillId="16" borderId="25" xfId="65" applyNumberFormat="1" applyFont="1" applyFill="1" applyBorder="1"/>
    <xf numFmtId="164" fontId="17" fillId="16" borderId="26" xfId="65" applyNumberFormat="1" applyFont="1" applyFill="1" applyBorder="1"/>
    <xf numFmtId="164" fontId="36" fillId="16" borderId="31" xfId="65" applyNumberFormat="1" applyFont="1" applyFill="1" applyBorder="1"/>
    <xf numFmtId="164" fontId="36" fillId="16" borderId="32" xfId="65" applyNumberFormat="1" applyFont="1" applyFill="1" applyBorder="1"/>
    <xf numFmtId="164" fontId="100" fillId="16" borderId="27" xfId="65" applyNumberFormat="1" applyFont="1" applyFill="1" applyBorder="1"/>
    <xf numFmtId="164" fontId="100" fillId="16" borderId="28" xfId="65" applyNumberFormat="1" applyFont="1" applyFill="1" applyBorder="1"/>
    <xf numFmtId="164" fontId="36" fillId="16" borderId="35" xfId="65" applyNumberFormat="1" applyFont="1" applyFill="1" applyBorder="1"/>
    <xf numFmtId="164" fontId="36" fillId="16" borderId="36" xfId="65" applyNumberFormat="1" applyFont="1" applyFill="1" applyBorder="1"/>
    <xf numFmtId="164" fontId="37" fillId="16" borderId="25" xfId="96" applyNumberFormat="1" applyFont="1" applyFill="1" applyBorder="1"/>
    <xf numFmtId="164" fontId="37" fillId="16" borderId="26" xfId="96" applyNumberFormat="1" applyFont="1" applyFill="1" applyBorder="1"/>
    <xf numFmtId="164" fontId="36" fillId="16" borderId="25" xfId="96" applyNumberFormat="1" applyFont="1" applyFill="1" applyBorder="1"/>
    <xf numFmtId="164" fontId="36" fillId="16" borderId="26" xfId="96" applyNumberFormat="1" applyFont="1" applyFill="1" applyBorder="1"/>
    <xf numFmtId="177" fontId="7" fillId="16" borderId="25" xfId="96" applyNumberFormat="1" applyFont="1" applyFill="1" applyBorder="1"/>
    <xf numFmtId="177" fontId="7" fillId="16" borderId="26" xfId="96" applyNumberFormat="1" applyFont="1" applyFill="1" applyBorder="1"/>
    <xf numFmtId="9" fontId="36" fillId="16" borderId="25" xfId="96" applyFont="1" applyFill="1" applyBorder="1"/>
    <xf numFmtId="9" fontId="36" fillId="16" borderId="26" xfId="96" applyFont="1" applyFill="1" applyBorder="1"/>
    <xf numFmtId="164" fontId="14" fillId="16" borderId="26" xfId="96" applyNumberFormat="1" applyFont="1" applyFill="1" applyBorder="1"/>
    <xf numFmtId="37" fontId="17" fillId="16" borderId="25" xfId="65" applyNumberFormat="1" applyFont="1" applyFill="1" applyBorder="1"/>
    <xf numFmtId="37" fontId="17" fillId="16" borderId="26" xfId="65" applyNumberFormat="1" applyFont="1" applyFill="1" applyBorder="1"/>
    <xf numFmtId="7" fontId="7" fillId="16" borderId="25" xfId="65" applyNumberFormat="1" applyFont="1" applyFill="1" applyBorder="1"/>
    <xf numFmtId="7" fontId="7" fillId="16" borderId="26" xfId="65" applyNumberFormat="1" applyFont="1" applyFill="1" applyBorder="1"/>
    <xf numFmtId="166" fontId="7" fillId="16" borderId="25" xfId="0" applyNumberFormat="1" applyFont="1" applyFill="1" applyBorder="1"/>
    <xf numFmtId="166" fontId="7" fillId="16" borderId="26" xfId="0" applyNumberFormat="1" applyFont="1" applyFill="1" applyBorder="1"/>
    <xf numFmtId="37" fontId="14" fillId="16" borderId="25" xfId="65" applyNumberFormat="1" applyFont="1" applyFill="1" applyBorder="1"/>
    <xf numFmtId="37" fontId="37" fillId="16" borderId="26" xfId="96" applyNumberFormat="1" applyFont="1" applyFill="1" applyBorder="1"/>
    <xf numFmtId="164" fontId="36" fillId="16" borderId="24" xfId="65" applyNumberFormat="1" applyFont="1" applyFill="1" applyBorder="1"/>
    <xf numFmtId="164" fontId="20" fillId="16" borderId="26" xfId="65" applyNumberFormat="1" applyFont="1" applyFill="1" applyBorder="1" applyAlignment="1">
      <alignment horizontal="center"/>
    </xf>
    <xf numFmtId="164" fontId="20" fillId="16" borderId="26" xfId="65" applyNumberFormat="1" applyFont="1" applyFill="1" applyBorder="1"/>
    <xf numFmtId="0" fontId="49" fillId="16" borderId="26" xfId="0" applyFont="1" applyFill="1" applyBorder="1"/>
    <xf numFmtId="7" fontId="100" fillId="16" borderId="25" xfId="0" applyNumberFormat="1" applyFont="1" applyFill="1" applyBorder="1"/>
    <xf numFmtId="7" fontId="100" fillId="16" borderId="26" xfId="0" applyNumberFormat="1" applyFont="1" applyFill="1" applyBorder="1"/>
    <xf numFmtId="166" fontId="7" fillId="16" borderId="25" xfId="65" applyNumberFormat="1" applyFont="1" applyFill="1" applyBorder="1" applyAlignment="1">
      <alignment horizontal="right"/>
    </xf>
    <xf numFmtId="164" fontId="14" fillId="16" borderId="25" xfId="65" applyNumberFormat="1" applyFont="1" applyFill="1" applyBorder="1"/>
    <xf numFmtId="180" fontId="17" fillId="16" borderId="26" xfId="0" applyNumberFormat="1" applyFont="1" applyFill="1" applyBorder="1"/>
    <xf numFmtId="164" fontId="7" fillId="0" borderId="26" xfId="65" applyNumberFormat="1" applyFont="1" applyFill="1" applyBorder="1" applyAlignment="1">
      <alignment horizontal="center"/>
    </xf>
    <xf numFmtId="164" fontId="14" fillId="0" borderId="26" xfId="65" applyNumberFormat="1" applyFont="1" applyFill="1" applyBorder="1" applyAlignment="1">
      <alignment horizontal="center"/>
    </xf>
    <xf numFmtId="164" fontId="101" fillId="0" borderId="26" xfId="0" applyNumberFormat="1" applyFont="1" applyFill="1" applyBorder="1"/>
    <xf numFmtId="37" fontId="7" fillId="0" borderId="26" xfId="65" applyNumberFormat="1" applyFont="1" applyFill="1" applyBorder="1"/>
    <xf numFmtId="165" fontId="7" fillId="0" borderId="26" xfId="65" applyNumberFormat="1" applyFont="1" applyFill="1" applyBorder="1"/>
    <xf numFmtId="164" fontId="36" fillId="0" borderId="26" xfId="65" applyNumberFormat="1" applyFont="1" applyFill="1" applyBorder="1"/>
    <xf numFmtId="37" fontId="7" fillId="0" borderId="26" xfId="65" applyNumberFormat="1" applyFont="1" applyFill="1" applyBorder="1" applyAlignment="1">
      <alignment horizontal="right"/>
    </xf>
    <xf numFmtId="9" fontId="39" fillId="0" borderId="26" xfId="96" applyFont="1" applyFill="1" applyBorder="1"/>
    <xf numFmtId="37" fontId="100" fillId="0" borderId="26" xfId="65" applyNumberFormat="1" applyFont="1" applyFill="1" applyBorder="1"/>
    <xf numFmtId="37" fontId="37" fillId="0" borderId="26" xfId="96" applyNumberFormat="1" applyFont="1" applyFill="1" applyBorder="1"/>
    <xf numFmtId="43" fontId="36" fillId="0" borderId="24" xfId="65" applyFont="1" applyFill="1" applyBorder="1"/>
    <xf numFmtId="164" fontId="20" fillId="0" borderId="26" xfId="65" applyNumberFormat="1" applyFont="1" applyFill="1" applyBorder="1" applyAlignment="1">
      <alignment horizontal="center"/>
    </xf>
    <xf numFmtId="164" fontId="100" fillId="0" borderId="26" xfId="0" applyNumberFormat="1" applyFont="1" applyFill="1" applyBorder="1"/>
    <xf numFmtId="164" fontId="20" fillId="0" borderId="26" xfId="65" applyNumberFormat="1" applyFont="1" applyFill="1" applyBorder="1"/>
    <xf numFmtId="164" fontId="100" fillId="0" borderId="26" xfId="65" applyNumberFormat="1" applyFont="1" applyFill="1" applyBorder="1" applyAlignment="1">
      <alignment horizontal="center"/>
    </xf>
    <xf numFmtId="9" fontId="102" fillId="0" borderId="26" xfId="0" applyNumberFormat="1" applyFont="1" applyFill="1" applyBorder="1"/>
    <xf numFmtId="0" fontId="49" fillId="16" borderId="25" xfId="0" applyFont="1" applyFill="1" applyBorder="1"/>
    <xf numFmtId="164" fontId="100" fillId="0" borderId="26" xfId="65" applyNumberFormat="1" applyFont="1" applyFill="1" applyBorder="1"/>
    <xf numFmtId="7" fontId="17" fillId="0" borderId="34" xfId="0" applyNumberFormat="1" applyFont="1" applyFill="1" applyBorder="1"/>
    <xf numFmtId="166" fontId="100" fillId="0" borderId="26" xfId="65" applyNumberFormat="1" applyFont="1" applyFill="1" applyBorder="1" applyAlignment="1">
      <alignment horizontal="right"/>
    </xf>
    <xf numFmtId="164" fontId="14" fillId="0" borderId="26" xfId="0" applyNumberFormat="1" applyFont="1" applyFill="1" applyBorder="1"/>
    <xf numFmtId="164" fontId="14" fillId="0" borderId="36" xfId="65" applyNumberFormat="1" applyFont="1" applyFill="1" applyBorder="1" applyAlignment="1">
      <alignment vertical="justify"/>
    </xf>
    <xf numFmtId="0" fontId="20" fillId="0" borderId="26" xfId="0" applyFont="1" applyFill="1" applyBorder="1"/>
    <xf numFmtId="164" fontId="17" fillId="0" borderId="26" xfId="65" applyNumberFormat="1" applyFont="1" applyFill="1" applyBorder="1" applyAlignment="1">
      <alignment horizontal="center"/>
    </xf>
    <xf numFmtId="164" fontId="17" fillId="0" borderId="26" xfId="65" applyNumberFormat="1" applyFont="1" applyFill="1" applyBorder="1"/>
    <xf numFmtId="164" fontId="36" fillId="0" borderId="32" xfId="65" applyNumberFormat="1" applyFont="1" applyFill="1" applyBorder="1"/>
    <xf numFmtId="164" fontId="100" fillId="0" borderId="28" xfId="65" applyNumberFormat="1" applyFont="1" applyFill="1" applyBorder="1"/>
    <xf numFmtId="164" fontId="36" fillId="0" borderId="36" xfId="65" applyNumberFormat="1" applyFont="1" applyFill="1" applyBorder="1"/>
    <xf numFmtId="164" fontId="37" fillId="0" borderId="26" xfId="96" applyNumberFormat="1" applyFont="1" applyFill="1" applyBorder="1"/>
    <xf numFmtId="164" fontId="7" fillId="0" borderId="26" xfId="96" applyNumberFormat="1" applyFont="1" applyFill="1" applyBorder="1"/>
    <xf numFmtId="164" fontId="36" fillId="0" borderId="26" xfId="96" applyNumberFormat="1" applyFont="1" applyFill="1" applyBorder="1"/>
    <xf numFmtId="177" fontId="7" fillId="0" borderId="26" xfId="96" applyNumberFormat="1" applyFont="1" applyFill="1" applyBorder="1"/>
    <xf numFmtId="9" fontId="36" fillId="0" borderId="26" xfId="96" applyFont="1" applyFill="1" applyBorder="1"/>
    <xf numFmtId="164" fontId="14" fillId="0" borderId="26" xfId="96" applyNumberFormat="1" applyFont="1" applyFill="1" applyBorder="1"/>
    <xf numFmtId="37" fontId="17" fillId="0" borderId="26" xfId="65" applyNumberFormat="1" applyFont="1" applyFill="1" applyBorder="1"/>
    <xf numFmtId="7" fontId="7" fillId="0" borderId="26" xfId="65" applyNumberFormat="1" applyFont="1" applyFill="1" applyBorder="1"/>
    <xf numFmtId="164" fontId="101" fillId="0" borderId="0" xfId="0" applyNumberFormat="1" applyFont="1" applyFill="1" applyBorder="1"/>
    <xf numFmtId="39" fontId="37" fillId="16" borderId="25" xfId="96" applyNumberFormat="1" applyFont="1" applyFill="1" applyBorder="1"/>
    <xf numFmtId="164" fontId="100" fillId="0" borderId="25" xfId="0" applyNumberFormat="1" applyFont="1" applyFill="1" applyBorder="1"/>
    <xf numFmtId="164" fontId="100" fillId="0" borderId="25" xfId="65" applyNumberFormat="1" applyFont="1" applyFill="1" applyBorder="1" applyAlignment="1">
      <alignment horizontal="center"/>
    </xf>
    <xf numFmtId="165" fontId="14" fillId="16" borderId="25" xfId="96" applyNumberFormat="1" applyFont="1" applyFill="1" applyBorder="1"/>
    <xf numFmtId="180" fontId="17" fillId="16" borderId="25" xfId="0" applyNumberFormat="1" applyFont="1" applyFill="1" applyBorder="1"/>
    <xf numFmtId="164" fontId="7" fillId="0" borderId="25" xfId="65" applyNumberFormat="1" applyFont="1" applyFill="1" applyBorder="1" applyAlignment="1">
      <alignment horizontal="center"/>
    </xf>
    <xf numFmtId="9" fontId="100" fillId="16" borderId="32" xfId="0" applyNumberFormat="1" applyFont="1" applyFill="1" applyBorder="1"/>
    <xf numFmtId="7" fontId="100" fillId="0" borderId="26" xfId="0" applyNumberFormat="1" applyFont="1" applyFill="1" applyBorder="1"/>
    <xf numFmtId="166" fontId="100" fillId="0" borderId="25" xfId="65" applyNumberFormat="1" applyFont="1" applyFill="1" applyBorder="1" applyAlignment="1">
      <alignment horizontal="right"/>
    </xf>
    <xf numFmtId="164" fontId="101" fillId="16" borderId="25" xfId="65" applyNumberFormat="1" applyFont="1" applyFill="1" applyBorder="1"/>
    <xf numFmtId="170" fontId="14" fillId="16" borderId="25" xfId="96" applyNumberFormat="1" applyFont="1" applyFill="1" applyBorder="1"/>
    <xf numFmtId="164" fontId="100" fillId="0" borderId="25" xfId="65" applyNumberFormat="1" applyFont="1" applyFill="1" applyBorder="1"/>
    <xf numFmtId="37" fontId="36" fillId="16" borderId="25" xfId="65" applyNumberFormat="1" applyFont="1" applyFill="1" applyBorder="1"/>
    <xf numFmtId="9" fontId="100" fillId="16" borderId="31" xfId="0" applyNumberFormat="1" applyFont="1" applyFill="1" applyBorder="1"/>
    <xf numFmtId="7" fontId="100" fillId="0" borderId="25" xfId="0" applyNumberFormat="1" applyFont="1" applyFill="1" applyBorder="1"/>
    <xf numFmtId="164" fontId="101" fillId="16" borderId="26" xfId="65" applyNumberFormat="1" applyFont="1" applyFill="1" applyBorder="1"/>
    <xf numFmtId="164" fontId="103" fillId="0" borderId="26" xfId="65" applyNumberFormat="1" applyFont="1" applyFill="1" applyBorder="1" applyAlignment="1">
      <alignment horizontal="center"/>
    </xf>
    <xf numFmtId="164" fontId="100" fillId="0" borderId="32" xfId="65" applyNumberFormat="1" applyFont="1" applyFill="1" applyBorder="1" applyAlignment="1">
      <alignment horizontal="center"/>
    </xf>
    <xf numFmtId="9" fontId="7" fillId="0" borderId="31" xfId="0" applyNumberFormat="1" applyFont="1" applyFill="1" applyBorder="1"/>
    <xf numFmtId="9" fontId="7" fillId="0" borderId="32" xfId="0" applyNumberFormat="1" applyFont="1" applyFill="1" applyBorder="1"/>
    <xf numFmtId="0" fontId="49" fillId="0" borderId="26" xfId="0" applyFont="1" applyFill="1" applyBorder="1"/>
    <xf numFmtId="7" fontId="107" fillId="0" borderId="34" xfId="0" applyNumberFormat="1" applyFont="1" applyFill="1" applyBorder="1"/>
    <xf numFmtId="37" fontId="36" fillId="16" borderId="26" xfId="65" applyNumberFormat="1" applyFont="1" applyFill="1" applyBorder="1"/>
    <xf numFmtId="164" fontId="7" fillId="16" borderId="36" xfId="65" applyNumberFormat="1" applyFont="1" applyFill="1" applyBorder="1" applyAlignment="1">
      <alignment vertical="justify"/>
    </xf>
    <xf numFmtId="165" fontId="102" fillId="16" borderId="26" xfId="65" applyNumberFormat="1" applyFont="1" applyFill="1" applyBorder="1" applyAlignment="1"/>
    <xf numFmtId="9" fontId="102" fillId="16" borderId="26" xfId="0" applyNumberFormat="1" applyFont="1" applyFill="1" applyBorder="1"/>
    <xf numFmtId="166" fontId="7" fillId="16" borderId="26" xfId="65" applyNumberFormat="1" applyFont="1" applyFill="1" applyBorder="1" applyAlignment="1">
      <alignment horizontal="right"/>
    </xf>
    <xf numFmtId="164" fontId="7" fillId="16" borderId="35" xfId="65" applyNumberFormat="1" applyFont="1" applyFill="1" applyBorder="1" applyAlignment="1">
      <alignment vertical="justify"/>
    </xf>
    <xf numFmtId="164" fontId="7" fillId="16" borderId="28" xfId="65" applyNumberFormat="1" applyFont="1" applyFill="1" applyBorder="1"/>
    <xf numFmtId="166" fontId="100" fillId="16" borderId="26" xfId="0" applyNumberFormat="1" applyFont="1" applyFill="1" applyBorder="1"/>
    <xf numFmtId="165" fontId="100" fillId="16" borderId="26" xfId="65" applyNumberFormat="1" applyFont="1" applyFill="1" applyBorder="1"/>
    <xf numFmtId="165" fontId="102" fillId="16" borderId="25" xfId="65" applyNumberFormat="1" applyFont="1" applyFill="1" applyBorder="1" applyAlignment="1"/>
    <xf numFmtId="9" fontId="102" fillId="16" borderId="25" xfId="0" applyNumberFormat="1" applyFont="1" applyFill="1" applyBorder="1"/>
    <xf numFmtId="164" fontId="7" fillId="16" borderId="27" xfId="65" applyNumberFormat="1" applyFont="1" applyFill="1" applyBorder="1"/>
    <xf numFmtId="166" fontId="100" fillId="16" borderId="25" xfId="0" applyNumberFormat="1" applyFont="1" applyFill="1" applyBorder="1"/>
    <xf numFmtId="165" fontId="100" fillId="16" borderId="25" xfId="65" applyNumberFormat="1" applyFont="1" applyFill="1" applyBorder="1"/>
    <xf numFmtId="41" fontId="68" fillId="23" borderId="13" xfId="87" applyNumberFormat="1" applyFont="1" applyFill="1" applyBorder="1" applyAlignment="1">
      <alignment horizontal="right"/>
    </xf>
    <xf numFmtId="41" fontId="68" fillId="23" borderId="0" xfId="87" applyNumberFormat="1" applyFont="1" applyFill="1" applyBorder="1" applyAlignment="1">
      <alignment horizontal="right"/>
    </xf>
    <xf numFmtId="0" fontId="68" fillId="23" borderId="0" xfId="87" applyNumberFormat="1" applyFont="1" applyFill="1" applyBorder="1" applyAlignment="1">
      <alignment horizontal="right"/>
    </xf>
    <xf numFmtId="194" fontId="57" fillId="16" borderId="25" xfId="87" applyNumberFormat="1" applyFont="1" applyFill="1" applyBorder="1"/>
    <xf numFmtId="194" fontId="57" fillId="16" borderId="26" xfId="87" applyNumberFormat="1" applyFont="1" applyFill="1" applyBorder="1"/>
    <xf numFmtId="10" fontId="104" fillId="16" borderId="25" xfId="83" applyNumberFormat="1" applyFont="1" applyFill="1" applyBorder="1"/>
    <xf numFmtId="10" fontId="104" fillId="16" borderId="26" xfId="65" applyNumberFormat="1" applyFont="1" applyFill="1" applyBorder="1"/>
    <xf numFmtId="10" fontId="59" fillId="16" borderId="25" xfId="87" applyNumberFormat="1" applyFont="1" applyFill="1" applyBorder="1"/>
    <xf numFmtId="10" fontId="59" fillId="16" borderId="26" xfId="87" applyNumberFormat="1" applyFont="1" applyFill="1" applyBorder="1"/>
    <xf numFmtId="194" fontId="56" fillId="16" borderId="25" xfId="87" applyNumberFormat="1" applyFont="1" applyFill="1" applyBorder="1"/>
    <xf numFmtId="194" fontId="56" fillId="16" borderId="26" xfId="87" applyNumberFormat="1" applyFont="1" applyFill="1" applyBorder="1"/>
    <xf numFmtId="10" fontId="58" fillId="16" borderId="25" xfId="87" applyNumberFormat="1" applyFont="1" applyFill="1" applyBorder="1"/>
    <xf numFmtId="10" fontId="58" fillId="16" borderId="26" xfId="87" applyNumberFormat="1" applyFont="1" applyFill="1" applyBorder="1"/>
    <xf numFmtId="194" fontId="29" fillId="16" borderId="25" xfId="87" applyNumberFormat="1" applyFont="1" applyFill="1" applyBorder="1"/>
    <xf numFmtId="194" fontId="29" fillId="16" borderId="26" xfId="87" applyNumberFormat="1" applyFont="1" applyFill="1" applyBorder="1"/>
    <xf numFmtId="194" fontId="106" fillId="16" borderId="25" xfId="87" applyNumberFormat="1" applyFont="1" applyFill="1" applyBorder="1"/>
    <xf numFmtId="194" fontId="106" fillId="16" borderId="26" xfId="87" applyNumberFormat="1" applyFont="1" applyFill="1" applyBorder="1"/>
    <xf numFmtId="41" fontId="56" fillId="16" borderId="25" xfId="87" applyNumberFormat="1" applyFont="1" applyFill="1" applyBorder="1"/>
    <xf numFmtId="41" fontId="56" fillId="16" borderId="26" xfId="87" applyNumberFormat="1" applyFont="1" applyFill="1" applyBorder="1"/>
    <xf numFmtId="194" fontId="66" fillId="16" borderId="25" xfId="87" applyNumberFormat="1" applyFont="1" applyFill="1" applyBorder="1"/>
    <xf numFmtId="194" fontId="66" fillId="16" borderId="26" xfId="87" applyNumberFormat="1" applyFont="1" applyFill="1" applyBorder="1"/>
    <xf numFmtId="194" fontId="30" fillId="16" borderId="33" xfId="87" applyNumberFormat="1" applyFont="1" applyFill="1" applyBorder="1"/>
    <xf numFmtId="194" fontId="30" fillId="16" borderId="34" xfId="87" applyNumberFormat="1" applyFont="1" applyFill="1" applyBorder="1"/>
    <xf numFmtId="194" fontId="30" fillId="16" borderId="25" xfId="87" applyNumberFormat="1" applyFont="1" applyFill="1" applyBorder="1"/>
    <xf numFmtId="194" fontId="30" fillId="16" borderId="26" xfId="87" applyNumberFormat="1" applyFont="1" applyFill="1" applyBorder="1"/>
    <xf numFmtId="41" fontId="56" fillId="16" borderId="31" xfId="87" applyNumberFormat="1" applyFont="1" applyFill="1" applyBorder="1"/>
    <xf numFmtId="41" fontId="56" fillId="16" borderId="32" xfId="87" applyNumberFormat="1" applyFont="1" applyFill="1" applyBorder="1"/>
    <xf numFmtId="194" fontId="55" fillId="16" borderId="25" xfId="87" applyNumberFormat="1" applyFont="1" applyFill="1" applyBorder="1"/>
    <xf numFmtId="194" fontId="55" fillId="16" borderId="26" xfId="87" applyNumberFormat="1" applyFont="1" applyFill="1" applyBorder="1"/>
    <xf numFmtId="0" fontId="11" fillId="16" borderId="0" xfId="87" applyFont="1" applyFill="1" applyBorder="1"/>
    <xf numFmtId="0" fontId="11" fillId="16" borderId="26" xfId="87" applyFont="1" applyFill="1" applyBorder="1"/>
    <xf numFmtId="194" fontId="29" fillId="16" borderId="31" xfId="87" applyNumberFormat="1" applyFont="1" applyFill="1" applyBorder="1"/>
    <xf numFmtId="194" fontId="29" fillId="16" borderId="32" xfId="87" applyNumberFormat="1" applyFont="1" applyFill="1" applyBorder="1"/>
    <xf numFmtId="0" fontId="11" fillId="16" borderId="25" xfId="87" applyFont="1" applyFill="1" applyBorder="1"/>
    <xf numFmtId="166" fontId="17" fillId="16" borderId="25" xfId="0" applyNumberFormat="1" applyFont="1" applyFill="1" applyBorder="1" applyAlignment="1"/>
    <xf numFmtId="166" fontId="17" fillId="16" borderId="26" xfId="0" applyNumberFormat="1" applyFont="1" applyFill="1" applyBorder="1" applyAlignment="1"/>
    <xf numFmtId="166" fontId="7" fillId="16" borderId="25" xfId="0" applyNumberFormat="1" applyFont="1" applyFill="1" applyBorder="1" applyAlignment="1"/>
    <xf numFmtId="166" fontId="7" fillId="16" borderId="26" xfId="0" applyNumberFormat="1" applyFont="1" applyFill="1" applyBorder="1" applyAlignment="1"/>
    <xf numFmtId="166" fontId="100" fillId="16" borderId="25" xfId="0" applyNumberFormat="1" applyFont="1" applyFill="1" applyBorder="1" applyAlignment="1"/>
    <xf numFmtId="166" fontId="100" fillId="16" borderId="26" xfId="0" applyNumberFormat="1" applyFont="1" applyFill="1" applyBorder="1" applyAlignment="1"/>
    <xf numFmtId="166" fontId="14" fillId="16" borderId="25" xfId="0" applyNumberFormat="1" applyFont="1" applyFill="1" applyBorder="1" applyAlignment="1"/>
    <xf numFmtId="166" fontId="14" fillId="16" borderId="26" xfId="0" applyNumberFormat="1" applyFont="1" applyFill="1" applyBorder="1" applyAlignment="1"/>
    <xf numFmtId="0" fontId="14" fillId="16" borderId="26" xfId="0" applyFont="1" applyFill="1" applyBorder="1" applyAlignment="1"/>
    <xf numFmtId="166" fontId="14" fillId="16" borderId="26" xfId="0" applyNumberFormat="1" applyFont="1" applyFill="1" applyBorder="1" applyAlignment="1">
      <alignment horizontal="right"/>
    </xf>
    <xf numFmtId="38" fontId="17" fillId="16" borderId="25" xfId="88" applyNumberFormat="1" applyFont="1" applyFill="1" applyBorder="1"/>
    <xf numFmtId="38" fontId="17" fillId="16" borderId="0" xfId="88" applyNumberFormat="1" applyFont="1" applyFill="1" applyBorder="1"/>
    <xf numFmtId="38" fontId="17" fillId="16" borderId="26" xfId="88" applyNumberFormat="1" applyFont="1" applyFill="1" applyBorder="1"/>
    <xf numFmtId="10" fontId="104" fillId="16" borderId="25" xfId="87" applyNumberFormat="1" applyFont="1" applyFill="1" applyBorder="1"/>
    <xf numFmtId="10" fontId="104" fillId="16" borderId="26" xfId="87" applyNumberFormat="1" applyFont="1" applyFill="1" applyBorder="1"/>
    <xf numFmtId="10" fontId="56" fillId="16" borderId="25" xfId="96" applyNumberFormat="1" applyFont="1" applyFill="1" applyBorder="1"/>
    <xf numFmtId="10" fontId="104" fillId="0" borderId="25" xfId="87" applyNumberFormat="1" applyFont="1" applyFill="1" applyBorder="1"/>
    <xf numFmtId="10" fontId="104" fillId="0" borderId="26" xfId="87" applyNumberFormat="1" applyFont="1" applyFill="1" applyBorder="1"/>
    <xf numFmtId="41" fontId="29" fillId="16" borderId="26" xfId="87" applyNumberFormat="1" applyFont="1" applyFill="1" applyBorder="1"/>
    <xf numFmtId="41" fontId="29" fillId="16" borderId="32" xfId="87" applyNumberFormat="1" applyFont="1" applyFill="1" applyBorder="1"/>
    <xf numFmtId="0" fontId="7" fillId="16" borderId="26" xfId="0" applyFont="1" applyFill="1" applyBorder="1" applyAlignment="1"/>
    <xf numFmtId="166" fontId="7" fillId="16" borderId="26" xfId="0" applyNumberFormat="1" applyFont="1" applyFill="1" applyBorder="1" applyAlignment="1">
      <alignment horizontal="right"/>
    </xf>
    <xf numFmtId="202" fontId="58" fillId="16" borderId="26" xfId="87" applyNumberFormat="1" applyFont="1" applyFill="1" applyBorder="1"/>
    <xf numFmtId="41" fontId="29" fillId="16" borderId="25" xfId="87" applyNumberFormat="1" applyFont="1" applyFill="1" applyBorder="1"/>
    <xf numFmtId="194" fontId="29" fillId="20" borderId="25" xfId="87" applyNumberFormat="1" applyFont="1" applyFill="1" applyBorder="1"/>
    <xf numFmtId="41" fontId="29" fillId="16" borderId="31" xfId="87" applyNumberFormat="1" applyFont="1" applyFill="1" applyBorder="1"/>
    <xf numFmtId="194" fontId="29" fillId="0" borderId="25" xfId="87" applyNumberFormat="1" applyFont="1" applyFill="1" applyBorder="1"/>
    <xf numFmtId="194" fontId="29" fillId="20" borderId="26" xfId="87" applyNumberFormat="1" applyFont="1" applyFill="1" applyBorder="1"/>
    <xf numFmtId="0" fontId="67" fillId="21" borderId="0" xfId="91" applyFont="1" applyFill="1"/>
    <xf numFmtId="0" fontId="32" fillId="21" borderId="0" xfId="91" applyFont="1" applyFill="1"/>
    <xf numFmtId="0" fontId="32" fillId="21" borderId="0" xfId="91" applyFont="1" applyFill="1" applyBorder="1"/>
    <xf numFmtId="0" fontId="27" fillId="21" borderId="0" xfId="91" applyFont="1" applyFill="1" applyBorder="1" applyAlignment="1">
      <alignment horizontal="center"/>
    </xf>
    <xf numFmtId="166" fontId="7" fillId="20" borderId="26" xfId="65" applyNumberFormat="1" applyFont="1" applyFill="1" applyBorder="1" applyAlignment="1">
      <alignment horizontal="right"/>
    </xf>
    <xf numFmtId="43" fontId="7" fillId="16" borderId="0" xfId="0" applyNumberFormat="1" applyFont="1" applyFill="1"/>
    <xf numFmtId="37" fontId="36" fillId="20" borderId="0" xfId="65" applyNumberFormat="1" applyFont="1" applyFill="1" applyBorder="1"/>
    <xf numFmtId="37" fontId="100" fillId="0" borderId="26" xfId="85" applyNumberFormat="1" applyFont="1" applyFill="1" applyBorder="1"/>
    <xf numFmtId="37" fontId="100" fillId="0" borderId="29" xfId="85" applyNumberFormat="1" applyFont="1" applyFill="1" applyBorder="1"/>
    <xf numFmtId="37" fontId="7" fillId="20" borderId="26" xfId="0" applyNumberFormat="1" applyFont="1" applyFill="1" applyBorder="1"/>
    <xf numFmtId="194" fontId="29" fillId="0" borderId="26" xfId="87" applyNumberFormat="1" applyFont="1" applyFill="1" applyBorder="1"/>
    <xf numFmtId="37" fontId="17" fillId="20" borderId="25" xfId="0" applyNumberFormat="1" applyFont="1" applyFill="1" applyBorder="1"/>
    <xf numFmtId="164" fontId="100" fillId="20" borderId="25" xfId="65" applyNumberFormat="1" applyFont="1" applyFill="1" applyBorder="1" applyAlignment="1">
      <alignment horizontal="center"/>
    </xf>
    <xf numFmtId="164" fontId="100" fillId="20" borderId="0" xfId="65" applyNumberFormat="1" applyFont="1" applyFill="1" applyBorder="1" applyAlignment="1">
      <alignment horizontal="center"/>
    </xf>
    <xf numFmtId="164" fontId="100" fillId="20" borderId="26" xfId="65" applyNumberFormat="1" applyFont="1" applyFill="1" applyBorder="1" applyAlignment="1">
      <alignment horizontal="center"/>
    </xf>
    <xf numFmtId="7" fontId="14" fillId="16" borderId="13" xfId="0" applyNumberFormat="1" applyFont="1" applyFill="1" applyBorder="1"/>
    <xf numFmtId="9" fontId="36" fillId="16" borderId="23" xfId="96" applyFont="1" applyFill="1" applyBorder="1"/>
    <xf numFmtId="9" fontId="36" fillId="16" borderId="14" xfId="96" applyFont="1" applyFill="1" applyBorder="1"/>
    <xf numFmtId="9" fontId="36" fillId="16" borderId="24" xfId="96" applyFont="1" applyFill="1" applyBorder="1"/>
    <xf numFmtId="164" fontId="44" fillId="25" borderId="0" xfId="65" applyNumberFormat="1" applyFont="1" applyFill="1" applyBorder="1"/>
    <xf numFmtId="0" fontId="14" fillId="16" borderId="0" xfId="0" applyFont="1" applyFill="1" applyAlignment="1">
      <alignment horizontal="left" indent="1"/>
    </xf>
    <xf numFmtId="0" fontId="17" fillId="16" borderId="0" xfId="0" applyFont="1" applyFill="1" applyAlignment="1">
      <alignment horizontal="left" indent="1"/>
    </xf>
    <xf numFmtId="0" fontId="7" fillId="16" borderId="0" xfId="0" applyFont="1" applyFill="1" applyAlignment="1">
      <alignment horizontal="left" indent="1"/>
    </xf>
    <xf numFmtId="37" fontId="100" fillId="25" borderId="0" xfId="96" applyNumberFormat="1" applyFont="1" applyFill="1"/>
    <xf numFmtId="164" fontId="17" fillId="25" borderId="16" xfId="0" applyNumberFormat="1" applyFont="1" applyFill="1" applyBorder="1"/>
    <xf numFmtId="166" fontId="100" fillId="20" borderId="25" xfId="65" applyNumberFormat="1" applyFont="1" applyFill="1" applyBorder="1" applyAlignment="1">
      <alignment horizontal="right"/>
    </xf>
    <xf numFmtId="37" fontId="100" fillId="16" borderId="30" xfId="0" applyNumberFormat="1" applyFont="1" applyFill="1" applyBorder="1"/>
    <xf numFmtId="37" fontId="18" fillId="25" borderId="25" xfId="85" applyNumberFormat="1" applyFont="1" applyFill="1" applyBorder="1"/>
    <xf numFmtId="5" fontId="14" fillId="20" borderId="25" xfId="0" applyNumberFormat="1" applyFont="1" applyFill="1" applyBorder="1"/>
    <xf numFmtId="1" fontId="14" fillId="20" borderId="25" xfId="0" applyNumberFormat="1" applyFont="1" applyFill="1" applyBorder="1"/>
    <xf numFmtId="0" fontId="7" fillId="25" borderId="0" xfId="0" applyFont="1" applyFill="1"/>
    <xf numFmtId="0" fontId="14" fillId="25" borderId="0" xfId="0" applyFont="1" applyFill="1"/>
    <xf numFmtId="164" fontId="101" fillId="0" borderId="25" xfId="0" applyNumberFormat="1" applyFont="1" applyFill="1" applyBorder="1"/>
    <xf numFmtId="37" fontId="101" fillId="25" borderId="0" xfId="96" applyNumberFormat="1" applyFont="1" applyFill="1" applyBorder="1"/>
    <xf numFmtId="37" fontId="101" fillId="25" borderId="26" xfId="96" applyNumberFormat="1" applyFont="1" applyFill="1" applyBorder="1"/>
    <xf numFmtId="0" fontId="27" fillId="21" borderId="0" xfId="86" applyFont="1" applyFill="1" applyBorder="1" applyAlignment="1">
      <alignment horizontal="center" vertical="center"/>
    </xf>
    <xf numFmtId="0" fontId="47" fillId="16" borderId="17" xfId="91" applyFont="1" applyFill="1" applyBorder="1" applyAlignment="1">
      <alignment horizontal="center"/>
    </xf>
    <xf numFmtId="0" fontId="47" fillId="16" borderId="12" xfId="91" applyFont="1" applyFill="1" applyBorder="1" applyAlignment="1">
      <alignment horizontal="center"/>
    </xf>
    <xf numFmtId="0" fontId="15" fillId="16" borderId="12" xfId="91" applyFont="1" applyFill="1" applyBorder="1" applyAlignment="1">
      <alignment horizontal="center"/>
    </xf>
    <xf numFmtId="0" fontId="10" fillId="16" borderId="12" xfId="0" applyFont="1" applyFill="1" applyBorder="1" applyAlignment="1">
      <alignment horizontal="center"/>
    </xf>
    <xf numFmtId="0" fontId="1" fillId="26" borderId="0" xfId="110" applyFont="1" applyFill="1" applyAlignment="1">
      <alignment vertical="top"/>
    </xf>
    <xf numFmtId="0" fontId="1" fillId="26" borderId="0" xfId="108" applyFill="1" applyAlignment="1">
      <alignment vertical="top"/>
    </xf>
    <xf numFmtId="0" fontId="1" fillId="26" borderId="0" xfId="108" applyFill="1"/>
    <xf numFmtId="0" fontId="54" fillId="26" borderId="0" xfId="110" applyFont="1" applyFill="1" applyAlignment="1">
      <alignment horizontal="left" vertical="top"/>
    </xf>
    <xf numFmtId="0" fontId="1" fillId="26" borderId="0" xfId="108" applyFont="1" applyFill="1" applyAlignment="1">
      <alignment vertical="top"/>
    </xf>
    <xf numFmtId="0" fontId="60" fillId="26" borderId="0" xfId="110" applyFont="1" applyFill="1" applyAlignment="1">
      <alignment vertical="top"/>
    </xf>
    <xf numFmtId="0" fontId="0" fillId="26" borderId="0" xfId="0" applyFill="1" applyAlignment="1">
      <alignment vertical="top"/>
    </xf>
    <xf numFmtId="0" fontId="108" fillId="26" borderId="0" xfId="0" applyFont="1" applyFill="1" applyAlignment="1">
      <alignment vertical="top"/>
    </xf>
    <xf numFmtId="0" fontId="117" fillId="26" borderId="0" xfId="0" applyFont="1" applyFill="1" applyAlignment="1">
      <alignment vertical="top"/>
    </xf>
    <xf numFmtId="0" fontId="117" fillId="26" borderId="0" xfId="0" applyFont="1" applyFill="1" applyAlignment="1">
      <alignment vertical="top"/>
    </xf>
    <xf numFmtId="0" fontId="108" fillId="26" borderId="0" xfId="0" applyFont="1" applyFill="1" applyAlignment="1">
      <alignment vertical="top"/>
    </xf>
    <xf numFmtId="0" fontId="0" fillId="26" borderId="0" xfId="0" applyFill="1" applyAlignment="1">
      <alignment vertical="top"/>
    </xf>
    <xf numFmtId="0" fontId="0" fillId="26" borderId="41" xfId="0" applyFill="1" applyBorder="1" applyAlignment="1">
      <alignment vertical="top"/>
    </xf>
    <xf numFmtId="0" fontId="108" fillId="26" borderId="37" xfId="0" applyFont="1" applyFill="1" applyBorder="1" applyAlignment="1">
      <alignment vertical="top"/>
    </xf>
    <xf numFmtId="0" fontId="108" fillId="26" borderId="38" xfId="0" applyFont="1" applyFill="1" applyBorder="1" applyAlignment="1">
      <alignment vertical="top"/>
    </xf>
    <xf numFmtId="0" fontId="108" fillId="26" borderId="39" xfId="0" applyFont="1" applyFill="1" applyBorder="1" applyAlignment="1">
      <alignment vertical="top"/>
    </xf>
    <xf numFmtId="0" fontId="108" fillId="26" borderId="40" xfId="0" applyFont="1" applyFill="1" applyBorder="1" applyAlignment="1">
      <alignment vertical="top"/>
    </xf>
    <xf numFmtId="9" fontId="108" fillId="26" borderId="37" xfId="0" applyNumberFormat="1" applyFont="1" applyFill="1" applyBorder="1" applyAlignment="1">
      <alignment vertical="top"/>
    </xf>
    <xf numFmtId="3" fontId="108" fillId="26" borderId="37" xfId="0" applyNumberFormat="1" applyFont="1" applyFill="1" applyBorder="1" applyAlignment="1">
      <alignment vertical="top"/>
    </xf>
    <xf numFmtId="0" fontId="0" fillId="26" borderId="42" xfId="0" applyFill="1" applyBorder="1" applyAlignment="1">
      <alignment vertical="top"/>
    </xf>
    <xf numFmtId="2" fontId="1" fillId="0" borderId="0" xfId="108" applyNumberFormat="1" applyAlignment="1">
      <alignment horizontal="left"/>
    </xf>
    <xf numFmtId="0" fontId="1" fillId="0" borderId="0" xfId="108" applyNumberFormat="1" applyAlignment="1">
      <alignment horizontal="left"/>
    </xf>
    <xf numFmtId="1" fontId="1" fillId="0" borderId="0" xfId="108" applyNumberFormat="1" applyAlignment="1">
      <alignment horizontal="left"/>
    </xf>
    <xf numFmtId="0" fontId="1" fillId="0" borderId="0" xfId="108" applyFont="1"/>
    <xf numFmtId="210" fontId="1" fillId="0" borderId="0" xfId="108" applyNumberFormat="1" applyAlignment="1">
      <alignment horizontal="left"/>
    </xf>
    <xf numFmtId="49" fontId="1" fillId="0" borderId="0" xfId="108" applyNumberFormat="1"/>
  </cellXfs>
  <cellStyles count="111">
    <cellStyle name="_02-齐齐哈尔_Additional RP PRC GAAP CCIEC " xfId="1"/>
    <cellStyle name="_02-齐齐哈尔_RP -P&amp;L中煤_Additional RP PRC GAAP CCIEC " xfId="2"/>
    <cellStyle name="_03-牡丹江_Additional RP PRC GAAP CCIEC " xfId="3"/>
    <cellStyle name="_03-牡丹江_RP -P&amp;L中煤_Additional RP PRC GAAP CCIEC " xfId="4"/>
    <cellStyle name="_04-佳木斯_Additional RP PRC GAAP CCIEC " xfId="5"/>
    <cellStyle name="_04-佳木斯_RP -P&amp;L中煤_Additional RP PRC GAAP CCIEC " xfId="6"/>
    <cellStyle name="_05-鸡西_Additional RP PRC GAAP CCIEC " xfId="7"/>
    <cellStyle name="_05-鸡西_RP -P&amp;L中煤_Additional RP PRC GAAP CCIEC " xfId="8"/>
    <cellStyle name="_06-鹤岗_Additional RP PRC GAAP CCIEC " xfId="9"/>
    <cellStyle name="_06-鹤岗_RP -P&amp;L中煤_Additional RP PRC GAAP CCIEC " xfId="10"/>
    <cellStyle name="_07-双鸭山_Additional RP PRC GAAP CCIEC " xfId="11"/>
    <cellStyle name="_07-双鸭山_RP -P&amp;L中煤_Additional RP PRC GAAP CCIEC " xfId="12"/>
    <cellStyle name="_08-七台河_Additional RP PRC GAAP CCIEC " xfId="13"/>
    <cellStyle name="_08-七台河_RP -P&amp;L中煤_Additional RP PRC GAAP CCIEC " xfId="14"/>
    <cellStyle name="_09-伊春_Additional RP PRC GAAP CCIEC " xfId="15"/>
    <cellStyle name="_09-伊春_RP -P&amp;L中煤_Additional RP PRC GAAP CCIEC " xfId="16"/>
    <cellStyle name="_10-绥化_Additional RP PRC GAAP CCIEC " xfId="17"/>
    <cellStyle name="_10-绥化_RP -P&amp;L中煤_Additional RP PRC GAAP CCIEC " xfId="18"/>
    <cellStyle name="_11-大兴安岭_Additional RP PRC GAAP CCIEC " xfId="19"/>
    <cellStyle name="_11-大兴安岭_RP -P&amp;L中煤_Additional RP PRC GAAP CCIEC " xfId="20"/>
    <cellStyle name="_12-黑河_Additional RP PRC GAAP CCIEC " xfId="21"/>
    <cellStyle name="_12-黑河_RP -P&amp;L中煤_Additional RP PRC GAAP CCIEC " xfId="22"/>
    <cellStyle name="_BS " xfId="23"/>
    <cellStyle name="_DCF " xfId="24"/>
    <cellStyle name="_SUMMARY " xfId="25"/>
    <cellStyle name="=C:\WINNT35\SYSTEM32\COMMAND.COM" xfId="26"/>
    <cellStyle name="0_Capex &amp; Depreciation " xfId="27"/>
    <cellStyle name="0_OMV EP 2000-2015 Consolidated " xfId="28"/>
    <cellStyle name="0_Valuing BP " xfId="29"/>
    <cellStyle name="20% - Accent1" xfId="30" builtinId="30" customBuiltin="1"/>
    <cellStyle name="20% - Accent2" xfId="31" builtinId="34" customBuiltin="1"/>
    <cellStyle name="20% - Accent3" xfId="32" builtinId="38" customBuiltin="1"/>
    <cellStyle name="20% - Accent4" xfId="33" builtinId="42" customBuiltin="1"/>
    <cellStyle name="20% - Accent5" xfId="34" builtinId="46" customBuiltin="1"/>
    <cellStyle name="20% - Accent6" xfId="35" builtinId="50" customBuiltin="1"/>
    <cellStyle name="40% - Accent1" xfId="36" builtinId="31" customBuiltin="1"/>
    <cellStyle name="40% - Accent2" xfId="37" builtinId="35" customBuiltin="1"/>
    <cellStyle name="40% - Accent3" xfId="38" builtinId="39" customBuiltin="1"/>
    <cellStyle name="40% - Accent4" xfId="39" builtinId="43" customBuiltin="1"/>
    <cellStyle name="40% - Accent5" xfId="40" builtinId="47" customBuiltin="1"/>
    <cellStyle name="40% - Accent6" xfId="41" builtinId="51" customBuiltin="1"/>
    <cellStyle name="60% - Accent1" xfId="42" builtinId="32" customBuiltin="1"/>
    <cellStyle name="60% - Accent2" xfId="43" builtinId="36" customBuiltin="1"/>
    <cellStyle name="60% - Accent3" xfId="44" builtinId="40" customBuiltin="1"/>
    <cellStyle name="60% - Accent4" xfId="45" builtinId="44" customBuiltin="1"/>
    <cellStyle name="60% - Accent5" xfId="46" builtinId="48" customBuiltin="1"/>
    <cellStyle name="60% - Accent6" xfId="47" builtinId="52" customBuiltin="1"/>
    <cellStyle name="Accent1" xfId="48" builtinId="29" customBuiltin="1"/>
    <cellStyle name="Accent2" xfId="49" builtinId="33" customBuiltin="1"/>
    <cellStyle name="Accent3" xfId="50" builtinId="37" customBuiltin="1"/>
    <cellStyle name="Accent4" xfId="51" builtinId="41" customBuiltin="1"/>
    <cellStyle name="Accent5" xfId="52" builtinId="45" customBuiltin="1"/>
    <cellStyle name="Accent6" xfId="53" builtinId="49" customBuiltin="1"/>
    <cellStyle name="ÅëÈ­ [0]_cover " xfId="54"/>
    <cellStyle name="ÅëÈ­_cover " xfId="55"/>
    <cellStyle name="ÄÞ¸¶ [0]_cover " xfId="56"/>
    <cellStyle name="ÄÞ¸¶_cover " xfId="57"/>
    <cellStyle name="Bad" xfId="58" builtinId="27" customBuiltin="1"/>
    <cellStyle name="Border" xfId="59"/>
    <cellStyle name="c_HardInc " xfId="60"/>
    <cellStyle name="C￥AØ_¿μ¾÷CoE² " xfId="61"/>
    <cellStyle name="Ç¥ÁØ_cover " xfId="62"/>
    <cellStyle name="Calculation" xfId="63" builtinId="22" customBuiltin="1"/>
    <cellStyle name="Check Cell" xfId="64" builtinId="23" customBuiltin="1"/>
    <cellStyle name="Comma" xfId="65" builtinId="3"/>
    <cellStyle name="Comma_Vedanta WIP Version4" xfId="66"/>
    <cellStyle name="Currency" xfId="67" builtinId="4"/>
    <cellStyle name="Currency 3" xfId="68"/>
    <cellStyle name="Explanatory Text" xfId="69" builtinId="53" customBuiltin="1"/>
    <cellStyle name="Good" xfId="70" builtinId="26" customBuiltin="1"/>
    <cellStyle name="Heading 1" xfId="71" builtinId="16" customBuiltin="1"/>
    <cellStyle name="Heading 2" xfId="72" builtinId="17" customBuiltin="1"/>
    <cellStyle name="Heading 3" xfId="73" builtinId="18" customBuiltin="1"/>
    <cellStyle name="Heading 4" xfId="74" builtinId="19" customBuiltin="1"/>
    <cellStyle name="High" xfId="75"/>
    <cellStyle name="Hyperlink" xfId="76" builtinId="8"/>
    <cellStyle name="Hyperlink_Copy of NUE.xls-with new mills data" xfId="77"/>
    <cellStyle name="Input" xfId="78" builtinId="20" customBuiltin="1"/>
    <cellStyle name="Italic" xfId="79"/>
    <cellStyle name="Linked Cell" xfId="80" builtinId="24" customBuiltin="1"/>
    <cellStyle name="Neutral" xfId="81" builtinId="28" customBuiltin="1"/>
    <cellStyle name="Normal" xfId="0" builtinId="0"/>
    <cellStyle name="Normal 2" xfId="108"/>
    <cellStyle name="Normal 3" xfId="82"/>
    <cellStyle name="Normal_AK Debt" xfId="83"/>
    <cellStyle name="Normal_B" xfId="84"/>
    <cellStyle name="Normal_Book2" xfId="85"/>
    <cellStyle name="Normal_BTU_Current_Updating" xfId="86"/>
    <cellStyle name="Normal_debt schedule" xfId="87"/>
    <cellStyle name="Normal_DisclaimerSheet Samples" xfId="110"/>
    <cellStyle name="Normal_FD PROFORMA_working_2006_NEW7" xfId="88"/>
    <cellStyle name="Normal_GG_Current_Updating" xfId="89"/>
    <cellStyle name="Normal_Glacier Model v156 (Normal)" xfId="90"/>
    <cellStyle name="Normal_IP" xfId="91"/>
    <cellStyle name="Normal_Vedanta WIP Version4" xfId="92"/>
    <cellStyle name="Note" xfId="93" builtinId="10" customBuiltin="1"/>
    <cellStyle name="Output" xfId="94" builtinId="21" customBuiltin="1"/>
    <cellStyle name="p " xfId="95"/>
    <cellStyle name="Percent" xfId="96" builtinId="5"/>
    <cellStyle name="Percent 3" xfId="97"/>
    <cellStyle name="RRSInstruction" xfId="98"/>
    <cellStyle name="RRSInstruction 2" xfId="109"/>
    <cellStyle name="s_HardInc " xfId="99"/>
    <cellStyle name="s_Valuation " xfId="100"/>
    <cellStyle name="ssp " xfId="101"/>
    <cellStyle name="Title" xfId="102" builtinId="15" customBuiltin="1"/>
    <cellStyle name="Total" xfId="103" builtinId="25" customBuiltin="1"/>
    <cellStyle name="Warning Text" xfId="104" builtinId="11" customBuiltin="1"/>
    <cellStyle name="콤마 [0]_ 2팀층별 " xfId="105"/>
    <cellStyle name="콤마_ 2팀층별 " xfId="106"/>
    <cellStyle name="표준_0N-HANDLING " xfId="107"/>
  </cellStyles>
  <dxfs count="2">
    <dxf>
      <font>
        <b/>
        <i val="0"/>
        <strike/>
        <condense val="0"/>
        <extend val="0"/>
        <color indexed="10"/>
      </font>
      <fill>
        <patternFill>
          <bgColor indexed="52"/>
        </patternFill>
      </fill>
    </dxf>
    <dxf>
      <font>
        <b/>
        <i val="0"/>
        <strike/>
        <condense val="0"/>
        <extend val="0"/>
        <color indexed="10"/>
      </font>
      <fill>
        <patternFill>
          <bgColor indexed="5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125A31"/>
      <rgbColor rgb="002270AB"/>
      <rgbColor rgb="009DC9DC"/>
      <rgbColor rgb="00B2122B"/>
      <rgbColor rgb="00FC7114"/>
      <rgbColor rgb="00F8CD14"/>
      <rgbColor rgb="00003366"/>
      <rgbColor rgb="004091BF"/>
      <rgbColor rgb="00FCAE91"/>
      <rgbColor rgb="002270AB"/>
      <rgbColor rgb="00E3EEDE"/>
      <rgbColor rgb="0069ADCA"/>
      <rgbColor rgb="00C0C0C0"/>
      <rgbColor rgb="00808080"/>
      <rgbColor rgb="000083C3"/>
      <rgbColor rgb="00F6C54C"/>
      <rgbColor rgb="0032C464"/>
      <rgbColor rgb="009DDEED"/>
      <rgbColor rgb="00F37B53"/>
      <rgbColor rgb="00B9F391"/>
      <rgbColor rgb="00FF9B9D"/>
      <rgbColor rgb="00993366"/>
      <rgbColor rgb="000083C3"/>
      <rgbColor rgb="00F6C54C"/>
      <rgbColor rgb="0032C464"/>
      <rgbColor rgb="009DDEED"/>
      <rgbColor rgb="00993366"/>
      <rgbColor rgb="00FF9B9D"/>
      <rgbColor rgb="00F37B53"/>
      <rgbColor rgb="00B9F391"/>
      <rgbColor rgb="00800080"/>
      <rgbColor rgb="00F3EEA1"/>
      <rgbColor rgb="009DC9DC"/>
      <rgbColor rgb="00F7BEBF"/>
      <rgbColor rgb="00EFC1D2"/>
      <rgbColor rgb="00EFC49F"/>
      <rgbColor rgb="00ECD7B2"/>
      <rgbColor rgb="00A6DAC5"/>
      <rgbColor rgb="00C7E5BE"/>
      <rgbColor rgb="00A1D399"/>
      <rgbColor rgb="0041A95C"/>
      <rgbColor rgb="00238B45"/>
      <rgbColor rgb="00238B45"/>
      <rgbColor rgb="001B4694"/>
      <rgbColor rgb="00C6D9E2"/>
      <rgbColor rgb="00969696"/>
      <rgbColor rgb="00FB9A7A"/>
      <rgbColor rgb="0074BE74"/>
      <rgbColor rgb="00EE7F81"/>
      <rgbColor rgb="00F26163"/>
      <rgbColor rgb="00FF0000"/>
      <rgbColor rgb="000000FF"/>
      <rgbColor rgb="00FDCDB8"/>
      <rgbColor rgb="00333333"/>
    </indexed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worksheets/sheet11.xml" Type="http://schemas.openxmlformats.org/officeDocument/2006/relationships/worksheet"/>
<Relationship Id="rId12" Target="worksheets/sheet12.xml" Type="http://schemas.openxmlformats.org/officeDocument/2006/relationships/worksheet"/>
<Relationship Id="rId13" Target="worksheets/sheet13.xml" Type="http://schemas.openxmlformats.org/officeDocument/2006/relationships/worksheet"/>
<Relationship Id="rId14" Target="worksheets/sheet14.xml" Type="http://schemas.openxmlformats.org/officeDocument/2006/relationships/worksheet"/>
<Relationship Id="rId15" Target="theme/theme1.xml" Type="http://schemas.openxmlformats.org/officeDocument/2006/relationships/theme"/>
<Relationship Id="rId16" Target="styles.xml" Type="http://schemas.openxmlformats.org/officeDocument/2006/relationships/styles"/>
<Relationship Id="rId17" Target="sharedStrings.xml" Type="http://schemas.openxmlformats.org/officeDocument/2006/relationships/sharedStrings"/>
<Relationship Id="rId18" Target="calcChain.xml" Type="http://schemas.openxmlformats.org/officeDocument/2006/relationships/calcChain"/>
<Relationship Id="rId19" Target="../customXml/item1.xml" Type="http://schemas.openxmlformats.org/officeDocument/2006/relationships/customXml"/>
<Relationship Id="rId2" Target="worksheets/sheet2.xml" Type="http://schemas.openxmlformats.org/officeDocument/2006/relationships/worksheet"/>
<Relationship Id="rId20" Target="../customXml/item2.xml" Type="http://schemas.openxmlformats.org/officeDocument/2006/relationships/customXml"/>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68151161602458"/>
          <c:y val="2.5861027190332331E-2"/>
          <c:w val="0.85552602461688088"/>
          <c:h val="0.80179017527994922"/>
        </c:manualLayout>
      </c:layout>
      <c:lineChart>
        <c:grouping val="standard"/>
        <c:varyColors val="0"/>
        <c:ser>
          <c:idx val="0"/>
          <c:order val="0"/>
          <c:tx>
            <c:strRef>
              <c:f>'Price Relationships'!$C$1</c:f>
              <c:strCache>
                <c:ptCount val="1"/>
                <c:pt idx="0">
                  <c:v>Sales Realizations</c:v>
                </c:pt>
              </c:strCache>
            </c:strRef>
          </c:tx>
          <c:spPr>
            <a:ln w="12700">
              <a:solidFill>
                <a:schemeClr val="tx2">
                  <a:lumMod val="60000"/>
                  <a:lumOff val="40000"/>
                </a:schemeClr>
              </a:solidFill>
              <a:prstDash val="solid"/>
            </a:ln>
          </c:spPr>
          <c:marker>
            <c:symbol val="diamond"/>
            <c:size val="5"/>
            <c:spPr>
              <a:solidFill>
                <a:schemeClr val="tx2">
                  <a:lumMod val="60000"/>
                  <a:lumOff val="40000"/>
                </a:schemeClr>
              </a:solidFill>
              <a:ln>
                <a:solidFill>
                  <a:schemeClr val="tx2">
                    <a:lumMod val="60000"/>
                    <a:lumOff val="40000"/>
                  </a:schemeClr>
                </a:solidFill>
                <a:prstDash val="solid"/>
              </a:ln>
            </c:spPr>
          </c:marker>
          <c:cat>
            <c:strRef>
              <c:f>'Price Relationships'!$B$45:$B$76</c:f>
              <c:strCache>
                <c:ptCount val="32"/>
                <c:pt idx="0">
                  <c:v>1Q12</c:v>
                </c:pt>
                <c:pt idx="1">
                  <c:v>2Q12</c:v>
                </c:pt>
                <c:pt idx="2">
                  <c:v>3Q12</c:v>
                </c:pt>
                <c:pt idx="3">
                  <c:v>4Q12</c:v>
                </c:pt>
                <c:pt idx="4">
                  <c:v>1Q13</c:v>
                </c:pt>
                <c:pt idx="5">
                  <c:v>2Q13</c:v>
                </c:pt>
                <c:pt idx="6">
                  <c:v>3Q13</c:v>
                </c:pt>
                <c:pt idx="7">
                  <c:v>4Q13</c:v>
                </c:pt>
                <c:pt idx="8">
                  <c:v>1Q14</c:v>
                </c:pt>
                <c:pt idx="9">
                  <c:v>2Q14</c:v>
                </c:pt>
                <c:pt idx="10">
                  <c:v>3Q14</c:v>
                </c:pt>
                <c:pt idx="11">
                  <c:v>4Q14</c:v>
                </c:pt>
                <c:pt idx="12">
                  <c:v>1Q15</c:v>
                </c:pt>
                <c:pt idx="13">
                  <c:v>2Q15</c:v>
                </c:pt>
                <c:pt idx="14">
                  <c:v>3Q15</c:v>
                </c:pt>
                <c:pt idx="15">
                  <c:v>4Q15</c:v>
                </c:pt>
                <c:pt idx="16">
                  <c:v>1Q16</c:v>
                </c:pt>
                <c:pt idx="17">
                  <c:v>2Q16</c:v>
                </c:pt>
                <c:pt idx="18">
                  <c:v>3Q16</c:v>
                </c:pt>
                <c:pt idx="19">
                  <c:v>4Q16</c:v>
                </c:pt>
                <c:pt idx="20">
                  <c:v>1Q17</c:v>
                </c:pt>
                <c:pt idx="21">
                  <c:v>2Q17</c:v>
                </c:pt>
                <c:pt idx="22">
                  <c:v>3Q17</c:v>
                </c:pt>
                <c:pt idx="23">
                  <c:v>4Q17</c:v>
                </c:pt>
                <c:pt idx="24">
                  <c:v>1Q18</c:v>
                </c:pt>
                <c:pt idx="25">
                  <c:v>2Q18</c:v>
                </c:pt>
                <c:pt idx="26">
                  <c:v>3Q18</c:v>
                </c:pt>
                <c:pt idx="27">
                  <c:v>4Q18</c:v>
                </c:pt>
                <c:pt idx="28">
                  <c:v>1Q19</c:v>
                </c:pt>
                <c:pt idx="29">
                  <c:v>2Q19</c:v>
                </c:pt>
                <c:pt idx="30">
                  <c:v>3Q19</c:v>
                </c:pt>
                <c:pt idx="31">
                  <c:v>4Q19</c:v>
                </c:pt>
              </c:strCache>
            </c:strRef>
          </c:cat>
          <c:val>
            <c:numRef>
              <c:f>'Price Relationships'!$C$45:$C$76</c:f>
              <c:numCache>
                <c:formatCode>_(* #,##0_);_(* \(#,##0\);_(* "-"??_);_(@_)</c:formatCode>
                <c:ptCount val="32"/>
                <c:pt idx="0">
                  <c:v>780</c:v>
                </c:pt>
                <c:pt idx="1">
                  <c:v>759</c:v>
                </c:pt>
                <c:pt idx="2">
                  <c:v>707</c:v>
                </c:pt>
                <c:pt idx="3">
                  <c:v>690</c:v>
                </c:pt>
                <c:pt idx="4">
                  <c:v>699</c:v>
                </c:pt>
                <c:pt idx="5">
                  <c:v>676</c:v>
                </c:pt>
                <c:pt idx="6">
                  <c:v>693</c:v>
                </c:pt>
                <c:pt idx="7">
                  <c:v>724</c:v>
                </c:pt>
                <c:pt idx="8">
                  <c:v>744</c:v>
                </c:pt>
                <c:pt idx="9">
                  <c:v>737</c:v>
                </c:pt>
                <c:pt idx="10">
                  <c:v>750</c:v>
                </c:pt>
                <c:pt idx="11">
                  <c:v>712</c:v>
                </c:pt>
                <c:pt idx="12">
                  <c:v>663</c:v>
                </c:pt>
                <c:pt idx="13">
                  <c:v>560</c:v>
                </c:pt>
                <c:pt idx="14">
                  <c:v>552</c:v>
                </c:pt>
                <c:pt idx="15">
                  <c:v>508</c:v>
                </c:pt>
                <c:pt idx="16">
                  <c:v>471</c:v>
                </c:pt>
                <c:pt idx="17">
                  <c:v>550</c:v>
                </c:pt>
                <c:pt idx="18">
                  <c:v>666</c:v>
                </c:pt>
                <c:pt idx="19">
                  <c:v>603</c:v>
                </c:pt>
                <c:pt idx="20">
                  <c:v>661</c:v>
                </c:pt>
                <c:pt idx="21">
                  <c:v>709</c:v>
                </c:pt>
                <c:pt idx="22">
                  <c:v>695</c:v>
                </c:pt>
                <c:pt idx="23">
                  <c:v>691</c:v>
                </c:pt>
                <c:pt idx="24">
                  <c:v>723</c:v>
                </c:pt>
                <c:pt idx="25">
                  <c:v>870.24999999999989</c:v>
                </c:pt>
                <c:pt idx="26">
                  <c:v>907.1875</c:v>
                </c:pt>
                <c:pt idx="27">
                  <c:v>882.71562499999993</c:v>
                </c:pt>
                <c:pt idx="28">
                  <c:v>884.95046875000003</c:v>
                </c:pt>
                <c:pt idx="29">
                  <c:v>864.1326640625</c:v>
                </c:pt>
                <c:pt idx="30">
                  <c:v>849.64643242187492</c:v>
                </c:pt>
                <c:pt idx="31">
                  <c:v>812.17625134765615</c:v>
                </c:pt>
              </c:numCache>
            </c:numRef>
          </c:val>
          <c:smooth val="0"/>
        </c:ser>
        <c:ser>
          <c:idx val="1"/>
          <c:order val="1"/>
          <c:tx>
            <c:strRef>
              <c:f>'Price Relationships'!$R$1</c:f>
              <c:strCache>
                <c:ptCount val="1"/>
                <c:pt idx="0">
                  <c:v>Spot Price</c:v>
                </c:pt>
              </c:strCache>
            </c:strRef>
          </c:tx>
          <c:spPr>
            <a:ln w="12700">
              <a:solidFill>
                <a:schemeClr val="tx2">
                  <a:lumMod val="75000"/>
                </a:schemeClr>
              </a:solidFill>
              <a:prstDash val="solid"/>
            </a:ln>
          </c:spPr>
          <c:marker>
            <c:symbol val="square"/>
            <c:size val="5"/>
            <c:spPr>
              <a:solidFill>
                <a:schemeClr val="tx2">
                  <a:lumMod val="75000"/>
                </a:schemeClr>
              </a:solidFill>
              <a:ln>
                <a:solidFill>
                  <a:schemeClr val="tx2">
                    <a:lumMod val="75000"/>
                  </a:schemeClr>
                </a:solidFill>
                <a:prstDash val="solid"/>
              </a:ln>
            </c:spPr>
          </c:marker>
          <c:cat>
            <c:strRef>
              <c:f>'Price Relationships'!$B$45:$B$76</c:f>
              <c:strCache>
                <c:ptCount val="32"/>
                <c:pt idx="0">
                  <c:v>1Q12</c:v>
                </c:pt>
                <c:pt idx="1">
                  <c:v>2Q12</c:v>
                </c:pt>
                <c:pt idx="2">
                  <c:v>3Q12</c:v>
                </c:pt>
                <c:pt idx="3">
                  <c:v>4Q12</c:v>
                </c:pt>
                <c:pt idx="4">
                  <c:v>1Q13</c:v>
                </c:pt>
                <c:pt idx="5">
                  <c:v>2Q13</c:v>
                </c:pt>
                <c:pt idx="6">
                  <c:v>3Q13</c:v>
                </c:pt>
                <c:pt idx="7">
                  <c:v>4Q13</c:v>
                </c:pt>
                <c:pt idx="8">
                  <c:v>1Q14</c:v>
                </c:pt>
                <c:pt idx="9">
                  <c:v>2Q14</c:v>
                </c:pt>
                <c:pt idx="10">
                  <c:v>3Q14</c:v>
                </c:pt>
                <c:pt idx="11">
                  <c:v>4Q14</c:v>
                </c:pt>
                <c:pt idx="12">
                  <c:v>1Q15</c:v>
                </c:pt>
                <c:pt idx="13">
                  <c:v>2Q15</c:v>
                </c:pt>
                <c:pt idx="14">
                  <c:v>3Q15</c:v>
                </c:pt>
                <c:pt idx="15">
                  <c:v>4Q15</c:v>
                </c:pt>
                <c:pt idx="16">
                  <c:v>1Q16</c:v>
                </c:pt>
                <c:pt idx="17">
                  <c:v>2Q16</c:v>
                </c:pt>
                <c:pt idx="18">
                  <c:v>3Q16</c:v>
                </c:pt>
                <c:pt idx="19">
                  <c:v>4Q16</c:v>
                </c:pt>
                <c:pt idx="20">
                  <c:v>1Q17</c:v>
                </c:pt>
                <c:pt idx="21">
                  <c:v>2Q17</c:v>
                </c:pt>
                <c:pt idx="22">
                  <c:v>3Q17</c:v>
                </c:pt>
                <c:pt idx="23">
                  <c:v>4Q17</c:v>
                </c:pt>
                <c:pt idx="24">
                  <c:v>1Q18</c:v>
                </c:pt>
                <c:pt idx="25">
                  <c:v>2Q18</c:v>
                </c:pt>
                <c:pt idx="26">
                  <c:v>3Q18</c:v>
                </c:pt>
                <c:pt idx="27">
                  <c:v>4Q18</c:v>
                </c:pt>
                <c:pt idx="28">
                  <c:v>1Q19</c:v>
                </c:pt>
                <c:pt idx="29">
                  <c:v>2Q19</c:v>
                </c:pt>
                <c:pt idx="30">
                  <c:v>3Q19</c:v>
                </c:pt>
                <c:pt idx="31">
                  <c:v>4Q19</c:v>
                </c:pt>
              </c:strCache>
            </c:strRef>
          </c:cat>
          <c:val>
            <c:numRef>
              <c:f>'Price Relationships'!$R$45:$R$76</c:f>
              <c:numCache>
                <c:formatCode>_(* #,##0_);_(* \(#,##0\);_(* "-"??_);_(@_)</c:formatCode>
                <c:ptCount val="32"/>
                <c:pt idx="0">
                  <c:v>720.66666666666663</c:v>
                </c:pt>
                <c:pt idx="1">
                  <c:v>660</c:v>
                </c:pt>
                <c:pt idx="2">
                  <c:v>625.66666666666663</c:v>
                </c:pt>
                <c:pt idx="3">
                  <c:v>619.99869456856368</c:v>
                </c:pt>
                <c:pt idx="4">
                  <c:v>616.66666666666663</c:v>
                </c:pt>
                <c:pt idx="5">
                  <c:v>592.33333333333337</c:v>
                </c:pt>
                <c:pt idx="6">
                  <c:v>643.66666666666663</c:v>
                </c:pt>
                <c:pt idx="7">
                  <c:v>658.99708081915003</c:v>
                </c:pt>
                <c:pt idx="8">
                  <c:v>654.66666666666663</c:v>
                </c:pt>
                <c:pt idx="9">
                  <c:v>671</c:v>
                </c:pt>
                <c:pt idx="10">
                  <c:v>667.66666666666663</c:v>
                </c:pt>
                <c:pt idx="11">
                  <c:v>634.33333333333337</c:v>
                </c:pt>
                <c:pt idx="12">
                  <c:v>536.33333333333337</c:v>
                </c:pt>
                <c:pt idx="13">
                  <c:v>453.66666666666669</c:v>
                </c:pt>
                <c:pt idx="14">
                  <c:v>459</c:v>
                </c:pt>
                <c:pt idx="15">
                  <c:v>387</c:v>
                </c:pt>
                <c:pt idx="16">
                  <c:v>398.33333333333331</c:v>
                </c:pt>
                <c:pt idx="17">
                  <c:v>561.66666666666663</c:v>
                </c:pt>
                <c:pt idx="18">
                  <c:v>592</c:v>
                </c:pt>
                <c:pt idx="19">
                  <c:v>521</c:v>
                </c:pt>
                <c:pt idx="20">
                  <c:v>622.66666666666663</c:v>
                </c:pt>
                <c:pt idx="21">
                  <c:v>623.59420289855063</c:v>
                </c:pt>
                <c:pt idx="22">
                  <c:v>621.41847826086962</c:v>
                </c:pt>
                <c:pt idx="23">
                  <c:v>618.09489302967552</c:v>
                </c:pt>
                <c:pt idx="24">
                  <c:v>741.07743412384718</c:v>
                </c:pt>
                <c:pt idx="25">
                  <c:v>885</c:v>
                </c:pt>
                <c:pt idx="26">
                  <c:v>830</c:v>
                </c:pt>
                <c:pt idx="27">
                  <c:v>785</c:v>
                </c:pt>
                <c:pt idx="28">
                  <c:v>800</c:v>
                </c:pt>
                <c:pt idx="29">
                  <c:v>770</c:v>
                </c:pt>
                <c:pt idx="30">
                  <c:v>760</c:v>
                </c:pt>
                <c:pt idx="31">
                  <c:v>715</c:v>
                </c:pt>
              </c:numCache>
            </c:numRef>
          </c:val>
          <c:smooth val="0"/>
        </c:ser>
        <c:dLbls>
          <c:showLegendKey val="0"/>
          <c:showVal val="0"/>
          <c:showCatName val="0"/>
          <c:showSerName val="0"/>
          <c:showPercent val="0"/>
          <c:showBubbleSize val="0"/>
        </c:dLbls>
        <c:marker val="1"/>
        <c:smooth val="0"/>
        <c:axId val="462424704"/>
        <c:axId val="640407808"/>
      </c:lineChart>
      <c:catAx>
        <c:axId val="462424704"/>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a:pPr>
            <a:endParaRPr lang="en-US"/>
          </a:p>
        </c:txPr>
        <c:crossAx val="640407808"/>
        <c:crosses val="autoZero"/>
        <c:auto val="1"/>
        <c:lblAlgn val="ctr"/>
        <c:lblOffset val="100"/>
        <c:tickLblSkip val="2"/>
        <c:tickMarkSkip val="1"/>
        <c:noMultiLvlLbl val="0"/>
      </c:catAx>
      <c:valAx>
        <c:axId val="640407808"/>
        <c:scaling>
          <c:orientation val="minMax"/>
          <c:min val="300"/>
        </c:scaling>
        <c:delete val="0"/>
        <c:axPos val="l"/>
        <c:title>
          <c:tx>
            <c:rich>
              <a:bodyPr/>
              <a:lstStyle/>
              <a:p>
                <a:pPr>
                  <a:defRPr b="1"/>
                </a:pPr>
                <a:r>
                  <a:rPr lang="en-US" b="1"/>
                  <a:t>$/ton</a:t>
                </a:r>
              </a:p>
            </c:rich>
          </c:tx>
          <c:layout>
            <c:manualLayout>
              <c:xMode val="edge"/>
              <c:yMode val="edge"/>
              <c:x val="7.330490258607626E-3"/>
              <c:y val="0.36933602499595758"/>
            </c:manualLayout>
          </c:layout>
          <c:overlay val="0"/>
          <c:spPr>
            <a:noFill/>
            <a:ln w="25400">
              <a:noFill/>
            </a:ln>
          </c:spPr>
        </c:title>
        <c:numFmt formatCode="_(* #,##0_);_(* \(#,##0\);_(* &quot;-&quot;??_);_(@_)" sourceLinked="1"/>
        <c:majorTickMark val="out"/>
        <c:minorTickMark val="none"/>
        <c:tickLblPos val="nextTo"/>
        <c:spPr>
          <a:ln w="3175">
            <a:solidFill>
              <a:srgbClr val="000000"/>
            </a:solidFill>
            <a:prstDash val="solid"/>
          </a:ln>
        </c:spPr>
        <c:txPr>
          <a:bodyPr rot="0" vert="horz"/>
          <a:lstStyle/>
          <a:p>
            <a:pPr>
              <a:defRPr/>
            </a:pPr>
            <a:endParaRPr lang="en-US"/>
          </a:p>
        </c:txPr>
        <c:crossAx val="462424704"/>
        <c:crosses val="autoZero"/>
        <c:crossBetween val="between"/>
      </c:valAx>
      <c:spPr>
        <a:noFill/>
        <a:ln w="3175">
          <a:solidFill>
            <a:srgbClr val="000000"/>
          </a:solidFill>
          <a:prstDash val="solid"/>
        </a:ln>
      </c:spPr>
    </c:plotArea>
    <c:legend>
      <c:legendPos val="r"/>
      <c:layout>
        <c:manualLayout>
          <c:xMode val="edge"/>
          <c:yMode val="edge"/>
          <c:x val="0.14918015673616666"/>
          <c:y val="0.52069395515738548"/>
          <c:w val="0.33605226946780886"/>
          <c:h val="0.20352536611799615"/>
        </c:manualLayout>
      </c:layout>
      <c:overlay val="0"/>
      <c:spPr>
        <a:noFill/>
        <a:ln w="25400">
          <a:noFill/>
        </a:ln>
      </c:spPr>
    </c:legend>
    <c:plotVisOnly val="1"/>
    <c:dispBlanksAs val="gap"/>
    <c:showDLblsOverMax val="0"/>
  </c:chart>
  <c:spPr>
    <a:solidFill>
      <a:srgbClr val="FFFFFF"/>
    </a:solidFill>
    <a:ln w="3175">
      <a:noFill/>
      <a:prstDash val="solid"/>
    </a:ln>
  </c:spPr>
  <c:txPr>
    <a:bodyPr/>
    <a:lstStyle/>
    <a:p>
      <a:pPr>
        <a:defRPr sz="1000" b="0" i="0" u="none" strike="noStrike" baseline="0">
          <a:solidFill>
            <a:srgbClr val="000000"/>
          </a:solidFill>
          <a:latin typeface="Arial" panose="020B0604020202020204" pitchFamily="34" charset="0"/>
          <a:ea typeface="Times New Roman"/>
          <a:cs typeface="Arial" panose="020B0604020202020204" pitchFamily="34" charset="0"/>
        </a:defRPr>
      </a:pPr>
      <a:endParaRPr lang="en-US"/>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532866588788564"/>
          <c:y val="4.412295589450576E-2"/>
          <c:w val="0.84709957219450727"/>
          <c:h val="0.78258298179090569"/>
        </c:manualLayout>
      </c:layout>
      <c:lineChart>
        <c:grouping val="standard"/>
        <c:varyColors val="0"/>
        <c:ser>
          <c:idx val="0"/>
          <c:order val="0"/>
          <c:tx>
            <c:strRef>
              <c:f>'Price Relationships'!$C$1</c:f>
              <c:strCache>
                <c:ptCount val="1"/>
                <c:pt idx="0">
                  <c:v>Sales Realizations</c:v>
                </c:pt>
              </c:strCache>
            </c:strRef>
          </c:tx>
          <c:spPr>
            <a:ln w="12700">
              <a:solidFill>
                <a:schemeClr val="tx2">
                  <a:lumMod val="40000"/>
                  <a:lumOff val="60000"/>
                </a:schemeClr>
              </a:solidFill>
              <a:prstDash val="solid"/>
            </a:ln>
          </c:spPr>
          <c:marker>
            <c:symbol val="diamond"/>
            <c:size val="5"/>
            <c:spPr>
              <a:solidFill>
                <a:schemeClr val="tx2">
                  <a:lumMod val="40000"/>
                  <a:lumOff val="60000"/>
                </a:schemeClr>
              </a:solidFill>
              <a:ln>
                <a:solidFill>
                  <a:schemeClr val="tx2">
                    <a:lumMod val="40000"/>
                    <a:lumOff val="60000"/>
                  </a:schemeClr>
                </a:solidFill>
                <a:prstDash val="solid"/>
              </a:ln>
            </c:spPr>
          </c:marker>
          <c:cat>
            <c:strRef>
              <c:f>'Price Relationships'!$B$25:$B$76</c:f>
              <c:strCache>
                <c:ptCount val="52"/>
                <c:pt idx="0">
                  <c:v>1Q07</c:v>
                </c:pt>
                <c:pt idx="1">
                  <c:v>2Q07</c:v>
                </c:pt>
                <c:pt idx="2">
                  <c:v>3Q07</c:v>
                </c:pt>
                <c:pt idx="3">
                  <c:v>4Q07</c:v>
                </c:pt>
                <c:pt idx="4">
                  <c:v>1Q08</c:v>
                </c:pt>
                <c:pt idx="5">
                  <c:v>2Q08</c:v>
                </c:pt>
                <c:pt idx="6">
                  <c:v>3Q08</c:v>
                </c:pt>
                <c:pt idx="7">
                  <c:v>4Q08</c:v>
                </c:pt>
                <c:pt idx="8">
                  <c:v>1Q09</c:v>
                </c:pt>
                <c:pt idx="9">
                  <c:v>2Q09</c:v>
                </c:pt>
                <c:pt idx="10">
                  <c:v>3Q09</c:v>
                </c:pt>
                <c:pt idx="11">
                  <c:v>4Q09</c:v>
                </c:pt>
                <c:pt idx="12">
                  <c:v>1Q10</c:v>
                </c:pt>
                <c:pt idx="13">
                  <c:v>2Q10</c:v>
                </c:pt>
                <c:pt idx="14">
                  <c:v>3Q10</c:v>
                </c:pt>
                <c:pt idx="15">
                  <c:v>4Q10</c:v>
                </c:pt>
                <c:pt idx="16">
                  <c:v>1Q11</c:v>
                </c:pt>
                <c:pt idx="17">
                  <c:v>2Q11</c:v>
                </c:pt>
                <c:pt idx="18">
                  <c:v>3Q11</c:v>
                </c:pt>
                <c:pt idx="19">
                  <c:v>4Q11</c:v>
                </c:pt>
                <c:pt idx="20">
                  <c:v>1Q12</c:v>
                </c:pt>
                <c:pt idx="21">
                  <c:v>2Q12</c:v>
                </c:pt>
                <c:pt idx="22">
                  <c:v>3Q12</c:v>
                </c:pt>
                <c:pt idx="23">
                  <c:v>4Q12</c:v>
                </c:pt>
                <c:pt idx="24">
                  <c:v>1Q13</c:v>
                </c:pt>
                <c:pt idx="25">
                  <c:v>2Q13</c:v>
                </c:pt>
                <c:pt idx="26">
                  <c:v>3Q13</c:v>
                </c:pt>
                <c:pt idx="27">
                  <c:v>4Q13</c:v>
                </c:pt>
                <c:pt idx="28">
                  <c:v>1Q14</c:v>
                </c:pt>
                <c:pt idx="29">
                  <c:v>2Q14</c:v>
                </c:pt>
                <c:pt idx="30">
                  <c:v>3Q14</c:v>
                </c:pt>
                <c:pt idx="31">
                  <c:v>4Q14</c:v>
                </c:pt>
                <c:pt idx="32">
                  <c:v>1Q15</c:v>
                </c:pt>
                <c:pt idx="33">
                  <c:v>2Q15</c:v>
                </c:pt>
                <c:pt idx="34">
                  <c:v>3Q15</c:v>
                </c:pt>
                <c:pt idx="35">
                  <c:v>4Q15</c:v>
                </c:pt>
                <c:pt idx="36">
                  <c:v>1Q16</c:v>
                </c:pt>
                <c:pt idx="37">
                  <c:v>2Q16</c:v>
                </c:pt>
                <c:pt idx="38">
                  <c:v>3Q16</c:v>
                </c:pt>
                <c:pt idx="39">
                  <c:v>4Q16</c:v>
                </c:pt>
                <c:pt idx="40">
                  <c:v>1Q17</c:v>
                </c:pt>
                <c:pt idx="41">
                  <c:v>2Q17</c:v>
                </c:pt>
                <c:pt idx="42">
                  <c:v>3Q17</c:v>
                </c:pt>
                <c:pt idx="43">
                  <c:v>4Q17</c:v>
                </c:pt>
                <c:pt idx="44">
                  <c:v>1Q18</c:v>
                </c:pt>
                <c:pt idx="45">
                  <c:v>2Q18</c:v>
                </c:pt>
                <c:pt idx="46">
                  <c:v>3Q18</c:v>
                </c:pt>
                <c:pt idx="47">
                  <c:v>4Q18</c:v>
                </c:pt>
                <c:pt idx="48">
                  <c:v>1Q19</c:v>
                </c:pt>
                <c:pt idx="49">
                  <c:v>2Q19</c:v>
                </c:pt>
                <c:pt idx="50">
                  <c:v>3Q19</c:v>
                </c:pt>
                <c:pt idx="51">
                  <c:v>4Q19</c:v>
                </c:pt>
              </c:strCache>
            </c:strRef>
          </c:cat>
          <c:val>
            <c:numRef>
              <c:f>'Price Relationships'!$E$25:$E$76</c:f>
              <c:numCache>
                <c:formatCode>_(* #,##0_);_(* \(#,##0\);_(* "-"??_);_(@_)</c:formatCode>
                <c:ptCount val="52"/>
                <c:pt idx="0">
                  <c:v>585</c:v>
                </c:pt>
                <c:pt idx="1">
                  <c:v>650</c:v>
                </c:pt>
                <c:pt idx="2">
                  <c:v>631</c:v>
                </c:pt>
                <c:pt idx="3">
                  <c:v>627</c:v>
                </c:pt>
                <c:pt idx="4">
                  <c:v>696</c:v>
                </c:pt>
                <c:pt idx="5">
                  <c:v>862</c:v>
                </c:pt>
                <c:pt idx="6">
                  <c:v>1011</c:v>
                </c:pt>
                <c:pt idx="7">
                  <c:v>758</c:v>
                </c:pt>
                <c:pt idx="8">
                  <c:v>633</c:v>
                </c:pt>
                <c:pt idx="9">
                  <c:v>538</c:v>
                </c:pt>
                <c:pt idx="10">
                  <c:v>557</c:v>
                </c:pt>
                <c:pt idx="11">
                  <c:v>535</c:v>
                </c:pt>
                <c:pt idx="12">
                  <c:v>618</c:v>
                </c:pt>
                <c:pt idx="13">
                  <c:v>709</c:v>
                </c:pt>
                <c:pt idx="14">
                  <c:v>666</c:v>
                </c:pt>
                <c:pt idx="15">
                  <c:v>669</c:v>
                </c:pt>
                <c:pt idx="16">
                  <c:v>779</c:v>
                </c:pt>
                <c:pt idx="17">
                  <c:v>803</c:v>
                </c:pt>
                <c:pt idx="18">
                  <c:v>811</c:v>
                </c:pt>
                <c:pt idx="19">
                  <c:v>796</c:v>
                </c:pt>
                <c:pt idx="20">
                  <c:v>823</c:v>
                </c:pt>
                <c:pt idx="21">
                  <c:v>795</c:v>
                </c:pt>
                <c:pt idx="22">
                  <c:v>745</c:v>
                </c:pt>
                <c:pt idx="23">
                  <c:v>723</c:v>
                </c:pt>
                <c:pt idx="24">
                  <c:v>732</c:v>
                </c:pt>
                <c:pt idx="25">
                  <c:v>731</c:v>
                </c:pt>
                <c:pt idx="26">
                  <c:v>708</c:v>
                </c:pt>
                <c:pt idx="27">
                  <c:v>709</c:v>
                </c:pt>
                <c:pt idx="28">
                  <c:v>737</c:v>
                </c:pt>
                <c:pt idx="29">
                  <c:v>732</c:v>
                </c:pt>
                <c:pt idx="30">
                  <c:v>738</c:v>
                </c:pt>
                <c:pt idx="31">
                  <c:v>724</c:v>
                </c:pt>
                <c:pt idx="32">
                  <c:v>698</c:v>
                </c:pt>
                <c:pt idx="33">
                  <c:v>623</c:v>
                </c:pt>
                <c:pt idx="34">
                  <c:v>625</c:v>
                </c:pt>
                <c:pt idx="35">
                  <c:v>558</c:v>
                </c:pt>
                <c:pt idx="36">
                  <c:v>505</c:v>
                </c:pt>
                <c:pt idx="37">
                  <c:v>561</c:v>
                </c:pt>
                <c:pt idx="38">
                  <c:v>567</c:v>
                </c:pt>
                <c:pt idx="39">
                  <c:v>544</c:v>
                </c:pt>
                <c:pt idx="40">
                  <c:v>600</c:v>
                </c:pt>
                <c:pt idx="41">
                  <c:v>605</c:v>
                </c:pt>
                <c:pt idx="42">
                  <c:v>624</c:v>
                </c:pt>
                <c:pt idx="43">
                  <c:v>607</c:v>
                </c:pt>
                <c:pt idx="44">
                  <c:v>660</c:v>
                </c:pt>
                <c:pt idx="45">
                  <c:v>744.02331568593797</c:v>
                </c:pt>
                <c:pt idx="46">
                  <c:v>761.16688662439299</c:v>
                </c:pt>
                <c:pt idx="47">
                  <c:v>748.71691781060326</c:v>
                </c:pt>
                <c:pt idx="48">
                  <c:v>751.0651577652925</c:v>
                </c:pt>
                <c:pt idx="49">
                  <c:v>758.72568334950472</c:v>
                </c:pt>
                <c:pt idx="50">
                  <c:v>738.4497544783278</c:v>
                </c:pt>
                <c:pt idx="51">
                  <c:v>697.66211387139833</c:v>
                </c:pt>
              </c:numCache>
            </c:numRef>
          </c:val>
          <c:smooth val="0"/>
        </c:ser>
        <c:ser>
          <c:idx val="1"/>
          <c:order val="1"/>
          <c:tx>
            <c:strRef>
              <c:f>'Price Relationships'!$R$1</c:f>
              <c:strCache>
                <c:ptCount val="1"/>
                <c:pt idx="0">
                  <c:v>Spot Price</c:v>
                </c:pt>
              </c:strCache>
            </c:strRef>
          </c:tx>
          <c:spPr>
            <a:ln w="12700">
              <a:solidFill>
                <a:schemeClr val="tx2">
                  <a:lumMod val="75000"/>
                </a:schemeClr>
              </a:solidFill>
              <a:prstDash val="solid"/>
            </a:ln>
          </c:spPr>
          <c:marker>
            <c:symbol val="square"/>
            <c:size val="5"/>
            <c:spPr>
              <a:solidFill>
                <a:schemeClr val="tx2">
                  <a:lumMod val="75000"/>
                </a:schemeClr>
              </a:solidFill>
              <a:ln>
                <a:solidFill>
                  <a:schemeClr val="tx2">
                    <a:lumMod val="75000"/>
                  </a:schemeClr>
                </a:solidFill>
                <a:prstDash val="solid"/>
              </a:ln>
            </c:spPr>
          </c:marker>
          <c:cat>
            <c:strRef>
              <c:f>'Price Relationships'!$B$25:$B$76</c:f>
              <c:strCache>
                <c:ptCount val="52"/>
                <c:pt idx="0">
                  <c:v>1Q07</c:v>
                </c:pt>
                <c:pt idx="1">
                  <c:v>2Q07</c:v>
                </c:pt>
                <c:pt idx="2">
                  <c:v>3Q07</c:v>
                </c:pt>
                <c:pt idx="3">
                  <c:v>4Q07</c:v>
                </c:pt>
                <c:pt idx="4">
                  <c:v>1Q08</c:v>
                </c:pt>
                <c:pt idx="5">
                  <c:v>2Q08</c:v>
                </c:pt>
                <c:pt idx="6">
                  <c:v>3Q08</c:v>
                </c:pt>
                <c:pt idx="7">
                  <c:v>4Q08</c:v>
                </c:pt>
                <c:pt idx="8">
                  <c:v>1Q09</c:v>
                </c:pt>
                <c:pt idx="9">
                  <c:v>2Q09</c:v>
                </c:pt>
                <c:pt idx="10">
                  <c:v>3Q09</c:v>
                </c:pt>
                <c:pt idx="11">
                  <c:v>4Q09</c:v>
                </c:pt>
                <c:pt idx="12">
                  <c:v>1Q10</c:v>
                </c:pt>
                <c:pt idx="13">
                  <c:v>2Q10</c:v>
                </c:pt>
                <c:pt idx="14">
                  <c:v>3Q10</c:v>
                </c:pt>
                <c:pt idx="15">
                  <c:v>4Q10</c:v>
                </c:pt>
                <c:pt idx="16">
                  <c:v>1Q11</c:v>
                </c:pt>
                <c:pt idx="17">
                  <c:v>2Q11</c:v>
                </c:pt>
                <c:pt idx="18">
                  <c:v>3Q11</c:v>
                </c:pt>
                <c:pt idx="19">
                  <c:v>4Q11</c:v>
                </c:pt>
                <c:pt idx="20">
                  <c:v>1Q12</c:v>
                </c:pt>
                <c:pt idx="21">
                  <c:v>2Q12</c:v>
                </c:pt>
                <c:pt idx="22">
                  <c:v>3Q12</c:v>
                </c:pt>
                <c:pt idx="23">
                  <c:v>4Q12</c:v>
                </c:pt>
                <c:pt idx="24">
                  <c:v>1Q13</c:v>
                </c:pt>
                <c:pt idx="25">
                  <c:v>2Q13</c:v>
                </c:pt>
                <c:pt idx="26">
                  <c:v>3Q13</c:v>
                </c:pt>
                <c:pt idx="27">
                  <c:v>4Q13</c:v>
                </c:pt>
                <c:pt idx="28">
                  <c:v>1Q14</c:v>
                </c:pt>
                <c:pt idx="29">
                  <c:v>2Q14</c:v>
                </c:pt>
                <c:pt idx="30">
                  <c:v>3Q14</c:v>
                </c:pt>
                <c:pt idx="31">
                  <c:v>4Q14</c:v>
                </c:pt>
                <c:pt idx="32">
                  <c:v>1Q15</c:v>
                </c:pt>
                <c:pt idx="33">
                  <c:v>2Q15</c:v>
                </c:pt>
                <c:pt idx="34">
                  <c:v>3Q15</c:v>
                </c:pt>
                <c:pt idx="35">
                  <c:v>4Q15</c:v>
                </c:pt>
                <c:pt idx="36">
                  <c:v>1Q16</c:v>
                </c:pt>
                <c:pt idx="37">
                  <c:v>2Q16</c:v>
                </c:pt>
                <c:pt idx="38">
                  <c:v>3Q16</c:v>
                </c:pt>
                <c:pt idx="39">
                  <c:v>4Q16</c:v>
                </c:pt>
                <c:pt idx="40">
                  <c:v>1Q17</c:v>
                </c:pt>
                <c:pt idx="41">
                  <c:v>2Q17</c:v>
                </c:pt>
                <c:pt idx="42">
                  <c:v>3Q17</c:v>
                </c:pt>
                <c:pt idx="43">
                  <c:v>4Q17</c:v>
                </c:pt>
                <c:pt idx="44">
                  <c:v>1Q18</c:v>
                </c:pt>
                <c:pt idx="45">
                  <c:v>2Q18</c:v>
                </c:pt>
                <c:pt idx="46">
                  <c:v>3Q18</c:v>
                </c:pt>
                <c:pt idx="47">
                  <c:v>4Q18</c:v>
                </c:pt>
                <c:pt idx="48">
                  <c:v>1Q19</c:v>
                </c:pt>
                <c:pt idx="49">
                  <c:v>2Q19</c:v>
                </c:pt>
                <c:pt idx="50">
                  <c:v>3Q19</c:v>
                </c:pt>
                <c:pt idx="51">
                  <c:v>4Q19</c:v>
                </c:pt>
              </c:strCache>
            </c:strRef>
          </c:cat>
          <c:val>
            <c:numRef>
              <c:f>'Price Relationships'!$T$25:$T$76</c:f>
              <c:numCache>
                <c:formatCode>_(* #,##0_);_(* \(#,##0\);_(* "-"??_);_(@_)</c:formatCode>
                <c:ptCount val="52"/>
                <c:pt idx="0">
                  <c:v>535</c:v>
                </c:pt>
                <c:pt idx="1">
                  <c:v>645.06666666666672</c:v>
                </c:pt>
                <c:pt idx="2">
                  <c:v>601.4666666666667</c:v>
                </c:pt>
                <c:pt idx="3">
                  <c:v>575.4666666666667</c:v>
                </c:pt>
                <c:pt idx="4">
                  <c:v>652.66666666666663</c:v>
                </c:pt>
                <c:pt idx="5">
                  <c:v>848.13333333333333</c:v>
                </c:pt>
                <c:pt idx="6">
                  <c:v>1007.4666666666667</c:v>
                </c:pt>
                <c:pt idx="7">
                  <c:v>766.73333333333323</c:v>
                </c:pt>
                <c:pt idx="8">
                  <c:v>618.86666666666667</c:v>
                </c:pt>
                <c:pt idx="9">
                  <c:v>495.06666666666666</c:v>
                </c:pt>
                <c:pt idx="10">
                  <c:v>536.26666666666677</c:v>
                </c:pt>
                <c:pt idx="11">
                  <c:v>494.4666666666667</c:v>
                </c:pt>
                <c:pt idx="12">
                  <c:v>522</c:v>
                </c:pt>
                <c:pt idx="13">
                  <c:v>616.86666666666667</c:v>
                </c:pt>
                <c:pt idx="14">
                  <c:v>599.93333333333339</c:v>
                </c:pt>
                <c:pt idx="15">
                  <c:v>645.5333333333333</c:v>
                </c:pt>
                <c:pt idx="16">
                  <c:v>761.66666666666663</c:v>
                </c:pt>
                <c:pt idx="17">
                  <c:v>754.79999999999984</c:v>
                </c:pt>
                <c:pt idx="18">
                  <c:v>750.26666666666677</c:v>
                </c:pt>
                <c:pt idx="19">
                  <c:v>782.06666666666661</c:v>
                </c:pt>
                <c:pt idx="20">
                  <c:v>767.13333333333333</c:v>
                </c:pt>
                <c:pt idx="21">
                  <c:v>740.86666666666679</c:v>
                </c:pt>
                <c:pt idx="22">
                  <c:v>690.33333333333337</c:v>
                </c:pt>
                <c:pt idx="23">
                  <c:v>661.73333333333323</c:v>
                </c:pt>
                <c:pt idx="24">
                  <c:v>678.73333333333335</c:v>
                </c:pt>
                <c:pt idx="25">
                  <c:v>662.53333333333342</c:v>
                </c:pt>
                <c:pt idx="26">
                  <c:v>645</c:v>
                </c:pt>
                <c:pt idx="27">
                  <c:v>651.80000000000007</c:v>
                </c:pt>
                <c:pt idx="28">
                  <c:v>687</c:v>
                </c:pt>
                <c:pt idx="29">
                  <c:v>687.13333333333333</c:v>
                </c:pt>
                <c:pt idx="30">
                  <c:v>662.6</c:v>
                </c:pt>
                <c:pt idx="31">
                  <c:v>671.93333333333328</c:v>
                </c:pt>
                <c:pt idx="32">
                  <c:v>622.66666666666663</c:v>
                </c:pt>
                <c:pt idx="33">
                  <c:v>587.66666666666663</c:v>
                </c:pt>
                <c:pt idx="34">
                  <c:v>565.53333333333342</c:v>
                </c:pt>
                <c:pt idx="35">
                  <c:v>507.13333333333338</c:v>
                </c:pt>
                <c:pt idx="36">
                  <c:v>478.8</c:v>
                </c:pt>
                <c:pt idx="37">
                  <c:v>540.4</c:v>
                </c:pt>
                <c:pt idx="38">
                  <c:v>524.5333333333333</c:v>
                </c:pt>
                <c:pt idx="39">
                  <c:v>503.93333333333334</c:v>
                </c:pt>
                <c:pt idx="40">
                  <c:v>545.06666666666672</c:v>
                </c:pt>
                <c:pt idx="41">
                  <c:v>532.80000000000007</c:v>
                </c:pt>
                <c:pt idx="42">
                  <c:v>549</c:v>
                </c:pt>
                <c:pt idx="43">
                  <c:v>564.4</c:v>
                </c:pt>
                <c:pt idx="44">
                  <c:v>637</c:v>
                </c:pt>
                <c:pt idx="45">
                  <c:v>730</c:v>
                </c:pt>
                <c:pt idx="46">
                  <c:v>725</c:v>
                </c:pt>
                <c:pt idx="47">
                  <c:v>710</c:v>
                </c:pt>
                <c:pt idx="48">
                  <c:v>720</c:v>
                </c:pt>
                <c:pt idx="49">
                  <c:v>725</c:v>
                </c:pt>
                <c:pt idx="50">
                  <c:v>695</c:v>
                </c:pt>
                <c:pt idx="51">
                  <c:v>650</c:v>
                </c:pt>
              </c:numCache>
            </c:numRef>
          </c:val>
          <c:smooth val="0"/>
        </c:ser>
        <c:dLbls>
          <c:showLegendKey val="0"/>
          <c:showVal val="0"/>
          <c:showCatName val="0"/>
          <c:showSerName val="0"/>
          <c:showPercent val="0"/>
          <c:showBubbleSize val="0"/>
        </c:dLbls>
        <c:marker val="1"/>
        <c:smooth val="0"/>
        <c:axId val="645487232"/>
        <c:axId val="645513984"/>
      </c:lineChart>
      <c:catAx>
        <c:axId val="645487232"/>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a:pPr>
            <a:endParaRPr lang="en-US"/>
          </a:p>
        </c:txPr>
        <c:crossAx val="645513984"/>
        <c:crosses val="autoZero"/>
        <c:auto val="1"/>
        <c:lblAlgn val="ctr"/>
        <c:lblOffset val="100"/>
        <c:tickLblSkip val="4"/>
        <c:tickMarkSkip val="1"/>
        <c:noMultiLvlLbl val="0"/>
      </c:catAx>
      <c:valAx>
        <c:axId val="645513984"/>
        <c:scaling>
          <c:orientation val="minMax"/>
          <c:min val="400"/>
        </c:scaling>
        <c:delete val="0"/>
        <c:axPos val="l"/>
        <c:title>
          <c:tx>
            <c:rich>
              <a:bodyPr/>
              <a:lstStyle/>
              <a:p>
                <a:pPr>
                  <a:defRPr b="1"/>
                </a:pPr>
                <a:r>
                  <a:rPr lang="en-US" b="1"/>
                  <a:t>$/ton</a:t>
                </a:r>
              </a:p>
            </c:rich>
          </c:tx>
          <c:layout>
            <c:manualLayout>
              <c:xMode val="edge"/>
              <c:yMode val="edge"/>
              <c:x val="4.5646511421061275E-3"/>
              <c:y val="0.39194288670837474"/>
            </c:manualLayout>
          </c:layout>
          <c:overlay val="0"/>
          <c:spPr>
            <a:noFill/>
            <a:ln w="25400">
              <a:noFill/>
            </a:ln>
          </c:spPr>
        </c:title>
        <c:numFmt formatCode="_(* #,##0_);_(* \(#,##0\);_(* &quot;-&quot;??_);_(@_)" sourceLinked="1"/>
        <c:majorTickMark val="out"/>
        <c:minorTickMark val="none"/>
        <c:tickLblPos val="nextTo"/>
        <c:spPr>
          <a:ln w="3175">
            <a:solidFill>
              <a:srgbClr val="000000"/>
            </a:solidFill>
            <a:prstDash val="solid"/>
          </a:ln>
        </c:spPr>
        <c:txPr>
          <a:bodyPr rot="0" vert="horz"/>
          <a:lstStyle/>
          <a:p>
            <a:pPr>
              <a:defRPr/>
            </a:pPr>
            <a:endParaRPr lang="en-US"/>
          </a:p>
        </c:txPr>
        <c:crossAx val="645487232"/>
        <c:crosses val="autoZero"/>
        <c:crossBetween val="between"/>
      </c:valAx>
      <c:spPr>
        <a:noFill/>
        <a:ln w="3175">
          <a:solidFill>
            <a:srgbClr val="000000"/>
          </a:solidFill>
          <a:prstDash val="solid"/>
        </a:ln>
      </c:spPr>
    </c:plotArea>
    <c:legend>
      <c:legendPos val="r"/>
      <c:layout>
        <c:manualLayout>
          <c:xMode val="edge"/>
          <c:yMode val="edge"/>
          <c:x val="0.58926787020605509"/>
          <c:y val="0.10599341088081549"/>
          <c:w val="0.38070488743125114"/>
          <c:h val="0.14422837117262255"/>
        </c:manualLayout>
      </c:layout>
      <c:overlay val="0"/>
      <c:spPr>
        <a:noFill/>
        <a:ln w="25400">
          <a:noFill/>
        </a:ln>
      </c:spPr>
    </c:legend>
    <c:plotVisOnly val="1"/>
    <c:dispBlanksAs val="gap"/>
    <c:showDLblsOverMax val="0"/>
  </c:chart>
  <c:spPr>
    <a:solidFill>
      <a:srgbClr val="FFFFFF"/>
    </a:solidFill>
    <a:ln w="3175">
      <a:noFill/>
      <a:prstDash val="solid"/>
    </a:ln>
  </c:spPr>
  <c:txPr>
    <a:bodyPr/>
    <a:lstStyle/>
    <a:p>
      <a:pPr>
        <a:defRPr sz="1000" b="0" i="0" u="none" strike="noStrike" baseline="0">
          <a:solidFill>
            <a:srgbClr val="000000"/>
          </a:solidFill>
          <a:latin typeface="Arial" panose="020B0604020202020204" pitchFamily="34" charset="0"/>
          <a:ea typeface="Times New Roman"/>
          <a:cs typeface="Arial" panose="020B0604020202020204" pitchFamily="34" charset="0"/>
        </a:defRPr>
      </a:pPr>
      <a:endParaRPr lang="en-US"/>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388776795274859"/>
          <c:y val="3.7863164423992304E-2"/>
          <c:w val="0.85781139138563089"/>
          <c:h val="0.78709046610313904"/>
        </c:manualLayout>
      </c:layout>
      <c:lineChart>
        <c:grouping val="standard"/>
        <c:varyColors val="0"/>
        <c:ser>
          <c:idx val="0"/>
          <c:order val="0"/>
          <c:tx>
            <c:strRef>
              <c:f>'Price Relationships'!$C$1</c:f>
              <c:strCache>
                <c:ptCount val="1"/>
                <c:pt idx="0">
                  <c:v>Sales Realizations</c:v>
                </c:pt>
              </c:strCache>
            </c:strRef>
          </c:tx>
          <c:spPr>
            <a:ln w="12700">
              <a:solidFill>
                <a:schemeClr val="tx2">
                  <a:lumMod val="40000"/>
                  <a:lumOff val="60000"/>
                </a:schemeClr>
              </a:solidFill>
              <a:prstDash val="solid"/>
            </a:ln>
          </c:spPr>
          <c:marker>
            <c:symbol val="diamond"/>
            <c:size val="5"/>
            <c:spPr>
              <a:solidFill>
                <a:schemeClr val="tx2">
                  <a:lumMod val="40000"/>
                  <a:lumOff val="60000"/>
                </a:schemeClr>
              </a:solidFill>
              <a:ln>
                <a:solidFill>
                  <a:schemeClr val="tx2">
                    <a:lumMod val="40000"/>
                    <a:lumOff val="60000"/>
                  </a:schemeClr>
                </a:solidFill>
                <a:prstDash val="solid"/>
              </a:ln>
            </c:spPr>
          </c:marker>
          <c:cat>
            <c:strRef>
              <c:f>'Price Relationships'!$B$17:$B$76</c:f>
              <c:strCache>
                <c:ptCount val="60"/>
                <c:pt idx="0">
                  <c:v>1Q05</c:v>
                </c:pt>
                <c:pt idx="1">
                  <c:v>2Q05</c:v>
                </c:pt>
                <c:pt idx="2">
                  <c:v>3Q05</c:v>
                </c:pt>
                <c:pt idx="3">
                  <c:v>4Q05</c:v>
                </c:pt>
                <c:pt idx="4">
                  <c:v>1Q06</c:v>
                </c:pt>
                <c:pt idx="5">
                  <c:v>2Q06</c:v>
                </c:pt>
                <c:pt idx="6">
                  <c:v>3Q06</c:v>
                </c:pt>
                <c:pt idx="7">
                  <c:v>4Q06</c:v>
                </c:pt>
                <c:pt idx="8">
                  <c:v>1Q07</c:v>
                </c:pt>
                <c:pt idx="9">
                  <c:v>2Q07</c:v>
                </c:pt>
                <c:pt idx="10">
                  <c:v>3Q07</c:v>
                </c:pt>
                <c:pt idx="11">
                  <c:v>4Q07</c:v>
                </c:pt>
                <c:pt idx="12">
                  <c:v>1Q08</c:v>
                </c:pt>
                <c:pt idx="13">
                  <c:v>2Q08</c:v>
                </c:pt>
                <c:pt idx="14">
                  <c:v>3Q08</c:v>
                </c:pt>
                <c:pt idx="15">
                  <c:v>4Q08</c:v>
                </c:pt>
                <c:pt idx="16">
                  <c:v>1Q09</c:v>
                </c:pt>
                <c:pt idx="17">
                  <c:v>2Q09</c:v>
                </c:pt>
                <c:pt idx="18">
                  <c:v>3Q09</c:v>
                </c:pt>
                <c:pt idx="19">
                  <c:v>4Q09</c:v>
                </c:pt>
                <c:pt idx="20">
                  <c:v>1Q10</c:v>
                </c:pt>
                <c:pt idx="21">
                  <c:v>2Q10</c:v>
                </c:pt>
                <c:pt idx="22">
                  <c:v>3Q10</c:v>
                </c:pt>
                <c:pt idx="23">
                  <c:v>4Q10</c:v>
                </c:pt>
                <c:pt idx="24">
                  <c:v>1Q11</c:v>
                </c:pt>
                <c:pt idx="25">
                  <c:v>2Q11</c:v>
                </c:pt>
                <c:pt idx="26">
                  <c:v>3Q11</c:v>
                </c:pt>
                <c:pt idx="27">
                  <c:v>4Q11</c:v>
                </c:pt>
                <c:pt idx="28">
                  <c:v>1Q12</c:v>
                </c:pt>
                <c:pt idx="29">
                  <c:v>2Q12</c:v>
                </c:pt>
                <c:pt idx="30">
                  <c:v>3Q12</c:v>
                </c:pt>
                <c:pt idx="31">
                  <c:v>4Q12</c:v>
                </c:pt>
                <c:pt idx="32">
                  <c:v>1Q13</c:v>
                </c:pt>
                <c:pt idx="33">
                  <c:v>2Q13</c:v>
                </c:pt>
                <c:pt idx="34">
                  <c:v>3Q13</c:v>
                </c:pt>
                <c:pt idx="35">
                  <c:v>4Q13</c:v>
                </c:pt>
                <c:pt idx="36">
                  <c:v>1Q14</c:v>
                </c:pt>
                <c:pt idx="37">
                  <c:v>2Q14</c:v>
                </c:pt>
                <c:pt idx="38">
                  <c:v>3Q14</c:v>
                </c:pt>
                <c:pt idx="39">
                  <c:v>4Q14</c:v>
                </c:pt>
                <c:pt idx="40">
                  <c:v>1Q15</c:v>
                </c:pt>
                <c:pt idx="41">
                  <c:v>2Q15</c:v>
                </c:pt>
                <c:pt idx="42">
                  <c:v>3Q15</c:v>
                </c:pt>
                <c:pt idx="43">
                  <c:v>4Q15</c:v>
                </c:pt>
                <c:pt idx="44">
                  <c:v>1Q16</c:v>
                </c:pt>
                <c:pt idx="45">
                  <c:v>2Q16</c:v>
                </c:pt>
                <c:pt idx="46">
                  <c:v>3Q16</c:v>
                </c:pt>
                <c:pt idx="47">
                  <c:v>4Q16</c:v>
                </c:pt>
                <c:pt idx="48">
                  <c:v>1Q17</c:v>
                </c:pt>
                <c:pt idx="49">
                  <c:v>2Q17</c:v>
                </c:pt>
                <c:pt idx="50">
                  <c:v>3Q17</c:v>
                </c:pt>
                <c:pt idx="51">
                  <c:v>4Q17</c:v>
                </c:pt>
                <c:pt idx="52">
                  <c:v>1Q18</c:v>
                </c:pt>
                <c:pt idx="53">
                  <c:v>2Q18</c:v>
                </c:pt>
                <c:pt idx="54">
                  <c:v>3Q18</c:v>
                </c:pt>
                <c:pt idx="55">
                  <c:v>4Q18</c:v>
                </c:pt>
                <c:pt idx="56">
                  <c:v>1Q19</c:v>
                </c:pt>
                <c:pt idx="57">
                  <c:v>2Q19</c:v>
                </c:pt>
                <c:pt idx="58">
                  <c:v>3Q19</c:v>
                </c:pt>
                <c:pt idx="59">
                  <c:v>4Q19</c:v>
                </c:pt>
              </c:strCache>
            </c:strRef>
          </c:cat>
          <c:val>
            <c:numRef>
              <c:f>'Price Relationships'!$G$17:$G$76</c:f>
              <c:numCache>
                <c:formatCode>_(* #,##0_);_(* \(#,##0\);_(* "-"??_);_(@_)</c:formatCode>
                <c:ptCount val="60"/>
                <c:pt idx="0">
                  <c:v>605</c:v>
                </c:pt>
                <c:pt idx="1">
                  <c:v>574</c:v>
                </c:pt>
                <c:pt idx="2">
                  <c:v>561</c:v>
                </c:pt>
                <c:pt idx="3">
                  <c:v>634</c:v>
                </c:pt>
                <c:pt idx="4">
                  <c:v>649</c:v>
                </c:pt>
                <c:pt idx="5">
                  <c:v>667</c:v>
                </c:pt>
                <c:pt idx="6">
                  <c:v>703</c:v>
                </c:pt>
                <c:pt idx="7">
                  <c:v>727</c:v>
                </c:pt>
                <c:pt idx="8">
                  <c:v>754</c:v>
                </c:pt>
                <c:pt idx="9">
                  <c:v>825</c:v>
                </c:pt>
                <c:pt idx="10">
                  <c:v>839</c:v>
                </c:pt>
                <c:pt idx="11">
                  <c:v>867</c:v>
                </c:pt>
                <c:pt idx="12">
                  <c:v>930</c:v>
                </c:pt>
                <c:pt idx="13">
                  <c:v>1041</c:v>
                </c:pt>
                <c:pt idx="14">
                  <c:v>1153</c:v>
                </c:pt>
                <c:pt idx="15">
                  <c:v>1109</c:v>
                </c:pt>
                <c:pt idx="16">
                  <c:v>967</c:v>
                </c:pt>
                <c:pt idx="17">
                  <c:v>763</c:v>
                </c:pt>
                <c:pt idx="18">
                  <c:v>738</c:v>
                </c:pt>
                <c:pt idx="19">
                  <c:v>726</c:v>
                </c:pt>
                <c:pt idx="20">
                  <c:v>740</c:v>
                </c:pt>
                <c:pt idx="21">
                  <c:v>770</c:v>
                </c:pt>
                <c:pt idx="22">
                  <c:v>786</c:v>
                </c:pt>
                <c:pt idx="23">
                  <c:v>773</c:v>
                </c:pt>
                <c:pt idx="24">
                  <c:v>831</c:v>
                </c:pt>
                <c:pt idx="25">
                  <c:v>923</c:v>
                </c:pt>
                <c:pt idx="26">
                  <c:v>901</c:v>
                </c:pt>
                <c:pt idx="27">
                  <c:v>891</c:v>
                </c:pt>
                <c:pt idx="28">
                  <c:v>866</c:v>
                </c:pt>
                <c:pt idx="29">
                  <c:v>905</c:v>
                </c:pt>
                <c:pt idx="30">
                  <c:v>958</c:v>
                </c:pt>
                <c:pt idx="31">
                  <c:v>956</c:v>
                </c:pt>
                <c:pt idx="32">
                  <c:v>949</c:v>
                </c:pt>
                <c:pt idx="33">
                  <c:v>959</c:v>
                </c:pt>
                <c:pt idx="34">
                  <c:v>923</c:v>
                </c:pt>
                <c:pt idx="35">
                  <c:v>969</c:v>
                </c:pt>
                <c:pt idx="36">
                  <c:v>941</c:v>
                </c:pt>
                <c:pt idx="37">
                  <c:v>1039</c:v>
                </c:pt>
                <c:pt idx="38">
                  <c:v>1058</c:v>
                </c:pt>
                <c:pt idx="39">
                  <c:v>1063</c:v>
                </c:pt>
                <c:pt idx="40">
                  <c:v>996</c:v>
                </c:pt>
                <c:pt idx="41">
                  <c:v>991</c:v>
                </c:pt>
                <c:pt idx="42">
                  <c:v>926</c:v>
                </c:pt>
                <c:pt idx="43">
                  <c:v>923</c:v>
                </c:pt>
                <c:pt idx="44">
                  <c:v>870</c:v>
                </c:pt>
                <c:pt idx="45">
                  <c:v>845</c:v>
                </c:pt>
                <c:pt idx="46">
                  <c:v>865</c:v>
                </c:pt>
                <c:pt idx="47">
                  <c:v>837</c:v>
                </c:pt>
                <c:pt idx="48">
                  <c:v>738</c:v>
                </c:pt>
                <c:pt idx="49">
                  <c:v>766</c:v>
                </c:pt>
                <c:pt idx="50">
                  <c:v>769</c:v>
                </c:pt>
                <c:pt idx="51">
                  <c:v>764</c:v>
                </c:pt>
                <c:pt idx="52">
                  <c:v>798</c:v>
                </c:pt>
                <c:pt idx="53">
                  <c:v>864.09999999999991</c:v>
                </c:pt>
                <c:pt idx="54">
                  <c:v>908.86999999999989</c:v>
                </c:pt>
                <c:pt idx="55">
                  <c:v>935.70899999999983</c:v>
                </c:pt>
                <c:pt idx="56">
                  <c:v>957.49629999999979</c:v>
                </c:pt>
                <c:pt idx="57">
                  <c:v>974.24740999999983</c:v>
                </c:pt>
                <c:pt idx="58">
                  <c:v>976.97318699999983</c:v>
                </c:pt>
                <c:pt idx="59">
                  <c:v>965.38123089999988</c:v>
                </c:pt>
              </c:numCache>
            </c:numRef>
          </c:val>
          <c:smooth val="0"/>
        </c:ser>
        <c:ser>
          <c:idx val="1"/>
          <c:order val="1"/>
          <c:tx>
            <c:strRef>
              <c:f>'Price Relationships'!$R$1</c:f>
              <c:strCache>
                <c:ptCount val="1"/>
                <c:pt idx="0">
                  <c:v>Spot Price</c:v>
                </c:pt>
              </c:strCache>
            </c:strRef>
          </c:tx>
          <c:spPr>
            <a:ln w="12700">
              <a:solidFill>
                <a:schemeClr val="tx2">
                  <a:lumMod val="75000"/>
                </a:schemeClr>
              </a:solidFill>
              <a:prstDash val="solid"/>
            </a:ln>
          </c:spPr>
          <c:marker>
            <c:symbol val="square"/>
            <c:size val="5"/>
            <c:spPr>
              <a:solidFill>
                <a:schemeClr val="tx2">
                  <a:lumMod val="75000"/>
                </a:schemeClr>
              </a:solidFill>
              <a:ln>
                <a:solidFill>
                  <a:schemeClr val="tx2">
                    <a:lumMod val="75000"/>
                  </a:schemeClr>
                </a:solidFill>
                <a:prstDash val="solid"/>
              </a:ln>
            </c:spPr>
          </c:marker>
          <c:cat>
            <c:strRef>
              <c:f>'Price Relationships'!$B$17:$B$76</c:f>
              <c:strCache>
                <c:ptCount val="60"/>
                <c:pt idx="0">
                  <c:v>1Q05</c:v>
                </c:pt>
                <c:pt idx="1">
                  <c:v>2Q05</c:v>
                </c:pt>
                <c:pt idx="2">
                  <c:v>3Q05</c:v>
                </c:pt>
                <c:pt idx="3">
                  <c:v>4Q05</c:v>
                </c:pt>
                <c:pt idx="4">
                  <c:v>1Q06</c:v>
                </c:pt>
                <c:pt idx="5">
                  <c:v>2Q06</c:v>
                </c:pt>
                <c:pt idx="6">
                  <c:v>3Q06</c:v>
                </c:pt>
                <c:pt idx="7">
                  <c:v>4Q06</c:v>
                </c:pt>
                <c:pt idx="8">
                  <c:v>1Q07</c:v>
                </c:pt>
                <c:pt idx="9">
                  <c:v>2Q07</c:v>
                </c:pt>
                <c:pt idx="10">
                  <c:v>3Q07</c:v>
                </c:pt>
                <c:pt idx="11">
                  <c:v>4Q07</c:v>
                </c:pt>
                <c:pt idx="12">
                  <c:v>1Q08</c:v>
                </c:pt>
                <c:pt idx="13">
                  <c:v>2Q08</c:v>
                </c:pt>
                <c:pt idx="14">
                  <c:v>3Q08</c:v>
                </c:pt>
                <c:pt idx="15">
                  <c:v>4Q08</c:v>
                </c:pt>
                <c:pt idx="16">
                  <c:v>1Q09</c:v>
                </c:pt>
                <c:pt idx="17">
                  <c:v>2Q09</c:v>
                </c:pt>
                <c:pt idx="18">
                  <c:v>3Q09</c:v>
                </c:pt>
                <c:pt idx="19">
                  <c:v>4Q09</c:v>
                </c:pt>
                <c:pt idx="20">
                  <c:v>1Q10</c:v>
                </c:pt>
                <c:pt idx="21">
                  <c:v>2Q10</c:v>
                </c:pt>
                <c:pt idx="22">
                  <c:v>3Q10</c:v>
                </c:pt>
                <c:pt idx="23">
                  <c:v>4Q10</c:v>
                </c:pt>
                <c:pt idx="24">
                  <c:v>1Q11</c:v>
                </c:pt>
                <c:pt idx="25">
                  <c:v>2Q11</c:v>
                </c:pt>
                <c:pt idx="26">
                  <c:v>3Q11</c:v>
                </c:pt>
                <c:pt idx="27">
                  <c:v>4Q11</c:v>
                </c:pt>
                <c:pt idx="28">
                  <c:v>1Q12</c:v>
                </c:pt>
                <c:pt idx="29">
                  <c:v>2Q12</c:v>
                </c:pt>
                <c:pt idx="30">
                  <c:v>3Q12</c:v>
                </c:pt>
                <c:pt idx="31">
                  <c:v>4Q12</c:v>
                </c:pt>
                <c:pt idx="32">
                  <c:v>1Q13</c:v>
                </c:pt>
                <c:pt idx="33">
                  <c:v>2Q13</c:v>
                </c:pt>
                <c:pt idx="34">
                  <c:v>3Q13</c:v>
                </c:pt>
                <c:pt idx="35">
                  <c:v>4Q13</c:v>
                </c:pt>
                <c:pt idx="36">
                  <c:v>1Q14</c:v>
                </c:pt>
                <c:pt idx="37">
                  <c:v>2Q14</c:v>
                </c:pt>
                <c:pt idx="38">
                  <c:v>3Q14</c:v>
                </c:pt>
                <c:pt idx="39">
                  <c:v>4Q14</c:v>
                </c:pt>
                <c:pt idx="40">
                  <c:v>1Q15</c:v>
                </c:pt>
                <c:pt idx="41">
                  <c:v>2Q15</c:v>
                </c:pt>
                <c:pt idx="42">
                  <c:v>3Q15</c:v>
                </c:pt>
                <c:pt idx="43">
                  <c:v>4Q15</c:v>
                </c:pt>
                <c:pt idx="44">
                  <c:v>1Q16</c:v>
                </c:pt>
                <c:pt idx="45">
                  <c:v>2Q16</c:v>
                </c:pt>
                <c:pt idx="46">
                  <c:v>3Q16</c:v>
                </c:pt>
                <c:pt idx="47">
                  <c:v>4Q16</c:v>
                </c:pt>
                <c:pt idx="48">
                  <c:v>1Q17</c:v>
                </c:pt>
                <c:pt idx="49">
                  <c:v>2Q17</c:v>
                </c:pt>
                <c:pt idx="50">
                  <c:v>3Q17</c:v>
                </c:pt>
                <c:pt idx="51">
                  <c:v>4Q17</c:v>
                </c:pt>
                <c:pt idx="52">
                  <c:v>1Q18</c:v>
                </c:pt>
                <c:pt idx="53">
                  <c:v>2Q18</c:v>
                </c:pt>
                <c:pt idx="54">
                  <c:v>3Q18</c:v>
                </c:pt>
                <c:pt idx="55">
                  <c:v>4Q18</c:v>
                </c:pt>
                <c:pt idx="56">
                  <c:v>1Q19</c:v>
                </c:pt>
                <c:pt idx="57">
                  <c:v>2Q19</c:v>
                </c:pt>
                <c:pt idx="58">
                  <c:v>3Q19</c:v>
                </c:pt>
                <c:pt idx="59">
                  <c:v>4Q19</c:v>
                </c:pt>
              </c:strCache>
            </c:strRef>
          </c:cat>
          <c:val>
            <c:numRef>
              <c:f>'Price Relationships'!$Z$17:$Z$76</c:f>
              <c:numCache>
                <c:formatCode>_(* #,##0_);_(* \(#,##0\);_(* "-"??_);_(@_)</c:formatCode>
                <c:ptCount val="60"/>
                <c:pt idx="0">
                  <c:v>583</c:v>
                </c:pt>
                <c:pt idx="1">
                  <c:v>583</c:v>
                </c:pt>
                <c:pt idx="2">
                  <c:v>540</c:v>
                </c:pt>
                <c:pt idx="3">
                  <c:v>620</c:v>
                </c:pt>
                <c:pt idx="4">
                  <c:v>620</c:v>
                </c:pt>
                <c:pt idx="5">
                  <c:v>640.66666666666663</c:v>
                </c:pt>
                <c:pt idx="6">
                  <c:v>670</c:v>
                </c:pt>
                <c:pt idx="7">
                  <c:v>670</c:v>
                </c:pt>
                <c:pt idx="8">
                  <c:v>695</c:v>
                </c:pt>
                <c:pt idx="9">
                  <c:v>770</c:v>
                </c:pt>
                <c:pt idx="10">
                  <c:v>770</c:v>
                </c:pt>
                <c:pt idx="11">
                  <c:v>787</c:v>
                </c:pt>
                <c:pt idx="12">
                  <c:v>855.33333333333337</c:v>
                </c:pt>
                <c:pt idx="13">
                  <c:v>987</c:v>
                </c:pt>
                <c:pt idx="14">
                  <c:v>1133</c:v>
                </c:pt>
                <c:pt idx="15">
                  <c:v>991.66666666666663</c:v>
                </c:pt>
                <c:pt idx="16">
                  <c:v>894</c:v>
                </c:pt>
                <c:pt idx="17">
                  <c:v>716.66666666666663</c:v>
                </c:pt>
                <c:pt idx="18">
                  <c:v>741.66666666666663</c:v>
                </c:pt>
                <c:pt idx="19">
                  <c:v>735</c:v>
                </c:pt>
                <c:pt idx="20">
                  <c:v>735</c:v>
                </c:pt>
                <c:pt idx="21">
                  <c:v>769.66666666666663</c:v>
                </c:pt>
                <c:pt idx="22">
                  <c:v>734.66666666666663</c:v>
                </c:pt>
                <c:pt idx="23">
                  <c:v>758.66666666666663</c:v>
                </c:pt>
                <c:pt idx="24">
                  <c:v>875</c:v>
                </c:pt>
                <c:pt idx="25">
                  <c:v>895</c:v>
                </c:pt>
                <c:pt idx="26">
                  <c:v>831.33200278206175</c:v>
                </c:pt>
                <c:pt idx="27">
                  <c:v>820.33333333333337</c:v>
                </c:pt>
                <c:pt idx="28">
                  <c:v>837.66666666666663</c:v>
                </c:pt>
                <c:pt idx="29">
                  <c:v>819</c:v>
                </c:pt>
                <c:pt idx="30">
                  <c:v>769.66666666666663</c:v>
                </c:pt>
                <c:pt idx="31">
                  <c:v>757.66499387763997</c:v>
                </c:pt>
                <c:pt idx="32">
                  <c:v>766.99496851300648</c:v>
                </c:pt>
                <c:pt idx="33">
                  <c:v>769.66161768645463</c:v>
                </c:pt>
                <c:pt idx="34">
                  <c:v>762.32833245947234</c:v>
                </c:pt>
                <c:pt idx="35">
                  <c:v>758.66168984598119</c:v>
                </c:pt>
                <c:pt idx="36">
                  <c:v>791.33333333333337</c:v>
                </c:pt>
                <c:pt idx="37">
                  <c:v>794</c:v>
                </c:pt>
                <c:pt idx="38">
                  <c:v>799</c:v>
                </c:pt>
                <c:pt idx="39">
                  <c:v>796</c:v>
                </c:pt>
                <c:pt idx="40">
                  <c:v>751.33333333333337</c:v>
                </c:pt>
                <c:pt idx="41">
                  <c:v>702</c:v>
                </c:pt>
                <c:pt idx="42">
                  <c:v>685</c:v>
                </c:pt>
                <c:pt idx="43">
                  <c:v>644</c:v>
                </c:pt>
                <c:pt idx="44">
                  <c:v>615.66666666666663</c:v>
                </c:pt>
                <c:pt idx="45">
                  <c:v>642.06666666666661</c:v>
                </c:pt>
                <c:pt idx="46">
                  <c:v>668.66666666666663</c:v>
                </c:pt>
                <c:pt idx="47">
                  <c:v>650.33333333333337</c:v>
                </c:pt>
                <c:pt idx="48">
                  <c:v>703</c:v>
                </c:pt>
                <c:pt idx="49">
                  <c:v>712.19999999999993</c:v>
                </c:pt>
                <c:pt idx="50">
                  <c:v>700</c:v>
                </c:pt>
                <c:pt idx="51">
                  <c:v>620</c:v>
                </c:pt>
                <c:pt idx="52">
                  <c:v>690</c:v>
                </c:pt>
                <c:pt idx="53">
                  <c:v>835</c:v>
                </c:pt>
                <c:pt idx="54">
                  <c:v>830</c:v>
                </c:pt>
                <c:pt idx="55">
                  <c:v>815</c:v>
                </c:pt>
                <c:pt idx="56">
                  <c:v>825</c:v>
                </c:pt>
                <c:pt idx="57">
                  <c:v>830</c:v>
                </c:pt>
                <c:pt idx="58">
                  <c:v>800</c:v>
                </c:pt>
                <c:pt idx="59">
                  <c:v>755</c:v>
                </c:pt>
              </c:numCache>
            </c:numRef>
          </c:val>
          <c:smooth val="0"/>
        </c:ser>
        <c:dLbls>
          <c:showLegendKey val="0"/>
          <c:showVal val="0"/>
          <c:showCatName val="0"/>
          <c:showSerName val="0"/>
          <c:showPercent val="0"/>
          <c:showBubbleSize val="0"/>
        </c:dLbls>
        <c:marker val="1"/>
        <c:smooth val="0"/>
        <c:axId val="651560448"/>
        <c:axId val="651579392"/>
      </c:lineChart>
      <c:catAx>
        <c:axId val="651560448"/>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a:pPr>
            <a:endParaRPr lang="en-US"/>
          </a:p>
        </c:txPr>
        <c:crossAx val="651579392"/>
        <c:crosses val="autoZero"/>
        <c:auto val="1"/>
        <c:lblAlgn val="ctr"/>
        <c:lblOffset val="100"/>
        <c:tickLblSkip val="4"/>
        <c:tickMarkSkip val="1"/>
        <c:noMultiLvlLbl val="0"/>
      </c:catAx>
      <c:valAx>
        <c:axId val="651579392"/>
        <c:scaling>
          <c:orientation val="minMax"/>
          <c:min val="400"/>
        </c:scaling>
        <c:delete val="0"/>
        <c:axPos val="l"/>
        <c:title>
          <c:tx>
            <c:rich>
              <a:bodyPr/>
              <a:lstStyle/>
              <a:p>
                <a:pPr>
                  <a:defRPr b="1"/>
                </a:pPr>
                <a:r>
                  <a:rPr lang="en-US" b="1"/>
                  <a:t>$/ton</a:t>
                </a:r>
              </a:p>
            </c:rich>
          </c:tx>
          <c:layout>
            <c:manualLayout>
              <c:xMode val="edge"/>
              <c:yMode val="edge"/>
              <c:x val="7.7213938434217214E-3"/>
              <c:y val="0.39051162057994221"/>
            </c:manualLayout>
          </c:layout>
          <c:overlay val="0"/>
          <c:spPr>
            <a:noFill/>
            <a:ln w="25400">
              <a:noFill/>
            </a:ln>
          </c:spPr>
        </c:title>
        <c:numFmt formatCode="_(* #,##0_);_(* \(#,##0\);_(* &quot;-&quot;??_);_(@_)" sourceLinked="1"/>
        <c:majorTickMark val="out"/>
        <c:minorTickMark val="none"/>
        <c:tickLblPos val="nextTo"/>
        <c:spPr>
          <a:ln w="3175">
            <a:solidFill>
              <a:srgbClr val="000000"/>
            </a:solidFill>
            <a:prstDash val="solid"/>
          </a:ln>
        </c:spPr>
        <c:txPr>
          <a:bodyPr rot="0" vert="horz"/>
          <a:lstStyle/>
          <a:p>
            <a:pPr>
              <a:defRPr/>
            </a:pPr>
            <a:endParaRPr lang="en-US"/>
          </a:p>
        </c:txPr>
        <c:crossAx val="651560448"/>
        <c:crosses val="autoZero"/>
        <c:crossBetween val="between"/>
      </c:valAx>
      <c:spPr>
        <a:noFill/>
        <a:ln w="3175">
          <a:solidFill>
            <a:srgbClr val="000000"/>
          </a:solidFill>
          <a:prstDash val="solid"/>
        </a:ln>
      </c:spPr>
    </c:plotArea>
    <c:legend>
      <c:legendPos val="r"/>
      <c:layout>
        <c:manualLayout>
          <c:xMode val="edge"/>
          <c:yMode val="edge"/>
          <c:x val="0.59358982540852212"/>
          <c:y val="0.63559615351116694"/>
          <c:w val="0.37330331280610585"/>
          <c:h val="0.15314271043106759"/>
        </c:manualLayout>
      </c:layout>
      <c:overlay val="0"/>
      <c:spPr>
        <a:noFill/>
        <a:ln w="25400">
          <a:noFill/>
        </a:ln>
      </c:spPr>
    </c:legend>
    <c:plotVisOnly val="1"/>
    <c:dispBlanksAs val="gap"/>
    <c:showDLblsOverMax val="0"/>
  </c:chart>
  <c:spPr>
    <a:solidFill>
      <a:srgbClr val="FFFFFF"/>
    </a:solidFill>
    <a:ln w="3175">
      <a:noFill/>
      <a:prstDash val="solid"/>
    </a:ln>
  </c:spPr>
  <c:txPr>
    <a:bodyPr/>
    <a:lstStyle/>
    <a:p>
      <a:pPr>
        <a:defRPr sz="1000" b="0" i="0" u="none" strike="noStrike" baseline="0">
          <a:solidFill>
            <a:srgbClr val="000000"/>
          </a:solidFill>
          <a:latin typeface="Arial" panose="020B0604020202020204" pitchFamily="34" charset="0"/>
          <a:ea typeface="Times New Roman"/>
          <a:cs typeface="Arial" panose="020B0604020202020204" pitchFamily="34" charset="0"/>
        </a:defRPr>
      </a:pPr>
      <a:endParaRPr lang="en-US"/>
    </a:p>
  </c:txPr>
  <c:printSettings>
    <c:headerFooter alignWithMargins="0"/>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549760462385889"/>
          <c:y val="3.6177141700985786E-2"/>
          <c:w val="0.8263350645935591"/>
          <c:h val="0.78360486846245903"/>
        </c:manualLayout>
      </c:layout>
      <c:lineChart>
        <c:grouping val="standard"/>
        <c:varyColors val="0"/>
        <c:ser>
          <c:idx val="0"/>
          <c:order val="0"/>
          <c:tx>
            <c:strRef>
              <c:f>'Price Relationships'!$C$1</c:f>
              <c:strCache>
                <c:ptCount val="1"/>
                <c:pt idx="0">
                  <c:v>Sales Realizations</c:v>
                </c:pt>
              </c:strCache>
            </c:strRef>
          </c:tx>
          <c:spPr>
            <a:ln w="12700">
              <a:solidFill>
                <a:schemeClr val="tx2">
                  <a:lumMod val="40000"/>
                  <a:lumOff val="60000"/>
                </a:schemeClr>
              </a:solidFill>
              <a:prstDash val="solid"/>
            </a:ln>
          </c:spPr>
          <c:marker>
            <c:symbol val="diamond"/>
            <c:size val="5"/>
            <c:spPr>
              <a:solidFill>
                <a:schemeClr val="tx2">
                  <a:lumMod val="40000"/>
                  <a:lumOff val="60000"/>
                </a:schemeClr>
              </a:solidFill>
              <a:ln>
                <a:solidFill>
                  <a:schemeClr val="tx2">
                    <a:lumMod val="40000"/>
                    <a:lumOff val="60000"/>
                  </a:schemeClr>
                </a:solidFill>
                <a:prstDash val="solid"/>
              </a:ln>
            </c:spPr>
          </c:marker>
          <c:cat>
            <c:strRef>
              <c:f>'Price Relationships'!$B$17:$B$76</c:f>
              <c:strCache>
                <c:ptCount val="60"/>
                <c:pt idx="0">
                  <c:v>1Q05</c:v>
                </c:pt>
                <c:pt idx="1">
                  <c:v>2Q05</c:v>
                </c:pt>
                <c:pt idx="2">
                  <c:v>3Q05</c:v>
                </c:pt>
                <c:pt idx="3">
                  <c:v>4Q05</c:v>
                </c:pt>
                <c:pt idx="4">
                  <c:v>1Q06</c:v>
                </c:pt>
                <c:pt idx="5">
                  <c:v>2Q06</c:v>
                </c:pt>
                <c:pt idx="6">
                  <c:v>3Q06</c:v>
                </c:pt>
                <c:pt idx="7">
                  <c:v>4Q06</c:v>
                </c:pt>
                <c:pt idx="8">
                  <c:v>1Q07</c:v>
                </c:pt>
                <c:pt idx="9">
                  <c:v>2Q07</c:v>
                </c:pt>
                <c:pt idx="10">
                  <c:v>3Q07</c:v>
                </c:pt>
                <c:pt idx="11">
                  <c:v>4Q07</c:v>
                </c:pt>
                <c:pt idx="12">
                  <c:v>1Q08</c:v>
                </c:pt>
                <c:pt idx="13">
                  <c:v>2Q08</c:v>
                </c:pt>
                <c:pt idx="14">
                  <c:v>3Q08</c:v>
                </c:pt>
                <c:pt idx="15">
                  <c:v>4Q08</c:v>
                </c:pt>
                <c:pt idx="16">
                  <c:v>1Q09</c:v>
                </c:pt>
                <c:pt idx="17">
                  <c:v>2Q09</c:v>
                </c:pt>
                <c:pt idx="18">
                  <c:v>3Q09</c:v>
                </c:pt>
                <c:pt idx="19">
                  <c:v>4Q09</c:v>
                </c:pt>
                <c:pt idx="20">
                  <c:v>1Q10</c:v>
                </c:pt>
                <c:pt idx="21">
                  <c:v>2Q10</c:v>
                </c:pt>
                <c:pt idx="22">
                  <c:v>3Q10</c:v>
                </c:pt>
                <c:pt idx="23">
                  <c:v>4Q10</c:v>
                </c:pt>
                <c:pt idx="24">
                  <c:v>1Q11</c:v>
                </c:pt>
                <c:pt idx="25">
                  <c:v>2Q11</c:v>
                </c:pt>
                <c:pt idx="26">
                  <c:v>3Q11</c:v>
                </c:pt>
                <c:pt idx="27">
                  <c:v>4Q11</c:v>
                </c:pt>
                <c:pt idx="28">
                  <c:v>1Q12</c:v>
                </c:pt>
                <c:pt idx="29">
                  <c:v>2Q12</c:v>
                </c:pt>
                <c:pt idx="30">
                  <c:v>3Q12</c:v>
                </c:pt>
                <c:pt idx="31">
                  <c:v>4Q12</c:v>
                </c:pt>
                <c:pt idx="32">
                  <c:v>1Q13</c:v>
                </c:pt>
                <c:pt idx="33">
                  <c:v>2Q13</c:v>
                </c:pt>
                <c:pt idx="34">
                  <c:v>3Q13</c:v>
                </c:pt>
                <c:pt idx="35">
                  <c:v>4Q13</c:v>
                </c:pt>
                <c:pt idx="36">
                  <c:v>1Q14</c:v>
                </c:pt>
                <c:pt idx="37">
                  <c:v>2Q14</c:v>
                </c:pt>
                <c:pt idx="38">
                  <c:v>3Q14</c:v>
                </c:pt>
                <c:pt idx="39">
                  <c:v>4Q14</c:v>
                </c:pt>
                <c:pt idx="40">
                  <c:v>1Q15</c:v>
                </c:pt>
                <c:pt idx="41">
                  <c:v>2Q15</c:v>
                </c:pt>
                <c:pt idx="42">
                  <c:v>3Q15</c:v>
                </c:pt>
                <c:pt idx="43">
                  <c:v>4Q15</c:v>
                </c:pt>
                <c:pt idx="44">
                  <c:v>1Q16</c:v>
                </c:pt>
                <c:pt idx="45">
                  <c:v>2Q16</c:v>
                </c:pt>
                <c:pt idx="46">
                  <c:v>3Q16</c:v>
                </c:pt>
                <c:pt idx="47">
                  <c:v>4Q16</c:v>
                </c:pt>
                <c:pt idx="48">
                  <c:v>1Q17</c:v>
                </c:pt>
                <c:pt idx="49">
                  <c:v>2Q17</c:v>
                </c:pt>
                <c:pt idx="50">
                  <c:v>3Q17</c:v>
                </c:pt>
                <c:pt idx="51">
                  <c:v>4Q17</c:v>
                </c:pt>
                <c:pt idx="52">
                  <c:v>1Q18</c:v>
                </c:pt>
                <c:pt idx="53">
                  <c:v>2Q18</c:v>
                </c:pt>
                <c:pt idx="54">
                  <c:v>3Q18</c:v>
                </c:pt>
                <c:pt idx="55">
                  <c:v>4Q18</c:v>
                </c:pt>
                <c:pt idx="56">
                  <c:v>1Q19</c:v>
                </c:pt>
                <c:pt idx="57">
                  <c:v>2Q19</c:v>
                </c:pt>
                <c:pt idx="58">
                  <c:v>3Q19</c:v>
                </c:pt>
                <c:pt idx="59">
                  <c:v>4Q19</c:v>
                </c:pt>
              </c:strCache>
            </c:strRef>
          </c:cat>
          <c:val>
            <c:numRef>
              <c:f>'Price Relationships'!$I$17:$I$76</c:f>
              <c:numCache>
                <c:formatCode>_(* #,##0_);_(* \(#,##0\);_(* "-"??_);_(@_)</c:formatCode>
                <c:ptCount val="60"/>
                <c:pt idx="0">
                  <c:v>763</c:v>
                </c:pt>
                <c:pt idx="1">
                  <c:v>708</c:v>
                </c:pt>
                <c:pt idx="2">
                  <c:v>625</c:v>
                </c:pt>
                <c:pt idx="3">
                  <c:v>684</c:v>
                </c:pt>
                <c:pt idx="4">
                  <c:v>698</c:v>
                </c:pt>
                <c:pt idx="5">
                  <c:v>712</c:v>
                </c:pt>
                <c:pt idx="6">
                  <c:v>746</c:v>
                </c:pt>
                <c:pt idx="7">
                  <c:v>732</c:v>
                </c:pt>
                <c:pt idx="8">
                  <c:v>685</c:v>
                </c:pt>
                <c:pt idx="9">
                  <c:v>741</c:v>
                </c:pt>
                <c:pt idx="10">
                  <c:v>724</c:v>
                </c:pt>
                <c:pt idx="11">
                  <c:v>715</c:v>
                </c:pt>
                <c:pt idx="12">
                  <c:v>751</c:v>
                </c:pt>
                <c:pt idx="13">
                  <c:v>974</c:v>
                </c:pt>
                <c:pt idx="14">
                  <c:v>1289</c:v>
                </c:pt>
                <c:pt idx="15">
                  <c:v>1096</c:v>
                </c:pt>
                <c:pt idx="16">
                  <c:v>714</c:v>
                </c:pt>
                <c:pt idx="17">
                  <c:v>542</c:v>
                </c:pt>
                <c:pt idx="18">
                  <c:v>555</c:v>
                </c:pt>
                <c:pt idx="19">
                  <c:v>595</c:v>
                </c:pt>
                <c:pt idx="20">
                  <c:v>637</c:v>
                </c:pt>
                <c:pt idx="21">
                  <c:v>761</c:v>
                </c:pt>
                <c:pt idx="22">
                  <c:v>752</c:v>
                </c:pt>
                <c:pt idx="23">
                  <c:v>731</c:v>
                </c:pt>
                <c:pt idx="24">
                  <c:v>880</c:v>
                </c:pt>
                <c:pt idx="25">
                  <c:v>1029</c:v>
                </c:pt>
                <c:pt idx="26">
                  <c:v>1021</c:v>
                </c:pt>
                <c:pt idx="27">
                  <c:v>946</c:v>
                </c:pt>
                <c:pt idx="28">
                  <c:v>929</c:v>
                </c:pt>
                <c:pt idx="29">
                  <c:v>922</c:v>
                </c:pt>
                <c:pt idx="30">
                  <c:v>837</c:v>
                </c:pt>
                <c:pt idx="31">
                  <c:v>778</c:v>
                </c:pt>
                <c:pt idx="32">
                  <c:v>769</c:v>
                </c:pt>
                <c:pt idx="33">
                  <c:v>765</c:v>
                </c:pt>
                <c:pt idx="34">
                  <c:v>753</c:v>
                </c:pt>
                <c:pt idx="35">
                  <c:v>767</c:v>
                </c:pt>
                <c:pt idx="36">
                  <c:v>816</c:v>
                </c:pt>
                <c:pt idx="37">
                  <c:v>837</c:v>
                </c:pt>
                <c:pt idx="38">
                  <c:v>863</c:v>
                </c:pt>
                <c:pt idx="39">
                  <c:v>875</c:v>
                </c:pt>
                <c:pt idx="40">
                  <c:v>805</c:v>
                </c:pt>
                <c:pt idx="41">
                  <c:v>691</c:v>
                </c:pt>
                <c:pt idx="42">
                  <c:v>648</c:v>
                </c:pt>
                <c:pt idx="43">
                  <c:v>588</c:v>
                </c:pt>
                <c:pt idx="44">
                  <c:v>545</c:v>
                </c:pt>
                <c:pt idx="45">
                  <c:v>604</c:v>
                </c:pt>
                <c:pt idx="46">
                  <c:v>661</c:v>
                </c:pt>
                <c:pt idx="47">
                  <c:v>584</c:v>
                </c:pt>
                <c:pt idx="48">
                  <c:v>703</c:v>
                </c:pt>
                <c:pt idx="49">
                  <c:v>746</c:v>
                </c:pt>
                <c:pt idx="50">
                  <c:v>749</c:v>
                </c:pt>
                <c:pt idx="51">
                  <c:v>727</c:v>
                </c:pt>
                <c:pt idx="52">
                  <c:v>785</c:v>
                </c:pt>
                <c:pt idx="53">
                  <c:v>911.08845256916993</c:v>
                </c:pt>
                <c:pt idx="54">
                  <c:v>947.47484059288524</c:v>
                </c:pt>
                <c:pt idx="55">
                  <c:v>904.08440116758857</c:v>
                </c:pt>
                <c:pt idx="56">
                  <c:v>934.03232872390493</c:v>
                </c:pt>
                <c:pt idx="57">
                  <c:v>924.40004380882101</c:v>
                </c:pt>
                <c:pt idx="58">
                  <c:v>920.92802716146889</c:v>
                </c:pt>
                <c:pt idx="59">
                  <c:v>887.52537684011065</c:v>
                </c:pt>
              </c:numCache>
            </c:numRef>
          </c:val>
          <c:smooth val="0"/>
        </c:ser>
        <c:ser>
          <c:idx val="1"/>
          <c:order val="1"/>
          <c:tx>
            <c:strRef>
              <c:f>'Price Relationships'!$R$1</c:f>
              <c:strCache>
                <c:ptCount val="1"/>
                <c:pt idx="0">
                  <c:v>Spot Price</c:v>
                </c:pt>
              </c:strCache>
            </c:strRef>
          </c:tx>
          <c:spPr>
            <a:ln w="12700">
              <a:solidFill>
                <a:schemeClr val="tx2">
                  <a:lumMod val="75000"/>
                </a:schemeClr>
              </a:solidFill>
              <a:prstDash val="solid"/>
            </a:ln>
          </c:spPr>
          <c:marker>
            <c:symbol val="square"/>
            <c:size val="5"/>
            <c:spPr>
              <a:solidFill>
                <a:schemeClr val="tx2">
                  <a:lumMod val="75000"/>
                </a:schemeClr>
              </a:solidFill>
              <a:ln>
                <a:solidFill>
                  <a:schemeClr val="tx2">
                    <a:lumMod val="75000"/>
                  </a:schemeClr>
                </a:solidFill>
                <a:prstDash val="solid"/>
              </a:ln>
            </c:spPr>
          </c:marker>
          <c:cat>
            <c:strRef>
              <c:f>'Price Relationships'!$B$17:$B$76</c:f>
              <c:strCache>
                <c:ptCount val="60"/>
                <c:pt idx="0">
                  <c:v>1Q05</c:v>
                </c:pt>
                <c:pt idx="1">
                  <c:v>2Q05</c:v>
                </c:pt>
                <c:pt idx="2">
                  <c:v>3Q05</c:v>
                </c:pt>
                <c:pt idx="3">
                  <c:v>4Q05</c:v>
                </c:pt>
                <c:pt idx="4">
                  <c:v>1Q06</c:v>
                </c:pt>
                <c:pt idx="5">
                  <c:v>2Q06</c:v>
                </c:pt>
                <c:pt idx="6">
                  <c:v>3Q06</c:v>
                </c:pt>
                <c:pt idx="7">
                  <c:v>4Q06</c:v>
                </c:pt>
                <c:pt idx="8">
                  <c:v>1Q07</c:v>
                </c:pt>
                <c:pt idx="9">
                  <c:v>2Q07</c:v>
                </c:pt>
                <c:pt idx="10">
                  <c:v>3Q07</c:v>
                </c:pt>
                <c:pt idx="11">
                  <c:v>4Q07</c:v>
                </c:pt>
                <c:pt idx="12">
                  <c:v>1Q08</c:v>
                </c:pt>
                <c:pt idx="13">
                  <c:v>2Q08</c:v>
                </c:pt>
                <c:pt idx="14">
                  <c:v>3Q08</c:v>
                </c:pt>
                <c:pt idx="15">
                  <c:v>4Q08</c:v>
                </c:pt>
                <c:pt idx="16">
                  <c:v>1Q09</c:v>
                </c:pt>
                <c:pt idx="17">
                  <c:v>2Q09</c:v>
                </c:pt>
                <c:pt idx="18">
                  <c:v>3Q09</c:v>
                </c:pt>
                <c:pt idx="19">
                  <c:v>4Q09</c:v>
                </c:pt>
                <c:pt idx="20">
                  <c:v>1Q10</c:v>
                </c:pt>
                <c:pt idx="21">
                  <c:v>2Q10</c:v>
                </c:pt>
                <c:pt idx="22">
                  <c:v>3Q10</c:v>
                </c:pt>
                <c:pt idx="23">
                  <c:v>4Q10</c:v>
                </c:pt>
                <c:pt idx="24">
                  <c:v>1Q11</c:v>
                </c:pt>
                <c:pt idx="25">
                  <c:v>2Q11</c:v>
                </c:pt>
                <c:pt idx="26">
                  <c:v>3Q11</c:v>
                </c:pt>
                <c:pt idx="27">
                  <c:v>4Q11</c:v>
                </c:pt>
                <c:pt idx="28">
                  <c:v>1Q12</c:v>
                </c:pt>
                <c:pt idx="29">
                  <c:v>2Q12</c:v>
                </c:pt>
                <c:pt idx="30">
                  <c:v>3Q12</c:v>
                </c:pt>
                <c:pt idx="31">
                  <c:v>4Q12</c:v>
                </c:pt>
                <c:pt idx="32">
                  <c:v>1Q13</c:v>
                </c:pt>
                <c:pt idx="33">
                  <c:v>2Q13</c:v>
                </c:pt>
                <c:pt idx="34">
                  <c:v>3Q13</c:v>
                </c:pt>
                <c:pt idx="35">
                  <c:v>4Q13</c:v>
                </c:pt>
                <c:pt idx="36">
                  <c:v>1Q14</c:v>
                </c:pt>
                <c:pt idx="37">
                  <c:v>2Q14</c:v>
                </c:pt>
                <c:pt idx="38">
                  <c:v>3Q14</c:v>
                </c:pt>
                <c:pt idx="39">
                  <c:v>4Q14</c:v>
                </c:pt>
                <c:pt idx="40">
                  <c:v>1Q15</c:v>
                </c:pt>
                <c:pt idx="41">
                  <c:v>2Q15</c:v>
                </c:pt>
                <c:pt idx="42">
                  <c:v>3Q15</c:v>
                </c:pt>
                <c:pt idx="43">
                  <c:v>4Q15</c:v>
                </c:pt>
                <c:pt idx="44">
                  <c:v>1Q16</c:v>
                </c:pt>
                <c:pt idx="45">
                  <c:v>2Q16</c:v>
                </c:pt>
                <c:pt idx="46">
                  <c:v>3Q16</c:v>
                </c:pt>
                <c:pt idx="47">
                  <c:v>4Q16</c:v>
                </c:pt>
                <c:pt idx="48">
                  <c:v>1Q17</c:v>
                </c:pt>
                <c:pt idx="49">
                  <c:v>2Q17</c:v>
                </c:pt>
                <c:pt idx="50">
                  <c:v>3Q17</c:v>
                </c:pt>
                <c:pt idx="51">
                  <c:v>4Q17</c:v>
                </c:pt>
                <c:pt idx="52">
                  <c:v>1Q18</c:v>
                </c:pt>
                <c:pt idx="53">
                  <c:v>2Q18</c:v>
                </c:pt>
                <c:pt idx="54">
                  <c:v>3Q18</c:v>
                </c:pt>
                <c:pt idx="55">
                  <c:v>4Q18</c:v>
                </c:pt>
                <c:pt idx="56">
                  <c:v>1Q19</c:v>
                </c:pt>
                <c:pt idx="57">
                  <c:v>2Q19</c:v>
                </c:pt>
                <c:pt idx="58">
                  <c:v>3Q19</c:v>
                </c:pt>
                <c:pt idx="59">
                  <c:v>4Q19</c:v>
                </c:pt>
              </c:strCache>
            </c:strRef>
          </c:cat>
          <c:val>
            <c:numRef>
              <c:f>'Price Relationships'!$AB$17:$AB$76</c:f>
              <c:numCache>
                <c:formatCode>_(* #,##0_);_(* \(#,##0\);_(* "-"??_);_(@_)</c:formatCode>
                <c:ptCount val="60"/>
                <c:pt idx="0">
                  <c:v>776.33333333333337</c:v>
                </c:pt>
                <c:pt idx="1">
                  <c:v>742</c:v>
                </c:pt>
                <c:pt idx="2">
                  <c:v>690</c:v>
                </c:pt>
                <c:pt idx="3">
                  <c:v>765</c:v>
                </c:pt>
                <c:pt idx="4">
                  <c:v>765</c:v>
                </c:pt>
                <c:pt idx="5">
                  <c:v>776.66666666666663</c:v>
                </c:pt>
                <c:pt idx="6">
                  <c:v>796.66666666666663</c:v>
                </c:pt>
                <c:pt idx="7">
                  <c:v>790</c:v>
                </c:pt>
                <c:pt idx="8">
                  <c:v>760</c:v>
                </c:pt>
                <c:pt idx="9">
                  <c:v>800</c:v>
                </c:pt>
                <c:pt idx="10">
                  <c:v>790</c:v>
                </c:pt>
                <c:pt idx="11">
                  <c:v>790</c:v>
                </c:pt>
                <c:pt idx="12">
                  <c:v>910</c:v>
                </c:pt>
                <c:pt idx="13">
                  <c:v>1235</c:v>
                </c:pt>
                <c:pt idx="14">
                  <c:v>1443.3333333333333</c:v>
                </c:pt>
                <c:pt idx="15">
                  <c:v>1130</c:v>
                </c:pt>
                <c:pt idx="16">
                  <c:v>743.33333333333337</c:v>
                </c:pt>
                <c:pt idx="17">
                  <c:v>566.66666666666663</c:v>
                </c:pt>
                <c:pt idx="18">
                  <c:v>600</c:v>
                </c:pt>
                <c:pt idx="19">
                  <c:v>596.66666666666663</c:v>
                </c:pt>
                <c:pt idx="20">
                  <c:v>681.66666666666663</c:v>
                </c:pt>
                <c:pt idx="21">
                  <c:v>823.33333333333337</c:v>
                </c:pt>
                <c:pt idx="22">
                  <c:v>755.66666666666663</c:v>
                </c:pt>
                <c:pt idx="23">
                  <c:v>736.66666666666663</c:v>
                </c:pt>
                <c:pt idx="24">
                  <c:v>943.33333333333337</c:v>
                </c:pt>
                <c:pt idx="25">
                  <c:v>1040</c:v>
                </c:pt>
                <c:pt idx="26">
                  <c:v>994.00087695424725</c:v>
                </c:pt>
                <c:pt idx="27">
                  <c:v>904.66666666666663</c:v>
                </c:pt>
                <c:pt idx="28">
                  <c:v>914.66666666666663</c:v>
                </c:pt>
                <c:pt idx="29">
                  <c:v>870.66666666666663</c:v>
                </c:pt>
                <c:pt idx="30">
                  <c:v>781</c:v>
                </c:pt>
                <c:pt idx="31">
                  <c:v>700.33333333333337</c:v>
                </c:pt>
                <c:pt idx="32">
                  <c:v>718</c:v>
                </c:pt>
                <c:pt idx="33">
                  <c:v>718</c:v>
                </c:pt>
                <c:pt idx="34">
                  <c:v>706.33333333333337</c:v>
                </c:pt>
                <c:pt idx="35">
                  <c:v>721.33333333333337</c:v>
                </c:pt>
                <c:pt idx="36">
                  <c:v>787</c:v>
                </c:pt>
                <c:pt idx="37">
                  <c:v>811.66666666666663</c:v>
                </c:pt>
                <c:pt idx="38">
                  <c:v>846.66666666666663</c:v>
                </c:pt>
                <c:pt idx="39">
                  <c:v>794</c:v>
                </c:pt>
                <c:pt idx="40">
                  <c:v>664.33333333333337</c:v>
                </c:pt>
                <c:pt idx="41">
                  <c:v>581.33333333333337</c:v>
                </c:pt>
                <c:pt idx="42">
                  <c:v>540.66666666666663</c:v>
                </c:pt>
                <c:pt idx="43">
                  <c:v>458.66666666666669</c:v>
                </c:pt>
                <c:pt idx="44">
                  <c:v>473.33333333333331</c:v>
                </c:pt>
                <c:pt idx="45">
                  <c:v>622</c:v>
                </c:pt>
                <c:pt idx="46">
                  <c:v>570.33333333333337</c:v>
                </c:pt>
                <c:pt idx="47">
                  <c:v>509.66666666666669</c:v>
                </c:pt>
                <c:pt idx="48">
                  <c:v>682</c:v>
                </c:pt>
                <c:pt idx="49">
                  <c:v>717.78260869565213</c:v>
                </c:pt>
                <c:pt idx="50">
                  <c:v>691.80105401844537</c:v>
                </c:pt>
                <c:pt idx="51">
                  <c:v>640.61304347826081</c:v>
                </c:pt>
                <c:pt idx="52">
                  <c:v>819.5927865612648</c:v>
                </c:pt>
                <c:pt idx="53">
                  <c:v>965</c:v>
                </c:pt>
                <c:pt idx="54">
                  <c:v>910</c:v>
                </c:pt>
                <c:pt idx="55">
                  <c:v>865</c:v>
                </c:pt>
                <c:pt idx="56">
                  <c:v>880</c:v>
                </c:pt>
                <c:pt idx="57">
                  <c:v>850</c:v>
                </c:pt>
                <c:pt idx="58">
                  <c:v>840</c:v>
                </c:pt>
                <c:pt idx="59">
                  <c:v>795</c:v>
                </c:pt>
              </c:numCache>
            </c:numRef>
          </c:val>
          <c:smooth val="0"/>
        </c:ser>
        <c:dLbls>
          <c:showLegendKey val="0"/>
          <c:showVal val="0"/>
          <c:showCatName val="0"/>
          <c:showSerName val="0"/>
          <c:showPercent val="0"/>
          <c:showBubbleSize val="0"/>
        </c:dLbls>
        <c:marker val="1"/>
        <c:smooth val="0"/>
        <c:axId val="651604736"/>
        <c:axId val="651609984"/>
      </c:lineChart>
      <c:catAx>
        <c:axId val="651604736"/>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a:pPr>
            <a:endParaRPr lang="en-US"/>
          </a:p>
        </c:txPr>
        <c:crossAx val="651609984"/>
        <c:crosses val="autoZero"/>
        <c:auto val="1"/>
        <c:lblAlgn val="ctr"/>
        <c:lblOffset val="100"/>
        <c:tickLblSkip val="4"/>
        <c:tickMarkSkip val="1"/>
        <c:noMultiLvlLbl val="0"/>
      </c:catAx>
      <c:valAx>
        <c:axId val="651609984"/>
        <c:scaling>
          <c:orientation val="minMax"/>
          <c:min val="400"/>
        </c:scaling>
        <c:delete val="0"/>
        <c:axPos val="l"/>
        <c:title>
          <c:tx>
            <c:rich>
              <a:bodyPr/>
              <a:lstStyle/>
              <a:p>
                <a:pPr>
                  <a:defRPr b="1"/>
                </a:pPr>
                <a:r>
                  <a:rPr lang="en-US" b="1"/>
                  <a:t>$/ton</a:t>
                </a:r>
              </a:p>
            </c:rich>
          </c:tx>
          <c:layout>
            <c:manualLayout>
              <c:xMode val="edge"/>
              <c:yMode val="edge"/>
              <c:x val="7.5326667728195006E-3"/>
              <c:y val="0.39338233479846785"/>
            </c:manualLayout>
          </c:layout>
          <c:overlay val="0"/>
          <c:spPr>
            <a:noFill/>
            <a:ln w="25400">
              <a:noFill/>
            </a:ln>
          </c:spPr>
        </c:title>
        <c:numFmt formatCode="_(* #,##0_);_(* \(#,##0\);_(* &quot;-&quot;??_);_(@_)" sourceLinked="1"/>
        <c:majorTickMark val="out"/>
        <c:minorTickMark val="none"/>
        <c:tickLblPos val="nextTo"/>
        <c:spPr>
          <a:ln w="3175">
            <a:solidFill>
              <a:srgbClr val="000000"/>
            </a:solidFill>
            <a:prstDash val="solid"/>
          </a:ln>
        </c:spPr>
        <c:txPr>
          <a:bodyPr rot="0" vert="horz"/>
          <a:lstStyle/>
          <a:p>
            <a:pPr>
              <a:defRPr/>
            </a:pPr>
            <a:endParaRPr lang="en-US"/>
          </a:p>
        </c:txPr>
        <c:crossAx val="651604736"/>
        <c:crosses val="autoZero"/>
        <c:crossBetween val="between"/>
      </c:valAx>
      <c:spPr>
        <a:noFill/>
        <a:ln w="3175">
          <a:solidFill>
            <a:srgbClr val="000000"/>
          </a:solidFill>
          <a:prstDash val="solid"/>
        </a:ln>
      </c:spPr>
    </c:plotArea>
    <c:legend>
      <c:legendPos val="r"/>
      <c:layout>
        <c:manualLayout>
          <c:xMode val="edge"/>
          <c:yMode val="edge"/>
          <c:x val="0.62036570428696414"/>
          <c:y val="8.7207640711577702E-2"/>
          <c:w val="0.34135073535063359"/>
          <c:h val="0.15418379459318698"/>
        </c:manualLayout>
      </c:layout>
      <c:overlay val="0"/>
      <c:spPr>
        <a:noFill/>
        <a:ln w="25400">
          <a:noFill/>
        </a:ln>
      </c:spPr>
    </c:legend>
    <c:plotVisOnly val="1"/>
    <c:dispBlanksAs val="gap"/>
    <c:showDLblsOverMax val="0"/>
  </c:chart>
  <c:spPr>
    <a:solidFill>
      <a:srgbClr val="FFFFFF"/>
    </a:solidFill>
    <a:ln w="3175">
      <a:noFill/>
      <a:prstDash val="solid"/>
    </a:ln>
  </c:spPr>
  <c:txPr>
    <a:bodyPr/>
    <a:lstStyle/>
    <a:p>
      <a:pPr>
        <a:defRPr sz="1000" b="0" i="0" u="none" strike="noStrike" baseline="0">
          <a:solidFill>
            <a:srgbClr val="000000"/>
          </a:solidFill>
          <a:latin typeface="Arial" panose="020B0604020202020204" pitchFamily="34" charset="0"/>
          <a:ea typeface="Times New Roman"/>
          <a:cs typeface="Arial" panose="020B0604020202020204" pitchFamily="34" charset="0"/>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10386865322071"/>
          <c:y val="2.3030303030303029E-2"/>
          <c:w val="0.8531874855674253"/>
          <c:h val="0.80327808489631003"/>
        </c:manualLayout>
      </c:layout>
      <c:lineChart>
        <c:grouping val="standard"/>
        <c:varyColors val="0"/>
        <c:ser>
          <c:idx val="0"/>
          <c:order val="0"/>
          <c:tx>
            <c:strRef>
              <c:f>'Price Relationships'!$C$1</c:f>
              <c:strCache>
                <c:ptCount val="1"/>
                <c:pt idx="0">
                  <c:v>Sales Realizations</c:v>
                </c:pt>
              </c:strCache>
            </c:strRef>
          </c:tx>
          <c:spPr>
            <a:ln w="12700">
              <a:solidFill>
                <a:schemeClr val="tx2">
                  <a:lumMod val="40000"/>
                  <a:lumOff val="60000"/>
                </a:schemeClr>
              </a:solidFill>
              <a:prstDash val="solid"/>
            </a:ln>
          </c:spPr>
          <c:marker>
            <c:symbol val="diamond"/>
            <c:size val="5"/>
            <c:spPr>
              <a:solidFill>
                <a:schemeClr val="tx2">
                  <a:lumMod val="40000"/>
                  <a:lumOff val="60000"/>
                </a:schemeClr>
              </a:solidFill>
              <a:ln>
                <a:solidFill>
                  <a:schemeClr val="tx2">
                    <a:lumMod val="40000"/>
                    <a:lumOff val="60000"/>
                  </a:schemeClr>
                </a:solidFill>
                <a:prstDash val="solid"/>
              </a:ln>
            </c:spPr>
          </c:marker>
          <c:cat>
            <c:strRef>
              <c:f>'Price Relationships'!$B$9:$B$76</c:f>
              <c:strCache>
                <c:ptCount val="68"/>
                <c:pt idx="0">
                  <c:v>1Q03</c:v>
                </c:pt>
                <c:pt idx="1">
                  <c:v>2Q03</c:v>
                </c:pt>
                <c:pt idx="2">
                  <c:v>3Q03</c:v>
                </c:pt>
                <c:pt idx="3">
                  <c:v>4Q03</c:v>
                </c:pt>
                <c:pt idx="4">
                  <c:v>1Q04</c:v>
                </c:pt>
                <c:pt idx="5">
                  <c:v>2Q04</c:v>
                </c:pt>
                <c:pt idx="6">
                  <c:v>3Q04</c:v>
                </c:pt>
                <c:pt idx="7">
                  <c:v>4Q04</c:v>
                </c:pt>
                <c:pt idx="8">
                  <c:v>1Q05</c:v>
                </c:pt>
                <c:pt idx="9">
                  <c:v>2Q05</c:v>
                </c:pt>
                <c:pt idx="10">
                  <c:v>3Q05</c:v>
                </c:pt>
                <c:pt idx="11">
                  <c:v>4Q05</c:v>
                </c:pt>
                <c:pt idx="12">
                  <c:v>1Q06</c:v>
                </c:pt>
                <c:pt idx="13">
                  <c:v>2Q06</c:v>
                </c:pt>
                <c:pt idx="14">
                  <c:v>3Q06</c:v>
                </c:pt>
                <c:pt idx="15">
                  <c:v>4Q06</c:v>
                </c:pt>
                <c:pt idx="16">
                  <c:v>1Q07</c:v>
                </c:pt>
                <c:pt idx="17">
                  <c:v>2Q07</c:v>
                </c:pt>
                <c:pt idx="18">
                  <c:v>3Q07</c:v>
                </c:pt>
                <c:pt idx="19">
                  <c:v>4Q07</c:v>
                </c:pt>
                <c:pt idx="20">
                  <c:v>1Q08</c:v>
                </c:pt>
                <c:pt idx="21">
                  <c:v>2Q08</c:v>
                </c:pt>
                <c:pt idx="22">
                  <c:v>3Q08</c:v>
                </c:pt>
                <c:pt idx="23">
                  <c:v>4Q08</c:v>
                </c:pt>
                <c:pt idx="24">
                  <c:v>1Q09</c:v>
                </c:pt>
                <c:pt idx="25">
                  <c:v>2Q09</c:v>
                </c:pt>
                <c:pt idx="26">
                  <c:v>3Q09</c:v>
                </c:pt>
                <c:pt idx="27">
                  <c:v>4Q09</c:v>
                </c:pt>
                <c:pt idx="28">
                  <c:v>1Q10</c:v>
                </c:pt>
                <c:pt idx="29">
                  <c:v>2Q10</c:v>
                </c:pt>
                <c:pt idx="30">
                  <c:v>3Q10</c:v>
                </c:pt>
                <c:pt idx="31">
                  <c:v>4Q10</c:v>
                </c:pt>
                <c:pt idx="32">
                  <c:v>1Q11</c:v>
                </c:pt>
                <c:pt idx="33">
                  <c:v>2Q11</c:v>
                </c:pt>
                <c:pt idx="34">
                  <c:v>3Q11</c:v>
                </c:pt>
                <c:pt idx="35">
                  <c:v>4Q11</c:v>
                </c:pt>
                <c:pt idx="36">
                  <c:v>1Q12</c:v>
                </c:pt>
                <c:pt idx="37">
                  <c:v>2Q12</c:v>
                </c:pt>
                <c:pt idx="38">
                  <c:v>3Q12</c:v>
                </c:pt>
                <c:pt idx="39">
                  <c:v>4Q12</c:v>
                </c:pt>
                <c:pt idx="40">
                  <c:v>1Q13</c:v>
                </c:pt>
                <c:pt idx="41">
                  <c:v>2Q13</c:v>
                </c:pt>
                <c:pt idx="42">
                  <c:v>3Q13</c:v>
                </c:pt>
                <c:pt idx="43">
                  <c:v>4Q13</c:v>
                </c:pt>
                <c:pt idx="44">
                  <c:v>1Q14</c:v>
                </c:pt>
                <c:pt idx="45">
                  <c:v>2Q14</c:v>
                </c:pt>
                <c:pt idx="46">
                  <c:v>3Q14</c:v>
                </c:pt>
                <c:pt idx="47">
                  <c:v>4Q14</c:v>
                </c:pt>
                <c:pt idx="48">
                  <c:v>1Q15</c:v>
                </c:pt>
                <c:pt idx="49">
                  <c:v>2Q15</c:v>
                </c:pt>
                <c:pt idx="50">
                  <c:v>3Q15</c:v>
                </c:pt>
                <c:pt idx="51">
                  <c:v>4Q15</c:v>
                </c:pt>
                <c:pt idx="52">
                  <c:v>1Q16</c:v>
                </c:pt>
                <c:pt idx="53">
                  <c:v>2Q16</c:v>
                </c:pt>
                <c:pt idx="54">
                  <c:v>3Q16</c:v>
                </c:pt>
                <c:pt idx="55">
                  <c:v>4Q16</c:v>
                </c:pt>
                <c:pt idx="56">
                  <c:v>1Q17</c:v>
                </c:pt>
                <c:pt idx="57">
                  <c:v>2Q17</c:v>
                </c:pt>
                <c:pt idx="58">
                  <c:v>3Q17</c:v>
                </c:pt>
                <c:pt idx="59">
                  <c:v>4Q17</c:v>
                </c:pt>
                <c:pt idx="60">
                  <c:v>1Q18</c:v>
                </c:pt>
                <c:pt idx="61">
                  <c:v>2Q18</c:v>
                </c:pt>
                <c:pt idx="62">
                  <c:v>3Q18</c:v>
                </c:pt>
                <c:pt idx="63">
                  <c:v>4Q18</c:v>
                </c:pt>
                <c:pt idx="64">
                  <c:v>1Q19</c:v>
                </c:pt>
                <c:pt idx="65">
                  <c:v>2Q19</c:v>
                </c:pt>
                <c:pt idx="66">
                  <c:v>3Q19</c:v>
                </c:pt>
                <c:pt idx="67">
                  <c:v>4Q19</c:v>
                </c:pt>
              </c:strCache>
            </c:strRef>
          </c:cat>
          <c:val>
            <c:numRef>
              <c:f>'Price Relationships'!$K$9:$K$76</c:f>
              <c:numCache>
                <c:formatCode>_(* #,##0_);_(* \(#,##0\);_(* "-"??_);_(@_)</c:formatCode>
                <c:ptCount val="68"/>
                <c:pt idx="0">
                  <c:v>122</c:v>
                </c:pt>
                <c:pt idx="1">
                  <c:v>131</c:v>
                </c:pt>
                <c:pt idx="2">
                  <c:v>137</c:v>
                </c:pt>
                <c:pt idx="3">
                  <c:v>158</c:v>
                </c:pt>
                <c:pt idx="4">
                  <c:v>200</c:v>
                </c:pt>
                <c:pt idx="5">
                  <c:v>227</c:v>
                </c:pt>
                <c:pt idx="6">
                  <c:v>248</c:v>
                </c:pt>
                <c:pt idx="7">
                  <c:v>278</c:v>
                </c:pt>
                <c:pt idx="8">
                  <c:v>272</c:v>
                </c:pt>
                <c:pt idx="9">
                  <c:v>246</c:v>
                </c:pt>
                <c:pt idx="10">
                  <c:v>217</c:v>
                </c:pt>
                <c:pt idx="11">
                  <c:v>240</c:v>
                </c:pt>
                <c:pt idx="12">
                  <c:v>237</c:v>
                </c:pt>
                <c:pt idx="13">
                  <c:v>247</c:v>
                </c:pt>
                <c:pt idx="14">
                  <c:v>257</c:v>
                </c:pt>
                <c:pt idx="15">
                  <c:v>243</c:v>
                </c:pt>
                <c:pt idx="16">
                  <c:v>259</c:v>
                </c:pt>
                <c:pt idx="17">
                  <c:v>291</c:v>
                </c:pt>
                <c:pt idx="18">
                  <c:v>277</c:v>
                </c:pt>
                <c:pt idx="19">
                  <c:v>285</c:v>
                </c:pt>
                <c:pt idx="20">
                  <c:v>333</c:v>
                </c:pt>
                <c:pt idx="21">
                  <c:v>456</c:v>
                </c:pt>
                <c:pt idx="22">
                  <c:v>533</c:v>
                </c:pt>
                <c:pt idx="23">
                  <c:v>435</c:v>
                </c:pt>
                <c:pt idx="24">
                  <c:v>333</c:v>
                </c:pt>
                <c:pt idx="25">
                  <c:v>312</c:v>
                </c:pt>
                <c:pt idx="26">
                  <c:v>299</c:v>
                </c:pt>
                <c:pt idx="27">
                  <c:v>276</c:v>
                </c:pt>
                <c:pt idx="28">
                  <c:v>318</c:v>
                </c:pt>
                <c:pt idx="29">
                  <c:v>373</c:v>
                </c:pt>
                <c:pt idx="30">
                  <c:v>354</c:v>
                </c:pt>
                <c:pt idx="31">
                  <c:v>359</c:v>
                </c:pt>
                <c:pt idx="32">
                  <c:v>424</c:v>
                </c:pt>
                <c:pt idx="33">
                  <c:v>444</c:v>
                </c:pt>
                <c:pt idx="34">
                  <c:v>449</c:v>
                </c:pt>
                <c:pt idx="35">
                  <c:v>441</c:v>
                </c:pt>
                <c:pt idx="36">
                  <c:v>445</c:v>
                </c:pt>
                <c:pt idx="37">
                  <c:v>427</c:v>
                </c:pt>
                <c:pt idx="38">
                  <c:v>380</c:v>
                </c:pt>
                <c:pt idx="39">
                  <c:v>372</c:v>
                </c:pt>
                <c:pt idx="40">
                  <c:v>379</c:v>
                </c:pt>
                <c:pt idx="41">
                  <c:v>377</c:v>
                </c:pt>
                <c:pt idx="42">
                  <c:v>372</c:v>
                </c:pt>
                <c:pt idx="43">
                  <c:v>377</c:v>
                </c:pt>
                <c:pt idx="44">
                  <c:v>398</c:v>
                </c:pt>
                <c:pt idx="45">
                  <c:v>384</c:v>
                </c:pt>
                <c:pt idx="46">
                  <c:v>379</c:v>
                </c:pt>
                <c:pt idx="47">
                  <c:v>363</c:v>
                </c:pt>
                <c:pt idx="48">
                  <c:v>324</c:v>
                </c:pt>
                <c:pt idx="49">
                  <c:v>271</c:v>
                </c:pt>
                <c:pt idx="50">
                  <c:v>262</c:v>
                </c:pt>
                <c:pt idx="51">
                  <c:v>219</c:v>
                </c:pt>
                <c:pt idx="52">
                  <c:v>193</c:v>
                </c:pt>
                <c:pt idx="53">
                  <c:v>232</c:v>
                </c:pt>
                <c:pt idx="54">
                  <c:v>252</c:v>
                </c:pt>
                <c:pt idx="55">
                  <c:v>236</c:v>
                </c:pt>
                <c:pt idx="56">
                  <c:v>284</c:v>
                </c:pt>
                <c:pt idx="57">
                  <c:v>313</c:v>
                </c:pt>
                <c:pt idx="58">
                  <c:v>317</c:v>
                </c:pt>
                <c:pt idx="59">
                  <c:v>317</c:v>
                </c:pt>
                <c:pt idx="60">
                  <c:v>337</c:v>
                </c:pt>
                <c:pt idx="61">
                  <c:v>359.98500000000001</c:v>
                </c:pt>
                <c:pt idx="62">
                  <c:v>367.78107499999999</c:v>
                </c:pt>
                <c:pt idx="63">
                  <c:v>366.53973962499998</c:v>
                </c:pt>
                <c:pt idx="64">
                  <c:v>369.7211450768749</c:v>
                </c:pt>
                <c:pt idx="65">
                  <c:v>373.57408132074056</c:v>
                </c:pt>
                <c:pt idx="66">
                  <c:v>371.94657838584061</c:v>
                </c:pt>
                <c:pt idx="67">
                  <c:v>367.56821413957516</c:v>
                </c:pt>
              </c:numCache>
            </c:numRef>
          </c:val>
          <c:smooth val="0"/>
        </c:ser>
        <c:ser>
          <c:idx val="1"/>
          <c:order val="1"/>
          <c:tx>
            <c:strRef>
              <c:f>'Price Relationships'!$R$1</c:f>
              <c:strCache>
                <c:ptCount val="1"/>
                <c:pt idx="0">
                  <c:v>Spot Price</c:v>
                </c:pt>
              </c:strCache>
            </c:strRef>
          </c:tx>
          <c:spPr>
            <a:ln w="12700">
              <a:solidFill>
                <a:schemeClr val="tx2">
                  <a:lumMod val="75000"/>
                </a:schemeClr>
              </a:solidFill>
              <a:prstDash val="solid"/>
            </a:ln>
          </c:spPr>
          <c:marker>
            <c:symbol val="square"/>
            <c:size val="5"/>
            <c:spPr>
              <a:solidFill>
                <a:schemeClr val="tx2">
                  <a:lumMod val="75000"/>
                </a:schemeClr>
              </a:solidFill>
              <a:ln>
                <a:solidFill>
                  <a:schemeClr val="tx2">
                    <a:lumMod val="75000"/>
                  </a:schemeClr>
                </a:solidFill>
                <a:prstDash val="solid"/>
              </a:ln>
            </c:spPr>
          </c:marker>
          <c:cat>
            <c:strRef>
              <c:f>'Price Relationships'!$B$9:$B$76</c:f>
              <c:strCache>
                <c:ptCount val="68"/>
                <c:pt idx="0">
                  <c:v>1Q03</c:v>
                </c:pt>
                <c:pt idx="1">
                  <c:v>2Q03</c:v>
                </c:pt>
                <c:pt idx="2">
                  <c:v>3Q03</c:v>
                </c:pt>
                <c:pt idx="3">
                  <c:v>4Q03</c:v>
                </c:pt>
                <c:pt idx="4">
                  <c:v>1Q04</c:v>
                </c:pt>
                <c:pt idx="5">
                  <c:v>2Q04</c:v>
                </c:pt>
                <c:pt idx="6">
                  <c:v>3Q04</c:v>
                </c:pt>
                <c:pt idx="7">
                  <c:v>4Q04</c:v>
                </c:pt>
                <c:pt idx="8">
                  <c:v>1Q05</c:v>
                </c:pt>
                <c:pt idx="9">
                  <c:v>2Q05</c:v>
                </c:pt>
                <c:pt idx="10">
                  <c:v>3Q05</c:v>
                </c:pt>
                <c:pt idx="11">
                  <c:v>4Q05</c:v>
                </c:pt>
                <c:pt idx="12">
                  <c:v>1Q06</c:v>
                </c:pt>
                <c:pt idx="13">
                  <c:v>2Q06</c:v>
                </c:pt>
                <c:pt idx="14">
                  <c:v>3Q06</c:v>
                </c:pt>
                <c:pt idx="15">
                  <c:v>4Q06</c:v>
                </c:pt>
                <c:pt idx="16">
                  <c:v>1Q07</c:v>
                </c:pt>
                <c:pt idx="17">
                  <c:v>2Q07</c:v>
                </c:pt>
                <c:pt idx="18">
                  <c:v>3Q07</c:v>
                </c:pt>
                <c:pt idx="19">
                  <c:v>4Q07</c:v>
                </c:pt>
                <c:pt idx="20">
                  <c:v>1Q08</c:v>
                </c:pt>
                <c:pt idx="21">
                  <c:v>2Q08</c:v>
                </c:pt>
                <c:pt idx="22">
                  <c:v>3Q08</c:v>
                </c:pt>
                <c:pt idx="23">
                  <c:v>4Q08</c:v>
                </c:pt>
                <c:pt idx="24">
                  <c:v>1Q09</c:v>
                </c:pt>
                <c:pt idx="25">
                  <c:v>2Q09</c:v>
                </c:pt>
                <c:pt idx="26">
                  <c:v>3Q09</c:v>
                </c:pt>
                <c:pt idx="27">
                  <c:v>4Q09</c:v>
                </c:pt>
                <c:pt idx="28">
                  <c:v>1Q10</c:v>
                </c:pt>
                <c:pt idx="29">
                  <c:v>2Q10</c:v>
                </c:pt>
                <c:pt idx="30">
                  <c:v>3Q10</c:v>
                </c:pt>
                <c:pt idx="31">
                  <c:v>4Q10</c:v>
                </c:pt>
                <c:pt idx="32">
                  <c:v>1Q11</c:v>
                </c:pt>
                <c:pt idx="33">
                  <c:v>2Q11</c:v>
                </c:pt>
                <c:pt idx="34">
                  <c:v>3Q11</c:v>
                </c:pt>
                <c:pt idx="35">
                  <c:v>4Q11</c:v>
                </c:pt>
                <c:pt idx="36">
                  <c:v>1Q12</c:v>
                </c:pt>
                <c:pt idx="37">
                  <c:v>2Q12</c:v>
                </c:pt>
                <c:pt idx="38">
                  <c:v>3Q12</c:v>
                </c:pt>
                <c:pt idx="39">
                  <c:v>4Q12</c:v>
                </c:pt>
                <c:pt idx="40">
                  <c:v>1Q13</c:v>
                </c:pt>
                <c:pt idx="41">
                  <c:v>2Q13</c:v>
                </c:pt>
                <c:pt idx="42">
                  <c:v>3Q13</c:v>
                </c:pt>
                <c:pt idx="43">
                  <c:v>4Q13</c:v>
                </c:pt>
                <c:pt idx="44">
                  <c:v>1Q14</c:v>
                </c:pt>
                <c:pt idx="45">
                  <c:v>2Q14</c:v>
                </c:pt>
                <c:pt idx="46">
                  <c:v>3Q14</c:v>
                </c:pt>
                <c:pt idx="47">
                  <c:v>4Q14</c:v>
                </c:pt>
                <c:pt idx="48">
                  <c:v>1Q15</c:v>
                </c:pt>
                <c:pt idx="49">
                  <c:v>2Q15</c:v>
                </c:pt>
                <c:pt idx="50">
                  <c:v>3Q15</c:v>
                </c:pt>
                <c:pt idx="51">
                  <c:v>4Q15</c:v>
                </c:pt>
                <c:pt idx="52">
                  <c:v>1Q16</c:v>
                </c:pt>
                <c:pt idx="53">
                  <c:v>2Q16</c:v>
                </c:pt>
                <c:pt idx="54">
                  <c:v>3Q16</c:v>
                </c:pt>
                <c:pt idx="55">
                  <c:v>4Q16</c:v>
                </c:pt>
                <c:pt idx="56">
                  <c:v>1Q17</c:v>
                </c:pt>
                <c:pt idx="57">
                  <c:v>2Q17</c:v>
                </c:pt>
                <c:pt idx="58">
                  <c:v>3Q17</c:v>
                </c:pt>
                <c:pt idx="59">
                  <c:v>4Q17</c:v>
                </c:pt>
                <c:pt idx="60">
                  <c:v>1Q18</c:v>
                </c:pt>
                <c:pt idx="61">
                  <c:v>2Q18</c:v>
                </c:pt>
                <c:pt idx="62">
                  <c:v>3Q18</c:v>
                </c:pt>
                <c:pt idx="63">
                  <c:v>4Q18</c:v>
                </c:pt>
                <c:pt idx="64">
                  <c:v>1Q19</c:v>
                </c:pt>
                <c:pt idx="65">
                  <c:v>2Q19</c:v>
                </c:pt>
                <c:pt idx="66">
                  <c:v>3Q19</c:v>
                </c:pt>
                <c:pt idx="67">
                  <c:v>4Q19</c:v>
                </c:pt>
              </c:strCache>
            </c:strRef>
          </c:cat>
          <c:val>
            <c:numRef>
              <c:f>'Price Relationships'!$AF$9:$AF$76</c:f>
              <c:numCache>
                <c:formatCode>_(* #,##0_);_(* \(#,##0\);_(* "-"??_);_(@_)</c:formatCode>
                <c:ptCount val="68"/>
                <c:pt idx="0">
                  <c:v>117.87961078290965</c:v>
                </c:pt>
                <c:pt idx="1">
                  <c:v>121.24035714285714</c:v>
                </c:pt>
                <c:pt idx="2">
                  <c:v>130.59715780251491</c:v>
                </c:pt>
                <c:pt idx="3">
                  <c:v>153.31597789115642</c:v>
                </c:pt>
                <c:pt idx="4">
                  <c:v>255.03244088482074</c:v>
                </c:pt>
                <c:pt idx="5">
                  <c:v>235.16350937950938</c:v>
                </c:pt>
                <c:pt idx="6">
                  <c:v>332.27068326118331</c:v>
                </c:pt>
                <c:pt idx="7">
                  <c:v>370.29288095238098</c:v>
                </c:pt>
                <c:pt idx="8">
                  <c:v>284.65147200610215</c:v>
                </c:pt>
                <c:pt idx="9">
                  <c:v>205.78440721500721</c:v>
                </c:pt>
                <c:pt idx="10">
                  <c:v>222.89434927536232</c:v>
                </c:pt>
                <c:pt idx="11">
                  <c:v>259.38583492063492</c:v>
                </c:pt>
                <c:pt idx="12">
                  <c:v>257.45242982456142</c:v>
                </c:pt>
                <c:pt idx="13">
                  <c:v>299.72194545454545</c:v>
                </c:pt>
                <c:pt idx="14">
                  <c:v>283.84397971014494</c:v>
                </c:pt>
                <c:pt idx="15">
                  <c:v>230.37093333333337</c:v>
                </c:pt>
                <c:pt idx="16">
                  <c:v>300.76840899470898</c:v>
                </c:pt>
                <c:pt idx="17">
                  <c:v>302.35169999999999</c:v>
                </c:pt>
                <c:pt idx="18">
                  <c:v>301.59863333333334</c:v>
                </c:pt>
                <c:pt idx="19">
                  <c:v>311.94453333333337</c:v>
                </c:pt>
                <c:pt idx="20">
                  <c:v>407.54576666666662</c:v>
                </c:pt>
                <c:pt idx="21">
                  <c:v>638.06313333333344</c:v>
                </c:pt>
                <c:pt idx="22">
                  <c:v>687.54036666666673</c:v>
                </c:pt>
                <c:pt idx="23">
                  <c:v>210.26816666666667</c:v>
                </c:pt>
                <c:pt idx="24">
                  <c:v>222.03196666666668</c:v>
                </c:pt>
                <c:pt idx="25">
                  <c:v>196.42743333333334</c:v>
                </c:pt>
                <c:pt idx="26">
                  <c:v>300.48076666666668</c:v>
                </c:pt>
                <c:pt idx="27">
                  <c:v>293.92256666666668</c:v>
                </c:pt>
                <c:pt idx="28">
                  <c:v>395.76593333333335</c:v>
                </c:pt>
                <c:pt idx="29">
                  <c:v>434.7007333333334</c:v>
                </c:pt>
                <c:pt idx="30">
                  <c:v>392.06716666666676</c:v>
                </c:pt>
                <c:pt idx="31">
                  <c:v>393.72930000000008</c:v>
                </c:pt>
                <c:pt idx="32">
                  <c:v>475.71023333333335</c:v>
                </c:pt>
                <c:pt idx="33">
                  <c:v>481.37126666666666</c:v>
                </c:pt>
                <c:pt idx="34">
                  <c:v>491.29433333333338</c:v>
                </c:pt>
                <c:pt idx="35">
                  <c:v>465.33310000000006</c:v>
                </c:pt>
                <c:pt idx="36">
                  <c:v>474.77686666666671</c:v>
                </c:pt>
                <c:pt idx="37">
                  <c:v>424.49923333333334</c:v>
                </c:pt>
                <c:pt idx="38">
                  <c:v>379.79020000000003</c:v>
                </c:pt>
                <c:pt idx="39">
                  <c:v>370.87099999999998</c:v>
                </c:pt>
                <c:pt idx="40">
                  <c:v>392.10343333333333</c:v>
                </c:pt>
                <c:pt idx="41">
                  <c:v>386.48893333333331</c:v>
                </c:pt>
                <c:pt idx="42">
                  <c:v>391.72609999999997</c:v>
                </c:pt>
                <c:pt idx="43">
                  <c:v>406.70303333333334</c:v>
                </c:pt>
                <c:pt idx="44">
                  <c:v>413.77790000000005</c:v>
                </c:pt>
                <c:pt idx="45">
                  <c:v>392.7888333333334</c:v>
                </c:pt>
                <c:pt idx="46">
                  <c:v>389.49030000000005</c:v>
                </c:pt>
                <c:pt idx="47">
                  <c:v>354.74696666666671</c:v>
                </c:pt>
                <c:pt idx="48">
                  <c:v>286.56913333333335</c:v>
                </c:pt>
                <c:pt idx="49">
                  <c:v>248.51333333333332</c:v>
                </c:pt>
                <c:pt idx="50">
                  <c:v>251.24113333333332</c:v>
                </c:pt>
                <c:pt idx="51">
                  <c:v>174.56123333333335</c:v>
                </c:pt>
                <c:pt idx="52">
                  <c:v>186.89803333333333</c:v>
                </c:pt>
                <c:pt idx="53">
                  <c:v>260.18183333333332</c:v>
                </c:pt>
                <c:pt idx="54">
                  <c:v>252.64293333333336</c:v>
                </c:pt>
                <c:pt idx="55">
                  <c:v>232.21153333333336</c:v>
                </c:pt>
                <c:pt idx="56">
                  <c:v>317.32749999999999</c:v>
                </c:pt>
                <c:pt idx="57">
                  <c:v>331.84353333333331</c:v>
                </c:pt>
                <c:pt idx="58">
                  <c:v>336.01569999999998</c:v>
                </c:pt>
                <c:pt idx="59">
                  <c:v>312.97646666666668</c:v>
                </c:pt>
                <c:pt idx="60">
                  <c:v>355.2553666666667</c:v>
                </c:pt>
                <c:pt idx="61">
                  <c:v>381.7</c:v>
                </c:pt>
                <c:pt idx="62">
                  <c:v>366.70000000000005</c:v>
                </c:pt>
                <c:pt idx="63">
                  <c:v>351.70000000000005</c:v>
                </c:pt>
                <c:pt idx="64">
                  <c:v>361.70000000000005</c:v>
                </c:pt>
                <c:pt idx="65">
                  <c:v>366.70000000000005</c:v>
                </c:pt>
                <c:pt idx="66">
                  <c:v>356.70000000000005</c:v>
                </c:pt>
                <c:pt idx="67">
                  <c:v>348.40000000000003</c:v>
                </c:pt>
              </c:numCache>
            </c:numRef>
          </c:val>
          <c:smooth val="0"/>
        </c:ser>
        <c:dLbls>
          <c:showLegendKey val="0"/>
          <c:showVal val="0"/>
          <c:showCatName val="0"/>
          <c:showSerName val="0"/>
          <c:showPercent val="0"/>
          <c:showBubbleSize val="0"/>
        </c:dLbls>
        <c:marker val="1"/>
        <c:smooth val="0"/>
        <c:axId val="651754880"/>
        <c:axId val="651952512"/>
      </c:lineChart>
      <c:catAx>
        <c:axId val="651754880"/>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a:pPr>
            <a:endParaRPr lang="en-US"/>
          </a:p>
        </c:txPr>
        <c:crossAx val="651952512"/>
        <c:crosses val="autoZero"/>
        <c:auto val="1"/>
        <c:lblAlgn val="ctr"/>
        <c:lblOffset val="100"/>
        <c:tickLblSkip val="4"/>
        <c:tickMarkSkip val="1"/>
        <c:noMultiLvlLbl val="0"/>
      </c:catAx>
      <c:valAx>
        <c:axId val="651952512"/>
        <c:scaling>
          <c:orientation val="minMax"/>
          <c:min val="50"/>
        </c:scaling>
        <c:delete val="0"/>
        <c:axPos val="l"/>
        <c:title>
          <c:tx>
            <c:rich>
              <a:bodyPr/>
              <a:lstStyle/>
              <a:p>
                <a:pPr>
                  <a:defRPr/>
                </a:pPr>
                <a:r>
                  <a:rPr lang="en-US"/>
                  <a:t>$/ton</a:t>
                </a:r>
              </a:p>
            </c:rich>
          </c:tx>
          <c:layout>
            <c:manualLayout>
              <c:xMode val="edge"/>
              <c:yMode val="edge"/>
              <c:x val="1.7730522815082896E-2"/>
              <c:y val="0.38909081767077963"/>
            </c:manualLayout>
          </c:layout>
          <c:overlay val="0"/>
          <c:spPr>
            <a:noFill/>
            <a:ln w="25400">
              <a:noFill/>
            </a:ln>
          </c:spPr>
        </c:title>
        <c:numFmt formatCode="_(* #,##0_);_(* \(#,##0\);_(* &quot;-&quot;??_);_(@_)" sourceLinked="1"/>
        <c:majorTickMark val="out"/>
        <c:minorTickMark val="none"/>
        <c:tickLblPos val="nextTo"/>
        <c:spPr>
          <a:ln w="3175">
            <a:solidFill>
              <a:srgbClr val="000000"/>
            </a:solidFill>
            <a:prstDash val="solid"/>
          </a:ln>
        </c:spPr>
        <c:txPr>
          <a:bodyPr rot="0" vert="horz"/>
          <a:lstStyle/>
          <a:p>
            <a:pPr>
              <a:defRPr/>
            </a:pPr>
            <a:endParaRPr lang="en-US"/>
          </a:p>
        </c:txPr>
        <c:crossAx val="651754880"/>
        <c:crosses val="autoZero"/>
        <c:crossBetween val="between"/>
      </c:valAx>
      <c:spPr>
        <a:noFill/>
        <a:ln w="3175">
          <a:solidFill>
            <a:srgbClr val="000000"/>
          </a:solidFill>
          <a:prstDash val="solid"/>
        </a:ln>
      </c:spPr>
    </c:plotArea>
    <c:legend>
      <c:legendPos val="r"/>
      <c:layout>
        <c:manualLayout>
          <c:xMode val="edge"/>
          <c:yMode val="edge"/>
          <c:x val="0.64557382421446918"/>
          <c:y val="0.12200840968696941"/>
          <c:w val="0.33137890298778316"/>
          <c:h val="0.16265991178825231"/>
        </c:manualLayout>
      </c:layout>
      <c:overlay val="0"/>
      <c:spPr>
        <a:noFill/>
        <a:ln w="25400">
          <a:noFill/>
        </a:ln>
      </c:spPr>
    </c:legend>
    <c:plotVisOnly val="1"/>
    <c:dispBlanksAs val="gap"/>
    <c:showDLblsOverMax val="0"/>
  </c:chart>
  <c:spPr>
    <a:solidFill>
      <a:srgbClr val="FFFFFF"/>
    </a:solidFill>
    <a:ln w="3175">
      <a:noFill/>
      <a:prstDash val="solid"/>
    </a:ln>
  </c:spPr>
  <c:txPr>
    <a:bodyPr/>
    <a:lstStyle/>
    <a:p>
      <a:pPr>
        <a:defRPr sz="1000" b="0" i="0" u="none" strike="noStrike" baseline="0">
          <a:solidFill>
            <a:srgbClr val="000000"/>
          </a:solidFill>
          <a:latin typeface="Arial" panose="020B0604020202020204" pitchFamily="34" charset="0"/>
          <a:ea typeface="Times New Roman"/>
          <a:cs typeface="Arial" panose="020B0604020202020204" pitchFamily="34" charset="0"/>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43224015025246"/>
          <c:y val="2.9112002499294892E-2"/>
          <c:w val="0.8497913502637523"/>
          <c:h val="0.90906689068204105"/>
        </c:manualLayout>
      </c:layout>
      <c:lineChart>
        <c:grouping val="standard"/>
        <c:varyColors val="0"/>
        <c:ser>
          <c:idx val="0"/>
          <c:order val="0"/>
          <c:tx>
            <c:strRef>
              <c:f>'Price Relationships'!$C$1</c:f>
              <c:strCache>
                <c:ptCount val="1"/>
                <c:pt idx="0">
                  <c:v>Sales Realizations</c:v>
                </c:pt>
              </c:strCache>
            </c:strRef>
          </c:tx>
          <c:spPr>
            <a:ln w="12700">
              <a:solidFill>
                <a:schemeClr val="tx2">
                  <a:lumMod val="40000"/>
                  <a:lumOff val="60000"/>
                </a:schemeClr>
              </a:solidFill>
              <a:prstDash val="solid"/>
            </a:ln>
          </c:spPr>
          <c:marker>
            <c:symbol val="diamond"/>
            <c:size val="5"/>
            <c:spPr>
              <a:solidFill>
                <a:schemeClr val="tx2">
                  <a:lumMod val="40000"/>
                  <a:lumOff val="60000"/>
                </a:schemeClr>
              </a:solidFill>
              <a:ln>
                <a:solidFill>
                  <a:schemeClr val="tx2">
                    <a:lumMod val="40000"/>
                    <a:lumOff val="60000"/>
                  </a:schemeClr>
                </a:solidFill>
                <a:prstDash val="solid"/>
              </a:ln>
            </c:spPr>
          </c:marker>
          <c:cat>
            <c:strRef>
              <c:f>'Price Relationships'!$B$17:$B$34</c:f>
              <c:strCache>
                <c:ptCount val="18"/>
                <c:pt idx="0">
                  <c:v>1Q05</c:v>
                </c:pt>
                <c:pt idx="1">
                  <c:v>2Q05</c:v>
                </c:pt>
                <c:pt idx="2">
                  <c:v>3Q05</c:v>
                </c:pt>
                <c:pt idx="3">
                  <c:v>4Q05</c:v>
                </c:pt>
                <c:pt idx="4">
                  <c:v>1Q06</c:v>
                </c:pt>
                <c:pt idx="5">
                  <c:v>2Q06</c:v>
                </c:pt>
                <c:pt idx="6">
                  <c:v>3Q06</c:v>
                </c:pt>
                <c:pt idx="7">
                  <c:v>4Q06</c:v>
                </c:pt>
                <c:pt idx="8">
                  <c:v>1Q07</c:v>
                </c:pt>
                <c:pt idx="9">
                  <c:v>2Q07</c:v>
                </c:pt>
                <c:pt idx="10">
                  <c:v>3Q07</c:v>
                </c:pt>
                <c:pt idx="11">
                  <c:v>4Q07</c:v>
                </c:pt>
                <c:pt idx="12">
                  <c:v>1Q08</c:v>
                </c:pt>
                <c:pt idx="13">
                  <c:v>2Q08</c:v>
                </c:pt>
                <c:pt idx="14">
                  <c:v>3Q08</c:v>
                </c:pt>
                <c:pt idx="15">
                  <c:v>4Q08</c:v>
                </c:pt>
                <c:pt idx="16">
                  <c:v>1Q09</c:v>
                </c:pt>
                <c:pt idx="17">
                  <c:v>2Q09</c:v>
                </c:pt>
              </c:strCache>
            </c:strRef>
          </c:cat>
          <c:val>
            <c:numRef>
              <c:f>'Price Relationships'!$N$17:$N$34</c:f>
              <c:numCache>
                <c:formatCode>0%</c:formatCode>
                <c:ptCount val="18"/>
              </c:numCache>
            </c:numRef>
          </c:val>
          <c:smooth val="0"/>
        </c:ser>
        <c:ser>
          <c:idx val="1"/>
          <c:order val="1"/>
          <c:tx>
            <c:strRef>
              <c:f>'Price Relationships'!$R$1</c:f>
              <c:strCache>
                <c:ptCount val="1"/>
                <c:pt idx="0">
                  <c:v>Spot Price</c:v>
                </c:pt>
              </c:strCache>
            </c:strRef>
          </c:tx>
          <c:spPr>
            <a:ln w="12700">
              <a:solidFill>
                <a:schemeClr val="tx2">
                  <a:lumMod val="75000"/>
                </a:schemeClr>
              </a:solidFill>
              <a:prstDash val="solid"/>
            </a:ln>
          </c:spPr>
          <c:marker>
            <c:symbol val="square"/>
            <c:size val="5"/>
            <c:spPr>
              <a:solidFill>
                <a:schemeClr val="tx2">
                  <a:lumMod val="75000"/>
                </a:schemeClr>
              </a:solidFill>
              <a:ln>
                <a:solidFill>
                  <a:schemeClr val="tx2">
                    <a:lumMod val="75000"/>
                  </a:schemeClr>
                </a:solidFill>
                <a:prstDash val="solid"/>
              </a:ln>
            </c:spPr>
          </c:marker>
          <c:cat>
            <c:strRef>
              <c:f>'Price Relationships'!$B$17:$B$34</c:f>
              <c:strCache>
                <c:ptCount val="18"/>
                <c:pt idx="0">
                  <c:v>1Q05</c:v>
                </c:pt>
                <c:pt idx="1">
                  <c:v>2Q05</c:v>
                </c:pt>
                <c:pt idx="2">
                  <c:v>3Q05</c:v>
                </c:pt>
                <c:pt idx="3">
                  <c:v>4Q05</c:v>
                </c:pt>
                <c:pt idx="4">
                  <c:v>1Q06</c:v>
                </c:pt>
                <c:pt idx="5">
                  <c:v>2Q06</c:v>
                </c:pt>
                <c:pt idx="6">
                  <c:v>3Q06</c:v>
                </c:pt>
                <c:pt idx="7">
                  <c:v>4Q06</c:v>
                </c:pt>
                <c:pt idx="8">
                  <c:v>1Q07</c:v>
                </c:pt>
                <c:pt idx="9">
                  <c:v>2Q07</c:v>
                </c:pt>
                <c:pt idx="10">
                  <c:v>3Q07</c:v>
                </c:pt>
                <c:pt idx="11">
                  <c:v>4Q07</c:v>
                </c:pt>
                <c:pt idx="12">
                  <c:v>1Q08</c:v>
                </c:pt>
                <c:pt idx="13">
                  <c:v>2Q08</c:v>
                </c:pt>
                <c:pt idx="14">
                  <c:v>3Q08</c:v>
                </c:pt>
                <c:pt idx="15">
                  <c:v>4Q08</c:v>
                </c:pt>
                <c:pt idx="16">
                  <c:v>1Q09</c:v>
                </c:pt>
                <c:pt idx="17">
                  <c:v>2Q09</c:v>
                </c:pt>
              </c:strCache>
            </c:strRef>
          </c:cat>
          <c:val>
            <c:numRef>
              <c:f>'Price Relationships'!$AA$17:$AA$34</c:f>
              <c:numCache>
                <c:formatCode>0%</c:formatCode>
                <c:ptCount val="18"/>
                <c:pt idx="0">
                  <c:v>7.4884792626728203E-3</c:v>
                </c:pt>
                <c:pt idx="1">
                  <c:v>0</c:v>
                </c:pt>
                <c:pt idx="2">
                  <c:v>-7.3756432246998238E-2</c:v>
                </c:pt>
                <c:pt idx="3">
                  <c:v>0.14814814814814814</c:v>
                </c:pt>
                <c:pt idx="4">
                  <c:v>0</c:v>
                </c:pt>
                <c:pt idx="5">
                  <c:v>3.3333333333333215E-2</c:v>
                </c:pt>
                <c:pt idx="6">
                  <c:v>4.57856399583767E-2</c:v>
                </c:pt>
                <c:pt idx="7">
                  <c:v>0</c:v>
                </c:pt>
                <c:pt idx="8">
                  <c:v>3.7313432835820892E-2</c:v>
                </c:pt>
                <c:pt idx="9">
                  <c:v>0.1079136690647482</c:v>
                </c:pt>
                <c:pt idx="10">
                  <c:v>0</c:v>
                </c:pt>
                <c:pt idx="11">
                  <c:v>2.2077922077922141E-2</c:v>
                </c:pt>
                <c:pt idx="12">
                  <c:v>8.682761541719608E-2</c:v>
                </c:pt>
                <c:pt idx="13">
                  <c:v>0.15393608729540142</c:v>
                </c:pt>
                <c:pt idx="14">
                  <c:v>0.1479229989868287</c:v>
                </c:pt>
                <c:pt idx="15">
                  <c:v>-0.12474257134451316</c:v>
                </c:pt>
                <c:pt idx="16">
                  <c:v>-9.8487394957983199E-2</c:v>
                </c:pt>
                <c:pt idx="17">
                  <c:v>-0.19835943325876215</c:v>
                </c:pt>
              </c:numCache>
            </c:numRef>
          </c:val>
          <c:smooth val="0"/>
        </c:ser>
        <c:dLbls>
          <c:showLegendKey val="0"/>
          <c:showVal val="0"/>
          <c:showCatName val="0"/>
          <c:showSerName val="0"/>
          <c:showPercent val="0"/>
          <c:showBubbleSize val="0"/>
        </c:dLbls>
        <c:marker val="1"/>
        <c:smooth val="0"/>
        <c:axId val="661797120"/>
        <c:axId val="661824256"/>
      </c:lineChart>
      <c:catAx>
        <c:axId val="661797120"/>
        <c:scaling>
          <c:orientation val="minMax"/>
        </c:scaling>
        <c:delete val="0"/>
        <c:axPos val="b"/>
        <c:numFmt formatCode="General" sourceLinked="1"/>
        <c:majorTickMark val="out"/>
        <c:minorTickMark val="none"/>
        <c:tickLblPos val="low"/>
        <c:spPr>
          <a:ln w="3175">
            <a:solidFill>
              <a:srgbClr val="000000"/>
            </a:solidFill>
            <a:prstDash val="solid"/>
          </a:ln>
        </c:spPr>
        <c:txPr>
          <a:bodyPr rot="-5400000" vert="horz"/>
          <a:lstStyle/>
          <a:p>
            <a:pPr>
              <a:defRPr/>
            </a:pPr>
            <a:endParaRPr lang="en-US"/>
          </a:p>
        </c:txPr>
        <c:crossAx val="661824256"/>
        <c:crosses val="autoZero"/>
        <c:auto val="1"/>
        <c:lblAlgn val="ctr"/>
        <c:lblOffset val="100"/>
        <c:tickLblSkip val="2"/>
        <c:tickMarkSkip val="1"/>
        <c:noMultiLvlLbl val="0"/>
      </c:catAx>
      <c:valAx>
        <c:axId val="661824256"/>
        <c:scaling>
          <c:orientation val="minMax"/>
        </c:scaling>
        <c:delete val="0"/>
        <c:axPos val="l"/>
        <c:title>
          <c:tx>
            <c:rich>
              <a:bodyPr/>
              <a:lstStyle/>
              <a:p>
                <a:pPr>
                  <a:defRPr b="1"/>
                </a:pPr>
                <a:r>
                  <a:rPr lang="en-US" b="1"/>
                  <a:t>$/ton</a:t>
                </a:r>
              </a:p>
            </c:rich>
          </c:tx>
          <c:layout>
            <c:manualLayout>
              <c:xMode val="edge"/>
              <c:yMode val="edge"/>
              <c:x val="1.5923582309391837E-2"/>
              <c:y val="0.38010577969535475"/>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a:pPr>
            <a:endParaRPr lang="en-US"/>
          </a:p>
        </c:txPr>
        <c:crossAx val="661797120"/>
        <c:crosses val="autoZero"/>
        <c:crossBetween val="between"/>
      </c:valAx>
      <c:spPr>
        <a:noFill/>
        <a:ln w="3175">
          <a:solidFill>
            <a:srgbClr val="000000"/>
          </a:solidFill>
          <a:prstDash val="solid"/>
        </a:ln>
      </c:spPr>
    </c:plotArea>
    <c:legend>
      <c:legendPos val="r"/>
      <c:layout>
        <c:manualLayout>
          <c:xMode val="edge"/>
          <c:yMode val="edge"/>
          <c:x val="0.14649264065908119"/>
          <c:y val="0.69768363497084473"/>
          <c:w val="0.43598346835148644"/>
          <c:h val="0.14842676143539396"/>
        </c:manualLayout>
      </c:layout>
      <c:overlay val="0"/>
      <c:spPr>
        <a:noFill/>
        <a:ln w="25400">
          <a:noFill/>
        </a:ln>
      </c:spPr>
    </c:legend>
    <c:plotVisOnly val="1"/>
    <c:dispBlanksAs val="gap"/>
    <c:showDLblsOverMax val="0"/>
  </c:chart>
  <c:spPr>
    <a:solidFill>
      <a:srgbClr val="FFFFFF"/>
    </a:solidFill>
    <a:ln w="3175">
      <a:noFill/>
      <a:prstDash val="solid"/>
    </a:ln>
  </c:spPr>
  <c:txPr>
    <a:bodyPr/>
    <a:lstStyle/>
    <a:p>
      <a:pPr>
        <a:defRPr sz="1000" b="0" i="0" u="none" strike="noStrike" baseline="0">
          <a:solidFill>
            <a:srgbClr val="000000"/>
          </a:solidFill>
          <a:latin typeface="Arial" panose="020B0604020202020204" pitchFamily="34" charset="0"/>
          <a:ea typeface="Times New Roman"/>
          <a:cs typeface="Arial" panose="020B0604020202020204" pitchFamily="34" charset="0"/>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
<Relationship Id="rId1" Target="../media/image1.png" Type="http://schemas.openxmlformats.org/officeDocument/2006/relationships/image"/>
<Relationship Id="rId2" Target="../media/image2.jpeg" Type="http://schemas.openxmlformats.org/officeDocument/2006/relationships/image"/>
<Relationship Id="rId3" Target="../media/image3.gif" Type="http://schemas.openxmlformats.org/officeDocument/2006/relationships/image"/>
</Relationships>

</file>

<file path=xl/drawings/_rels/drawing2.xml.rels><?xml version="1.0" encoding="UTF-8" standalone="yes"?>
<Relationships xmlns="http://schemas.openxmlformats.org/package/2006/relationships">
<Relationship Id="rId1" Target="../charts/chart1.xml" Type="http://schemas.openxmlformats.org/officeDocument/2006/relationships/chart"/>
<Relationship Id="rId2" Target="../charts/chart2.xml" Type="http://schemas.openxmlformats.org/officeDocument/2006/relationships/chart"/>
<Relationship Id="rId3" Target="../charts/chart3.xml" Type="http://schemas.openxmlformats.org/officeDocument/2006/relationships/chart"/>
<Relationship Id="rId4" Target="../charts/chart4.xml" Type="http://schemas.openxmlformats.org/officeDocument/2006/relationships/chart"/>
<Relationship Id="rId5" Target="../charts/chart5.xml" Type="http://schemas.openxmlformats.org/officeDocument/2006/relationships/chart"/>
<Relationship Id="rId6" Target="../charts/chart6.xml" Type="http://schemas.openxmlformats.org/officeDocument/2006/relationships/chart"/>
</Relationships>

</file>

<file path=xl/drawings/_rels/drawing3.xml.rels><?xml version="1.0" encoding="UTF-8" standalone="yes"?>
<Relationships xmlns="http://schemas.openxmlformats.org/package/2006/relationships">
<Relationship Id="rId1" Target="../media/image4.emf" Type="http://schemas.openxmlformats.org/officeDocument/2006/relationships/image"/>
</Relationships>

</file>

<file path=xl/drawings/_rels/drawing4.xml.rels><?xml version="1.0" encoding="UTF-8" standalone="yes"?>
<Relationships xmlns="http://schemas.openxmlformats.org/package/2006/relationships">
<Relationship Id="rId1" Target="../media/image4.emf" Type="http://schemas.openxmlformats.org/officeDocument/2006/relationships/image"/>
</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28575</xdr:rowOff>
    </xdr:from>
    <xdr:to>
      <xdr:col>0</xdr:col>
      <xdr:colOff>1581150</xdr:colOff>
      <xdr:row>0</xdr:row>
      <xdr:rowOff>323850</xdr:rowOff>
    </xdr:to>
    <xdr:pic>
      <xdr:nvPicPr>
        <xdr:cNvPr id="2" name="Picture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28575"/>
          <a:ext cx="15621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xdr:colOff>
      <xdr:row>0</xdr:row>
      <xdr:rowOff>95250</xdr:rowOff>
    </xdr:from>
    <xdr:to>
      <xdr:col>1</xdr:col>
      <xdr:colOff>523875</xdr:colOff>
      <xdr:row>0</xdr:row>
      <xdr:rowOff>314325</xdr:rowOff>
    </xdr:to>
    <xdr:pic>
      <xdr:nvPicPr>
        <xdr:cNvPr id="3" name="Picture 6" descr="MSMS_logo_3" hidden="1"/>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050" y="95250"/>
          <a:ext cx="221932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170</xdr:row>
      <xdr:rowOff>0</xdr:rowOff>
    </xdr:from>
    <xdr:to>
      <xdr:col>7</xdr:col>
      <xdr:colOff>390525</xdr:colOff>
      <xdr:row>193</xdr:row>
      <xdr:rowOff>104775</xdr:rowOff>
    </xdr:to>
    <xdr:pic>
      <xdr:nvPicPr>
        <xdr:cNvPr id="13784065" name="Picture 1" descr="C:\Users\nanduank\AppData\Local\Temp\MercuryPriceRatingHistoryChart\NUE.N_2018_04_23_18_38_46.gif"/>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26155650"/>
          <a:ext cx="6400800" cy="382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38</xdr:col>
      <xdr:colOff>220084</xdr:colOff>
      <xdr:row>94</xdr:row>
      <xdr:rowOff>108936</xdr:rowOff>
    </xdr:from>
    <xdr:to>
      <xdr:col>45</xdr:col>
      <xdr:colOff>556260</xdr:colOff>
      <xdr:row>112</xdr:row>
      <xdr:rowOff>28253</xdr:rowOff>
    </xdr:to>
    <xdr:graphicFrame macro="">
      <xdr:nvGraphicFramePr>
        <xdr:cNvPr id="18479111" name="Sheet"/>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23</xdr:col>
      <xdr:colOff>138568</xdr:colOff>
      <xdr:row>115</xdr:row>
      <xdr:rowOff>100805</xdr:rowOff>
    </xdr:from>
    <xdr:to>
      <xdr:col>35</xdr:col>
      <xdr:colOff>130948</xdr:colOff>
      <xdr:row>133</xdr:row>
      <xdr:rowOff>20123</xdr:rowOff>
    </xdr:to>
    <xdr:graphicFrame macro="">
      <xdr:nvGraphicFramePr>
        <xdr:cNvPr id="18479112" name="Reba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38</xdr:col>
      <xdr:colOff>129603</xdr:colOff>
      <xdr:row>115</xdr:row>
      <xdr:rowOff>102405</xdr:rowOff>
    </xdr:from>
    <xdr:to>
      <xdr:col>45</xdr:col>
      <xdr:colOff>465779</xdr:colOff>
      <xdr:row>133</xdr:row>
      <xdr:rowOff>21723</xdr:rowOff>
    </xdr:to>
    <xdr:graphicFrame macro="">
      <xdr:nvGraphicFramePr>
        <xdr:cNvPr id="18479113" name="Structural"/>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47</xdr:col>
      <xdr:colOff>175068</xdr:colOff>
      <xdr:row>115</xdr:row>
      <xdr:rowOff>134421</xdr:rowOff>
    </xdr:from>
    <xdr:to>
      <xdr:col>54</xdr:col>
      <xdr:colOff>511244</xdr:colOff>
      <xdr:row>133</xdr:row>
      <xdr:rowOff>53739</xdr:rowOff>
    </xdr:to>
    <xdr:graphicFrame macro="">
      <xdr:nvGraphicFramePr>
        <xdr:cNvPr id="18479114" name="Plate"/>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47</xdr:col>
      <xdr:colOff>60960</xdr:colOff>
      <xdr:row>94</xdr:row>
      <xdr:rowOff>86589</xdr:rowOff>
    </xdr:from>
    <xdr:to>
      <xdr:col>54</xdr:col>
      <xdr:colOff>397136</xdr:colOff>
      <xdr:row>112</xdr:row>
      <xdr:rowOff>5906</xdr:rowOff>
    </xdr:to>
    <xdr:graphicFrame macro="">
      <xdr:nvGraphicFramePr>
        <xdr:cNvPr id="18479115" name="Scrap"/>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56</xdr:col>
      <xdr:colOff>111674</xdr:colOff>
      <xdr:row>115</xdr:row>
      <xdr:rowOff>100804</xdr:rowOff>
    </xdr:from>
    <xdr:to>
      <xdr:col>63</xdr:col>
      <xdr:colOff>447850</xdr:colOff>
      <xdr:row>133</xdr:row>
      <xdr:rowOff>20122</xdr:rowOff>
    </xdr:to>
    <xdr:graphicFrame macro="">
      <xdr:nvGraphicFramePr>
        <xdr:cNvPr id="1847911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100</xdr:col>
      <xdr:colOff>502920</xdr:colOff>
      <xdr:row>0</xdr:row>
      <xdr:rowOff>89535</xdr:rowOff>
    </xdr:from>
    <xdr:to>
      <xdr:col>105</xdr:col>
      <xdr:colOff>300990</xdr:colOff>
      <xdr:row>1</xdr:row>
      <xdr:rowOff>127635</xdr:rowOff>
    </xdr:to>
    <xdr:pic>
      <xdr:nvPicPr>
        <xdr:cNvPr id="18153500" name="Picture 3666" descr="all-black"/>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21270" y="89535"/>
          <a:ext cx="1520190" cy="2286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7620</xdr:colOff>
      <xdr:row>1</xdr:row>
      <xdr:rowOff>76200</xdr:rowOff>
    </xdr:from>
    <xdr:to>
      <xdr:col>14</xdr:col>
      <xdr:colOff>306705</xdr:colOff>
      <xdr:row>2</xdr:row>
      <xdr:rowOff>121920</xdr:rowOff>
    </xdr:to>
    <xdr:pic>
      <xdr:nvPicPr>
        <xdr:cNvPr id="14223707" name="Picture 3" descr="all-black"/>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4140" y="121920"/>
          <a:ext cx="1569720" cy="22098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
<Relationship Id="rId1" Target="../printerSettings/printerSettings1.bin" Type="http://schemas.openxmlformats.org/officeDocument/2006/relationships/printerSettings"/>
<Relationship Id="rId2" Target="../drawings/drawing1.xml" Type="http://schemas.openxmlformats.org/officeDocument/2006/relationships/drawing"/>
</Relationships>

</file>

<file path=xl/worksheets/_rels/sheet2.xml.rels><?xml version="1.0" encoding="UTF-8" standalone="yes"?>
<Relationships xmlns="http://schemas.openxmlformats.org/package/2006/relationships">
<Relationship Id="rId1" Target="../printerSettings/printerSettings2.bin" Type="http://schemas.openxmlformats.org/officeDocument/2006/relationships/printerSettings"/>
<Relationship Id="rId2" Target="../printerSettings/printerSettings3.bin" Type="http://schemas.openxmlformats.org/officeDocument/2006/relationships/printerSettings"/>
<Relationship Id="rId3" Target="../printerSettings/printerSettings4.bin" Type="http://schemas.openxmlformats.org/officeDocument/2006/relationships/printerSettings"/>
</Relationships>

</file>

<file path=xl/worksheets/_rels/sheet3.xml.rels><?xml version="1.0" encoding="UTF-8" standalone="yes"?>
<Relationships xmlns="http://schemas.openxmlformats.org/package/2006/relationships">
<Relationship Id="rId1" Target="../printerSettings/printerSettings5.bin" Type="http://schemas.openxmlformats.org/officeDocument/2006/relationships/printerSettings"/>
<Relationship Id="rId10" Target="../drawings/vmlDrawing1.vml" Type="http://schemas.openxmlformats.org/officeDocument/2006/relationships/vmlDrawing"/>
<Relationship Id="rId11" Target="../comments1.xml" Type="http://schemas.openxmlformats.org/officeDocument/2006/relationships/comments"/>
<Relationship Id="rId2" Target="../printerSettings/printerSettings6.bin" Type="http://schemas.openxmlformats.org/officeDocument/2006/relationships/printerSettings"/>
<Relationship Id="rId3" Target="../printerSettings/printerSettings7.bin" Type="http://schemas.openxmlformats.org/officeDocument/2006/relationships/printerSettings"/>
<Relationship Id="rId4" Target="../printerSettings/printerSettings8.bin" Type="http://schemas.openxmlformats.org/officeDocument/2006/relationships/printerSettings"/>
<Relationship Id="rId5" Target="../printerSettings/printerSettings9.bin" Type="http://schemas.openxmlformats.org/officeDocument/2006/relationships/printerSettings"/>
<Relationship Id="rId6" Target="../printerSettings/printerSettings10.bin" Type="http://schemas.openxmlformats.org/officeDocument/2006/relationships/printerSettings"/>
<Relationship Id="rId7" Target="../printerSettings/printerSettings11.bin" Type="http://schemas.openxmlformats.org/officeDocument/2006/relationships/printerSettings"/>
<Relationship Id="rId8" Target="../printerSettings/printerSettings12.bin" Type="http://schemas.openxmlformats.org/officeDocument/2006/relationships/printerSettings"/>
<Relationship Id="rId9" Target="../printerSettings/printerSettings13.bin" Type="http://schemas.openxmlformats.org/officeDocument/2006/relationships/printerSettings"/>
</Relationships>

</file>

<file path=xl/worksheets/_rels/sheet4.xml.rels><?xml version="1.0" encoding="UTF-8" standalone="yes"?>
<Relationships xmlns="http://schemas.openxmlformats.org/package/2006/relationships">
<Relationship Id="rId1" Target="../printerSettings/printerSettings14.bin" Type="http://schemas.openxmlformats.org/officeDocument/2006/relationships/printerSettings"/>
<Relationship Id="rId10" Target="../drawings/vmlDrawing2.vml" Type="http://schemas.openxmlformats.org/officeDocument/2006/relationships/vmlDrawing"/>
<Relationship Id="rId11" Target="../comments2.xml" Type="http://schemas.openxmlformats.org/officeDocument/2006/relationships/comments"/>
<Relationship Id="rId2" Target="../printerSettings/printerSettings15.bin" Type="http://schemas.openxmlformats.org/officeDocument/2006/relationships/printerSettings"/>
<Relationship Id="rId3" Target="../printerSettings/printerSettings16.bin" Type="http://schemas.openxmlformats.org/officeDocument/2006/relationships/printerSettings"/>
<Relationship Id="rId4" Target="../printerSettings/printerSettings17.bin" Type="http://schemas.openxmlformats.org/officeDocument/2006/relationships/printerSettings"/>
<Relationship Id="rId5" Target="../printerSettings/printerSettings18.bin" Type="http://schemas.openxmlformats.org/officeDocument/2006/relationships/printerSettings"/>
<Relationship Id="rId6" Target="../printerSettings/printerSettings19.bin" Type="http://schemas.openxmlformats.org/officeDocument/2006/relationships/printerSettings"/>
<Relationship Id="rId7" Target="../printerSettings/printerSettings20.bin" Type="http://schemas.openxmlformats.org/officeDocument/2006/relationships/printerSettings"/>
<Relationship Id="rId8" Target="../printerSettings/printerSettings21.bin" Type="http://schemas.openxmlformats.org/officeDocument/2006/relationships/printerSettings"/>
<Relationship Id="rId9" Target="../printerSettings/printerSettings22.bin" Type="http://schemas.openxmlformats.org/officeDocument/2006/relationships/printerSettings"/>
</Relationships>

</file>

<file path=xl/worksheets/_rels/sheet5.xml.rels><?xml version="1.0" encoding="UTF-8" standalone="yes"?>
<Relationships xmlns="http://schemas.openxmlformats.org/package/2006/relationships">
<Relationship Id="rId1" Target="../printerSettings/printerSettings23.bin" Type="http://schemas.openxmlformats.org/officeDocument/2006/relationships/printerSettings"/>
<Relationship Id="rId2" Target="../printerSettings/printerSettings24.bin" Type="http://schemas.openxmlformats.org/officeDocument/2006/relationships/printerSettings"/>
<Relationship Id="rId3" Target="../printerSettings/printerSettings25.bin" Type="http://schemas.openxmlformats.org/officeDocument/2006/relationships/printerSettings"/>
<Relationship Id="rId4" Target="../drawings/drawing2.xml" Type="http://schemas.openxmlformats.org/officeDocument/2006/relationships/drawing"/>
<Relationship Id="rId5" Target="../drawings/vmlDrawing3.vml" Type="http://schemas.openxmlformats.org/officeDocument/2006/relationships/vmlDrawing"/>
<Relationship Id="rId6" Target="../comments3.xml" Type="http://schemas.openxmlformats.org/officeDocument/2006/relationships/comments"/>
</Relationships>

</file>

<file path=xl/worksheets/_rels/sheet6.xml.rels><?xml version="1.0" encoding="UTF-8" standalone="yes"?>
<Relationships xmlns="http://schemas.openxmlformats.org/package/2006/relationships">
<Relationship Id="rId1" Target="../printerSettings/printerSettings26.bin" Type="http://schemas.openxmlformats.org/officeDocument/2006/relationships/printerSettings"/>
<Relationship Id="rId2" Target="../printerSettings/printerSettings27.bin" Type="http://schemas.openxmlformats.org/officeDocument/2006/relationships/printerSettings"/>
<Relationship Id="rId3" Target="../printerSettings/printerSettings28.bin" Type="http://schemas.openxmlformats.org/officeDocument/2006/relationships/printerSettings"/>
<Relationship Id="rId4" Target="../drawings/drawing3.xml" Type="http://schemas.openxmlformats.org/officeDocument/2006/relationships/drawing"/>
<Relationship Id="rId5" Target="../drawings/vmlDrawing4.vml" Type="http://schemas.openxmlformats.org/officeDocument/2006/relationships/vmlDrawing"/>
<Relationship Id="rId6" Target="../comments4.xml" Type="http://schemas.openxmlformats.org/officeDocument/2006/relationships/comments"/>
</Relationships>

</file>

<file path=xl/worksheets/_rels/sheet7.xml.rels><?xml version="1.0" encoding="UTF-8" standalone="yes"?>
<Relationships xmlns="http://schemas.openxmlformats.org/package/2006/relationships">
<Relationship Id="rId1" Target="../printerSettings/printerSettings29.bin" Type="http://schemas.openxmlformats.org/officeDocument/2006/relationships/printerSettings"/>
<Relationship Id="rId2" Target="../printerSettings/printerSettings30.bin" Type="http://schemas.openxmlformats.org/officeDocument/2006/relationships/printerSettings"/>
<Relationship Id="rId3" Target="../printerSettings/printerSettings31.bin" Type="http://schemas.openxmlformats.org/officeDocument/2006/relationships/printerSettings"/>
</Relationships>

</file>

<file path=xl/worksheets/_rels/sheet8.xml.rels><?xml version="1.0" encoding="UTF-8" standalone="yes"?>
<Relationships xmlns="http://schemas.openxmlformats.org/package/2006/relationships">
<Relationship Id="rId1" Target="../printerSettings/printerSettings32.bin" Type="http://schemas.openxmlformats.org/officeDocument/2006/relationships/printerSettings"/>
<Relationship Id="rId2" Target="../printerSettings/printerSettings33.bin" Type="http://schemas.openxmlformats.org/officeDocument/2006/relationships/printerSettings"/>
<Relationship Id="rId3" Target="../printerSettings/printerSettings34.bin" Type="http://schemas.openxmlformats.org/officeDocument/2006/relationships/printerSettings"/>
</Relationships>

</file>

<file path=xl/worksheets/_rels/sheet9.xml.rels><?xml version="1.0" encoding="UTF-8" standalone="yes"?>
<Relationships xmlns="http://schemas.openxmlformats.org/package/2006/relationships">
<Relationship Id="rId1" Target="../printerSettings/printerSettings35.bin" Type="http://schemas.openxmlformats.org/officeDocument/2006/relationships/printerSettings"/>
<Relationship Id="rId2" Target="../printerSettings/printerSettings36.bin" Type="http://schemas.openxmlformats.org/officeDocument/2006/relationships/printerSettings"/>
<Relationship Id="rId3" Target="../printerSettings/printerSettings37.bin" Type="http://schemas.openxmlformats.org/officeDocument/2006/relationships/printerSettings"/>
<Relationship Id="rId4" Target="../drawings/vmlDrawing5.vml" Type="http://schemas.openxmlformats.org/officeDocument/2006/relationships/vmlDrawing"/>
<Relationship Id="rId5" Target="../comments5.xml" Type="http://schemas.openxmlformats.org/officeDocument/2006/relationships/comments"/>
</Relationships>

</file>

<file path=xl/worksheets/_rels/sheet10.xml.rels><?xml version="1.0" encoding="UTF-8" standalone="yes"?>
<Relationships xmlns="http://schemas.openxmlformats.org/package/2006/relationships">
<Relationship Id="rId1" Target="../printerSettings/printerSettings38.bin" Type="http://schemas.openxmlformats.org/officeDocument/2006/relationships/printerSettings"/>
<Relationship Id="rId2" Target="../printerSettings/printerSettings39.bin" Type="http://schemas.openxmlformats.org/officeDocument/2006/relationships/printerSettings"/>
<Relationship Id="rId3" Target="../printerSettings/printerSettings40.bin" Type="http://schemas.openxmlformats.org/officeDocument/2006/relationships/printerSettings"/>
<Relationship Id="rId4" Target="../drawings/vmlDrawing6.vml" Type="http://schemas.openxmlformats.org/officeDocument/2006/relationships/vmlDrawing"/>
<Relationship Id="rId5" Target="../comments6.xml" Type="http://schemas.openxmlformats.org/officeDocument/2006/relationships/comments"/>
</Relationships>

</file>

<file path=xl/worksheets/_rels/sheet11.xml.rels><?xml version="1.0" encoding="UTF-8" standalone="yes"?>
<Relationships xmlns="http://schemas.openxmlformats.org/package/2006/relationships">
<Relationship Id="rId1" Target="../printerSettings/printerSettings41.bin" Type="http://schemas.openxmlformats.org/officeDocument/2006/relationships/printerSettings"/>
<Relationship Id="rId2" Target="../printerSettings/printerSettings42.bin" Type="http://schemas.openxmlformats.org/officeDocument/2006/relationships/printerSettings"/>
<Relationship Id="rId3" Target="../printerSettings/printerSettings43.bin" Type="http://schemas.openxmlformats.org/officeDocument/2006/relationships/printerSettings"/>
<Relationship Id="rId4" Target="../drawings/drawing4.xml" Type="http://schemas.openxmlformats.org/officeDocument/2006/relationships/drawing"/>
</Relationships>

</file>

<file path=xl/worksheets/_rels/sheet12.xml.rels><?xml version="1.0" encoding="UTF-8" standalone="yes"?>
<Relationships xmlns="http://schemas.openxmlformats.org/package/2006/relationships">
<Relationship Id="rId1" Target="../printerSettings/printerSettings44.bin" Type="http://schemas.openxmlformats.org/officeDocument/2006/relationships/printerSettings"/>
<Relationship Id="rId2" Target="../printerSettings/printerSettings45.bin" Type="http://schemas.openxmlformats.org/officeDocument/2006/relationships/printerSettings"/>
<Relationship Id="rId3" Target="../printerSettings/printerSettings46.bin" Type="http://schemas.openxmlformats.org/officeDocument/2006/relationships/printerSettings"/>
<Relationship Id="rId4" Target="../drawings/vmlDrawing7.vml" Type="http://schemas.openxmlformats.org/officeDocument/2006/relationships/vmlDrawing"/>
<Relationship Id="rId5" Target="../comments7.xml" Type="http://schemas.openxmlformats.org/officeDocument/2006/relationships/comments"/>
</Relationships>

</file>

<file path=xl/worksheets/_rels/sheet13.xml.rels><?xml version="1.0" encoding="UTF-8" standalone="yes"?>
<Relationships xmlns="http://schemas.openxmlformats.org/package/2006/relationships">
<Relationship Id="rId1" Target="../printerSettings/printerSettings47.bin" Type="http://schemas.openxmlformats.org/officeDocument/2006/relationships/printerSetting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H387"/>
  <sheetViews>
    <sheetView showGridLines="0" tabSelected="1" workbookViewId="0">
      <selection activeCell="Z1" sqref="Z1"/>
    </sheetView>
  </sheetViews>
  <sheetFormatPr defaultRowHeight="12.75"/>
  <cols>
    <col min="1" max="1" width="25.7109375" style="1327" customWidth="1"/>
    <col min="2" max="5" width="9.140625" style="1327"/>
    <col min="6" max="6" width="18.7109375" style="1327" customWidth="1"/>
    <col min="7" max="256" width="9.140625" style="1327"/>
    <col min="257" max="257" width="100.7109375" style="1327" customWidth="1"/>
    <col min="258" max="512" width="9.140625" style="1327"/>
    <col min="513" max="513" width="100.7109375" style="1327" customWidth="1"/>
    <col min="514" max="768" width="9.140625" style="1327"/>
    <col min="769" max="769" width="100.7109375" style="1327" customWidth="1"/>
    <col min="770" max="1024" width="9.140625" style="1327"/>
    <col min="1025" max="1025" width="100.7109375" style="1327" customWidth="1"/>
    <col min="1026" max="1280" width="9.140625" style="1327"/>
    <col min="1281" max="1281" width="100.7109375" style="1327" customWidth="1"/>
    <col min="1282" max="1536" width="9.140625" style="1327"/>
    <col min="1537" max="1537" width="100.7109375" style="1327" customWidth="1"/>
    <col min="1538" max="1792" width="9.140625" style="1327"/>
    <col min="1793" max="1793" width="100.7109375" style="1327" customWidth="1"/>
    <col min="1794" max="2048" width="9.140625" style="1327"/>
    <col min="2049" max="2049" width="100.7109375" style="1327" customWidth="1"/>
    <col min="2050" max="2304" width="9.140625" style="1327"/>
    <col min="2305" max="2305" width="100.7109375" style="1327" customWidth="1"/>
    <col min="2306" max="2560" width="9.140625" style="1327"/>
    <col min="2561" max="2561" width="100.7109375" style="1327" customWidth="1"/>
    <col min="2562" max="2816" width="9.140625" style="1327"/>
    <col min="2817" max="2817" width="100.7109375" style="1327" customWidth="1"/>
    <col min="2818" max="3072" width="9.140625" style="1327"/>
    <col min="3073" max="3073" width="100.7109375" style="1327" customWidth="1"/>
    <col min="3074" max="3328" width="9.140625" style="1327"/>
    <col min="3329" max="3329" width="100.7109375" style="1327" customWidth="1"/>
    <col min="3330" max="3584" width="9.140625" style="1327"/>
    <col min="3585" max="3585" width="100.7109375" style="1327" customWidth="1"/>
    <col min="3586" max="3840" width="9.140625" style="1327"/>
    <col min="3841" max="3841" width="100.7109375" style="1327" customWidth="1"/>
    <col min="3842" max="4096" width="9.140625" style="1327"/>
    <col min="4097" max="4097" width="100.7109375" style="1327" customWidth="1"/>
    <col min="4098" max="4352" width="9.140625" style="1327"/>
    <col min="4353" max="4353" width="100.7109375" style="1327" customWidth="1"/>
    <col min="4354" max="4608" width="9.140625" style="1327"/>
    <col min="4609" max="4609" width="100.7109375" style="1327" customWidth="1"/>
    <col min="4610" max="4864" width="9.140625" style="1327"/>
    <col min="4865" max="4865" width="100.7109375" style="1327" customWidth="1"/>
    <col min="4866" max="5120" width="9.140625" style="1327"/>
    <col min="5121" max="5121" width="100.7109375" style="1327" customWidth="1"/>
    <col min="5122" max="5376" width="9.140625" style="1327"/>
    <col min="5377" max="5377" width="100.7109375" style="1327" customWidth="1"/>
    <col min="5378" max="5632" width="9.140625" style="1327"/>
    <col min="5633" max="5633" width="100.7109375" style="1327" customWidth="1"/>
    <col min="5634" max="5888" width="9.140625" style="1327"/>
    <col min="5889" max="5889" width="100.7109375" style="1327" customWidth="1"/>
    <col min="5890" max="6144" width="9.140625" style="1327"/>
    <col min="6145" max="6145" width="100.7109375" style="1327" customWidth="1"/>
    <col min="6146" max="6400" width="9.140625" style="1327"/>
    <col min="6401" max="6401" width="100.7109375" style="1327" customWidth="1"/>
    <col min="6402" max="6656" width="9.140625" style="1327"/>
    <col min="6657" max="6657" width="100.7109375" style="1327" customWidth="1"/>
    <col min="6658" max="6912" width="9.140625" style="1327"/>
    <col min="6913" max="6913" width="100.7109375" style="1327" customWidth="1"/>
    <col min="6914" max="7168" width="9.140625" style="1327"/>
    <col min="7169" max="7169" width="100.7109375" style="1327" customWidth="1"/>
    <col min="7170" max="7424" width="9.140625" style="1327"/>
    <col min="7425" max="7425" width="100.7109375" style="1327" customWidth="1"/>
    <col min="7426" max="7680" width="9.140625" style="1327"/>
    <col min="7681" max="7681" width="100.7109375" style="1327" customWidth="1"/>
    <col min="7682" max="7936" width="9.140625" style="1327"/>
    <col min="7937" max="7937" width="100.7109375" style="1327" customWidth="1"/>
    <col min="7938" max="8192" width="9.140625" style="1327"/>
    <col min="8193" max="8193" width="100.7109375" style="1327" customWidth="1"/>
    <col min="8194" max="8448" width="9.140625" style="1327"/>
    <col min="8449" max="8449" width="100.7109375" style="1327" customWidth="1"/>
    <col min="8450" max="8704" width="9.140625" style="1327"/>
    <col min="8705" max="8705" width="100.7109375" style="1327" customWidth="1"/>
    <col min="8706" max="8960" width="9.140625" style="1327"/>
    <col min="8961" max="8961" width="100.7109375" style="1327" customWidth="1"/>
    <col min="8962" max="9216" width="9.140625" style="1327"/>
    <col min="9217" max="9217" width="100.7109375" style="1327" customWidth="1"/>
    <col min="9218" max="9472" width="9.140625" style="1327"/>
    <col min="9473" max="9473" width="100.7109375" style="1327" customWidth="1"/>
    <col min="9474" max="9728" width="9.140625" style="1327"/>
    <col min="9729" max="9729" width="100.7109375" style="1327" customWidth="1"/>
    <col min="9730" max="9984" width="9.140625" style="1327"/>
    <col min="9985" max="9985" width="100.7109375" style="1327" customWidth="1"/>
    <col min="9986" max="10240" width="9.140625" style="1327"/>
    <col min="10241" max="10241" width="100.7109375" style="1327" customWidth="1"/>
    <col min="10242" max="10496" width="9.140625" style="1327"/>
    <col min="10497" max="10497" width="100.7109375" style="1327" customWidth="1"/>
    <col min="10498" max="10752" width="9.140625" style="1327"/>
    <col min="10753" max="10753" width="100.7109375" style="1327" customWidth="1"/>
    <col min="10754" max="11008" width="9.140625" style="1327"/>
    <col min="11009" max="11009" width="100.7109375" style="1327" customWidth="1"/>
    <col min="11010" max="11264" width="9.140625" style="1327"/>
    <col min="11265" max="11265" width="100.7109375" style="1327" customWidth="1"/>
    <col min="11266" max="11520" width="9.140625" style="1327"/>
    <col min="11521" max="11521" width="100.7109375" style="1327" customWidth="1"/>
    <col min="11522" max="11776" width="9.140625" style="1327"/>
    <col min="11777" max="11777" width="100.7109375" style="1327" customWidth="1"/>
    <col min="11778" max="12032" width="9.140625" style="1327"/>
    <col min="12033" max="12033" width="100.7109375" style="1327" customWidth="1"/>
    <col min="12034" max="12288" width="9.140625" style="1327"/>
    <col min="12289" max="12289" width="100.7109375" style="1327" customWidth="1"/>
    <col min="12290" max="12544" width="9.140625" style="1327"/>
    <col min="12545" max="12545" width="100.7109375" style="1327" customWidth="1"/>
    <col min="12546" max="12800" width="9.140625" style="1327"/>
    <col min="12801" max="12801" width="100.7109375" style="1327" customWidth="1"/>
    <col min="12802" max="13056" width="9.140625" style="1327"/>
    <col min="13057" max="13057" width="100.7109375" style="1327" customWidth="1"/>
    <col min="13058" max="13312" width="9.140625" style="1327"/>
    <col min="13313" max="13313" width="100.7109375" style="1327" customWidth="1"/>
    <col min="13314" max="13568" width="9.140625" style="1327"/>
    <col min="13569" max="13569" width="100.7109375" style="1327" customWidth="1"/>
    <col min="13570" max="13824" width="9.140625" style="1327"/>
    <col min="13825" max="13825" width="100.7109375" style="1327" customWidth="1"/>
    <col min="13826" max="14080" width="9.140625" style="1327"/>
    <col min="14081" max="14081" width="100.7109375" style="1327" customWidth="1"/>
    <col min="14082" max="14336" width="9.140625" style="1327"/>
    <col min="14337" max="14337" width="100.7109375" style="1327" customWidth="1"/>
    <col min="14338" max="14592" width="9.140625" style="1327"/>
    <col min="14593" max="14593" width="100.7109375" style="1327" customWidth="1"/>
    <col min="14594" max="14848" width="9.140625" style="1327"/>
    <col min="14849" max="14849" width="100.7109375" style="1327" customWidth="1"/>
    <col min="14850" max="15104" width="9.140625" style="1327"/>
    <col min="15105" max="15105" width="100.7109375" style="1327" customWidth="1"/>
    <col min="15106" max="15360" width="9.140625" style="1327"/>
    <col min="15361" max="15361" width="100.7109375" style="1327" customWidth="1"/>
    <col min="15362" max="15616" width="9.140625" style="1327"/>
    <col min="15617" max="15617" width="100.7109375" style="1327" customWidth="1"/>
    <col min="15618" max="15872" width="9.140625" style="1327"/>
    <col min="15873" max="15873" width="100.7109375" style="1327" customWidth="1"/>
    <col min="15874" max="16128" width="9.140625" style="1327"/>
    <col min="16129" max="16129" width="100.7109375" style="1327" customWidth="1"/>
    <col min="16130" max="16384" width="9.140625" style="1327"/>
  </cols>
  <sheetData>
    <row r="1" spans="1:8" ht="30" customHeight="1">
      <c r="A1" s="1325"/>
      <c r="B1" s="1326"/>
      <c r="C1" s="1326"/>
      <c r="D1" s="1326"/>
      <c r="E1" s="1326"/>
      <c r="F1" s="1326"/>
      <c r="G1" s="1326"/>
      <c r="H1" s="1326"/>
    </row>
    <row r="2" spans="1:8" ht="14.25">
      <c r="A2" s="1328" t="s">
        <v>699</v>
      </c>
      <c r="B2" s="1326"/>
      <c r="C2" s="1326"/>
      <c r="D2" s="1326"/>
      <c r="E2" s="1326"/>
      <c r="F2" s="1326"/>
      <c r="G2" s="1326"/>
      <c r="H2" s="1326"/>
    </row>
    <row r="3" spans="1:8" ht="14.25">
      <c r="A3" s="1328" t="s">
        <v>700</v>
      </c>
      <c r="B3" s="1326"/>
      <c r="C3" s="1326"/>
      <c r="D3" s="1326"/>
      <c r="E3" s="1326"/>
      <c r="F3" s="1326"/>
      <c r="G3" s="1326"/>
      <c r="H3" s="1326"/>
    </row>
    <row r="4" spans="1:8" ht="14.25">
      <c r="A4" s="1328" t="s">
        <v>701</v>
      </c>
      <c r="B4" s="1326"/>
      <c r="C4" s="1326"/>
      <c r="D4" s="1326"/>
      <c r="E4" s="1326"/>
      <c r="F4" s="1326"/>
      <c r="G4" s="1326"/>
      <c r="H4" s="1326"/>
    </row>
    <row r="5" spans="1:8" ht="14.25">
      <c r="A5" s="1328" t="s">
        <v>702</v>
      </c>
      <c r="B5" s="1326"/>
      <c r="C5" s="1326"/>
      <c r="D5" s="1326"/>
      <c r="E5" s="1326"/>
      <c r="F5" s="1326"/>
      <c r="G5" s="1326"/>
      <c r="H5" s="1326"/>
    </row>
    <row r="6" spans="1:8" ht="14.25">
      <c r="A6" s="1328"/>
      <c r="B6" s="1326"/>
      <c r="C6" s="1326"/>
      <c r="D6" s="1326"/>
      <c r="E6" s="1326"/>
      <c r="F6" s="1326"/>
      <c r="G6" s="1326"/>
      <c r="H6" s="1326"/>
    </row>
    <row r="7" spans="1:8">
      <c r="A7" s="1325" t="s">
        <v>703</v>
      </c>
      <c r="B7" s="1326"/>
      <c r="C7" s="1326"/>
      <c r="D7" s="1326"/>
      <c r="E7" s="1326"/>
      <c r="F7" s="1326"/>
      <c r="G7" s="1326"/>
      <c r="H7" s="1326"/>
    </row>
    <row r="8" spans="1:8">
      <c r="A8" s="1325" t="s">
        <v>704</v>
      </c>
      <c r="B8" s="1326"/>
      <c r="C8" s="1326"/>
      <c r="D8" s="1326"/>
      <c r="E8" s="1326"/>
      <c r="F8" s="1326"/>
      <c r="G8" s="1326"/>
      <c r="H8" s="1326"/>
    </row>
    <row r="9" spans="1:8">
      <c r="A9" s="1325"/>
      <c r="B9" s="1326"/>
      <c r="C9" s="1326"/>
      <c r="D9" s="1326"/>
      <c r="E9" s="1326"/>
      <c r="F9" s="1326"/>
      <c r="G9" s="1326"/>
      <c r="H9" s="1326"/>
    </row>
    <row r="10" spans="1:8">
      <c r="A10" s="1329" t="s">
        <v>705</v>
      </c>
      <c r="B10" s="1326"/>
      <c r="C10" s="1326"/>
      <c r="D10" s="1326"/>
      <c r="E10" s="1326"/>
      <c r="F10" s="1326"/>
      <c r="G10" s="1326"/>
      <c r="H10" s="1326"/>
    </row>
    <row r="11" spans="1:8">
      <c r="A11" s="1329" t="s">
        <v>706</v>
      </c>
      <c r="B11" s="1326"/>
      <c r="C11" s="1326"/>
      <c r="D11" s="1326"/>
      <c r="E11" s="1326"/>
      <c r="F11" s="1326"/>
      <c r="G11" s="1326"/>
      <c r="H11" s="1326"/>
    </row>
    <row r="12" spans="1:8">
      <c r="A12" s="1329" t="s">
        <v>707</v>
      </c>
      <c r="B12" s="1326"/>
      <c r="C12" s="1326"/>
      <c r="D12" s="1326"/>
      <c r="E12" s="1326"/>
      <c r="F12" s="1326"/>
      <c r="G12" s="1326"/>
      <c r="H12" s="1326"/>
    </row>
    <row r="13" spans="1:8">
      <c r="A13" s="1329" t="s">
        <v>708</v>
      </c>
      <c r="B13" s="1326"/>
      <c r="C13" s="1326"/>
      <c r="D13" s="1326"/>
      <c r="E13" s="1326"/>
      <c r="F13" s="1326"/>
      <c r="G13" s="1326"/>
      <c r="H13" s="1326"/>
    </row>
    <row r="14" spans="1:8">
      <c r="A14" s="1329" t="s">
        <v>709</v>
      </c>
      <c r="B14" s="1326"/>
      <c r="C14" s="1326"/>
      <c r="D14" s="1326"/>
      <c r="E14" s="1326"/>
      <c r="F14" s="1326"/>
      <c r="G14" s="1326"/>
      <c r="H14" s="1326"/>
    </row>
    <row r="15" spans="1:8">
      <c r="A15" s="1329" t="s">
        <v>710</v>
      </c>
      <c r="B15" s="1326"/>
      <c r="C15" s="1326"/>
      <c r="D15" s="1326"/>
      <c r="E15" s="1326"/>
      <c r="F15" s="1326"/>
      <c r="G15" s="1326"/>
      <c r="H15" s="1326"/>
    </row>
    <row r="16" spans="1:8">
      <c r="A16" s="1329"/>
      <c r="B16" s="1326"/>
      <c r="C16" s="1326"/>
      <c r="D16" s="1326"/>
      <c r="E16" s="1326"/>
      <c r="F16" s="1326"/>
      <c r="G16" s="1326"/>
      <c r="H16" s="1326"/>
    </row>
    <row r="17" spans="1:8">
      <c r="A17" s="1329" t="s">
        <v>696</v>
      </c>
      <c r="B17" s="1326"/>
      <c r="C17" s="1326"/>
      <c r="D17" s="1326"/>
      <c r="E17" s="1326"/>
      <c r="F17" s="1326"/>
      <c r="G17" s="1326"/>
      <c r="H17" s="1326"/>
    </row>
    <row r="18" spans="1:8">
      <c r="A18" s="1329"/>
      <c r="B18" s="1326"/>
      <c r="C18" s="1326"/>
      <c r="D18" s="1326"/>
      <c r="E18" s="1326"/>
      <c r="F18" s="1326"/>
      <c r="G18" s="1326"/>
      <c r="H18" s="1326"/>
    </row>
    <row r="19" spans="1:8">
      <c r="A19" s="1329" t="s">
        <v>697</v>
      </c>
      <c r="B19" s="1326"/>
      <c r="C19" s="1326"/>
      <c r="D19" s="1326"/>
      <c r="E19" s="1326"/>
      <c r="F19" s="1326"/>
      <c r="G19" s="1326"/>
      <c r="H19" s="1326"/>
    </row>
    <row r="20" spans="1:8">
      <c r="A20" s="1325"/>
      <c r="B20" s="1326"/>
      <c r="C20" s="1326"/>
      <c r="D20" s="1326"/>
      <c r="E20" s="1326"/>
      <c r="F20" s="1326"/>
      <c r="G20" s="1326"/>
      <c r="H20" s="1326"/>
    </row>
    <row r="21" spans="1:8">
      <c r="A21" s="1330" t="s">
        <v>698</v>
      </c>
      <c r="B21" s="1326"/>
      <c r="C21" s="1326"/>
      <c r="D21" s="1326"/>
      <c r="E21" s="1326"/>
      <c r="F21" s="1326"/>
      <c r="G21" s="1326"/>
      <c r="H21" s="1326"/>
    </row>
    <row r="22" spans="1:8">
      <c r="A22" s="1331"/>
      <c r="B22" s="1331"/>
      <c r="C22" s="1331"/>
      <c r="D22" s="1331"/>
      <c r="E22" s="1331"/>
      <c r="F22" s="1331"/>
      <c r="G22" s="1331"/>
      <c r="H22" s="1331"/>
    </row>
    <row r="23" spans="1:8">
      <c r="A23" s="1332" t="s">
        <v>986</v>
      </c>
      <c r="B23" s="1331"/>
      <c r="C23" s="1331"/>
      <c r="D23" s="1331"/>
      <c r="E23" s="1331"/>
      <c r="F23" s="1331"/>
      <c r="G23" s="1331"/>
      <c r="H23" s="1331"/>
    </row>
    <row r="24" spans="1:8">
      <c r="A24" s="1332" t="s">
        <v>987</v>
      </c>
      <c r="B24" s="1331"/>
      <c r="C24" s="1331"/>
      <c r="D24" s="1331"/>
      <c r="E24" s="1331"/>
      <c r="F24" s="1331"/>
      <c r="G24" s="1331"/>
      <c r="H24" s="1331"/>
    </row>
    <row r="25" spans="1:8">
      <c r="A25" s="1332" t="s">
        <v>988</v>
      </c>
      <c r="B25" s="1331"/>
      <c r="C25" s="1331"/>
      <c r="D25" s="1331"/>
      <c r="E25" s="1331"/>
      <c r="F25" s="1331"/>
      <c r="G25" s="1331"/>
      <c r="H25" s="1331"/>
    </row>
    <row r="26" spans="1:8">
      <c r="A26" s="1332" t="s">
        <v>989</v>
      </c>
      <c r="B26" s="1331"/>
      <c r="C26" s="1331"/>
      <c r="D26" s="1331"/>
      <c r="E26" s="1331"/>
      <c r="F26" s="1331"/>
      <c r="G26" s="1331"/>
      <c r="H26" s="1331"/>
    </row>
    <row r="27" spans="1:8">
      <c r="A27" s="1331"/>
      <c r="B27" s="1331"/>
      <c r="C27" s="1331"/>
      <c r="D27" s="1331"/>
      <c r="E27" s="1331"/>
      <c r="F27" s="1331"/>
      <c r="G27" s="1331"/>
      <c r="H27" s="1331"/>
    </row>
    <row r="28" spans="1:8">
      <c r="A28" s="1331"/>
      <c r="B28" s="1331"/>
      <c r="C28" s="1331"/>
      <c r="D28" s="1331"/>
      <c r="E28" s="1331"/>
      <c r="F28" s="1331"/>
      <c r="G28" s="1331"/>
      <c r="H28" s="1331"/>
    </row>
    <row r="29" spans="1:8">
      <c r="A29" s="1332" t="s">
        <v>981</v>
      </c>
      <c r="B29" s="1331"/>
      <c r="C29" s="1331"/>
      <c r="D29" s="1331"/>
      <c r="E29" s="1331"/>
      <c r="F29" s="1331"/>
      <c r="G29" s="1331"/>
      <c r="H29" s="1331"/>
    </row>
    <row r="30" spans="1:8">
      <c r="A30" s="1332" t="s">
        <v>982</v>
      </c>
      <c r="B30" s="1331"/>
      <c r="C30" s="1331"/>
      <c r="D30" s="1331"/>
      <c r="E30" s="1331"/>
      <c r="F30" s="1331"/>
      <c r="G30" s="1331"/>
      <c r="H30" s="1331"/>
    </row>
    <row r="31" spans="1:8">
      <c r="A31" s="1332" t="s">
        <v>983</v>
      </c>
      <c r="B31" s="1331"/>
      <c r="C31" s="1331"/>
      <c r="D31" s="1331"/>
      <c r="E31" s="1331"/>
      <c r="F31" s="1331"/>
      <c r="G31" s="1331"/>
      <c r="H31" s="1331"/>
    </row>
    <row r="32" spans="1:8">
      <c r="A32" s="1332" t="s">
        <v>984</v>
      </c>
      <c r="B32" s="1331"/>
      <c r="C32" s="1331"/>
      <c r="D32" s="1331"/>
      <c r="E32" s="1331"/>
      <c r="F32" s="1331"/>
      <c r="G32" s="1331"/>
      <c r="H32" s="1331"/>
    </row>
    <row r="33" spans="1:8">
      <c r="A33" s="1332" t="s">
        <v>985</v>
      </c>
      <c r="B33" s="1331"/>
      <c r="C33" s="1331"/>
      <c r="D33" s="1331"/>
      <c r="E33" s="1331"/>
      <c r="F33" s="1331"/>
      <c r="G33" s="1331"/>
      <c r="H33" s="1331"/>
    </row>
    <row r="34" spans="1:8">
      <c r="A34" s="1331"/>
      <c r="B34" s="1331"/>
      <c r="C34" s="1331"/>
      <c r="D34" s="1331"/>
      <c r="E34" s="1331"/>
      <c r="F34" s="1331"/>
      <c r="G34" s="1331"/>
      <c r="H34" s="1331"/>
    </row>
    <row r="35" spans="1:8">
      <c r="A35" s="1332" t="s">
        <v>977</v>
      </c>
      <c r="B35" s="1331"/>
      <c r="C35" s="1331"/>
      <c r="D35" s="1331"/>
      <c r="E35" s="1331"/>
      <c r="F35" s="1331"/>
      <c r="G35" s="1331"/>
      <c r="H35" s="1331"/>
    </row>
    <row r="36" spans="1:8">
      <c r="A36" s="1332" t="s">
        <v>978</v>
      </c>
      <c r="B36" s="1331"/>
      <c r="C36" s="1331"/>
      <c r="D36" s="1331"/>
      <c r="E36" s="1331"/>
      <c r="F36" s="1331"/>
      <c r="G36" s="1331"/>
      <c r="H36" s="1331"/>
    </row>
    <row r="37" spans="1:8">
      <c r="A37" s="1332" t="s">
        <v>979</v>
      </c>
      <c r="B37" s="1331"/>
      <c r="C37" s="1331"/>
      <c r="D37" s="1331"/>
      <c r="E37" s="1331"/>
      <c r="F37" s="1331"/>
      <c r="G37" s="1331"/>
      <c r="H37" s="1331"/>
    </row>
    <row r="38" spans="1:8">
      <c r="A38" s="1332" t="s">
        <v>980</v>
      </c>
      <c r="B38" s="1331"/>
      <c r="C38" s="1331"/>
      <c r="D38" s="1331"/>
      <c r="E38" s="1331"/>
      <c r="F38" s="1331"/>
      <c r="G38" s="1331"/>
      <c r="H38" s="1331"/>
    </row>
    <row r="39" spans="1:8">
      <c r="A39" s="1331"/>
      <c r="B39" s="1331"/>
      <c r="C39" s="1331"/>
      <c r="D39" s="1331"/>
      <c r="E39" s="1331"/>
      <c r="F39" s="1331"/>
      <c r="G39" s="1331"/>
      <c r="H39" s="1331"/>
    </row>
    <row r="40" spans="1:8">
      <c r="A40" s="1332" t="s">
        <v>971</v>
      </c>
      <c r="B40" s="1331"/>
      <c r="C40" s="1331"/>
      <c r="D40" s="1331"/>
      <c r="E40" s="1331"/>
      <c r="F40" s="1331"/>
      <c r="G40" s="1331"/>
      <c r="H40" s="1331"/>
    </row>
    <row r="41" spans="1:8">
      <c r="A41" s="1332" t="s">
        <v>972</v>
      </c>
      <c r="B41" s="1331"/>
      <c r="C41" s="1331"/>
      <c r="D41" s="1331"/>
      <c r="E41" s="1331"/>
      <c r="F41" s="1331"/>
      <c r="G41" s="1331"/>
      <c r="H41" s="1331"/>
    </row>
    <row r="42" spans="1:8">
      <c r="A42" s="1332" t="s">
        <v>973</v>
      </c>
      <c r="B42" s="1331"/>
      <c r="C42" s="1331"/>
      <c r="D42" s="1331"/>
      <c r="E42" s="1331"/>
      <c r="F42" s="1331"/>
      <c r="G42" s="1331"/>
      <c r="H42" s="1331"/>
    </row>
    <row r="43" spans="1:8">
      <c r="A43" s="1332" t="s">
        <v>974</v>
      </c>
      <c r="B43" s="1331"/>
      <c r="C43" s="1331"/>
      <c r="D43" s="1331"/>
      <c r="E43" s="1331"/>
      <c r="F43" s="1331"/>
      <c r="G43" s="1331"/>
      <c r="H43" s="1331"/>
    </row>
    <row r="44" spans="1:8">
      <c r="A44" s="1332" t="s">
        <v>975</v>
      </c>
      <c r="B44" s="1331"/>
      <c r="C44" s="1331"/>
      <c r="D44" s="1331"/>
      <c r="E44" s="1331"/>
      <c r="F44" s="1331"/>
      <c r="G44" s="1331"/>
      <c r="H44" s="1331"/>
    </row>
    <row r="45" spans="1:8">
      <c r="A45" s="1332" t="s">
        <v>976</v>
      </c>
      <c r="B45" s="1331"/>
      <c r="C45" s="1331"/>
      <c r="D45" s="1331"/>
      <c r="E45" s="1331"/>
      <c r="F45" s="1331"/>
      <c r="G45" s="1331"/>
      <c r="H45" s="1331"/>
    </row>
    <row r="46" spans="1:8">
      <c r="A46" s="1331"/>
      <c r="B46" s="1331"/>
      <c r="C46" s="1331"/>
      <c r="D46" s="1331"/>
      <c r="E46" s="1331"/>
      <c r="F46" s="1331"/>
      <c r="G46" s="1331"/>
      <c r="H46" s="1331"/>
    </row>
    <row r="47" spans="1:8" ht="15.75">
      <c r="A47" s="1333" t="s">
        <v>711</v>
      </c>
      <c r="B47" s="1331"/>
      <c r="C47" s="1331"/>
      <c r="D47" s="1331"/>
      <c r="E47" s="1331"/>
      <c r="F47" s="1331"/>
      <c r="G47" s="1331"/>
      <c r="H47" s="1331"/>
    </row>
    <row r="48" spans="1:8">
      <c r="A48" s="1331"/>
      <c r="B48" s="1331"/>
      <c r="C48" s="1331"/>
      <c r="D48" s="1331"/>
      <c r="E48" s="1331"/>
      <c r="F48" s="1331"/>
      <c r="G48" s="1331"/>
      <c r="H48" s="1331"/>
    </row>
    <row r="49" spans="1:8">
      <c r="A49" s="1332" t="s">
        <v>967</v>
      </c>
      <c r="B49" s="1331"/>
      <c r="C49" s="1331"/>
      <c r="D49" s="1331"/>
      <c r="E49" s="1331"/>
      <c r="F49" s="1331"/>
      <c r="G49" s="1331"/>
      <c r="H49" s="1331"/>
    </row>
    <row r="50" spans="1:8">
      <c r="A50" s="1332" t="s">
        <v>968</v>
      </c>
      <c r="B50" s="1331"/>
      <c r="C50" s="1331"/>
      <c r="D50" s="1331"/>
      <c r="E50" s="1331"/>
      <c r="F50" s="1331"/>
      <c r="G50" s="1331"/>
      <c r="H50" s="1331"/>
    </row>
    <row r="51" spans="1:8">
      <c r="A51" s="1332" t="s">
        <v>969</v>
      </c>
      <c r="B51" s="1331"/>
      <c r="C51" s="1331"/>
      <c r="D51" s="1331"/>
      <c r="E51" s="1331"/>
      <c r="F51" s="1331"/>
      <c r="G51" s="1331"/>
      <c r="H51" s="1331"/>
    </row>
    <row r="52" spans="1:8">
      <c r="A52" s="1332" t="s">
        <v>970</v>
      </c>
      <c r="B52" s="1331"/>
      <c r="C52" s="1331"/>
      <c r="D52" s="1331"/>
      <c r="E52" s="1331"/>
      <c r="F52" s="1331"/>
      <c r="G52" s="1331"/>
      <c r="H52" s="1331"/>
    </row>
    <row r="53" spans="1:8">
      <c r="A53" s="1331"/>
      <c r="B53" s="1331"/>
      <c r="C53" s="1331"/>
      <c r="D53" s="1331"/>
      <c r="E53" s="1331"/>
      <c r="F53" s="1331"/>
      <c r="G53" s="1331"/>
      <c r="H53" s="1331"/>
    </row>
    <row r="54" spans="1:8">
      <c r="A54" s="1332" t="s">
        <v>712</v>
      </c>
      <c r="B54" s="1331"/>
      <c r="C54" s="1331"/>
      <c r="D54" s="1331"/>
      <c r="E54" s="1331"/>
      <c r="F54" s="1331"/>
      <c r="G54" s="1331"/>
      <c r="H54" s="1331"/>
    </row>
    <row r="55" spans="1:8">
      <c r="A55" s="1331"/>
      <c r="B55" s="1331"/>
      <c r="C55" s="1331"/>
      <c r="D55" s="1331"/>
      <c r="E55" s="1331"/>
      <c r="F55" s="1331"/>
      <c r="G55" s="1331"/>
      <c r="H55" s="1331"/>
    </row>
    <row r="56" spans="1:8" ht="15.75">
      <c r="A56" s="1333" t="s">
        <v>713</v>
      </c>
      <c r="B56" s="1331"/>
      <c r="C56" s="1331"/>
      <c r="D56" s="1331"/>
      <c r="E56" s="1331"/>
      <c r="F56" s="1331"/>
      <c r="G56" s="1331"/>
      <c r="H56" s="1331"/>
    </row>
    <row r="57" spans="1:8">
      <c r="A57" s="1331"/>
      <c r="B57" s="1331"/>
      <c r="C57" s="1331"/>
      <c r="D57" s="1331"/>
      <c r="E57" s="1331"/>
      <c r="F57" s="1331"/>
      <c r="G57" s="1331"/>
      <c r="H57" s="1331"/>
    </row>
    <row r="58" spans="1:8">
      <c r="A58" s="1332" t="s">
        <v>965</v>
      </c>
      <c r="B58" s="1331"/>
      <c r="C58" s="1331"/>
      <c r="D58" s="1331"/>
      <c r="E58" s="1331"/>
      <c r="F58" s="1331"/>
      <c r="G58" s="1331"/>
      <c r="H58" s="1331"/>
    </row>
    <row r="59" spans="1:8">
      <c r="A59" s="1332" t="s">
        <v>966</v>
      </c>
      <c r="B59" s="1331"/>
      <c r="C59" s="1331"/>
      <c r="D59" s="1331"/>
      <c r="E59" s="1331"/>
      <c r="F59" s="1331"/>
      <c r="G59" s="1331"/>
      <c r="H59" s="1331"/>
    </row>
    <row r="60" spans="1:8">
      <c r="A60" s="1331"/>
      <c r="B60" s="1331"/>
      <c r="C60" s="1331"/>
      <c r="D60" s="1331"/>
      <c r="E60" s="1331"/>
      <c r="F60" s="1331"/>
      <c r="G60" s="1331"/>
      <c r="H60" s="1331"/>
    </row>
    <row r="61" spans="1:8" ht="15.75">
      <c r="A61" s="1333" t="s">
        <v>714</v>
      </c>
      <c r="B61" s="1331"/>
      <c r="C61" s="1331"/>
      <c r="D61" s="1331"/>
      <c r="E61" s="1331"/>
      <c r="F61" s="1331"/>
      <c r="G61" s="1331"/>
      <c r="H61" s="1331"/>
    </row>
    <row r="62" spans="1:8">
      <c r="A62" s="1331"/>
      <c r="B62" s="1331"/>
      <c r="C62" s="1331"/>
      <c r="D62" s="1331"/>
      <c r="E62" s="1331"/>
      <c r="F62" s="1331"/>
      <c r="G62" s="1331"/>
      <c r="H62" s="1331"/>
    </row>
    <row r="63" spans="1:8">
      <c r="A63" s="1332" t="s">
        <v>963</v>
      </c>
      <c r="B63" s="1331"/>
      <c r="C63" s="1331"/>
      <c r="D63" s="1331"/>
      <c r="E63" s="1331"/>
      <c r="F63" s="1331"/>
      <c r="G63" s="1331"/>
      <c r="H63" s="1331"/>
    </row>
    <row r="64" spans="1:8">
      <c r="A64" s="1332" t="s">
        <v>964</v>
      </c>
      <c r="B64" s="1331"/>
      <c r="C64" s="1331"/>
      <c r="D64" s="1331"/>
      <c r="E64" s="1331"/>
      <c r="F64" s="1331"/>
      <c r="G64" s="1331"/>
      <c r="H64" s="1331"/>
    </row>
    <row r="65" spans="1:8">
      <c r="A65" s="1331"/>
      <c r="B65" s="1331"/>
      <c r="C65" s="1331"/>
      <c r="D65" s="1331"/>
      <c r="E65" s="1331"/>
      <c r="F65" s="1331"/>
      <c r="G65" s="1331"/>
      <c r="H65" s="1331"/>
    </row>
    <row r="66" spans="1:8">
      <c r="A66" s="1332" t="s">
        <v>961</v>
      </c>
      <c r="B66" s="1331"/>
      <c r="C66" s="1331"/>
      <c r="D66" s="1331"/>
      <c r="E66" s="1331"/>
      <c r="F66" s="1331"/>
      <c r="G66" s="1331"/>
      <c r="H66" s="1331"/>
    </row>
    <row r="67" spans="1:8">
      <c r="A67" s="1332" t="s">
        <v>962</v>
      </c>
      <c r="B67" s="1331"/>
      <c r="C67" s="1331"/>
      <c r="D67" s="1331"/>
      <c r="E67" s="1331"/>
      <c r="F67" s="1331"/>
      <c r="G67" s="1331"/>
      <c r="H67" s="1331"/>
    </row>
    <row r="68" spans="1:8">
      <c r="A68" s="1331"/>
      <c r="B68" s="1331"/>
      <c r="C68" s="1331"/>
      <c r="D68" s="1331"/>
      <c r="E68" s="1331"/>
      <c r="F68" s="1331"/>
      <c r="G68" s="1331"/>
      <c r="H68" s="1331"/>
    </row>
    <row r="69" spans="1:8">
      <c r="A69" s="1332" t="s">
        <v>959</v>
      </c>
      <c r="B69" s="1331"/>
      <c r="C69" s="1331"/>
      <c r="D69" s="1331"/>
      <c r="E69" s="1331"/>
      <c r="F69" s="1331"/>
      <c r="G69" s="1331"/>
      <c r="H69" s="1331"/>
    </row>
    <row r="70" spans="1:8">
      <c r="A70" s="1332" t="s">
        <v>960</v>
      </c>
      <c r="B70" s="1331"/>
      <c r="C70" s="1331"/>
      <c r="D70" s="1331"/>
      <c r="E70" s="1331"/>
      <c r="F70" s="1331"/>
      <c r="G70" s="1331"/>
      <c r="H70" s="1331"/>
    </row>
    <row r="71" spans="1:8">
      <c r="A71" s="1331"/>
      <c r="B71" s="1331"/>
      <c r="C71" s="1331"/>
      <c r="D71" s="1331"/>
      <c r="E71" s="1331"/>
      <c r="F71" s="1331"/>
      <c r="G71" s="1331"/>
      <c r="H71" s="1331"/>
    </row>
    <row r="72" spans="1:8">
      <c r="A72" s="1332" t="s">
        <v>715</v>
      </c>
      <c r="B72" s="1331"/>
      <c r="C72" s="1331"/>
      <c r="D72" s="1331"/>
      <c r="E72" s="1331"/>
      <c r="F72" s="1331"/>
      <c r="G72" s="1331"/>
      <c r="H72" s="1331"/>
    </row>
    <row r="73" spans="1:8">
      <c r="A73" s="1331"/>
      <c r="B73" s="1331"/>
      <c r="C73" s="1331"/>
      <c r="D73" s="1331"/>
      <c r="E73" s="1331"/>
      <c r="F73" s="1331"/>
      <c r="G73" s="1331"/>
      <c r="H73" s="1331"/>
    </row>
    <row r="74" spans="1:8">
      <c r="A74" s="1332" t="s">
        <v>954</v>
      </c>
      <c r="B74" s="1331"/>
      <c r="C74" s="1331"/>
      <c r="D74" s="1331"/>
      <c r="E74" s="1331"/>
      <c r="F74" s="1331"/>
      <c r="G74" s="1331"/>
      <c r="H74" s="1331"/>
    </row>
    <row r="75" spans="1:8">
      <c r="A75" s="1332" t="s">
        <v>955</v>
      </c>
      <c r="B75" s="1331"/>
      <c r="C75" s="1331"/>
      <c r="D75" s="1331"/>
      <c r="E75" s="1331"/>
      <c r="F75" s="1331"/>
      <c r="G75" s="1331"/>
      <c r="H75" s="1331"/>
    </row>
    <row r="76" spans="1:8">
      <c r="A76" s="1332" t="s">
        <v>956</v>
      </c>
      <c r="B76" s="1331"/>
      <c r="C76" s="1331"/>
      <c r="D76" s="1331"/>
      <c r="E76" s="1331"/>
      <c r="F76" s="1331"/>
      <c r="G76" s="1331"/>
      <c r="H76" s="1331"/>
    </row>
    <row r="77" spans="1:8">
      <c r="A77" s="1332" t="s">
        <v>957</v>
      </c>
      <c r="B77" s="1331"/>
      <c r="C77" s="1331"/>
      <c r="D77" s="1331"/>
      <c r="E77" s="1331"/>
      <c r="F77" s="1331"/>
      <c r="G77" s="1331"/>
      <c r="H77" s="1331"/>
    </row>
    <row r="78" spans="1:8">
      <c r="A78" s="1332" t="s">
        <v>958</v>
      </c>
      <c r="B78" s="1331"/>
      <c r="C78" s="1331"/>
      <c r="D78" s="1331"/>
      <c r="E78" s="1331"/>
      <c r="F78" s="1331"/>
      <c r="G78" s="1331"/>
      <c r="H78" s="1331"/>
    </row>
    <row r="79" spans="1:8">
      <c r="A79" s="1332" t="s">
        <v>841</v>
      </c>
      <c r="B79" s="1331"/>
      <c r="C79" s="1331"/>
      <c r="D79" s="1331"/>
      <c r="E79" s="1331"/>
      <c r="F79" s="1331"/>
      <c r="G79" s="1331"/>
      <c r="H79" s="1331"/>
    </row>
    <row r="80" spans="1:8">
      <c r="A80" s="1331"/>
      <c r="B80" s="1331"/>
      <c r="C80" s="1331"/>
      <c r="D80" s="1331"/>
      <c r="E80" s="1331"/>
      <c r="F80" s="1331"/>
      <c r="G80" s="1331"/>
      <c r="H80" s="1331"/>
    </row>
    <row r="81" spans="1:8">
      <c r="A81" s="1332" t="s">
        <v>947</v>
      </c>
      <c r="B81" s="1331"/>
      <c r="C81" s="1331"/>
      <c r="D81" s="1331"/>
      <c r="E81" s="1331"/>
      <c r="F81" s="1331"/>
      <c r="G81" s="1331"/>
      <c r="H81" s="1331"/>
    </row>
    <row r="82" spans="1:8">
      <c r="A82" s="1332" t="s">
        <v>948</v>
      </c>
      <c r="B82" s="1331"/>
      <c r="C82" s="1331"/>
      <c r="D82" s="1331"/>
      <c r="E82" s="1331"/>
      <c r="F82" s="1331"/>
      <c r="G82" s="1331"/>
      <c r="H82" s="1331"/>
    </row>
    <row r="83" spans="1:8">
      <c r="A83" s="1332" t="s">
        <v>949</v>
      </c>
      <c r="B83" s="1331"/>
      <c r="C83" s="1331"/>
      <c r="D83" s="1331"/>
      <c r="E83" s="1331"/>
      <c r="F83" s="1331"/>
      <c r="G83" s="1331"/>
      <c r="H83" s="1331"/>
    </row>
    <row r="84" spans="1:8">
      <c r="A84" s="1332" t="s">
        <v>950</v>
      </c>
      <c r="B84" s="1331"/>
      <c r="C84" s="1331"/>
      <c r="D84" s="1331"/>
      <c r="E84" s="1331"/>
      <c r="F84" s="1331"/>
      <c r="G84" s="1331"/>
      <c r="H84" s="1331"/>
    </row>
    <row r="85" spans="1:8">
      <c r="A85" s="1332" t="s">
        <v>951</v>
      </c>
      <c r="B85" s="1331"/>
      <c r="C85" s="1331"/>
      <c r="D85" s="1331"/>
      <c r="E85" s="1331"/>
      <c r="F85" s="1331"/>
      <c r="G85" s="1331"/>
      <c r="H85" s="1331"/>
    </row>
    <row r="86" spans="1:8">
      <c r="A86" s="1332" t="s">
        <v>952</v>
      </c>
      <c r="B86" s="1331"/>
      <c r="C86" s="1331"/>
      <c r="D86" s="1331"/>
      <c r="E86" s="1331"/>
      <c r="F86" s="1331"/>
      <c r="G86" s="1331"/>
      <c r="H86" s="1331"/>
    </row>
    <row r="87" spans="1:8">
      <c r="A87" s="1332" t="s">
        <v>953</v>
      </c>
      <c r="B87" s="1331"/>
      <c r="C87" s="1331"/>
      <c r="D87" s="1331"/>
      <c r="E87" s="1331"/>
      <c r="F87" s="1331"/>
      <c r="G87" s="1331"/>
      <c r="H87" s="1331"/>
    </row>
    <row r="88" spans="1:8">
      <c r="A88" s="1331"/>
      <c r="B88" s="1331"/>
      <c r="C88" s="1331"/>
      <c r="D88" s="1331"/>
      <c r="E88" s="1331"/>
      <c r="F88" s="1331"/>
      <c r="G88" s="1331"/>
      <c r="H88" s="1331"/>
    </row>
    <row r="89" spans="1:8">
      <c r="A89" s="1332" t="s">
        <v>945</v>
      </c>
      <c r="B89" s="1331"/>
      <c r="C89" s="1331"/>
      <c r="D89" s="1331"/>
      <c r="E89" s="1331"/>
      <c r="F89" s="1331"/>
      <c r="G89" s="1331"/>
      <c r="H89" s="1331"/>
    </row>
    <row r="90" spans="1:8">
      <c r="A90" s="1332" t="s">
        <v>946</v>
      </c>
      <c r="B90" s="1331"/>
      <c r="C90" s="1331"/>
      <c r="D90" s="1331"/>
      <c r="E90" s="1331"/>
      <c r="F90" s="1331"/>
      <c r="G90" s="1331"/>
      <c r="H90" s="1331"/>
    </row>
    <row r="91" spans="1:8">
      <c r="A91" s="1331"/>
      <c r="B91" s="1331"/>
      <c r="C91" s="1331"/>
      <c r="D91" s="1331"/>
      <c r="E91" s="1331"/>
      <c r="F91" s="1331"/>
      <c r="G91" s="1331"/>
      <c r="H91" s="1331"/>
    </row>
    <row r="92" spans="1:8" ht="15.75">
      <c r="A92" s="1333" t="s">
        <v>716</v>
      </c>
      <c r="B92" s="1331"/>
      <c r="C92" s="1331"/>
      <c r="D92" s="1331"/>
      <c r="E92" s="1331"/>
      <c r="F92" s="1331"/>
      <c r="G92" s="1331"/>
      <c r="H92" s="1331"/>
    </row>
    <row r="93" spans="1:8">
      <c r="A93" s="1331"/>
      <c r="B93" s="1331"/>
      <c r="C93" s="1331"/>
      <c r="D93" s="1331"/>
      <c r="E93" s="1331"/>
      <c r="F93" s="1331"/>
      <c r="G93" s="1331"/>
      <c r="H93" s="1331"/>
    </row>
    <row r="94" spans="1:8">
      <c r="A94" s="1332" t="s">
        <v>936</v>
      </c>
      <c r="B94" s="1331"/>
      <c r="C94" s="1331"/>
      <c r="D94" s="1331"/>
      <c r="E94" s="1331"/>
      <c r="F94" s="1331"/>
      <c r="G94" s="1331"/>
      <c r="H94" s="1331"/>
    </row>
    <row r="95" spans="1:8">
      <c r="A95" s="1332" t="s">
        <v>937</v>
      </c>
      <c r="B95" s="1331"/>
      <c r="C95" s="1331"/>
      <c r="D95" s="1331"/>
      <c r="E95" s="1331"/>
      <c r="F95" s="1331"/>
      <c r="G95" s="1331"/>
      <c r="H95" s="1331"/>
    </row>
    <row r="96" spans="1:8">
      <c r="A96" s="1332" t="s">
        <v>938</v>
      </c>
      <c r="B96" s="1331"/>
      <c r="C96" s="1331"/>
      <c r="D96" s="1331"/>
      <c r="E96" s="1331"/>
      <c r="F96" s="1331"/>
      <c r="G96" s="1331"/>
      <c r="H96" s="1331"/>
    </row>
    <row r="97" spans="1:8">
      <c r="A97" s="1332" t="s">
        <v>939</v>
      </c>
      <c r="B97" s="1331"/>
      <c r="C97" s="1331"/>
      <c r="D97" s="1331"/>
      <c r="E97" s="1331"/>
      <c r="F97" s="1331"/>
      <c r="G97" s="1331"/>
      <c r="H97" s="1331"/>
    </row>
    <row r="98" spans="1:8">
      <c r="A98" s="1332" t="s">
        <v>940</v>
      </c>
      <c r="B98" s="1331"/>
      <c r="C98" s="1331"/>
      <c r="D98" s="1331"/>
      <c r="E98" s="1331"/>
      <c r="F98" s="1331"/>
      <c r="G98" s="1331"/>
      <c r="H98" s="1331"/>
    </row>
    <row r="99" spans="1:8">
      <c r="A99" s="1332" t="s">
        <v>941</v>
      </c>
      <c r="B99" s="1331"/>
      <c r="C99" s="1331"/>
      <c r="D99" s="1331"/>
      <c r="E99" s="1331"/>
      <c r="F99" s="1331"/>
      <c r="G99" s="1331"/>
      <c r="H99" s="1331"/>
    </row>
    <row r="100" spans="1:8">
      <c r="A100" s="1332" t="s">
        <v>942</v>
      </c>
      <c r="B100" s="1331"/>
      <c r="C100" s="1331"/>
      <c r="D100" s="1331"/>
      <c r="E100" s="1331"/>
      <c r="F100" s="1331"/>
      <c r="G100" s="1331"/>
      <c r="H100" s="1331"/>
    </row>
    <row r="101" spans="1:8">
      <c r="A101" s="1332" t="s">
        <v>943</v>
      </c>
      <c r="B101" s="1331"/>
      <c r="C101" s="1331"/>
      <c r="D101" s="1331"/>
      <c r="E101" s="1331"/>
      <c r="F101" s="1331"/>
      <c r="G101" s="1331"/>
      <c r="H101" s="1331"/>
    </row>
    <row r="102" spans="1:8">
      <c r="A102" s="1332" t="s">
        <v>944</v>
      </c>
      <c r="B102" s="1331"/>
      <c r="C102" s="1331"/>
      <c r="D102" s="1331"/>
      <c r="E102" s="1331"/>
      <c r="F102" s="1331"/>
      <c r="G102" s="1331"/>
      <c r="H102" s="1331"/>
    </row>
    <row r="103" spans="1:8">
      <c r="A103" s="1331"/>
      <c r="B103" s="1331"/>
      <c r="C103" s="1331"/>
      <c r="D103" s="1331"/>
      <c r="E103" s="1331"/>
      <c r="F103" s="1331"/>
      <c r="G103" s="1331"/>
      <c r="H103" s="1331"/>
    </row>
    <row r="104" spans="1:8" ht="15.75">
      <c r="A104" s="1334" t="s">
        <v>717</v>
      </c>
      <c r="B104" s="1334"/>
      <c r="C104" s="1334"/>
      <c r="D104" s="1334"/>
      <c r="E104" s="1334"/>
      <c r="F104" s="1334"/>
      <c r="G104" s="1334"/>
      <c r="H104" s="1334"/>
    </row>
    <row r="105" spans="1:8">
      <c r="A105" s="1335" t="s">
        <v>718</v>
      </c>
      <c r="B105" s="1335"/>
      <c r="C105" s="1335"/>
      <c r="D105" s="1335"/>
      <c r="E105" s="1335"/>
      <c r="F105" s="1335"/>
      <c r="G105" s="1335"/>
      <c r="H105" s="1335"/>
    </row>
    <row r="106" spans="1:8">
      <c r="A106" s="1336"/>
      <c r="B106" s="1336"/>
      <c r="C106" s="1336"/>
      <c r="D106" s="1336"/>
      <c r="E106" s="1336"/>
      <c r="F106" s="1336"/>
      <c r="G106" s="1336"/>
      <c r="H106" s="1336"/>
    </row>
    <row r="107" spans="1:8">
      <c r="A107" s="1335" t="s">
        <v>934</v>
      </c>
      <c r="B107" s="1335"/>
      <c r="C107" s="1335"/>
      <c r="D107" s="1335"/>
      <c r="E107" s="1335"/>
      <c r="F107" s="1335"/>
      <c r="G107" s="1335"/>
      <c r="H107" s="1335"/>
    </row>
    <row r="108" spans="1:8">
      <c r="A108" s="1332" t="s">
        <v>935</v>
      </c>
      <c r="B108" s="1332"/>
      <c r="C108" s="1332"/>
      <c r="D108" s="1332"/>
      <c r="E108" s="1332"/>
      <c r="F108" s="1332"/>
      <c r="G108" s="1332"/>
      <c r="H108" s="1332"/>
    </row>
    <row r="109" spans="1:8">
      <c r="A109" s="1336"/>
      <c r="B109" s="1336"/>
      <c r="C109" s="1336"/>
      <c r="D109" s="1336"/>
      <c r="E109" s="1336"/>
      <c r="F109" s="1336"/>
      <c r="G109" s="1336"/>
      <c r="H109" s="1336"/>
    </row>
    <row r="110" spans="1:8">
      <c r="A110" s="1335" t="s">
        <v>927</v>
      </c>
      <c r="B110" s="1335"/>
      <c r="C110" s="1335"/>
      <c r="D110" s="1335"/>
      <c r="E110" s="1335"/>
      <c r="F110" s="1335"/>
      <c r="G110" s="1335"/>
      <c r="H110" s="1335"/>
    </row>
    <row r="111" spans="1:8">
      <c r="A111" s="1332" t="s">
        <v>928</v>
      </c>
      <c r="B111" s="1332"/>
      <c r="C111" s="1332"/>
      <c r="D111" s="1332"/>
      <c r="E111" s="1332"/>
      <c r="F111" s="1332"/>
      <c r="G111" s="1332"/>
      <c r="H111" s="1332"/>
    </row>
    <row r="112" spans="1:8">
      <c r="A112" s="1332" t="s">
        <v>929</v>
      </c>
      <c r="B112" s="1332"/>
      <c r="C112" s="1332"/>
      <c r="D112" s="1332"/>
      <c r="E112" s="1332"/>
      <c r="F112" s="1332"/>
      <c r="G112" s="1332"/>
      <c r="H112" s="1332"/>
    </row>
    <row r="113" spans="1:8">
      <c r="A113" s="1332" t="s">
        <v>930</v>
      </c>
      <c r="B113" s="1332"/>
      <c r="C113" s="1332"/>
      <c r="D113" s="1332"/>
      <c r="E113" s="1332"/>
      <c r="F113" s="1332"/>
      <c r="G113" s="1332"/>
      <c r="H113" s="1332"/>
    </row>
    <row r="114" spans="1:8">
      <c r="A114" s="1332" t="s">
        <v>931</v>
      </c>
      <c r="B114" s="1332"/>
      <c r="C114" s="1332"/>
      <c r="D114" s="1332"/>
      <c r="E114" s="1332"/>
      <c r="F114" s="1332"/>
      <c r="G114" s="1332"/>
      <c r="H114" s="1332"/>
    </row>
    <row r="115" spans="1:8">
      <c r="A115" s="1332" t="s">
        <v>932</v>
      </c>
      <c r="B115" s="1332"/>
      <c r="C115" s="1332"/>
      <c r="D115" s="1332"/>
      <c r="E115" s="1332"/>
      <c r="F115" s="1332"/>
      <c r="G115" s="1332"/>
      <c r="H115" s="1332"/>
    </row>
    <row r="116" spans="1:8">
      <c r="A116" s="1332" t="s">
        <v>933</v>
      </c>
      <c r="B116" s="1332"/>
      <c r="C116" s="1332"/>
      <c r="D116" s="1332"/>
      <c r="E116" s="1332"/>
      <c r="F116" s="1332"/>
      <c r="G116" s="1332"/>
      <c r="H116" s="1332"/>
    </row>
    <row r="117" spans="1:8">
      <c r="A117" s="1337"/>
      <c r="B117" s="1337"/>
      <c r="C117" s="1337"/>
      <c r="D117" s="1337"/>
      <c r="E117" s="1337"/>
      <c r="F117" s="1337"/>
      <c r="G117" s="1337"/>
      <c r="H117" s="1337"/>
    </row>
    <row r="118" spans="1:8">
      <c r="A118" s="1338"/>
      <c r="B118" s="1339" t="s">
        <v>719</v>
      </c>
      <c r="C118" s="1340"/>
      <c r="D118" s="1339" t="s">
        <v>720</v>
      </c>
      <c r="E118" s="1341"/>
      <c r="F118" s="1340"/>
      <c r="G118" s="1339" t="s">
        <v>721</v>
      </c>
      <c r="H118" s="1340"/>
    </row>
    <row r="119" spans="1:8">
      <c r="A119" s="1338" t="s">
        <v>722</v>
      </c>
      <c r="B119" s="1338" t="s">
        <v>492</v>
      </c>
      <c r="C119" s="1338" t="s">
        <v>723</v>
      </c>
      <c r="D119" s="1338" t="s">
        <v>492</v>
      </c>
      <c r="E119" s="1338" t="s">
        <v>724</v>
      </c>
      <c r="F119" s="1338" t="s">
        <v>725</v>
      </c>
      <c r="G119" s="1338" t="s">
        <v>492</v>
      </c>
      <c r="H119" s="1338" t="s">
        <v>726</v>
      </c>
    </row>
    <row r="120" spans="1:8">
      <c r="A120" s="1338" t="s">
        <v>727</v>
      </c>
      <c r="B120" s="1338">
        <v>1189</v>
      </c>
      <c r="C120" s="1342">
        <v>0.38</v>
      </c>
      <c r="D120" s="1338">
        <v>315</v>
      </c>
      <c r="E120" s="1342">
        <v>0.41</v>
      </c>
      <c r="F120" s="1342">
        <v>0.26</v>
      </c>
      <c r="G120" s="1338">
        <v>555</v>
      </c>
      <c r="H120" s="1342">
        <v>0.39</v>
      </c>
    </row>
    <row r="121" spans="1:8">
      <c r="A121" s="1338" t="s">
        <v>728</v>
      </c>
      <c r="B121" s="1338">
        <v>1355</v>
      </c>
      <c r="C121" s="1342">
        <v>0.43</v>
      </c>
      <c r="D121" s="1338">
        <v>364</v>
      </c>
      <c r="E121" s="1342">
        <v>0.47</v>
      </c>
      <c r="F121" s="1342">
        <v>0.27</v>
      </c>
      <c r="G121" s="1338">
        <v>644</v>
      </c>
      <c r="H121" s="1342">
        <v>0.45</v>
      </c>
    </row>
    <row r="122" spans="1:8">
      <c r="A122" s="1338" t="s">
        <v>729</v>
      </c>
      <c r="B122" s="1338">
        <v>53</v>
      </c>
      <c r="C122" s="1342">
        <v>0.02</v>
      </c>
      <c r="D122" s="1338">
        <v>4</v>
      </c>
      <c r="E122" s="1342">
        <v>0.01</v>
      </c>
      <c r="F122" s="1342">
        <v>0.08</v>
      </c>
      <c r="G122" s="1338">
        <v>7</v>
      </c>
      <c r="H122" s="1342">
        <v>0</v>
      </c>
    </row>
    <row r="123" spans="1:8">
      <c r="A123" s="1338" t="s">
        <v>730</v>
      </c>
      <c r="B123" s="1338">
        <v>545</v>
      </c>
      <c r="C123" s="1342">
        <v>0.17</v>
      </c>
      <c r="D123" s="1338">
        <v>84</v>
      </c>
      <c r="E123" s="1342">
        <v>0.11</v>
      </c>
      <c r="F123" s="1342">
        <v>0.15</v>
      </c>
      <c r="G123" s="1338">
        <v>214</v>
      </c>
      <c r="H123" s="1342">
        <v>0.15</v>
      </c>
    </row>
    <row r="124" spans="1:8">
      <c r="A124" s="1338" t="s">
        <v>123</v>
      </c>
      <c r="B124" s="1343">
        <v>3142</v>
      </c>
      <c r="C124" s="1338"/>
      <c r="D124" s="1338">
        <v>767</v>
      </c>
      <c r="E124" s="1338"/>
      <c r="F124" s="1338"/>
      <c r="G124" s="1338">
        <v>1420</v>
      </c>
      <c r="H124" s="1338"/>
    </row>
    <row r="125" spans="1:8">
      <c r="A125" s="1344"/>
      <c r="B125" s="1344"/>
      <c r="C125" s="1344"/>
      <c r="D125" s="1344"/>
      <c r="E125" s="1344"/>
      <c r="F125" s="1344"/>
      <c r="G125" s="1344"/>
      <c r="H125" s="1344"/>
    </row>
    <row r="126" spans="1:8">
      <c r="A126" s="1335" t="s">
        <v>923</v>
      </c>
      <c r="B126" s="1335"/>
      <c r="C126" s="1335"/>
      <c r="D126" s="1335"/>
      <c r="E126" s="1335"/>
      <c r="F126" s="1335"/>
      <c r="G126" s="1335"/>
      <c r="H126" s="1335"/>
    </row>
    <row r="127" spans="1:8">
      <c r="A127" s="1332" t="s">
        <v>924</v>
      </c>
      <c r="B127" s="1332"/>
      <c r="C127" s="1332"/>
      <c r="D127" s="1332"/>
      <c r="E127" s="1332"/>
      <c r="F127" s="1332"/>
      <c r="G127" s="1332"/>
      <c r="H127" s="1332"/>
    </row>
    <row r="128" spans="1:8">
      <c r="A128" s="1332" t="s">
        <v>925</v>
      </c>
      <c r="B128" s="1332"/>
      <c r="C128" s="1332"/>
      <c r="D128" s="1332"/>
      <c r="E128" s="1332"/>
      <c r="F128" s="1332"/>
      <c r="G128" s="1332"/>
      <c r="H128" s="1332"/>
    </row>
    <row r="129" spans="1:8">
      <c r="A129" s="1332" t="s">
        <v>926</v>
      </c>
      <c r="B129" s="1332"/>
      <c r="C129" s="1332"/>
      <c r="D129" s="1332"/>
      <c r="E129" s="1332"/>
      <c r="F129" s="1332"/>
      <c r="G129" s="1332"/>
      <c r="H129" s="1332"/>
    </row>
    <row r="130" spans="1:8">
      <c r="A130" s="1331"/>
      <c r="B130" s="1331"/>
      <c r="C130" s="1331"/>
      <c r="D130" s="1331"/>
      <c r="E130" s="1331"/>
      <c r="F130" s="1331"/>
      <c r="G130" s="1331"/>
      <c r="H130" s="1331"/>
    </row>
    <row r="131" spans="1:8" ht="15.75">
      <c r="A131" s="1333" t="s">
        <v>731</v>
      </c>
      <c r="B131" s="1331"/>
      <c r="C131" s="1331"/>
      <c r="D131" s="1331"/>
      <c r="E131" s="1331"/>
      <c r="F131" s="1331"/>
      <c r="G131" s="1331"/>
      <c r="H131" s="1331"/>
    </row>
    <row r="132" spans="1:8">
      <c r="A132" s="1331"/>
      <c r="B132" s="1331"/>
      <c r="C132" s="1331"/>
      <c r="D132" s="1331"/>
      <c r="E132" s="1331"/>
      <c r="F132" s="1331"/>
      <c r="G132" s="1331"/>
      <c r="H132" s="1331"/>
    </row>
    <row r="133" spans="1:8">
      <c r="A133" s="1332" t="s">
        <v>921</v>
      </c>
      <c r="B133" s="1331"/>
      <c r="C133" s="1331"/>
      <c r="D133" s="1331"/>
      <c r="E133" s="1331"/>
      <c r="F133" s="1331"/>
      <c r="G133" s="1331"/>
      <c r="H133" s="1331"/>
    </row>
    <row r="134" spans="1:8">
      <c r="A134" s="1332" t="s">
        <v>922</v>
      </c>
      <c r="B134" s="1331"/>
      <c r="C134" s="1331"/>
      <c r="D134" s="1331"/>
      <c r="E134" s="1331"/>
      <c r="F134" s="1331"/>
      <c r="G134" s="1331"/>
      <c r="H134" s="1331"/>
    </row>
    <row r="135" spans="1:8">
      <c r="A135" s="1331"/>
      <c r="B135" s="1331"/>
      <c r="C135" s="1331"/>
      <c r="D135" s="1331"/>
      <c r="E135" s="1331"/>
      <c r="F135" s="1331"/>
      <c r="G135" s="1331"/>
      <c r="H135" s="1331"/>
    </row>
    <row r="136" spans="1:8">
      <c r="A136" s="1332" t="s">
        <v>918</v>
      </c>
      <c r="B136" s="1331"/>
      <c r="C136" s="1331"/>
      <c r="D136" s="1331"/>
      <c r="E136" s="1331"/>
      <c r="F136" s="1331"/>
      <c r="G136" s="1331"/>
      <c r="H136" s="1331"/>
    </row>
    <row r="137" spans="1:8">
      <c r="A137" s="1332" t="s">
        <v>919</v>
      </c>
      <c r="B137" s="1331"/>
      <c r="C137" s="1331"/>
      <c r="D137" s="1331"/>
      <c r="E137" s="1331"/>
      <c r="F137" s="1331"/>
      <c r="G137" s="1331"/>
      <c r="H137" s="1331"/>
    </row>
    <row r="138" spans="1:8">
      <c r="A138" s="1332" t="s">
        <v>920</v>
      </c>
      <c r="B138" s="1331"/>
      <c r="C138" s="1331"/>
      <c r="D138" s="1331"/>
      <c r="E138" s="1331"/>
      <c r="F138" s="1331"/>
      <c r="G138" s="1331"/>
      <c r="H138" s="1331"/>
    </row>
    <row r="139" spans="1:8">
      <c r="A139" s="1331"/>
      <c r="B139" s="1331"/>
      <c r="C139" s="1331"/>
      <c r="D139" s="1331"/>
      <c r="E139" s="1331"/>
      <c r="F139" s="1331"/>
      <c r="G139" s="1331"/>
      <c r="H139" s="1331"/>
    </row>
    <row r="140" spans="1:8">
      <c r="A140" s="1332" t="s">
        <v>915</v>
      </c>
      <c r="B140" s="1331"/>
      <c r="C140" s="1331"/>
      <c r="D140" s="1331"/>
      <c r="E140" s="1331"/>
      <c r="F140" s="1331"/>
      <c r="G140" s="1331"/>
      <c r="H140" s="1331"/>
    </row>
    <row r="141" spans="1:8">
      <c r="A141" s="1332" t="s">
        <v>916</v>
      </c>
      <c r="B141" s="1331"/>
      <c r="C141" s="1331"/>
      <c r="D141" s="1331"/>
      <c r="E141" s="1331"/>
      <c r="F141" s="1331"/>
      <c r="G141" s="1331"/>
      <c r="H141" s="1331"/>
    </row>
    <row r="142" spans="1:8">
      <c r="A142" s="1332" t="s">
        <v>917</v>
      </c>
      <c r="B142" s="1331"/>
      <c r="C142" s="1331"/>
      <c r="D142" s="1331"/>
      <c r="E142" s="1331"/>
      <c r="F142" s="1331"/>
      <c r="G142" s="1331"/>
      <c r="H142" s="1331"/>
    </row>
    <row r="143" spans="1:8">
      <c r="A143" s="1331"/>
      <c r="B143" s="1331"/>
      <c r="C143" s="1331"/>
      <c r="D143" s="1331"/>
      <c r="E143" s="1331"/>
      <c r="F143" s="1331"/>
      <c r="G143" s="1331"/>
      <c r="H143" s="1331"/>
    </row>
    <row r="144" spans="1:8">
      <c r="A144" s="1332" t="s">
        <v>912</v>
      </c>
      <c r="B144" s="1331"/>
      <c r="C144" s="1331"/>
      <c r="D144" s="1331"/>
      <c r="E144" s="1331"/>
      <c r="F144" s="1331"/>
      <c r="G144" s="1331"/>
      <c r="H144" s="1331"/>
    </row>
    <row r="145" spans="1:8">
      <c r="A145" s="1332" t="s">
        <v>913</v>
      </c>
      <c r="B145" s="1331"/>
      <c r="C145" s="1331"/>
      <c r="D145" s="1331"/>
      <c r="E145" s="1331"/>
      <c r="F145" s="1331"/>
      <c r="G145" s="1331"/>
      <c r="H145" s="1331"/>
    </row>
    <row r="146" spans="1:8">
      <c r="A146" s="1332" t="s">
        <v>914</v>
      </c>
      <c r="B146" s="1331"/>
      <c r="C146" s="1331"/>
      <c r="D146" s="1331"/>
      <c r="E146" s="1331"/>
      <c r="F146" s="1331"/>
      <c r="G146" s="1331"/>
      <c r="H146" s="1331"/>
    </row>
    <row r="147" spans="1:8">
      <c r="A147" s="1331"/>
      <c r="B147" s="1331"/>
      <c r="C147" s="1331"/>
      <c r="D147" s="1331"/>
      <c r="E147" s="1331"/>
      <c r="F147" s="1331"/>
      <c r="G147" s="1331"/>
      <c r="H147" s="1331"/>
    </row>
    <row r="148" spans="1:8">
      <c r="A148" s="1332" t="s">
        <v>910</v>
      </c>
      <c r="B148" s="1331"/>
      <c r="C148" s="1331"/>
      <c r="D148" s="1331"/>
      <c r="E148" s="1331"/>
      <c r="F148" s="1331"/>
      <c r="G148" s="1331"/>
      <c r="H148" s="1331"/>
    </row>
    <row r="149" spans="1:8">
      <c r="A149" s="1332" t="s">
        <v>911</v>
      </c>
      <c r="B149" s="1331"/>
      <c r="C149" s="1331"/>
      <c r="D149" s="1331"/>
      <c r="E149" s="1331"/>
      <c r="F149" s="1331"/>
      <c r="G149" s="1331"/>
      <c r="H149" s="1331"/>
    </row>
    <row r="150" spans="1:8">
      <c r="A150" s="1331"/>
      <c r="B150" s="1331"/>
      <c r="C150" s="1331"/>
      <c r="D150" s="1331"/>
      <c r="E150" s="1331"/>
      <c r="F150" s="1331"/>
      <c r="G150" s="1331"/>
      <c r="H150" s="1331"/>
    </row>
    <row r="151" spans="1:8" ht="15.75">
      <c r="A151" s="1333" t="s">
        <v>732</v>
      </c>
      <c r="B151" s="1331"/>
      <c r="C151" s="1331"/>
      <c r="D151" s="1331"/>
      <c r="E151" s="1331"/>
      <c r="F151" s="1331"/>
      <c r="G151" s="1331"/>
      <c r="H151" s="1331"/>
    </row>
    <row r="152" spans="1:8">
      <c r="A152" s="1331"/>
      <c r="B152" s="1331"/>
      <c r="C152" s="1331"/>
      <c r="D152" s="1331"/>
      <c r="E152" s="1331"/>
      <c r="F152" s="1331"/>
      <c r="G152" s="1331"/>
      <c r="H152" s="1331"/>
    </row>
    <row r="153" spans="1:8">
      <c r="A153" s="1332" t="s">
        <v>908</v>
      </c>
      <c r="B153" s="1331"/>
      <c r="C153" s="1331"/>
      <c r="D153" s="1331"/>
      <c r="E153" s="1331"/>
      <c r="F153" s="1331"/>
      <c r="G153" s="1331"/>
      <c r="H153" s="1331"/>
    </row>
    <row r="154" spans="1:8">
      <c r="A154" s="1332" t="s">
        <v>909</v>
      </c>
      <c r="B154" s="1331"/>
      <c r="C154" s="1331"/>
      <c r="D154" s="1331"/>
      <c r="E154" s="1331"/>
      <c r="F154" s="1331"/>
      <c r="G154" s="1331"/>
      <c r="H154" s="1331"/>
    </row>
    <row r="155" spans="1:8">
      <c r="A155" s="1331"/>
      <c r="B155" s="1331"/>
      <c r="C155" s="1331"/>
      <c r="D155" s="1331"/>
      <c r="E155" s="1331"/>
      <c r="F155" s="1331"/>
      <c r="G155" s="1331"/>
      <c r="H155" s="1331"/>
    </row>
    <row r="156" spans="1:8">
      <c r="A156" s="1332" t="s">
        <v>906</v>
      </c>
      <c r="B156" s="1331"/>
      <c r="C156" s="1331"/>
      <c r="D156" s="1331"/>
      <c r="E156" s="1331"/>
      <c r="F156" s="1331"/>
      <c r="G156" s="1331"/>
      <c r="H156" s="1331"/>
    </row>
    <row r="157" spans="1:8">
      <c r="A157" s="1332" t="s">
        <v>907</v>
      </c>
      <c r="B157" s="1331"/>
      <c r="C157" s="1331"/>
      <c r="D157" s="1331"/>
      <c r="E157" s="1331"/>
      <c r="F157" s="1331"/>
      <c r="G157" s="1331"/>
      <c r="H157" s="1331"/>
    </row>
    <row r="158" spans="1:8">
      <c r="A158" s="1331"/>
      <c r="B158" s="1331"/>
      <c r="C158" s="1331"/>
      <c r="D158" s="1331"/>
      <c r="E158" s="1331"/>
      <c r="F158" s="1331"/>
      <c r="G158" s="1331"/>
      <c r="H158" s="1331"/>
    </row>
    <row r="159" spans="1:8">
      <c r="A159" s="1332" t="s">
        <v>904</v>
      </c>
      <c r="B159" s="1331"/>
      <c r="C159" s="1331"/>
      <c r="D159" s="1331"/>
      <c r="E159" s="1331"/>
      <c r="F159" s="1331"/>
      <c r="G159" s="1331"/>
      <c r="H159" s="1331"/>
    </row>
    <row r="160" spans="1:8">
      <c r="A160" s="1332" t="s">
        <v>905</v>
      </c>
      <c r="B160" s="1331"/>
      <c r="C160" s="1331"/>
      <c r="D160" s="1331"/>
      <c r="E160" s="1331"/>
      <c r="F160" s="1331"/>
      <c r="G160" s="1331"/>
      <c r="H160" s="1331"/>
    </row>
    <row r="161" spans="1:8">
      <c r="A161" s="1331"/>
      <c r="B161" s="1331"/>
      <c r="C161" s="1331"/>
      <c r="D161" s="1331"/>
      <c r="E161" s="1331"/>
      <c r="F161" s="1331"/>
      <c r="G161" s="1331"/>
      <c r="H161" s="1331"/>
    </row>
    <row r="162" spans="1:8">
      <c r="A162" s="1332" t="s">
        <v>901</v>
      </c>
      <c r="B162" s="1331"/>
      <c r="C162" s="1331"/>
      <c r="D162" s="1331"/>
      <c r="E162" s="1331"/>
      <c r="F162" s="1331"/>
      <c r="G162" s="1331"/>
      <c r="H162" s="1331"/>
    </row>
    <row r="163" spans="1:8">
      <c r="A163" s="1332" t="s">
        <v>902</v>
      </c>
      <c r="B163" s="1331"/>
      <c r="C163" s="1331"/>
      <c r="D163" s="1331"/>
      <c r="E163" s="1331"/>
      <c r="F163" s="1331"/>
      <c r="G163" s="1331"/>
      <c r="H163" s="1331"/>
    </row>
    <row r="164" spans="1:8">
      <c r="A164" s="1332" t="s">
        <v>903</v>
      </c>
      <c r="B164" s="1331"/>
      <c r="C164" s="1331"/>
      <c r="D164" s="1331"/>
      <c r="E164" s="1331"/>
      <c r="F164" s="1331"/>
      <c r="G164" s="1331"/>
      <c r="H164" s="1331"/>
    </row>
    <row r="165" spans="1:8">
      <c r="A165" s="1331"/>
      <c r="B165" s="1331"/>
      <c r="C165" s="1331"/>
      <c r="D165" s="1331"/>
      <c r="E165" s="1331"/>
      <c r="F165" s="1331"/>
      <c r="G165" s="1331"/>
      <c r="H165" s="1331"/>
    </row>
    <row r="166" spans="1:8">
      <c r="A166" s="1331"/>
      <c r="B166" s="1331"/>
      <c r="C166" s="1331"/>
      <c r="D166" s="1331"/>
      <c r="E166" s="1331"/>
      <c r="F166" s="1331"/>
      <c r="G166" s="1331"/>
      <c r="H166" s="1331"/>
    </row>
    <row r="167" spans="1:8">
      <c r="A167" s="1332" t="s">
        <v>733</v>
      </c>
      <c r="B167" s="1331"/>
      <c r="C167" s="1331"/>
      <c r="D167" s="1331"/>
      <c r="E167" s="1331"/>
      <c r="F167" s="1331"/>
      <c r="G167" s="1331"/>
      <c r="H167" s="1331"/>
    </row>
    <row r="168" spans="1:8">
      <c r="A168" s="1331"/>
      <c r="B168" s="1331"/>
      <c r="C168" s="1331"/>
      <c r="D168" s="1331"/>
      <c r="E168" s="1331"/>
      <c r="F168" s="1331"/>
      <c r="G168" s="1331"/>
      <c r="H168" s="1331"/>
    </row>
    <row r="169" spans="1:8" ht="15.75">
      <c r="A169" s="1333" t="s">
        <v>734</v>
      </c>
      <c r="B169" s="1331"/>
      <c r="C169" s="1331"/>
      <c r="D169" s="1331"/>
      <c r="E169" s="1331"/>
      <c r="F169" s="1331"/>
      <c r="G169" s="1331"/>
      <c r="H169" s="1331"/>
    </row>
    <row r="170" spans="1:8">
      <c r="A170" s="1331"/>
      <c r="B170" s="1331"/>
      <c r="C170" s="1331"/>
      <c r="D170" s="1331"/>
      <c r="E170" s="1331"/>
      <c r="F170" s="1331"/>
      <c r="G170" s="1331"/>
      <c r="H170" s="1331"/>
    </row>
    <row r="171" spans="1:8">
      <c r="A171" s="1331"/>
      <c r="B171" s="1331"/>
      <c r="C171" s="1331"/>
      <c r="D171" s="1331"/>
      <c r="E171" s="1331"/>
      <c r="F171" s="1331"/>
      <c r="G171" s="1331"/>
      <c r="H171" s="1331"/>
    </row>
    <row r="172" spans="1:8">
      <c r="A172" s="1331"/>
      <c r="B172" s="1331"/>
      <c r="C172" s="1331"/>
      <c r="D172" s="1331"/>
      <c r="E172" s="1331"/>
      <c r="F172" s="1331"/>
      <c r="G172" s="1331"/>
      <c r="H172" s="1331"/>
    </row>
    <row r="173" spans="1:8">
      <c r="A173" s="1331"/>
      <c r="B173" s="1331"/>
      <c r="C173" s="1331"/>
      <c r="D173" s="1331"/>
      <c r="E173" s="1331"/>
      <c r="F173" s="1331"/>
      <c r="G173" s="1331"/>
      <c r="H173" s="1331"/>
    </row>
    <row r="174" spans="1:8">
      <c r="A174" s="1331"/>
      <c r="B174" s="1331"/>
      <c r="C174" s="1331"/>
      <c r="D174" s="1331"/>
      <c r="E174" s="1331"/>
      <c r="F174" s="1331"/>
      <c r="G174" s="1331"/>
      <c r="H174" s="1331"/>
    </row>
    <row r="175" spans="1:8">
      <c r="A175" s="1331"/>
      <c r="B175" s="1331"/>
      <c r="C175" s="1331"/>
      <c r="D175" s="1331"/>
      <c r="E175" s="1331"/>
      <c r="F175" s="1331"/>
      <c r="G175" s="1331"/>
      <c r="H175" s="1331"/>
    </row>
    <row r="176" spans="1:8">
      <c r="A176" s="1331"/>
      <c r="B176" s="1331"/>
      <c r="C176" s="1331"/>
      <c r="D176" s="1331"/>
      <c r="E176" s="1331"/>
      <c r="F176" s="1331"/>
      <c r="G176" s="1331"/>
      <c r="H176" s="1331"/>
    </row>
    <row r="177" spans="1:8">
      <c r="A177" s="1331"/>
      <c r="B177" s="1331"/>
      <c r="C177" s="1331"/>
      <c r="D177" s="1331"/>
      <c r="E177" s="1331"/>
      <c r="F177" s="1331"/>
      <c r="G177" s="1331"/>
      <c r="H177" s="1331"/>
    </row>
    <row r="178" spans="1:8">
      <c r="A178" s="1331"/>
      <c r="B178" s="1331"/>
      <c r="C178" s="1331"/>
      <c r="D178" s="1331"/>
      <c r="E178" s="1331"/>
      <c r="F178" s="1331"/>
      <c r="G178" s="1331"/>
      <c r="H178" s="1331"/>
    </row>
    <row r="179" spans="1:8">
      <c r="A179" s="1331"/>
      <c r="B179" s="1331"/>
      <c r="C179" s="1331"/>
      <c r="D179" s="1331"/>
      <c r="E179" s="1331"/>
      <c r="F179" s="1331"/>
      <c r="G179" s="1331"/>
      <c r="H179" s="1331"/>
    </row>
    <row r="180" spans="1:8">
      <c r="A180" s="1331"/>
      <c r="B180" s="1331"/>
      <c r="C180" s="1331"/>
      <c r="D180" s="1331"/>
      <c r="E180" s="1331"/>
      <c r="F180" s="1331"/>
      <c r="G180" s="1331"/>
      <c r="H180" s="1331"/>
    </row>
    <row r="181" spans="1:8">
      <c r="A181" s="1331"/>
      <c r="B181" s="1331"/>
      <c r="C181" s="1331"/>
      <c r="D181" s="1331"/>
      <c r="E181" s="1331"/>
      <c r="F181" s="1331"/>
      <c r="G181" s="1331"/>
      <c r="H181" s="1331"/>
    </row>
    <row r="182" spans="1:8">
      <c r="A182" s="1331"/>
      <c r="B182" s="1331"/>
      <c r="C182" s="1331"/>
      <c r="D182" s="1331"/>
      <c r="E182" s="1331"/>
      <c r="F182" s="1331"/>
      <c r="G182" s="1331"/>
      <c r="H182" s="1331"/>
    </row>
    <row r="183" spans="1:8">
      <c r="A183" s="1331"/>
      <c r="B183" s="1331"/>
      <c r="C183" s="1331"/>
      <c r="D183" s="1331"/>
      <c r="E183" s="1331"/>
      <c r="F183" s="1331"/>
      <c r="G183" s="1331"/>
      <c r="H183" s="1331"/>
    </row>
    <row r="184" spans="1:8">
      <c r="A184" s="1331"/>
      <c r="B184" s="1331"/>
      <c r="C184" s="1331"/>
      <c r="D184" s="1331"/>
      <c r="E184" s="1331"/>
      <c r="F184" s="1331"/>
      <c r="G184" s="1331"/>
      <c r="H184" s="1331"/>
    </row>
    <row r="185" spans="1:8">
      <c r="A185" s="1331"/>
      <c r="B185" s="1331"/>
      <c r="C185" s="1331"/>
      <c r="D185" s="1331"/>
      <c r="E185" s="1331"/>
      <c r="F185" s="1331"/>
      <c r="G185" s="1331"/>
      <c r="H185" s="1331"/>
    </row>
    <row r="186" spans="1:8">
      <c r="A186" s="1331"/>
      <c r="B186" s="1331"/>
      <c r="C186" s="1331"/>
      <c r="D186" s="1331"/>
      <c r="E186" s="1331"/>
      <c r="F186" s="1331"/>
      <c r="G186" s="1331"/>
      <c r="H186" s="1331"/>
    </row>
    <row r="187" spans="1:8">
      <c r="A187" s="1331"/>
      <c r="B187" s="1331"/>
      <c r="C187" s="1331"/>
      <c r="D187" s="1331"/>
      <c r="E187" s="1331"/>
      <c r="F187" s="1331"/>
      <c r="G187" s="1331"/>
      <c r="H187" s="1331"/>
    </row>
    <row r="188" spans="1:8">
      <c r="A188" s="1331"/>
      <c r="B188" s="1331"/>
      <c r="C188" s="1331"/>
      <c r="D188" s="1331"/>
      <c r="E188" s="1331"/>
      <c r="F188" s="1331"/>
      <c r="G188" s="1331"/>
      <c r="H188" s="1331"/>
    </row>
    <row r="189" spans="1:8">
      <c r="A189" s="1331"/>
      <c r="B189" s="1331"/>
      <c r="C189" s="1331"/>
      <c r="D189" s="1331"/>
      <c r="E189" s="1331"/>
      <c r="F189" s="1331"/>
      <c r="G189" s="1331"/>
      <c r="H189" s="1331"/>
    </row>
    <row r="190" spans="1:8">
      <c r="A190" s="1331"/>
      <c r="B190" s="1331"/>
      <c r="C190" s="1331"/>
      <c r="D190" s="1331"/>
      <c r="E190" s="1331"/>
      <c r="F190" s="1331"/>
      <c r="G190" s="1331"/>
      <c r="H190" s="1331"/>
    </row>
    <row r="191" spans="1:8">
      <c r="A191" s="1331"/>
      <c r="B191" s="1331"/>
      <c r="C191" s="1331"/>
      <c r="D191" s="1331"/>
      <c r="E191" s="1331"/>
      <c r="F191" s="1331"/>
      <c r="G191" s="1331"/>
      <c r="H191" s="1331"/>
    </row>
    <row r="192" spans="1:8">
      <c r="A192" s="1331"/>
      <c r="B192" s="1331"/>
      <c r="C192" s="1331"/>
      <c r="D192" s="1331"/>
      <c r="E192" s="1331"/>
      <c r="F192" s="1331"/>
      <c r="G192" s="1331"/>
      <c r="H192" s="1331"/>
    </row>
    <row r="193" spans="1:8">
      <c r="A193" s="1331"/>
      <c r="B193" s="1331"/>
      <c r="C193" s="1331"/>
      <c r="D193" s="1331"/>
      <c r="E193" s="1331"/>
      <c r="F193" s="1331"/>
      <c r="G193" s="1331"/>
      <c r="H193" s="1331"/>
    </row>
    <row r="194" spans="1:8">
      <c r="A194" s="1331"/>
      <c r="B194" s="1331"/>
      <c r="C194" s="1331"/>
      <c r="D194" s="1331"/>
      <c r="E194" s="1331"/>
      <c r="F194" s="1331"/>
      <c r="G194" s="1331"/>
      <c r="H194" s="1331"/>
    </row>
    <row r="195" spans="1:8">
      <c r="A195" s="1331"/>
      <c r="B195" s="1331"/>
      <c r="C195" s="1331"/>
      <c r="D195" s="1331"/>
      <c r="E195" s="1331"/>
      <c r="F195" s="1331"/>
      <c r="G195" s="1331"/>
      <c r="H195" s="1331"/>
    </row>
    <row r="196" spans="1:8" ht="15.75">
      <c r="A196" s="1333" t="s">
        <v>735</v>
      </c>
      <c r="B196" s="1331"/>
      <c r="C196" s="1331"/>
      <c r="D196" s="1331"/>
      <c r="E196" s="1331"/>
      <c r="F196" s="1331"/>
      <c r="G196" s="1331"/>
      <c r="H196" s="1331"/>
    </row>
    <row r="197" spans="1:8">
      <c r="A197" s="1331"/>
      <c r="B197" s="1331"/>
      <c r="C197" s="1331"/>
      <c r="D197" s="1331"/>
      <c r="E197" s="1331"/>
      <c r="F197" s="1331"/>
      <c r="G197" s="1331"/>
      <c r="H197" s="1331"/>
    </row>
    <row r="198" spans="1:8">
      <c r="A198" s="1332" t="s">
        <v>896</v>
      </c>
      <c r="B198" s="1331"/>
      <c r="C198" s="1331"/>
      <c r="D198" s="1331"/>
      <c r="E198" s="1331"/>
      <c r="F198" s="1331"/>
      <c r="G198" s="1331"/>
      <c r="H198" s="1331"/>
    </row>
    <row r="199" spans="1:8">
      <c r="A199" s="1332" t="s">
        <v>897</v>
      </c>
      <c r="B199" s="1331"/>
      <c r="C199" s="1331"/>
      <c r="D199" s="1331"/>
      <c r="E199" s="1331"/>
      <c r="F199" s="1331"/>
      <c r="G199" s="1331"/>
      <c r="H199" s="1331"/>
    </row>
    <row r="200" spans="1:8">
      <c r="A200" s="1332" t="s">
        <v>898</v>
      </c>
      <c r="B200" s="1331"/>
      <c r="C200" s="1331"/>
      <c r="D200" s="1331"/>
      <c r="E200" s="1331"/>
      <c r="F200" s="1331"/>
      <c r="G200" s="1331"/>
      <c r="H200" s="1331"/>
    </row>
    <row r="201" spans="1:8">
      <c r="A201" s="1332" t="s">
        <v>899</v>
      </c>
      <c r="B201" s="1331"/>
      <c r="C201" s="1331"/>
      <c r="D201" s="1331"/>
      <c r="E201" s="1331"/>
      <c r="F201" s="1331"/>
      <c r="G201" s="1331"/>
      <c r="H201" s="1331"/>
    </row>
    <row r="202" spans="1:8">
      <c r="A202" s="1332" t="s">
        <v>900</v>
      </c>
      <c r="B202" s="1331"/>
      <c r="C202" s="1331"/>
      <c r="D202" s="1331"/>
      <c r="E202" s="1331"/>
      <c r="F202" s="1331"/>
      <c r="G202" s="1331"/>
      <c r="H202" s="1331"/>
    </row>
    <row r="203" spans="1:8">
      <c r="A203" s="1331"/>
      <c r="B203" s="1331"/>
      <c r="C203" s="1331"/>
      <c r="D203" s="1331"/>
      <c r="E203" s="1331"/>
      <c r="F203" s="1331"/>
      <c r="G203" s="1331"/>
      <c r="H203" s="1331"/>
    </row>
    <row r="204" spans="1:8">
      <c r="A204" s="1332" t="s">
        <v>893</v>
      </c>
      <c r="B204" s="1331"/>
      <c r="C204" s="1331"/>
      <c r="D204" s="1331"/>
      <c r="E204" s="1331"/>
      <c r="F204" s="1331"/>
      <c r="G204" s="1331"/>
      <c r="H204" s="1331"/>
    </row>
    <row r="205" spans="1:8">
      <c r="A205" s="1332" t="s">
        <v>894</v>
      </c>
      <c r="B205" s="1331"/>
      <c r="C205" s="1331"/>
      <c r="D205" s="1331"/>
      <c r="E205" s="1331"/>
      <c r="F205" s="1331"/>
      <c r="G205" s="1331"/>
      <c r="H205" s="1331"/>
    </row>
    <row r="206" spans="1:8">
      <c r="A206" s="1332" t="s">
        <v>895</v>
      </c>
      <c r="B206" s="1331"/>
      <c r="C206" s="1331"/>
      <c r="D206" s="1331"/>
      <c r="E206" s="1331"/>
      <c r="F206" s="1331"/>
      <c r="G206" s="1331"/>
      <c r="H206" s="1331"/>
    </row>
    <row r="207" spans="1:8" ht="15.75">
      <c r="A207" s="1333" t="s">
        <v>736</v>
      </c>
      <c r="B207" s="1331"/>
      <c r="C207" s="1331"/>
      <c r="D207" s="1331"/>
      <c r="E207" s="1331"/>
      <c r="F207" s="1331"/>
      <c r="G207" s="1331"/>
      <c r="H207" s="1331"/>
    </row>
    <row r="208" spans="1:8">
      <c r="A208" s="1331"/>
      <c r="B208" s="1331"/>
      <c r="C208" s="1331"/>
      <c r="D208" s="1331"/>
      <c r="E208" s="1331"/>
      <c r="F208" s="1331"/>
      <c r="G208" s="1331"/>
      <c r="H208" s="1331"/>
    </row>
    <row r="209" spans="1:8">
      <c r="A209" s="1332" t="s">
        <v>891</v>
      </c>
      <c r="B209" s="1331"/>
      <c r="C209" s="1331"/>
      <c r="D209" s="1331"/>
      <c r="E209" s="1331"/>
      <c r="F209" s="1331"/>
      <c r="G209" s="1331"/>
      <c r="H209" s="1331"/>
    </row>
    <row r="210" spans="1:8">
      <c r="A210" s="1332" t="s">
        <v>892</v>
      </c>
      <c r="B210" s="1331"/>
      <c r="C210" s="1331"/>
      <c r="D210" s="1331"/>
      <c r="E210" s="1331"/>
      <c r="F210" s="1331"/>
      <c r="G210" s="1331"/>
      <c r="H210" s="1331"/>
    </row>
    <row r="211" spans="1:8">
      <c r="A211" s="1331"/>
      <c r="B211" s="1331"/>
      <c r="C211" s="1331"/>
      <c r="D211" s="1331"/>
      <c r="E211" s="1331"/>
      <c r="F211" s="1331"/>
      <c r="G211" s="1331"/>
      <c r="H211" s="1331"/>
    </row>
    <row r="212" spans="1:8">
      <c r="A212" s="1332" t="s">
        <v>884</v>
      </c>
      <c r="B212" s="1331"/>
      <c r="C212" s="1331"/>
      <c r="D212" s="1331"/>
      <c r="E212" s="1331"/>
      <c r="F212" s="1331"/>
      <c r="G212" s="1331"/>
      <c r="H212" s="1331"/>
    </row>
    <row r="213" spans="1:8">
      <c r="A213" s="1332" t="s">
        <v>885</v>
      </c>
      <c r="B213" s="1331"/>
      <c r="C213" s="1331"/>
      <c r="D213" s="1331"/>
      <c r="E213" s="1331"/>
      <c r="F213" s="1331"/>
      <c r="G213" s="1331"/>
      <c r="H213" s="1331"/>
    </row>
    <row r="214" spans="1:8">
      <c r="A214" s="1332" t="s">
        <v>886</v>
      </c>
      <c r="B214" s="1331"/>
      <c r="C214" s="1331"/>
      <c r="D214" s="1331"/>
      <c r="E214" s="1331"/>
      <c r="F214" s="1331"/>
      <c r="G214" s="1331"/>
      <c r="H214" s="1331"/>
    </row>
    <row r="215" spans="1:8">
      <c r="A215" s="1332" t="s">
        <v>887</v>
      </c>
      <c r="B215" s="1331"/>
      <c r="C215" s="1331"/>
      <c r="D215" s="1331"/>
      <c r="E215" s="1331"/>
      <c r="F215" s="1331"/>
      <c r="G215" s="1331"/>
      <c r="H215" s="1331"/>
    </row>
    <row r="216" spans="1:8">
      <c r="A216" s="1332" t="s">
        <v>888</v>
      </c>
      <c r="B216" s="1331"/>
      <c r="C216" s="1331"/>
      <c r="D216" s="1331"/>
      <c r="E216" s="1331"/>
      <c r="F216" s="1331"/>
      <c r="G216" s="1331"/>
      <c r="H216" s="1331"/>
    </row>
    <row r="217" spans="1:8">
      <c r="A217" s="1332" t="s">
        <v>889</v>
      </c>
      <c r="B217" s="1331"/>
      <c r="C217" s="1331"/>
      <c r="D217" s="1331"/>
      <c r="E217" s="1331"/>
      <c r="F217" s="1331"/>
      <c r="G217" s="1331"/>
      <c r="H217" s="1331"/>
    </row>
    <row r="218" spans="1:8">
      <c r="A218" s="1332" t="s">
        <v>890</v>
      </c>
      <c r="B218" s="1331"/>
      <c r="C218" s="1331"/>
      <c r="D218" s="1331"/>
      <c r="E218" s="1331"/>
      <c r="F218" s="1331"/>
      <c r="G218" s="1331"/>
      <c r="H218" s="1331"/>
    </row>
    <row r="219" spans="1:8">
      <c r="A219" s="1331"/>
      <c r="B219" s="1331"/>
      <c r="C219" s="1331"/>
      <c r="D219" s="1331"/>
      <c r="E219" s="1331"/>
      <c r="F219" s="1331"/>
      <c r="G219" s="1331"/>
      <c r="H219" s="1331"/>
    </row>
    <row r="220" spans="1:8">
      <c r="A220" s="1332" t="s">
        <v>881</v>
      </c>
      <c r="B220" s="1331"/>
      <c r="C220" s="1331"/>
      <c r="D220" s="1331"/>
      <c r="E220" s="1331"/>
      <c r="F220" s="1331"/>
      <c r="G220" s="1331"/>
      <c r="H220" s="1331"/>
    </row>
    <row r="221" spans="1:8">
      <c r="A221" s="1332" t="s">
        <v>882</v>
      </c>
      <c r="B221" s="1331"/>
      <c r="C221" s="1331"/>
      <c r="D221" s="1331"/>
      <c r="E221" s="1331"/>
      <c r="F221" s="1331"/>
      <c r="G221" s="1331"/>
      <c r="H221" s="1331"/>
    </row>
    <row r="222" spans="1:8">
      <c r="A222" s="1332" t="s">
        <v>883</v>
      </c>
      <c r="B222" s="1331"/>
      <c r="C222" s="1331"/>
      <c r="D222" s="1331"/>
      <c r="E222" s="1331"/>
      <c r="F222" s="1331"/>
      <c r="G222" s="1331"/>
      <c r="H222" s="1331"/>
    </row>
    <row r="223" spans="1:8">
      <c r="A223" s="1331"/>
      <c r="B223" s="1331"/>
      <c r="C223" s="1331"/>
      <c r="D223" s="1331"/>
      <c r="E223" s="1331"/>
      <c r="F223" s="1331"/>
      <c r="G223" s="1331"/>
      <c r="H223" s="1331"/>
    </row>
    <row r="224" spans="1:8">
      <c r="A224" s="1332" t="s">
        <v>876</v>
      </c>
      <c r="B224" s="1331"/>
      <c r="C224" s="1331"/>
      <c r="D224" s="1331"/>
      <c r="E224" s="1331"/>
      <c r="F224" s="1331"/>
      <c r="G224" s="1331"/>
      <c r="H224" s="1331"/>
    </row>
    <row r="225" spans="1:8">
      <c r="A225" s="1332" t="s">
        <v>877</v>
      </c>
      <c r="B225" s="1331"/>
      <c r="C225" s="1331"/>
      <c r="D225" s="1331"/>
      <c r="E225" s="1331"/>
      <c r="F225" s="1331"/>
      <c r="G225" s="1331"/>
      <c r="H225" s="1331"/>
    </row>
    <row r="226" spans="1:8">
      <c r="A226" s="1332" t="s">
        <v>878</v>
      </c>
      <c r="B226" s="1331"/>
      <c r="C226" s="1331"/>
      <c r="D226" s="1331"/>
      <c r="E226" s="1331"/>
      <c r="F226" s="1331"/>
      <c r="G226" s="1331"/>
      <c r="H226" s="1331"/>
    </row>
    <row r="227" spans="1:8">
      <c r="A227" s="1332" t="s">
        <v>879</v>
      </c>
      <c r="B227" s="1331"/>
      <c r="C227" s="1331"/>
      <c r="D227" s="1331"/>
      <c r="E227" s="1331"/>
      <c r="F227" s="1331"/>
      <c r="G227" s="1331"/>
      <c r="H227" s="1331"/>
    </row>
    <row r="228" spans="1:8">
      <c r="A228" s="1332" t="s">
        <v>880</v>
      </c>
      <c r="B228" s="1331"/>
      <c r="C228" s="1331"/>
      <c r="D228" s="1331"/>
      <c r="E228" s="1331"/>
      <c r="F228" s="1331"/>
      <c r="G228" s="1331"/>
      <c r="H228" s="1331"/>
    </row>
    <row r="229" spans="1:8">
      <c r="A229" s="1331"/>
      <c r="B229" s="1331"/>
      <c r="C229" s="1331"/>
      <c r="D229" s="1331"/>
      <c r="E229" s="1331"/>
      <c r="F229" s="1331"/>
      <c r="G229" s="1331"/>
      <c r="H229" s="1331"/>
    </row>
    <row r="230" spans="1:8">
      <c r="A230" s="1332" t="s">
        <v>870</v>
      </c>
      <c r="B230" s="1331"/>
      <c r="C230" s="1331"/>
      <c r="D230" s="1331"/>
      <c r="E230" s="1331"/>
      <c r="F230" s="1331"/>
      <c r="G230" s="1331"/>
      <c r="H230" s="1331"/>
    </row>
    <row r="231" spans="1:8">
      <c r="A231" s="1332" t="s">
        <v>871</v>
      </c>
      <c r="B231" s="1331"/>
      <c r="C231" s="1331"/>
      <c r="D231" s="1331"/>
      <c r="E231" s="1331"/>
      <c r="F231" s="1331"/>
      <c r="G231" s="1331"/>
      <c r="H231" s="1331"/>
    </row>
    <row r="232" spans="1:8">
      <c r="A232" s="1332" t="s">
        <v>872</v>
      </c>
      <c r="B232" s="1331"/>
      <c r="C232" s="1331"/>
      <c r="D232" s="1331"/>
      <c r="E232" s="1331"/>
      <c r="F232" s="1331"/>
      <c r="G232" s="1331"/>
      <c r="H232" s="1331"/>
    </row>
    <row r="233" spans="1:8">
      <c r="A233" s="1332" t="s">
        <v>873</v>
      </c>
      <c r="B233" s="1331"/>
      <c r="C233" s="1331"/>
      <c r="D233" s="1331"/>
      <c r="E233" s="1331"/>
      <c r="F233" s="1331"/>
      <c r="G233" s="1331"/>
      <c r="H233" s="1331"/>
    </row>
    <row r="234" spans="1:8">
      <c r="A234" s="1332" t="s">
        <v>874</v>
      </c>
      <c r="B234" s="1331"/>
      <c r="C234" s="1331"/>
      <c r="D234" s="1331"/>
      <c r="E234" s="1331"/>
      <c r="F234" s="1331"/>
      <c r="G234" s="1331"/>
      <c r="H234" s="1331"/>
    </row>
    <row r="235" spans="1:8">
      <c r="A235" s="1332" t="s">
        <v>875</v>
      </c>
      <c r="B235" s="1331"/>
      <c r="C235" s="1331"/>
      <c r="D235" s="1331"/>
      <c r="E235" s="1331"/>
      <c r="F235" s="1331"/>
      <c r="G235" s="1331"/>
      <c r="H235" s="1331"/>
    </row>
    <row r="236" spans="1:8">
      <c r="A236" s="1331"/>
      <c r="B236" s="1331"/>
      <c r="C236" s="1331"/>
      <c r="D236" s="1331"/>
      <c r="E236" s="1331"/>
      <c r="F236" s="1331"/>
      <c r="G236" s="1331"/>
      <c r="H236" s="1331"/>
    </row>
    <row r="237" spans="1:8">
      <c r="A237" s="1332" t="s">
        <v>860</v>
      </c>
      <c r="B237" s="1331"/>
      <c r="C237" s="1331"/>
      <c r="D237" s="1331"/>
      <c r="E237" s="1331"/>
      <c r="F237" s="1331"/>
      <c r="G237" s="1331"/>
      <c r="H237" s="1331"/>
    </row>
    <row r="238" spans="1:8">
      <c r="A238" s="1332" t="s">
        <v>861</v>
      </c>
      <c r="B238" s="1331"/>
      <c r="C238" s="1331"/>
      <c r="D238" s="1331"/>
      <c r="E238" s="1331"/>
      <c r="F238" s="1331"/>
      <c r="G238" s="1331"/>
      <c r="H238" s="1331"/>
    </row>
    <row r="239" spans="1:8">
      <c r="A239" s="1332" t="s">
        <v>862</v>
      </c>
      <c r="B239" s="1331"/>
      <c r="C239" s="1331"/>
      <c r="D239" s="1331"/>
      <c r="E239" s="1331"/>
      <c r="F239" s="1331"/>
      <c r="G239" s="1331"/>
      <c r="H239" s="1331"/>
    </row>
    <row r="240" spans="1:8">
      <c r="A240" s="1332" t="s">
        <v>863</v>
      </c>
      <c r="B240" s="1331"/>
      <c r="C240" s="1331"/>
      <c r="D240" s="1331"/>
      <c r="E240" s="1331"/>
      <c r="F240" s="1331"/>
      <c r="G240" s="1331"/>
      <c r="H240" s="1331"/>
    </row>
    <row r="241" spans="1:8">
      <c r="A241" s="1332" t="s">
        <v>864</v>
      </c>
      <c r="B241" s="1331"/>
      <c r="C241" s="1331"/>
      <c r="D241" s="1331"/>
      <c r="E241" s="1331"/>
      <c r="F241" s="1331"/>
      <c r="G241" s="1331"/>
      <c r="H241" s="1331"/>
    </row>
    <row r="242" spans="1:8">
      <c r="A242" s="1332" t="s">
        <v>865</v>
      </c>
      <c r="B242" s="1331"/>
      <c r="C242" s="1331"/>
      <c r="D242" s="1331"/>
      <c r="E242" s="1331"/>
      <c r="F242" s="1331"/>
      <c r="G242" s="1331"/>
      <c r="H242" s="1331"/>
    </row>
    <row r="243" spans="1:8">
      <c r="A243" s="1332" t="s">
        <v>866</v>
      </c>
      <c r="B243" s="1331"/>
      <c r="C243" s="1331"/>
      <c r="D243" s="1331"/>
      <c r="E243" s="1331"/>
      <c r="F243" s="1331"/>
      <c r="G243" s="1331"/>
      <c r="H243" s="1331"/>
    </row>
    <row r="244" spans="1:8">
      <c r="A244" s="1332" t="s">
        <v>867</v>
      </c>
      <c r="B244" s="1331"/>
      <c r="C244" s="1331"/>
      <c r="D244" s="1331"/>
      <c r="E244" s="1331"/>
      <c r="F244" s="1331"/>
      <c r="G244" s="1331"/>
      <c r="H244" s="1331"/>
    </row>
    <row r="245" spans="1:8">
      <c r="A245" s="1332" t="s">
        <v>868</v>
      </c>
      <c r="B245" s="1331"/>
      <c r="C245" s="1331"/>
      <c r="D245" s="1331"/>
      <c r="E245" s="1331"/>
      <c r="F245" s="1331"/>
      <c r="G245" s="1331"/>
      <c r="H245" s="1331"/>
    </row>
    <row r="246" spans="1:8">
      <c r="A246" s="1332" t="s">
        <v>869</v>
      </c>
      <c r="B246" s="1331"/>
      <c r="C246" s="1331"/>
      <c r="D246" s="1331"/>
      <c r="E246" s="1331"/>
      <c r="F246" s="1331"/>
      <c r="G246" s="1331"/>
      <c r="H246" s="1331"/>
    </row>
    <row r="247" spans="1:8">
      <c r="A247" s="1331"/>
      <c r="B247" s="1331"/>
      <c r="C247" s="1331"/>
      <c r="D247" s="1331"/>
      <c r="E247" s="1331"/>
      <c r="F247" s="1331"/>
      <c r="G247" s="1331"/>
      <c r="H247" s="1331"/>
    </row>
    <row r="248" spans="1:8">
      <c r="A248" s="1332" t="s">
        <v>858</v>
      </c>
      <c r="B248" s="1331"/>
      <c r="C248" s="1331"/>
      <c r="D248" s="1331"/>
      <c r="E248" s="1331"/>
      <c r="F248" s="1331"/>
      <c r="G248" s="1331"/>
      <c r="H248" s="1331"/>
    </row>
    <row r="249" spans="1:8">
      <c r="A249" s="1332" t="s">
        <v>859</v>
      </c>
      <c r="B249" s="1331"/>
      <c r="C249" s="1331"/>
      <c r="D249" s="1331"/>
      <c r="E249" s="1331"/>
      <c r="F249" s="1331"/>
      <c r="G249" s="1331"/>
      <c r="H249" s="1331"/>
    </row>
    <row r="250" spans="1:8">
      <c r="A250" s="1331"/>
      <c r="B250" s="1331"/>
      <c r="C250" s="1331"/>
      <c r="D250" s="1331"/>
      <c r="E250" s="1331"/>
      <c r="F250" s="1331"/>
      <c r="G250" s="1331"/>
      <c r="H250" s="1331"/>
    </row>
    <row r="251" spans="1:8">
      <c r="A251" s="1332" t="s">
        <v>842</v>
      </c>
      <c r="B251" s="1331"/>
      <c r="C251" s="1331"/>
      <c r="D251" s="1331"/>
      <c r="E251" s="1331"/>
      <c r="F251" s="1331"/>
      <c r="G251" s="1331"/>
      <c r="H251" s="1331"/>
    </row>
    <row r="252" spans="1:8">
      <c r="A252" s="1332" t="s">
        <v>843</v>
      </c>
      <c r="B252" s="1331"/>
      <c r="C252" s="1331"/>
      <c r="D252" s="1331"/>
      <c r="E252" s="1331"/>
      <c r="F252" s="1331"/>
      <c r="G252" s="1331"/>
      <c r="H252" s="1331"/>
    </row>
    <row r="253" spans="1:8">
      <c r="A253" s="1332" t="s">
        <v>844</v>
      </c>
      <c r="B253" s="1331"/>
      <c r="C253" s="1331"/>
      <c r="D253" s="1331"/>
      <c r="E253" s="1331"/>
      <c r="F253" s="1331"/>
      <c r="G253" s="1331"/>
      <c r="H253" s="1331"/>
    </row>
    <row r="254" spans="1:8">
      <c r="A254" s="1332" t="s">
        <v>845</v>
      </c>
      <c r="B254" s="1331"/>
      <c r="C254" s="1331"/>
      <c r="D254" s="1331"/>
      <c r="E254" s="1331"/>
      <c r="F254" s="1331"/>
      <c r="G254" s="1331"/>
      <c r="H254" s="1331"/>
    </row>
    <row r="255" spans="1:8">
      <c r="A255" s="1332" t="s">
        <v>846</v>
      </c>
      <c r="B255" s="1331"/>
      <c r="C255" s="1331"/>
      <c r="D255" s="1331"/>
      <c r="E255" s="1331"/>
      <c r="F255" s="1331"/>
      <c r="G255" s="1331"/>
      <c r="H255" s="1331"/>
    </row>
    <row r="256" spans="1:8">
      <c r="A256" s="1332" t="s">
        <v>847</v>
      </c>
      <c r="B256" s="1331"/>
      <c r="C256" s="1331"/>
      <c r="D256" s="1331"/>
      <c r="E256" s="1331"/>
      <c r="F256" s="1331"/>
      <c r="G256" s="1331"/>
      <c r="H256" s="1331"/>
    </row>
    <row r="257" spans="1:8">
      <c r="A257" s="1332" t="s">
        <v>848</v>
      </c>
      <c r="B257" s="1331"/>
      <c r="C257" s="1331"/>
      <c r="D257" s="1331"/>
      <c r="E257" s="1331"/>
      <c r="F257" s="1331"/>
      <c r="G257" s="1331"/>
      <c r="H257" s="1331"/>
    </row>
    <row r="258" spans="1:8">
      <c r="A258" s="1332" t="s">
        <v>849</v>
      </c>
      <c r="B258" s="1331"/>
      <c r="C258" s="1331"/>
      <c r="D258" s="1331"/>
      <c r="E258" s="1331"/>
      <c r="F258" s="1331"/>
      <c r="G258" s="1331"/>
      <c r="H258" s="1331"/>
    </row>
    <row r="259" spans="1:8">
      <c r="A259" s="1332" t="s">
        <v>850</v>
      </c>
      <c r="B259" s="1331"/>
      <c r="C259" s="1331"/>
      <c r="D259" s="1331"/>
      <c r="E259" s="1331"/>
      <c r="F259" s="1331"/>
      <c r="G259" s="1331"/>
      <c r="H259" s="1331"/>
    </row>
    <row r="260" spans="1:8">
      <c r="A260" s="1332" t="s">
        <v>851</v>
      </c>
      <c r="B260" s="1331"/>
      <c r="C260" s="1331"/>
      <c r="D260" s="1331"/>
      <c r="E260" s="1331"/>
      <c r="F260" s="1331"/>
      <c r="G260" s="1331"/>
      <c r="H260" s="1331"/>
    </row>
    <row r="261" spans="1:8">
      <c r="A261" s="1332" t="s">
        <v>852</v>
      </c>
      <c r="B261" s="1331"/>
      <c r="C261" s="1331"/>
      <c r="D261" s="1331"/>
      <c r="E261" s="1331"/>
      <c r="F261" s="1331"/>
      <c r="G261" s="1331"/>
      <c r="H261" s="1331"/>
    </row>
    <row r="262" spans="1:8">
      <c r="A262" s="1332" t="s">
        <v>853</v>
      </c>
      <c r="B262" s="1331"/>
      <c r="C262" s="1331"/>
      <c r="D262" s="1331"/>
      <c r="E262" s="1331"/>
      <c r="F262" s="1331"/>
      <c r="G262" s="1331"/>
      <c r="H262" s="1331"/>
    </row>
    <row r="263" spans="1:8">
      <c r="A263" s="1332" t="s">
        <v>854</v>
      </c>
      <c r="B263" s="1331"/>
      <c r="C263" s="1331"/>
      <c r="D263" s="1331"/>
      <c r="E263" s="1331"/>
      <c r="F263" s="1331"/>
      <c r="G263" s="1331"/>
      <c r="H263" s="1331"/>
    </row>
    <row r="264" spans="1:8">
      <c r="A264" s="1332" t="s">
        <v>855</v>
      </c>
      <c r="B264" s="1331"/>
      <c r="C264" s="1331"/>
      <c r="D264" s="1331"/>
      <c r="E264" s="1331"/>
      <c r="F264" s="1331"/>
      <c r="G264" s="1331"/>
      <c r="H264" s="1331"/>
    </row>
    <row r="265" spans="1:8">
      <c r="A265" s="1332" t="s">
        <v>856</v>
      </c>
      <c r="B265" s="1331"/>
      <c r="C265" s="1331"/>
      <c r="D265" s="1331"/>
      <c r="E265" s="1331"/>
      <c r="F265" s="1331"/>
      <c r="G265" s="1331"/>
      <c r="H265" s="1331"/>
    </row>
    <row r="266" spans="1:8">
      <c r="A266" s="1332" t="s">
        <v>857</v>
      </c>
      <c r="B266" s="1331"/>
      <c r="C266" s="1331"/>
      <c r="D266" s="1331"/>
      <c r="E266" s="1331"/>
      <c r="F266" s="1331"/>
      <c r="G266" s="1331"/>
      <c r="H266" s="1331"/>
    </row>
    <row r="267" spans="1:8">
      <c r="A267" s="1331"/>
      <c r="B267" s="1331"/>
      <c r="C267" s="1331"/>
      <c r="D267" s="1331"/>
      <c r="E267" s="1331"/>
      <c r="F267" s="1331"/>
      <c r="G267" s="1331"/>
      <c r="H267" s="1331"/>
    </row>
    <row r="268" spans="1:8">
      <c r="A268" s="1332" t="s">
        <v>835</v>
      </c>
      <c r="B268" s="1331"/>
      <c r="C268" s="1331"/>
      <c r="D268" s="1331"/>
      <c r="E268" s="1331"/>
      <c r="F268" s="1331"/>
      <c r="G268" s="1331"/>
      <c r="H268" s="1331"/>
    </row>
    <row r="269" spans="1:8">
      <c r="A269" s="1332" t="s">
        <v>836</v>
      </c>
      <c r="B269" s="1331"/>
      <c r="C269" s="1331"/>
      <c r="D269" s="1331"/>
      <c r="E269" s="1331"/>
      <c r="F269" s="1331"/>
      <c r="G269" s="1331"/>
      <c r="H269" s="1331"/>
    </row>
    <row r="270" spans="1:8">
      <c r="A270" s="1332" t="s">
        <v>837</v>
      </c>
      <c r="B270" s="1331"/>
      <c r="C270" s="1331"/>
      <c r="D270" s="1331"/>
      <c r="E270" s="1331"/>
      <c r="F270" s="1331"/>
      <c r="G270" s="1331"/>
      <c r="H270" s="1331"/>
    </row>
    <row r="271" spans="1:8">
      <c r="A271" s="1332" t="s">
        <v>838</v>
      </c>
      <c r="B271" s="1331"/>
      <c r="C271" s="1331"/>
      <c r="D271" s="1331"/>
      <c r="E271" s="1331"/>
      <c r="F271" s="1331"/>
      <c r="G271" s="1331"/>
      <c r="H271" s="1331"/>
    </row>
    <row r="272" spans="1:8">
      <c r="A272" s="1332" t="s">
        <v>839</v>
      </c>
      <c r="B272" s="1331"/>
      <c r="C272" s="1331"/>
      <c r="D272" s="1331"/>
      <c r="E272" s="1331"/>
      <c r="F272" s="1331"/>
      <c r="G272" s="1331"/>
      <c r="H272" s="1331"/>
    </row>
    <row r="273" spans="1:8">
      <c r="A273" s="1332" t="s">
        <v>840</v>
      </c>
      <c r="B273" s="1331"/>
      <c r="C273" s="1331"/>
      <c r="D273" s="1331"/>
      <c r="E273" s="1331"/>
      <c r="F273" s="1331"/>
      <c r="G273" s="1331"/>
      <c r="H273" s="1331"/>
    </row>
    <row r="274" spans="1:8">
      <c r="A274" s="1332" t="s">
        <v>841</v>
      </c>
      <c r="B274" s="1331"/>
      <c r="C274" s="1331"/>
      <c r="D274" s="1331"/>
      <c r="E274" s="1331"/>
      <c r="F274" s="1331"/>
      <c r="G274" s="1331"/>
      <c r="H274" s="1331"/>
    </row>
    <row r="275" spans="1:8">
      <c r="A275" s="1331"/>
      <c r="B275" s="1331"/>
      <c r="C275" s="1331"/>
      <c r="D275" s="1331"/>
      <c r="E275" s="1331"/>
      <c r="F275" s="1331"/>
      <c r="G275" s="1331"/>
      <c r="H275" s="1331"/>
    </row>
    <row r="276" spans="1:8">
      <c r="A276" s="1332" t="s">
        <v>826</v>
      </c>
      <c r="B276" s="1331"/>
      <c r="C276" s="1331"/>
      <c r="D276" s="1331"/>
      <c r="E276" s="1331"/>
      <c r="F276" s="1331"/>
      <c r="G276" s="1331"/>
      <c r="H276" s="1331"/>
    </row>
    <row r="277" spans="1:8">
      <c r="A277" s="1332" t="s">
        <v>827</v>
      </c>
      <c r="B277" s="1331"/>
      <c r="C277" s="1331"/>
      <c r="D277" s="1331"/>
      <c r="E277" s="1331"/>
      <c r="F277" s="1331"/>
      <c r="G277" s="1331"/>
      <c r="H277" s="1331"/>
    </row>
    <row r="278" spans="1:8">
      <c r="A278" s="1332" t="s">
        <v>828</v>
      </c>
      <c r="B278" s="1331"/>
      <c r="C278" s="1331"/>
      <c r="D278" s="1331"/>
      <c r="E278" s="1331"/>
      <c r="F278" s="1331"/>
      <c r="G278" s="1331"/>
      <c r="H278" s="1331"/>
    </row>
    <row r="279" spans="1:8">
      <c r="A279" s="1332" t="s">
        <v>829</v>
      </c>
      <c r="B279" s="1331"/>
      <c r="C279" s="1331"/>
      <c r="D279" s="1331"/>
      <c r="E279" s="1331"/>
      <c r="F279" s="1331"/>
      <c r="G279" s="1331"/>
      <c r="H279" s="1331"/>
    </row>
    <row r="280" spans="1:8">
      <c r="A280" s="1332" t="s">
        <v>830</v>
      </c>
      <c r="B280" s="1331"/>
      <c r="C280" s="1331"/>
      <c r="D280" s="1331"/>
      <c r="E280" s="1331"/>
      <c r="F280" s="1331"/>
      <c r="G280" s="1331"/>
      <c r="H280" s="1331"/>
    </row>
    <row r="281" spans="1:8">
      <c r="A281" s="1332" t="s">
        <v>831</v>
      </c>
      <c r="B281" s="1331"/>
      <c r="C281" s="1331"/>
      <c r="D281" s="1331"/>
      <c r="E281" s="1331"/>
      <c r="F281" s="1331"/>
      <c r="G281" s="1331"/>
      <c r="H281" s="1331"/>
    </row>
    <row r="282" spans="1:8">
      <c r="A282" s="1332" t="s">
        <v>832</v>
      </c>
      <c r="B282" s="1331"/>
      <c r="C282" s="1331"/>
      <c r="D282" s="1331"/>
      <c r="E282" s="1331"/>
      <c r="F282" s="1331"/>
      <c r="G282" s="1331"/>
      <c r="H282" s="1331"/>
    </row>
    <row r="283" spans="1:8">
      <c r="A283" s="1332" t="s">
        <v>833</v>
      </c>
      <c r="B283" s="1331"/>
      <c r="C283" s="1331"/>
      <c r="D283" s="1331"/>
      <c r="E283" s="1331"/>
      <c r="F283" s="1331"/>
      <c r="G283" s="1331"/>
      <c r="H283" s="1331"/>
    </row>
    <row r="284" spans="1:8">
      <c r="A284" s="1332" t="s">
        <v>834</v>
      </c>
      <c r="B284" s="1331"/>
      <c r="C284" s="1331"/>
      <c r="D284" s="1331"/>
      <c r="E284" s="1331"/>
      <c r="F284" s="1331"/>
      <c r="G284" s="1331"/>
      <c r="H284" s="1331"/>
    </row>
    <row r="285" spans="1:8">
      <c r="A285" s="1331"/>
      <c r="B285" s="1331"/>
      <c r="C285" s="1331"/>
      <c r="D285" s="1331"/>
      <c r="E285" s="1331"/>
      <c r="F285" s="1331"/>
      <c r="G285" s="1331"/>
      <c r="H285" s="1331"/>
    </row>
    <row r="286" spans="1:8">
      <c r="A286" s="1332" t="s">
        <v>819</v>
      </c>
      <c r="B286" s="1331"/>
      <c r="C286" s="1331"/>
      <c r="D286" s="1331"/>
      <c r="E286" s="1331"/>
      <c r="F286" s="1331"/>
      <c r="G286" s="1331"/>
      <c r="H286" s="1331"/>
    </row>
    <row r="287" spans="1:8">
      <c r="A287" s="1332" t="s">
        <v>820</v>
      </c>
      <c r="B287" s="1331"/>
      <c r="C287" s="1331"/>
      <c r="D287" s="1331"/>
      <c r="E287" s="1331"/>
      <c r="F287" s="1331"/>
      <c r="G287" s="1331"/>
      <c r="H287" s="1331"/>
    </row>
    <row r="288" spans="1:8">
      <c r="A288" s="1332" t="s">
        <v>821</v>
      </c>
      <c r="B288" s="1331"/>
      <c r="C288" s="1331"/>
      <c r="D288" s="1331"/>
      <c r="E288" s="1331"/>
      <c r="F288" s="1331"/>
      <c r="G288" s="1331"/>
      <c r="H288" s="1331"/>
    </row>
    <row r="289" spans="1:8">
      <c r="A289" s="1332" t="s">
        <v>822</v>
      </c>
      <c r="B289" s="1331"/>
      <c r="C289" s="1331"/>
      <c r="D289" s="1331"/>
      <c r="E289" s="1331"/>
      <c r="F289" s="1331"/>
      <c r="G289" s="1331"/>
      <c r="H289" s="1331"/>
    </row>
    <row r="290" spans="1:8">
      <c r="A290" s="1332" t="s">
        <v>823</v>
      </c>
      <c r="B290" s="1331"/>
      <c r="C290" s="1331"/>
      <c r="D290" s="1331"/>
      <c r="E290" s="1331"/>
      <c r="F290" s="1331"/>
      <c r="G290" s="1331"/>
      <c r="H290" s="1331"/>
    </row>
    <row r="291" spans="1:8">
      <c r="A291" s="1332" t="s">
        <v>824</v>
      </c>
      <c r="B291" s="1331"/>
      <c r="C291" s="1331"/>
      <c r="D291" s="1331"/>
      <c r="E291" s="1331"/>
      <c r="F291" s="1331"/>
      <c r="G291" s="1331"/>
      <c r="H291" s="1331"/>
    </row>
    <row r="292" spans="1:8">
      <c r="A292" s="1332" t="s">
        <v>825</v>
      </c>
      <c r="B292" s="1331"/>
      <c r="C292" s="1331"/>
      <c r="D292" s="1331"/>
      <c r="E292" s="1331"/>
      <c r="F292" s="1331"/>
      <c r="G292" s="1331"/>
      <c r="H292" s="1331"/>
    </row>
    <row r="293" spans="1:8">
      <c r="A293" s="1331"/>
      <c r="B293" s="1331"/>
      <c r="C293" s="1331"/>
      <c r="D293" s="1331"/>
      <c r="E293" s="1331"/>
      <c r="F293" s="1331"/>
      <c r="G293" s="1331"/>
      <c r="H293" s="1331"/>
    </row>
    <row r="294" spans="1:8">
      <c r="A294" s="1332" t="s">
        <v>816</v>
      </c>
      <c r="B294" s="1331"/>
      <c r="C294" s="1331"/>
      <c r="D294" s="1331"/>
      <c r="E294" s="1331"/>
      <c r="F294" s="1331"/>
      <c r="G294" s="1331"/>
      <c r="H294" s="1331"/>
    </row>
    <row r="295" spans="1:8">
      <c r="A295" s="1332" t="s">
        <v>817</v>
      </c>
      <c r="B295" s="1331"/>
      <c r="C295" s="1331"/>
      <c r="D295" s="1331"/>
      <c r="E295" s="1331"/>
      <c r="F295" s="1331"/>
      <c r="G295" s="1331"/>
      <c r="H295" s="1331"/>
    </row>
    <row r="296" spans="1:8">
      <c r="A296" s="1332" t="s">
        <v>818</v>
      </c>
      <c r="B296" s="1331"/>
      <c r="C296" s="1331"/>
      <c r="D296" s="1331"/>
      <c r="E296" s="1331"/>
      <c r="F296" s="1331"/>
      <c r="G296" s="1331"/>
      <c r="H296" s="1331"/>
    </row>
    <row r="297" spans="1:8">
      <c r="A297" s="1331"/>
      <c r="B297" s="1331"/>
      <c r="C297" s="1331"/>
      <c r="D297" s="1331"/>
      <c r="E297" s="1331"/>
      <c r="F297" s="1331"/>
      <c r="G297" s="1331"/>
      <c r="H297" s="1331"/>
    </row>
    <row r="298" spans="1:8">
      <c r="A298" s="1332" t="s">
        <v>814</v>
      </c>
      <c r="B298" s="1331"/>
      <c r="C298" s="1331"/>
      <c r="D298" s="1331"/>
      <c r="E298" s="1331"/>
      <c r="F298" s="1331"/>
      <c r="G298" s="1331"/>
      <c r="H298" s="1331"/>
    </row>
    <row r="299" spans="1:8">
      <c r="A299" s="1332" t="s">
        <v>815</v>
      </c>
      <c r="B299" s="1331"/>
      <c r="C299" s="1331"/>
      <c r="D299" s="1331"/>
      <c r="E299" s="1331"/>
      <c r="F299" s="1331"/>
      <c r="G299" s="1331"/>
      <c r="H299" s="1331"/>
    </row>
    <row r="300" spans="1:8">
      <c r="A300" s="1331"/>
      <c r="B300" s="1331"/>
      <c r="C300" s="1331"/>
      <c r="D300" s="1331"/>
      <c r="E300" s="1331"/>
      <c r="F300" s="1331"/>
      <c r="G300" s="1331"/>
      <c r="H300" s="1331"/>
    </row>
    <row r="301" spans="1:8">
      <c r="A301" s="1332" t="s">
        <v>801</v>
      </c>
      <c r="B301" s="1331"/>
      <c r="C301" s="1331"/>
      <c r="D301" s="1331"/>
      <c r="E301" s="1331"/>
      <c r="F301" s="1331"/>
      <c r="G301" s="1331"/>
      <c r="H301" s="1331"/>
    </row>
    <row r="302" spans="1:8">
      <c r="A302" s="1332" t="s">
        <v>802</v>
      </c>
      <c r="B302" s="1331"/>
      <c r="C302" s="1331"/>
      <c r="D302" s="1331"/>
      <c r="E302" s="1331"/>
      <c r="F302" s="1331"/>
      <c r="G302" s="1331"/>
      <c r="H302" s="1331"/>
    </row>
    <row r="303" spans="1:8">
      <c r="A303" s="1332" t="s">
        <v>803</v>
      </c>
      <c r="B303" s="1331"/>
      <c r="C303" s="1331"/>
      <c r="D303" s="1331"/>
      <c r="E303" s="1331"/>
      <c r="F303" s="1331"/>
      <c r="G303" s="1331"/>
      <c r="H303" s="1331"/>
    </row>
    <row r="304" spans="1:8">
      <c r="A304" s="1332" t="s">
        <v>804</v>
      </c>
      <c r="B304" s="1331"/>
      <c r="C304" s="1331"/>
      <c r="D304" s="1331"/>
      <c r="E304" s="1331"/>
      <c r="F304" s="1331"/>
      <c r="G304" s="1331"/>
      <c r="H304" s="1331"/>
    </row>
    <row r="305" spans="1:8">
      <c r="A305" s="1332" t="s">
        <v>805</v>
      </c>
      <c r="B305" s="1331"/>
      <c r="C305" s="1331"/>
      <c r="D305" s="1331"/>
      <c r="E305" s="1331"/>
      <c r="F305" s="1331"/>
      <c r="G305" s="1331"/>
      <c r="H305" s="1331"/>
    </row>
    <row r="306" spans="1:8">
      <c r="A306" s="1332" t="s">
        <v>806</v>
      </c>
      <c r="B306" s="1331"/>
      <c r="C306" s="1331"/>
      <c r="D306" s="1331"/>
      <c r="E306" s="1331"/>
      <c r="F306" s="1331"/>
      <c r="G306" s="1331"/>
      <c r="H306" s="1331"/>
    </row>
    <row r="307" spans="1:8">
      <c r="A307" s="1332" t="s">
        <v>807</v>
      </c>
      <c r="B307" s="1331"/>
      <c r="C307" s="1331"/>
      <c r="D307" s="1331"/>
      <c r="E307" s="1331"/>
      <c r="F307" s="1331"/>
      <c r="G307" s="1331"/>
      <c r="H307" s="1331"/>
    </row>
    <row r="308" spans="1:8">
      <c r="A308" s="1332" t="s">
        <v>808</v>
      </c>
      <c r="B308" s="1331"/>
      <c r="C308" s="1331"/>
      <c r="D308" s="1331"/>
      <c r="E308" s="1331"/>
      <c r="F308" s="1331"/>
      <c r="G308" s="1331"/>
      <c r="H308" s="1331"/>
    </row>
    <row r="309" spans="1:8">
      <c r="A309" s="1332" t="s">
        <v>809</v>
      </c>
      <c r="B309" s="1331"/>
      <c r="C309" s="1331"/>
      <c r="D309" s="1331"/>
      <c r="E309" s="1331"/>
      <c r="F309" s="1331"/>
      <c r="G309" s="1331"/>
      <c r="H309" s="1331"/>
    </row>
    <row r="310" spans="1:8">
      <c r="A310" s="1332" t="s">
        <v>810</v>
      </c>
      <c r="B310" s="1331"/>
      <c r="C310" s="1331"/>
      <c r="D310" s="1331"/>
      <c r="E310" s="1331"/>
      <c r="F310" s="1331"/>
      <c r="G310" s="1331"/>
      <c r="H310" s="1331"/>
    </row>
    <row r="311" spans="1:8">
      <c r="A311" s="1332" t="s">
        <v>811</v>
      </c>
      <c r="B311" s="1331"/>
      <c r="C311" s="1331"/>
      <c r="D311" s="1331"/>
      <c r="E311" s="1331"/>
      <c r="F311" s="1331"/>
      <c r="G311" s="1331"/>
      <c r="H311" s="1331"/>
    </row>
    <row r="312" spans="1:8">
      <c r="A312" s="1332" t="s">
        <v>812</v>
      </c>
      <c r="B312" s="1331"/>
      <c r="C312" s="1331"/>
      <c r="D312" s="1331"/>
      <c r="E312" s="1331"/>
      <c r="F312" s="1331"/>
      <c r="G312" s="1331"/>
      <c r="H312" s="1331"/>
    </row>
    <row r="313" spans="1:8">
      <c r="A313" s="1332" t="s">
        <v>813</v>
      </c>
      <c r="B313" s="1331"/>
      <c r="C313" s="1331"/>
      <c r="D313" s="1331"/>
      <c r="E313" s="1331"/>
      <c r="F313" s="1331"/>
      <c r="G313" s="1331"/>
      <c r="H313" s="1331"/>
    </row>
    <row r="314" spans="1:8">
      <c r="A314" s="1331"/>
      <c r="B314" s="1331"/>
      <c r="C314" s="1331"/>
      <c r="D314" s="1331"/>
      <c r="E314" s="1331"/>
      <c r="F314" s="1331"/>
      <c r="G314" s="1331"/>
      <c r="H314" s="1331"/>
    </row>
    <row r="315" spans="1:8">
      <c r="A315" s="1332" t="s">
        <v>793</v>
      </c>
      <c r="B315" s="1331"/>
      <c r="C315" s="1331"/>
      <c r="D315" s="1331"/>
      <c r="E315" s="1331"/>
      <c r="F315" s="1331"/>
      <c r="G315" s="1331"/>
      <c r="H315" s="1331"/>
    </row>
    <row r="316" spans="1:8">
      <c r="A316" s="1332" t="s">
        <v>794</v>
      </c>
      <c r="B316" s="1331"/>
      <c r="C316" s="1331"/>
      <c r="D316" s="1331"/>
      <c r="E316" s="1331"/>
      <c r="F316" s="1331"/>
      <c r="G316" s="1331"/>
      <c r="H316" s="1331"/>
    </row>
    <row r="317" spans="1:8">
      <c r="A317" s="1332" t="s">
        <v>795</v>
      </c>
      <c r="B317" s="1331"/>
      <c r="C317" s="1331"/>
      <c r="D317" s="1331"/>
      <c r="E317" s="1331"/>
      <c r="F317" s="1331"/>
      <c r="G317" s="1331"/>
      <c r="H317" s="1331"/>
    </row>
    <row r="318" spans="1:8">
      <c r="A318" s="1332" t="s">
        <v>796</v>
      </c>
      <c r="B318" s="1331"/>
      <c r="C318" s="1331"/>
      <c r="D318" s="1331"/>
      <c r="E318" s="1331"/>
      <c r="F318" s="1331"/>
      <c r="G318" s="1331"/>
      <c r="H318" s="1331"/>
    </row>
    <row r="319" spans="1:8">
      <c r="A319" s="1332" t="s">
        <v>797</v>
      </c>
      <c r="B319" s="1331"/>
      <c r="C319" s="1331"/>
      <c r="D319" s="1331"/>
      <c r="E319" s="1331"/>
      <c r="F319" s="1331"/>
      <c r="G319" s="1331"/>
      <c r="H319" s="1331"/>
    </row>
    <row r="320" spans="1:8">
      <c r="A320" s="1332" t="s">
        <v>798</v>
      </c>
      <c r="B320" s="1331"/>
      <c r="C320" s="1331"/>
      <c r="D320" s="1331"/>
      <c r="E320" s="1331"/>
      <c r="F320" s="1331"/>
      <c r="G320" s="1331"/>
      <c r="H320" s="1331"/>
    </row>
    <row r="321" spans="1:8">
      <c r="A321" s="1332" t="s">
        <v>799</v>
      </c>
      <c r="B321" s="1331"/>
      <c r="C321" s="1331"/>
      <c r="D321" s="1331"/>
      <c r="E321" s="1331"/>
      <c r="F321" s="1331"/>
      <c r="G321" s="1331"/>
      <c r="H321" s="1331"/>
    </row>
    <row r="322" spans="1:8">
      <c r="A322" s="1332" t="s">
        <v>800</v>
      </c>
      <c r="B322" s="1331"/>
      <c r="C322" s="1331"/>
      <c r="D322" s="1331"/>
      <c r="E322" s="1331"/>
      <c r="F322" s="1331"/>
      <c r="G322" s="1331"/>
      <c r="H322" s="1331"/>
    </row>
    <row r="323" spans="1:8">
      <c r="A323" s="1331"/>
      <c r="B323" s="1331"/>
      <c r="C323" s="1331"/>
      <c r="D323" s="1331"/>
      <c r="E323" s="1331"/>
      <c r="F323" s="1331"/>
      <c r="G323" s="1331"/>
      <c r="H323" s="1331"/>
    </row>
    <row r="324" spans="1:8">
      <c r="A324" s="1332" t="s">
        <v>758</v>
      </c>
      <c r="B324" s="1331"/>
      <c r="C324" s="1331"/>
      <c r="D324" s="1331"/>
      <c r="E324" s="1331"/>
      <c r="F324" s="1331"/>
      <c r="G324" s="1331"/>
      <c r="H324" s="1331"/>
    </row>
    <row r="325" spans="1:8">
      <c r="A325" s="1332" t="s">
        <v>759</v>
      </c>
      <c r="B325" s="1331"/>
      <c r="C325" s="1331"/>
      <c r="D325" s="1331"/>
      <c r="E325" s="1331"/>
      <c r="F325" s="1331"/>
      <c r="G325" s="1331"/>
      <c r="H325" s="1331"/>
    </row>
    <row r="326" spans="1:8">
      <c r="A326" s="1332" t="s">
        <v>760</v>
      </c>
      <c r="B326" s="1331"/>
      <c r="C326" s="1331"/>
      <c r="D326" s="1331"/>
      <c r="E326" s="1331"/>
      <c r="F326" s="1331"/>
      <c r="G326" s="1331"/>
      <c r="H326" s="1331"/>
    </row>
    <row r="327" spans="1:8">
      <c r="A327" s="1332" t="s">
        <v>761</v>
      </c>
      <c r="B327" s="1331"/>
      <c r="C327" s="1331"/>
      <c r="D327" s="1331"/>
      <c r="E327" s="1331"/>
      <c r="F327" s="1331"/>
      <c r="G327" s="1331"/>
      <c r="H327" s="1331"/>
    </row>
    <row r="328" spans="1:8">
      <c r="A328" s="1332" t="s">
        <v>762</v>
      </c>
      <c r="B328" s="1331"/>
      <c r="C328" s="1331"/>
      <c r="D328" s="1331"/>
      <c r="E328" s="1331"/>
      <c r="F328" s="1331"/>
      <c r="G328" s="1331"/>
      <c r="H328" s="1331"/>
    </row>
    <row r="329" spans="1:8">
      <c r="A329" s="1332" t="s">
        <v>763</v>
      </c>
      <c r="B329" s="1331"/>
      <c r="C329" s="1331"/>
      <c r="D329" s="1331"/>
      <c r="E329" s="1331"/>
      <c r="F329" s="1331"/>
      <c r="G329" s="1331"/>
      <c r="H329" s="1331"/>
    </row>
    <row r="330" spans="1:8">
      <c r="A330" s="1332" t="s">
        <v>764</v>
      </c>
      <c r="B330" s="1331"/>
      <c r="C330" s="1331"/>
      <c r="D330" s="1331"/>
      <c r="E330" s="1331"/>
      <c r="F330" s="1331"/>
      <c r="G330" s="1331"/>
      <c r="H330" s="1331"/>
    </row>
    <row r="331" spans="1:8">
      <c r="A331" s="1332" t="s">
        <v>765</v>
      </c>
      <c r="B331" s="1331"/>
      <c r="C331" s="1331"/>
      <c r="D331" s="1331"/>
      <c r="E331" s="1331"/>
      <c r="F331" s="1331"/>
      <c r="G331" s="1331"/>
      <c r="H331" s="1331"/>
    </row>
    <row r="332" spans="1:8">
      <c r="A332" s="1332" t="s">
        <v>766</v>
      </c>
      <c r="B332" s="1331"/>
      <c r="C332" s="1331"/>
      <c r="D332" s="1331"/>
      <c r="E332" s="1331"/>
      <c r="F332" s="1331"/>
      <c r="G332" s="1331"/>
      <c r="H332" s="1331"/>
    </row>
    <row r="333" spans="1:8">
      <c r="A333" s="1332" t="s">
        <v>767</v>
      </c>
      <c r="B333" s="1331"/>
      <c r="C333" s="1331"/>
      <c r="D333" s="1331"/>
      <c r="E333" s="1331"/>
      <c r="F333" s="1331"/>
      <c r="G333" s="1331"/>
      <c r="H333" s="1331"/>
    </row>
    <row r="334" spans="1:8">
      <c r="A334" s="1332" t="s">
        <v>768</v>
      </c>
      <c r="B334" s="1331"/>
      <c r="C334" s="1331"/>
      <c r="D334" s="1331"/>
      <c r="E334" s="1331"/>
      <c r="F334" s="1331"/>
      <c r="G334" s="1331"/>
      <c r="H334" s="1331"/>
    </row>
    <row r="335" spans="1:8">
      <c r="A335" s="1332" t="s">
        <v>769</v>
      </c>
      <c r="B335" s="1331"/>
      <c r="C335" s="1331"/>
      <c r="D335" s="1331"/>
      <c r="E335" s="1331"/>
      <c r="F335" s="1331"/>
      <c r="G335" s="1331"/>
      <c r="H335" s="1331"/>
    </row>
    <row r="336" spans="1:8">
      <c r="A336" s="1332" t="s">
        <v>770</v>
      </c>
      <c r="B336" s="1331"/>
      <c r="C336" s="1331"/>
      <c r="D336" s="1331"/>
      <c r="E336" s="1331"/>
      <c r="F336" s="1331"/>
      <c r="G336" s="1331"/>
      <c r="H336" s="1331"/>
    </row>
    <row r="337" spans="1:8">
      <c r="A337" s="1332" t="s">
        <v>771</v>
      </c>
      <c r="B337" s="1331"/>
      <c r="C337" s="1331"/>
      <c r="D337" s="1331"/>
      <c r="E337" s="1331"/>
      <c r="F337" s="1331"/>
      <c r="G337" s="1331"/>
      <c r="H337" s="1331"/>
    </row>
    <row r="338" spans="1:8">
      <c r="A338" s="1332" t="s">
        <v>772</v>
      </c>
      <c r="B338" s="1331"/>
      <c r="C338" s="1331"/>
      <c r="D338" s="1331"/>
      <c r="E338" s="1331"/>
      <c r="F338" s="1331"/>
      <c r="G338" s="1331"/>
      <c r="H338" s="1331"/>
    </row>
    <row r="339" spans="1:8">
      <c r="A339" s="1332" t="s">
        <v>773</v>
      </c>
      <c r="B339" s="1331"/>
      <c r="C339" s="1331"/>
      <c r="D339" s="1331"/>
      <c r="E339" s="1331"/>
      <c r="F339" s="1331"/>
      <c r="G339" s="1331"/>
      <c r="H339" s="1331"/>
    </row>
    <row r="340" spans="1:8">
      <c r="A340" s="1332" t="s">
        <v>774</v>
      </c>
      <c r="B340" s="1331"/>
      <c r="C340" s="1331"/>
      <c r="D340" s="1331"/>
      <c r="E340" s="1331"/>
      <c r="F340" s="1331"/>
      <c r="G340" s="1331"/>
      <c r="H340" s="1331"/>
    </row>
    <row r="341" spans="1:8">
      <c r="A341" s="1332" t="s">
        <v>775</v>
      </c>
      <c r="B341" s="1331"/>
      <c r="C341" s="1331"/>
      <c r="D341" s="1331"/>
      <c r="E341" s="1331"/>
      <c r="F341" s="1331"/>
      <c r="G341" s="1331"/>
      <c r="H341" s="1331"/>
    </row>
    <row r="342" spans="1:8">
      <c r="A342" s="1332" t="s">
        <v>776</v>
      </c>
      <c r="B342" s="1331"/>
      <c r="C342" s="1331"/>
      <c r="D342" s="1331"/>
      <c r="E342" s="1331"/>
      <c r="F342" s="1331"/>
      <c r="G342" s="1331"/>
      <c r="H342" s="1331"/>
    </row>
    <row r="343" spans="1:8">
      <c r="A343" s="1332" t="s">
        <v>777</v>
      </c>
      <c r="B343" s="1331"/>
      <c r="C343" s="1331"/>
      <c r="D343" s="1331"/>
      <c r="E343" s="1331"/>
      <c r="F343" s="1331"/>
      <c r="G343" s="1331"/>
      <c r="H343" s="1331"/>
    </row>
    <row r="344" spans="1:8">
      <c r="A344" s="1332" t="s">
        <v>778</v>
      </c>
      <c r="B344" s="1331"/>
      <c r="C344" s="1331"/>
      <c r="D344" s="1331"/>
      <c r="E344" s="1331"/>
      <c r="F344" s="1331"/>
      <c r="G344" s="1331"/>
      <c r="H344" s="1331"/>
    </row>
    <row r="345" spans="1:8">
      <c r="A345" s="1332" t="s">
        <v>779</v>
      </c>
      <c r="B345" s="1331"/>
      <c r="C345" s="1331"/>
      <c r="D345" s="1331"/>
      <c r="E345" s="1331"/>
      <c r="F345" s="1331"/>
      <c r="G345" s="1331"/>
      <c r="H345" s="1331"/>
    </row>
    <row r="346" spans="1:8">
      <c r="A346" s="1332" t="s">
        <v>780</v>
      </c>
      <c r="B346" s="1331"/>
      <c r="C346" s="1331"/>
      <c r="D346" s="1331"/>
      <c r="E346" s="1331"/>
      <c r="F346" s="1331"/>
      <c r="G346" s="1331"/>
      <c r="H346" s="1331"/>
    </row>
    <row r="347" spans="1:8">
      <c r="A347" s="1332" t="s">
        <v>781</v>
      </c>
      <c r="B347" s="1331"/>
      <c r="C347" s="1331"/>
      <c r="D347" s="1331"/>
      <c r="E347" s="1331"/>
      <c r="F347" s="1331"/>
      <c r="G347" s="1331"/>
      <c r="H347" s="1331"/>
    </row>
    <row r="348" spans="1:8">
      <c r="A348" s="1332" t="s">
        <v>782</v>
      </c>
      <c r="B348" s="1331"/>
      <c r="C348" s="1331"/>
      <c r="D348" s="1331"/>
      <c r="E348" s="1331"/>
      <c r="F348" s="1331"/>
      <c r="G348" s="1331"/>
      <c r="H348" s="1331"/>
    </row>
    <row r="349" spans="1:8">
      <c r="A349" s="1332" t="s">
        <v>783</v>
      </c>
      <c r="B349" s="1331"/>
      <c r="C349" s="1331"/>
      <c r="D349" s="1331"/>
      <c r="E349" s="1331"/>
      <c r="F349" s="1331"/>
      <c r="G349" s="1331"/>
      <c r="H349" s="1331"/>
    </row>
    <row r="350" spans="1:8">
      <c r="A350" s="1332" t="s">
        <v>784</v>
      </c>
      <c r="B350" s="1331"/>
      <c r="C350" s="1331"/>
      <c r="D350" s="1331"/>
      <c r="E350" s="1331"/>
      <c r="F350" s="1331"/>
      <c r="G350" s="1331"/>
      <c r="H350" s="1331"/>
    </row>
    <row r="351" spans="1:8">
      <c r="A351" s="1332" t="s">
        <v>785</v>
      </c>
      <c r="B351" s="1331"/>
      <c r="C351" s="1331"/>
      <c r="D351" s="1331"/>
      <c r="E351" s="1331"/>
      <c r="F351" s="1331"/>
      <c r="G351" s="1331"/>
      <c r="H351" s="1331"/>
    </row>
    <row r="352" spans="1:8">
      <c r="A352" s="1332" t="s">
        <v>786</v>
      </c>
      <c r="B352" s="1331"/>
      <c r="C352" s="1331"/>
      <c r="D352" s="1331"/>
      <c r="E352" s="1331"/>
      <c r="F352" s="1331"/>
      <c r="G352" s="1331"/>
      <c r="H352" s="1331"/>
    </row>
    <row r="353" spans="1:8">
      <c r="A353" s="1332" t="s">
        <v>787</v>
      </c>
      <c r="B353" s="1331"/>
      <c r="C353" s="1331"/>
      <c r="D353" s="1331"/>
      <c r="E353" s="1331"/>
      <c r="F353" s="1331"/>
      <c r="G353" s="1331"/>
      <c r="H353" s="1331"/>
    </row>
    <row r="354" spans="1:8">
      <c r="A354" s="1332" t="s">
        <v>788</v>
      </c>
      <c r="B354" s="1331"/>
      <c r="C354" s="1331"/>
      <c r="D354" s="1331"/>
      <c r="E354" s="1331"/>
      <c r="F354" s="1331"/>
      <c r="G354" s="1331"/>
      <c r="H354" s="1331"/>
    </row>
    <row r="355" spans="1:8">
      <c r="A355" s="1332" t="s">
        <v>789</v>
      </c>
      <c r="B355" s="1331"/>
      <c r="C355" s="1331"/>
      <c r="D355" s="1331"/>
      <c r="E355" s="1331"/>
      <c r="F355" s="1331"/>
      <c r="G355" s="1331"/>
      <c r="H355" s="1331"/>
    </row>
    <row r="356" spans="1:8">
      <c r="A356" s="1332" t="s">
        <v>790</v>
      </c>
      <c r="B356" s="1331"/>
      <c r="C356" s="1331"/>
      <c r="D356" s="1331"/>
      <c r="E356" s="1331"/>
      <c r="F356" s="1331"/>
      <c r="G356" s="1331"/>
      <c r="H356" s="1331"/>
    </row>
    <row r="357" spans="1:8">
      <c r="A357" s="1332" t="s">
        <v>791</v>
      </c>
      <c r="B357" s="1331"/>
      <c r="C357" s="1331"/>
      <c r="D357" s="1331"/>
      <c r="E357" s="1331"/>
      <c r="F357" s="1331"/>
      <c r="G357" s="1331"/>
      <c r="H357" s="1331"/>
    </row>
    <row r="358" spans="1:8">
      <c r="A358" s="1332" t="s">
        <v>792</v>
      </c>
      <c r="B358" s="1331"/>
      <c r="C358" s="1331"/>
      <c r="D358" s="1331"/>
      <c r="E358" s="1331"/>
      <c r="F358" s="1331"/>
      <c r="G358" s="1331"/>
      <c r="H358" s="1331"/>
    </row>
    <row r="359" spans="1:8">
      <c r="A359" s="1331"/>
      <c r="B359" s="1331"/>
      <c r="C359" s="1331"/>
      <c r="D359" s="1331"/>
      <c r="E359" s="1331"/>
      <c r="F359" s="1331"/>
      <c r="G359" s="1331"/>
      <c r="H359" s="1331"/>
    </row>
    <row r="360" spans="1:8">
      <c r="A360" s="1332" t="s">
        <v>750</v>
      </c>
      <c r="B360" s="1331"/>
      <c r="C360" s="1331"/>
      <c r="D360" s="1331"/>
      <c r="E360" s="1331"/>
      <c r="F360" s="1331"/>
      <c r="G360" s="1331"/>
      <c r="H360" s="1331"/>
    </row>
    <row r="361" spans="1:8">
      <c r="A361" s="1332" t="s">
        <v>754</v>
      </c>
      <c r="B361" s="1331"/>
      <c r="C361" s="1331"/>
      <c r="D361" s="1331"/>
      <c r="E361" s="1331"/>
      <c r="F361" s="1331"/>
      <c r="G361" s="1331"/>
      <c r="H361" s="1331"/>
    </row>
    <row r="362" spans="1:8">
      <c r="A362" s="1332" t="s">
        <v>755</v>
      </c>
      <c r="B362" s="1331"/>
      <c r="C362" s="1331"/>
      <c r="D362" s="1331"/>
      <c r="E362" s="1331"/>
      <c r="F362" s="1331"/>
      <c r="G362" s="1331"/>
      <c r="H362" s="1331"/>
    </row>
    <row r="363" spans="1:8">
      <c r="A363" s="1332" t="s">
        <v>756</v>
      </c>
      <c r="B363" s="1331"/>
      <c r="C363" s="1331"/>
      <c r="D363" s="1331"/>
      <c r="E363" s="1331"/>
      <c r="F363" s="1331"/>
      <c r="G363" s="1331"/>
      <c r="H363" s="1331"/>
    </row>
    <row r="364" spans="1:8">
      <c r="A364" s="1332" t="s">
        <v>757</v>
      </c>
      <c r="B364" s="1331"/>
      <c r="C364" s="1331"/>
      <c r="D364" s="1331"/>
      <c r="E364" s="1331"/>
      <c r="F364" s="1331"/>
      <c r="G364" s="1331"/>
      <c r="H364" s="1331"/>
    </row>
    <row r="365" spans="1:8">
      <c r="A365" s="1331"/>
      <c r="B365" s="1331"/>
      <c r="C365" s="1331"/>
      <c r="D365" s="1331"/>
      <c r="E365" s="1331"/>
      <c r="F365" s="1331"/>
      <c r="G365" s="1331"/>
      <c r="H365" s="1331"/>
    </row>
    <row r="366" spans="1:8">
      <c r="A366" s="1332" t="s">
        <v>750</v>
      </c>
      <c r="B366" s="1331"/>
      <c r="C366" s="1331"/>
      <c r="D366" s="1331"/>
      <c r="E366" s="1331"/>
      <c r="F366" s="1331"/>
      <c r="G366" s="1331"/>
      <c r="H366" s="1331"/>
    </row>
    <row r="367" spans="1:8">
      <c r="A367" s="1332" t="s">
        <v>751</v>
      </c>
      <c r="B367" s="1331"/>
      <c r="C367" s="1331"/>
      <c r="D367" s="1331"/>
      <c r="E367" s="1331"/>
      <c r="F367" s="1331"/>
      <c r="G367" s="1331"/>
      <c r="H367" s="1331"/>
    </row>
    <row r="368" spans="1:8">
      <c r="A368" s="1332" t="s">
        <v>752</v>
      </c>
      <c r="B368" s="1331"/>
      <c r="C368" s="1331"/>
      <c r="D368" s="1331"/>
      <c r="E368" s="1331"/>
      <c r="F368" s="1331"/>
      <c r="G368" s="1331"/>
      <c r="H368" s="1331"/>
    </row>
    <row r="369" spans="1:8">
      <c r="A369" s="1332" t="s">
        <v>753</v>
      </c>
      <c r="B369" s="1331"/>
      <c r="C369" s="1331"/>
      <c r="D369" s="1331"/>
      <c r="E369" s="1331"/>
      <c r="F369" s="1331"/>
      <c r="G369" s="1331"/>
      <c r="H369" s="1331"/>
    </row>
    <row r="370" spans="1:8">
      <c r="A370" s="1331"/>
      <c r="B370" s="1331"/>
      <c r="C370" s="1331"/>
      <c r="D370" s="1331"/>
      <c r="E370" s="1331"/>
      <c r="F370" s="1331"/>
      <c r="G370" s="1331"/>
      <c r="H370" s="1331"/>
    </row>
    <row r="371" spans="1:8">
      <c r="A371" s="1332" t="s">
        <v>744</v>
      </c>
      <c r="B371" s="1331"/>
      <c r="C371" s="1331"/>
      <c r="D371" s="1331"/>
      <c r="E371" s="1331"/>
      <c r="F371" s="1331"/>
      <c r="G371" s="1331"/>
      <c r="H371" s="1331"/>
    </row>
    <row r="372" spans="1:8">
      <c r="A372" s="1332" t="s">
        <v>745</v>
      </c>
      <c r="B372" s="1331"/>
      <c r="C372" s="1331"/>
      <c r="D372" s="1331"/>
      <c r="E372" s="1331"/>
      <c r="F372" s="1331"/>
      <c r="G372" s="1331"/>
      <c r="H372" s="1331"/>
    </row>
    <row r="373" spans="1:8">
      <c r="A373" s="1332" t="s">
        <v>746</v>
      </c>
      <c r="B373" s="1331"/>
      <c r="C373" s="1331"/>
      <c r="D373" s="1331"/>
      <c r="E373" s="1331"/>
      <c r="F373" s="1331"/>
      <c r="G373" s="1331"/>
      <c r="H373" s="1331"/>
    </row>
    <row r="374" spans="1:8">
      <c r="A374" s="1332" t="s">
        <v>747</v>
      </c>
      <c r="B374" s="1331"/>
      <c r="C374" s="1331"/>
      <c r="D374" s="1331"/>
      <c r="E374" s="1331"/>
      <c r="F374" s="1331"/>
      <c r="G374" s="1331"/>
      <c r="H374" s="1331"/>
    </row>
    <row r="375" spans="1:8">
      <c r="A375" s="1332" t="s">
        <v>748</v>
      </c>
      <c r="B375" s="1331"/>
      <c r="C375" s="1331"/>
      <c r="D375" s="1331"/>
      <c r="E375" s="1331"/>
      <c r="F375" s="1331"/>
      <c r="G375" s="1331"/>
      <c r="H375" s="1331"/>
    </row>
    <row r="376" spans="1:8">
      <c r="A376" s="1332" t="s">
        <v>749</v>
      </c>
      <c r="B376" s="1331"/>
      <c r="C376" s="1331"/>
      <c r="D376" s="1331"/>
      <c r="E376" s="1331"/>
      <c r="F376" s="1331"/>
      <c r="G376" s="1331"/>
      <c r="H376" s="1331"/>
    </row>
    <row r="377" spans="1:8">
      <c r="A377" s="1331"/>
      <c r="B377" s="1331"/>
      <c r="C377" s="1331"/>
      <c r="D377" s="1331"/>
      <c r="E377" s="1331"/>
      <c r="F377" s="1331"/>
      <c r="G377" s="1331"/>
      <c r="H377" s="1331"/>
    </row>
    <row r="378" spans="1:8">
      <c r="A378" s="1332" t="s">
        <v>739</v>
      </c>
      <c r="B378" s="1331"/>
      <c r="C378" s="1331"/>
      <c r="D378" s="1331"/>
      <c r="E378" s="1331"/>
      <c r="F378" s="1331"/>
      <c r="G378" s="1331"/>
      <c r="H378" s="1331"/>
    </row>
    <row r="379" spans="1:8">
      <c r="A379" s="1332" t="s">
        <v>740</v>
      </c>
      <c r="B379" s="1331"/>
      <c r="C379" s="1331"/>
      <c r="D379" s="1331"/>
      <c r="E379" s="1331"/>
      <c r="F379" s="1331"/>
      <c r="G379" s="1331"/>
      <c r="H379" s="1331"/>
    </row>
    <row r="380" spans="1:8">
      <c r="A380" s="1332" t="s">
        <v>741</v>
      </c>
      <c r="B380" s="1331"/>
      <c r="C380" s="1331"/>
      <c r="D380" s="1331"/>
      <c r="E380" s="1331"/>
      <c r="F380" s="1331"/>
      <c r="G380" s="1331"/>
      <c r="H380" s="1331"/>
    </row>
    <row r="381" spans="1:8">
      <c r="A381" s="1332" t="s">
        <v>742</v>
      </c>
      <c r="B381" s="1331"/>
      <c r="C381" s="1331"/>
      <c r="D381" s="1331"/>
      <c r="E381" s="1331"/>
      <c r="F381" s="1331"/>
      <c r="G381" s="1331"/>
      <c r="H381" s="1331"/>
    </row>
    <row r="382" spans="1:8">
      <c r="A382" s="1332" t="s">
        <v>743</v>
      </c>
      <c r="B382" s="1331"/>
      <c r="C382" s="1331"/>
      <c r="D382" s="1331"/>
      <c r="E382" s="1331"/>
      <c r="F382" s="1331"/>
      <c r="G382" s="1331"/>
      <c r="H382" s="1331"/>
    </row>
    <row r="383" spans="1:8">
      <c r="A383" s="1331"/>
      <c r="B383" s="1331"/>
      <c r="C383" s="1331"/>
      <c r="D383" s="1331"/>
      <c r="E383" s="1331"/>
      <c r="F383" s="1331"/>
      <c r="G383" s="1331"/>
      <c r="H383" s="1331"/>
    </row>
    <row r="384" spans="1:8">
      <c r="A384" s="1332" t="s">
        <v>737</v>
      </c>
      <c r="B384" s="1331"/>
      <c r="C384" s="1331"/>
      <c r="D384" s="1331"/>
      <c r="E384" s="1331"/>
      <c r="F384" s="1331"/>
      <c r="G384" s="1331"/>
      <c r="H384" s="1331"/>
    </row>
    <row r="385" spans="1:8">
      <c r="A385" s="1332" t="s">
        <v>738</v>
      </c>
      <c r="B385" s="1331"/>
      <c r="C385" s="1331"/>
      <c r="D385" s="1331"/>
      <c r="E385" s="1331"/>
      <c r="F385" s="1331"/>
      <c r="G385" s="1331"/>
      <c r="H385" s="1331"/>
    </row>
    <row r="387" spans="1:8">
      <c r="A387" s="1327" t="s">
        <v>990</v>
      </c>
    </row>
  </sheetData>
  <mergeCells count="12">
    <mergeCell ref="A125:H125"/>
    <mergeCell ref="A126:H126"/>
    <mergeCell ref="B118:C118"/>
    <mergeCell ref="D118:F118"/>
    <mergeCell ref="G118:H118"/>
    <mergeCell ref="A104:H104"/>
    <mergeCell ref="A105:H105"/>
    <mergeCell ref="A106:H106"/>
    <mergeCell ref="A107:H107"/>
    <mergeCell ref="A109:H109"/>
    <mergeCell ref="A110:H110"/>
    <mergeCell ref="A117:H117"/>
  </mergeCells>
  <pageMargins left="0.5" right="0.5" top="0.5" bottom="0.5" header="0.5" footer="0.5"/>
  <pageSetup orientation="portrait" horizontalDpi="300" verticalDpi="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T63"/>
  <sheetViews>
    <sheetView showGridLines="0" zoomScale="85" zoomScaleNormal="85" workbookViewId="0"/>
  </sheetViews>
  <sheetFormatPr defaultRowHeight="12.75"/>
  <cols>
    <col min="1" max="1" width="3.28515625" customWidth="1"/>
    <col min="2" max="2" width="26.7109375" bestFit="1" customWidth="1"/>
    <col min="3" max="4" width="7.85546875" customWidth="1"/>
    <col min="5" max="5" width="8.5703125" bestFit="1" customWidth="1"/>
    <col min="6" max="8" width="7.85546875" customWidth="1"/>
    <col min="9" max="9" width="2.140625" customWidth="1"/>
    <col min="10" max="10" width="26.7109375" bestFit="1" customWidth="1"/>
    <col min="11" max="16" width="7.85546875" customWidth="1"/>
  </cols>
  <sheetData>
    <row r="1" spans="1:16">
      <c r="A1" s="26"/>
      <c r="B1" s="27"/>
      <c r="C1" s="27"/>
      <c r="D1" s="27"/>
      <c r="E1" s="27"/>
      <c r="F1" s="27"/>
      <c r="G1" s="27"/>
      <c r="H1" s="27"/>
      <c r="I1" s="27"/>
      <c r="J1" s="28"/>
      <c r="K1" s="29"/>
      <c r="L1" s="29"/>
      <c r="M1" s="29"/>
      <c r="N1" s="29"/>
      <c r="O1" s="29"/>
      <c r="P1" s="29"/>
    </row>
    <row r="2" spans="1:16" ht="15.75">
      <c r="A2" s="26"/>
      <c r="B2" s="288" t="s">
        <v>330</v>
      </c>
      <c r="C2" s="31"/>
      <c r="D2" s="31"/>
      <c r="E2" s="31"/>
      <c r="F2" s="31"/>
      <c r="G2" s="31"/>
      <c r="H2" s="31"/>
      <c r="I2" s="30"/>
      <c r="J2" s="30"/>
      <c r="K2" s="30"/>
      <c r="L2" s="30"/>
      <c r="M2" s="30"/>
      <c r="N2" s="30"/>
      <c r="O2" s="30"/>
      <c r="P2" s="30"/>
    </row>
    <row r="3" spans="1:16" ht="15.75">
      <c r="A3" s="26"/>
      <c r="B3" s="289" t="s">
        <v>392</v>
      </c>
      <c r="C3" s="32"/>
      <c r="D3" s="32"/>
      <c r="E3" s="32"/>
      <c r="F3" s="32"/>
      <c r="G3" s="32"/>
      <c r="H3" s="32"/>
      <c r="I3" s="27"/>
      <c r="J3" s="27"/>
      <c r="K3" s="27"/>
      <c r="L3" s="27"/>
      <c r="M3" s="27"/>
      <c r="N3" s="27"/>
      <c r="O3" s="27"/>
      <c r="P3" s="27"/>
    </row>
    <row r="4" spans="1:16">
      <c r="A4" s="26"/>
      <c r="B4" s="46"/>
      <c r="C4" s="34"/>
      <c r="D4" s="34"/>
      <c r="E4" s="34"/>
      <c r="F4" s="34"/>
      <c r="G4" s="34"/>
      <c r="H4" s="34"/>
      <c r="I4" s="35"/>
      <c r="J4" s="36"/>
      <c r="K4" s="36"/>
      <c r="L4" s="36"/>
      <c r="M4" s="36"/>
      <c r="N4" s="36"/>
      <c r="O4" s="35"/>
      <c r="P4" s="35"/>
    </row>
    <row r="5" spans="1:16">
      <c r="A5" s="26"/>
      <c r="B5" s="738" t="s">
        <v>393</v>
      </c>
      <c r="C5" s="739"/>
      <c r="D5" s="739"/>
      <c r="E5" s="739"/>
      <c r="F5" s="739"/>
      <c r="G5" s="740"/>
      <c r="H5" s="740"/>
      <c r="I5" s="35"/>
      <c r="J5" s="738" t="s">
        <v>394</v>
      </c>
      <c r="K5" s="739"/>
      <c r="L5" s="739"/>
      <c r="M5" s="739"/>
      <c r="N5" s="739"/>
      <c r="O5" s="740"/>
      <c r="P5" s="740"/>
    </row>
    <row r="6" spans="1:16">
      <c r="A6" s="26"/>
      <c r="B6" s="65" t="s">
        <v>395</v>
      </c>
      <c r="C6" s="436">
        <v>2014</v>
      </c>
      <c r="D6" s="436">
        <v>2015</v>
      </c>
      <c r="E6" s="436">
        <v>2016</v>
      </c>
      <c r="F6" s="436">
        <v>2017</v>
      </c>
      <c r="G6" s="436" t="s">
        <v>620</v>
      </c>
      <c r="H6" s="436" t="s">
        <v>632</v>
      </c>
      <c r="I6" s="56"/>
      <c r="J6" s="65" t="s">
        <v>396</v>
      </c>
      <c r="K6" s="436">
        <f t="shared" ref="K6:P6" si="0">C6</f>
        <v>2014</v>
      </c>
      <c r="L6" s="436">
        <f t="shared" si="0"/>
        <v>2015</v>
      </c>
      <c r="M6" s="436">
        <f t="shared" si="0"/>
        <v>2016</v>
      </c>
      <c r="N6" s="436">
        <f t="shared" si="0"/>
        <v>2017</v>
      </c>
      <c r="O6" s="436" t="str">
        <f t="shared" si="0"/>
        <v>2018E</v>
      </c>
      <c r="P6" s="436" t="str">
        <f t="shared" si="0"/>
        <v>2019E</v>
      </c>
    </row>
    <row r="7" spans="1:16">
      <c r="A7" s="26"/>
      <c r="B7" s="33" t="s">
        <v>397</v>
      </c>
      <c r="C7" s="432"/>
      <c r="D7" s="432"/>
      <c r="E7" s="432"/>
      <c r="F7" s="432"/>
      <c r="G7" s="432"/>
      <c r="H7" s="432"/>
      <c r="I7" s="30"/>
      <c r="J7" s="33" t="s">
        <v>572</v>
      </c>
      <c r="K7" s="446">
        <f>Financials!$BV$15</f>
        <v>21105.141000000003</v>
      </c>
      <c r="L7" s="446">
        <f>Financials!$CA$15</f>
        <v>16439.276000000002</v>
      </c>
      <c r="M7" s="446">
        <f>Financials!$CF$15</f>
        <v>16208.122000000001</v>
      </c>
      <c r="N7" s="446">
        <f>Financials!$CK$15</f>
        <v>20252.393</v>
      </c>
      <c r="O7" s="446">
        <f>Financials!$CP$15</f>
        <v>25483.944099268847</v>
      </c>
      <c r="P7" s="446">
        <f>Financials!$CU$15</f>
        <v>26897.497388238749</v>
      </c>
    </row>
    <row r="8" spans="1:16">
      <c r="A8" s="37"/>
      <c r="B8" s="57" t="s">
        <v>462</v>
      </c>
      <c r="C8" s="429">
        <f>Operations!BV18</f>
        <v>735.75</v>
      </c>
      <c r="D8" s="429">
        <f>Operations!CA18</f>
        <v>570.75</v>
      </c>
      <c r="E8" s="429">
        <f>Operations!CF18</f>
        <v>572.5</v>
      </c>
      <c r="F8" s="429">
        <f>Operations!CK18</f>
        <v>689</v>
      </c>
      <c r="G8" s="429">
        <f>Operations!CP18</f>
        <v>845.78828124999995</v>
      </c>
      <c r="H8" s="429">
        <f>Operations!CU18</f>
        <v>852.72645414550777</v>
      </c>
      <c r="I8" s="38"/>
      <c r="J8" s="39" t="s">
        <v>128</v>
      </c>
      <c r="K8" s="429">
        <f>Financials!$BV$19</f>
        <v>18439.187000000005</v>
      </c>
      <c r="L8" s="429">
        <f>Financials!$CA$19</f>
        <v>14152.668000000001</v>
      </c>
      <c r="M8" s="429">
        <f>Financials!$CF$19</f>
        <v>13596.941000000001</v>
      </c>
      <c r="N8" s="429">
        <f>Financials!$CK$19</f>
        <v>16917.664000000001</v>
      </c>
      <c r="O8" s="429">
        <f>Financials!$CP$19</f>
        <v>21176.540767673236</v>
      </c>
      <c r="P8" s="429">
        <f>Financials!$CU$19</f>
        <v>22695.771000515713</v>
      </c>
    </row>
    <row r="9" spans="1:16">
      <c r="A9" s="37"/>
      <c r="B9" s="767" t="s">
        <v>642</v>
      </c>
      <c r="C9" s="1" t="s">
        <v>461</v>
      </c>
      <c r="D9" s="1" t="s">
        <v>461</v>
      </c>
      <c r="E9" s="1" t="s">
        <v>461</v>
      </c>
      <c r="F9" s="429">
        <f>Operations!CK158</f>
        <v>1000</v>
      </c>
      <c r="G9" s="429">
        <f>Operations!CP158</f>
        <v>0</v>
      </c>
      <c r="H9" s="429">
        <f>Operations!CU158</f>
        <v>0</v>
      </c>
      <c r="I9" s="38"/>
      <c r="J9" s="39" t="s">
        <v>192</v>
      </c>
      <c r="K9" s="429">
        <f>Financials!$BV$21</f>
        <v>724.423</v>
      </c>
      <c r="L9" s="429">
        <f>Financials!$CA$21</f>
        <v>700.01699999999994</v>
      </c>
      <c r="M9" s="429">
        <f>Financials!$CF$21</f>
        <v>687.05399999999997</v>
      </c>
      <c r="N9" s="429">
        <f>Financials!$CK$21</f>
        <v>727.06099999999992</v>
      </c>
      <c r="O9" s="429">
        <f>Financials!$CP$21</f>
        <v>696</v>
      </c>
      <c r="P9" s="429">
        <f>Financials!$CU$21</f>
        <v>696</v>
      </c>
    </row>
    <row r="10" spans="1:16">
      <c r="A10" s="40"/>
      <c r="B10" s="57" t="s">
        <v>463</v>
      </c>
      <c r="C10" s="429">
        <f>Operations!BV19</f>
        <v>732.75</v>
      </c>
      <c r="D10" s="429">
        <f>Operations!CA19</f>
        <v>626</v>
      </c>
      <c r="E10" s="429">
        <f>Operations!CF19</f>
        <v>544.25</v>
      </c>
      <c r="F10" s="429">
        <f>Operations!CK19</f>
        <v>609</v>
      </c>
      <c r="G10" s="429">
        <f>Operations!CP19</f>
        <v>728.47678003023361</v>
      </c>
      <c r="H10" s="429">
        <f>Operations!CU19</f>
        <v>736.47567736613087</v>
      </c>
      <c r="I10" s="38"/>
      <c r="J10" s="41" t="s">
        <v>191</v>
      </c>
      <c r="K10" s="447">
        <f>Financials!$BV$28</f>
        <v>546.19799999999998</v>
      </c>
      <c r="L10" s="447">
        <f>Financials!$CA$28</f>
        <v>466.68900000000002</v>
      </c>
      <c r="M10" s="447">
        <f>Financials!$CF$28</f>
        <v>596.76099999999997</v>
      </c>
      <c r="N10" s="447">
        <f>Financials!$CK$28</f>
        <v>667.28099999999995</v>
      </c>
      <c r="O10" s="447">
        <f>Financials!$CP$28</f>
        <v>700.76365258099008</v>
      </c>
      <c r="P10" s="447">
        <f>Financials!$CU$28</f>
        <v>699.33493209420749</v>
      </c>
    </row>
    <row r="11" spans="1:16">
      <c r="A11" s="26"/>
      <c r="B11" s="57" t="s">
        <v>464</v>
      </c>
      <c r="C11" s="429">
        <f>Operations!BV20</f>
        <v>1025.25</v>
      </c>
      <c r="D11" s="429">
        <f>Operations!CA20</f>
        <v>959</v>
      </c>
      <c r="E11" s="429">
        <f>Operations!CF20</f>
        <v>854.25</v>
      </c>
      <c r="F11" s="429">
        <f>Operations!CK20</f>
        <v>759.25</v>
      </c>
      <c r="G11" s="429">
        <f>Operations!CP20</f>
        <v>876.66974999999991</v>
      </c>
      <c r="H11" s="429">
        <f>Operations!CU20</f>
        <v>968.52453197499983</v>
      </c>
      <c r="I11" s="38"/>
      <c r="J11" s="33" t="s">
        <v>62</v>
      </c>
      <c r="K11" s="446">
        <f>Financials!$BV$97</f>
        <v>2119.7559999999999</v>
      </c>
      <c r="L11" s="446">
        <f>Financials!$CA$97</f>
        <v>1819.9189999999999</v>
      </c>
      <c r="M11" s="446">
        <f>Financials!$CF$97</f>
        <v>2014.4199999999996</v>
      </c>
      <c r="N11" s="446">
        <f>Financials!$CK$97</f>
        <v>2667.4479999999999</v>
      </c>
      <c r="O11" s="446">
        <f>Financials!$CP$97</f>
        <v>3606.63967901462</v>
      </c>
      <c r="P11" s="446">
        <f>Financials!$CU$97</f>
        <v>3502.3914556288305</v>
      </c>
    </row>
    <row r="12" spans="1:16">
      <c r="A12" s="26"/>
      <c r="B12" s="57" t="s">
        <v>465</v>
      </c>
      <c r="C12" s="429">
        <f>Operations!BV21</f>
        <v>847.75</v>
      </c>
      <c r="D12" s="429">
        <f>Operations!CA21</f>
        <v>683</v>
      </c>
      <c r="E12" s="429">
        <f>Operations!CF21</f>
        <v>598.5</v>
      </c>
      <c r="F12" s="429">
        <f>Operations!CK21</f>
        <v>731.25</v>
      </c>
      <c r="G12" s="429">
        <f>Operations!CP21</f>
        <v>886.91192358241096</v>
      </c>
      <c r="H12" s="429">
        <f>Operations!CU21</f>
        <v>916.72144413357637</v>
      </c>
      <c r="I12" s="38"/>
      <c r="J12" s="33" t="s">
        <v>107</v>
      </c>
      <c r="K12" s="446">
        <f>Financials!$BV$31</f>
        <v>1395.3329999999999</v>
      </c>
      <c r="L12" s="446">
        <f>Financials!$CA$31</f>
        <v>1119.902</v>
      </c>
      <c r="M12" s="446">
        <f>Financials!$CF$31</f>
        <v>1327.3659999999998</v>
      </c>
      <c r="N12" s="446">
        <f>Financials!$CK$31</f>
        <v>1940.3869999999999</v>
      </c>
      <c r="O12" s="446">
        <f>Financials!$CP$31</f>
        <v>2910.63967901462</v>
      </c>
      <c r="P12" s="446">
        <f>Financials!$CU$31</f>
        <v>2806.3914556288305</v>
      </c>
    </row>
    <row r="13" spans="1:16">
      <c r="A13" s="26"/>
      <c r="B13" s="58" t="s">
        <v>130</v>
      </c>
      <c r="C13" s="429"/>
      <c r="D13" s="429"/>
      <c r="E13" s="429"/>
      <c r="F13" s="429"/>
      <c r="G13" s="429"/>
      <c r="H13" s="429"/>
      <c r="I13" s="38"/>
      <c r="J13" s="41" t="s">
        <v>193</v>
      </c>
      <c r="K13" s="429">
        <f>Financials!$BV$48</f>
        <v>1226.0769999999998</v>
      </c>
      <c r="L13" s="429">
        <f>Financials!$CA$48</f>
        <v>946.37100000000009</v>
      </c>
      <c r="M13" s="429">
        <f>Financials!$CF$48</f>
        <v>1158.1219999999998</v>
      </c>
      <c r="N13" s="429">
        <f>Financials!$CK$48</f>
        <v>1766.807</v>
      </c>
      <c r="O13" s="429">
        <f>Financials!$CP$48</f>
        <v>2747.0596121389663</v>
      </c>
      <c r="P13" s="429">
        <f>Financials!$CU$48</f>
        <v>2650.1684328937745</v>
      </c>
    </row>
    <row r="14" spans="1:16">
      <c r="A14" s="26"/>
      <c r="B14" s="57" t="s">
        <v>462</v>
      </c>
      <c r="C14" s="429">
        <f>Operations!BV33</f>
        <v>8153</v>
      </c>
      <c r="D14" s="429">
        <f>Operations!CA33</f>
        <v>8080</v>
      </c>
      <c r="E14" s="429">
        <f>Operations!CF33</f>
        <v>9118</v>
      </c>
      <c r="F14" s="429">
        <f>Operations!CK33</f>
        <v>9311</v>
      </c>
      <c r="G14" s="429">
        <f>Operations!CP33</f>
        <v>9320.1999999999989</v>
      </c>
      <c r="H14" s="429">
        <f>Operations!CU33</f>
        <v>9506.6039999999994</v>
      </c>
      <c r="I14" s="38"/>
      <c r="J14" s="39" t="s">
        <v>366</v>
      </c>
      <c r="K14" s="429">
        <f>Financials!$BV$51</f>
        <v>383.53700000000003</v>
      </c>
      <c r="L14" s="429">
        <f>Financials!$CA$51</f>
        <v>243.547</v>
      </c>
      <c r="M14" s="429">
        <f>Financials!$CF$51</f>
        <v>348.79600000000005</v>
      </c>
      <c r="N14" s="429">
        <f>Financials!$CK$51</f>
        <v>554.22400000000005</v>
      </c>
      <c r="O14" s="429">
        <f>Financials!$CP$51</f>
        <v>666.04342691335182</v>
      </c>
      <c r="P14" s="429">
        <f>Financials!$CU$51</f>
        <v>636.04042389450592</v>
      </c>
    </row>
    <row r="15" spans="1:16">
      <c r="A15" s="26"/>
      <c r="B15" s="767" t="s">
        <v>642</v>
      </c>
      <c r="C15" s="1" t="s">
        <v>461</v>
      </c>
      <c r="D15" s="1" t="s">
        <v>461</v>
      </c>
      <c r="E15" s="1" t="s">
        <v>461</v>
      </c>
      <c r="F15" s="429">
        <f>Operations!CK124</f>
        <v>917</v>
      </c>
      <c r="G15" s="429">
        <f>Operations!CP124</f>
        <v>1082.0999999999999</v>
      </c>
      <c r="H15" s="429">
        <f>Operations!CU124</f>
        <v>1103.742</v>
      </c>
      <c r="I15" s="38"/>
      <c r="J15" s="39" t="s">
        <v>547</v>
      </c>
      <c r="K15" s="429">
        <f>Financials!$BV$47</f>
        <v>0</v>
      </c>
      <c r="L15" s="429">
        <f>Financials!$CA$47</f>
        <v>0</v>
      </c>
      <c r="M15" s="429">
        <f>Financials!$CF$47</f>
        <v>0</v>
      </c>
      <c r="N15" s="429">
        <f>Financials!$CK$47</f>
        <v>0</v>
      </c>
      <c r="O15" s="429">
        <f>Financials!$CP$47</f>
        <v>0</v>
      </c>
      <c r="P15" s="429">
        <f>Financials!$CU$47</f>
        <v>0</v>
      </c>
    </row>
    <row r="16" spans="1:16">
      <c r="A16" s="26"/>
      <c r="B16" s="57" t="s">
        <v>463</v>
      </c>
      <c r="C16" s="429">
        <f>Operations!BV34+Operations!BV35</f>
        <v>5526</v>
      </c>
      <c r="D16" s="429">
        <f>Operations!CA34+Operations!CA35</f>
        <v>4790</v>
      </c>
      <c r="E16" s="429">
        <f>Operations!CF34+Operations!CF35</f>
        <v>5304</v>
      </c>
      <c r="F16" s="429">
        <f>Operations!CK34+Operations!CK35</f>
        <v>5838</v>
      </c>
      <c r="G16" s="429">
        <f>Operations!CP34+Operations!CP35</f>
        <v>6214.96</v>
      </c>
      <c r="H16" s="429">
        <f>Operations!CU34+Operations!CU35</f>
        <v>6307.2592000000004</v>
      </c>
      <c r="I16" s="38"/>
      <c r="J16" s="39" t="s">
        <v>581</v>
      </c>
      <c r="K16" s="429">
        <f>Financials!$BV$57</f>
        <v>740.69599999999969</v>
      </c>
      <c r="L16" s="429">
        <f>Financials!$CA$57</f>
        <v>564.39900000000011</v>
      </c>
      <c r="M16" s="429">
        <f>Financials!$CF$57</f>
        <v>711.06099999999981</v>
      </c>
      <c r="N16" s="429">
        <f>Financials!$CK$57</f>
        <v>1150.7</v>
      </c>
      <c r="O16" s="429">
        <f>Financials!$CP$57</f>
        <v>1985.0831852256142</v>
      </c>
      <c r="P16" s="429">
        <f>Financials!$CU$57</f>
        <v>1926.1280089992686</v>
      </c>
    </row>
    <row r="17" spans="1:16">
      <c r="A17" s="26"/>
      <c r="B17" s="57" t="s">
        <v>464</v>
      </c>
      <c r="C17" s="429">
        <f>Operations!BV36</f>
        <v>2560</v>
      </c>
      <c r="D17" s="429">
        <f>Operations!CA36</f>
        <v>2231</v>
      </c>
      <c r="E17" s="429">
        <f>Operations!CF36</f>
        <v>2319</v>
      </c>
      <c r="F17" s="429">
        <f>Operations!CK36</f>
        <v>1739</v>
      </c>
      <c r="G17" s="429">
        <f>Operations!CP36</f>
        <v>1754.6599999999999</v>
      </c>
      <c r="H17" s="429">
        <f>Operations!CU36</f>
        <v>1789.7532000000001</v>
      </c>
      <c r="I17" s="38"/>
      <c r="J17" s="42" t="s">
        <v>204</v>
      </c>
      <c r="K17" s="442">
        <f>Financials!$BV$60</f>
        <v>2.3137079423834557</v>
      </c>
      <c r="L17" s="442">
        <f>Financials!$CA$60</f>
        <v>1.7599272828190071</v>
      </c>
      <c r="M17" s="442">
        <f>Financials!$CF$60</f>
        <v>2.2233023369249141</v>
      </c>
      <c r="N17" s="442">
        <f>Financials!$CK$60</f>
        <v>3.5872440382759909</v>
      </c>
      <c r="O17" s="442">
        <f>Financials!$CP$60</f>
        <v>6.2160938451101924</v>
      </c>
      <c r="P17" s="442">
        <f>Financials!$CU$60</f>
        <v>6.0385929008388066</v>
      </c>
    </row>
    <row r="18" spans="1:16">
      <c r="A18" s="26"/>
      <c r="B18" s="57" t="s">
        <v>465</v>
      </c>
      <c r="C18" s="429">
        <f>Operations!BV37</f>
        <v>2442</v>
      </c>
      <c r="D18" s="429">
        <f>Operations!CA37</f>
        <v>1905</v>
      </c>
      <c r="E18" s="429">
        <f>Operations!CF37</f>
        <v>2023</v>
      </c>
      <c r="F18" s="429">
        <f>Operations!CK37</f>
        <v>2249</v>
      </c>
      <c r="G18" s="429">
        <f>Operations!CP37</f>
        <v>2281.58</v>
      </c>
      <c r="H18" s="429">
        <f>Operations!CU37</f>
        <v>2327.2116000000001</v>
      </c>
      <c r="I18" s="38"/>
      <c r="J18" s="43" t="s">
        <v>540</v>
      </c>
      <c r="K18" s="440">
        <f>Financials!$BV$92</f>
        <v>2.230149117361103</v>
      </c>
      <c r="L18" s="440">
        <f>Financials!$CA$92</f>
        <v>1.1152639038087653</v>
      </c>
      <c r="M18" s="440">
        <f>Financials!$CF$92</f>
        <v>2.2956550831399958</v>
      </c>
      <c r="N18" s="440">
        <f>Financials!$CK$92</f>
        <v>4.1534905253050809</v>
      </c>
      <c r="O18" s="440">
        <f>Financials!$CP$92</f>
        <v>6.1478292772412138</v>
      </c>
      <c r="P18" s="440">
        <f>Financials!$CU$92</f>
        <v>6.0385929008388066</v>
      </c>
    </row>
    <row r="19" spans="1:16">
      <c r="A19" s="26"/>
      <c r="B19" s="57" t="s">
        <v>21</v>
      </c>
      <c r="C19" s="429">
        <f>Operations!$BV$126</f>
        <v>6732</v>
      </c>
      <c r="D19" s="429">
        <f>Operations!$CA$126</f>
        <v>5674</v>
      </c>
      <c r="E19" s="429">
        <f>Operations!$CF$126</f>
        <v>5545</v>
      </c>
      <c r="F19" s="429">
        <f>Operations!$CK$126</f>
        <v>7355</v>
      </c>
      <c r="G19" s="429">
        <f>Operations!$CP$126</f>
        <v>7843.11</v>
      </c>
      <c r="H19" s="429">
        <f>Operations!$CU$126</f>
        <v>8034.7552000000005</v>
      </c>
      <c r="I19" s="30"/>
      <c r="J19" s="37"/>
      <c r="K19" s="443"/>
      <c r="L19" s="443"/>
      <c r="M19" s="443"/>
      <c r="N19" s="443"/>
      <c r="O19" s="443"/>
      <c r="P19" s="443"/>
    </row>
    <row r="20" spans="1:16">
      <c r="A20" s="26"/>
      <c r="B20" s="64" t="s">
        <v>28</v>
      </c>
      <c r="C20" s="434">
        <f>Operations!$BV$63</f>
        <v>0.77247807017543857</v>
      </c>
      <c r="D20" s="434">
        <f>Operations!$CA$63</f>
        <v>0.66969802152030544</v>
      </c>
      <c r="E20" s="434">
        <f>Operations!$CF$63</f>
        <v>0.79707865168539327</v>
      </c>
      <c r="F20" s="434">
        <f>Operations!$CK$63</f>
        <v>0.88873707865168539</v>
      </c>
      <c r="G20" s="434">
        <f>Operations!$CP$63</f>
        <v>0.87933290468254388</v>
      </c>
      <c r="H20" s="434">
        <f>Operations!$CU$63</f>
        <v>0.89548181928570147</v>
      </c>
      <c r="I20" s="30"/>
      <c r="J20" s="738" t="s">
        <v>450</v>
      </c>
      <c r="K20" s="741"/>
      <c r="L20" s="741"/>
      <c r="M20" s="741"/>
      <c r="N20" s="741"/>
      <c r="O20" s="742"/>
      <c r="P20" s="742"/>
    </row>
    <row r="21" spans="1:16">
      <c r="A21" s="26"/>
      <c r="B21" s="52"/>
      <c r="C21" s="435"/>
      <c r="D21" s="435"/>
      <c r="E21" s="435"/>
      <c r="F21" s="435"/>
      <c r="G21" s="435"/>
      <c r="H21" s="435"/>
      <c r="I21" s="30"/>
      <c r="J21" s="65" t="str">
        <f>+$J$6</f>
        <v>Year End December (US$M)</v>
      </c>
      <c r="K21" s="436">
        <f t="shared" ref="K21:P21" si="1">+K6</f>
        <v>2014</v>
      </c>
      <c r="L21" s="436">
        <f t="shared" si="1"/>
        <v>2015</v>
      </c>
      <c r="M21" s="436">
        <f t="shared" si="1"/>
        <v>2016</v>
      </c>
      <c r="N21" s="436">
        <f t="shared" si="1"/>
        <v>2017</v>
      </c>
      <c r="O21" s="436" t="str">
        <f t="shared" si="1"/>
        <v>2018E</v>
      </c>
      <c r="P21" s="436" t="str">
        <f t="shared" si="1"/>
        <v>2019E</v>
      </c>
    </row>
    <row r="22" spans="1:16">
      <c r="A22" s="26"/>
      <c r="B22" s="738" t="s">
        <v>555</v>
      </c>
      <c r="C22" s="741"/>
      <c r="D22" s="741"/>
      <c r="E22" s="741"/>
      <c r="F22" s="741"/>
      <c r="G22" s="742"/>
      <c r="H22" s="742"/>
      <c r="I22" s="30"/>
      <c r="J22" s="44" t="s">
        <v>556</v>
      </c>
      <c r="K22" s="424">
        <f>Financials!$BV$113</f>
        <v>1024.144</v>
      </c>
      <c r="L22" s="424">
        <f>Financials!$CA$113</f>
        <v>1939.4690000000001</v>
      </c>
      <c r="M22" s="424">
        <f>Financials!$CF$113</f>
        <v>2045.961</v>
      </c>
      <c r="N22" s="424">
        <f>Financials!$CK$113</f>
        <v>949.10400000000004</v>
      </c>
      <c r="O22" s="424">
        <f>Financials!$CP$113</f>
        <v>1674.7992526287446</v>
      </c>
      <c r="P22" s="424">
        <f>Financials!$CU$113</f>
        <v>3033.9736067225044</v>
      </c>
    </row>
    <row r="23" spans="1:16" ht="12.75" customHeight="1">
      <c r="A23" s="26"/>
      <c r="B23" s="65" t="str">
        <f>+J6</f>
        <v>Year End December (US$M)</v>
      </c>
      <c r="C23" s="436">
        <f t="shared" ref="C23:H23" si="2">+C6</f>
        <v>2014</v>
      </c>
      <c r="D23" s="436">
        <f t="shared" si="2"/>
        <v>2015</v>
      </c>
      <c r="E23" s="436">
        <f t="shared" si="2"/>
        <v>2016</v>
      </c>
      <c r="F23" s="436">
        <f t="shared" si="2"/>
        <v>2017</v>
      </c>
      <c r="G23" s="436" t="str">
        <f t="shared" si="2"/>
        <v>2018E</v>
      </c>
      <c r="H23" s="436" t="str">
        <f t="shared" si="2"/>
        <v>2019E</v>
      </c>
      <c r="I23" s="53"/>
      <c r="J23" s="44" t="s">
        <v>557</v>
      </c>
      <c r="K23" s="448">
        <f>Financials!BV115</f>
        <v>2068.2979999999998</v>
      </c>
      <c r="L23" s="448">
        <f>Financials!CA115</f>
        <v>1383.8230000000001</v>
      </c>
      <c r="M23" s="448">
        <f>Financials!CF115</f>
        <v>1631.6759999999999</v>
      </c>
      <c r="N23" s="448">
        <f>Financials!CK115</f>
        <v>2028.5450000000001</v>
      </c>
      <c r="O23" s="448">
        <f>Financials!CP115</f>
        <v>2621.1479754608167</v>
      </c>
      <c r="P23" s="448">
        <f>Financials!CU115</f>
        <v>2558.1727633532587</v>
      </c>
    </row>
    <row r="24" spans="1:16" ht="12.75" customHeight="1">
      <c r="A24" s="26"/>
      <c r="B24" s="59" t="s">
        <v>249</v>
      </c>
      <c r="C24" s="429">
        <f>Financials!BV35</f>
        <v>1615.8520000000001</v>
      </c>
      <c r="D24" s="429">
        <f>Financials!CA35</f>
        <v>782.25599999999997</v>
      </c>
      <c r="E24" s="429">
        <f>Financials!CF35</f>
        <v>1688.5679999999998</v>
      </c>
      <c r="F24" s="429">
        <f>Financials!CK35</f>
        <v>1939.2250000000001</v>
      </c>
      <c r="G24" s="429">
        <f>Financials!CP35</f>
        <v>3058.3099676696856</v>
      </c>
      <c r="H24" s="429">
        <f>Financials!CU35</f>
        <v>2955.6010977624196</v>
      </c>
      <c r="I24" s="53"/>
      <c r="J24" s="41" t="s">
        <v>1</v>
      </c>
      <c r="K24" s="448">
        <f>Financials!BV116</f>
        <v>2745.0320000000002</v>
      </c>
      <c r="L24" s="448">
        <f>Financials!CA116</f>
        <v>2145.444</v>
      </c>
      <c r="M24" s="448">
        <f>Financials!CF116</f>
        <v>2479.9580000000001</v>
      </c>
      <c r="N24" s="448">
        <f>Financials!CK116</f>
        <v>3461.6860000000001</v>
      </c>
      <c r="O24" s="448">
        <f>Financials!CP116</f>
        <v>4302.2041247208972</v>
      </c>
      <c r="P24" s="448">
        <f>Financials!CU116</f>
        <v>4321.1195289244952</v>
      </c>
    </row>
    <row r="25" spans="1:16" ht="12.75" customHeight="1">
      <c r="A25" s="26"/>
      <c r="B25" s="23" t="s">
        <v>254</v>
      </c>
      <c r="C25" s="429">
        <f>Financials!BV36</f>
        <v>166.32300000000001</v>
      </c>
      <c r="D25" s="429">
        <f>Financials!CA36</f>
        <v>276.048</v>
      </c>
      <c r="E25" s="429">
        <f>Financials!CF36</f>
        <v>249.97</v>
      </c>
      <c r="F25" s="429">
        <f>Financials!CK36</f>
        <v>351.80200000000002</v>
      </c>
      <c r="G25" s="429">
        <f>Financials!CP36</f>
        <v>372.13674731078532</v>
      </c>
      <c r="H25" s="429">
        <f>Financials!CU36</f>
        <v>326.93931969788173</v>
      </c>
      <c r="I25" s="53"/>
      <c r="J25" s="41" t="s">
        <v>2</v>
      </c>
      <c r="K25" s="448">
        <f>K29-SUM(K26:K28,K22:K24)</f>
        <v>604.41400000000249</v>
      </c>
      <c r="L25" s="448">
        <f t="shared" ref="L25:P25" si="3">L29-SUM(L26:L28,L22:L24)</f>
        <v>285.64400000000023</v>
      </c>
      <c r="M25" s="448">
        <f t="shared" si="3"/>
        <v>348.79800000000068</v>
      </c>
      <c r="N25" s="448">
        <f t="shared" si="3"/>
        <v>385.08500000000276</v>
      </c>
      <c r="O25" s="448">
        <f t="shared" si="3"/>
        <v>238.70100000000093</v>
      </c>
      <c r="P25" s="448">
        <f t="shared" si="3"/>
        <v>238.70099999999366</v>
      </c>
    </row>
    <row r="26" spans="1:16">
      <c r="A26" s="26"/>
      <c r="B26" s="23" t="s">
        <v>491</v>
      </c>
      <c r="C26" s="429">
        <f>Financials!BV37</f>
        <v>-29.053000000000001</v>
      </c>
      <c r="D26" s="429">
        <f>Financials!CA37</f>
        <v>-199.80500000000001</v>
      </c>
      <c r="E26" s="429">
        <f>Financials!CF37</f>
        <v>-95.120999999999995</v>
      </c>
      <c r="F26" s="429">
        <f>Financials!CK37</f>
        <v>129.29599999999999</v>
      </c>
      <c r="G26" s="429">
        <f>Financials!CP37</f>
        <v>213.21560143652522</v>
      </c>
      <c r="H26" s="429">
        <f>Financials!CU37</f>
        <v>218.41729614269775</v>
      </c>
      <c r="I26" s="53"/>
      <c r="J26" s="44" t="s">
        <v>558</v>
      </c>
      <c r="K26" s="424">
        <f>Financials!BV122+Financials!BV123</f>
        <v>2930.7570000000001</v>
      </c>
      <c r="L26" s="424">
        <f>Financials!CA122+Financials!CA123</f>
        <v>2781.95</v>
      </c>
      <c r="M26" s="424">
        <f>Financials!CF122+Financials!CF123</f>
        <v>2919.5630000000001</v>
      </c>
      <c r="N26" s="424">
        <f>Financials!CK122+Financials!CK123</f>
        <v>3110.7039999999997</v>
      </c>
      <c r="O26" s="424">
        <f>Financials!CP122+Financials!CP123</f>
        <v>3087.6860000000001</v>
      </c>
      <c r="P26" s="424">
        <f>Financials!CU122+Financials!CU123</f>
        <v>3087.6860000000001</v>
      </c>
    </row>
    <row r="27" spans="1:16">
      <c r="A27" s="26"/>
      <c r="B27" s="63" t="s">
        <v>304</v>
      </c>
      <c r="C27" s="445">
        <f>Financials!BV38+Financials!BV39</f>
        <v>-357.78900000000004</v>
      </c>
      <c r="D27" s="445">
        <f>Financials!CA38+Financials!CA39</f>
        <v>261.40300000000013</v>
      </c>
      <c r="E27" s="445">
        <f>Financials!CF38+Financials!CF39</f>
        <v>-516.05099999999993</v>
      </c>
      <c r="F27" s="445">
        <f>Financials!CK38+Financials!CK39</f>
        <v>-479.93599999999986</v>
      </c>
      <c r="G27" s="445">
        <f>Financials!CP38+Financials!CP39</f>
        <v>-733.02263740237595</v>
      </c>
      <c r="H27" s="445">
        <f>Financials!CU38+Financials!CU39</f>
        <v>-694.56625797416871</v>
      </c>
      <c r="I27" s="30"/>
      <c r="J27" s="44" t="s">
        <v>391</v>
      </c>
      <c r="K27" s="424">
        <f>Financials!$BV$121</f>
        <v>5287.6390000000001</v>
      </c>
      <c r="L27" s="424">
        <f>Financials!$CA$121</f>
        <v>4891.1530000000002</v>
      </c>
      <c r="M27" s="424">
        <f>Financials!$CF$121</f>
        <v>5078.6499999999996</v>
      </c>
      <c r="N27" s="424">
        <f>Financials!$CK$121</f>
        <v>5093.1469999999999</v>
      </c>
      <c r="O27" s="424">
        <f>Financials!$CP$121</f>
        <v>5318.89</v>
      </c>
      <c r="P27" s="424">
        <f>Financials!$CU$121</f>
        <v>5487.89</v>
      </c>
    </row>
    <row r="28" spans="1:16">
      <c r="A28" s="26"/>
      <c r="B28" s="30"/>
      <c r="C28" s="433"/>
      <c r="D28" s="433"/>
      <c r="E28" s="433"/>
      <c r="F28" s="433"/>
      <c r="G28" s="433"/>
      <c r="H28" s="433"/>
      <c r="I28" s="30"/>
      <c r="J28" s="44" t="s">
        <v>252</v>
      </c>
      <c r="K28" s="424">
        <f>Financials!$BV$124</f>
        <v>955.64300000000003</v>
      </c>
      <c r="L28" s="424">
        <f>Financials!$CA$124</f>
        <v>822.91600000000005</v>
      </c>
      <c r="M28" s="424">
        <f>Financials!$CF$124</f>
        <v>718.91200000000003</v>
      </c>
      <c r="N28" s="424">
        <f>Financials!$CK$124</f>
        <v>812.98699999999997</v>
      </c>
      <c r="O28" s="424">
        <f>Financials!$CP$124</f>
        <v>1020.3062837949404</v>
      </c>
      <c r="P28" s="424">
        <f>Financials!$CU$124</f>
        <v>995.79259542701686</v>
      </c>
    </row>
    <row r="29" spans="1:16">
      <c r="A29" s="26"/>
      <c r="B29" s="738" t="s">
        <v>427</v>
      </c>
      <c r="C29" s="741"/>
      <c r="D29" s="741"/>
      <c r="E29" s="741"/>
      <c r="F29" s="741"/>
      <c r="G29" s="742"/>
      <c r="H29" s="742"/>
      <c r="I29" s="30"/>
      <c r="J29" s="45" t="s">
        <v>559</v>
      </c>
      <c r="K29" s="449">
        <f>Financials!$BV$126</f>
        <v>15615.927000000001</v>
      </c>
      <c r="L29" s="449">
        <f>Financials!$CA$126</f>
        <v>14250.399000000001</v>
      </c>
      <c r="M29" s="449">
        <f>Financials!$CF$126</f>
        <v>15223.518</v>
      </c>
      <c r="N29" s="449">
        <f>Financials!$CK$126</f>
        <v>15841.258</v>
      </c>
      <c r="O29" s="449">
        <f>Financials!$CP$126</f>
        <v>18263.734636605401</v>
      </c>
      <c r="P29" s="449">
        <f>Financials!$CU$126</f>
        <v>19723.335494427272</v>
      </c>
    </row>
    <row r="30" spans="1:16">
      <c r="A30" s="26"/>
      <c r="B30" s="65" t="str">
        <f>+B6</f>
        <v>Year End December</v>
      </c>
      <c r="C30" s="537" t="str">
        <f>ROUNDUP(MONTH(C62)/3,0)&amp;"Q"&amp;YEAR(C62)-2000</f>
        <v>3Q17</v>
      </c>
      <c r="D30" s="537" t="str">
        <f>ROUNDUP(MONTH(D62)/3,0)&amp;"Q"&amp;YEAR(D62)-2000</f>
        <v>4Q17</v>
      </c>
      <c r="E30" s="537" t="str">
        <f>ROUNDUP(MONTH(E62)/3,0)&amp;"Q"&amp;YEAR(E62)-2000</f>
        <v>1Q18</v>
      </c>
      <c r="F30" s="537" t="str">
        <f t="shared" ref="F30:H30" si="4">ROUNDUP(MONTH(F62)/3,0)&amp;"Q"&amp;YEAR(F62)-2000&amp;"e"</f>
        <v>2Q18e</v>
      </c>
      <c r="G30" s="537" t="str">
        <f t="shared" si="4"/>
        <v>3Q18e</v>
      </c>
      <c r="H30" s="537" t="str">
        <f t="shared" si="4"/>
        <v>4Q18e</v>
      </c>
      <c r="I30" s="38"/>
      <c r="J30" s="360"/>
    </row>
    <row r="31" spans="1:16">
      <c r="A31" s="26"/>
      <c r="B31" s="5" t="s">
        <v>256</v>
      </c>
      <c r="C31" s="437"/>
      <c r="D31" s="437"/>
      <c r="G31" s="437"/>
      <c r="H31" s="437"/>
      <c r="I31" s="38"/>
      <c r="J31" s="44" t="s">
        <v>569</v>
      </c>
      <c r="K31" s="429">
        <f>Financials!$BV$130</f>
        <v>223.81100000000001</v>
      </c>
      <c r="L31" s="429">
        <f>Financials!$CA$130</f>
        <v>51.314999999999998</v>
      </c>
      <c r="M31" s="429">
        <f>Financials!$CF$130</f>
        <v>617.95899999999995</v>
      </c>
      <c r="N31" s="429">
        <f>Financials!$CK$130</f>
        <v>552.83299999999997</v>
      </c>
      <c r="O31" s="429">
        <f>Financials!$CP$130</f>
        <v>0</v>
      </c>
      <c r="P31" s="429">
        <f>Financials!$CU$130</f>
        <v>0</v>
      </c>
    </row>
    <row r="32" spans="1:16">
      <c r="A32" s="26"/>
      <c r="B32" s="60" t="s">
        <v>164</v>
      </c>
      <c r="C32" s="424">
        <f>Operations!CI18</f>
        <v>695</v>
      </c>
      <c r="D32" s="424">
        <f>Operations!CJ18</f>
        <v>691</v>
      </c>
      <c r="E32" s="424">
        <f>Operations!CL18</f>
        <v>723</v>
      </c>
      <c r="F32" s="424">
        <f>Operations!CM18</f>
        <v>870.24999999999989</v>
      </c>
      <c r="G32" s="424">
        <f>Operations!CN18</f>
        <v>907.1875</v>
      </c>
      <c r="H32" s="424">
        <f>Operations!CO18</f>
        <v>882.71562499999993</v>
      </c>
      <c r="I32" s="30"/>
      <c r="J32" s="44" t="s">
        <v>553</v>
      </c>
      <c r="K32" s="429">
        <f>Financials!$BV$136</f>
        <v>4360.6000000000004</v>
      </c>
      <c r="L32" s="429">
        <f>Financials!$CA$136</f>
        <v>4360.6000000000004</v>
      </c>
      <c r="M32" s="429">
        <f>Financials!$CF$136</f>
        <v>3739.1410000000001</v>
      </c>
      <c r="N32" s="429">
        <f>Financials!$CK$136</f>
        <v>3242.2420000000002</v>
      </c>
      <c r="O32" s="429">
        <f>Financials!$CP$136</f>
        <v>4360.6000000000004</v>
      </c>
      <c r="P32" s="429">
        <f>Financials!$CU$136</f>
        <v>4360.6000000000004</v>
      </c>
    </row>
    <row r="33" spans="1:16">
      <c r="A33" s="26"/>
      <c r="B33" s="60" t="s">
        <v>165</v>
      </c>
      <c r="C33" s="424">
        <f>Operations!CI38</f>
        <v>4698</v>
      </c>
      <c r="D33" s="424">
        <f>Operations!CJ38</f>
        <v>4629</v>
      </c>
      <c r="E33" s="424">
        <f>Operations!CL38</f>
        <v>5016</v>
      </c>
      <c r="F33" s="424">
        <f>Operations!CM38</f>
        <v>5047.4799999999996</v>
      </c>
      <c r="G33" s="424">
        <f>Operations!CN38</f>
        <v>4789.21</v>
      </c>
      <c r="H33" s="424">
        <f>Operations!CO38</f>
        <v>4718.71</v>
      </c>
      <c r="I33" s="30"/>
      <c r="J33" s="44" t="s">
        <v>66</v>
      </c>
      <c r="K33" s="429">
        <f>Financials!$BV$129</f>
        <v>993.87199999999996</v>
      </c>
      <c r="L33" s="429">
        <f>Financials!$CA$129</f>
        <v>566.52700000000004</v>
      </c>
      <c r="M33" s="429">
        <f>Financials!$CF$129</f>
        <v>838.10900000000004</v>
      </c>
      <c r="N33" s="429">
        <f>Financials!$CK$129</f>
        <v>1181.346</v>
      </c>
      <c r="O33" s="429">
        <f>Financials!$CP$129</f>
        <v>1468.1838947618396</v>
      </c>
      <c r="P33" s="429">
        <f>Financials!$CU$129</f>
        <v>1474.6390259014936</v>
      </c>
    </row>
    <row r="34" spans="1:16">
      <c r="A34" s="26"/>
      <c r="B34" s="61" t="s">
        <v>28</v>
      </c>
      <c r="C34" s="438">
        <f>Operations!CI63</f>
        <v>0.87942354665363942</v>
      </c>
      <c r="D34" s="438">
        <f>Operations!CJ63</f>
        <v>0.86430288226673169</v>
      </c>
      <c r="E34" s="438">
        <f>Operations!CL63</f>
        <v>0.91398551810237194</v>
      </c>
      <c r="F34" s="438">
        <f>Operations!CM63</f>
        <v>0.90961478447434685</v>
      </c>
      <c r="G34" s="438">
        <f>Operations!CN63</f>
        <v>0.85369030511839383</v>
      </c>
      <c r="H34" s="438">
        <f>Operations!CO63</f>
        <v>0.84112347958540479</v>
      </c>
      <c r="I34" s="30"/>
      <c r="J34" s="41" t="s">
        <v>253</v>
      </c>
      <c r="K34" s="429">
        <f>Financials!$BV$134-SUM(K33,K31)</f>
        <v>880.09299999999985</v>
      </c>
      <c r="L34" s="429">
        <f>Financials!$CA$134-L31-L33</f>
        <v>767.33100000000013</v>
      </c>
      <c r="M34" s="429">
        <f>Financials!$CF$134-M33-M31</f>
        <v>933.89800000000002</v>
      </c>
      <c r="N34" s="429">
        <f>Financials!$CK$134-N33-N31</f>
        <v>1090.585</v>
      </c>
      <c r="O34" s="429">
        <f>Financials!$CP$134-O33-O31</f>
        <v>1111.517189922942</v>
      </c>
      <c r="P34" s="429">
        <f>Financials!$CU$134-P33-P31</f>
        <v>1084.8120853458961</v>
      </c>
    </row>
    <row r="35" spans="1:16">
      <c r="A35" s="26"/>
      <c r="B35" s="5" t="s">
        <v>257</v>
      </c>
      <c r="C35" s="439"/>
      <c r="D35" s="439"/>
      <c r="E35" s="439"/>
      <c r="F35" s="439"/>
      <c r="G35" s="439"/>
      <c r="H35" s="439"/>
      <c r="I35" s="30"/>
      <c r="J35" s="44" t="s">
        <v>82</v>
      </c>
      <c r="K35" s="424">
        <f>K38-SUM(K36:K37)-SUM(K31:K34)</f>
        <v>1082.4330000000009</v>
      </c>
      <c r="L35" s="424">
        <f t="shared" ref="L35:P35" si="5">L38-SUM(L36:L37)-SUM(L31:L34)</f>
        <v>718.61299999999937</v>
      </c>
      <c r="M35" s="424">
        <f t="shared" si="5"/>
        <v>839.70299999999861</v>
      </c>
      <c r="N35" s="424">
        <f t="shared" si="5"/>
        <v>689.46399999999721</v>
      </c>
      <c r="O35" s="424">
        <f t="shared" si="5"/>
        <v>710.88100000000395</v>
      </c>
      <c r="P35" s="424">
        <f t="shared" si="5"/>
        <v>710.88100000000031</v>
      </c>
    </row>
    <row r="36" spans="1:16">
      <c r="A36" s="26"/>
      <c r="B36" s="62" t="s">
        <v>572</v>
      </c>
      <c r="C36" s="424">
        <f>Financials!CI15</f>
        <v>5170.1170000000002</v>
      </c>
      <c r="D36" s="424">
        <f>Financials!CJ15</f>
        <v>5092.3280000000004</v>
      </c>
      <c r="E36" s="424">
        <f>Financials!CL15</f>
        <v>5568.4189999999999</v>
      </c>
      <c r="F36" s="424">
        <f>Financials!CM15</f>
        <v>6597.9083088509942</v>
      </c>
      <c r="G36" s="424">
        <f>Financials!CN15</f>
        <v>6737.6566576219666</v>
      </c>
      <c r="H36" s="424">
        <f>Financials!CO15</f>
        <v>6579.9601327958853</v>
      </c>
      <c r="I36" s="30"/>
      <c r="J36" s="44" t="s">
        <v>547</v>
      </c>
      <c r="K36" s="424">
        <f>Financials!$BV$147</f>
        <v>302.64800000000002</v>
      </c>
      <c r="L36" s="424">
        <f>Financials!$CA$147</f>
        <v>369.13499999999999</v>
      </c>
      <c r="M36" s="424">
        <f>Financials!$CF$147</f>
        <v>374.84300000000002</v>
      </c>
      <c r="N36" s="424">
        <f>Financials!$CK$147</f>
        <v>345.75200000000001</v>
      </c>
      <c r="O36" s="424">
        <f>Financials!$CP$147</f>
        <v>387.46199999999999</v>
      </c>
      <c r="P36" s="424">
        <f>Financials!$CU$147</f>
        <v>421.23900000000003</v>
      </c>
    </row>
    <row r="37" spans="1:16">
      <c r="A37" s="26"/>
      <c r="B37" s="60" t="s">
        <v>62</v>
      </c>
      <c r="C37" s="424">
        <f>Financials!CI97</f>
        <v>600.46</v>
      </c>
      <c r="D37" s="424">
        <f>Financials!CJ97</f>
        <v>548.17099999999982</v>
      </c>
      <c r="E37" s="424">
        <f>Financials!CL97</f>
        <v>748.82600000000002</v>
      </c>
      <c r="F37" s="424">
        <f>Financials!CM97</f>
        <v>962.59615184840584</v>
      </c>
      <c r="G37" s="424">
        <f>Financials!CN97</f>
        <v>979.40742906253331</v>
      </c>
      <c r="H37" s="424">
        <f>Financials!CO97</f>
        <v>915.8100981036805</v>
      </c>
      <c r="I37" s="30"/>
      <c r="J37" s="47" t="s">
        <v>405</v>
      </c>
      <c r="K37" s="424">
        <f>Financials!$BV$149-K36</f>
        <v>7772.47</v>
      </c>
      <c r="L37" s="424">
        <f>Financials!$CA$149-L36</f>
        <v>7416.8780000000015</v>
      </c>
      <c r="M37" s="424">
        <f>Financials!$CF$149-M36</f>
        <v>7879.8650000000007</v>
      </c>
      <c r="N37" s="424">
        <f>Financials!$CK$149-N36</f>
        <v>8739.0360000000019</v>
      </c>
      <c r="O37" s="424">
        <f>Financials!$CP$149-O36</f>
        <v>10225.090551920615</v>
      </c>
      <c r="P37" s="424">
        <f>Financials!$CU$149-P36</f>
        <v>11671.164383179883</v>
      </c>
    </row>
    <row r="38" spans="1:16">
      <c r="A38" s="26"/>
      <c r="B38" s="60" t="s">
        <v>107</v>
      </c>
      <c r="C38" s="424">
        <f>Financials!CI31</f>
        <v>420.96500000000003</v>
      </c>
      <c r="D38" s="424">
        <f>Financials!CJ31</f>
        <v>364.32599999999996</v>
      </c>
      <c r="E38" s="424">
        <f>Financials!CL31</f>
        <v>574.82600000000002</v>
      </c>
      <c r="F38" s="424">
        <f>Financials!CM31</f>
        <v>788.59615184840584</v>
      </c>
      <c r="G38" s="424">
        <f>Financials!CN31</f>
        <v>805.40742906253331</v>
      </c>
      <c r="H38" s="424">
        <f>Financials!CO31</f>
        <v>741.8100981036805</v>
      </c>
      <c r="I38" s="30"/>
      <c r="J38" s="48" t="s">
        <v>68</v>
      </c>
      <c r="K38" s="450">
        <f>K29</f>
        <v>15615.927000000001</v>
      </c>
      <c r="L38" s="450">
        <f t="shared" ref="L38:P38" si="6">L29</f>
        <v>14250.399000000001</v>
      </c>
      <c r="M38" s="450">
        <f t="shared" si="6"/>
        <v>15223.518</v>
      </c>
      <c r="N38" s="450">
        <f t="shared" si="6"/>
        <v>15841.258</v>
      </c>
      <c r="O38" s="450">
        <f t="shared" si="6"/>
        <v>18263.734636605401</v>
      </c>
      <c r="P38" s="450">
        <f t="shared" si="6"/>
        <v>19723.335494427272</v>
      </c>
    </row>
    <row r="39" spans="1:16">
      <c r="A39" s="26"/>
      <c r="B39" s="60" t="s">
        <v>204</v>
      </c>
      <c r="C39" s="430">
        <f>Financials!CI60</f>
        <v>0.7959147407899293</v>
      </c>
      <c r="D39" s="430">
        <f>Financials!CJ60</f>
        <v>0.65222663587182428</v>
      </c>
      <c r="E39" s="430">
        <f>Financials!CL60</f>
        <v>1.1731965775694753</v>
      </c>
      <c r="F39" s="430">
        <f>Financials!CM60</f>
        <v>1.6981154356404065</v>
      </c>
      <c r="G39" s="430">
        <f>Financials!CN60</f>
        <v>1.746819218181854</v>
      </c>
      <c r="H39" s="430">
        <f>Financials!CO60</f>
        <v>1.5997586709281488</v>
      </c>
      <c r="I39" s="30"/>
      <c r="J39" s="49"/>
      <c r="K39" s="444"/>
      <c r="L39" s="444"/>
      <c r="M39" s="444"/>
      <c r="N39" s="444"/>
      <c r="O39" s="444"/>
      <c r="P39" s="444"/>
    </row>
    <row r="40" spans="1:16">
      <c r="A40" s="26"/>
      <c r="B40" s="43" t="s">
        <v>540</v>
      </c>
      <c r="C40" s="440">
        <f>Financials!CI92</f>
        <v>0.83706661927965531</v>
      </c>
      <c r="D40" s="440">
        <f>Financials!CJ92</f>
        <v>1.199783102632459</v>
      </c>
      <c r="E40" s="440">
        <f>Financials!CL92</f>
        <v>1.1051723384736358</v>
      </c>
      <c r="F40" s="440">
        <f>Financials!CM92</f>
        <v>1.6981154356404065</v>
      </c>
      <c r="G40" s="440">
        <f>Financials!CN92</f>
        <v>1.746819218181854</v>
      </c>
      <c r="H40" s="440">
        <f>Financials!CO92</f>
        <v>1.5997586709281488</v>
      </c>
      <c r="I40" s="30"/>
      <c r="J40" s="738" t="s">
        <v>613</v>
      </c>
      <c r="K40" s="741"/>
      <c r="L40" s="741"/>
      <c r="M40" s="741"/>
      <c r="N40" s="741"/>
      <c r="O40" s="742"/>
      <c r="P40" s="742"/>
    </row>
    <row r="41" spans="1:16">
      <c r="A41" s="26"/>
      <c r="B41" s="30"/>
      <c r="C41" s="441"/>
      <c r="D41" s="441"/>
      <c r="E41" s="441"/>
      <c r="F41" s="441"/>
      <c r="G41" s="441"/>
      <c r="H41" s="441"/>
      <c r="I41" s="30"/>
      <c r="J41" s="65" t="str">
        <f>+$J$6</f>
        <v>Year End December (US$M)</v>
      </c>
      <c r="K41" s="436">
        <f t="shared" ref="K41:P41" si="7">+K21</f>
        <v>2014</v>
      </c>
      <c r="L41" s="436">
        <f t="shared" si="7"/>
        <v>2015</v>
      </c>
      <c r="M41" s="436">
        <f t="shared" si="7"/>
        <v>2016</v>
      </c>
      <c r="N41" s="436">
        <f t="shared" si="7"/>
        <v>2017</v>
      </c>
      <c r="O41" s="436" t="str">
        <f t="shared" si="7"/>
        <v>2018E</v>
      </c>
      <c r="P41" s="436" t="str">
        <f t="shared" si="7"/>
        <v>2019E</v>
      </c>
    </row>
    <row r="42" spans="1:16">
      <c r="A42" s="26"/>
      <c r="B42" s="738" t="s">
        <v>67</v>
      </c>
      <c r="C42" s="741"/>
      <c r="D42" s="741"/>
      <c r="E42" s="741"/>
      <c r="F42" s="741"/>
      <c r="G42" s="742"/>
      <c r="H42" s="742"/>
      <c r="I42" s="30"/>
      <c r="J42" s="39" t="s">
        <v>102</v>
      </c>
      <c r="K42" s="429">
        <f>Financials!$BV$192</f>
        <v>815.79000000000008</v>
      </c>
      <c r="L42" s="429">
        <f>Financials!$CA$192</f>
        <v>496.08400000000012</v>
      </c>
      <c r="M42" s="429">
        <f>Financials!$CF$192</f>
        <v>832.46599999999978</v>
      </c>
      <c r="N42" s="429">
        <f>Financials!$CK$192</f>
        <v>1394.221</v>
      </c>
      <c r="O42" s="429">
        <f>Financials!$CP$192</f>
        <v>2059.216185225614</v>
      </c>
      <c r="P42" s="429">
        <f>Financials!$CU$192</f>
        <v>2014.1280089992686</v>
      </c>
    </row>
    <row r="43" spans="1:16">
      <c r="A43" s="26"/>
      <c r="B43" s="65" t="str">
        <f>+$B$30</f>
        <v>Year End December</v>
      </c>
      <c r="C43" s="436">
        <f t="shared" ref="C43:H43" si="8">+C23</f>
        <v>2014</v>
      </c>
      <c r="D43" s="436">
        <f t="shared" si="8"/>
        <v>2015</v>
      </c>
      <c r="E43" s="436">
        <f t="shared" si="8"/>
        <v>2016</v>
      </c>
      <c r="F43" s="436">
        <f t="shared" si="8"/>
        <v>2017</v>
      </c>
      <c r="G43" s="436" t="str">
        <f t="shared" si="8"/>
        <v>2018E</v>
      </c>
      <c r="H43" s="436" t="str">
        <f t="shared" si="8"/>
        <v>2019E</v>
      </c>
      <c r="I43" s="30"/>
      <c r="J43" s="39" t="s">
        <v>192</v>
      </c>
      <c r="K43" s="429">
        <f>K9</f>
        <v>724.423</v>
      </c>
      <c r="L43" s="429">
        <f t="shared" ref="L43:P43" si="9">L9</f>
        <v>700.01699999999994</v>
      </c>
      <c r="M43" s="429">
        <f t="shared" si="9"/>
        <v>687.05399999999997</v>
      </c>
      <c r="N43" s="429">
        <f t="shared" si="9"/>
        <v>727.06099999999992</v>
      </c>
      <c r="O43" s="429">
        <f t="shared" si="9"/>
        <v>696</v>
      </c>
      <c r="P43" s="429">
        <f t="shared" si="9"/>
        <v>696</v>
      </c>
    </row>
    <row r="44" spans="1:16">
      <c r="A44" s="26"/>
      <c r="B44" s="39" t="s">
        <v>203</v>
      </c>
      <c r="C44" s="424">
        <f>Financials!$BV$63</f>
        <v>320.13375000000002</v>
      </c>
      <c r="D44" s="424">
        <f>Financials!$CA$63</f>
        <v>320.69450000000001</v>
      </c>
      <c r="E44" s="424">
        <f>Financials!$CF$63</f>
        <v>319.822</v>
      </c>
      <c r="F44" s="424">
        <f>Financials!$CK$63</f>
        <v>320.77549999999997</v>
      </c>
      <c r="G44" s="424">
        <f>Financials!$CP$63</f>
        <v>319.3457555</v>
      </c>
      <c r="H44" s="424">
        <f>Financials!$CU$63</f>
        <v>318.969674</v>
      </c>
      <c r="I44" s="30"/>
      <c r="J44" s="39" t="s">
        <v>304</v>
      </c>
      <c r="K44" s="429">
        <f>K46-K45-K42-K43</f>
        <v>202.87399999999991</v>
      </c>
      <c r="L44" s="429">
        <f t="shared" ref="L44:P44" si="10">L46-L45-L42-L43</f>
        <v>217.91200000000015</v>
      </c>
      <c r="M44" s="429">
        <f t="shared" si="10"/>
        <v>197.08300000000008</v>
      </c>
      <c r="N44" s="429">
        <f t="shared" si="10"/>
        <v>-130.4369999999999</v>
      </c>
      <c r="O44" s="429">
        <f t="shared" si="10"/>
        <v>-65.084283794940802</v>
      </c>
      <c r="P44" s="429">
        <f t="shared" si="10"/>
        <v>24.513688367923578</v>
      </c>
    </row>
    <row r="45" spans="1:16">
      <c r="A45" s="26"/>
      <c r="B45" s="39" t="s">
        <v>204</v>
      </c>
      <c r="C45" s="425">
        <f>+K17</f>
        <v>2.3137079423834557</v>
      </c>
      <c r="D45" s="425">
        <f>+L17</f>
        <v>1.7599272828190071</v>
      </c>
      <c r="E45" s="425">
        <f>+M17</f>
        <v>2.2233023369249141</v>
      </c>
      <c r="F45" s="425">
        <f>+N17</f>
        <v>3.5872440382759909</v>
      </c>
      <c r="G45" s="425">
        <f>+O17</f>
        <v>6.2160938451101924</v>
      </c>
      <c r="H45" s="425">
        <f t="shared" ref="H45" si="11">+P17</f>
        <v>6.0385929008388066</v>
      </c>
      <c r="I45" s="30"/>
      <c r="J45" s="44" t="s">
        <v>84</v>
      </c>
      <c r="K45" s="429">
        <f>Financials!$BV$203</f>
        <v>-400.18899999999996</v>
      </c>
      <c r="L45" s="429">
        <f>Financials!$CA$203</f>
        <v>743.03</v>
      </c>
      <c r="M45" s="429">
        <f>Financials!$CF$203</f>
        <v>20.929999999999978</v>
      </c>
      <c r="N45" s="429">
        <f>Financials!$CK$203</f>
        <v>-939.58200000000011</v>
      </c>
      <c r="O45" s="429">
        <f>Financials!$CP$203</f>
        <v>-995.33101549693208</v>
      </c>
      <c r="P45" s="429">
        <f>Financials!$CU$203</f>
        <v>23.809834466567963</v>
      </c>
    </row>
    <row r="46" spans="1:16">
      <c r="A46" s="26"/>
      <c r="B46" s="39" t="s">
        <v>22</v>
      </c>
      <c r="C46" s="426">
        <f>C45/Financials!BQ60-1</f>
        <v>0.55241135494414784</v>
      </c>
      <c r="D46" s="426">
        <f>D45/C45-1</f>
        <v>-0.23934769355287511</v>
      </c>
      <c r="E46" s="426">
        <f>E45/D45-1</f>
        <v>0.26329215907357528</v>
      </c>
      <c r="F46" s="426">
        <f>F45/E45-1</f>
        <v>0.6134755848084823</v>
      </c>
      <c r="G46" s="426">
        <f>G45/F45-1</f>
        <v>0.73283272026778845</v>
      </c>
      <c r="H46" s="426">
        <f>H45/G45-1</f>
        <v>-2.8555061859468989E-2</v>
      </c>
      <c r="I46" s="30"/>
      <c r="J46" s="50" t="s">
        <v>85</v>
      </c>
      <c r="K46" s="446">
        <f>Financials!$BV$206</f>
        <v>1342.8980000000001</v>
      </c>
      <c r="L46" s="446">
        <f>Financials!$CA$206</f>
        <v>2157.0430000000001</v>
      </c>
      <c r="M46" s="446">
        <f>Financials!$CF$206</f>
        <v>1737.5329999999999</v>
      </c>
      <c r="N46" s="446">
        <f>Financials!$CK$206</f>
        <v>1051.2629999999999</v>
      </c>
      <c r="O46" s="446">
        <f>Financials!$CP$206</f>
        <v>1694.800885933741</v>
      </c>
      <c r="P46" s="446">
        <f>Financials!$CU$206</f>
        <v>2758.4515318337599</v>
      </c>
    </row>
    <row r="47" spans="1:16">
      <c r="A47" s="26"/>
      <c r="B47" s="39" t="s">
        <v>243</v>
      </c>
      <c r="C47" s="427">
        <f t="shared" ref="C47:G47" si="12">C63/C45</f>
        <v>27.177155270178336</v>
      </c>
      <c r="D47" s="427">
        <f t="shared" si="12"/>
        <v>35.728748916989574</v>
      </c>
      <c r="E47" s="427">
        <f t="shared" si="12"/>
        <v>28.282253365041825</v>
      </c>
      <c r="F47" s="427">
        <f t="shared" si="12"/>
        <v>17.528776779351698</v>
      </c>
      <c r="G47" s="427">
        <f t="shared" si="12"/>
        <v>10.115677395936311</v>
      </c>
      <c r="H47" s="427">
        <f t="shared" ref="H47" si="13">H63/H45</f>
        <v>10.413021879859709</v>
      </c>
      <c r="I47" s="30"/>
      <c r="J47" s="360"/>
    </row>
    <row r="48" spans="1:16">
      <c r="A48" s="26"/>
      <c r="B48" s="39" t="s">
        <v>244</v>
      </c>
      <c r="C48" s="427">
        <f t="shared" ref="C48:H48" si="14">C63/(K37/C44)</f>
        <v>2.5899115982435443</v>
      </c>
      <c r="D48" s="427">
        <f t="shared" si="14"/>
        <v>2.7188353590284211</v>
      </c>
      <c r="E48" s="427">
        <f t="shared" si="14"/>
        <v>2.5521258752529392</v>
      </c>
      <c r="F48" s="427">
        <f t="shared" si="14"/>
        <v>2.3080764789159804</v>
      </c>
      <c r="G48" s="427">
        <f t="shared" si="14"/>
        <v>1.9638418852015167</v>
      </c>
      <c r="H48" s="427">
        <f t="shared" si="14"/>
        <v>1.718492897763076</v>
      </c>
      <c r="I48" s="30"/>
      <c r="J48" s="54" t="s">
        <v>52</v>
      </c>
      <c r="K48" s="429">
        <f>Financials!$BV$210</f>
        <v>-768.58100000000002</v>
      </c>
      <c r="L48" s="429">
        <f>Financials!$CA$210</f>
        <v>-19.088999999999999</v>
      </c>
      <c r="M48" s="429">
        <f>Financials!$CF$210</f>
        <v>-474.78800000000001</v>
      </c>
      <c r="N48" s="429">
        <f>Financials!$CK$210</f>
        <v>-544.04100000000005</v>
      </c>
      <c r="O48" s="429">
        <f>Financials!$CP$210</f>
        <v>0</v>
      </c>
      <c r="P48" s="429">
        <f>Financials!$CU$210</f>
        <v>0</v>
      </c>
    </row>
    <row r="49" spans="1:20">
      <c r="A49" s="26"/>
      <c r="B49" s="39" t="s">
        <v>418</v>
      </c>
      <c r="C49" s="424">
        <f t="shared" ref="C49:H49" si="15">(C44*C63)+C56+K36</f>
        <v>23992.925200000001</v>
      </c>
      <c r="D49" s="424">
        <f t="shared" si="15"/>
        <v>23006.851159999998</v>
      </c>
      <c r="E49" s="424">
        <f t="shared" si="15"/>
        <v>22796.389360000001</v>
      </c>
      <c r="F49" s="424">
        <f t="shared" si="15"/>
        <v>23362.086439999999</v>
      </c>
      <c r="G49" s="424">
        <f t="shared" si="15"/>
        <v>23153.723853211257</v>
      </c>
      <c r="H49" s="424">
        <f t="shared" si="15"/>
        <v>21804.6784943975</v>
      </c>
      <c r="I49" s="30"/>
      <c r="J49" s="44" t="s">
        <v>53</v>
      </c>
      <c r="K49" s="429">
        <f>Financials!$BV$209</f>
        <v>-667.98199999999997</v>
      </c>
      <c r="L49" s="429">
        <f>Financials!$CA$209</f>
        <v>-374.12299999999999</v>
      </c>
      <c r="M49" s="429">
        <f>Financials!$CF$209</f>
        <v>-604.84</v>
      </c>
      <c r="N49" s="429">
        <f>Financials!$CK$209</f>
        <v>-448.55500000000001</v>
      </c>
      <c r="O49" s="429">
        <f>Financials!$CP$209</f>
        <v>-978.76599999999996</v>
      </c>
      <c r="P49" s="429">
        <f>Financials!$CU$209</f>
        <v>-865</v>
      </c>
    </row>
    <row r="50" spans="1:20">
      <c r="A50" s="26"/>
      <c r="B50" s="39" t="s">
        <v>69</v>
      </c>
      <c r="C50" s="428">
        <f t="shared" ref="C50:H50" si="16">C49/K11</f>
        <v>11.318720267804409</v>
      </c>
      <c r="D50" s="428">
        <f t="shared" si="16"/>
        <v>12.641689635637629</v>
      </c>
      <c r="E50" s="428">
        <f t="shared" si="16"/>
        <v>11.316601979726176</v>
      </c>
      <c r="F50" s="428">
        <f t="shared" si="16"/>
        <v>8.7582162576365121</v>
      </c>
      <c r="G50" s="428">
        <f t="shared" si="16"/>
        <v>6.419749660031786</v>
      </c>
      <c r="H50" s="428">
        <f t="shared" si="16"/>
        <v>6.2256543195234064</v>
      </c>
      <c r="I50" s="30"/>
      <c r="J50" s="44" t="s">
        <v>304</v>
      </c>
      <c r="K50" s="429">
        <f>K51-K48-K49</f>
        <v>-1.49899999999991</v>
      </c>
      <c r="L50" s="429">
        <f t="shared" ref="L50:P50" si="17">L51-L48-L49</f>
        <v>-48.484000000000037</v>
      </c>
      <c r="M50" s="429">
        <f t="shared" si="17"/>
        <v>54.509999999999877</v>
      </c>
      <c r="N50" s="429">
        <f t="shared" si="17"/>
        <v>73.704000000000121</v>
      </c>
      <c r="O50" s="429">
        <f t="shared" si="17"/>
        <v>1.04099999999994</v>
      </c>
      <c r="P50" s="429">
        <f t="shared" si="17"/>
        <v>0</v>
      </c>
    </row>
    <row r="51" spans="1:20">
      <c r="A51" s="26"/>
      <c r="B51" s="39" t="s">
        <v>205</v>
      </c>
      <c r="C51" s="425">
        <f>Financials!$BV$65</f>
        <v>1.4824999999999999</v>
      </c>
      <c r="D51" s="425">
        <f>Financials!$CA$65</f>
        <v>1.49</v>
      </c>
      <c r="E51" s="425">
        <f>Financials!$CF$65</f>
        <v>1.5024999999999999</v>
      </c>
      <c r="F51" s="425">
        <f>Financials!$CK$65</f>
        <v>1.51</v>
      </c>
      <c r="G51" s="425">
        <f>Financials!$CP$65</f>
        <v>1.51</v>
      </c>
      <c r="H51" s="425">
        <f>Financials!$CU$65</f>
        <v>1.51</v>
      </c>
      <c r="I51" s="30"/>
      <c r="J51" s="50" t="s">
        <v>54</v>
      </c>
      <c r="K51" s="446">
        <f>Financials!$BV$214</f>
        <v>-1438.0619999999999</v>
      </c>
      <c r="L51" s="446">
        <f>Financials!$CA$214</f>
        <v>-441.69600000000003</v>
      </c>
      <c r="M51" s="446">
        <f>Financials!$CF$214</f>
        <v>-1025.1180000000002</v>
      </c>
      <c r="N51" s="446">
        <f>Financials!$CK$214</f>
        <v>-918.89199999999994</v>
      </c>
      <c r="O51" s="446">
        <f>Financials!$CP$214</f>
        <v>-977.72500000000002</v>
      </c>
      <c r="P51" s="446">
        <f>Financials!$CU$214</f>
        <v>-865</v>
      </c>
    </row>
    <row r="52" spans="1:20">
      <c r="A52" s="26"/>
      <c r="B52" s="39" t="s">
        <v>206</v>
      </c>
      <c r="C52" s="426">
        <f t="shared" ref="C52:G52" si="18">C51/C45</f>
        <v>0.64074638498790359</v>
      </c>
      <c r="D52" s="426">
        <f t="shared" si="18"/>
        <v>0.84662588877726563</v>
      </c>
      <c r="E52" s="426">
        <f t="shared" si="18"/>
        <v>0.67579652800533296</v>
      </c>
      <c r="F52" s="426">
        <f t="shared" si="18"/>
        <v>0.42093595637438075</v>
      </c>
      <c r="G52" s="426">
        <f t="shared" si="18"/>
        <v>0.24291782550674029</v>
      </c>
      <c r="H52" s="426">
        <f t="shared" ref="H52" si="19">H51/H45</f>
        <v>0.2500582544304733</v>
      </c>
      <c r="I52" s="30"/>
      <c r="J52" s="360"/>
      <c r="Q52" s="429"/>
      <c r="R52" s="429"/>
      <c r="S52" s="429"/>
      <c r="T52" s="429"/>
    </row>
    <row r="53" spans="1:20">
      <c r="A53" s="26"/>
      <c r="B53" s="39" t="s">
        <v>611</v>
      </c>
      <c r="C53" s="426">
        <f t="shared" ref="C53:G53" si="20">+C51/C63</f>
        <v>2.3576653944020354E-2</v>
      </c>
      <c r="D53" s="426">
        <f t="shared" si="20"/>
        <v>2.3695928753180662E-2</v>
      </c>
      <c r="E53" s="426">
        <f t="shared" si="20"/>
        <v>2.3894720101781168E-2</v>
      </c>
      <c r="F53" s="426">
        <f t="shared" si="20"/>
        <v>2.4013994910941475E-2</v>
      </c>
      <c r="G53" s="426">
        <f t="shared" si="20"/>
        <v>2.4013994910941475E-2</v>
      </c>
      <c r="H53" s="426">
        <f t="shared" ref="H53" si="21">+H51/H63</f>
        <v>2.4013994910941475E-2</v>
      </c>
      <c r="I53" s="30"/>
      <c r="J53" s="44" t="s">
        <v>55</v>
      </c>
      <c r="K53" s="429">
        <f>Financials!BV218+Financials!BV219</f>
        <v>5.6139999999999999</v>
      </c>
      <c r="L53" s="429">
        <f>Financials!CA218+Financials!CA219</f>
        <v>-66.081999999999994</v>
      </c>
      <c r="M53" s="429">
        <f>Financials!CF218+Financials!CF219</f>
        <v>10.577999999999999</v>
      </c>
      <c r="N53" s="429">
        <f>Financials!CK218+Financials!CK219</f>
        <v>-79.159000000000006</v>
      </c>
      <c r="O53" s="429">
        <f>Financials!CP218+Financials!CP219</f>
        <v>-13.881000000000002</v>
      </c>
      <c r="P53" s="429">
        <f>Financials!CU218+Financials!CU219</f>
        <v>0</v>
      </c>
      <c r="Q53" s="429"/>
      <c r="R53" s="429"/>
      <c r="S53" s="429"/>
      <c r="T53" s="429"/>
    </row>
    <row r="54" spans="1:20">
      <c r="A54" s="26"/>
      <c r="B54" s="39" t="s">
        <v>388</v>
      </c>
      <c r="C54" s="426">
        <f>K16/(Financials!BQ149-Financials!BQ147)</f>
        <v>9.6876586253128977E-2</v>
      </c>
      <c r="D54" s="426">
        <f>L16/K37</f>
        <v>7.2615140360786229E-2</v>
      </c>
      <c r="E54" s="426">
        <f>M16/L37</f>
        <v>9.5870661483173872E-2</v>
      </c>
      <c r="F54" s="426">
        <f>N16/M37</f>
        <v>0.14603042057192603</v>
      </c>
      <c r="G54" s="426">
        <f>O16/N37</f>
        <v>0.22715127677991184</v>
      </c>
      <c r="H54" s="426">
        <f>P16/O37</f>
        <v>0.18837270919204496</v>
      </c>
      <c r="I54" s="51"/>
      <c r="J54" s="44" t="s">
        <v>56</v>
      </c>
      <c r="K54" s="429">
        <f>Financials!BV220+Financials!BV221+Financials!BV222+Financials!BV223</f>
        <v>172.95</v>
      </c>
      <c r="L54" s="429">
        <f>Financials!CA220+Financials!CA221+Financials!CA222+Financials!CA223</f>
        <v>-172.11600000000001</v>
      </c>
      <c r="M54" s="429">
        <f>Financials!CF220+Financials!CF221+Financials!CF222+Financials!CF223</f>
        <v>-33.36</v>
      </c>
      <c r="N54" s="429">
        <f>Financials!CK220+Financials!CK221+Financials!CK222+Financials!CK223</f>
        <v>-565.12800000000004</v>
      </c>
      <c r="O54" s="429">
        <f>Financials!CP220+Financials!CP221+Financials!CP222+Financials!CP223</f>
        <v>564.9020000000005</v>
      </c>
      <c r="P54" s="429">
        <f>Financials!CU220+Financials!CU221+Financials!CU222+Financials!CU223</f>
        <v>0</v>
      </c>
    </row>
    <row r="55" spans="1:20">
      <c r="A55" s="26"/>
      <c r="B55" s="39" t="s">
        <v>24</v>
      </c>
      <c r="C55" s="426">
        <f>(Financials!BV31*(1-Financials!BV52))/(Financials!BQ149-Financials!BQ147+Financials!BQ130+Financials!BQ136-Financials!BQ113)</f>
        <v>9.0697814320328321E-2</v>
      </c>
      <c r="D55" s="426">
        <f>(Financials!CA41*(1-Financials!CA52))/(Summary!K37+Summary!K32+Summary!K31-Summary!K22)</f>
        <v>7.3388898576625394E-2</v>
      </c>
      <c r="E55" s="426">
        <f>(Financials!CF41*(1-Financials!CF52))/(Summary!L37+Summary!L32+Summary!L31-Summary!L22)</f>
        <v>9.3797932186205787E-2</v>
      </c>
      <c r="F55" s="426">
        <f>(Financials!CK41*(1-Financials!CK52))/(Summary!M37+Summary!M32+Summary!M31-Summary!M22)</f>
        <v>0.13067537296629528</v>
      </c>
      <c r="G55" s="426">
        <f>(Financials!CP41*(1-Financials!CP52))/(Summary!N37+Summary!N32+Summary!N31-Summary!N22)</f>
        <v>0.19032661300690421</v>
      </c>
      <c r="H55" s="426">
        <f>(Financials!CU41*(1-Financials!CU52))/(Summary!O37+Summary!O32+Summary!O31-Summary!O22)</f>
        <v>0.16519831643187122</v>
      </c>
      <c r="I55" s="51"/>
      <c r="J55" s="44" t="s">
        <v>304</v>
      </c>
      <c r="K55" s="429">
        <f>K56-K54-K53</f>
        <v>-537.61099999999999</v>
      </c>
      <c r="L55" s="429">
        <f t="shared" ref="L55:P55" si="22">L56-L54-L53</f>
        <v>-551.553</v>
      </c>
      <c r="M55" s="429">
        <f t="shared" si="22"/>
        <v>-591.18399999999997</v>
      </c>
      <c r="N55" s="429">
        <f t="shared" si="22"/>
        <v>-593.94400000000019</v>
      </c>
      <c r="O55" s="429">
        <f t="shared" si="22"/>
        <v>-542.32463330499991</v>
      </c>
      <c r="P55" s="429">
        <f t="shared" si="22"/>
        <v>-534.27717773999996</v>
      </c>
    </row>
    <row r="56" spans="1:20">
      <c r="A56" s="26"/>
      <c r="B56" s="39" t="s">
        <v>142</v>
      </c>
      <c r="C56" s="429">
        <f>K32+K31-K22</f>
        <v>3560.2669999999998</v>
      </c>
      <c r="D56" s="429">
        <f>L32+L31-L22</f>
        <v>2472.4459999999999</v>
      </c>
      <c r="E56" s="429">
        <f>M32+M31-M22</f>
        <v>2311.1390000000001</v>
      </c>
      <c r="F56" s="429">
        <f>N32+N31-N22</f>
        <v>2845.9710000000005</v>
      </c>
      <c r="G56" s="429">
        <f>O32+O31-O22</f>
        <v>2685.800747371256</v>
      </c>
      <c r="H56" s="429">
        <f t="shared" ref="H56" si="23">P32+P31-P22</f>
        <v>1326.6263932774959</v>
      </c>
      <c r="I56" s="26"/>
      <c r="J56" s="50" t="s">
        <v>129</v>
      </c>
      <c r="K56" s="446">
        <f>Financials!$BV$228</f>
        <v>-359.04699999999997</v>
      </c>
      <c r="L56" s="446">
        <f>Financials!$CA$228</f>
        <v>-789.75099999999998</v>
      </c>
      <c r="M56" s="446">
        <f>Financials!$CF$228</f>
        <v>-613.96600000000001</v>
      </c>
      <c r="N56" s="446">
        <f>Financials!$CK$228</f>
        <v>-1238.2310000000002</v>
      </c>
      <c r="O56" s="446">
        <f>Financials!$CP$228</f>
        <v>8.6963666950005702</v>
      </c>
      <c r="P56" s="446">
        <f>Financials!$CU$228</f>
        <v>-534.27717773999996</v>
      </c>
    </row>
    <row r="57" spans="1:20">
      <c r="A57" s="26"/>
      <c r="B57" s="39" t="s">
        <v>612</v>
      </c>
      <c r="C57" s="427">
        <f t="shared" ref="C57:H57" si="24">C56/(C56+K37)</f>
        <v>0.31415773612323306</v>
      </c>
      <c r="D57" s="427">
        <f t="shared" si="24"/>
        <v>0.25001162870182025</v>
      </c>
      <c r="E57" s="427">
        <f t="shared" si="24"/>
        <v>0.22678226796888706</v>
      </c>
      <c r="F57" s="427">
        <f t="shared" si="24"/>
        <v>0.24565984293319806</v>
      </c>
      <c r="G57" s="427">
        <f t="shared" si="24"/>
        <v>0.20802597474572226</v>
      </c>
      <c r="H57" s="427">
        <f t="shared" si="24"/>
        <v>0.10206552914210514</v>
      </c>
      <c r="I57" s="26"/>
      <c r="J57" s="360"/>
    </row>
    <row r="58" spans="1:20">
      <c r="A58" s="26"/>
      <c r="B58" s="39" t="s">
        <v>166</v>
      </c>
      <c r="C58" s="427">
        <f t="shared" ref="C58:H58" si="25">C56/K11</f>
        <v>1.6795645347860793</v>
      </c>
      <c r="D58" s="427">
        <f t="shared" si="25"/>
        <v>1.3585472760051409</v>
      </c>
      <c r="E58" s="427">
        <f t="shared" si="25"/>
        <v>1.1472974851321971</v>
      </c>
      <c r="F58" s="427">
        <f t="shared" si="25"/>
        <v>1.0669265155309497</v>
      </c>
      <c r="G58" s="427">
        <f t="shared" si="25"/>
        <v>0.74468230441723837</v>
      </c>
      <c r="H58" s="427">
        <f t="shared" si="25"/>
        <v>0.37877730404618898</v>
      </c>
      <c r="I58" s="4"/>
      <c r="J58" s="45" t="s">
        <v>57</v>
      </c>
      <c r="K58" s="446">
        <f>Financials!$BV$231</f>
        <v>-459.10799999999972</v>
      </c>
      <c r="L58" s="446">
        <f>Financials!$CA$231</f>
        <v>915.32500000000027</v>
      </c>
      <c r="M58" s="446">
        <f>Financials!$CF$231</f>
        <v>106.49199999999973</v>
      </c>
      <c r="N58" s="446">
        <f>Financials!$CK$231</f>
        <v>-1096.8570000000002</v>
      </c>
      <c r="O58" s="446">
        <f>Financials!$CP$231</f>
        <v>725.69525262874163</v>
      </c>
      <c r="P58" s="446">
        <f>Financials!$CU$231</f>
        <v>1359.17435409376</v>
      </c>
    </row>
    <row r="59" spans="1:20">
      <c r="A59" s="26"/>
      <c r="B59" s="39" t="s">
        <v>429</v>
      </c>
      <c r="C59" s="430">
        <f>Financials!$BV$238</f>
        <v>2.1082313251883007</v>
      </c>
      <c r="D59" s="430">
        <f>Financials!$CA$238</f>
        <v>5.5595590195653495</v>
      </c>
      <c r="E59" s="430">
        <f>Financials!$CF$238</f>
        <v>3.5416356598357828</v>
      </c>
      <c r="F59" s="430">
        <f>Financials!$CK$238</f>
        <v>1.8789090812733513</v>
      </c>
      <c r="G59" s="430">
        <f>Financials!$CP$238</f>
        <v>2.2421932141000105</v>
      </c>
      <c r="H59" s="430">
        <f>Financials!$CU$238</f>
        <v>5.9361490642328585</v>
      </c>
      <c r="I59" s="4"/>
      <c r="J59" s="55" t="s">
        <v>147</v>
      </c>
      <c r="K59" s="451">
        <f>K22</f>
        <v>1024.144</v>
      </c>
      <c r="L59" s="451">
        <f t="shared" ref="L59:P59" si="26">L22</f>
        <v>1939.4690000000001</v>
      </c>
      <c r="M59" s="451">
        <f t="shared" si="26"/>
        <v>2045.961</v>
      </c>
      <c r="N59" s="451">
        <f t="shared" si="26"/>
        <v>949.10400000000004</v>
      </c>
      <c r="O59" s="451">
        <f t="shared" si="26"/>
        <v>1674.7992526287446</v>
      </c>
      <c r="P59" s="451">
        <f t="shared" si="26"/>
        <v>3033.9736067225044</v>
      </c>
    </row>
    <row r="60" spans="1:20">
      <c r="A60" s="26"/>
      <c r="B60" s="43" t="s">
        <v>23</v>
      </c>
      <c r="C60" s="431">
        <f t="shared" ref="C60:G60" si="27">(C59)/C63</f>
        <v>3.3527851863681624E-2</v>
      </c>
      <c r="D60" s="431">
        <f t="shared" si="27"/>
        <v>8.8415378809881512E-2</v>
      </c>
      <c r="E60" s="431">
        <f t="shared" si="27"/>
        <v>5.6323722325632673E-2</v>
      </c>
      <c r="F60" s="431">
        <f t="shared" si="27"/>
        <v>2.9880869613125815E-2</v>
      </c>
      <c r="G60" s="431">
        <f t="shared" si="27"/>
        <v>3.5658289028308053E-2</v>
      </c>
      <c r="H60" s="431">
        <f t="shared" ref="H60" si="28">(H59)/H63</f>
        <v>9.4404406237799915E-2</v>
      </c>
      <c r="I60" s="4"/>
      <c r="J60" s="4"/>
      <c r="K60" s="26"/>
      <c r="L60" s="26"/>
      <c r="M60" s="26"/>
      <c r="N60" s="26"/>
      <c r="O60" s="26"/>
      <c r="P60" s="26"/>
    </row>
    <row r="61" spans="1:20">
      <c r="A61" s="26"/>
      <c r="B61" s="4"/>
      <c r="C61" s="4"/>
      <c r="D61" s="4"/>
      <c r="E61" s="4"/>
      <c r="F61" s="4"/>
      <c r="G61" s="4"/>
      <c r="H61" s="4"/>
      <c r="I61" s="4"/>
      <c r="J61" s="4"/>
      <c r="K61" s="26"/>
      <c r="L61" s="26"/>
      <c r="M61" s="26"/>
      <c r="N61" s="26"/>
      <c r="O61" s="26"/>
      <c r="P61" s="26"/>
    </row>
    <row r="62" spans="1:20" ht="13.5" thickBot="1">
      <c r="B62" s="643" t="s">
        <v>20</v>
      </c>
      <c r="C62" s="644">
        <v>43008</v>
      </c>
      <c r="D62" s="724">
        <f>EOMONTH(C62,3)</f>
        <v>43100</v>
      </c>
      <c r="E62" s="724">
        <f>EOMONTH(D62,3)</f>
        <v>43190</v>
      </c>
      <c r="F62" s="724">
        <f>EOMONTH(E62,3)</f>
        <v>43281</v>
      </c>
      <c r="G62" s="724">
        <f>EOMONTH(F62,3)</f>
        <v>43373</v>
      </c>
      <c r="H62" s="724">
        <f>EOMONTH(G62,3)</f>
        <v>43465</v>
      </c>
      <c r="J62" s="4"/>
      <c r="K62" s="26"/>
      <c r="L62" s="26"/>
      <c r="M62" s="26"/>
      <c r="N62" s="26"/>
      <c r="O62" s="26"/>
      <c r="P62" s="26"/>
    </row>
    <row r="63" spans="1:20" ht="13.5" thickBot="1">
      <c r="B63" s="645" t="s">
        <v>58</v>
      </c>
      <c r="C63" s="646">
        <f>D63</f>
        <v>62.88</v>
      </c>
      <c r="D63" s="646">
        <f>E63</f>
        <v>62.88</v>
      </c>
      <c r="E63" s="646">
        <f>F63</f>
        <v>62.88</v>
      </c>
      <c r="F63" s="646">
        <f>G63</f>
        <v>62.88</v>
      </c>
      <c r="G63" s="646">
        <f>H63</f>
        <v>62.88</v>
      </c>
      <c r="H63" s="686">
        <v>62.88</v>
      </c>
    </row>
  </sheetData>
  <customSheetViews>
    <customSheetView guid="{08BAB49F-44A8-4F04-A2E3-24B12C6D0857}" scale="85" showGridLines="0" fitToPage="1">
      <pageMargins left="0.75" right="0.75" top="1" bottom="1" header="0.5" footer="0.5"/>
      <pageSetup paperSize="9" scale="63" orientation="portrait" r:id="rId1"/>
      <headerFooter alignWithMargins="0"/>
    </customSheetView>
    <customSheetView guid="{4482C16F-8DC0-49F3-9E1F-335117126152}" scale="85" showGridLines="0" fitToPage="1">
      <pageMargins left="0.75" right="0.75" top="1" bottom="1" header="0.5" footer="0.5"/>
      <pageSetup paperSize="9" scale="63" orientation="portrait" r:id="rId2"/>
      <headerFooter alignWithMargins="0"/>
    </customSheetView>
  </customSheetViews>
  <phoneticPr fontId="7" type="noConversion"/>
  <conditionalFormatting sqref="K22:O22">
    <cfRule type="cellIs" dxfId="1" priority="2" stopIfTrue="1" operator="lessThan">
      <formula>0</formula>
    </cfRule>
  </conditionalFormatting>
  <conditionalFormatting sqref="P22">
    <cfRule type="cellIs" dxfId="0" priority="1" stopIfTrue="1" operator="lessThan">
      <formula>0</formula>
    </cfRule>
  </conditionalFormatting>
  <pageMargins left="0" right="0" top="0" bottom="0" header="0" footer="0"/>
  <pageSetup paperSize="5" scale="77" orientation="landscape" r:id="rId3"/>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0">
    <outlinePr summaryBelow="0"/>
    <pageSetUpPr fitToPage="1"/>
  </sheetPr>
  <dimension ref="A1:DI204"/>
  <sheetViews>
    <sheetView showGridLines="0" zoomScaleNormal="100" workbookViewId="0">
      <pane xSplit="3" ySplit="4" topLeftCell="CF5" activePane="bottomRight" state="frozen"/>
      <selection pane="topRight"/>
      <selection pane="bottomLeft"/>
      <selection pane="bottomRight" activeCell="CJ5" sqref="CJ5"/>
    </sheetView>
  </sheetViews>
  <sheetFormatPr defaultRowHeight="12.75" outlineLevelRow="1" outlineLevelCol="1"/>
  <cols>
    <col min="1" max="1" width="1.42578125" style="825" customWidth="1"/>
    <col min="2" max="2" width="1.7109375" customWidth="1"/>
    <col min="3" max="3" width="24.5703125" bestFit="1" customWidth="1"/>
    <col min="4" max="43" width="9.140625" hidden="1" customWidth="1" outlineLevel="1"/>
    <col min="44" max="44" width="9.140625" customWidth="1" collapsed="1"/>
    <col min="45" max="48" width="9.140625" hidden="1" customWidth="1" outlineLevel="1"/>
    <col min="49" max="49" width="9.140625" customWidth="1" collapsed="1"/>
    <col min="50" max="53" width="9.140625" hidden="1" customWidth="1" outlineLevel="1"/>
    <col min="54" max="54" width="9.140625" customWidth="1" collapsed="1"/>
    <col min="55" max="58" width="9.140625" hidden="1" customWidth="1" outlineLevel="1"/>
    <col min="59" max="59" width="9.140625" customWidth="1" collapsed="1"/>
    <col min="60" max="63" width="9.140625" hidden="1" customWidth="1" outlineLevel="1"/>
    <col min="64" max="64" width="9.140625" customWidth="1" collapsed="1"/>
    <col min="65" max="68" width="9.140625" hidden="1" customWidth="1" outlineLevel="1"/>
    <col min="69" max="69" width="9.140625" customWidth="1" collapsed="1"/>
    <col min="70" max="73" width="9.140625" hidden="1" customWidth="1" outlineLevel="1"/>
    <col min="74" max="74" width="9.140625" customWidth="1" collapsed="1"/>
    <col min="75" max="78" width="9.140625" hidden="1" customWidth="1" outlineLevel="1"/>
    <col min="79" max="79" width="9.140625" customWidth="1" collapsed="1"/>
    <col min="80" max="83" width="9.140625" hidden="1" customWidth="1" outlineLevel="1"/>
    <col min="84" max="84" width="9.140625" customWidth="1" collapsed="1"/>
    <col min="85" max="88" width="9.140625" customWidth="1" outlineLevel="1"/>
    <col min="89" max="89" width="9.140625" customWidth="1"/>
    <col min="90" max="93" width="9.140625" customWidth="1" outlineLevel="1"/>
    <col min="94" max="94" width="9.140625" customWidth="1"/>
    <col min="95" max="98" width="9.140625" hidden="1" customWidth="1" outlineLevel="1"/>
    <col min="99" max="99" width="9.140625" customWidth="1" collapsed="1"/>
    <col min="100" max="103" width="9.140625" hidden="1" customWidth="1" outlineLevel="1"/>
    <col min="104" max="104" width="9.140625" customWidth="1" collapsed="1"/>
    <col min="108" max="108" width="16.85546875" bestFit="1" customWidth="1"/>
    <col min="109" max="109" width="10.85546875" bestFit="1" customWidth="1"/>
    <col min="110" max="110" width="31.7109375" bestFit="1" customWidth="1"/>
    <col min="111" max="111" width="9.85546875" bestFit="1" customWidth="1"/>
    <col min="112" max="112" width="15.140625" bestFit="1" customWidth="1"/>
    <col min="113" max="113" width="8.28515625" bestFit="1" customWidth="1"/>
  </cols>
  <sheetData>
    <row r="1" spans="1:105" ht="15">
      <c r="A1" s="814"/>
      <c r="B1" s="66"/>
      <c r="C1" s="66"/>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c r="AU1" s="66"/>
      <c r="AV1" s="66"/>
      <c r="AW1" s="66"/>
      <c r="AX1" s="66"/>
      <c r="AY1" s="66"/>
      <c r="AZ1" s="66"/>
      <c r="BA1" s="66"/>
      <c r="BB1" s="66"/>
      <c r="BC1" s="66"/>
      <c r="BD1" s="66"/>
      <c r="BE1" s="66"/>
      <c r="BF1" s="66"/>
      <c r="BG1" s="66"/>
      <c r="BH1" s="66"/>
      <c r="BI1" s="66"/>
      <c r="BJ1" s="66"/>
      <c r="BK1" s="66"/>
      <c r="BL1" s="66"/>
      <c r="BM1" s="66"/>
      <c r="BN1" s="66"/>
      <c r="BO1" s="66"/>
      <c r="BP1" s="66"/>
      <c r="BQ1" s="66"/>
      <c r="BR1" s="66"/>
      <c r="BS1" s="66"/>
      <c r="BT1" s="66"/>
      <c r="BU1" s="66"/>
      <c r="BV1" s="66"/>
      <c r="BW1" s="615"/>
      <c r="BX1" s="615"/>
      <c r="BY1" s="615"/>
      <c r="BZ1" s="615"/>
      <c r="CA1" s="615"/>
      <c r="CB1" s="615"/>
      <c r="CC1" s="615"/>
      <c r="CD1" s="615"/>
      <c r="CE1" s="615"/>
      <c r="CF1" s="615"/>
      <c r="CG1" s="615"/>
      <c r="CH1" s="615"/>
      <c r="CI1" s="615"/>
      <c r="CJ1" s="615"/>
      <c r="CK1" s="615"/>
      <c r="CL1" s="615"/>
      <c r="CM1" s="557"/>
      <c r="CN1" s="615"/>
      <c r="CO1" s="615"/>
      <c r="CP1" s="615"/>
      <c r="CQ1" s="615"/>
      <c r="CR1" s="615"/>
      <c r="CS1" s="615"/>
      <c r="CT1" s="615"/>
      <c r="CU1" s="615"/>
      <c r="CV1" s="615"/>
      <c r="CW1" s="615"/>
      <c r="CX1" s="615"/>
      <c r="CY1" s="615"/>
      <c r="CZ1" s="615"/>
    </row>
    <row r="2" spans="1:105" ht="15" collapsed="1">
      <c r="A2" s="815" t="s">
        <v>330</v>
      </c>
      <c r="B2" s="66"/>
      <c r="C2" s="66"/>
      <c r="D2" s="66"/>
      <c r="E2" s="66"/>
      <c r="F2" s="66"/>
      <c r="G2" s="66"/>
      <c r="H2" s="66"/>
      <c r="I2" s="66"/>
      <c r="J2" s="66"/>
      <c r="K2" s="66"/>
      <c r="L2" s="66"/>
      <c r="M2" s="66"/>
      <c r="N2" s="66"/>
      <c r="O2" s="66"/>
      <c r="P2" s="66"/>
      <c r="Q2" s="66"/>
      <c r="R2" s="66"/>
      <c r="S2" s="66"/>
      <c r="T2" s="197"/>
      <c r="U2" s="197"/>
      <c r="V2" s="197"/>
      <c r="W2" s="197"/>
      <c r="X2" s="197"/>
      <c r="Y2" s="197"/>
      <c r="Z2" s="197"/>
      <c r="AA2" s="197"/>
      <c r="AB2" s="197"/>
      <c r="AC2" s="197"/>
      <c r="AD2" s="197"/>
      <c r="AE2" s="197"/>
      <c r="AF2" s="197"/>
      <c r="AG2" s="197"/>
      <c r="AH2" s="197"/>
      <c r="AI2" s="197"/>
      <c r="AJ2" s="197"/>
      <c r="AK2" s="197"/>
      <c r="AL2" s="197"/>
      <c r="AM2" s="197"/>
      <c r="AN2" s="197"/>
      <c r="AO2" s="197"/>
      <c r="AP2" s="197"/>
      <c r="AQ2" s="197"/>
      <c r="AR2" s="197"/>
      <c r="AS2" s="197"/>
      <c r="AT2" s="197"/>
      <c r="AU2" s="197"/>
      <c r="AV2" s="197"/>
      <c r="AW2" s="197"/>
      <c r="AX2" s="197"/>
      <c r="AY2" s="197"/>
      <c r="AZ2" s="197"/>
      <c r="BA2" s="197"/>
      <c r="BB2" s="197"/>
      <c r="BC2" s="197"/>
      <c r="BD2" s="197"/>
      <c r="BE2" s="197"/>
      <c r="BF2" s="197"/>
      <c r="BG2" s="197"/>
      <c r="BH2" s="197"/>
      <c r="BI2" s="197"/>
      <c r="BJ2" s="197"/>
      <c r="BK2" s="197"/>
      <c r="BL2" s="197"/>
      <c r="BM2" s="197"/>
      <c r="BN2" s="197"/>
      <c r="BO2" s="197"/>
      <c r="BP2" s="197"/>
      <c r="BQ2" s="197"/>
      <c r="BR2" s="197"/>
      <c r="BS2" s="197"/>
      <c r="BT2" s="197"/>
      <c r="BU2" s="197"/>
      <c r="BV2" s="197"/>
      <c r="BW2" s="197"/>
      <c r="BX2" s="197"/>
      <c r="BY2" s="197"/>
      <c r="BZ2" s="197"/>
      <c r="CA2" s="197"/>
      <c r="CB2" s="197"/>
      <c r="CC2" s="197"/>
      <c r="CD2" s="791"/>
      <c r="CE2" s="197"/>
      <c r="CF2" s="197"/>
      <c r="CG2" s="615"/>
      <c r="CH2" s="615"/>
      <c r="CI2" s="791" t="s">
        <v>230</v>
      </c>
      <c r="CJ2" s="197"/>
      <c r="CK2" s="197"/>
      <c r="CL2" s="197"/>
      <c r="CM2" s="197"/>
      <c r="CN2" s="197"/>
      <c r="CO2" s="197"/>
      <c r="CP2" s="615"/>
      <c r="CQ2" s="615"/>
      <c r="CR2" s="615"/>
      <c r="CS2" s="197"/>
      <c r="CT2" s="197"/>
      <c r="CU2" s="197"/>
      <c r="CV2" s="197"/>
      <c r="CW2" s="197"/>
      <c r="CX2" s="197"/>
      <c r="CY2" s="197"/>
      <c r="CZ2" s="197"/>
    </row>
    <row r="3" spans="1:105" ht="15" hidden="1" outlineLevel="1">
      <c r="A3" s="816" t="s">
        <v>675</v>
      </c>
      <c r="B3" s="138"/>
      <c r="C3" s="138"/>
      <c r="D3" s="138"/>
      <c r="E3" s="138"/>
      <c r="F3" s="138"/>
      <c r="G3" s="138"/>
      <c r="H3" s="138"/>
      <c r="I3" s="138"/>
      <c r="J3" s="138"/>
      <c r="K3" s="138"/>
      <c r="L3" s="138"/>
      <c r="M3" s="138"/>
      <c r="N3" s="138"/>
      <c r="O3" s="138"/>
      <c r="P3" s="138"/>
      <c r="Q3" s="138"/>
      <c r="R3" s="138"/>
      <c r="S3" s="138"/>
      <c r="T3" s="197"/>
      <c r="U3" s="197"/>
      <c r="V3" s="197"/>
      <c r="W3" s="197"/>
      <c r="X3" s="197"/>
      <c r="Y3" s="197"/>
      <c r="Z3" s="197"/>
      <c r="AA3" s="197"/>
      <c r="AB3" s="197"/>
      <c r="AC3" s="197"/>
      <c r="AD3" s="197"/>
      <c r="AE3" s="197"/>
      <c r="AF3" s="197"/>
      <c r="AG3" s="197"/>
      <c r="AH3" s="197"/>
      <c r="AI3" s="197"/>
      <c r="AJ3" s="197"/>
      <c r="AK3" s="197"/>
      <c r="AL3" s="197"/>
      <c r="AM3" s="197"/>
      <c r="AN3" s="735">
        <v>39508</v>
      </c>
      <c r="AO3" s="735">
        <v>39600</v>
      </c>
      <c r="AP3" s="735">
        <v>39692</v>
      </c>
      <c r="AQ3" s="735">
        <v>39783</v>
      </c>
      <c r="AR3" s="542"/>
      <c r="AS3" s="735">
        <v>39873</v>
      </c>
      <c r="AT3" s="735">
        <v>39965</v>
      </c>
      <c r="AU3" s="735">
        <v>40057</v>
      </c>
      <c r="AV3" s="735">
        <v>40148</v>
      </c>
      <c r="AW3" s="735" t="s">
        <v>511</v>
      </c>
      <c r="AX3" s="735">
        <v>40238</v>
      </c>
      <c r="AY3" s="735">
        <v>40330</v>
      </c>
      <c r="AZ3" s="735">
        <v>40422</v>
      </c>
      <c r="BA3" s="735">
        <v>40513</v>
      </c>
      <c r="BB3" s="735" t="s">
        <v>157</v>
      </c>
      <c r="BC3" s="735">
        <v>40603</v>
      </c>
      <c r="BD3" s="735">
        <v>40695</v>
      </c>
      <c r="BE3" s="735">
        <v>40787</v>
      </c>
      <c r="BF3" s="735">
        <v>40878</v>
      </c>
      <c r="BG3" s="735" t="s">
        <v>158</v>
      </c>
      <c r="BH3" s="735">
        <v>40969</v>
      </c>
      <c r="BI3" s="735">
        <v>41061</v>
      </c>
      <c r="BJ3" s="735">
        <v>41153</v>
      </c>
      <c r="BK3" s="735">
        <v>41244</v>
      </c>
      <c r="BL3" s="735" t="s">
        <v>159</v>
      </c>
      <c r="BM3" s="735">
        <v>41334</v>
      </c>
      <c r="BN3" s="735">
        <v>41426</v>
      </c>
      <c r="BO3" s="735">
        <v>41518</v>
      </c>
      <c r="BP3" s="735">
        <v>41609</v>
      </c>
      <c r="BQ3" s="735" t="s">
        <v>513</v>
      </c>
      <c r="BR3" s="735">
        <v>41699</v>
      </c>
      <c r="BS3" s="735">
        <v>41791</v>
      </c>
      <c r="BT3" s="735">
        <v>41883</v>
      </c>
      <c r="BU3" s="735">
        <v>41974</v>
      </c>
      <c r="BV3" s="735" t="s">
        <v>340</v>
      </c>
      <c r="BW3" s="735">
        <v>42064</v>
      </c>
      <c r="BX3" s="735">
        <v>42156</v>
      </c>
      <c r="BY3" s="735">
        <v>42248</v>
      </c>
      <c r="BZ3" s="735">
        <v>42339</v>
      </c>
      <c r="CA3" s="735" t="s">
        <v>561</v>
      </c>
      <c r="CB3" s="735">
        <v>42430</v>
      </c>
      <c r="CC3" s="735">
        <v>42522</v>
      </c>
      <c r="CD3" s="735">
        <v>42614</v>
      </c>
      <c r="CE3" s="735">
        <v>42705</v>
      </c>
      <c r="CF3" s="735" t="s">
        <v>215</v>
      </c>
      <c r="CG3" s="735">
        <v>42795</v>
      </c>
      <c r="CH3" s="735">
        <v>42887</v>
      </c>
      <c r="CI3" s="735">
        <v>42979</v>
      </c>
      <c r="CJ3" s="735">
        <v>43070</v>
      </c>
      <c r="CK3" s="735" t="s">
        <v>595</v>
      </c>
      <c r="CL3" s="735">
        <v>43160</v>
      </c>
      <c r="CM3" s="735">
        <v>43252</v>
      </c>
      <c r="CN3" s="735">
        <v>43344</v>
      </c>
      <c r="CO3" s="735">
        <v>43435</v>
      </c>
      <c r="CP3" s="735" t="s">
        <v>625</v>
      </c>
      <c r="CQ3" s="735">
        <v>43525</v>
      </c>
      <c r="CR3" s="735">
        <v>43617</v>
      </c>
      <c r="CS3" s="735">
        <v>43709</v>
      </c>
      <c r="CT3" s="735">
        <v>43800</v>
      </c>
      <c r="CU3" s="735" t="s">
        <v>631</v>
      </c>
      <c r="CV3" s="735">
        <v>43891</v>
      </c>
      <c r="CW3" s="735">
        <v>43983</v>
      </c>
      <c r="CX3" s="735">
        <v>44075</v>
      </c>
      <c r="CY3" s="735">
        <v>44166</v>
      </c>
      <c r="CZ3" s="735" t="s">
        <v>651</v>
      </c>
    </row>
    <row r="4" spans="1:105" ht="13.5" customHeight="1">
      <c r="A4" s="817"/>
      <c r="B4" s="743"/>
      <c r="C4" s="743"/>
      <c r="D4" s="744"/>
      <c r="E4" s="744">
        <v>1997</v>
      </c>
      <c r="F4" s="744">
        <v>1998</v>
      </c>
      <c r="G4" s="744">
        <v>1999</v>
      </c>
      <c r="H4" s="744">
        <v>2000</v>
      </c>
      <c r="I4" s="744">
        <v>2001</v>
      </c>
      <c r="J4" s="744" t="s">
        <v>108</v>
      </c>
      <c r="K4" s="744" t="s">
        <v>197</v>
      </c>
      <c r="L4" s="744" t="s">
        <v>351</v>
      </c>
      <c r="M4" s="744" t="s">
        <v>198</v>
      </c>
      <c r="N4" s="744">
        <v>2002</v>
      </c>
      <c r="O4" s="744" t="s">
        <v>108</v>
      </c>
      <c r="P4" s="744" t="s">
        <v>197</v>
      </c>
      <c r="Q4" s="744" t="s">
        <v>351</v>
      </c>
      <c r="R4" s="744" t="s">
        <v>198</v>
      </c>
      <c r="S4" s="744">
        <v>2003</v>
      </c>
      <c r="T4" s="744" t="s">
        <v>108</v>
      </c>
      <c r="U4" s="744" t="s">
        <v>197</v>
      </c>
      <c r="V4" s="744" t="s">
        <v>351</v>
      </c>
      <c r="W4" s="744" t="s">
        <v>198</v>
      </c>
      <c r="X4" s="744">
        <v>2004</v>
      </c>
      <c r="Y4" s="744" t="s">
        <v>108</v>
      </c>
      <c r="Z4" s="744" t="s">
        <v>197</v>
      </c>
      <c r="AA4" s="744" t="s">
        <v>351</v>
      </c>
      <c r="AB4" s="744" t="s">
        <v>198</v>
      </c>
      <c r="AC4" s="744">
        <v>2005</v>
      </c>
      <c r="AD4" s="744" t="s">
        <v>108</v>
      </c>
      <c r="AE4" s="744" t="s">
        <v>197</v>
      </c>
      <c r="AF4" s="744" t="s">
        <v>351</v>
      </c>
      <c r="AG4" s="744" t="s">
        <v>198</v>
      </c>
      <c r="AH4" s="744">
        <v>2006</v>
      </c>
      <c r="AI4" s="744" t="s">
        <v>108</v>
      </c>
      <c r="AJ4" s="744" t="s">
        <v>197</v>
      </c>
      <c r="AK4" s="744" t="s">
        <v>351</v>
      </c>
      <c r="AL4" s="744" t="s">
        <v>198</v>
      </c>
      <c r="AM4" s="744">
        <v>2007</v>
      </c>
      <c r="AN4" s="744" t="s">
        <v>108</v>
      </c>
      <c r="AO4" s="744" t="s">
        <v>197</v>
      </c>
      <c r="AP4" s="744" t="s">
        <v>351</v>
      </c>
      <c r="AQ4" s="744" t="s">
        <v>198</v>
      </c>
      <c r="AR4" s="743">
        <v>2008</v>
      </c>
      <c r="AS4" s="829" t="s">
        <v>108</v>
      </c>
      <c r="AT4" s="830" t="s">
        <v>197</v>
      </c>
      <c r="AU4" s="830" t="s">
        <v>351</v>
      </c>
      <c r="AV4" s="831" t="s">
        <v>198</v>
      </c>
      <c r="AW4" s="743">
        <v>2009</v>
      </c>
      <c r="AX4" s="829" t="s">
        <v>108</v>
      </c>
      <c r="AY4" s="830" t="s">
        <v>197</v>
      </c>
      <c r="AZ4" s="830" t="s">
        <v>351</v>
      </c>
      <c r="BA4" s="831" t="s">
        <v>198</v>
      </c>
      <c r="BB4" s="743">
        <v>2010</v>
      </c>
      <c r="BC4" s="829" t="s">
        <v>108</v>
      </c>
      <c r="BD4" s="830" t="s">
        <v>197</v>
      </c>
      <c r="BE4" s="830" t="s">
        <v>351</v>
      </c>
      <c r="BF4" s="831" t="s">
        <v>198</v>
      </c>
      <c r="BG4" s="743">
        <v>2011</v>
      </c>
      <c r="BH4" s="829" t="s">
        <v>108</v>
      </c>
      <c r="BI4" s="830" t="s">
        <v>197</v>
      </c>
      <c r="BJ4" s="830" t="s">
        <v>351</v>
      </c>
      <c r="BK4" s="831" t="s">
        <v>198</v>
      </c>
      <c r="BL4" s="743">
        <v>2012</v>
      </c>
      <c r="BM4" s="829" t="s">
        <v>108</v>
      </c>
      <c r="BN4" s="830" t="s">
        <v>197</v>
      </c>
      <c r="BO4" s="830" t="s">
        <v>351</v>
      </c>
      <c r="BP4" s="831" t="s">
        <v>198</v>
      </c>
      <c r="BQ4" s="743">
        <v>2013</v>
      </c>
      <c r="BR4" s="829" t="s">
        <v>108</v>
      </c>
      <c r="BS4" s="830" t="s">
        <v>197</v>
      </c>
      <c r="BT4" s="830" t="s">
        <v>351</v>
      </c>
      <c r="BU4" s="831" t="s">
        <v>198</v>
      </c>
      <c r="BV4" s="743">
        <v>2014</v>
      </c>
      <c r="BW4" s="829" t="s">
        <v>108</v>
      </c>
      <c r="BX4" s="830" t="s">
        <v>197</v>
      </c>
      <c r="BY4" s="830" t="s">
        <v>351</v>
      </c>
      <c r="BZ4" s="831" t="s">
        <v>198</v>
      </c>
      <c r="CA4" s="743">
        <v>2015</v>
      </c>
      <c r="CB4" s="829" t="s">
        <v>108</v>
      </c>
      <c r="CC4" s="830" t="s">
        <v>197</v>
      </c>
      <c r="CD4" s="830" t="s">
        <v>351</v>
      </c>
      <c r="CE4" s="831" t="s">
        <v>198</v>
      </c>
      <c r="CF4" s="743">
        <v>2016</v>
      </c>
      <c r="CG4" s="829" t="s">
        <v>108</v>
      </c>
      <c r="CH4" s="830" t="s">
        <v>197</v>
      </c>
      <c r="CI4" s="830" t="s">
        <v>351</v>
      </c>
      <c r="CJ4" s="831" t="s">
        <v>198</v>
      </c>
      <c r="CK4" s="743">
        <v>2017</v>
      </c>
      <c r="CL4" s="829" t="s">
        <v>108</v>
      </c>
      <c r="CM4" s="830" t="s">
        <v>583</v>
      </c>
      <c r="CN4" s="830" t="s">
        <v>225</v>
      </c>
      <c r="CO4" s="831" t="s">
        <v>117</v>
      </c>
      <c r="CP4" s="743" t="s">
        <v>620</v>
      </c>
      <c r="CQ4" s="829" t="s">
        <v>224</v>
      </c>
      <c r="CR4" s="830" t="s">
        <v>583</v>
      </c>
      <c r="CS4" s="830" t="s">
        <v>225</v>
      </c>
      <c r="CT4" s="831" t="s">
        <v>117</v>
      </c>
      <c r="CU4" s="743" t="s">
        <v>632</v>
      </c>
      <c r="CV4" s="829" t="s">
        <v>224</v>
      </c>
      <c r="CW4" s="830" t="s">
        <v>583</v>
      </c>
      <c r="CX4" s="830" t="s">
        <v>225</v>
      </c>
      <c r="CY4" s="831" t="s">
        <v>117</v>
      </c>
      <c r="CZ4" s="743" t="s">
        <v>650</v>
      </c>
    </row>
    <row r="5" spans="1:105" ht="13.5" customHeight="1">
      <c r="A5" s="818" t="s">
        <v>255</v>
      </c>
      <c r="B5" s="198"/>
      <c r="C5" s="198"/>
      <c r="D5" s="66"/>
      <c r="E5" s="66"/>
      <c r="F5" s="66"/>
      <c r="G5" s="66"/>
      <c r="H5" s="66"/>
      <c r="I5" s="66"/>
      <c r="J5" s="66"/>
      <c r="K5" s="66"/>
      <c r="L5" s="66"/>
      <c r="M5" s="66"/>
      <c r="N5" s="66"/>
      <c r="O5" s="66"/>
      <c r="P5" s="66"/>
      <c r="Q5" s="66"/>
      <c r="R5" s="66"/>
      <c r="S5" s="66"/>
      <c r="T5" s="66"/>
      <c r="U5" s="66"/>
      <c r="V5" s="66"/>
      <c r="W5" s="66"/>
      <c r="X5" s="66"/>
      <c r="Y5" s="66"/>
      <c r="Z5" s="66"/>
      <c r="AA5" s="66"/>
      <c r="AB5" s="66"/>
      <c r="AC5" s="66"/>
      <c r="AD5" s="66"/>
      <c r="AE5" s="66"/>
      <c r="AF5" s="66"/>
      <c r="AG5" s="66"/>
      <c r="AH5" s="66"/>
      <c r="AI5" s="66"/>
      <c r="AJ5" s="66"/>
      <c r="AK5" s="66"/>
      <c r="AL5" s="66"/>
      <c r="AM5" s="66"/>
      <c r="AN5" s="66"/>
      <c r="AO5" s="66"/>
      <c r="AP5" s="66"/>
      <c r="AQ5" s="66"/>
      <c r="AR5" s="97"/>
      <c r="AS5" s="832"/>
      <c r="AT5" s="833"/>
      <c r="AU5" s="833"/>
      <c r="AV5" s="834"/>
      <c r="AW5" s="403"/>
      <c r="AX5" s="832"/>
      <c r="AY5" s="833"/>
      <c r="AZ5" s="833"/>
      <c r="BA5" s="834"/>
      <c r="BB5" s="403"/>
      <c r="BC5" s="832"/>
      <c r="BD5" s="833"/>
      <c r="BE5" s="833"/>
      <c r="BF5" s="834"/>
      <c r="BG5" s="403"/>
      <c r="BH5" s="832"/>
      <c r="BI5" s="833"/>
      <c r="BJ5" s="833"/>
      <c r="BK5" s="834"/>
      <c r="BL5" s="403"/>
      <c r="BM5" s="832"/>
      <c r="BN5" s="833"/>
      <c r="BO5" s="833"/>
      <c r="BP5" s="834"/>
      <c r="BQ5" s="403"/>
      <c r="BR5" s="832"/>
      <c r="BS5" s="833"/>
      <c r="BT5" s="833"/>
      <c r="BU5" s="834"/>
      <c r="BV5" s="403"/>
      <c r="BW5" s="832"/>
      <c r="BX5" s="833"/>
      <c r="BY5" s="833"/>
      <c r="BZ5" s="834"/>
      <c r="CA5" s="403"/>
      <c r="CB5" s="832"/>
      <c r="CC5" s="833"/>
      <c r="CD5" s="833"/>
      <c r="CE5" s="834"/>
      <c r="CF5" s="403"/>
      <c r="CG5" s="832"/>
      <c r="CH5" s="833"/>
      <c r="CI5" s="833"/>
      <c r="CJ5" s="834"/>
      <c r="CK5" s="403"/>
      <c r="CL5" s="832"/>
      <c r="CM5" s="833"/>
      <c r="CN5" s="833"/>
      <c r="CO5" s="834"/>
      <c r="CP5" s="403"/>
      <c r="CQ5" s="832"/>
      <c r="CR5" s="833"/>
      <c r="CS5" s="833"/>
      <c r="CT5" s="834"/>
      <c r="CU5" s="403"/>
      <c r="CV5" s="832"/>
      <c r="CW5" s="833"/>
      <c r="CX5" s="833"/>
      <c r="CY5" s="834"/>
      <c r="CZ5" s="403"/>
    </row>
    <row r="6" spans="1:105" ht="13.5" customHeight="1">
      <c r="A6" s="819"/>
      <c r="B6" s="199" t="s">
        <v>442</v>
      </c>
      <c r="C6" s="199"/>
      <c r="D6" s="539"/>
      <c r="E6" s="539">
        <v>340</v>
      </c>
      <c r="F6" s="539">
        <v>303.33333333333337</v>
      </c>
      <c r="G6" s="539">
        <v>291.66666666666669</v>
      </c>
      <c r="H6" s="539">
        <v>301.25</v>
      </c>
      <c r="I6" s="539">
        <v>223.5</v>
      </c>
      <c r="J6" s="539"/>
      <c r="K6" s="539"/>
      <c r="L6" s="539"/>
      <c r="M6" s="539"/>
      <c r="N6" s="539">
        <v>322.08333333333331</v>
      </c>
      <c r="O6" s="539"/>
      <c r="P6" s="539"/>
      <c r="Q6" s="539"/>
      <c r="R6" s="539"/>
      <c r="S6" s="539">
        <v>290.5</v>
      </c>
      <c r="T6" s="539">
        <v>462.33333333333331</v>
      </c>
      <c r="U6" s="539">
        <v>610</v>
      </c>
      <c r="V6" s="539">
        <v>703.33333333333337</v>
      </c>
      <c r="W6" s="539">
        <v>658.33333333333337</v>
      </c>
      <c r="X6" s="539">
        <f t="shared" ref="X6:X14" si="0">AVERAGE(T6:W6)</f>
        <v>608.5</v>
      </c>
      <c r="Y6" s="539">
        <v>631.66666666666663</v>
      </c>
      <c r="Z6" s="539">
        <v>532.5</v>
      </c>
      <c r="AA6" s="539">
        <v>461.66666666666669</v>
      </c>
      <c r="AB6" s="539">
        <v>550</v>
      </c>
      <c r="AC6" s="539">
        <f t="shared" ref="AC6:AC14" si="1">AVERAGE(Y6:AB6)</f>
        <v>543.95833333333326</v>
      </c>
      <c r="AD6" s="539">
        <v>550</v>
      </c>
      <c r="AE6" s="539">
        <v>591.66666666666663</v>
      </c>
      <c r="AF6" s="539">
        <v>621.66666666666663</v>
      </c>
      <c r="AG6" s="539">
        <v>563.33333333333337</v>
      </c>
      <c r="AH6" s="539">
        <f t="shared" ref="AH6:AH14" si="2">AVERAGE(AD6:AG6)</f>
        <v>581.66666666666663</v>
      </c>
      <c r="AI6" s="539">
        <v>518.33333333333337</v>
      </c>
      <c r="AJ6" s="539">
        <v>553.33333333333337</v>
      </c>
      <c r="AK6" s="539">
        <v>516.66666666666663</v>
      </c>
      <c r="AL6" s="539">
        <v>535</v>
      </c>
      <c r="AM6" s="539">
        <f t="shared" ref="AM6:AM14" si="3">AVERAGE(AI6:AL6)</f>
        <v>530.83333333333337</v>
      </c>
      <c r="AN6" s="539">
        <v>691.66666666666663</v>
      </c>
      <c r="AO6" s="539">
        <v>976.66666666666663</v>
      </c>
      <c r="AP6" s="539">
        <v>1051.6666666666667</v>
      </c>
      <c r="AQ6" s="539">
        <v>714</v>
      </c>
      <c r="AR6" s="539">
        <f t="shared" ref="AR6:AR14" si="4">AVERAGE(AN6:AQ6)</f>
        <v>858.5</v>
      </c>
      <c r="AS6" s="835">
        <v>508.66666666666669</v>
      </c>
      <c r="AT6" s="836">
        <v>399</v>
      </c>
      <c r="AU6" s="836">
        <v>491.33333333333331</v>
      </c>
      <c r="AV6" s="837">
        <v>528</v>
      </c>
      <c r="AW6" s="539">
        <f t="shared" ref="AW6:AW14" si="5">AVERAGE(AS6:AV6)</f>
        <v>481.75</v>
      </c>
      <c r="AX6" s="835">
        <v>592</v>
      </c>
      <c r="AY6" s="836">
        <v>682</v>
      </c>
      <c r="AZ6" s="836">
        <v>582.66666666666663</v>
      </c>
      <c r="BA6" s="837">
        <v>557</v>
      </c>
      <c r="BB6" s="539">
        <f t="shared" ref="BB6:BB14" si="6">AVERAGE(AX6:BA6)</f>
        <v>603.41666666666663</v>
      </c>
      <c r="BC6" s="835">
        <v>795.66666666666663</v>
      </c>
      <c r="BD6" s="836">
        <v>813</v>
      </c>
      <c r="BE6" s="945">
        <v>687.66781577912843</v>
      </c>
      <c r="BF6" s="946">
        <v>657.66666666666663</v>
      </c>
      <c r="BG6" s="540">
        <f t="shared" ref="BG6:BG14" si="7">AVERAGE(BC6:BF6)</f>
        <v>738.50028727811537</v>
      </c>
      <c r="BH6" s="982">
        <v>720.66666666666663</v>
      </c>
      <c r="BI6" s="945">
        <v>660</v>
      </c>
      <c r="BJ6" s="945">
        <v>625.66666666666663</v>
      </c>
      <c r="BK6" s="946">
        <v>619.99869456856368</v>
      </c>
      <c r="BL6" s="539">
        <f t="shared" ref="BL6:BL14" si="8">AVERAGE(BH6:BK6)</f>
        <v>656.58300697547418</v>
      </c>
      <c r="BM6" s="889">
        <v>616.66666666666663</v>
      </c>
      <c r="BN6" s="550">
        <v>592.33333333333337</v>
      </c>
      <c r="BO6" s="550">
        <v>643.66666666666663</v>
      </c>
      <c r="BP6" s="890">
        <v>658.99708081915003</v>
      </c>
      <c r="BQ6" s="539">
        <f t="shared" ref="BQ6:BQ14" si="9">AVERAGE(BM6:BP6)</f>
        <v>627.91593687145416</v>
      </c>
      <c r="BR6" s="889">
        <v>654.66666666666663</v>
      </c>
      <c r="BS6" s="550">
        <v>671</v>
      </c>
      <c r="BT6" s="550">
        <v>667.66666666666663</v>
      </c>
      <c r="BU6" s="890">
        <v>634.33333333333337</v>
      </c>
      <c r="BV6" s="539">
        <f>AVERAGE(BR6:BU6)</f>
        <v>656.91666666666663</v>
      </c>
      <c r="BW6" s="889">
        <v>536.33333333333337</v>
      </c>
      <c r="BX6" s="550">
        <v>453.66666666666669</v>
      </c>
      <c r="BY6" s="550">
        <v>459</v>
      </c>
      <c r="BZ6" s="837">
        <v>387</v>
      </c>
      <c r="CA6" s="539">
        <f t="shared" ref="CA6:CA14" si="10">AVERAGE(BW6:BZ6)</f>
        <v>459</v>
      </c>
      <c r="CB6" s="982">
        <v>398.33333333333331</v>
      </c>
      <c r="CC6" s="836">
        <v>561.66666666666663</v>
      </c>
      <c r="CD6" s="836">
        <v>592</v>
      </c>
      <c r="CE6" s="837">
        <v>521</v>
      </c>
      <c r="CF6" s="539">
        <f t="shared" ref="CF6:CF14" si="11">AVERAGE(CB6:CE6)</f>
        <v>518.25</v>
      </c>
      <c r="CG6" s="835">
        <v>622.66666666666663</v>
      </c>
      <c r="CH6" s="836">
        <v>623.59420289855063</v>
      </c>
      <c r="CI6" s="836">
        <v>621.41847826086962</v>
      </c>
      <c r="CJ6" s="837">
        <v>618.09489302967552</v>
      </c>
      <c r="CK6" s="539">
        <f t="shared" ref="CK6:CK14" si="12">AVERAGE(CG6:CJ6)</f>
        <v>621.4435602139406</v>
      </c>
      <c r="CL6" s="835">
        <v>741.07743412384718</v>
      </c>
      <c r="CM6" s="836">
        <v>885</v>
      </c>
      <c r="CN6" s="836">
        <v>830</v>
      </c>
      <c r="CO6" s="837">
        <v>785</v>
      </c>
      <c r="CP6" s="539">
        <f t="shared" ref="CP6:CP14" si="13">AVERAGE(CL6:CO6)</f>
        <v>810.26935853096177</v>
      </c>
      <c r="CQ6" s="835">
        <v>800</v>
      </c>
      <c r="CR6" s="836">
        <v>770</v>
      </c>
      <c r="CS6" s="836">
        <v>760</v>
      </c>
      <c r="CT6" s="837">
        <v>715</v>
      </c>
      <c r="CU6" s="539">
        <f t="shared" ref="CU6:CU14" si="14">AVERAGE(CQ6:CT6)</f>
        <v>761.25</v>
      </c>
      <c r="CV6" s="835">
        <v>660</v>
      </c>
      <c r="CW6" s="836">
        <v>675</v>
      </c>
      <c r="CX6" s="836">
        <v>645</v>
      </c>
      <c r="CY6" s="837">
        <v>645</v>
      </c>
      <c r="CZ6" s="539">
        <f t="shared" ref="CZ6:CZ14" si="15">AVERAGE(CV6:CY6)</f>
        <v>656.25</v>
      </c>
    </row>
    <row r="7" spans="1:105" ht="13.5" customHeight="1">
      <c r="A7" s="819"/>
      <c r="B7" s="497" t="s">
        <v>649</v>
      </c>
      <c r="C7" s="199"/>
      <c r="D7" s="539"/>
      <c r="E7" s="539"/>
      <c r="F7" s="539"/>
      <c r="G7" s="539"/>
      <c r="H7" s="539"/>
      <c r="I7" s="539"/>
      <c r="J7" s="539"/>
      <c r="K7" s="539"/>
      <c r="L7" s="539"/>
      <c r="M7" s="539"/>
      <c r="N7" s="539"/>
      <c r="O7" s="539"/>
      <c r="P7" s="539"/>
      <c r="Q7" s="539"/>
      <c r="R7" s="539"/>
      <c r="S7" s="539"/>
      <c r="T7" s="539"/>
      <c r="U7" s="539"/>
      <c r="V7" s="539"/>
      <c r="W7" s="539"/>
      <c r="X7" s="539"/>
      <c r="Y7" s="539"/>
      <c r="Z7" s="539"/>
      <c r="AA7" s="539"/>
      <c r="AB7" s="539"/>
      <c r="AC7" s="539"/>
      <c r="AD7" s="539"/>
      <c r="AE7" s="539"/>
      <c r="AF7" s="539"/>
      <c r="AG7" s="539"/>
      <c r="AH7" s="539"/>
      <c r="AI7" s="539"/>
      <c r="AJ7" s="539"/>
      <c r="AK7" s="539"/>
      <c r="AL7" s="539"/>
      <c r="AM7" s="539"/>
      <c r="AN7" s="539"/>
      <c r="AO7" s="539"/>
      <c r="AP7" s="539"/>
      <c r="AQ7" s="539"/>
      <c r="AR7" s="539"/>
      <c r="AS7" s="835">
        <v>823.08333333333337</v>
      </c>
      <c r="AT7" s="836">
        <v>649.25999999999988</v>
      </c>
      <c r="AU7" s="836">
        <v>698.5333333333333</v>
      </c>
      <c r="AV7" s="837">
        <v>733.61333333333334</v>
      </c>
      <c r="AW7" s="539">
        <f t="shared" ref="AW7" si="16">AVERAGE(AS7:AV7)</f>
        <v>726.12249999999995</v>
      </c>
      <c r="AX7" s="835">
        <v>801.66666666666663</v>
      </c>
      <c r="AY7" s="836">
        <v>872.42666666666662</v>
      </c>
      <c r="AZ7" s="836">
        <v>836.59</v>
      </c>
      <c r="BA7" s="837">
        <v>817.80666666666673</v>
      </c>
      <c r="BB7" s="539">
        <f t="shared" si="6"/>
        <v>832.12250000000006</v>
      </c>
      <c r="BC7" s="835">
        <v>1076.6666666666667</v>
      </c>
      <c r="BD7" s="836">
        <v>1076.4266666666665</v>
      </c>
      <c r="BE7" s="945">
        <v>961.7166666666667</v>
      </c>
      <c r="BF7" s="946">
        <v>930.25666666666666</v>
      </c>
      <c r="BG7" s="539">
        <f t="shared" si="7"/>
        <v>1011.2666666666667</v>
      </c>
      <c r="BH7" s="982">
        <v>993.95333333333338</v>
      </c>
      <c r="BI7" s="945">
        <v>971.94666666666672</v>
      </c>
      <c r="BJ7" s="945">
        <v>916.49666666666656</v>
      </c>
      <c r="BK7" s="946">
        <v>903.70333333333338</v>
      </c>
      <c r="BL7" s="539">
        <f t="shared" si="8"/>
        <v>946.52499999999998</v>
      </c>
      <c r="BM7" s="889">
        <v>925.77</v>
      </c>
      <c r="BN7" s="550">
        <v>912.12</v>
      </c>
      <c r="BO7" s="550">
        <v>930.15333333333331</v>
      </c>
      <c r="BP7" s="890">
        <v>952.18666666666661</v>
      </c>
      <c r="BQ7" s="539">
        <f t="shared" si="9"/>
        <v>930.05749999999989</v>
      </c>
      <c r="BR7" s="889">
        <v>981.62</v>
      </c>
      <c r="BS7" s="550">
        <v>956.29333333333341</v>
      </c>
      <c r="BT7" s="550">
        <v>935.43999999999994</v>
      </c>
      <c r="BU7" s="890">
        <v>895.50666666666666</v>
      </c>
      <c r="BV7" s="539">
        <f t="shared" ref="BV7" si="17">AVERAGE(BR7:BU7)</f>
        <v>942.21500000000003</v>
      </c>
      <c r="BW7" s="889">
        <v>836.2833333333333</v>
      </c>
      <c r="BX7" s="550">
        <v>719.63666666666666</v>
      </c>
      <c r="BY7" s="550">
        <v>705.09</v>
      </c>
      <c r="BZ7" s="837">
        <v>623.3366666666667</v>
      </c>
      <c r="CA7" s="539">
        <f t="shared" si="10"/>
        <v>721.0866666666667</v>
      </c>
      <c r="CB7" s="1012">
        <v>631.63666666666666</v>
      </c>
      <c r="CC7" s="1013">
        <v>772.28666666666675</v>
      </c>
      <c r="CD7" s="1013">
        <v>818.83333333333337</v>
      </c>
      <c r="CE7" s="1014">
        <v>803.60333333333335</v>
      </c>
      <c r="CF7" s="539">
        <f t="shared" si="11"/>
        <v>756.59</v>
      </c>
      <c r="CG7" s="1012">
        <v>908.79333333333341</v>
      </c>
      <c r="CH7" s="1020">
        <v>925.30333333333328</v>
      </c>
      <c r="CI7" s="1020">
        <v>886.70666666666659</v>
      </c>
      <c r="CJ7" s="1292">
        <v>892.08333333333337</v>
      </c>
      <c r="CK7" s="539">
        <f t="shared" si="12"/>
        <v>903.22166666666669</v>
      </c>
      <c r="CL7" s="1037">
        <v>920</v>
      </c>
      <c r="CM7" s="1038">
        <v>1080</v>
      </c>
      <c r="CN7" s="1038">
        <f>+CN8-CM8+CM7</f>
        <v>1075</v>
      </c>
      <c r="CO7" s="1039">
        <f>+CO8-CN8+CN7</f>
        <v>1060</v>
      </c>
      <c r="CP7" s="539">
        <f t="shared" si="13"/>
        <v>1033.75</v>
      </c>
      <c r="CQ7" s="1037">
        <f>+CQ8-CO8+CO7</f>
        <v>1070</v>
      </c>
      <c r="CR7" s="1038">
        <f>+CR8-CQ8+CQ7</f>
        <v>1075</v>
      </c>
      <c r="CS7" s="1038">
        <f>+CS8-CR8+CR7</f>
        <v>1045</v>
      </c>
      <c r="CT7" s="1039">
        <f>+CT8-CS8+CS7</f>
        <v>1000</v>
      </c>
      <c r="CU7" s="539">
        <f t="shared" si="14"/>
        <v>1047.5</v>
      </c>
      <c r="CV7" s="1037">
        <f>+CV8-CT8+CT7</f>
        <v>940</v>
      </c>
      <c r="CW7" s="1038">
        <f>+CW8-CV8+CV7</f>
        <v>935</v>
      </c>
      <c r="CX7" s="1038">
        <f>+CX8-CW8+CW7</f>
        <v>925</v>
      </c>
      <c r="CY7" s="1039">
        <f>+CY8-CX8+CX7</f>
        <v>910</v>
      </c>
      <c r="CZ7" s="539">
        <f t="shared" si="15"/>
        <v>927.5</v>
      </c>
      <c r="DA7" s="541"/>
    </row>
    <row r="8" spans="1:105" ht="13.5" customHeight="1">
      <c r="A8" s="819"/>
      <c r="B8" s="199" t="s">
        <v>585</v>
      </c>
      <c r="C8" s="199"/>
      <c r="D8" s="539"/>
      <c r="E8" s="539">
        <v>328.75</v>
      </c>
      <c r="F8" s="539">
        <v>342.08333333333331</v>
      </c>
      <c r="G8" s="539">
        <v>283.75</v>
      </c>
      <c r="H8" s="539">
        <v>272.91666666666669</v>
      </c>
      <c r="I8" s="539">
        <v>276.66666666666663</v>
      </c>
      <c r="J8" s="539"/>
      <c r="K8" s="539"/>
      <c r="L8" s="539"/>
      <c r="M8" s="539"/>
      <c r="N8" s="539">
        <v>272.5</v>
      </c>
      <c r="O8" s="539"/>
      <c r="P8" s="539"/>
      <c r="Q8" s="539"/>
      <c r="R8" s="539"/>
      <c r="S8" s="539">
        <v>279.16666666666669</v>
      </c>
      <c r="T8" s="539">
        <v>424.33333333333331</v>
      </c>
      <c r="U8" s="539">
        <v>520</v>
      </c>
      <c r="V8" s="539">
        <v>546.66666666666663</v>
      </c>
      <c r="W8" s="539">
        <v>520</v>
      </c>
      <c r="X8" s="539">
        <f t="shared" si="0"/>
        <v>502.75</v>
      </c>
      <c r="Y8" s="539">
        <v>483.33333333333331</v>
      </c>
      <c r="Z8" s="539">
        <v>480</v>
      </c>
      <c r="AA8" s="539">
        <v>473.33333333333331</v>
      </c>
      <c r="AB8" s="539">
        <v>506.66666666666669</v>
      </c>
      <c r="AC8" s="539">
        <f t="shared" si="1"/>
        <v>485.83333333333331</v>
      </c>
      <c r="AD8" s="539">
        <v>500</v>
      </c>
      <c r="AE8" s="539">
        <v>516.66666666666663</v>
      </c>
      <c r="AF8" s="539">
        <v>550</v>
      </c>
      <c r="AG8" s="539">
        <v>533.33333333333337</v>
      </c>
      <c r="AH8" s="539">
        <f t="shared" si="2"/>
        <v>525</v>
      </c>
      <c r="AI8" s="539">
        <v>535</v>
      </c>
      <c r="AJ8" s="539">
        <v>645.06666666666672</v>
      </c>
      <c r="AK8" s="539">
        <v>601.4666666666667</v>
      </c>
      <c r="AL8" s="539">
        <v>575.4666666666667</v>
      </c>
      <c r="AM8" s="539">
        <f t="shared" si="3"/>
        <v>589.25</v>
      </c>
      <c r="AN8" s="539">
        <v>652.66666666666663</v>
      </c>
      <c r="AO8" s="539">
        <v>848.13333333333333</v>
      </c>
      <c r="AP8" s="539">
        <v>1007.4666666666667</v>
      </c>
      <c r="AQ8" s="539">
        <v>766.73333333333323</v>
      </c>
      <c r="AR8" s="539">
        <f t="shared" si="4"/>
        <v>818.74999999999989</v>
      </c>
      <c r="AS8" s="835">
        <v>618.86666666666667</v>
      </c>
      <c r="AT8" s="836">
        <v>495.06666666666666</v>
      </c>
      <c r="AU8" s="836">
        <v>536.26666666666677</v>
      </c>
      <c r="AV8" s="837">
        <v>494.4666666666667</v>
      </c>
      <c r="AW8" s="539">
        <f t="shared" si="5"/>
        <v>536.16666666666674</v>
      </c>
      <c r="AX8" s="835">
        <v>522</v>
      </c>
      <c r="AY8" s="836">
        <v>616.86666666666667</v>
      </c>
      <c r="AZ8" s="836">
        <v>599.93333333333339</v>
      </c>
      <c r="BA8" s="837">
        <v>645.5333333333333</v>
      </c>
      <c r="BB8" s="539">
        <f t="shared" si="6"/>
        <v>596.08333333333337</v>
      </c>
      <c r="BC8" s="835">
        <v>761.66666666666663</v>
      </c>
      <c r="BD8" s="836">
        <v>754.79999999999984</v>
      </c>
      <c r="BE8" s="945">
        <v>750.26666666666677</v>
      </c>
      <c r="BF8" s="946">
        <v>782.06666666666661</v>
      </c>
      <c r="BG8" s="540">
        <f t="shared" si="7"/>
        <v>762.19999999999993</v>
      </c>
      <c r="BH8" s="982">
        <v>767.13333333333333</v>
      </c>
      <c r="BI8" s="945">
        <v>740.86666666666679</v>
      </c>
      <c r="BJ8" s="945">
        <v>690.33333333333337</v>
      </c>
      <c r="BK8" s="946">
        <v>661.73333333333323</v>
      </c>
      <c r="BL8" s="539">
        <f t="shared" si="8"/>
        <v>715.01666666666665</v>
      </c>
      <c r="BM8" s="889">
        <v>678.73333333333335</v>
      </c>
      <c r="BN8" s="550">
        <v>662.53333333333342</v>
      </c>
      <c r="BO8" s="550">
        <v>645</v>
      </c>
      <c r="BP8" s="890">
        <v>651.80000000000007</v>
      </c>
      <c r="BQ8" s="539">
        <f t="shared" si="9"/>
        <v>659.51666666666677</v>
      </c>
      <c r="BR8" s="889">
        <v>687</v>
      </c>
      <c r="BS8" s="550">
        <v>687.13333333333333</v>
      </c>
      <c r="BT8" s="550">
        <v>662.6</v>
      </c>
      <c r="BU8" s="890">
        <v>671.93333333333328</v>
      </c>
      <c r="BV8" s="539">
        <f t="shared" ref="BV8:BV14" si="18">AVERAGE(BR8:BU8)</f>
        <v>677.16666666666663</v>
      </c>
      <c r="BW8" s="889">
        <v>622.66666666666663</v>
      </c>
      <c r="BX8" s="550">
        <v>587.66666666666663</v>
      </c>
      <c r="BY8" s="550">
        <v>565.53333333333342</v>
      </c>
      <c r="BZ8" s="837">
        <v>507.13333333333338</v>
      </c>
      <c r="CA8" s="539">
        <f t="shared" si="10"/>
        <v>570.75</v>
      </c>
      <c r="CB8" s="982">
        <v>478.8</v>
      </c>
      <c r="CC8" s="836">
        <v>540.4</v>
      </c>
      <c r="CD8" s="836">
        <v>524.5333333333333</v>
      </c>
      <c r="CE8" s="837">
        <v>503.93333333333334</v>
      </c>
      <c r="CF8" s="539">
        <f t="shared" si="11"/>
        <v>511.91666666666669</v>
      </c>
      <c r="CG8" s="835">
        <v>545.06666666666672</v>
      </c>
      <c r="CH8" s="836">
        <v>532.80000000000007</v>
      </c>
      <c r="CI8" s="836">
        <v>549</v>
      </c>
      <c r="CJ8" s="837">
        <v>564.4</v>
      </c>
      <c r="CK8" s="539">
        <f t="shared" si="12"/>
        <v>547.81666666666672</v>
      </c>
      <c r="CL8" s="835">
        <v>637</v>
      </c>
      <c r="CM8" s="836">
        <v>730</v>
      </c>
      <c r="CN8" s="836">
        <v>725</v>
      </c>
      <c r="CO8" s="837">
        <v>710</v>
      </c>
      <c r="CP8" s="539">
        <f t="shared" si="13"/>
        <v>700.5</v>
      </c>
      <c r="CQ8" s="835">
        <v>720</v>
      </c>
      <c r="CR8" s="836">
        <v>725</v>
      </c>
      <c r="CS8" s="836">
        <v>695</v>
      </c>
      <c r="CT8" s="837">
        <v>650</v>
      </c>
      <c r="CU8" s="539">
        <f t="shared" si="14"/>
        <v>697.5</v>
      </c>
      <c r="CV8" s="835">
        <v>590</v>
      </c>
      <c r="CW8" s="836">
        <v>585</v>
      </c>
      <c r="CX8" s="836">
        <v>575</v>
      </c>
      <c r="CY8" s="837">
        <v>560</v>
      </c>
      <c r="CZ8" s="539">
        <f t="shared" si="15"/>
        <v>577.5</v>
      </c>
    </row>
    <row r="9" spans="1:105" ht="13.5" customHeight="1">
      <c r="A9" s="819"/>
      <c r="B9" s="199" t="s">
        <v>552</v>
      </c>
      <c r="C9" s="199"/>
      <c r="D9" s="541"/>
      <c r="E9" s="541"/>
      <c r="F9" s="541"/>
      <c r="G9" s="541"/>
      <c r="H9" s="541"/>
      <c r="I9" s="541"/>
      <c r="J9" s="541"/>
      <c r="K9" s="541"/>
      <c r="L9" s="541"/>
      <c r="M9" s="541"/>
      <c r="N9" s="541"/>
      <c r="O9" s="541"/>
      <c r="P9" s="541"/>
      <c r="Q9" s="541"/>
      <c r="R9" s="541"/>
      <c r="S9" s="541"/>
      <c r="T9" s="541"/>
      <c r="U9" s="541"/>
      <c r="V9" s="541"/>
      <c r="W9" s="541"/>
      <c r="X9" s="541"/>
      <c r="Y9" s="541"/>
      <c r="Z9" s="541"/>
      <c r="AA9" s="541"/>
      <c r="AB9" s="541"/>
      <c r="AC9" s="541"/>
      <c r="AD9" s="541"/>
      <c r="AE9" s="541"/>
      <c r="AF9" s="541"/>
      <c r="AG9" s="541"/>
      <c r="AH9" s="541"/>
      <c r="AI9" s="541"/>
      <c r="AJ9" s="541"/>
      <c r="AK9" s="541"/>
      <c r="AL9" s="541"/>
      <c r="AM9" s="541"/>
      <c r="AN9" s="549">
        <v>766.6</v>
      </c>
      <c r="AO9" s="549">
        <v>963.33333333333337</v>
      </c>
      <c r="AP9" s="549">
        <v>1240</v>
      </c>
      <c r="AQ9" s="549">
        <v>1055.0666666666666</v>
      </c>
      <c r="AR9" s="540">
        <f>AVERAGE(AN9:AQ9)</f>
        <v>1006.25</v>
      </c>
      <c r="AS9" s="838">
        <v>773.93333333333339</v>
      </c>
      <c r="AT9" s="598">
        <v>691.73333333333323</v>
      </c>
      <c r="AU9" s="598">
        <v>678.6</v>
      </c>
      <c r="AV9" s="839">
        <v>710</v>
      </c>
      <c r="AW9" s="540">
        <f>AVERAGE(AS9:AV9)</f>
        <v>713.56666666666661</v>
      </c>
      <c r="AX9" s="838">
        <v>824.73333333333323</v>
      </c>
      <c r="AY9" s="598">
        <v>840.73333333333323</v>
      </c>
      <c r="AZ9" s="598">
        <v>854.4</v>
      </c>
      <c r="BA9" s="839">
        <v>852.33333333333337</v>
      </c>
      <c r="BB9" s="540">
        <f>AVERAGE(AX9:BA9)</f>
        <v>843.05</v>
      </c>
      <c r="BC9" s="838">
        <v>963</v>
      </c>
      <c r="BD9" s="598">
        <v>1039.7333333333333</v>
      </c>
      <c r="BE9" s="598">
        <v>1053.6666666666667</v>
      </c>
      <c r="BF9" s="839">
        <v>1056.6666666666667</v>
      </c>
      <c r="BG9" s="540">
        <f>AVERAGE(BC9:BF9)</f>
        <v>1028.2666666666667</v>
      </c>
      <c r="BH9" s="982">
        <v>1093.8666666666666</v>
      </c>
      <c r="BI9" s="945">
        <v>1021.1999999999999</v>
      </c>
      <c r="BJ9" s="945">
        <v>900.86666666666679</v>
      </c>
      <c r="BK9" s="946">
        <v>870.93333333333339</v>
      </c>
      <c r="BL9" s="539">
        <f>AVERAGE(BH9:BK9)</f>
        <v>971.7166666666667</v>
      </c>
      <c r="BM9" s="889">
        <v>868.06666666666672</v>
      </c>
      <c r="BN9" s="550">
        <v>863.93333333333339</v>
      </c>
      <c r="BO9" s="550">
        <v>831.93333333333339</v>
      </c>
      <c r="BP9" s="890">
        <v>824.06666666666661</v>
      </c>
      <c r="BQ9" s="539">
        <f t="shared" si="9"/>
        <v>847</v>
      </c>
      <c r="BR9" s="889">
        <v>877.86666666666679</v>
      </c>
      <c r="BS9" s="550">
        <v>897.6</v>
      </c>
      <c r="BT9" s="550">
        <v>902.4666666666667</v>
      </c>
      <c r="BU9" s="890">
        <v>926.06666666666661</v>
      </c>
      <c r="BV9" s="539">
        <f t="shared" si="18"/>
        <v>901</v>
      </c>
      <c r="BW9" s="889">
        <v>895.46666666666658</v>
      </c>
      <c r="BX9" s="550">
        <v>776.33333333333337</v>
      </c>
      <c r="BY9" s="550">
        <v>727.33333333333337</v>
      </c>
      <c r="BZ9" s="837">
        <v>648</v>
      </c>
      <c r="CA9" s="539">
        <f t="shared" si="10"/>
        <v>761.7833333333333</v>
      </c>
      <c r="CB9" s="982">
        <v>623.19999999999993</v>
      </c>
      <c r="CC9" s="836">
        <v>645.26666666666665</v>
      </c>
      <c r="CD9" s="836">
        <v>639.4</v>
      </c>
      <c r="CE9" s="837">
        <v>601.26666666666665</v>
      </c>
      <c r="CF9" s="539">
        <f t="shared" si="11"/>
        <v>627.2833333333333</v>
      </c>
      <c r="CG9" s="835">
        <v>691.19999999999993</v>
      </c>
      <c r="CH9" s="836">
        <v>754.66666666666663</v>
      </c>
      <c r="CI9" s="836">
        <v>796.93333333333339</v>
      </c>
      <c r="CJ9" s="837">
        <v>788.80000000000007</v>
      </c>
      <c r="CK9" s="539">
        <f t="shared" si="12"/>
        <v>757.90000000000009</v>
      </c>
      <c r="CL9" s="835">
        <v>824.13333333333333</v>
      </c>
      <c r="CM9" s="836">
        <v>910</v>
      </c>
      <c r="CN9" s="836">
        <v>925</v>
      </c>
      <c r="CO9" s="837">
        <v>895</v>
      </c>
      <c r="CP9" s="539">
        <f t="shared" si="13"/>
        <v>888.5333333333333</v>
      </c>
      <c r="CQ9" s="835">
        <v>905</v>
      </c>
      <c r="CR9" s="836">
        <v>910</v>
      </c>
      <c r="CS9" s="836">
        <v>890</v>
      </c>
      <c r="CT9" s="837">
        <v>845</v>
      </c>
      <c r="CU9" s="539">
        <f t="shared" si="14"/>
        <v>887.5</v>
      </c>
      <c r="CV9" s="835">
        <v>805</v>
      </c>
      <c r="CW9" s="836">
        <v>810</v>
      </c>
      <c r="CX9" s="836">
        <v>800</v>
      </c>
      <c r="CY9" s="837">
        <v>785</v>
      </c>
      <c r="CZ9" s="539">
        <f t="shared" si="15"/>
        <v>800</v>
      </c>
    </row>
    <row r="10" spans="1:105" ht="13.5" customHeight="1">
      <c r="A10" s="819"/>
      <c r="B10" s="66" t="s">
        <v>79</v>
      </c>
      <c r="C10" s="66"/>
      <c r="D10" s="66"/>
      <c r="E10" s="66"/>
      <c r="F10" s="66"/>
      <c r="G10" s="66"/>
      <c r="H10" s="102"/>
      <c r="I10" s="102"/>
      <c r="J10" s="102"/>
      <c r="K10" s="102"/>
      <c r="L10" s="102"/>
      <c r="M10" s="102"/>
      <c r="N10" s="102"/>
      <c r="O10" s="102"/>
      <c r="P10" s="102"/>
      <c r="Q10" s="102"/>
      <c r="R10" s="102"/>
      <c r="S10" s="102"/>
      <c r="T10" s="102"/>
      <c r="U10" s="102"/>
      <c r="V10" s="102"/>
      <c r="W10" s="102"/>
      <c r="X10" s="102"/>
      <c r="Y10" s="102"/>
      <c r="Z10" s="102"/>
      <c r="AA10" s="102"/>
      <c r="AB10" s="102"/>
      <c r="AC10" s="102"/>
      <c r="AD10" s="102"/>
      <c r="AE10" s="102"/>
      <c r="AF10" s="102"/>
      <c r="AG10" s="102"/>
      <c r="AH10" s="102"/>
      <c r="AI10" s="102"/>
      <c r="AJ10" s="102"/>
      <c r="AK10" s="102"/>
      <c r="AL10" s="102"/>
      <c r="AM10" s="102"/>
      <c r="AN10" s="102"/>
      <c r="AO10" s="102"/>
      <c r="AP10" s="102"/>
      <c r="AQ10" s="102"/>
      <c r="AR10" s="102"/>
      <c r="AS10" s="840"/>
      <c r="AT10" s="99"/>
      <c r="AU10" s="99"/>
      <c r="AV10" s="841"/>
      <c r="AW10" s="102"/>
      <c r="AX10" s="840"/>
      <c r="AY10" s="99"/>
      <c r="AZ10" s="99"/>
      <c r="BA10" s="841"/>
      <c r="BB10" s="102"/>
      <c r="BC10" s="838">
        <f t="shared" ref="BC10:CH10" si="19">(BC35*BC9+BC34*BC8)/(BC34+BC35)</f>
        <v>818.9167440420922</v>
      </c>
      <c r="BD10" s="598">
        <f t="shared" si="19"/>
        <v>828.37574480044952</v>
      </c>
      <c r="BE10" s="598">
        <f t="shared" si="19"/>
        <v>826.2407059144183</v>
      </c>
      <c r="BF10" s="839">
        <f t="shared" si="19"/>
        <v>852.49903685092113</v>
      </c>
      <c r="BG10" s="549">
        <f t="shared" si="19"/>
        <v>831.84351851851841</v>
      </c>
      <c r="BH10" s="838">
        <f t="shared" si="19"/>
        <v>846.48470790378019</v>
      </c>
      <c r="BI10" s="598">
        <f t="shared" si="19"/>
        <v>805.66069182389947</v>
      </c>
      <c r="BJ10" s="598">
        <f t="shared" si="19"/>
        <v>738.84788061198913</v>
      </c>
      <c r="BK10" s="839">
        <f t="shared" si="19"/>
        <v>716.82146746918886</v>
      </c>
      <c r="BL10" s="549">
        <f t="shared" si="19"/>
        <v>776.94212944728906</v>
      </c>
      <c r="BM10" s="838">
        <f t="shared" si="19"/>
        <v>726.55933490442521</v>
      </c>
      <c r="BN10" s="598">
        <f t="shared" si="19"/>
        <v>713.4473958333333</v>
      </c>
      <c r="BO10" s="598">
        <f t="shared" si="19"/>
        <v>689.69200743494423</v>
      </c>
      <c r="BP10" s="839">
        <f t="shared" si="19"/>
        <v>694.60873261205575</v>
      </c>
      <c r="BQ10" s="549">
        <f t="shared" si="19"/>
        <v>706.03488377700626</v>
      </c>
      <c r="BR10" s="838">
        <f t="shared" si="19"/>
        <v>743.51122625215896</v>
      </c>
      <c r="BS10" s="598">
        <f t="shared" si="19"/>
        <v>746.00512820512836</v>
      </c>
      <c r="BT10" s="598">
        <f t="shared" si="19"/>
        <v>726.47927208166891</v>
      </c>
      <c r="BU10" s="839">
        <f t="shared" si="19"/>
        <v>753.71397157414845</v>
      </c>
      <c r="BV10" s="549">
        <f t="shared" si="19"/>
        <v>741.97544939075874</v>
      </c>
      <c r="BW10" s="838">
        <f t="shared" si="19"/>
        <v>715.69309462915601</v>
      </c>
      <c r="BX10" s="598">
        <f t="shared" si="19"/>
        <v>644.66565961732124</v>
      </c>
      <c r="BY10" s="598">
        <f t="shared" si="19"/>
        <v>618.62603226688555</v>
      </c>
      <c r="BZ10" s="839">
        <f t="shared" si="19"/>
        <v>559.59764121663568</v>
      </c>
      <c r="CA10" s="549">
        <f t="shared" si="19"/>
        <v>634.56071677105069</v>
      </c>
      <c r="CB10" s="838">
        <f t="shared" si="19"/>
        <v>521.42730627306275</v>
      </c>
      <c r="CC10" s="598">
        <f t="shared" si="19"/>
        <v>570.7082851637764</v>
      </c>
      <c r="CD10" s="598">
        <f t="shared" si="19"/>
        <v>559.6607543323139</v>
      </c>
      <c r="CE10" s="839">
        <f t="shared" si="19"/>
        <v>534.90654998674086</v>
      </c>
      <c r="CF10" s="549">
        <f t="shared" si="19"/>
        <v>546.7180744092509</v>
      </c>
      <c r="CG10" s="838">
        <f t="shared" si="19"/>
        <v>588.68855721393038</v>
      </c>
      <c r="CH10" s="598">
        <f t="shared" si="19"/>
        <v>592.24183969636078</v>
      </c>
      <c r="CI10" s="598">
        <f t="shared" ref="CI10:CZ10" si="20">(CI35*CI9+CI34*CI8)/(CI34+CI35)</f>
        <v>615.6039847772555</v>
      </c>
      <c r="CJ10" s="839">
        <f t="shared" si="20"/>
        <v>623.60844327176778</v>
      </c>
      <c r="CK10" s="549">
        <f t="shared" si="20"/>
        <v>605.39346237295888</v>
      </c>
      <c r="CL10" s="838">
        <f t="shared" si="20"/>
        <v>682.33817888148587</v>
      </c>
      <c r="CM10" s="598">
        <f t="shared" si="20"/>
        <v>777.52914460742238</v>
      </c>
      <c r="CN10" s="598">
        <f t="shared" si="20"/>
        <v>777.95277935900663</v>
      </c>
      <c r="CO10" s="839">
        <f t="shared" si="20"/>
        <v>758.1044256071558</v>
      </c>
      <c r="CP10" s="549">
        <f t="shared" si="20"/>
        <v>748.90792753828396</v>
      </c>
      <c r="CQ10" s="838">
        <f t="shared" si="20"/>
        <v>764.15221775396469</v>
      </c>
      <c r="CR10" s="598">
        <f t="shared" si="20"/>
        <v>773.14081474555769</v>
      </c>
      <c r="CS10" s="598">
        <f t="shared" si="20"/>
        <v>745.88077226053349</v>
      </c>
      <c r="CT10" s="839">
        <f t="shared" si="20"/>
        <v>699.96520371966596</v>
      </c>
      <c r="CU10" s="549">
        <f t="shared" si="20"/>
        <v>745.69843142010086</v>
      </c>
      <c r="CV10" s="838">
        <f t="shared" si="20"/>
        <v>634.8275333628917</v>
      </c>
      <c r="CW10" s="598">
        <f t="shared" si="20"/>
        <v>636.33420250275594</v>
      </c>
      <c r="CX10" s="598">
        <f t="shared" si="20"/>
        <v>626.47961673384157</v>
      </c>
      <c r="CY10" s="839">
        <f t="shared" si="20"/>
        <v>610.51375814718449</v>
      </c>
      <c r="CZ10" s="549">
        <f t="shared" si="20"/>
        <v>626.93319531666668</v>
      </c>
    </row>
    <row r="11" spans="1:105" ht="13.5" customHeight="1">
      <c r="A11" s="819"/>
      <c r="B11" s="199" t="s">
        <v>464</v>
      </c>
      <c r="C11" s="199"/>
      <c r="D11" s="539"/>
      <c r="E11" s="539">
        <v>384.58333333333331</v>
      </c>
      <c r="F11" s="539">
        <v>379.58333333333331</v>
      </c>
      <c r="G11" s="539">
        <v>333.75</v>
      </c>
      <c r="H11" s="539">
        <v>345.83333333333331</v>
      </c>
      <c r="I11" s="539">
        <v>342.91666666666669</v>
      </c>
      <c r="J11" s="539"/>
      <c r="K11" s="539"/>
      <c r="L11" s="539"/>
      <c r="M11" s="539"/>
      <c r="N11" s="539">
        <v>335.83333333333331</v>
      </c>
      <c r="O11" s="539"/>
      <c r="P11" s="539"/>
      <c r="Q11" s="539"/>
      <c r="R11" s="539"/>
      <c r="S11" s="539">
        <v>315.83333333333331</v>
      </c>
      <c r="T11" s="539">
        <v>442.33333333333331</v>
      </c>
      <c r="U11" s="539">
        <v>525.33333333333337</v>
      </c>
      <c r="V11" s="539">
        <v>558</v>
      </c>
      <c r="W11" s="539">
        <v>578.66666666666663</v>
      </c>
      <c r="X11" s="539">
        <f t="shared" si="0"/>
        <v>526.08333333333337</v>
      </c>
      <c r="Y11" s="539">
        <v>583</v>
      </c>
      <c r="Z11" s="539">
        <v>583</v>
      </c>
      <c r="AA11" s="539">
        <v>540</v>
      </c>
      <c r="AB11" s="539">
        <v>620</v>
      </c>
      <c r="AC11" s="539">
        <f t="shared" si="1"/>
        <v>581.5</v>
      </c>
      <c r="AD11" s="539">
        <v>620</v>
      </c>
      <c r="AE11" s="539">
        <v>640.66666666666663</v>
      </c>
      <c r="AF11" s="539">
        <v>670</v>
      </c>
      <c r="AG11" s="539">
        <v>670</v>
      </c>
      <c r="AH11" s="539">
        <f t="shared" si="2"/>
        <v>650.16666666666663</v>
      </c>
      <c r="AI11" s="539">
        <v>695</v>
      </c>
      <c r="AJ11" s="539">
        <v>770</v>
      </c>
      <c r="AK11" s="539">
        <v>770</v>
      </c>
      <c r="AL11" s="539">
        <v>787</v>
      </c>
      <c r="AM11" s="539">
        <f t="shared" si="3"/>
        <v>755.5</v>
      </c>
      <c r="AN11" s="539">
        <v>855.33333333333337</v>
      </c>
      <c r="AO11" s="539">
        <v>987</v>
      </c>
      <c r="AP11" s="539">
        <v>1133</v>
      </c>
      <c r="AQ11" s="539">
        <v>991.66666666666663</v>
      </c>
      <c r="AR11" s="539">
        <f t="shared" si="4"/>
        <v>991.75</v>
      </c>
      <c r="AS11" s="835">
        <v>894</v>
      </c>
      <c r="AT11" s="836">
        <v>716.66666666666663</v>
      </c>
      <c r="AU11" s="836">
        <v>741.66666666666663</v>
      </c>
      <c r="AV11" s="837">
        <v>735</v>
      </c>
      <c r="AW11" s="539">
        <f t="shared" si="5"/>
        <v>771.83333333333326</v>
      </c>
      <c r="AX11" s="835">
        <v>735</v>
      </c>
      <c r="AY11" s="836">
        <v>769.66666666666663</v>
      </c>
      <c r="AZ11" s="836">
        <v>734.66666666666663</v>
      </c>
      <c r="BA11" s="837">
        <v>758.66666666666663</v>
      </c>
      <c r="BB11" s="539">
        <f t="shared" si="6"/>
        <v>749.49999999999989</v>
      </c>
      <c r="BC11" s="835">
        <v>875</v>
      </c>
      <c r="BD11" s="836">
        <v>895</v>
      </c>
      <c r="BE11" s="945">
        <v>831.33200278206175</v>
      </c>
      <c r="BF11" s="946">
        <v>820.33333333333337</v>
      </c>
      <c r="BG11" s="540">
        <f t="shared" si="7"/>
        <v>855.41633402884884</v>
      </c>
      <c r="BH11" s="982">
        <v>837.66666666666663</v>
      </c>
      <c r="BI11" s="945">
        <v>819</v>
      </c>
      <c r="BJ11" s="945">
        <v>769.66666666666663</v>
      </c>
      <c r="BK11" s="946">
        <v>757.66499387763997</v>
      </c>
      <c r="BL11" s="539">
        <f t="shared" si="8"/>
        <v>795.99958180274325</v>
      </c>
      <c r="BM11" s="889">
        <v>766.99496851300648</v>
      </c>
      <c r="BN11" s="550">
        <v>769.66161768645463</v>
      </c>
      <c r="BO11" s="550">
        <v>762.32833245947234</v>
      </c>
      <c r="BP11" s="890">
        <v>758.66168984598119</v>
      </c>
      <c r="BQ11" s="539">
        <f t="shared" si="9"/>
        <v>764.41165212622866</v>
      </c>
      <c r="BR11" s="889">
        <v>791.33333333333337</v>
      </c>
      <c r="BS11" s="550">
        <v>794</v>
      </c>
      <c r="BT11" s="550">
        <v>799</v>
      </c>
      <c r="BU11" s="890">
        <v>796</v>
      </c>
      <c r="BV11" s="539">
        <f t="shared" si="18"/>
        <v>795.08333333333337</v>
      </c>
      <c r="BW11" s="889">
        <v>751.33333333333337</v>
      </c>
      <c r="BX11" s="550">
        <v>702</v>
      </c>
      <c r="BY11" s="550">
        <v>685</v>
      </c>
      <c r="BZ11" s="837">
        <v>644</v>
      </c>
      <c r="CA11" s="539">
        <f t="shared" si="10"/>
        <v>695.58333333333337</v>
      </c>
      <c r="CB11" s="982">
        <v>615.66666666666663</v>
      </c>
      <c r="CC11" s="836">
        <v>642.06666666666661</v>
      </c>
      <c r="CD11" s="836">
        <v>668.66666666666663</v>
      </c>
      <c r="CE11" s="837">
        <v>650.33333333333337</v>
      </c>
      <c r="CF11" s="539">
        <f t="shared" si="11"/>
        <v>644.18333333333328</v>
      </c>
      <c r="CG11" s="835">
        <v>703</v>
      </c>
      <c r="CH11" s="836">
        <v>712.19999999999993</v>
      </c>
      <c r="CI11" s="836">
        <v>700</v>
      </c>
      <c r="CJ11" s="837">
        <v>620</v>
      </c>
      <c r="CK11" s="539">
        <f t="shared" si="12"/>
        <v>683.8</v>
      </c>
      <c r="CL11" s="835">
        <v>690</v>
      </c>
      <c r="CM11" s="836">
        <v>835</v>
      </c>
      <c r="CN11" s="836">
        <v>830</v>
      </c>
      <c r="CO11" s="837">
        <v>815</v>
      </c>
      <c r="CP11" s="539">
        <f t="shared" si="13"/>
        <v>792.5</v>
      </c>
      <c r="CQ11" s="835">
        <v>825</v>
      </c>
      <c r="CR11" s="836">
        <v>830</v>
      </c>
      <c r="CS11" s="836">
        <v>800</v>
      </c>
      <c r="CT11" s="837">
        <v>755</v>
      </c>
      <c r="CU11" s="539">
        <f t="shared" si="14"/>
        <v>802.5</v>
      </c>
      <c r="CV11" s="835">
        <v>695</v>
      </c>
      <c r="CW11" s="836">
        <v>705</v>
      </c>
      <c r="CX11" s="836">
        <v>695</v>
      </c>
      <c r="CY11" s="837">
        <v>680</v>
      </c>
      <c r="CZ11" s="539">
        <f t="shared" si="15"/>
        <v>693.75</v>
      </c>
    </row>
    <row r="12" spans="1:105" ht="13.5" customHeight="1">
      <c r="A12" s="819"/>
      <c r="B12" s="199" t="s">
        <v>465</v>
      </c>
      <c r="C12" s="199"/>
      <c r="D12" s="539"/>
      <c r="E12" s="539">
        <v>417.91666666666663</v>
      </c>
      <c r="F12" s="539">
        <v>430.37709032628743</v>
      </c>
      <c r="G12" s="539">
        <v>330.86629471710665</v>
      </c>
      <c r="H12" s="539">
        <v>340.5</v>
      </c>
      <c r="I12" s="539">
        <v>290.66666666666669</v>
      </c>
      <c r="J12" s="539"/>
      <c r="K12" s="539"/>
      <c r="L12" s="539"/>
      <c r="M12" s="539"/>
      <c r="N12" s="539">
        <v>323.75</v>
      </c>
      <c r="O12" s="539"/>
      <c r="P12" s="539"/>
      <c r="Q12" s="539"/>
      <c r="R12" s="539"/>
      <c r="S12" s="539">
        <v>331.66666666666669</v>
      </c>
      <c r="T12" s="539">
        <v>490</v>
      </c>
      <c r="U12" s="539">
        <v>621</v>
      </c>
      <c r="V12" s="539">
        <v>716.33333333333337</v>
      </c>
      <c r="W12" s="539">
        <v>786.33333333333337</v>
      </c>
      <c r="X12" s="539">
        <f t="shared" si="0"/>
        <v>653.41666666666674</v>
      </c>
      <c r="Y12" s="539">
        <v>776.33333333333337</v>
      </c>
      <c r="Z12" s="539">
        <v>742</v>
      </c>
      <c r="AA12" s="539">
        <v>690</v>
      </c>
      <c r="AB12" s="539">
        <v>765</v>
      </c>
      <c r="AC12" s="539">
        <f t="shared" si="1"/>
        <v>743.33333333333337</v>
      </c>
      <c r="AD12" s="539">
        <v>765</v>
      </c>
      <c r="AE12" s="539">
        <v>776.66666666666663</v>
      </c>
      <c r="AF12" s="539">
        <v>796.66666666666663</v>
      </c>
      <c r="AG12" s="539">
        <v>790</v>
      </c>
      <c r="AH12" s="539">
        <f t="shared" si="2"/>
        <v>782.08333333333326</v>
      </c>
      <c r="AI12" s="539">
        <v>760</v>
      </c>
      <c r="AJ12" s="539">
        <v>800</v>
      </c>
      <c r="AK12" s="539">
        <v>790</v>
      </c>
      <c r="AL12" s="539">
        <v>790</v>
      </c>
      <c r="AM12" s="539">
        <f t="shared" si="3"/>
        <v>785</v>
      </c>
      <c r="AN12" s="539">
        <v>910</v>
      </c>
      <c r="AO12" s="539">
        <v>1235</v>
      </c>
      <c r="AP12" s="539">
        <v>1443.3333333333333</v>
      </c>
      <c r="AQ12" s="539">
        <v>1130</v>
      </c>
      <c r="AR12" s="539">
        <f t="shared" si="4"/>
        <v>1179.5833333333333</v>
      </c>
      <c r="AS12" s="835">
        <v>743.33333333333337</v>
      </c>
      <c r="AT12" s="836">
        <v>566.66666666666663</v>
      </c>
      <c r="AU12" s="836">
        <v>600</v>
      </c>
      <c r="AV12" s="837">
        <v>596.66666666666663</v>
      </c>
      <c r="AW12" s="539">
        <f t="shared" si="5"/>
        <v>626.66666666666663</v>
      </c>
      <c r="AX12" s="835">
        <v>681.66666666666663</v>
      </c>
      <c r="AY12" s="836">
        <v>823.33333333333337</v>
      </c>
      <c r="AZ12" s="836">
        <v>755.66666666666663</v>
      </c>
      <c r="BA12" s="837">
        <v>736.66666666666663</v>
      </c>
      <c r="BB12" s="539">
        <f t="shared" si="6"/>
        <v>749.33333333333326</v>
      </c>
      <c r="BC12" s="835">
        <v>943.33333333333337</v>
      </c>
      <c r="BD12" s="836">
        <v>1040</v>
      </c>
      <c r="BE12" s="945">
        <v>994.00087695424725</v>
      </c>
      <c r="BF12" s="946">
        <v>904.66666666666663</v>
      </c>
      <c r="BG12" s="540">
        <f t="shared" si="7"/>
        <v>970.50021923856184</v>
      </c>
      <c r="BH12" s="982">
        <v>914.66666666666663</v>
      </c>
      <c r="BI12" s="945">
        <v>870.66666666666663</v>
      </c>
      <c r="BJ12" s="945">
        <v>781</v>
      </c>
      <c r="BK12" s="946">
        <v>700.33333333333337</v>
      </c>
      <c r="BL12" s="539">
        <f t="shared" si="8"/>
        <v>816.66666666666663</v>
      </c>
      <c r="BM12" s="889">
        <v>718</v>
      </c>
      <c r="BN12" s="550">
        <v>718</v>
      </c>
      <c r="BO12" s="550">
        <v>706.33333333333337</v>
      </c>
      <c r="BP12" s="890">
        <v>721.33333333333337</v>
      </c>
      <c r="BQ12" s="539">
        <f t="shared" si="9"/>
        <v>715.91666666666674</v>
      </c>
      <c r="BR12" s="889">
        <v>787</v>
      </c>
      <c r="BS12" s="550">
        <v>811.66666666666663</v>
      </c>
      <c r="BT12" s="550">
        <v>846.66666666666663</v>
      </c>
      <c r="BU12" s="890">
        <v>794</v>
      </c>
      <c r="BV12" s="539">
        <f t="shared" si="18"/>
        <v>809.83333333333326</v>
      </c>
      <c r="BW12" s="889">
        <v>664.33333333333337</v>
      </c>
      <c r="BX12" s="550">
        <v>581.33333333333337</v>
      </c>
      <c r="BY12" s="550">
        <v>540.66666666666663</v>
      </c>
      <c r="BZ12" s="837">
        <v>458.66666666666669</v>
      </c>
      <c r="CA12" s="539">
        <f t="shared" si="10"/>
        <v>561.25</v>
      </c>
      <c r="CB12" s="982">
        <v>473.33333333333331</v>
      </c>
      <c r="CC12" s="836">
        <v>622</v>
      </c>
      <c r="CD12" s="836">
        <v>570.33333333333337</v>
      </c>
      <c r="CE12" s="837">
        <v>509.66666666666669</v>
      </c>
      <c r="CF12" s="539">
        <f t="shared" si="11"/>
        <v>543.83333333333326</v>
      </c>
      <c r="CG12" s="835">
        <v>682</v>
      </c>
      <c r="CH12" s="836">
        <v>717.78260869565213</v>
      </c>
      <c r="CI12" s="836">
        <v>691.80105401844537</v>
      </c>
      <c r="CJ12" s="837">
        <v>640.61304347826081</v>
      </c>
      <c r="CK12" s="539">
        <f t="shared" si="12"/>
        <v>683.04917654808958</v>
      </c>
      <c r="CL12" s="835">
        <v>819.5927865612648</v>
      </c>
      <c r="CM12" s="836">
        <v>965</v>
      </c>
      <c r="CN12" s="836">
        <v>910</v>
      </c>
      <c r="CO12" s="837">
        <v>865</v>
      </c>
      <c r="CP12" s="539">
        <f t="shared" si="13"/>
        <v>889.8981966403162</v>
      </c>
      <c r="CQ12" s="835">
        <v>880</v>
      </c>
      <c r="CR12" s="836">
        <v>850</v>
      </c>
      <c r="CS12" s="836">
        <v>840</v>
      </c>
      <c r="CT12" s="837">
        <v>795</v>
      </c>
      <c r="CU12" s="539">
        <f t="shared" si="14"/>
        <v>841.25</v>
      </c>
      <c r="CV12" s="835">
        <v>740</v>
      </c>
      <c r="CW12" s="836">
        <v>755</v>
      </c>
      <c r="CX12" s="836">
        <v>725</v>
      </c>
      <c r="CY12" s="837">
        <v>725</v>
      </c>
      <c r="CZ12" s="539">
        <f t="shared" si="15"/>
        <v>736.25</v>
      </c>
    </row>
    <row r="13" spans="1:105" ht="13.5" customHeight="1">
      <c r="A13" s="819"/>
      <c r="B13" s="497" t="s">
        <v>603</v>
      </c>
      <c r="C13" s="199"/>
      <c r="D13" s="541"/>
      <c r="E13" s="541"/>
      <c r="F13" s="541"/>
      <c r="G13" s="541"/>
      <c r="H13" s="541"/>
      <c r="I13" s="541"/>
      <c r="J13" s="541"/>
      <c r="K13" s="541"/>
      <c r="L13" s="541"/>
      <c r="M13" s="541"/>
      <c r="N13" s="541"/>
      <c r="O13" s="541"/>
      <c r="P13" s="541"/>
      <c r="Q13" s="541"/>
      <c r="R13" s="541"/>
      <c r="S13" s="541"/>
      <c r="T13" s="539">
        <v>244.5</v>
      </c>
      <c r="U13" s="539">
        <v>201.4666666666667</v>
      </c>
      <c r="V13" s="539">
        <v>265.48333333333329</v>
      </c>
      <c r="W13" s="539">
        <v>287.01666666666671</v>
      </c>
      <c r="X13" s="539">
        <f t="shared" si="0"/>
        <v>249.61666666666667</v>
      </c>
      <c r="Y13" s="539">
        <v>246.37666666666667</v>
      </c>
      <c r="Z13" s="539">
        <v>203.84666666666666</v>
      </c>
      <c r="AA13" s="539">
        <v>220.79666666666665</v>
      </c>
      <c r="AB13" s="539">
        <v>246.94</v>
      </c>
      <c r="AC13" s="539">
        <f t="shared" si="1"/>
        <v>229.49</v>
      </c>
      <c r="AD13" s="539">
        <v>241.68333333333331</v>
      </c>
      <c r="AE13" s="539">
        <v>267.77999999999997</v>
      </c>
      <c r="AF13" s="539">
        <v>254.14666666666668</v>
      </c>
      <c r="AG13" s="539">
        <v>228.62</v>
      </c>
      <c r="AH13" s="539">
        <f t="shared" si="2"/>
        <v>248.05749999999998</v>
      </c>
      <c r="AI13" s="539">
        <v>299.89</v>
      </c>
      <c r="AJ13" s="539">
        <v>286.15333333333336</v>
      </c>
      <c r="AK13" s="539">
        <v>278.87</v>
      </c>
      <c r="AL13" s="539">
        <v>295.40000000000003</v>
      </c>
      <c r="AM13" s="539">
        <f t="shared" si="3"/>
        <v>290.07833333333332</v>
      </c>
      <c r="AN13" s="539">
        <v>392.53999999999996</v>
      </c>
      <c r="AO13" s="539">
        <v>547.20666666666682</v>
      </c>
      <c r="AP13" s="539">
        <v>513.71333333333337</v>
      </c>
      <c r="AQ13" s="539">
        <v>193.66333333333333</v>
      </c>
      <c r="AR13" s="539">
        <f t="shared" si="4"/>
        <v>411.78083333333336</v>
      </c>
      <c r="AS13" s="835">
        <v>213.37333333333333</v>
      </c>
      <c r="AT13" s="836">
        <v>191.80666666666664</v>
      </c>
      <c r="AU13" s="836">
        <v>269.50666666666666</v>
      </c>
      <c r="AV13" s="837">
        <v>265.71333333333331</v>
      </c>
      <c r="AW13" s="539">
        <f t="shared" si="5"/>
        <v>235.09999999999997</v>
      </c>
      <c r="AX13" s="835">
        <v>358.61666666666662</v>
      </c>
      <c r="AY13" s="836">
        <v>368.89333333333337</v>
      </c>
      <c r="AZ13" s="836">
        <v>339.70666666666665</v>
      </c>
      <c r="BA13" s="837">
        <v>367.51666666666665</v>
      </c>
      <c r="BB13" s="539">
        <f t="shared" si="6"/>
        <v>358.68333333333334</v>
      </c>
      <c r="BC13" s="835">
        <v>456.45666666666665</v>
      </c>
      <c r="BD13" s="836">
        <v>447.39333333333337</v>
      </c>
      <c r="BE13" s="945">
        <v>450</v>
      </c>
      <c r="BF13" s="946">
        <v>429.87000000000006</v>
      </c>
      <c r="BG13" s="540">
        <f t="shared" si="7"/>
        <v>445.93</v>
      </c>
      <c r="BH13" s="982">
        <v>449.5</v>
      </c>
      <c r="BI13" s="945">
        <v>414.82666666666665</v>
      </c>
      <c r="BJ13" s="945">
        <v>373.72</v>
      </c>
      <c r="BK13" s="946">
        <v>369.33</v>
      </c>
      <c r="BL13" s="539">
        <f t="shared" si="8"/>
        <v>401.84416666666664</v>
      </c>
      <c r="BM13" s="889">
        <v>390.07333333333332</v>
      </c>
      <c r="BN13" s="550">
        <v>374.86666666666662</v>
      </c>
      <c r="BO13" s="550">
        <v>366.6033333333333</v>
      </c>
      <c r="BP13" s="890">
        <v>383.98333333333335</v>
      </c>
      <c r="BQ13" s="539">
        <f t="shared" si="9"/>
        <v>378.88166666666666</v>
      </c>
      <c r="BR13" s="889">
        <v>412.41333333333336</v>
      </c>
      <c r="BS13" s="550">
        <v>383.64333333333337</v>
      </c>
      <c r="BT13" s="550">
        <v>374.24333333333334</v>
      </c>
      <c r="BU13" s="890">
        <v>338.38333333333338</v>
      </c>
      <c r="BV13" s="539">
        <f t="shared" si="18"/>
        <v>377.17083333333341</v>
      </c>
      <c r="BW13" s="889">
        <v>277.58666666666664</v>
      </c>
      <c r="BX13" s="550">
        <v>249.18333333333331</v>
      </c>
      <c r="BY13" s="550">
        <v>244.09</v>
      </c>
      <c r="BZ13" s="837">
        <v>171.85666666666668</v>
      </c>
      <c r="CA13" s="539">
        <f t="shared" si="10"/>
        <v>235.67916666666667</v>
      </c>
      <c r="CB13" s="982">
        <v>194.21666666666667</v>
      </c>
      <c r="CC13" s="836">
        <v>260.70666666666665</v>
      </c>
      <c r="CD13" s="836">
        <v>235.08</v>
      </c>
      <c r="CE13" s="837">
        <v>227.43666666666664</v>
      </c>
      <c r="CF13" s="539">
        <f t="shared" si="11"/>
        <v>229.35999999999999</v>
      </c>
      <c r="CG13" s="835">
        <v>301.52666666666664</v>
      </c>
      <c r="CH13" s="836">
        <v>292.27333333333331</v>
      </c>
      <c r="CI13" s="836">
        <v>289.08666666666664</v>
      </c>
      <c r="CJ13" s="837">
        <v>272.81666666666666</v>
      </c>
      <c r="CK13" s="539">
        <f t="shared" si="12"/>
        <v>288.92583333333329</v>
      </c>
      <c r="CL13" s="835">
        <v>332.51333333333332</v>
      </c>
      <c r="CM13" s="836">
        <v>375</v>
      </c>
      <c r="CN13" s="836">
        <v>360</v>
      </c>
      <c r="CO13" s="837">
        <v>345</v>
      </c>
      <c r="CP13" s="539">
        <f t="shared" si="13"/>
        <v>353.12833333333333</v>
      </c>
      <c r="CQ13" s="835">
        <v>355</v>
      </c>
      <c r="CR13" s="836">
        <v>360</v>
      </c>
      <c r="CS13" s="836">
        <v>350</v>
      </c>
      <c r="CT13" s="837">
        <v>335</v>
      </c>
      <c r="CU13" s="539">
        <f t="shared" si="14"/>
        <v>350</v>
      </c>
      <c r="CV13" s="835">
        <v>305</v>
      </c>
      <c r="CW13" s="836">
        <v>310</v>
      </c>
      <c r="CX13" s="836">
        <v>300</v>
      </c>
      <c r="CY13" s="837">
        <v>285</v>
      </c>
      <c r="CZ13" s="539">
        <f t="shared" si="15"/>
        <v>300</v>
      </c>
    </row>
    <row r="14" spans="1:105" ht="13.5" customHeight="1">
      <c r="A14" s="819"/>
      <c r="B14" s="199" t="s">
        <v>113</v>
      </c>
      <c r="C14" s="199"/>
      <c r="D14" s="541"/>
      <c r="E14" s="541"/>
      <c r="F14" s="541"/>
      <c r="G14" s="541"/>
      <c r="H14" s="541"/>
      <c r="I14" s="541"/>
      <c r="J14" s="541"/>
      <c r="K14" s="541"/>
      <c r="L14" s="541"/>
      <c r="M14" s="541"/>
      <c r="N14" s="541"/>
      <c r="O14" s="541"/>
      <c r="P14" s="541"/>
      <c r="Q14" s="541"/>
      <c r="R14" s="541"/>
      <c r="S14" s="541"/>
      <c r="T14" s="539">
        <v>260.22006102212049</v>
      </c>
      <c r="U14" s="539">
        <v>251.76046176046171</v>
      </c>
      <c r="V14" s="539">
        <v>365.16594516594517</v>
      </c>
      <c r="W14" s="539">
        <v>411.3095238095238</v>
      </c>
      <c r="X14" s="539">
        <f t="shared" si="0"/>
        <v>322.11399793951279</v>
      </c>
      <c r="Y14" s="539">
        <v>303.50324180015247</v>
      </c>
      <c r="Z14" s="539">
        <v>206.73881673881669</v>
      </c>
      <c r="AA14" s="539">
        <v>223.92753623188403</v>
      </c>
      <c r="AB14" s="539">
        <v>265.51587301587301</v>
      </c>
      <c r="AC14" s="539">
        <f t="shared" si="1"/>
        <v>249.92136694668156</v>
      </c>
      <c r="AD14" s="539">
        <v>265.21929824561403</v>
      </c>
      <c r="AE14" s="539">
        <v>315.45454545454544</v>
      </c>
      <c r="AF14" s="539">
        <v>298.47101449275362</v>
      </c>
      <c r="AG14" s="539">
        <v>231.23333333333335</v>
      </c>
      <c r="AH14" s="539">
        <f t="shared" si="2"/>
        <v>277.59454788156165</v>
      </c>
      <c r="AI14" s="539">
        <v>301.20105820105817</v>
      </c>
      <c r="AJ14" s="539">
        <v>310.33</v>
      </c>
      <c r="AK14" s="539">
        <v>312.79333333333335</v>
      </c>
      <c r="AL14" s="539">
        <v>320.09333333333331</v>
      </c>
      <c r="AM14" s="539">
        <f t="shared" si="3"/>
        <v>311.10443121693118</v>
      </c>
      <c r="AN14" s="539">
        <v>414.93666666666667</v>
      </c>
      <c r="AO14" s="539">
        <v>682.81333333333339</v>
      </c>
      <c r="AP14" s="539">
        <v>773.15666666666675</v>
      </c>
      <c r="AQ14" s="539">
        <v>218.44666666666663</v>
      </c>
      <c r="AR14" s="539">
        <f t="shared" si="4"/>
        <v>522.33833333333337</v>
      </c>
      <c r="AS14" s="835">
        <v>226.29666666666665</v>
      </c>
      <c r="AT14" s="836">
        <v>198.70333333333335</v>
      </c>
      <c r="AU14" s="836">
        <v>315.73666666666668</v>
      </c>
      <c r="AV14" s="837">
        <v>307.81666666666666</v>
      </c>
      <c r="AW14" s="539">
        <f t="shared" si="5"/>
        <v>262.13833333333332</v>
      </c>
      <c r="AX14" s="835">
        <v>414.06333333333333</v>
      </c>
      <c r="AY14" s="836">
        <v>467.1133333333334</v>
      </c>
      <c r="AZ14" s="836">
        <v>417.85666666666674</v>
      </c>
      <c r="BA14" s="837">
        <v>406.64000000000004</v>
      </c>
      <c r="BB14" s="539">
        <f t="shared" si="6"/>
        <v>426.41833333333341</v>
      </c>
      <c r="BC14" s="835">
        <v>485.19333333333333</v>
      </c>
      <c r="BD14" s="836">
        <v>498.10666666666663</v>
      </c>
      <c r="BE14" s="945">
        <v>511.63333333333338</v>
      </c>
      <c r="BF14" s="946">
        <v>482.8</v>
      </c>
      <c r="BG14" s="540">
        <f t="shared" si="7"/>
        <v>494.43333333333334</v>
      </c>
      <c r="BH14" s="982">
        <v>487.22666666666669</v>
      </c>
      <c r="BI14" s="945">
        <v>429.26333333333332</v>
      </c>
      <c r="BJ14" s="945">
        <v>382.78</v>
      </c>
      <c r="BK14" s="946">
        <v>371.62999999999994</v>
      </c>
      <c r="BL14" s="539">
        <f t="shared" si="8"/>
        <v>417.72499999999997</v>
      </c>
      <c r="BM14" s="889">
        <v>393.1033333333333</v>
      </c>
      <c r="BN14" s="550">
        <v>392.21333333333331</v>
      </c>
      <c r="BO14" s="550">
        <v>404.09999999999997</v>
      </c>
      <c r="BP14" s="890">
        <v>417.89333333333337</v>
      </c>
      <c r="BQ14" s="539">
        <f t="shared" si="9"/>
        <v>401.82749999999999</v>
      </c>
      <c r="BR14" s="889">
        <v>414.45</v>
      </c>
      <c r="BS14" s="550">
        <v>397.29333333333335</v>
      </c>
      <c r="BT14" s="550">
        <v>397</v>
      </c>
      <c r="BU14" s="890">
        <v>362.80666666666667</v>
      </c>
      <c r="BV14" s="539">
        <f t="shared" si="18"/>
        <v>392.88749999999999</v>
      </c>
      <c r="BW14" s="889">
        <v>290.99333333333334</v>
      </c>
      <c r="BX14" s="550">
        <v>248.18333333333331</v>
      </c>
      <c r="BY14" s="550">
        <v>254.76333333333332</v>
      </c>
      <c r="BZ14" s="837">
        <v>175.89333333333335</v>
      </c>
      <c r="CA14" s="539">
        <f t="shared" si="10"/>
        <v>242.45833333333331</v>
      </c>
      <c r="CB14" s="982">
        <v>183.29333333333332</v>
      </c>
      <c r="CC14" s="836">
        <v>259.92333333333335</v>
      </c>
      <c r="CD14" s="836">
        <v>261.29333333333335</v>
      </c>
      <c r="CE14" s="837">
        <v>234.56333333333336</v>
      </c>
      <c r="CF14" s="539">
        <f t="shared" si="11"/>
        <v>234.76833333333335</v>
      </c>
      <c r="CG14" s="835">
        <v>325.10999999999996</v>
      </c>
      <c r="CH14" s="836">
        <v>351.33333333333331</v>
      </c>
      <c r="CI14" s="836">
        <v>359.12999999999994</v>
      </c>
      <c r="CJ14" s="837">
        <v>332.75666666666666</v>
      </c>
      <c r="CK14" s="539">
        <f t="shared" si="12"/>
        <v>342.08249999999998</v>
      </c>
      <c r="CL14" s="835">
        <v>366.45666666666671</v>
      </c>
      <c r="CM14" s="836">
        <v>385</v>
      </c>
      <c r="CN14" s="836">
        <v>370</v>
      </c>
      <c r="CO14" s="837">
        <v>355</v>
      </c>
      <c r="CP14" s="539">
        <f t="shared" si="13"/>
        <v>369.11416666666668</v>
      </c>
      <c r="CQ14" s="835">
        <v>365</v>
      </c>
      <c r="CR14" s="836">
        <v>370</v>
      </c>
      <c r="CS14" s="836">
        <v>360</v>
      </c>
      <c r="CT14" s="837">
        <v>355</v>
      </c>
      <c r="CU14" s="539">
        <f t="shared" si="14"/>
        <v>362.5</v>
      </c>
      <c r="CV14" s="835">
        <v>325</v>
      </c>
      <c r="CW14" s="836">
        <v>330</v>
      </c>
      <c r="CX14" s="836">
        <v>320</v>
      </c>
      <c r="CY14" s="837">
        <v>305</v>
      </c>
      <c r="CZ14" s="539">
        <f t="shared" si="15"/>
        <v>320</v>
      </c>
    </row>
    <row r="15" spans="1:105" ht="6.2" customHeight="1">
      <c r="A15" s="819"/>
      <c r="B15" s="66"/>
      <c r="C15" s="66"/>
      <c r="D15" s="542"/>
      <c r="E15" s="542"/>
      <c r="F15" s="542"/>
      <c r="G15" s="542"/>
      <c r="H15" s="542"/>
      <c r="I15" s="542"/>
      <c r="J15" s="542"/>
      <c r="K15" s="542"/>
      <c r="L15" s="542"/>
      <c r="M15" s="542"/>
      <c r="N15" s="542"/>
      <c r="O15" s="542"/>
      <c r="P15" s="542"/>
      <c r="Q15" s="542"/>
      <c r="R15" s="542"/>
      <c r="S15" s="542"/>
      <c r="T15" s="542"/>
      <c r="U15" s="542"/>
      <c r="V15" s="542"/>
      <c r="W15" s="542"/>
      <c r="X15" s="542"/>
      <c r="Y15" s="542"/>
      <c r="Z15" s="542"/>
      <c r="AA15" s="542"/>
      <c r="AB15" s="542"/>
      <c r="AC15" s="542"/>
      <c r="AD15" s="542"/>
      <c r="AE15" s="542"/>
      <c r="AF15" s="542"/>
      <c r="AG15" s="542"/>
      <c r="AH15" s="542"/>
      <c r="AI15" s="542"/>
      <c r="AJ15" s="542"/>
      <c r="AK15" s="542"/>
      <c r="AL15" s="542"/>
      <c r="AM15" s="542"/>
      <c r="AN15" s="542"/>
      <c r="AO15" s="542"/>
      <c r="AP15" s="542"/>
      <c r="AQ15" s="542"/>
      <c r="AR15" s="542"/>
      <c r="AS15" s="842"/>
      <c r="AT15" s="843"/>
      <c r="AU15" s="843"/>
      <c r="AV15" s="844"/>
      <c r="AW15" s="542"/>
      <c r="AX15" s="842"/>
      <c r="AY15" s="843"/>
      <c r="AZ15" s="843"/>
      <c r="BA15" s="844"/>
      <c r="BB15" s="542"/>
      <c r="BC15" s="842"/>
      <c r="BD15" s="843"/>
      <c r="BE15" s="947"/>
      <c r="BF15" s="948"/>
      <c r="BG15" s="543"/>
      <c r="BH15" s="842"/>
      <c r="BI15" s="843"/>
      <c r="BJ15" s="843"/>
      <c r="BK15" s="844"/>
      <c r="BL15" s="542"/>
      <c r="BM15" s="842"/>
      <c r="BN15" s="843"/>
      <c r="BO15" s="843"/>
      <c r="BP15" s="844"/>
      <c r="BQ15" s="542"/>
      <c r="BR15" s="842"/>
      <c r="BS15" s="843"/>
      <c r="BT15" s="843"/>
      <c r="BU15" s="844"/>
      <c r="BV15" s="542"/>
      <c r="BW15" s="842"/>
      <c r="BX15" s="843"/>
      <c r="BY15" s="843"/>
      <c r="BZ15" s="844"/>
      <c r="CA15" s="542"/>
      <c r="CB15" s="1001"/>
      <c r="CC15" s="843"/>
      <c r="CD15" s="843"/>
      <c r="CE15" s="844"/>
      <c r="CF15" s="542"/>
      <c r="CG15" s="842"/>
      <c r="CH15" s="843"/>
      <c r="CI15" s="843"/>
      <c r="CJ15" s="844"/>
      <c r="CK15" s="542"/>
      <c r="CL15" s="842"/>
      <c r="CM15" s="843"/>
      <c r="CN15" s="843"/>
      <c r="CO15" s="844"/>
      <c r="CP15" s="542"/>
      <c r="CQ15" s="842"/>
      <c r="CR15" s="843"/>
      <c r="CS15" s="843"/>
      <c r="CT15" s="844"/>
      <c r="CU15" s="542"/>
      <c r="CV15" s="842"/>
      <c r="CW15" s="843"/>
      <c r="CX15" s="843"/>
      <c r="CY15" s="844"/>
      <c r="CZ15" s="542"/>
    </row>
    <row r="16" spans="1:105" ht="13.5" customHeight="1">
      <c r="A16" s="817" t="s">
        <v>656</v>
      </c>
      <c r="B16" s="743"/>
      <c r="C16" s="743"/>
      <c r="D16" s="744"/>
      <c r="E16" s="744"/>
      <c r="F16" s="744"/>
      <c r="G16" s="744"/>
      <c r="H16" s="744"/>
      <c r="I16" s="744"/>
      <c r="J16" s="744"/>
      <c r="K16" s="744"/>
      <c r="L16" s="744"/>
      <c r="M16" s="744"/>
      <c r="N16" s="744"/>
      <c r="O16" s="744"/>
      <c r="P16" s="744"/>
      <c r="Q16" s="744"/>
      <c r="R16" s="744"/>
      <c r="S16" s="744"/>
      <c r="T16" s="744"/>
      <c r="U16" s="744"/>
      <c r="V16" s="744"/>
      <c r="W16" s="744"/>
      <c r="X16" s="744"/>
      <c r="Y16" s="744"/>
      <c r="Z16" s="744"/>
      <c r="AA16" s="744"/>
      <c r="AB16" s="744"/>
      <c r="AC16" s="744"/>
      <c r="AD16" s="744"/>
      <c r="AE16" s="744"/>
      <c r="AF16" s="744"/>
      <c r="AG16" s="744"/>
      <c r="AH16" s="744"/>
      <c r="AI16" s="744"/>
      <c r="AJ16" s="744"/>
      <c r="AK16" s="744"/>
      <c r="AL16" s="744"/>
      <c r="AM16" s="744"/>
      <c r="AN16" s="744"/>
      <c r="AO16" s="744"/>
      <c r="AP16" s="744"/>
      <c r="AQ16" s="744"/>
      <c r="AR16" s="743"/>
      <c r="AS16" s="845"/>
      <c r="AT16" s="744"/>
      <c r="AU16" s="744"/>
      <c r="AV16" s="846"/>
      <c r="AW16" s="743"/>
      <c r="AX16" s="845"/>
      <c r="AY16" s="744"/>
      <c r="AZ16" s="744"/>
      <c r="BA16" s="846"/>
      <c r="BB16" s="743"/>
      <c r="BC16" s="845"/>
      <c r="BD16" s="744"/>
      <c r="BE16" s="744"/>
      <c r="BF16" s="846"/>
      <c r="BG16" s="743"/>
      <c r="BH16" s="845"/>
      <c r="BI16" s="744"/>
      <c r="BJ16" s="744"/>
      <c r="BK16" s="846"/>
      <c r="BL16" s="743"/>
      <c r="BM16" s="845"/>
      <c r="BN16" s="744"/>
      <c r="BO16" s="744"/>
      <c r="BP16" s="846"/>
      <c r="BQ16" s="743"/>
      <c r="BR16" s="845"/>
      <c r="BS16" s="744"/>
      <c r="BT16" s="744"/>
      <c r="BU16" s="846"/>
      <c r="BV16" s="743"/>
      <c r="BW16" s="845"/>
      <c r="BX16" s="744"/>
      <c r="BY16" s="744"/>
      <c r="BZ16" s="846"/>
      <c r="CA16" s="743"/>
      <c r="CB16" s="845"/>
      <c r="CC16" s="744"/>
      <c r="CD16" s="744"/>
      <c r="CE16" s="846"/>
      <c r="CF16" s="743"/>
      <c r="CG16" s="845"/>
      <c r="CH16" s="744"/>
      <c r="CI16" s="744"/>
      <c r="CJ16" s="846"/>
      <c r="CK16" s="743"/>
      <c r="CL16" s="845"/>
      <c r="CM16" s="744"/>
      <c r="CN16" s="744"/>
      <c r="CO16" s="846"/>
      <c r="CP16" s="743"/>
      <c r="CQ16" s="845"/>
      <c r="CR16" s="744"/>
      <c r="CS16" s="744"/>
      <c r="CT16" s="846"/>
      <c r="CU16" s="743"/>
      <c r="CV16" s="845"/>
      <c r="CW16" s="744"/>
      <c r="CX16" s="744"/>
      <c r="CY16" s="846"/>
      <c r="CZ16" s="743"/>
    </row>
    <row r="17" spans="1:104" ht="13.5" customHeight="1">
      <c r="A17" s="820" t="s">
        <v>241</v>
      </c>
      <c r="B17" s="66"/>
      <c r="C17" s="66"/>
      <c r="D17" s="66"/>
      <c r="E17" s="66"/>
      <c r="F17" s="66"/>
      <c r="G17" s="66"/>
      <c r="H17" s="216"/>
      <c r="I17" s="216"/>
      <c r="J17" s="216"/>
      <c r="K17" s="216"/>
      <c r="L17" s="216"/>
      <c r="M17" s="216"/>
      <c r="N17" s="216"/>
      <c r="O17" s="216"/>
      <c r="P17" s="216"/>
      <c r="Q17" s="216"/>
      <c r="R17" s="216"/>
      <c r="S17" s="216"/>
      <c r="T17" s="216"/>
      <c r="U17" s="216"/>
      <c r="V17" s="216"/>
      <c r="W17" s="216"/>
      <c r="X17" s="216"/>
      <c r="Y17" s="216"/>
      <c r="Z17" s="216"/>
      <c r="AA17" s="216"/>
      <c r="AB17" s="216"/>
      <c r="AC17" s="216"/>
      <c r="AD17" s="216"/>
      <c r="AE17" s="216"/>
      <c r="AF17" s="216"/>
      <c r="AG17" s="216"/>
      <c r="AH17" s="216"/>
      <c r="AI17" s="216"/>
      <c r="AJ17" s="216"/>
      <c r="AK17" s="216"/>
      <c r="AL17" s="216"/>
      <c r="AM17" s="216"/>
      <c r="AN17" s="216"/>
      <c r="AO17" s="216"/>
      <c r="AP17" s="216"/>
      <c r="AQ17" s="216"/>
      <c r="AR17" s="216"/>
      <c r="AS17" s="847"/>
      <c r="AT17" s="848"/>
      <c r="AU17" s="848"/>
      <c r="AV17" s="849"/>
      <c r="AW17" s="216"/>
      <c r="AX17" s="847"/>
      <c r="AY17" s="848"/>
      <c r="AZ17" s="848"/>
      <c r="BA17" s="849"/>
      <c r="BB17" s="216"/>
      <c r="BC17" s="847"/>
      <c r="BD17" s="848"/>
      <c r="BE17" s="848"/>
      <c r="BF17" s="949"/>
      <c r="BG17" s="373"/>
      <c r="BH17" s="847"/>
      <c r="BI17" s="848"/>
      <c r="BJ17" s="848"/>
      <c r="BK17" s="849"/>
      <c r="BL17" s="216"/>
      <c r="BM17" s="847"/>
      <c r="BN17" s="848"/>
      <c r="BO17" s="848"/>
      <c r="BP17" s="849"/>
      <c r="BQ17" s="216"/>
      <c r="BR17" s="847"/>
      <c r="BS17" s="848"/>
      <c r="BT17" s="848"/>
      <c r="BU17" s="849"/>
      <c r="BV17" s="216"/>
      <c r="BW17" s="847"/>
      <c r="BX17" s="848"/>
      <c r="BY17" s="848"/>
      <c r="BZ17" s="849"/>
      <c r="CA17" s="216"/>
      <c r="CB17" s="847"/>
      <c r="CC17" s="848"/>
      <c r="CD17" s="848"/>
      <c r="CE17" s="883"/>
      <c r="CF17" s="621"/>
      <c r="CG17" s="847"/>
      <c r="CH17" s="848"/>
      <c r="CI17" s="848"/>
      <c r="CJ17" s="883"/>
      <c r="CK17" s="621"/>
      <c r="CL17" s="847"/>
      <c r="CM17" s="848"/>
      <c r="CN17" s="848"/>
      <c r="CO17" s="849"/>
      <c r="CP17" s="216"/>
      <c r="CQ17" s="847"/>
      <c r="CR17" s="848"/>
      <c r="CS17" s="848"/>
      <c r="CT17" s="849"/>
      <c r="CU17" s="216"/>
      <c r="CV17" s="847"/>
      <c r="CW17" s="848"/>
      <c r="CX17" s="848"/>
      <c r="CY17" s="849"/>
      <c r="CZ17" s="216"/>
    </row>
    <row r="18" spans="1:104" ht="13.5" customHeight="1">
      <c r="A18" s="819"/>
      <c r="B18" s="66" t="s">
        <v>462</v>
      </c>
      <c r="C18" s="66"/>
      <c r="D18" s="66"/>
      <c r="E18" s="66"/>
      <c r="F18" s="66"/>
      <c r="G18" s="66"/>
      <c r="H18" s="210"/>
      <c r="I18" s="210"/>
      <c r="J18" s="210"/>
      <c r="K18" s="210"/>
      <c r="L18" s="210"/>
      <c r="M18" s="210"/>
      <c r="N18" s="210"/>
      <c r="O18" s="210"/>
      <c r="P18" s="210"/>
      <c r="Q18" s="210"/>
      <c r="R18" s="210"/>
      <c r="S18" s="549">
        <f>S83/S33*1000</f>
        <v>341.04270923209668</v>
      </c>
      <c r="T18" s="210"/>
      <c r="U18" s="210"/>
      <c r="V18" s="210"/>
      <c r="W18" s="210"/>
      <c r="X18" s="549">
        <f>X83/X33*1000</f>
        <v>601.19695469175542</v>
      </c>
      <c r="Y18" s="500">
        <v>675</v>
      </c>
      <c r="Z18" s="500">
        <v>609</v>
      </c>
      <c r="AA18" s="500">
        <v>523</v>
      </c>
      <c r="AB18" s="500">
        <v>583</v>
      </c>
      <c r="AC18" s="549">
        <f>AC83/AC33*1000</f>
        <v>598.54049339646156</v>
      </c>
      <c r="AD18" s="500">
        <v>594</v>
      </c>
      <c r="AE18" s="500">
        <v>625</v>
      </c>
      <c r="AF18" s="500">
        <v>673</v>
      </c>
      <c r="AG18" s="500">
        <v>624</v>
      </c>
      <c r="AH18" s="549">
        <f>AH83/AH33*1000</f>
        <v>628.90453207769269</v>
      </c>
      <c r="AI18" s="500">
        <v>596</v>
      </c>
      <c r="AJ18" s="500">
        <v>630</v>
      </c>
      <c r="AK18" s="500">
        <v>602</v>
      </c>
      <c r="AL18" s="500">
        <v>606</v>
      </c>
      <c r="AM18" s="549">
        <f>AVERAGE(AI18:AL18)</f>
        <v>608.5</v>
      </c>
      <c r="AN18" s="500">
        <v>660</v>
      </c>
      <c r="AO18" s="500">
        <v>872</v>
      </c>
      <c r="AP18" s="500">
        <v>1090</v>
      </c>
      <c r="AQ18" s="500">
        <v>854</v>
      </c>
      <c r="AR18" s="549">
        <f>AVERAGE(AN18:AQ18)</f>
        <v>869</v>
      </c>
      <c r="AS18" s="850">
        <v>610</v>
      </c>
      <c r="AT18" s="509">
        <v>499</v>
      </c>
      <c r="AU18" s="509">
        <v>510</v>
      </c>
      <c r="AV18" s="851">
        <v>597</v>
      </c>
      <c r="AW18" s="549">
        <f>AVERAGE(AS18:AV18)</f>
        <v>554</v>
      </c>
      <c r="AX18" s="850">
        <v>634</v>
      </c>
      <c r="AY18" s="509">
        <v>726</v>
      </c>
      <c r="AZ18" s="509">
        <v>680</v>
      </c>
      <c r="BA18" s="851">
        <v>637</v>
      </c>
      <c r="BB18" s="549">
        <f>AVERAGE(AX18:BA18)</f>
        <v>669.25</v>
      </c>
      <c r="BC18" s="850">
        <v>755</v>
      </c>
      <c r="BD18" s="509">
        <v>894</v>
      </c>
      <c r="BE18" s="509">
        <v>800</v>
      </c>
      <c r="BF18" s="950">
        <v>747</v>
      </c>
      <c r="BG18" s="504">
        <v>796</v>
      </c>
      <c r="BH18" s="850">
        <v>780</v>
      </c>
      <c r="BI18" s="509">
        <v>759</v>
      </c>
      <c r="BJ18" s="509">
        <v>707</v>
      </c>
      <c r="BK18" s="851">
        <v>690</v>
      </c>
      <c r="BL18" s="500">
        <v>735</v>
      </c>
      <c r="BM18" s="850">
        <v>699</v>
      </c>
      <c r="BN18" s="509">
        <v>676</v>
      </c>
      <c r="BO18" s="509">
        <v>693</v>
      </c>
      <c r="BP18" s="851">
        <v>724</v>
      </c>
      <c r="BQ18" s="549">
        <f>AVERAGE(BM18:BP18)</f>
        <v>698</v>
      </c>
      <c r="BR18" s="850">
        <v>744</v>
      </c>
      <c r="BS18" s="509">
        <v>737</v>
      </c>
      <c r="BT18" s="509">
        <v>750</v>
      </c>
      <c r="BU18" s="851">
        <v>712</v>
      </c>
      <c r="BV18" s="549">
        <f>AVERAGE(BR18:BU18)</f>
        <v>735.75</v>
      </c>
      <c r="BW18" s="850">
        <v>663</v>
      </c>
      <c r="BX18" s="509">
        <v>560</v>
      </c>
      <c r="BY18" s="509">
        <v>552</v>
      </c>
      <c r="BZ18" s="851">
        <v>508</v>
      </c>
      <c r="CA18" s="549">
        <f>AVERAGE(BW18:BZ18)</f>
        <v>570.75</v>
      </c>
      <c r="CB18" s="1003">
        <v>471</v>
      </c>
      <c r="CC18" s="510">
        <v>550</v>
      </c>
      <c r="CD18" s="510">
        <v>666</v>
      </c>
      <c r="CE18" s="950">
        <v>603</v>
      </c>
      <c r="CF18" s="549">
        <f>AVERAGE(CB18:CE18)</f>
        <v>572.5</v>
      </c>
      <c r="CG18" s="850">
        <v>661</v>
      </c>
      <c r="CH18" s="509">
        <v>709</v>
      </c>
      <c r="CI18" s="509">
        <v>695</v>
      </c>
      <c r="CJ18" s="1292">
        <v>691</v>
      </c>
      <c r="CK18" s="539">
        <f>AVERAGE(CG18:CJ18)</f>
        <v>689</v>
      </c>
      <c r="CL18" s="850">
        <v>723</v>
      </c>
      <c r="CM18" s="945">
        <f>'Price Relationships'!$C$70</f>
        <v>870.24999999999989</v>
      </c>
      <c r="CN18" s="945">
        <f>'Price Relationships'!$C$71</f>
        <v>907.1875</v>
      </c>
      <c r="CO18" s="946">
        <f>'Price Relationships'!$C$72</f>
        <v>882.71562499999993</v>
      </c>
      <c r="CP18" s="539">
        <f>AVERAGE(CL18:CO18)</f>
        <v>845.78828124999995</v>
      </c>
      <c r="CQ18" s="982">
        <f>'Price Relationships'!$C$73</f>
        <v>884.95046875000003</v>
      </c>
      <c r="CR18" s="945">
        <f>'Price Relationships'!$C$74</f>
        <v>864.1326640625</v>
      </c>
      <c r="CS18" s="945">
        <f>'Price Relationships'!$C$75</f>
        <v>849.64643242187492</v>
      </c>
      <c r="CT18" s="946">
        <f>'Price Relationships'!$C$76</f>
        <v>812.17625134765615</v>
      </c>
      <c r="CU18" s="539">
        <f>AVERAGE(CQ18:CT18)</f>
        <v>852.72645414550777</v>
      </c>
      <c r="CV18" s="982">
        <f>'Price Relationships'!$C$77</f>
        <v>779.46168797167957</v>
      </c>
      <c r="CW18" s="945">
        <f>'Price Relationships'!$C$78</f>
        <v>778.81159079008785</v>
      </c>
      <c r="CX18" s="945">
        <f>'Price Relationships'!$C$79</f>
        <v>756.98405677653068</v>
      </c>
      <c r="CY18" s="946">
        <f>'Price Relationships'!$C$80</f>
        <v>749.3444198717857</v>
      </c>
      <c r="CZ18" s="539">
        <f>AVERAGE(CV18:CY18)</f>
        <v>766.15043885252101</v>
      </c>
    </row>
    <row r="19" spans="1:104" ht="13.5" customHeight="1">
      <c r="A19" s="819"/>
      <c r="B19" s="66" t="s">
        <v>463</v>
      </c>
      <c r="C19" s="66"/>
      <c r="D19" s="66"/>
      <c r="E19" s="66"/>
      <c r="F19" s="66"/>
      <c r="G19" s="66"/>
      <c r="H19" s="210"/>
      <c r="I19" s="210"/>
      <c r="J19" s="210"/>
      <c r="K19" s="210"/>
      <c r="L19" s="210"/>
      <c r="M19" s="210"/>
      <c r="N19" s="210"/>
      <c r="O19" s="210"/>
      <c r="P19" s="210"/>
      <c r="Q19" s="210"/>
      <c r="R19" s="210"/>
      <c r="S19" s="549">
        <f>S84/S34*1000</f>
        <v>315.87793851717902</v>
      </c>
      <c r="T19" s="210"/>
      <c r="U19" s="210"/>
      <c r="V19" s="210"/>
      <c r="W19" s="210"/>
      <c r="X19" s="549">
        <f>X84/X34*1000</f>
        <v>502.09115179252473</v>
      </c>
      <c r="Y19" s="500">
        <v>514</v>
      </c>
      <c r="Z19" s="500">
        <v>499</v>
      </c>
      <c r="AA19" s="500">
        <v>496</v>
      </c>
      <c r="AB19" s="500">
        <v>542</v>
      </c>
      <c r="AC19" s="549">
        <f>AC84/AC34*1000</f>
        <v>511.74410830686958</v>
      </c>
      <c r="AD19" s="500">
        <v>543</v>
      </c>
      <c r="AE19" s="500">
        <v>567</v>
      </c>
      <c r="AF19" s="500">
        <v>601</v>
      </c>
      <c r="AG19" s="500">
        <v>576</v>
      </c>
      <c r="AH19" s="549">
        <f>AH84/AH34*1000</f>
        <v>571.39229233840013</v>
      </c>
      <c r="AI19" s="500">
        <v>585</v>
      </c>
      <c r="AJ19" s="500">
        <v>650</v>
      </c>
      <c r="AK19" s="500">
        <v>631</v>
      </c>
      <c r="AL19" s="500">
        <v>627</v>
      </c>
      <c r="AM19" s="549">
        <f>AVERAGE(AI19:AL19)</f>
        <v>623.25</v>
      </c>
      <c r="AN19" s="500">
        <v>696</v>
      </c>
      <c r="AO19" s="500">
        <v>862</v>
      </c>
      <c r="AP19" s="500">
        <v>1011</v>
      </c>
      <c r="AQ19" s="500">
        <v>758</v>
      </c>
      <c r="AR19" s="549">
        <f>AVERAGE(AN19:AQ19)</f>
        <v>831.75</v>
      </c>
      <c r="AS19" s="850">
        <v>633</v>
      </c>
      <c r="AT19" s="509">
        <v>538</v>
      </c>
      <c r="AU19" s="509">
        <v>557</v>
      </c>
      <c r="AV19" s="851">
        <v>535</v>
      </c>
      <c r="AW19" s="549">
        <f>AVERAGE(AS19:AV19)</f>
        <v>565.75</v>
      </c>
      <c r="AX19" s="850">
        <v>618</v>
      </c>
      <c r="AY19" s="509">
        <v>709</v>
      </c>
      <c r="AZ19" s="509">
        <v>666</v>
      </c>
      <c r="BA19" s="851">
        <v>669</v>
      </c>
      <c r="BB19" s="549">
        <f>AVERAGE(AX19:BA19)</f>
        <v>665.5</v>
      </c>
      <c r="BC19" s="850">
        <v>779</v>
      </c>
      <c r="BD19" s="509">
        <v>803</v>
      </c>
      <c r="BE19" s="509">
        <v>811</v>
      </c>
      <c r="BF19" s="950">
        <v>796</v>
      </c>
      <c r="BG19" s="504">
        <v>798</v>
      </c>
      <c r="BH19" s="850">
        <v>823</v>
      </c>
      <c r="BI19" s="509">
        <v>795</v>
      </c>
      <c r="BJ19" s="509">
        <v>745</v>
      </c>
      <c r="BK19" s="851">
        <v>723</v>
      </c>
      <c r="BL19" s="500">
        <v>772</v>
      </c>
      <c r="BM19" s="850">
        <v>732</v>
      </c>
      <c r="BN19" s="509">
        <v>731</v>
      </c>
      <c r="BO19" s="509">
        <v>708</v>
      </c>
      <c r="BP19" s="851">
        <v>709</v>
      </c>
      <c r="BQ19" s="549">
        <f>AVERAGE(BM19:BP19)</f>
        <v>720</v>
      </c>
      <c r="BR19" s="850">
        <v>737</v>
      </c>
      <c r="BS19" s="509">
        <v>732</v>
      </c>
      <c r="BT19" s="509">
        <v>738</v>
      </c>
      <c r="BU19" s="851">
        <v>724</v>
      </c>
      <c r="BV19" s="549">
        <f>AVERAGE(BR19:BU19)</f>
        <v>732.75</v>
      </c>
      <c r="BW19" s="850">
        <v>698</v>
      </c>
      <c r="BX19" s="509">
        <v>623</v>
      </c>
      <c r="BY19" s="509">
        <v>625</v>
      </c>
      <c r="BZ19" s="851">
        <v>558</v>
      </c>
      <c r="CA19" s="549">
        <f>AVERAGE(BW19:BZ19)</f>
        <v>626</v>
      </c>
      <c r="CB19" s="1003">
        <v>505</v>
      </c>
      <c r="CC19" s="510">
        <v>561</v>
      </c>
      <c r="CD19" s="510">
        <v>567</v>
      </c>
      <c r="CE19" s="950">
        <v>544</v>
      </c>
      <c r="CF19" s="549">
        <f>AVERAGE(CB19:CE19)</f>
        <v>544.25</v>
      </c>
      <c r="CG19" s="850">
        <v>600</v>
      </c>
      <c r="CH19" s="509">
        <v>605</v>
      </c>
      <c r="CI19" s="509">
        <v>624</v>
      </c>
      <c r="CJ19" s="1292">
        <v>607</v>
      </c>
      <c r="CK19" s="539">
        <f>AVERAGE(CG19:CJ19)</f>
        <v>609</v>
      </c>
      <c r="CL19" s="850">
        <v>660</v>
      </c>
      <c r="CM19" s="945">
        <f>'Price Relationships'!$E$70</f>
        <v>744.02331568593797</v>
      </c>
      <c r="CN19" s="945">
        <f>'Price Relationships'!$E$71</f>
        <v>761.16688662439299</v>
      </c>
      <c r="CO19" s="946">
        <f>'Price Relationships'!$E$72</f>
        <v>748.71691781060326</v>
      </c>
      <c r="CP19" s="539">
        <f>AVERAGE(CL19:CO19)</f>
        <v>728.47678003023361</v>
      </c>
      <c r="CQ19" s="982">
        <f>'Price Relationships'!$E$73</f>
        <v>751.0651577652925</v>
      </c>
      <c r="CR19" s="945">
        <f>'Price Relationships'!$E$74</f>
        <v>758.72568334950472</v>
      </c>
      <c r="CS19" s="945">
        <f>'Price Relationships'!$E$75</f>
        <v>738.4497544783278</v>
      </c>
      <c r="CT19" s="946">
        <f>'Price Relationships'!$E$76</f>
        <v>697.66211387139833</v>
      </c>
      <c r="CU19" s="539">
        <f>AVERAGE(CQ19:CT19)</f>
        <v>736.47567736613087</v>
      </c>
      <c r="CV19" s="982">
        <f>'Price Relationships'!$E$77</f>
        <v>637.39444946459298</v>
      </c>
      <c r="CW19" s="945">
        <f>'Price Relationships'!$E$78</f>
        <v>626.54625189512342</v>
      </c>
      <c r="CX19" s="945">
        <f>'Price Relationships'!$E$79</f>
        <v>616.49294376609794</v>
      </c>
      <c r="CY19" s="946">
        <f>'Price Relationships'!$E$80</f>
        <v>601.70959527096727</v>
      </c>
      <c r="CZ19" s="539">
        <f>AVERAGE(CV19:CY19)</f>
        <v>620.53581009919549</v>
      </c>
    </row>
    <row r="20" spans="1:104" ht="13.5" customHeight="1">
      <c r="A20" s="819"/>
      <c r="B20" s="66" t="s">
        <v>464</v>
      </c>
      <c r="C20" s="66"/>
      <c r="D20" s="66"/>
      <c r="E20" s="66"/>
      <c r="F20" s="66"/>
      <c r="G20" s="66"/>
      <c r="H20" s="210"/>
      <c r="I20" s="210"/>
      <c r="J20" s="210"/>
      <c r="K20" s="210"/>
      <c r="L20" s="210"/>
      <c r="M20" s="210"/>
      <c r="N20" s="210"/>
      <c r="O20" s="210"/>
      <c r="P20" s="210"/>
      <c r="Q20" s="210"/>
      <c r="R20" s="210"/>
      <c r="S20" s="549">
        <f>S86/S36*1000</f>
        <v>361.81978417266185</v>
      </c>
      <c r="T20" s="210"/>
      <c r="U20" s="210"/>
      <c r="V20" s="210"/>
      <c r="W20" s="210"/>
      <c r="X20" s="549">
        <f>X86/X36*1000</f>
        <v>543.7963768115942</v>
      </c>
      <c r="Y20" s="500">
        <v>605</v>
      </c>
      <c r="Z20" s="500">
        <v>574</v>
      </c>
      <c r="AA20" s="500">
        <v>561</v>
      </c>
      <c r="AB20" s="500">
        <v>634</v>
      </c>
      <c r="AC20" s="549">
        <f>AC86/AC36*1000</f>
        <v>593.84298674110266</v>
      </c>
      <c r="AD20" s="500">
        <v>649</v>
      </c>
      <c r="AE20" s="500">
        <v>667</v>
      </c>
      <c r="AF20" s="500">
        <v>703</v>
      </c>
      <c r="AG20" s="500">
        <v>727</v>
      </c>
      <c r="AH20" s="549">
        <f>AH86/AH36*1000</f>
        <v>687.16142100342779</v>
      </c>
      <c r="AI20" s="500">
        <v>754</v>
      </c>
      <c r="AJ20" s="500">
        <v>825</v>
      </c>
      <c r="AK20" s="500">
        <v>839</v>
      </c>
      <c r="AL20" s="500">
        <v>867</v>
      </c>
      <c r="AM20" s="549">
        <f>AVERAGE(AI20:AL20)</f>
        <v>821.25</v>
      </c>
      <c r="AN20" s="500">
        <v>930</v>
      </c>
      <c r="AO20" s="500">
        <v>1041</v>
      </c>
      <c r="AP20" s="500">
        <v>1153</v>
      </c>
      <c r="AQ20" s="500">
        <v>1109</v>
      </c>
      <c r="AR20" s="549">
        <f>AVERAGE(AN20:AQ20)</f>
        <v>1058.25</v>
      </c>
      <c r="AS20" s="850">
        <v>967</v>
      </c>
      <c r="AT20" s="509">
        <v>763</v>
      </c>
      <c r="AU20" s="509">
        <v>738</v>
      </c>
      <c r="AV20" s="851">
        <v>726</v>
      </c>
      <c r="AW20" s="549">
        <f>AVERAGE(AS20:AV20)</f>
        <v>798.5</v>
      </c>
      <c r="AX20" s="850">
        <v>740</v>
      </c>
      <c r="AY20" s="509">
        <v>770</v>
      </c>
      <c r="AZ20" s="509">
        <v>786</v>
      </c>
      <c r="BA20" s="851">
        <v>773</v>
      </c>
      <c r="BB20" s="549">
        <f>AVERAGE(AX20:BA20)</f>
        <v>767.25</v>
      </c>
      <c r="BC20" s="850">
        <v>831</v>
      </c>
      <c r="BD20" s="509">
        <v>923</v>
      </c>
      <c r="BE20" s="509">
        <v>901</v>
      </c>
      <c r="BF20" s="950">
        <v>891</v>
      </c>
      <c r="BG20" s="504">
        <v>884</v>
      </c>
      <c r="BH20" s="850">
        <v>866</v>
      </c>
      <c r="BI20" s="509">
        <v>905</v>
      </c>
      <c r="BJ20" s="509">
        <v>958</v>
      </c>
      <c r="BK20" s="851">
        <v>956</v>
      </c>
      <c r="BL20" s="500">
        <v>925</v>
      </c>
      <c r="BM20" s="850">
        <v>949</v>
      </c>
      <c r="BN20" s="509">
        <v>959</v>
      </c>
      <c r="BO20" s="509">
        <v>923</v>
      </c>
      <c r="BP20" s="851">
        <v>969</v>
      </c>
      <c r="BQ20" s="549">
        <f>AVERAGE(BM20:BP20)</f>
        <v>950</v>
      </c>
      <c r="BR20" s="850">
        <v>941</v>
      </c>
      <c r="BS20" s="509">
        <v>1039</v>
      </c>
      <c r="BT20" s="509">
        <v>1058</v>
      </c>
      <c r="BU20" s="851">
        <v>1063</v>
      </c>
      <c r="BV20" s="549">
        <f>AVERAGE(BR20:BU20)</f>
        <v>1025.25</v>
      </c>
      <c r="BW20" s="850">
        <v>996</v>
      </c>
      <c r="BX20" s="509">
        <v>991</v>
      </c>
      <c r="BY20" s="509">
        <v>926</v>
      </c>
      <c r="BZ20" s="851">
        <v>923</v>
      </c>
      <c r="CA20" s="549">
        <f>AVERAGE(BW20:BZ20)</f>
        <v>959</v>
      </c>
      <c r="CB20" s="1003">
        <v>870</v>
      </c>
      <c r="CC20" s="510">
        <v>845</v>
      </c>
      <c r="CD20" s="510">
        <v>865</v>
      </c>
      <c r="CE20" s="950">
        <v>837</v>
      </c>
      <c r="CF20" s="549">
        <f>AVERAGE(CB20:CE20)</f>
        <v>854.25</v>
      </c>
      <c r="CG20" s="1003">
        <v>738</v>
      </c>
      <c r="CH20" s="510">
        <v>766</v>
      </c>
      <c r="CI20" s="510">
        <v>769</v>
      </c>
      <c r="CJ20" s="1292">
        <v>764</v>
      </c>
      <c r="CK20" s="540">
        <f>AVERAGE(CG20:CJ20)</f>
        <v>759.25</v>
      </c>
      <c r="CL20" s="1003">
        <v>798</v>
      </c>
      <c r="CM20" s="945">
        <f>'Price Relationships'!$G$70</f>
        <v>864.09999999999991</v>
      </c>
      <c r="CN20" s="945">
        <f>'Price Relationships'!$G$71</f>
        <v>908.86999999999989</v>
      </c>
      <c r="CO20" s="946">
        <f>'Price Relationships'!$G$72</f>
        <v>935.70899999999983</v>
      </c>
      <c r="CP20" s="539">
        <f>AVERAGE(CL20:CO20)</f>
        <v>876.66974999999991</v>
      </c>
      <c r="CQ20" s="982">
        <f>'Price Relationships'!$G$73</f>
        <v>957.49629999999979</v>
      </c>
      <c r="CR20" s="945">
        <f>'Price Relationships'!$G$74</f>
        <v>974.24740999999983</v>
      </c>
      <c r="CS20" s="945">
        <f>'Price Relationships'!$G$75</f>
        <v>976.97318699999983</v>
      </c>
      <c r="CT20" s="946">
        <f>'Price Relationships'!$G$76</f>
        <v>965.38123089999988</v>
      </c>
      <c r="CU20" s="539">
        <f>AVERAGE(CQ20:CT20)</f>
        <v>968.52453197499983</v>
      </c>
      <c r="CV20" s="982">
        <f>'Price Relationships'!$G$77</f>
        <v>939.26686162999988</v>
      </c>
      <c r="CW20" s="945">
        <f>'Price Relationships'!$G$78</f>
        <v>923.98680314099988</v>
      </c>
      <c r="CX20" s="945">
        <f>'Price Relationships'!$G$79</f>
        <v>910.29076219869989</v>
      </c>
      <c r="CY20" s="946">
        <f>'Price Relationships'!$G$80</f>
        <v>896.2035335390899</v>
      </c>
      <c r="CZ20" s="539">
        <f>AVERAGE(CV20:CY20)</f>
        <v>917.43699012719753</v>
      </c>
    </row>
    <row r="21" spans="1:104" ht="13.5" customHeight="1">
      <c r="A21" s="821"/>
      <c r="B21" s="77" t="s">
        <v>465</v>
      </c>
      <c r="C21" s="77"/>
      <c r="D21" s="77"/>
      <c r="E21" s="77"/>
      <c r="F21" s="77"/>
      <c r="G21" s="77"/>
      <c r="H21" s="212"/>
      <c r="I21" s="212"/>
      <c r="J21" s="212"/>
      <c r="K21" s="212"/>
      <c r="L21" s="212"/>
      <c r="M21" s="212"/>
      <c r="N21" s="212"/>
      <c r="O21" s="212"/>
      <c r="P21" s="212"/>
      <c r="Q21" s="212"/>
      <c r="R21" s="212"/>
      <c r="S21" s="619">
        <f>S87/S37*1000</f>
        <v>322.17417417417414</v>
      </c>
      <c r="T21" s="212"/>
      <c r="U21" s="212"/>
      <c r="V21" s="212"/>
      <c r="W21" s="212"/>
      <c r="X21" s="619">
        <f>X87/X37*1000</f>
        <v>656.37360703812317</v>
      </c>
      <c r="Y21" s="505">
        <v>763</v>
      </c>
      <c r="Z21" s="505">
        <v>708</v>
      </c>
      <c r="AA21" s="505">
        <v>625</v>
      </c>
      <c r="AB21" s="505">
        <v>684</v>
      </c>
      <c r="AC21" s="619">
        <f>AC87/AC37*1000</f>
        <v>696.65454545454543</v>
      </c>
      <c r="AD21" s="505">
        <v>698</v>
      </c>
      <c r="AE21" s="505">
        <v>712</v>
      </c>
      <c r="AF21" s="505">
        <v>746</v>
      </c>
      <c r="AG21" s="505">
        <v>732</v>
      </c>
      <c r="AH21" s="619">
        <f>AH87/AH37*1000</f>
        <v>721.78973305954833</v>
      </c>
      <c r="AI21" s="505">
        <v>685</v>
      </c>
      <c r="AJ21" s="505">
        <v>741</v>
      </c>
      <c r="AK21" s="505">
        <v>724</v>
      </c>
      <c r="AL21" s="505">
        <v>715</v>
      </c>
      <c r="AM21" s="619">
        <f>AVERAGE(AI21:AL21)</f>
        <v>716.25</v>
      </c>
      <c r="AN21" s="505">
        <v>751</v>
      </c>
      <c r="AO21" s="505">
        <v>974</v>
      </c>
      <c r="AP21" s="505">
        <v>1289</v>
      </c>
      <c r="AQ21" s="505">
        <v>1096</v>
      </c>
      <c r="AR21" s="619">
        <f>AVERAGE(AN21:AQ21)</f>
        <v>1027.5</v>
      </c>
      <c r="AS21" s="852">
        <v>714</v>
      </c>
      <c r="AT21" s="505">
        <v>542</v>
      </c>
      <c r="AU21" s="505">
        <v>555</v>
      </c>
      <c r="AV21" s="853">
        <v>595</v>
      </c>
      <c r="AW21" s="619">
        <f>AVERAGE(AS21:AV21)</f>
        <v>601.5</v>
      </c>
      <c r="AX21" s="852">
        <v>637</v>
      </c>
      <c r="AY21" s="505">
        <v>761</v>
      </c>
      <c r="AZ21" s="505">
        <v>752</v>
      </c>
      <c r="BA21" s="853">
        <v>731</v>
      </c>
      <c r="BB21" s="619">
        <f>AVERAGE(AX21:BA21)</f>
        <v>720.25</v>
      </c>
      <c r="BC21" s="852">
        <v>880</v>
      </c>
      <c r="BD21" s="505">
        <v>1029</v>
      </c>
      <c r="BE21" s="505">
        <v>1021</v>
      </c>
      <c r="BF21" s="951">
        <v>946</v>
      </c>
      <c r="BG21" s="511">
        <v>970</v>
      </c>
      <c r="BH21" s="852">
        <v>929</v>
      </c>
      <c r="BI21" s="505">
        <v>922</v>
      </c>
      <c r="BJ21" s="505">
        <v>837</v>
      </c>
      <c r="BK21" s="853">
        <v>778</v>
      </c>
      <c r="BL21" s="505">
        <v>872</v>
      </c>
      <c r="BM21" s="852">
        <v>769</v>
      </c>
      <c r="BN21" s="505">
        <v>765</v>
      </c>
      <c r="BO21" s="505">
        <v>753</v>
      </c>
      <c r="BP21" s="853">
        <v>767</v>
      </c>
      <c r="BQ21" s="619">
        <f>AVERAGE(BM21:BP21)</f>
        <v>763.5</v>
      </c>
      <c r="BR21" s="852">
        <v>816</v>
      </c>
      <c r="BS21" s="505">
        <v>837</v>
      </c>
      <c r="BT21" s="505">
        <v>863</v>
      </c>
      <c r="BU21" s="853">
        <v>875</v>
      </c>
      <c r="BV21" s="619">
        <f>AVERAGE(BR21:BU21)</f>
        <v>847.75</v>
      </c>
      <c r="BW21" s="852">
        <v>805</v>
      </c>
      <c r="BX21" s="505">
        <v>691</v>
      </c>
      <c r="BY21" s="505">
        <v>648</v>
      </c>
      <c r="BZ21" s="853">
        <v>588</v>
      </c>
      <c r="CA21" s="619">
        <f>AVERAGE(BW21:BZ21)</f>
        <v>683</v>
      </c>
      <c r="CB21" s="1004">
        <v>545</v>
      </c>
      <c r="CC21" s="511">
        <v>604</v>
      </c>
      <c r="CD21" s="511">
        <v>661</v>
      </c>
      <c r="CE21" s="951">
        <v>584</v>
      </c>
      <c r="CF21" s="619">
        <f>AVERAGE(CB21:CE21)</f>
        <v>598.5</v>
      </c>
      <c r="CG21" s="852">
        <v>703</v>
      </c>
      <c r="CH21" s="505">
        <v>746</v>
      </c>
      <c r="CI21" s="794">
        <v>749</v>
      </c>
      <c r="CJ21" s="1293">
        <v>727</v>
      </c>
      <c r="CK21" s="796">
        <f>AVERAGE(CG21:CJ21)</f>
        <v>731.25</v>
      </c>
      <c r="CL21" s="1311">
        <v>785</v>
      </c>
      <c r="CM21" s="795">
        <f>'Price Relationships'!$I$70</f>
        <v>911.08845256916993</v>
      </c>
      <c r="CN21" s="795">
        <f>'Price Relationships'!$I$71</f>
        <v>947.47484059288524</v>
      </c>
      <c r="CO21" s="1021">
        <f>'Price Relationships'!$I$72</f>
        <v>904.08440116758857</v>
      </c>
      <c r="CP21" s="796">
        <f>AVERAGE(CL21:CO21)</f>
        <v>886.91192358241096</v>
      </c>
      <c r="CQ21" s="1040">
        <f>'Price Relationships'!$I$73</f>
        <v>934.03232872390493</v>
      </c>
      <c r="CR21" s="795">
        <f>'Price Relationships'!$I$74</f>
        <v>924.40004380882101</v>
      </c>
      <c r="CS21" s="795">
        <f>'Price Relationships'!$I$75</f>
        <v>920.92802716146889</v>
      </c>
      <c r="CT21" s="1021">
        <f>'Price Relationships'!$I$76</f>
        <v>887.52537684011065</v>
      </c>
      <c r="CU21" s="796">
        <f>AVERAGE(CQ21:CT21)</f>
        <v>916.72144413357637</v>
      </c>
      <c r="CV21" s="1040">
        <f>'Price Relationships'!$I$77</f>
        <v>839.76573364086858</v>
      </c>
      <c r="CW21" s="795">
        <f>'Price Relationships'!$I$78</f>
        <v>840.40475485733839</v>
      </c>
      <c r="CX21" s="795">
        <f>'Price Relationships'!$I$79</f>
        <v>812.60094801154969</v>
      </c>
      <c r="CY21" s="1021">
        <f>'Price Relationships'!$I$80</f>
        <v>805.56258776716072</v>
      </c>
      <c r="CZ21" s="796">
        <f>AVERAGE(CV21:CY21)</f>
        <v>824.58350606922932</v>
      </c>
    </row>
    <row r="22" spans="1:104" ht="13.5" customHeight="1">
      <c r="A22" s="820"/>
      <c r="B22" s="79"/>
      <c r="C22" s="79" t="s">
        <v>444</v>
      </c>
      <c r="D22" s="79"/>
      <c r="E22" s="79"/>
      <c r="F22" s="79"/>
      <c r="G22" s="79"/>
      <c r="H22" s="219">
        <f t="shared" ref="H22:R22" si="21">1000*H89/H38</f>
        <v>369.58610583904283</v>
      </c>
      <c r="I22" s="219">
        <f t="shared" si="21"/>
        <v>312.69449156997825</v>
      </c>
      <c r="J22" s="219">
        <f t="shared" si="21"/>
        <v>306.66184121733374</v>
      </c>
      <c r="K22" s="219">
        <f t="shared" si="21"/>
        <v>324.22745004787743</v>
      </c>
      <c r="L22" s="219">
        <f t="shared" si="21"/>
        <v>345.15783355840642</v>
      </c>
      <c r="M22" s="219">
        <f t="shared" si="21"/>
        <v>343.36313454317906</v>
      </c>
      <c r="N22" s="219">
        <f t="shared" si="21"/>
        <v>329.91630891668024</v>
      </c>
      <c r="O22" s="219">
        <f t="shared" si="21"/>
        <v>321.25729851485147</v>
      </c>
      <c r="P22" s="219">
        <f t="shared" si="21"/>
        <v>334.0001834050089</v>
      </c>
      <c r="Q22" s="219">
        <f t="shared" si="21"/>
        <v>332.49870591061989</v>
      </c>
      <c r="R22" s="219">
        <f t="shared" si="21"/>
        <v>351.52998417721528</v>
      </c>
      <c r="S22" s="219">
        <f>(S18*S33+S19*S34+S20*S36+S21*S37)/S38</f>
        <v>334.87837422369796</v>
      </c>
      <c r="T22" s="219">
        <f>1000*T89/T38</f>
        <v>436.74756665256029</v>
      </c>
      <c r="U22" s="219">
        <f>1000*U89/U38</f>
        <v>552.30565529622982</v>
      </c>
      <c r="V22" s="219">
        <f>1000*V89/V38</f>
        <v>638.57591273374885</v>
      </c>
      <c r="W22" s="219">
        <f>1000*W89/W38</f>
        <v>660.29759299781176</v>
      </c>
      <c r="X22" s="219">
        <f>(X18*X33+X19*X34+X20*X36+X21*X37)/X38</f>
        <v>568.36060043852251</v>
      </c>
      <c r="Y22" s="219">
        <f>1000*Y89/Y38</f>
        <v>629.26621160409559</v>
      </c>
      <c r="Z22" s="219">
        <f>1000*Z89/Z38</f>
        <v>578.87854251012141</v>
      </c>
      <c r="AA22" s="219">
        <f>1000*AA89/AA38</f>
        <v>530.30972730972735</v>
      </c>
      <c r="AB22" s="219">
        <f>1000*AB89/AB38</f>
        <v>590.70095238095257</v>
      </c>
      <c r="AC22" s="219">
        <f>(AC18*AC33+AC19*AC34+AC20*AC36+AC21*AC37)/AC38</f>
        <v>581.59458464773923</v>
      </c>
      <c r="AD22" s="219">
        <f>1000*AD89/AD38</f>
        <v>598.0679832890238</v>
      </c>
      <c r="AE22" s="219">
        <f t="shared" ref="AE22:BB22" si="22">(AE18*AE33+AE19*AE34+AE20*AE36+AE21*AE37)/AE38</f>
        <v>621.72807339449537</v>
      </c>
      <c r="AF22" s="219">
        <f t="shared" si="22"/>
        <v>664.02565575339838</v>
      </c>
      <c r="AG22" s="219">
        <f t="shared" si="22"/>
        <v>640.51135158073419</v>
      </c>
      <c r="AH22" s="219">
        <f t="shared" si="22"/>
        <v>630.77091807088902</v>
      </c>
      <c r="AI22" s="219">
        <f t="shared" si="22"/>
        <v>625.92656339644293</v>
      </c>
      <c r="AJ22" s="219">
        <f t="shared" si="22"/>
        <v>681.86134969325155</v>
      </c>
      <c r="AK22" s="219">
        <f t="shared" si="22"/>
        <v>663.89976181024213</v>
      </c>
      <c r="AL22" s="219">
        <f t="shared" si="22"/>
        <v>666.64946829460416</v>
      </c>
      <c r="AM22" s="219">
        <f t="shared" si="22"/>
        <v>659.70527551272551</v>
      </c>
      <c r="AN22" s="219">
        <f t="shared" si="22"/>
        <v>723.00134537766678</v>
      </c>
      <c r="AO22" s="219">
        <f t="shared" si="22"/>
        <v>907.24638487208006</v>
      </c>
      <c r="AP22" s="219">
        <f t="shared" si="22"/>
        <v>1108.3378839590443</v>
      </c>
      <c r="AQ22" s="219">
        <f t="shared" si="22"/>
        <v>908.41344827586204</v>
      </c>
      <c r="AR22" s="219">
        <f t="shared" si="22"/>
        <v>910.36271652460823</v>
      </c>
      <c r="AS22" s="854">
        <f t="shared" si="22"/>
        <v>681.92683929305383</v>
      </c>
      <c r="AT22" s="855">
        <f t="shared" si="22"/>
        <v>556.48929544569876</v>
      </c>
      <c r="AU22" s="855">
        <f t="shared" si="22"/>
        <v>559.19109311740885</v>
      </c>
      <c r="AV22" s="856">
        <f t="shared" si="22"/>
        <v>595.19418052256538</v>
      </c>
      <c r="AW22" s="219">
        <f t="shared" si="22"/>
        <v>596.7807660455486</v>
      </c>
      <c r="AX22" s="854">
        <f t="shared" si="22"/>
        <v>642.97663551401865</v>
      </c>
      <c r="AY22" s="855">
        <f t="shared" si="22"/>
        <v>733.44441611422747</v>
      </c>
      <c r="AZ22" s="855">
        <f t="shared" si="22"/>
        <v>701.14249937390434</v>
      </c>
      <c r="BA22" s="856">
        <f t="shared" si="22"/>
        <v>678.453125</v>
      </c>
      <c r="BB22" s="219">
        <f t="shared" si="22"/>
        <v>688.73231780544847</v>
      </c>
      <c r="BC22" s="854">
        <f t="shared" ref="BC22:CC22" si="23">(BC18*BC33+BC19*(BC34+BC35)+BC20*BC36+BC21*BC37)/BC38</f>
        <v>788.94884563150742</v>
      </c>
      <c r="BD22" s="855">
        <f t="shared" si="23"/>
        <v>890.83218163869697</v>
      </c>
      <c r="BE22" s="855">
        <f t="shared" si="23"/>
        <v>847.09847401049115</v>
      </c>
      <c r="BF22" s="856">
        <f t="shared" si="23"/>
        <v>806.20474346563412</v>
      </c>
      <c r="BG22" s="219">
        <f t="shared" si="23"/>
        <v>832.40604905929979</v>
      </c>
      <c r="BH22" s="854">
        <f t="shared" si="23"/>
        <v>824.25577342047927</v>
      </c>
      <c r="BI22" s="855">
        <f t="shared" si="23"/>
        <v>811.37626432906268</v>
      </c>
      <c r="BJ22" s="855">
        <f t="shared" si="23"/>
        <v>771.67006723858105</v>
      </c>
      <c r="BK22" s="856">
        <f t="shared" si="23"/>
        <v>750.0327590390682</v>
      </c>
      <c r="BL22" s="219">
        <f t="shared" si="23"/>
        <v>790.77473816745839</v>
      </c>
      <c r="BM22" s="854">
        <f t="shared" si="23"/>
        <v>756.03945546838952</v>
      </c>
      <c r="BN22" s="855">
        <f t="shared" si="23"/>
        <v>745.53345811885822</v>
      </c>
      <c r="BO22" s="855">
        <f t="shared" si="23"/>
        <v>741.29202586206895</v>
      </c>
      <c r="BP22" s="856">
        <f t="shared" si="23"/>
        <v>762.87848383500557</v>
      </c>
      <c r="BQ22" s="219">
        <f t="shared" si="23"/>
        <v>751.45764957987933</v>
      </c>
      <c r="BR22" s="854">
        <f t="shared" si="23"/>
        <v>782.60369565217388</v>
      </c>
      <c r="BS22" s="855">
        <f t="shared" si="23"/>
        <v>789.32371932845456</v>
      </c>
      <c r="BT22" s="855">
        <f t="shared" si="23"/>
        <v>804.63368377654092</v>
      </c>
      <c r="BU22" s="856">
        <f t="shared" si="23"/>
        <v>775.61496509598601</v>
      </c>
      <c r="BV22" s="219">
        <f t="shared" si="23"/>
        <v>789.17572667416096</v>
      </c>
      <c r="BW22" s="854">
        <f t="shared" si="23"/>
        <v>732.07034813925566</v>
      </c>
      <c r="BX22" s="855">
        <f t="shared" si="23"/>
        <v>645.32328527741367</v>
      </c>
      <c r="BY22" s="855">
        <f t="shared" si="23"/>
        <v>635.09301801801803</v>
      </c>
      <c r="BZ22" s="856">
        <f t="shared" si="23"/>
        <v>587.51216322260007</v>
      </c>
      <c r="CA22" s="219">
        <f t="shared" si="23"/>
        <v>649.82029871809948</v>
      </c>
      <c r="CB22" s="854">
        <f t="shared" si="23"/>
        <v>537.60910389875482</v>
      </c>
      <c r="CC22" s="855">
        <f t="shared" si="23"/>
        <v>593.37583628492723</v>
      </c>
      <c r="CD22" s="855">
        <f>(CD18*CD33+CD19*(CD34+CD35)+CD20*CD36+CD21*CD37+CD158*CD124)/CD38</f>
        <v>663.70839865621497</v>
      </c>
      <c r="CE22" s="856">
        <f>(CE18*CE33+CE19*(CE34+CE35)+CE20*CE36+CE21*CE37+CE158*CE124)/CE38</f>
        <v>614.37636363636364</v>
      </c>
      <c r="CF22" s="219">
        <f>(CF18*CF33+CF19*(CF34+CF35)+CF20*CF36+CF21*CF37+CF158*CF124)/CF38</f>
        <v>602.72536612543774</v>
      </c>
      <c r="CG22" s="854">
        <f t="shared" ref="CG22:CZ22" si="24">(CG18*CG33+CG19*(CG34+CG35)+CG20*CG36+CG21*CG37)/CG38</f>
        <v>657.06337448559668</v>
      </c>
      <c r="CH22" s="855">
        <f t="shared" si="24"/>
        <v>687.51919191919194</v>
      </c>
      <c r="CI22" s="855">
        <f t="shared" si="24"/>
        <v>684.86355896126008</v>
      </c>
      <c r="CJ22" s="856">
        <f t="shared" si="24"/>
        <v>673.67725210628646</v>
      </c>
      <c r="CK22" s="219">
        <f t="shared" si="24"/>
        <v>675.94387835083865</v>
      </c>
      <c r="CL22" s="854">
        <f t="shared" si="24"/>
        <v>716.43141945773527</v>
      </c>
      <c r="CM22" s="855">
        <f t="shared" si="24"/>
        <v>837.22240757422867</v>
      </c>
      <c r="CN22" s="855">
        <f t="shared" si="24"/>
        <v>865.81747226056132</v>
      </c>
      <c r="CO22" s="856">
        <f t="shared" si="24"/>
        <v>845.92613819070232</v>
      </c>
      <c r="CP22" s="219">
        <f t="shared" si="24"/>
        <v>816.09838018052392</v>
      </c>
      <c r="CQ22" s="854">
        <f t="shared" si="24"/>
        <v>853.56373705284295</v>
      </c>
      <c r="CR22" s="855">
        <f t="shared" si="24"/>
        <v>850.35580365696853</v>
      </c>
      <c r="CS22" s="855">
        <f t="shared" si="24"/>
        <v>833.67463948364002</v>
      </c>
      <c r="CT22" s="856">
        <f t="shared" si="24"/>
        <v>796.4607222318167</v>
      </c>
      <c r="CU22" s="219">
        <f t="shared" si="24"/>
        <v>833.80882975190173</v>
      </c>
      <c r="CV22" s="854">
        <f t="shared" si="24"/>
        <v>751.46144698869455</v>
      </c>
      <c r="CW22" s="855">
        <f t="shared" si="24"/>
        <v>750.71097082408289</v>
      </c>
      <c r="CX22" s="855">
        <f t="shared" si="24"/>
        <v>728.89358466425358</v>
      </c>
      <c r="CY22" s="856">
        <f t="shared" si="24"/>
        <v>716.65978177926763</v>
      </c>
      <c r="CZ22" s="219">
        <f t="shared" si="24"/>
        <v>736.90108569744086</v>
      </c>
    </row>
    <row r="23" spans="1:104" ht="13.5" customHeight="1">
      <c r="A23" s="822"/>
      <c r="B23" s="82"/>
      <c r="C23" s="82" t="s">
        <v>118</v>
      </c>
      <c r="D23" s="82"/>
      <c r="E23" s="82"/>
      <c r="F23" s="82"/>
      <c r="G23" s="82"/>
      <c r="H23" s="82"/>
      <c r="I23" s="208">
        <f>I22/H22-1</f>
        <v>-0.15393331451112846</v>
      </c>
      <c r="J23" s="208"/>
      <c r="K23" s="208"/>
      <c r="L23" s="208"/>
      <c r="M23" s="208"/>
      <c r="N23" s="208">
        <f t="shared" ref="N23:AR23" si="25">N22/I22-1</f>
        <v>5.5075537980328937E-2</v>
      </c>
      <c r="O23" s="208">
        <f t="shared" si="25"/>
        <v>4.7594631401087106E-2</v>
      </c>
      <c r="P23" s="208">
        <f t="shared" si="25"/>
        <v>3.014159768301039E-2</v>
      </c>
      <c r="Q23" s="208">
        <f t="shared" si="25"/>
        <v>-3.6676344608138289E-2</v>
      </c>
      <c r="R23" s="208">
        <f t="shared" si="25"/>
        <v>2.3784876162962654E-2</v>
      </c>
      <c r="S23" s="208">
        <f t="shared" si="25"/>
        <v>1.5040375916277826E-2</v>
      </c>
      <c r="T23" s="208">
        <f t="shared" si="25"/>
        <v>0.35949461279669515</v>
      </c>
      <c r="U23" s="208">
        <f t="shared" si="25"/>
        <v>0.65360883837151529</v>
      </c>
      <c r="V23" s="208">
        <f t="shared" si="25"/>
        <v>0.92053653557799597</v>
      </c>
      <c r="W23" s="208">
        <f t="shared" si="25"/>
        <v>0.8783535479719955</v>
      </c>
      <c r="X23" s="208">
        <f t="shared" si="25"/>
        <v>0.69721500158400485</v>
      </c>
      <c r="Y23" s="208">
        <f t="shared" si="25"/>
        <v>0.44080072712731777</v>
      </c>
      <c r="Z23" s="208">
        <f t="shared" si="25"/>
        <v>4.8112647334091152E-2</v>
      </c>
      <c r="AA23" s="208">
        <f t="shared" si="25"/>
        <v>-0.16954317139920461</v>
      </c>
      <c r="AB23" s="208">
        <f t="shared" si="25"/>
        <v>-0.10540192990994268</v>
      </c>
      <c r="AC23" s="208">
        <f t="shared" si="25"/>
        <v>2.3284485587153458E-2</v>
      </c>
      <c r="AD23" s="208">
        <f t="shared" si="25"/>
        <v>-4.9578743844425954E-2</v>
      </c>
      <c r="AE23" s="208">
        <f t="shared" si="25"/>
        <v>7.4021625846711681E-2</v>
      </c>
      <c r="AF23" s="208">
        <f t="shared" si="25"/>
        <v>0.25214685222165323</v>
      </c>
      <c r="AG23" s="208">
        <f t="shared" si="25"/>
        <v>8.4324223617736838E-2</v>
      </c>
      <c r="AH23" s="208">
        <f t="shared" si="25"/>
        <v>8.4554317941139212E-2</v>
      </c>
      <c r="AI23" s="208">
        <f t="shared" si="25"/>
        <v>4.6580958830488184E-2</v>
      </c>
      <c r="AJ23" s="208">
        <f t="shared" si="25"/>
        <v>9.6719577049886096E-2</v>
      </c>
      <c r="AK23" s="208">
        <f t="shared" si="25"/>
        <v>-1.8959198649248776E-4</v>
      </c>
      <c r="AL23" s="208">
        <f t="shared" si="25"/>
        <v>4.0808202148741035E-2</v>
      </c>
      <c r="AM23" s="208">
        <f t="shared" si="25"/>
        <v>4.5871419580229666E-2</v>
      </c>
      <c r="AN23" s="208">
        <f t="shared" si="25"/>
        <v>0.15508973042216079</v>
      </c>
      <c r="AO23" s="208">
        <f t="shared" si="25"/>
        <v>0.33054379058179828</v>
      </c>
      <c r="AP23" s="208">
        <f t="shared" si="25"/>
        <v>0.66943558005949844</v>
      </c>
      <c r="AQ23" s="208">
        <f t="shared" si="25"/>
        <v>0.36265532559371683</v>
      </c>
      <c r="AR23" s="208">
        <f t="shared" si="25"/>
        <v>0.37995367070101227</v>
      </c>
      <c r="AS23" s="857">
        <f t="shared" ref="AS23:BX23" si="26">AS22/AN22-1</f>
        <v>-5.6811106019667656E-2</v>
      </c>
      <c r="AT23" s="136">
        <f t="shared" si="26"/>
        <v>-0.38661723570916995</v>
      </c>
      <c r="AU23" s="136">
        <f t="shared" si="26"/>
        <v>-0.49546875441995419</v>
      </c>
      <c r="AV23" s="858">
        <f t="shared" si="26"/>
        <v>-0.34479814048083091</v>
      </c>
      <c r="AW23" s="208">
        <f t="shared" si="26"/>
        <v>-0.34445825250421835</v>
      </c>
      <c r="AX23" s="857">
        <f t="shared" si="26"/>
        <v>-5.7117862994532476E-2</v>
      </c>
      <c r="AY23" s="136">
        <f t="shared" si="26"/>
        <v>0.31798477008763171</v>
      </c>
      <c r="AZ23" s="136">
        <f t="shared" si="26"/>
        <v>0.25385133633859769</v>
      </c>
      <c r="BA23" s="858">
        <f t="shared" si="26"/>
        <v>0.13988534700446054</v>
      </c>
      <c r="BB23" s="208">
        <f t="shared" si="26"/>
        <v>0.15407928169200047</v>
      </c>
      <c r="BC23" s="857">
        <f t="shared" si="26"/>
        <v>0.22702568344616969</v>
      </c>
      <c r="BD23" s="136">
        <f t="shared" si="26"/>
        <v>0.21458717534221128</v>
      </c>
      <c r="BE23" s="136">
        <f t="shared" si="26"/>
        <v>0.20816877420341862</v>
      </c>
      <c r="BF23" s="952">
        <f t="shared" si="26"/>
        <v>0.18829837133646365</v>
      </c>
      <c r="BG23" s="368">
        <f t="shared" si="26"/>
        <v>0.20860605425290335</v>
      </c>
      <c r="BH23" s="857">
        <f t="shared" si="26"/>
        <v>4.4751859368918456E-2</v>
      </c>
      <c r="BI23" s="136">
        <f t="shared" si="26"/>
        <v>-8.9192913039439325E-2</v>
      </c>
      <c r="BJ23" s="136">
        <f t="shared" si="26"/>
        <v>-8.9043256582440611E-2</v>
      </c>
      <c r="BK23" s="952">
        <f t="shared" si="26"/>
        <v>-6.9674589342031523E-2</v>
      </c>
      <c r="BL23" s="368">
        <f t="shared" si="26"/>
        <v>-5.0013224842477833E-2</v>
      </c>
      <c r="BM23" s="857">
        <f t="shared" si="26"/>
        <v>-8.2761104200710811E-2</v>
      </c>
      <c r="BN23" s="136">
        <f t="shared" si="26"/>
        <v>-8.1149534568466519E-2</v>
      </c>
      <c r="BO23" s="136">
        <f t="shared" si="26"/>
        <v>-3.9366618800207975E-2</v>
      </c>
      <c r="BP23" s="858">
        <f t="shared" si="26"/>
        <v>1.712688498085746E-2</v>
      </c>
      <c r="BQ23" s="208">
        <f t="shared" si="26"/>
        <v>-4.9719707383031109E-2</v>
      </c>
      <c r="BR23" s="857">
        <f t="shared" si="26"/>
        <v>3.5136050098505844E-2</v>
      </c>
      <c r="BS23" s="136">
        <f t="shared" si="26"/>
        <v>5.8736815541570175E-2</v>
      </c>
      <c r="BT23" s="136">
        <f t="shared" si="26"/>
        <v>8.5447645063779332E-2</v>
      </c>
      <c r="BU23" s="858">
        <f t="shared" si="26"/>
        <v>1.6695294900642477E-2</v>
      </c>
      <c r="BV23" s="208">
        <f t="shared" si="26"/>
        <v>5.0193217296236048E-2</v>
      </c>
      <c r="BW23" s="857">
        <f t="shared" si="26"/>
        <v>-6.4570801024402047E-2</v>
      </c>
      <c r="BX23" s="136">
        <f t="shared" si="26"/>
        <v>-0.18243520437160354</v>
      </c>
      <c r="BY23" s="136">
        <f t="shared" ref="BY23:CZ23" si="27">BY22/BT22-1</f>
        <v>-0.2107054044304798</v>
      </c>
      <c r="BZ23" s="858">
        <f t="shared" si="27"/>
        <v>-0.24252085163172077</v>
      </c>
      <c r="CA23" s="208">
        <f t="shared" si="27"/>
        <v>-0.17658352030586377</v>
      </c>
      <c r="CB23" s="857">
        <f t="shared" si="27"/>
        <v>-0.26563190919393731</v>
      </c>
      <c r="CC23" s="136">
        <f t="shared" si="27"/>
        <v>-8.0498333436325842E-2</v>
      </c>
      <c r="CD23" s="136">
        <f t="shared" si="27"/>
        <v>4.505699137978092E-2</v>
      </c>
      <c r="CE23" s="858">
        <f t="shared" si="27"/>
        <v>4.5725351908306067E-2</v>
      </c>
      <c r="CF23" s="208">
        <f t="shared" si="27"/>
        <v>-7.2473778805565048E-2</v>
      </c>
      <c r="CG23" s="857">
        <f t="shared" si="27"/>
        <v>0.22219540130655613</v>
      </c>
      <c r="CH23" s="136">
        <f t="shared" si="27"/>
        <v>0.15865721163114399</v>
      </c>
      <c r="CI23" s="136">
        <f t="shared" si="27"/>
        <v>3.187417900372691E-2</v>
      </c>
      <c r="CJ23" s="858">
        <f t="shared" si="27"/>
        <v>9.652208642750093E-2</v>
      </c>
      <c r="CK23" s="208">
        <f t="shared" si="27"/>
        <v>0.12147906217400317</v>
      </c>
      <c r="CL23" s="857">
        <f t="shared" si="27"/>
        <v>9.0353605569047035E-2</v>
      </c>
      <c r="CM23" s="136">
        <f t="shared" si="27"/>
        <v>0.21774405342364922</v>
      </c>
      <c r="CN23" s="136">
        <f t="shared" si="27"/>
        <v>0.26421892496916599</v>
      </c>
      <c r="CO23" s="858">
        <f t="shared" si="27"/>
        <v>0.25568458122323534</v>
      </c>
      <c r="CP23" s="208">
        <f t="shared" si="27"/>
        <v>0.20734635865278173</v>
      </c>
      <c r="CQ23" s="857">
        <f t="shared" si="27"/>
        <v>0.19141025068233697</v>
      </c>
      <c r="CR23" s="136">
        <f t="shared" si="27"/>
        <v>1.5686866433487712E-2</v>
      </c>
      <c r="CS23" s="136">
        <f t="shared" si="27"/>
        <v>-3.7124259796928794E-2</v>
      </c>
      <c r="CT23" s="858">
        <f t="shared" si="27"/>
        <v>-5.8474864087642464E-2</v>
      </c>
      <c r="CU23" s="208">
        <f t="shared" si="27"/>
        <v>2.1701365915540949E-2</v>
      </c>
      <c r="CV23" s="857">
        <f t="shared" si="27"/>
        <v>-0.11961882356516673</v>
      </c>
      <c r="CW23" s="136">
        <f t="shared" si="27"/>
        <v>-0.11718016435515755</v>
      </c>
      <c r="CX23" s="136">
        <f t="shared" si="27"/>
        <v>-0.12568578898392013</v>
      </c>
      <c r="CY23" s="858">
        <f t="shared" si="27"/>
        <v>-0.10019444553264778</v>
      </c>
      <c r="CZ23" s="208">
        <f t="shared" si="27"/>
        <v>-0.11622297653443603</v>
      </c>
    </row>
    <row r="24" spans="1:104" ht="13.5" customHeight="1">
      <c r="A24" s="822"/>
      <c r="B24" s="82"/>
      <c r="C24" s="82" t="s">
        <v>471</v>
      </c>
      <c r="D24" s="82"/>
      <c r="E24" s="82"/>
      <c r="F24" s="82"/>
      <c r="G24" s="82"/>
      <c r="H24" s="82"/>
      <c r="I24" s="82"/>
      <c r="J24" s="208"/>
      <c r="K24" s="208">
        <f>K22/J22-1</f>
        <v>5.7280060541000877E-2</v>
      </c>
      <c r="L24" s="208">
        <f>L22/K22-1</f>
        <v>6.455463134734063E-2</v>
      </c>
      <c r="M24" s="208">
        <f>M22/L22-1</f>
        <v>-5.1996473518358677E-3</v>
      </c>
      <c r="N24" s="82"/>
      <c r="O24" s="208"/>
      <c r="P24" s="208">
        <f>P22/O22-1</f>
        <v>3.9665666582726189E-2</v>
      </c>
      <c r="Q24" s="208">
        <f>Q22/P22-1</f>
        <v>-4.4954391314460107E-3</v>
      </c>
      <c r="R24" s="208">
        <f>R22/Q22-1</f>
        <v>5.7237149884460825E-2</v>
      </c>
      <c r="S24" s="208"/>
      <c r="T24" s="208">
        <f>T22/R22-1</f>
        <v>0.24241910025059088</v>
      </c>
      <c r="U24" s="208">
        <f>U22/T22-1</f>
        <v>0.26458782479170129</v>
      </c>
      <c r="V24" s="208">
        <f>V22/U22-1</f>
        <v>0.1562002065527428</v>
      </c>
      <c r="W24" s="208">
        <f>W22/V22-1</f>
        <v>3.4015815239682556E-2</v>
      </c>
      <c r="X24" s="208"/>
      <c r="Y24" s="208">
        <f>Y22/W22-1</f>
        <v>-4.6996054086507977E-2</v>
      </c>
      <c r="Z24" s="208">
        <f>Z22/Y22-1</f>
        <v>-8.0073692444932565E-2</v>
      </c>
      <c r="AA24" s="208">
        <f>AA22/Z22-1</f>
        <v>-8.39015642034181E-2</v>
      </c>
      <c r="AB24" s="208">
        <f>AB22/AA22-1</f>
        <v>0.11387915770957324</v>
      </c>
      <c r="AC24" s="82"/>
      <c r="AD24" s="208">
        <f>AD22/AB22-1</f>
        <v>1.2471676028922518E-2</v>
      </c>
      <c r="AE24" s="208">
        <f>AE22/AD22-1</f>
        <v>3.9560870614332E-2</v>
      </c>
      <c r="AF24" s="208">
        <f>AF22/AE22-1</f>
        <v>6.8032286410950826E-2</v>
      </c>
      <c r="AG24" s="208">
        <f>AG22/AF22-1</f>
        <v>-3.541174044846962E-2</v>
      </c>
      <c r="AH24" s="82"/>
      <c r="AI24" s="208">
        <f>AI22/AG22-1</f>
        <v>-2.2770538177500077E-2</v>
      </c>
      <c r="AJ24" s="208">
        <f>AJ22/AI22-1</f>
        <v>8.9363177036762442E-2</v>
      </c>
      <c r="AK24" s="208">
        <f>AK22/AJ22-1</f>
        <v>-2.6341994440790328E-2</v>
      </c>
      <c r="AL24" s="208">
        <f>AL22/AK22-1</f>
        <v>4.1417494666129429E-3</v>
      </c>
      <c r="AM24" s="82"/>
      <c r="AN24" s="208">
        <f>AN22/AL22-1</f>
        <v>8.452999629208402E-2</v>
      </c>
      <c r="AO24" s="208">
        <f>AO22/AN22-1</f>
        <v>0.25483360532084642</v>
      </c>
      <c r="AP24" s="208">
        <f>AP22/AO22-1</f>
        <v>0.22165037242371355</v>
      </c>
      <c r="AQ24" s="208">
        <f>AQ22/AP22-1</f>
        <v>-0.18038220887031409</v>
      </c>
      <c r="AR24" s="82"/>
      <c r="AS24" s="857">
        <f>AS22/AQ22-1</f>
        <v>-0.24932106565867351</v>
      </c>
      <c r="AT24" s="136">
        <f>AT22/AS22-1</f>
        <v>-0.18394574992442714</v>
      </c>
      <c r="AU24" s="136">
        <f>AU22/AT22-1</f>
        <v>4.8550757288983171E-3</v>
      </c>
      <c r="AV24" s="858">
        <f>AV22/AU22-1</f>
        <v>6.4384229019894601E-2</v>
      </c>
      <c r="AW24" s="82"/>
      <c r="AX24" s="857">
        <f>AX22/AV22-1</f>
        <v>8.0280447213884942E-2</v>
      </c>
      <c r="AY24" s="136">
        <f>AY22/AX22-1</f>
        <v>0.14070150547210103</v>
      </c>
      <c r="AZ24" s="136">
        <f>AZ22/AY22-1</f>
        <v>-4.4041397044724873E-2</v>
      </c>
      <c r="BA24" s="858">
        <f>BA22/AZ22-1</f>
        <v>-3.2360574910471396E-2</v>
      </c>
      <c r="BB24" s="82"/>
      <c r="BC24" s="857">
        <f>BC22/BA22-1</f>
        <v>0.16286419291164367</v>
      </c>
      <c r="BD24" s="136">
        <f>BD22/BC22-1</f>
        <v>0.12913807602524319</v>
      </c>
      <c r="BE24" s="136">
        <f>BE22/BD22-1</f>
        <v>-4.9093093547380784E-2</v>
      </c>
      <c r="BF24" s="952">
        <f>BF22/BE22-1</f>
        <v>-4.8275061046031964E-2</v>
      </c>
      <c r="BG24" s="374"/>
      <c r="BH24" s="857">
        <f>BH22/BF22-1</f>
        <v>2.2390131168478655E-2</v>
      </c>
      <c r="BI24" s="136">
        <f>BI22/BH22-1</f>
        <v>-1.5625621932824907E-2</v>
      </c>
      <c r="BJ24" s="136">
        <f>BJ22/BI22-1</f>
        <v>-4.8936848212234985E-2</v>
      </c>
      <c r="BK24" s="952">
        <f>BK22/BJ22-1</f>
        <v>-2.8039584685384922E-2</v>
      </c>
      <c r="BL24" s="374"/>
      <c r="BM24" s="857">
        <f>BM22/BK22-1</f>
        <v>8.0085787679686771E-3</v>
      </c>
      <c r="BN24" s="136">
        <f>BN22/BM22-1</f>
        <v>-1.3896096656784263E-2</v>
      </c>
      <c r="BO24" s="136">
        <f>BO22/BN22-1</f>
        <v>-5.6891239562759655E-3</v>
      </c>
      <c r="BP24" s="858">
        <f>BP22/BO22-1</f>
        <v>2.9120046108459308E-2</v>
      </c>
      <c r="BQ24" s="82"/>
      <c r="BR24" s="857">
        <f>BR22/BP22-1</f>
        <v>2.5856295904439719E-2</v>
      </c>
      <c r="BS24" s="136">
        <f>BS22/BR22-1</f>
        <v>8.5867517794950832E-3</v>
      </c>
      <c r="BT24" s="136">
        <f>BT22/BS22-1</f>
        <v>1.9396306069595637E-2</v>
      </c>
      <c r="BU24" s="858">
        <f>BU22/BT22-1</f>
        <v>-3.6064508938223661E-2</v>
      </c>
      <c r="BV24" s="82"/>
      <c r="BW24" s="857">
        <f>BW22/BU22-1</f>
        <v>-5.6142053617211363E-2</v>
      </c>
      <c r="BX24" s="136">
        <f>BX22/BW22-1</f>
        <v>-0.11849552858182533</v>
      </c>
      <c r="BY24" s="136">
        <f>BY22/BX22-1</f>
        <v>-1.5852933704380123E-2</v>
      </c>
      <c r="BZ24" s="858">
        <f>BZ22/BY22-1</f>
        <v>-7.4919505403959641E-2</v>
      </c>
      <c r="CA24" s="82"/>
      <c r="CB24" s="857">
        <f>CB22/BZ22-1</f>
        <v>-8.4939619037193714E-2</v>
      </c>
      <c r="CC24" s="136">
        <f>CC22/CB22-1</f>
        <v>0.1037310045193629</v>
      </c>
      <c r="CD24" s="136">
        <f>CD22/CC22-1</f>
        <v>0.11852953570140912</v>
      </c>
      <c r="CE24" s="858">
        <f>CE22/CD22-1</f>
        <v>-7.4327875192979342E-2</v>
      </c>
      <c r="CF24" s="82"/>
      <c r="CG24" s="857">
        <f>CG22/CE22-1</f>
        <v>6.948022966993328E-2</v>
      </c>
      <c r="CH24" s="136">
        <f>CH22/CG22-1</f>
        <v>4.6351415428441012E-2</v>
      </c>
      <c r="CI24" s="136">
        <f>CI22/CH22-1</f>
        <v>-3.8626310205519543E-3</v>
      </c>
      <c r="CJ24" s="858">
        <f>CJ22/CI22-1</f>
        <v>-1.6333628368167208E-2</v>
      </c>
      <c r="CK24" s="82"/>
      <c r="CL24" s="857">
        <f>CL22/CJ22-1</f>
        <v>6.3463872674601518E-2</v>
      </c>
      <c r="CM24" s="136">
        <f>CM22/CL22-1</f>
        <v>0.16860090838550845</v>
      </c>
      <c r="CN24" s="136">
        <f>CN22/CM22-1</f>
        <v>3.4154681513104856E-2</v>
      </c>
      <c r="CO24" s="858">
        <f>CO22/CN22-1</f>
        <v>-2.2974050197814511E-2</v>
      </c>
      <c r="CP24" s="82"/>
      <c r="CQ24" s="857">
        <f>CQ22/CO22-1</f>
        <v>9.0286829042500738E-3</v>
      </c>
      <c r="CR24" s="136">
        <f>CR22/CQ22-1</f>
        <v>-3.7582821957159451E-3</v>
      </c>
      <c r="CS24" s="136">
        <f>CS22/CR22-1</f>
        <v>-1.9616687628391416E-2</v>
      </c>
      <c r="CT24" s="858">
        <f>CT22/CS22-1</f>
        <v>-4.4638418262156532E-2</v>
      </c>
      <c r="CU24" s="82"/>
      <c r="CV24" s="857">
        <f>CV22/CT22-1</f>
        <v>-5.6499051349357954E-2</v>
      </c>
      <c r="CW24" s="136">
        <f>CW22/CV22-1</f>
        <v>-9.9868884507514633E-4</v>
      </c>
      <c r="CX24" s="136">
        <f>CX22/CW22-1</f>
        <v>-2.9062298284890598E-2</v>
      </c>
      <c r="CY24" s="858">
        <f>CY22/CX22-1</f>
        <v>-1.6784072658042604E-2</v>
      </c>
      <c r="CZ24" s="82"/>
    </row>
    <row r="25" spans="1:104" ht="6.2" customHeight="1">
      <c r="A25" s="819"/>
      <c r="B25" s="66"/>
      <c r="C25" s="66"/>
      <c r="D25" s="66"/>
      <c r="E25" s="66"/>
      <c r="F25" s="66"/>
      <c r="G25" s="66"/>
      <c r="H25" s="66"/>
      <c r="I25" s="66"/>
      <c r="J25" s="66"/>
      <c r="K25" s="66"/>
      <c r="L25" s="66"/>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859"/>
      <c r="AT25" s="20"/>
      <c r="AU25" s="20"/>
      <c r="AV25" s="860"/>
      <c r="AW25" s="66"/>
      <c r="AX25" s="859"/>
      <c r="AY25" s="20"/>
      <c r="AZ25" s="20"/>
      <c r="BA25" s="860"/>
      <c r="BB25" s="66"/>
      <c r="BC25" s="859"/>
      <c r="BD25" s="20"/>
      <c r="BE25" s="20"/>
      <c r="BF25" s="860"/>
      <c r="BG25" s="66"/>
      <c r="BH25" s="859"/>
      <c r="BI25" s="20"/>
      <c r="BJ25" s="20"/>
      <c r="BK25" s="860"/>
      <c r="BL25" s="66"/>
      <c r="BM25" s="859"/>
      <c r="BN25" s="20"/>
      <c r="BO25" s="20"/>
      <c r="BP25" s="860"/>
      <c r="BQ25" s="66"/>
      <c r="BR25" s="859"/>
      <c r="BS25" s="20"/>
      <c r="BT25" s="20"/>
      <c r="BU25" s="860"/>
      <c r="BV25" s="66"/>
      <c r="BW25" s="859"/>
      <c r="BX25" s="20"/>
      <c r="BY25" s="20"/>
      <c r="BZ25" s="860"/>
      <c r="CA25" s="66"/>
      <c r="CB25" s="859"/>
      <c r="CC25" s="20"/>
      <c r="CD25" s="20"/>
      <c r="CE25" s="944"/>
      <c r="CF25" s="453"/>
      <c r="CG25" s="981"/>
      <c r="CH25" s="495"/>
      <c r="CI25" s="20"/>
      <c r="CJ25" s="944"/>
      <c r="CK25" s="453"/>
      <c r="CL25" s="859"/>
      <c r="CM25" s="20"/>
      <c r="CN25" s="20"/>
      <c r="CO25" s="860"/>
      <c r="CP25" s="66"/>
      <c r="CQ25" s="859"/>
      <c r="CR25" s="20"/>
      <c r="CS25" s="20"/>
      <c r="CT25" s="860"/>
      <c r="CU25" s="66"/>
      <c r="CV25" s="859"/>
      <c r="CW25" s="20"/>
      <c r="CX25" s="20"/>
      <c r="CY25" s="860"/>
      <c r="CZ25" s="66"/>
    </row>
    <row r="26" spans="1:104" ht="13.5" customHeight="1">
      <c r="A26" s="820" t="s">
        <v>543</v>
      </c>
      <c r="B26" s="66"/>
      <c r="C26" s="66"/>
      <c r="D26" s="542"/>
      <c r="E26" s="542"/>
      <c r="F26" s="542"/>
      <c r="G26" s="542"/>
      <c r="H26" s="542"/>
      <c r="I26" s="542"/>
      <c r="J26" s="542"/>
      <c r="K26" s="542"/>
      <c r="L26" s="542"/>
      <c r="M26" s="542"/>
      <c r="N26" s="542"/>
      <c r="O26" s="542"/>
      <c r="P26" s="542"/>
      <c r="Q26" s="542"/>
      <c r="R26" s="542"/>
      <c r="S26" s="542"/>
      <c r="T26" s="542"/>
      <c r="U26" s="542"/>
      <c r="V26" s="542"/>
      <c r="W26" s="542"/>
      <c r="X26" s="542"/>
      <c r="Y26" s="542"/>
      <c r="Z26" s="542"/>
      <c r="AA26" s="542"/>
      <c r="AB26" s="542"/>
      <c r="AC26" s="542"/>
      <c r="AD26" s="542"/>
      <c r="AE26" s="542"/>
      <c r="AF26" s="542"/>
      <c r="AG26" s="542"/>
      <c r="AH26" s="542"/>
      <c r="AI26" s="542"/>
      <c r="AJ26" s="542"/>
      <c r="AK26" s="542"/>
      <c r="AL26" s="542"/>
      <c r="AM26" s="542"/>
      <c r="AN26" s="542"/>
      <c r="AO26" s="542"/>
      <c r="AP26" s="496"/>
      <c r="AQ26" s="542"/>
      <c r="AR26" s="542"/>
      <c r="AS26" s="842"/>
      <c r="AT26" s="843"/>
      <c r="AU26" s="843"/>
      <c r="AV26" s="844"/>
      <c r="AW26" s="542"/>
      <c r="AX26" s="842"/>
      <c r="AY26" s="843"/>
      <c r="AZ26" s="843"/>
      <c r="BA26" s="844"/>
      <c r="BB26" s="542"/>
      <c r="BC26" s="842"/>
      <c r="BD26" s="843"/>
      <c r="BE26" s="947"/>
      <c r="BF26" s="948"/>
      <c r="BG26" s="543"/>
      <c r="BH26" s="842"/>
      <c r="BI26" s="843"/>
      <c r="BJ26" s="843"/>
      <c r="BK26" s="844"/>
      <c r="BL26" s="542"/>
      <c r="BM26" s="842"/>
      <c r="BN26" s="843"/>
      <c r="BO26" s="843"/>
      <c r="BP26" s="844"/>
      <c r="BQ26" s="542"/>
      <c r="BR26" s="842"/>
      <c r="BS26" s="843"/>
      <c r="BT26" s="843"/>
      <c r="BU26" s="844"/>
      <c r="BV26" s="542"/>
      <c r="BW26" s="842"/>
      <c r="BX26" s="843"/>
      <c r="BY26" s="843"/>
      <c r="BZ26" s="844"/>
      <c r="CA26" s="542"/>
      <c r="CB26" s="842"/>
      <c r="CC26" s="843"/>
      <c r="CD26" s="843"/>
      <c r="CE26" s="844"/>
      <c r="CF26" s="542"/>
      <c r="CG26" s="842"/>
      <c r="CH26" s="843"/>
      <c r="CI26" s="843"/>
      <c r="CJ26" s="844"/>
      <c r="CK26" s="542"/>
      <c r="CL26" s="842"/>
      <c r="CM26" s="843"/>
      <c r="CN26" s="843"/>
      <c r="CO26" s="844"/>
      <c r="CP26" s="542"/>
      <c r="CQ26" s="842"/>
      <c r="CR26" s="843"/>
      <c r="CS26" s="843"/>
      <c r="CT26" s="844"/>
      <c r="CU26" s="542"/>
      <c r="CV26" s="842"/>
      <c r="CW26" s="843"/>
      <c r="CX26" s="843"/>
      <c r="CY26" s="844"/>
      <c r="CZ26" s="542"/>
    </row>
    <row r="27" spans="1:104" ht="13.5" customHeight="1">
      <c r="A27" s="819"/>
      <c r="B27" s="199" t="s">
        <v>462</v>
      </c>
      <c r="C27" s="199"/>
      <c r="D27" s="542"/>
      <c r="E27" s="542"/>
      <c r="F27" s="542"/>
      <c r="G27" s="542"/>
      <c r="H27" s="530"/>
      <c r="I27" s="538">
        <f>Operations!I33/Operations!H33-1</f>
        <v>0.13868940754039505</v>
      </c>
      <c r="J27" s="538"/>
      <c r="K27" s="538"/>
      <c r="L27" s="538"/>
      <c r="M27" s="538"/>
      <c r="N27" s="538">
        <f>Operations!N33/Operations!I33-1</f>
        <v>0.14426487977926694</v>
      </c>
      <c r="O27" s="538"/>
      <c r="P27" s="538"/>
      <c r="Q27" s="538"/>
      <c r="R27" s="538"/>
      <c r="S27" s="538">
        <f>Operations!S33/Operations!N33-1</f>
        <v>0.1977264898380986</v>
      </c>
      <c r="T27" s="538">
        <f>Operations!T33/Operations!O33-1</f>
        <v>0.21661891117478516</v>
      </c>
      <c r="U27" s="538">
        <f>Operations!U33/Operations!P33-1</f>
        <v>0.24422050978067578</v>
      </c>
      <c r="V27" s="538">
        <f>Operations!V33/Operations!Q33-1</f>
        <v>0.14042069357589537</v>
      </c>
      <c r="W27" s="538">
        <f>Operations!W33/Operations!R33-1</f>
        <v>4.9347702779353408E-2</v>
      </c>
      <c r="X27" s="538">
        <f>Operations!X33/Operations!S33-1</f>
        <v>0.16163359217716433</v>
      </c>
      <c r="Y27" s="538">
        <f>Operations!Y33/Operations!T33-1</f>
        <v>-2.6848798869524293E-2</v>
      </c>
      <c r="Z27" s="538">
        <f>Operations!Z33/Operations!U33-1</f>
        <v>-4.9070986183897047E-2</v>
      </c>
      <c r="AA27" s="538">
        <f>Operations!AA33/Operations!V33-1</f>
        <v>-2.5922233300099684E-2</v>
      </c>
      <c r="AB27" s="538">
        <f>Operations!AB33/Operations!W33-1</f>
        <v>8.6486486486486491E-2</v>
      </c>
      <c r="AC27" s="538">
        <f>Operations!AC33/Operations!X33-1</f>
        <v>-6.4372369398365548E-3</v>
      </c>
      <c r="AD27" s="538">
        <f>Operations!AD33/Operations!Y33-1</f>
        <v>8.4704743465634058E-2</v>
      </c>
      <c r="AE27" s="538">
        <f>Operations!AE33/Operations!Z33-1</f>
        <v>0.11272545090180364</v>
      </c>
      <c r="AF27" s="538">
        <f>Operations!AF33/Operations!AA33-1</f>
        <v>0.11412487205731825</v>
      </c>
      <c r="AG27" s="538">
        <f>Operations!AG33/Operations!AB33-1</f>
        <v>-7.6616915422885623E-2</v>
      </c>
      <c r="AH27" s="538">
        <f>Operations!AH33/Operations!AC33-1</f>
        <v>5.8435085970595546E-2</v>
      </c>
      <c r="AI27" s="538">
        <f>Operations!AI33/Operations!AD33-1</f>
        <v>-9.8616688978134803E-2</v>
      </c>
      <c r="AJ27" s="538">
        <f>Operations!AJ33/Operations!AE33-1</f>
        <v>-6.8887888338586167E-2</v>
      </c>
      <c r="AK27" s="538">
        <f>Operations!AK33/Operations!AF33-1</f>
        <v>-6.3849333945796949E-2</v>
      </c>
      <c r="AL27" s="538">
        <f>Operations!AL33/Operations!AG33-1</f>
        <v>0.15301724137931028</v>
      </c>
      <c r="AM27" s="538">
        <f>Operations!AM33/Operations!AH33-1</f>
        <v>-2.6957033549146581E-2</v>
      </c>
      <c r="AN27" s="538">
        <f>Operations!AN33/Operations!AI33-1</f>
        <v>9.4554455445544638E-2</v>
      </c>
      <c r="AO27" s="538">
        <f>Operations!AO33/Operations!AJ33-1</f>
        <v>0.10251450676982587</v>
      </c>
      <c r="AP27" s="538">
        <f>Operations!AP33/Operations!AK33-1</f>
        <v>-5.7899901864573056E-2</v>
      </c>
      <c r="AQ27" s="538">
        <f>Operations!AQ33/Operations!AL33-1</f>
        <v>-0.48878504672897194</v>
      </c>
      <c r="AR27" s="538">
        <f>Operations!AR33/Operations!AM33-1</f>
        <v>-9.2063876119041876E-2</v>
      </c>
      <c r="AS27" s="861">
        <f>Operations!AS33/Operations!AN33-1</f>
        <v>-0.56716417910447769</v>
      </c>
      <c r="AT27" s="589">
        <f>Operations!AT33/Operations!AO33-1</f>
        <v>-0.57631578947368423</v>
      </c>
      <c r="AU27" s="589">
        <f>Operations!AU33/Operations!AP33-1</f>
        <v>-9.375E-2</v>
      </c>
      <c r="AV27" s="862">
        <f>Operations!AV33/Operations!AQ33-1</f>
        <v>0.41590493601462519</v>
      </c>
      <c r="AW27" s="538">
        <f>Operations!AW33/Operations!AR33-1</f>
        <v>-0.3055296469020653</v>
      </c>
      <c r="AX27" s="941">
        <f>Operations!AX33/Operations!AS33-1</f>
        <v>1.089864158829676</v>
      </c>
      <c r="AY27" s="589">
        <f>Operations!AY33/Operations!AT33-1</f>
        <v>0.95962732919254656</v>
      </c>
      <c r="AZ27" s="589">
        <f>Operations!AZ33/Operations!AU33-1</f>
        <v>5.8045977011494276E-2</v>
      </c>
      <c r="BA27" s="881">
        <v>0.1</v>
      </c>
      <c r="BB27" s="538">
        <f>Operations!BB33/Operations!AW33-1</f>
        <v>0.42632386799693012</v>
      </c>
      <c r="BC27" s="861">
        <f>Operations!BC33/Operations!AX33-1</f>
        <v>4.4000000000000039E-2</v>
      </c>
      <c r="BD27" s="589">
        <f>Operations!BD33/Operations!AY33-1</f>
        <v>-9.2445853143159007E-2</v>
      </c>
      <c r="BE27" s="590">
        <f>Operations!BE33/Operations!AZ33-1</f>
        <v>6.5181966322651608E-3</v>
      </c>
      <c r="BF27" s="953">
        <f>Operations!BF33/Operations!BA33-1</f>
        <v>8.2941176470588296E-2</v>
      </c>
      <c r="BG27" s="552">
        <f>Operations!BG33/Operations!BB33-1</f>
        <v>8.8781275221954115E-3</v>
      </c>
      <c r="BH27" s="983">
        <f>Operations!BH33/Operations!BC33-1</f>
        <v>-1.9157088122605415E-2</v>
      </c>
      <c r="BI27" s="589">
        <f>Operations!BI33/Operations!BD33-1</f>
        <v>0.12048894062863802</v>
      </c>
      <c r="BJ27" s="589">
        <f>Operations!BJ33/Operations!BE33-1</f>
        <v>-2.6443604964921708E-2</v>
      </c>
      <c r="BK27" s="862">
        <f>Operations!BK33/Operations!BF33-1</f>
        <v>2.1727322107549796E-3</v>
      </c>
      <c r="BL27" s="538">
        <f>Operations!BL33/Operations!BG33-1</f>
        <v>1.6266666666666652E-2</v>
      </c>
      <c r="BM27" s="861">
        <f>Operations!BM33/Operations!BH33-1</f>
        <v>-0.10302734375</v>
      </c>
      <c r="BN27" s="589">
        <f>Operations!BN33/Operations!BI33-1</f>
        <v>-6.7012987012986969E-2</v>
      </c>
      <c r="BO27" s="589">
        <f>Operations!BO33/Operations!BJ33-1</f>
        <v>8.9246119733924711E-2</v>
      </c>
      <c r="BP27" s="862">
        <f>Operations!BP33/Operations!BK33-1</f>
        <v>2.6016260162601723E-2</v>
      </c>
      <c r="BQ27" s="538">
        <f>Operations!BQ33/Operations!BL33-1</f>
        <v>-1.7187090002623973E-2</v>
      </c>
      <c r="BR27" s="861">
        <f>Operations!BR33/Operations!BM33-1</f>
        <v>2.1774632553075657E-2</v>
      </c>
      <c r="BS27" s="589">
        <f>Operations!BS33/Operations!BN33-1</f>
        <v>9.7995545657015626E-2</v>
      </c>
      <c r="BT27" s="589">
        <f>Operations!BT33/Operations!BO33-1</f>
        <v>3.8167938931297662E-2</v>
      </c>
      <c r="BU27" s="862">
        <f>Operations!BU33/Operations!BP33-1</f>
        <v>0.195985208663497</v>
      </c>
      <c r="BV27" s="538">
        <f>Operations!BV33/Operations!BQ33-1</f>
        <v>8.8372713923374757E-2</v>
      </c>
      <c r="BW27" s="861">
        <f>Operations!BW33/Operations!BR33-1</f>
        <v>4.2088438998401756E-2</v>
      </c>
      <c r="BX27" s="589">
        <f>Operations!BX33/Operations!BS33-1</f>
        <v>0.11359026369168368</v>
      </c>
      <c r="BY27" s="589">
        <f>Operations!BY33/Operations!BT33-1</f>
        <v>3.3823529411764808E-2</v>
      </c>
      <c r="BZ27" s="862">
        <f>Operations!BZ33/Operations!BU33-1</f>
        <v>-0.19655477031802115</v>
      </c>
      <c r="CA27" s="538">
        <f>Operations!CA33/Operations!BV33-1</f>
        <v>-8.9537593523856263E-3</v>
      </c>
      <c r="CB27" s="861">
        <f>Operations!CB33/Operations!BW33-1</f>
        <v>0.22290388548057249</v>
      </c>
      <c r="CC27" s="589">
        <f>Operations!CC33/Operations!BX33-1</f>
        <v>0.14845173041894344</v>
      </c>
      <c r="CD27" s="589">
        <f>Operations!CD33/Operations!BY33-1</f>
        <v>5.6899004267425557E-3</v>
      </c>
      <c r="CE27" s="862">
        <f>Operations!CE33/Operations!BZ33-1</f>
        <v>0.1451346893897747</v>
      </c>
      <c r="CF27" s="552">
        <f>Operations!CF33/Operations!CA33-1</f>
        <v>0.12846534653465347</v>
      </c>
      <c r="CG27" s="861">
        <f>Operations!CG33/Operations!CB33-1</f>
        <v>2.466555183946495E-2</v>
      </c>
      <c r="CH27" s="589">
        <f>Operations!CH33/Operations!CC33-1</f>
        <v>-5.9873116574147511E-2</v>
      </c>
      <c r="CI27" s="589">
        <f>Operations!CI33/Operations!CD33-1</f>
        <v>7.5907590759075827E-2</v>
      </c>
      <c r="CJ27" s="862">
        <f>Operations!CJ33/Operations!CE33-1</f>
        <v>5.9529524723955785E-2</v>
      </c>
      <c r="CK27" s="552">
        <f>Operations!CK33/Operations!CF33-1</f>
        <v>2.1166922570739155E-2</v>
      </c>
      <c r="CL27" s="861">
        <f>Operations!CL33/Operations!CG33-1</f>
        <v>-5.2223582211342268E-2</v>
      </c>
      <c r="CM27" s="675">
        <v>0.02</v>
      </c>
      <c r="CN27" s="675">
        <v>0.02</v>
      </c>
      <c r="CO27" s="1022">
        <v>0.02</v>
      </c>
      <c r="CP27" s="552">
        <f>Operations!CP33/Operations!CK33-1</f>
        <v>9.8807861668981367E-4</v>
      </c>
      <c r="CQ27" s="1041">
        <v>0.02</v>
      </c>
      <c r="CR27" s="675">
        <v>0.02</v>
      </c>
      <c r="CS27" s="675">
        <v>0.02</v>
      </c>
      <c r="CT27" s="1022">
        <v>0.02</v>
      </c>
      <c r="CU27" s="552">
        <f>Operations!CU33/Operations!CP33-1</f>
        <v>2.0000000000000018E-2</v>
      </c>
      <c r="CV27" s="1041">
        <v>0.08</v>
      </c>
      <c r="CW27" s="675">
        <v>0.08</v>
      </c>
      <c r="CX27" s="675">
        <v>0.08</v>
      </c>
      <c r="CY27" s="1022">
        <v>0.08</v>
      </c>
      <c r="CZ27" s="552">
        <f>Operations!CZ33/Operations!CU33-1</f>
        <v>8.0000000000000071E-2</v>
      </c>
    </row>
    <row r="28" spans="1:104" ht="13.5" customHeight="1">
      <c r="A28" s="819"/>
      <c r="B28" s="199" t="s">
        <v>463</v>
      </c>
      <c r="C28" s="199"/>
      <c r="D28" s="542"/>
      <c r="E28" s="542"/>
      <c r="F28" s="542"/>
      <c r="G28" s="542"/>
      <c r="H28" s="530"/>
      <c r="I28" s="538">
        <f>Operations!I34/Operations!H34-1</f>
        <v>0.21638750565866904</v>
      </c>
      <c r="J28" s="538"/>
      <c r="K28" s="538"/>
      <c r="L28" s="538"/>
      <c r="M28" s="538"/>
      <c r="N28" s="538">
        <f>Operations!N34/Operations!I34-1</f>
        <v>9.6762188314104991E-2</v>
      </c>
      <c r="O28" s="538"/>
      <c r="P28" s="538"/>
      <c r="Q28" s="538"/>
      <c r="R28" s="538"/>
      <c r="S28" s="538">
        <f>Operations!S34/Operations!N34-1</f>
        <v>0.87648456057007129</v>
      </c>
      <c r="T28" s="538">
        <f>Operations!T34/Operations!O34-1</f>
        <v>2.0505809979494138E-2</v>
      </c>
      <c r="U28" s="538">
        <f>Operations!U34/Operations!P34-1</f>
        <v>4.5420136260407862E-3</v>
      </c>
      <c r="V28" s="538">
        <f>Operations!V34/Operations!Q34-1</f>
        <v>-0.10152990264255912</v>
      </c>
      <c r="W28" s="538">
        <f>Operations!W34/Operations!R34-1</f>
        <v>-0.13455657492354745</v>
      </c>
      <c r="X28" s="538">
        <f>Operations!X34/Operations!S34-1</f>
        <v>-5.1717902350813749E-2</v>
      </c>
      <c r="Y28" s="538">
        <f>Operations!Y34/Operations!T34-1</f>
        <v>-7.8365706630944443E-2</v>
      </c>
      <c r="Z28" s="538">
        <f>Operations!Z34/Operations!U34-1</f>
        <v>0.14770158251695564</v>
      </c>
      <c r="AA28" s="538">
        <f>Operations!AA34/Operations!V34-1</f>
        <v>0.29566563467492268</v>
      </c>
      <c r="AB28" s="538">
        <f>Operations!AB34/Operations!W34-1</f>
        <v>0.24558303886925792</v>
      </c>
      <c r="AC28" s="538">
        <f>Operations!AC34/Operations!X34-1</f>
        <v>0.14092295957284517</v>
      </c>
      <c r="AD28" s="538">
        <f>Operations!AD34/Operations!Y34-1</f>
        <v>0.19040697674418605</v>
      </c>
      <c r="AE28" s="538">
        <f>Operations!AE34/Operations!Z34-1</f>
        <v>0.18778726198292839</v>
      </c>
      <c r="AF28" s="538">
        <f>Operations!AF34/Operations!AA34-1</f>
        <v>-3.6439665471923566E-2</v>
      </c>
      <c r="AG28" s="538">
        <f>Operations!AG34/Operations!AB34-1</f>
        <v>3.0496453900709319E-2</v>
      </c>
      <c r="AH28" s="538">
        <f>Operations!AH34/Operations!AC34-1</f>
        <v>8.85843222463647E-2</v>
      </c>
      <c r="AI28" s="538">
        <f>Operations!AI34/Operations!AD34-1</f>
        <v>0.11050061050061055</v>
      </c>
      <c r="AJ28" s="538">
        <f>Operations!AJ34/Operations!AE34-1</f>
        <v>-0.22388059701492535</v>
      </c>
      <c r="AK28" s="538">
        <f>Operations!AK34/Operations!AF34-1</f>
        <v>-4.0297582145071287E-2</v>
      </c>
      <c r="AL28" s="538">
        <f>Operations!AL34/Operations!AG34-1</f>
        <v>4.3358568479008985E-2</v>
      </c>
      <c r="AM28" s="538">
        <f>Operations!AM34/Operations!AH34-1</f>
        <v>-3.4699831107016688E-2</v>
      </c>
      <c r="AN28" s="538">
        <f>Operations!AN34/Operations!AI34-1</f>
        <v>-0.16657504123144584</v>
      </c>
      <c r="AO28" s="538">
        <f>Operations!AO34/Operations!AJ34-1</f>
        <v>0.16239316239316248</v>
      </c>
      <c r="AP28" s="538">
        <f>Operations!AP34/Operations!AK34-1</f>
        <v>-0.17829457364341084</v>
      </c>
      <c r="AQ28" s="538">
        <f>Operations!AQ34/Operations!AL34-1</f>
        <v>-0.44195250659630603</v>
      </c>
      <c r="AR28" s="538">
        <f>Operations!AR34/Operations!AM34-1</f>
        <v>-0.16239860028630504</v>
      </c>
      <c r="AS28" s="861">
        <f>Operations!AS34/Operations!AN34-1</f>
        <v>-0.48482849604221634</v>
      </c>
      <c r="AT28" s="589">
        <f>Operations!AT34/Operations!AO34-1</f>
        <v>-0.4375</v>
      </c>
      <c r="AU28" s="589">
        <f>Operations!AU34/Operations!AP34-1</f>
        <v>-0.22877358490566035</v>
      </c>
      <c r="AV28" s="862">
        <f>Operations!AV34/Operations!AQ34-1</f>
        <v>0.12174940898345143</v>
      </c>
      <c r="AW28" s="538">
        <f>Operations!AW34/Operations!AR34-1</f>
        <v>-0.31086213444739841</v>
      </c>
      <c r="AX28" s="861">
        <f>Operations!AX34/Operations!AS34-1</f>
        <v>0.31754161331626118</v>
      </c>
      <c r="AY28" s="589">
        <f>Operations!AY34/Operations!AT34-1</f>
        <v>-2.1786492374727628E-2</v>
      </c>
      <c r="AZ28" s="589">
        <f>Operations!AZ34/Operations!AU34-1</f>
        <v>6.3200815494393492E-2</v>
      </c>
      <c r="BA28" s="881">
        <v>-0.05</v>
      </c>
      <c r="BB28" s="538">
        <f>Operations!BB34/Operations!AW34-1</f>
        <v>0.10746762193441728</v>
      </c>
      <c r="BC28" s="861">
        <f>Operations!BC34/Operations!AX34-1</f>
        <v>-0.25097181729834794</v>
      </c>
      <c r="BD28" s="589">
        <f>Operations!BD34/Operations!AY34-1</f>
        <v>-2.0322939866369683E-2</v>
      </c>
      <c r="BE28" s="590">
        <f>Operations!BE34/Operations!AZ34-1</f>
        <v>-0.12104506232023016</v>
      </c>
      <c r="BF28" s="953">
        <f>Operations!BF34/Operations!BA34-1</f>
        <v>-0.15371782650142995</v>
      </c>
      <c r="BG28" s="552">
        <f>Operations!BG34/Operations!BB34-1</f>
        <v>-0.14033341627270468</v>
      </c>
      <c r="BH28" s="983">
        <f>Operations!BH34/Operations!BC34-1</f>
        <v>0.23872851119039895</v>
      </c>
      <c r="BI28" s="589">
        <f>Operations!BI34/Operations!BD34-1</f>
        <v>0.15799943165672059</v>
      </c>
      <c r="BJ28" s="589">
        <f>Operations!BJ34/Operations!BE34-1</f>
        <v>0.1156258521952549</v>
      </c>
      <c r="BK28" s="862">
        <f>Operations!BK34/Operations!BF34-1</f>
        <v>-3.4919740918051279E-2</v>
      </c>
      <c r="BL28" s="538">
        <f>Operations!BL34/Operations!BG34-1</f>
        <v>0.11519536903039085</v>
      </c>
      <c r="BM28" s="861">
        <f>Operations!BM34/Operations!BH34-1</f>
        <v>-3.4694946321026654E-3</v>
      </c>
      <c r="BN28" s="589">
        <f>Operations!BN34/Operations!BI34-1</f>
        <v>-6.7055214723926393E-2</v>
      </c>
      <c r="BO28" s="589">
        <f>Operations!BO34/Operations!BJ34-1</f>
        <v>6.7220728428263321E-4</v>
      </c>
      <c r="BP28" s="862">
        <f>Operations!BP34/Operations!BK34-1</f>
        <v>0.13503063904289458</v>
      </c>
      <c r="BQ28" s="538">
        <f>Operations!BQ34/Operations!BL34-1</f>
        <v>1.1614326498831984E-2</v>
      </c>
      <c r="BR28" s="861">
        <f>Operations!BR34/Operations!BM34-1</f>
        <v>-4.5983051960851729E-4</v>
      </c>
      <c r="BS28" s="589">
        <f>Operations!BS34/Operations!BN34-1</f>
        <v>8.3711448674952393E-2</v>
      </c>
      <c r="BT28" s="589">
        <f>Operations!BT34/Operations!BO34-1</f>
        <v>7.6763358778626056E-2</v>
      </c>
      <c r="BU28" s="862">
        <f>Operations!BU34/Operations!BP34-1</f>
        <v>-0.13310624076097433</v>
      </c>
      <c r="BV28" s="538">
        <f>Operations!BV34/Operations!BQ34-1</f>
        <v>7.2477711500225084E-3</v>
      </c>
      <c r="BW28" s="861">
        <f>Operations!BW34/Operations!BR34-1</f>
        <v>-0.18717139852786535</v>
      </c>
      <c r="BX28" s="589">
        <f>Operations!BX34/Operations!BS34-1</f>
        <v>-0.1029126213592233</v>
      </c>
      <c r="BY28" s="589">
        <f>Operations!BY34/Operations!BT34-1</f>
        <v>-0.25680580762250449</v>
      </c>
      <c r="BZ28" s="862">
        <f>Operations!BZ34/Operations!BU34-1</f>
        <v>-0.20047449584816135</v>
      </c>
      <c r="CA28" s="538">
        <f>Operations!CA34/Operations!BV34-1</f>
        <v>-0.18746816097809471</v>
      </c>
      <c r="CB28" s="861">
        <f>Operations!CB34/Operations!BW34-1</f>
        <v>0.23544631306597674</v>
      </c>
      <c r="CC28" s="589">
        <f>Operations!CC34/Operations!BX34-1</f>
        <v>6.4935064935064846E-2</v>
      </c>
      <c r="CD28" s="589">
        <f>Operations!CD34/Operations!BY34-1</f>
        <v>0.10866910866910873</v>
      </c>
      <c r="CE28" s="862">
        <f>Operations!CE34/Operations!BZ34-1</f>
        <v>0.271513353115727</v>
      </c>
      <c r="CF28" s="552">
        <f>Operations!CF34/Operations!CA34-1</f>
        <v>0.16112852664576804</v>
      </c>
      <c r="CG28" s="861">
        <f>Operations!CG34/Operations!CB34-1</f>
        <v>-1.5706806282722474E-2</v>
      </c>
      <c r="CH28" s="589">
        <f>Operations!CH34/Operations!CC34-1</f>
        <v>0.1107723577235773</v>
      </c>
      <c r="CI28" s="589">
        <f>Operations!CI34/Operations!CD34-1</f>
        <v>0.19933920704845809</v>
      </c>
      <c r="CJ28" s="862">
        <f>Operations!CJ34/Operations!CE34-1</f>
        <v>0.30221703617269546</v>
      </c>
      <c r="CK28" s="552">
        <f>Operations!CK34/Operations!CF34-1</f>
        <v>0.14416846652267812</v>
      </c>
      <c r="CL28" s="861">
        <f>Operations!CL34/Operations!CG34-1</f>
        <v>0.33085106382978724</v>
      </c>
      <c r="CM28" s="675">
        <v>0.02</v>
      </c>
      <c r="CN28" s="675">
        <v>0.02</v>
      </c>
      <c r="CO28" s="1022">
        <v>0.02</v>
      </c>
      <c r="CP28" s="552">
        <f>Operations!CP34/Operations!CK34-1</f>
        <v>8.8947616800377549E-2</v>
      </c>
      <c r="CQ28" s="1041">
        <v>0.02</v>
      </c>
      <c r="CR28" s="675">
        <v>0.02</v>
      </c>
      <c r="CS28" s="675">
        <v>0.02</v>
      </c>
      <c r="CT28" s="1022">
        <v>0.02</v>
      </c>
      <c r="CU28" s="552">
        <f>Operations!CU34/Operations!CP34-1</f>
        <v>2.0000000000000018E-2</v>
      </c>
      <c r="CV28" s="1041">
        <v>0.19</v>
      </c>
      <c r="CW28" s="675">
        <v>0.19</v>
      </c>
      <c r="CX28" s="675">
        <v>0.19</v>
      </c>
      <c r="CY28" s="1022">
        <v>0.19</v>
      </c>
      <c r="CZ28" s="552">
        <f>Operations!CZ34/Operations!CU34-1</f>
        <v>0.18999999999999995</v>
      </c>
    </row>
    <row r="29" spans="1:104" ht="13.5" customHeight="1">
      <c r="A29" s="819"/>
      <c r="B29" s="199" t="s">
        <v>464</v>
      </c>
      <c r="C29" s="199"/>
      <c r="D29" s="542"/>
      <c r="E29" s="542"/>
      <c r="F29" s="542"/>
      <c r="G29" s="542"/>
      <c r="H29" s="530"/>
      <c r="I29" s="538">
        <f>Operations!I36/Operations!H36-1</f>
        <v>-0.11150614091790567</v>
      </c>
      <c r="J29" s="538"/>
      <c r="K29" s="538"/>
      <c r="L29" s="538"/>
      <c r="M29" s="538"/>
      <c r="N29" s="538">
        <f>Operations!N36/Operations!I36-1</f>
        <v>-2.1826118588577637E-2</v>
      </c>
      <c r="O29" s="538"/>
      <c r="P29" s="538"/>
      <c r="Q29" s="538"/>
      <c r="R29" s="538"/>
      <c r="S29" s="538">
        <f>Operations!S36/Operations!N36-1</f>
        <v>3.3841576794347406E-2</v>
      </c>
      <c r="T29" s="538">
        <f>Operations!T36/Operations!O36-1</f>
        <v>0.26402640264026411</v>
      </c>
      <c r="U29" s="538">
        <f>Operations!U36/Operations!P36-1</f>
        <v>-9.8452883263009383E-3</v>
      </c>
      <c r="V29" s="538">
        <f>Operations!V36/Operations!Q36-1</f>
        <v>-4.4034090909090939E-2</v>
      </c>
      <c r="W29" s="538">
        <f>Operations!W36/Operations!R36-1</f>
        <v>-0.18708827404479578</v>
      </c>
      <c r="X29" s="538">
        <f>Operations!X36/Operations!S36-1</f>
        <v>-7.194244604316502E-3</v>
      </c>
      <c r="Y29" s="538">
        <f>Operations!Y36/Operations!T36-1</f>
        <v>-0.14490861618798956</v>
      </c>
      <c r="Z29" s="538">
        <f>Operations!Z36/Operations!U36-1</f>
        <v>-2.9829545454545414E-2</v>
      </c>
      <c r="AA29" s="538">
        <f>Operations!AA36/Operations!V36-1</f>
        <v>0.12184249628528976</v>
      </c>
      <c r="AB29" s="538">
        <f>Operations!AB36/Operations!W36-1</f>
        <v>0.25283630470016205</v>
      </c>
      <c r="AC29" s="538">
        <f>Operations!AC36/Operations!X36-1</f>
        <v>3.8405797101449313E-2</v>
      </c>
      <c r="AD29" s="538">
        <f>Operations!AD36/Operations!Y36-1</f>
        <v>0.16488549618320603</v>
      </c>
      <c r="AE29" s="538">
        <f>Operations!AE36/Operations!Z36-1</f>
        <v>0.18594436310395324</v>
      </c>
      <c r="AF29" s="538">
        <f>Operations!AF36/Operations!AA36-1</f>
        <v>8.8741721854304734E-2</v>
      </c>
      <c r="AG29" s="538">
        <f>Operations!AG36/Operations!AB36-1</f>
        <v>5.3040103492884905E-2</v>
      </c>
      <c r="AH29" s="538">
        <f>Operations!AH36/Operations!AC36-1</f>
        <v>0.11967899511514313</v>
      </c>
      <c r="AI29" s="538">
        <f>Operations!AI36/Operations!AD36-1</f>
        <v>2.6212319790301919E-3</v>
      </c>
      <c r="AJ29" s="538">
        <f>Operations!AJ36/Operations!AE36-1</f>
        <v>1.2345679012346622E-3</v>
      </c>
      <c r="AK29" s="538">
        <f>Operations!AK36/Operations!AF36-1</f>
        <v>-4.987834549878345E-2</v>
      </c>
      <c r="AL29" s="538">
        <f>Operations!AL36/Operations!AG36-1</f>
        <v>-2.0884520884520863E-2</v>
      </c>
      <c r="AM29" s="538">
        <f>Operations!AM36/Operations!AH36-1</f>
        <v>-1.7139295730757231E-2</v>
      </c>
      <c r="AN29" s="538">
        <f>Operations!AN36/Operations!AI36-1</f>
        <v>1.437908496732021E-2</v>
      </c>
      <c r="AO29" s="538">
        <f>Operations!AO36/Operations!AJ36-1</f>
        <v>1.726263871763245E-2</v>
      </c>
      <c r="AP29" s="538">
        <f>Operations!AP36/Operations!AK36-1</f>
        <v>4.7375160051216447E-2</v>
      </c>
      <c r="AQ29" s="538">
        <f>Operations!AQ36/Operations!AL36-1</f>
        <v>-0.35382685069008779</v>
      </c>
      <c r="AR29" s="538">
        <f>Operations!AR36/Operations!AM36-1</f>
        <v>-6.9752694990488306E-2</v>
      </c>
      <c r="AS29" s="861">
        <f>Operations!AS36/Operations!AN36-1</f>
        <v>-0.56829896907216493</v>
      </c>
      <c r="AT29" s="589">
        <f>Operations!AT36/Operations!AO36-1</f>
        <v>-0.54787878787878785</v>
      </c>
      <c r="AU29" s="589">
        <f>Operations!AU36/Operations!AP36-1</f>
        <v>-0.38630806845965771</v>
      </c>
      <c r="AV29" s="862">
        <f>Operations!AV36/Operations!AQ36-1</f>
        <v>-0.19223300970873791</v>
      </c>
      <c r="AW29" s="538">
        <f>Operations!AW36/Operations!AR36-1</f>
        <v>-0.44580777096114521</v>
      </c>
      <c r="AX29" s="861">
        <f>Operations!AX36/Operations!AS36-1</f>
        <v>0.44477611940298512</v>
      </c>
      <c r="AY29" s="589">
        <f>Operations!AY36/Operations!AT36-1</f>
        <v>0.45308310991957113</v>
      </c>
      <c r="AZ29" s="589">
        <f>Operations!AZ36/Operations!AU36-1</f>
        <v>0.12350597609561742</v>
      </c>
      <c r="BA29" s="881">
        <v>0.15</v>
      </c>
      <c r="BB29" s="538">
        <f>Operations!BB36/Operations!AW36-1</f>
        <v>0.31549815498154987</v>
      </c>
      <c r="BC29" s="861">
        <f>Operations!BC36/Operations!AX36-1</f>
        <v>0.36983471074380159</v>
      </c>
      <c r="BD29" s="589">
        <f>Operations!BD36/Operations!AY36-1</f>
        <v>4.2435424354243523E-2</v>
      </c>
      <c r="BE29" s="590">
        <f>Operations!BE36/Operations!AZ36-1</f>
        <v>-6.9148936170212782E-2</v>
      </c>
      <c r="BF29" s="953">
        <f>Operations!BF36/Operations!BA36-1</f>
        <v>6.5573770491803351E-2</v>
      </c>
      <c r="BG29" s="552">
        <f>Operations!BG36/Operations!BB36-1</f>
        <v>9.3034128097241764E-2</v>
      </c>
      <c r="BH29" s="983">
        <f>Operations!BH36/Operations!BC36-1</f>
        <v>4.5248868778280382E-3</v>
      </c>
      <c r="BI29" s="589">
        <f>Operations!BI36/Operations!BD36-1</f>
        <v>5.3097345132743445E-2</v>
      </c>
      <c r="BJ29" s="589">
        <f>Operations!BJ36/Operations!BE36-1</f>
        <v>0.18095238095238098</v>
      </c>
      <c r="BK29" s="862">
        <f>Operations!BK36/Operations!BF36-1</f>
        <v>6.6666666666666652E-2</v>
      </c>
      <c r="BL29" s="538">
        <f>Operations!BL36/Operations!BG36-1</f>
        <v>7.1428571428571397E-2</v>
      </c>
      <c r="BM29" s="861">
        <f>Operations!BM36/Operations!BH36-1</f>
        <v>-3.0030030030030463E-3</v>
      </c>
      <c r="BN29" s="589">
        <f>Operations!BN36/Operations!BI36-1</f>
        <v>3.8655462184874034E-2</v>
      </c>
      <c r="BO29" s="589">
        <f>Operations!BO36/Operations!BJ36-1</f>
        <v>0.17741935483870974</v>
      </c>
      <c r="BP29" s="862">
        <f>Operations!BP36/Operations!BK36-1</f>
        <v>9.4551282051282159E-2</v>
      </c>
      <c r="BQ29" s="538">
        <f>Operations!BQ36/Operations!BL36-1</f>
        <v>7.5848303393213579E-2</v>
      </c>
      <c r="BR29" s="861">
        <f>Operations!BR36/Operations!BM36-1</f>
        <v>6.3253012048192669E-2</v>
      </c>
      <c r="BS29" s="589">
        <f>Operations!BS36/Operations!BN36-1</f>
        <v>8.090614886731462E-3</v>
      </c>
      <c r="BT29" s="589">
        <f>Operations!BT36/Operations!BO36-1</f>
        <v>-5.0684931506849273E-2</v>
      </c>
      <c r="BU29" s="862">
        <f>Operations!BU36/Operations!BP36-1</f>
        <v>-0.21229868228404103</v>
      </c>
      <c r="BV29" s="538">
        <f>Operations!BV36/Operations!BQ36-1</f>
        <v>-5.0092764378478649E-2</v>
      </c>
      <c r="BW29" s="861">
        <f>Operations!BW36/Operations!BR36-1</f>
        <v>-0.26203966005665724</v>
      </c>
      <c r="BX29" s="589">
        <f>Operations!BX36/Operations!BS36-1</f>
        <v>-9.7913322632423805E-2</v>
      </c>
      <c r="BY29" s="589">
        <f>Operations!BY36/Operations!BT36-1</f>
        <v>-0.10101010101010099</v>
      </c>
      <c r="BZ29" s="862">
        <f>Operations!BZ36/Operations!BU36-1</f>
        <v>-2.4163568773234223E-2</v>
      </c>
      <c r="CA29" s="538">
        <f>Operations!CA36/Operations!BV36-1</f>
        <v>-0.12851562500000002</v>
      </c>
      <c r="CB29" s="861">
        <f>Operations!CB36/Operations!BW36-1</f>
        <v>0.15163147792706333</v>
      </c>
      <c r="CC29" s="589">
        <f>Operations!CC36/Operations!BX36-1</f>
        <v>4.6263345195729499E-2</v>
      </c>
      <c r="CD29" s="589">
        <f>Operations!CD36/Operations!BY36-1</f>
        <v>-2.0866773675762396E-2</v>
      </c>
      <c r="CE29" s="862">
        <f>Operations!CE36/Operations!BZ36-1</f>
        <v>-7.6190476190476364E-3</v>
      </c>
      <c r="CF29" s="552">
        <f>Operations!CF36/Operations!CA36-1</f>
        <v>3.9444195428059103E-2</v>
      </c>
      <c r="CG29" s="861">
        <f>Operations!CG36/Operations!CB36-1</f>
        <v>-0.15666666666666662</v>
      </c>
      <c r="CH29" s="589">
        <f>Operations!CH36/Operations!CC36-1</f>
        <v>-0.25510204081632648</v>
      </c>
      <c r="CI29" s="589">
        <f>Operations!CI36/Operations!CD36-1</f>
        <v>-0.34098360655737703</v>
      </c>
      <c r="CJ29" s="862">
        <f>Operations!CJ36/Operations!CE36-1</f>
        <v>-0.24568138195777356</v>
      </c>
      <c r="CK29" s="552">
        <f>Operations!CK36/Operations!CF36-1</f>
        <v>-0.25010780508840014</v>
      </c>
      <c r="CL29" s="861">
        <f>Operations!CL36/Operations!CG36-1</f>
        <v>-1.7786561264822143E-2</v>
      </c>
      <c r="CM29" s="675">
        <v>0.02</v>
      </c>
      <c r="CN29" s="675">
        <v>0.02</v>
      </c>
      <c r="CO29" s="1022">
        <v>0.02</v>
      </c>
      <c r="CP29" s="552">
        <f>Operations!CP36/Operations!CK36-1</f>
        <v>9.0051753881539298E-3</v>
      </c>
      <c r="CQ29" s="1041">
        <v>0.02</v>
      </c>
      <c r="CR29" s="675">
        <v>0.02</v>
      </c>
      <c r="CS29" s="675">
        <v>0.02</v>
      </c>
      <c r="CT29" s="1022">
        <v>0.02</v>
      </c>
      <c r="CU29" s="552">
        <f>Operations!CU36/Operations!CP36-1</f>
        <v>2.000000000000024E-2</v>
      </c>
      <c r="CV29" s="1041">
        <v>0.02</v>
      </c>
      <c r="CW29" s="675">
        <v>0.02</v>
      </c>
      <c r="CX29" s="675">
        <v>0.02</v>
      </c>
      <c r="CY29" s="1022">
        <v>0.02</v>
      </c>
      <c r="CZ29" s="552">
        <f>Operations!CZ36/Operations!CU36-1</f>
        <v>2.0000000000000018E-2</v>
      </c>
    </row>
    <row r="30" spans="1:104" ht="13.5" customHeight="1">
      <c r="A30" s="819"/>
      <c r="B30" s="199" t="s">
        <v>465</v>
      </c>
      <c r="C30" s="199"/>
      <c r="D30" s="542"/>
      <c r="E30" s="542"/>
      <c r="F30" s="542"/>
      <c r="G30" s="542"/>
      <c r="H30" s="530"/>
      <c r="I30" s="538">
        <f>Operations!I37/Operations!H37-1</f>
        <v>25.1</v>
      </c>
      <c r="J30" s="538"/>
      <c r="K30" s="538"/>
      <c r="L30" s="538"/>
      <c r="M30" s="538"/>
      <c r="N30" s="538">
        <f>Operations!N37/Operations!I37-1</f>
        <v>0.67049808429118785</v>
      </c>
      <c r="O30" s="538"/>
      <c r="P30" s="538"/>
      <c r="Q30" s="538"/>
      <c r="R30" s="538"/>
      <c r="S30" s="538">
        <f>Operations!S37/Operations!N37-1</f>
        <v>0.14564220183486243</v>
      </c>
      <c r="T30" s="538">
        <f>Operations!T37/Operations!O37-1</f>
        <v>0.52212389380530966</v>
      </c>
      <c r="U30" s="538">
        <f>Operations!U37/Operations!P37-1</f>
        <v>0.3931623931623931</v>
      </c>
      <c r="V30" s="538">
        <f>Operations!V37/Operations!Q37-1</f>
        <v>0.99616858237547889</v>
      </c>
      <c r="W30" s="538">
        <f>Operations!W37/Operations!R37-1</f>
        <v>0.84892086330935257</v>
      </c>
      <c r="X30" s="538">
        <f>Operations!X37/Operations!S37-1</f>
        <v>0.70670670670670677</v>
      </c>
      <c r="Y30" s="538">
        <f>Operations!Y37/Operations!T37-1</f>
        <v>0.71802325581395343</v>
      </c>
      <c r="Z30" s="538">
        <f>Operations!Z37/Operations!U37-1</f>
        <v>0.50613496932515334</v>
      </c>
      <c r="AA30" s="538">
        <f>Operations!AA37/Operations!V37-1</f>
        <v>1.9193857965451144E-2</v>
      </c>
      <c r="AB30" s="538">
        <f>Operations!AB37/Operations!W37-1</f>
        <v>3.5019455252918386E-2</v>
      </c>
      <c r="AC30" s="538">
        <f>Operations!AC37/Operations!X37-1</f>
        <v>0.25806451612903225</v>
      </c>
      <c r="AD30" s="538">
        <f>Operations!AD37/Operations!Y37-1</f>
        <v>5.5837563451776706E-2</v>
      </c>
      <c r="AE30" s="538">
        <f>Operations!AE37/Operations!Z37-1</f>
        <v>0.24236252545824843</v>
      </c>
      <c r="AF30" s="538">
        <f>Operations!AF37/Operations!AA37-1</f>
        <v>0.15065913370998119</v>
      </c>
      <c r="AG30" s="538">
        <f>Operations!AG37/Operations!AB37-1</f>
        <v>0.10902255639097747</v>
      </c>
      <c r="AH30" s="538">
        <f>Operations!AH37/Operations!AC37-1</f>
        <v>0.13519813519813528</v>
      </c>
      <c r="AI30" s="538">
        <f>Operations!AI37/Operations!AD37-1</f>
        <v>1.6025641025640969E-3</v>
      </c>
      <c r="AJ30" s="538">
        <f>Operations!AJ37/Operations!AE37-1</f>
        <v>-4.9180327868852958E-3</v>
      </c>
      <c r="AK30" s="538">
        <f>Operations!AK37/Operations!AF37-1</f>
        <v>9.8199672667757865E-2</v>
      </c>
      <c r="AL30" s="538">
        <f>Operations!AL37/Operations!AG37-1</f>
        <v>5.9322033898305149E-2</v>
      </c>
      <c r="AM30" s="538">
        <f>Operations!AM37/Operations!AH37-1</f>
        <v>3.8193018480492835E-2</v>
      </c>
      <c r="AN30" s="538">
        <f>Operations!AN37/Operations!AI37-1</f>
        <v>0.12000000000000011</v>
      </c>
      <c r="AO30" s="538">
        <f>Operations!AO37/Operations!AJ37-1</f>
        <v>8.237232289950569E-2</v>
      </c>
      <c r="AP30" s="538">
        <f>Operations!AP37/Operations!AK37-1</f>
        <v>1.0432190760059523E-2</v>
      </c>
      <c r="AQ30" s="538">
        <f>Operations!AQ37/Operations!AL37-1</f>
        <v>-0.28800000000000003</v>
      </c>
      <c r="AR30" s="538">
        <f>Operations!AR37/Operations!AM37-1</f>
        <v>-1.8987341772151889E-2</v>
      </c>
      <c r="AS30" s="861">
        <f>Operations!AS37/Operations!AN37-1</f>
        <v>-0.48571428571428577</v>
      </c>
      <c r="AT30" s="589">
        <f>Operations!AT37/Operations!AO37-1</f>
        <v>-0.52511415525114158</v>
      </c>
      <c r="AU30" s="589">
        <f>Operations!AU37/Operations!AP37-1</f>
        <v>-0.28908554572271383</v>
      </c>
      <c r="AV30" s="862">
        <f>Operations!AV37/Operations!AQ37-1</f>
        <v>2.0224719101123556E-2</v>
      </c>
      <c r="AW30" s="538">
        <f>Operations!AW37/Operations!AR37-1</f>
        <v>-0.35161290322580641</v>
      </c>
      <c r="AX30" s="861">
        <f>Operations!AX37/Operations!AS37-1</f>
        <v>0.5361111111111112</v>
      </c>
      <c r="AY30" s="589">
        <f>Operations!AY37/Operations!AT37-1</f>
        <v>0.88782051282051277</v>
      </c>
      <c r="AZ30" s="589">
        <f>Operations!AZ37/Operations!AU37-1</f>
        <v>0.13070539419087135</v>
      </c>
      <c r="BA30" s="881">
        <v>0.1</v>
      </c>
      <c r="BB30" s="538">
        <f>Operations!BB37/Operations!AW37-1</f>
        <v>0.38619402985074625</v>
      </c>
      <c r="BC30" s="861">
        <f>Operations!BC37/Operations!AX37-1</f>
        <v>6.6907775768535238E-2</v>
      </c>
      <c r="BD30" s="589">
        <f>Operations!BD37/Operations!AY37-1</f>
        <v>-1.018675721561968E-2</v>
      </c>
      <c r="BE30" s="590">
        <f>Operations!BE37/Operations!AZ37-1</f>
        <v>8.8073394495412849E-2</v>
      </c>
      <c r="BF30" s="953">
        <f>Operations!BF37/Operations!BA37-1</f>
        <v>-5.5350553505535083E-2</v>
      </c>
      <c r="BG30" s="552">
        <f>Operations!BG37/Operations!BB37-1</f>
        <v>2.1982951996410982E-2</v>
      </c>
      <c r="BH30" s="983">
        <f>Operations!BH37/Operations!BC37-1</f>
        <v>4.2372881355932313E-2</v>
      </c>
      <c r="BI30" s="589">
        <f>Operations!BI37/Operations!BD37-1</f>
        <v>3.6020583190394584E-2</v>
      </c>
      <c r="BJ30" s="589">
        <f>Operations!BJ37/Operations!BE37-1</f>
        <v>-5.5649241146711659E-2</v>
      </c>
      <c r="BK30" s="862">
        <f>Operations!BK37/Operations!BF37-1</f>
        <v>-4.4921875E-2</v>
      </c>
      <c r="BL30" s="538">
        <f>Operations!BL37/Operations!BG37-1</f>
        <v>-4.389815627743654E-3</v>
      </c>
      <c r="BM30" s="861">
        <f>Operations!BM37/Operations!BH37-1</f>
        <v>-8.9430894308943132E-2</v>
      </c>
      <c r="BN30" s="589">
        <f>Operations!BN37/Operations!BI37-1</f>
        <v>-2.6490066225165587E-2</v>
      </c>
      <c r="BO30" s="589">
        <f>Operations!BO37/Operations!BJ37-1</f>
        <v>7.1428571428571397E-2</v>
      </c>
      <c r="BP30" s="862">
        <f>Operations!BP37/Operations!BK37-1</f>
        <v>0.25766871165644178</v>
      </c>
      <c r="BQ30" s="538">
        <f>Operations!BQ37/Operations!BL37-1</f>
        <v>4.1887125220458454E-2</v>
      </c>
      <c r="BR30" s="861">
        <f>Operations!BR37/Operations!BM37-1</f>
        <v>0.18928571428571428</v>
      </c>
      <c r="BS30" s="589">
        <f>Operations!BS37/Operations!BN37-1</f>
        <v>5.6122448979591733E-2</v>
      </c>
      <c r="BT30" s="589">
        <f>Operations!BT37/Operations!BO37-1</f>
        <v>2.6666666666666616E-2</v>
      </c>
      <c r="BU30" s="862">
        <f>Operations!BU37/Operations!BP37-1</f>
        <v>-0.12357723577235769</v>
      </c>
      <c r="BV30" s="538">
        <f>Operations!BV37/Operations!BQ37-1</f>
        <v>3.3432077867117993E-2</v>
      </c>
      <c r="BW30" s="861">
        <f>Operations!BW37/Operations!BR37-1</f>
        <v>-0.22672672672672678</v>
      </c>
      <c r="BX30" s="589">
        <f>Operations!BX37/Operations!BS37-1</f>
        <v>-0.20128824476650564</v>
      </c>
      <c r="BY30" s="589">
        <f>Operations!BY37/Operations!BT37-1</f>
        <v>-0.20616883116883122</v>
      </c>
      <c r="BZ30" s="862">
        <f>Operations!BZ37/Operations!BU37-1</f>
        <v>-0.24860853432282004</v>
      </c>
      <c r="CA30" s="538">
        <f>Operations!CA37/Operations!BV37-1</f>
        <v>-0.21990171990171992</v>
      </c>
      <c r="CB30" s="861">
        <f>Operations!CB37/Operations!BW37-1</f>
        <v>7.1844660194174681E-2</v>
      </c>
      <c r="CC30" s="589">
        <f>Operations!CC37/Operations!BX37-1</f>
        <v>0.18548387096774199</v>
      </c>
      <c r="CD30" s="589">
        <f>Operations!CD37/Operations!BY37-1</f>
        <v>-0.12883435582822089</v>
      </c>
      <c r="CE30" s="862">
        <f>Operations!CE37/Operations!BZ37-1</f>
        <v>0.1283950617283951</v>
      </c>
      <c r="CF30" s="552">
        <f>Operations!CF37/Operations!CA37-1</f>
        <v>6.1942257217847851E-2</v>
      </c>
      <c r="CG30" s="861">
        <f>Operations!CG37/Operations!CB37-1</f>
        <v>1.9927536231884035E-2</v>
      </c>
      <c r="CH30" s="589">
        <f>Operations!CH37/Operations!CC37-1</f>
        <v>0.1020408163265305</v>
      </c>
      <c r="CI30" s="589">
        <f>Operations!CI37/Operations!CD37-1</f>
        <v>0.23239436619718301</v>
      </c>
      <c r="CJ30" s="862">
        <f>Operations!CJ37/Operations!CE37-1</f>
        <v>0.12253829321663012</v>
      </c>
      <c r="CK30" s="552">
        <f>Operations!CK37/Operations!CF37-1</f>
        <v>0.11171527434503203</v>
      </c>
      <c r="CL30" s="861">
        <f>Operations!CL37/Operations!CG37-1</f>
        <v>-3.1971580817051537E-2</v>
      </c>
      <c r="CM30" s="675">
        <v>0.03</v>
      </c>
      <c r="CN30" s="675">
        <v>0.03</v>
      </c>
      <c r="CO30" s="1022">
        <v>0.03</v>
      </c>
      <c r="CP30" s="552">
        <f>Operations!CP37/Operations!CK37-1</f>
        <v>1.4486438417074199E-2</v>
      </c>
      <c r="CQ30" s="1041">
        <v>0.02</v>
      </c>
      <c r="CR30" s="675">
        <v>0.02</v>
      </c>
      <c r="CS30" s="675">
        <v>0.02</v>
      </c>
      <c r="CT30" s="1022">
        <v>0.02</v>
      </c>
      <c r="CU30" s="552">
        <f>Operations!CU37/Operations!CP37-1</f>
        <v>2.0000000000000018E-2</v>
      </c>
      <c r="CV30" s="1041">
        <v>0.02</v>
      </c>
      <c r="CW30" s="675">
        <v>0.02</v>
      </c>
      <c r="CX30" s="675">
        <v>0.02</v>
      </c>
      <c r="CY30" s="1022">
        <v>0.02</v>
      </c>
      <c r="CZ30" s="552">
        <f>Operations!CZ37/Operations!CU37-1</f>
        <v>2.0000000000000018E-2</v>
      </c>
    </row>
    <row r="31" spans="1:104" ht="6.2" customHeight="1">
      <c r="A31" s="819"/>
      <c r="B31" s="66"/>
      <c r="C31" s="66"/>
      <c r="D31" s="66"/>
      <c r="E31" s="6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859"/>
      <c r="AT31" s="20"/>
      <c r="AU31" s="20"/>
      <c r="AV31" s="860"/>
      <c r="AW31" s="66"/>
      <c r="AX31" s="859"/>
      <c r="AY31" s="20"/>
      <c r="AZ31" s="20"/>
      <c r="BA31" s="860"/>
      <c r="BB31" s="66"/>
      <c r="BC31" s="859"/>
      <c r="BD31" s="20"/>
      <c r="BE31" s="20"/>
      <c r="BF31" s="860"/>
      <c r="BG31" s="66"/>
      <c r="BH31" s="859"/>
      <c r="BI31" s="20"/>
      <c r="BJ31" s="20"/>
      <c r="BK31" s="860"/>
      <c r="BL31" s="66"/>
      <c r="BM31" s="859"/>
      <c r="BN31" s="20"/>
      <c r="BO31" s="20"/>
      <c r="BP31" s="860"/>
      <c r="BQ31" s="66"/>
      <c r="BR31" s="859"/>
      <c r="BS31" s="20"/>
      <c r="BT31" s="20"/>
      <c r="BU31" s="860"/>
      <c r="BV31" s="66"/>
      <c r="BW31" s="859"/>
      <c r="BX31" s="20"/>
      <c r="BY31" s="20"/>
      <c r="BZ31" s="860"/>
      <c r="CA31" s="66"/>
      <c r="CB31" s="859"/>
      <c r="CC31" s="20"/>
      <c r="CD31" s="20"/>
      <c r="CE31" s="944"/>
      <c r="CF31" s="453"/>
      <c r="CG31" s="981"/>
      <c r="CH31" s="495"/>
      <c r="CI31" s="20"/>
      <c r="CJ31" s="944"/>
      <c r="CK31" s="453"/>
      <c r="CL31" s="859"/>
      <c r="CM31" s="20"/>
      <c r="CN31" s="20"/>
      <c r="CO31" s="860"/>
      <c r="CP31" s="66"/>
      <c r="CQ31" s="859"/>
      <c r="CR31" s="20"/>
      <c r="CS31" s="20"/>
      <c r="CT31" s="860"/>
      <c r="CU31" s="66"/>
      <c r="CV31" s="859"/>
      <c r="CW31" s="20"/>
      <c r="CX31" s="20"/>
      <c r="CY31" s="860"/>
      <c r="CZ31" s="66"/>
    </row>
    <row r="32" spans="1:104" ht="13.5" customHeight="1">
      <c r="A32" s="820" t="s">
        <v>531</v>
      </c>
      <c r="B32" s="66"/>
      <c r="C32" s="66"/>
      <c r="D32" s="66"/>
      <c r="E32" s="66"/>
      <c r="F32" s="66"/>
      <c r="G32" s="66"/>
      <c r="H32" s="66"/>
      <c r="I32" s="66"/>
      <c r="J32" s="66"/>
      <c r="K32" s="66"/>
      <c r="L32" s="66"/>
      <c r="M32" s="66"/>
      <c r="N32" s="66"/>
      <c r="O32" s="66"/>
      <c r="P32" s="66"/>
      <c r="Q32" s="66"/>
      <c r="R32" s="66"/>
      <c r="S32" s="66"/>
      <c r="T32" s="66"/>
      <c r="U32" s="66"/>
      <c r="V32" s="66"/>
      <c r="W32" s="66"/>
      <c r="X32" s="66"/>
      <c r="Y32" s="66"/>
      <c r="Z32" s="66"/>
      <c r="AA32" s="66"/>
      <c r="AB32" s="102"/>
      <c r="AC32" s="66"/>
      <c r="AD32" s="66"/>
      <c r="AE32" s="66"/>
      <c r="AF32" s="66"/>
      <c r="AG32" s="66"/>
      <c r="AH32" s="66"/>
      <c r="AI32" s="66"/>
      <c r="AJ32" s="66"/>
      <c r="AK32" s="66"/>
      <c r="AL32" s="66"/>
      <c r="AM32" s="66"/>
      <c r="AN32" s="66"/>
      <c r="AO32" s="66"/>
      <c r="AP32" s="66"/>
      <c r="AQ32" s="66"/>
      <c r="AR32" s="66"/>
      <c r="AS32" s="859"/>
      <c r="AT32" s="20"/>
      <c r="AU32" s="20"/>
      <c r="AV32" s="860"/>
      <c r="AW32" s="66"/>
      <c r="AX32" s="859"/>
      <c r="AY32" s="20"/>
      <c r="AZ32" s="20"/>
      <c r="BA32" s="860"/>
      <c r="BB32" s="66"/>
      <c r="BC32" s="859"/>
      <c r="BD32" s="20"/>
      <c r="BE32" s="20"/>
      <c r="BF32" s="954"/>
      <c r="BG32" s="362"/>
      <c r="BH32" s="859"/>
      <c r="BI32" s="20"/>
      <c r="BJ32" s="20"/>
      <c r="BK32" s="860"/>
      <c r="BL32" s="66"/>
      <c r="BM32" s="859"/>
      <c r="BN32" s="20"/>
      <c r="BO32" s="20"/>
      <c r="BP32" s="860"/>
      <c r="BQ32" s="66"/>
      <c r="BR32" s="859"/>
      <c r="BS32" s="20"/>
      <c r="BT32" s="20"/>
      <c r="BU32" s="860"/>
      <c r="BV32" s="66"/>
      <c r="BW32" s="859"/>
      <c r="BX32" s="20"/>
      <c r="BY32" s="20"/>
      <c r="BZ32" s="860"/>
      <c r="CA32" s="66"/>
      <c r="CB32" s="859"/>
      <c r="CC32" s="20"/>
      <c r="CD32" s="20"/>
      <c r="CE32" s="944"/>
      <c r="CF32" s="453"/>
      <c r="CG32" s="981"/>
      <c r="CH32" s="495"/>
      <c r="CI32" s="20"/>
      <c r="CJ32" s="944"/>
      <c r="CK32" s="453"/>
      <c r="CL32" s="859"/>
      <c r="CM32" s="20"/>
      <c r="CN32" s="20"/>
      <c r="CO32" s="860"/>
      <c r="CP32" s="66"/>
      <c r="CQ32" s="859"/>
      <c r="CR32" s="20"/>
      <c r="CS32" s="20"/>
      <c r="CT32" s="860"/>
      <c r="CU32" s="66"/>
      <c r="CV32" s="859"/>
      <c r="CW32" s="20"/>
      <c r="CX32" s="20"/>
      <c r="CY32" s="860"/>
      <c r="CZ32" s="66"/>
    </row>
    <row r="33" spans="1:104" ht="13.5" customHeight="1">
      <c r="A33" s="819"/>
      <c r="B33" s="66" t="s">
        <v>462</v>
      </c>
      <c r="C33" s="79"/>
      <c r="D33" s="79"/>
      <c r="E33" s="79"/>
      <c r="F33" s="79"/>
      <c r="G33" s="79"/>
      <c r="H33" s="500">
        <v>4456</v>
      </c>
      <c r="I33" s="500">
        <v>5074</v>
      </c>
      <c r="J33" s="500">
        <v>1436</v>
      </c>
      <c r="K33" s="500">
        <v>1396</v>
      </c>
      <c r="L33" s="500">
        <v>1432</v>
      </c>
      <c r="M33" s="500">
        <v>1542</v>
      </c>
      <c r="N33" s="549">
        <f>SUM(J33:M33)</f>
        <v>5806</v>
      </c>
      <c r="O33" s="500">
        <v>1745</v>
      </c>
      <c r="P33" s="500">
        <v>1687</v>
      </c>
      <c r="Q33" s="500">
        <v>1759</v>
      </c>
      <c r="R33" s="500">
        <v>1763</v>
      </c>
      <c r="S33" s="549">
        <f>SUM(O33:R33)</f>
        <v>6954</v>
      </c>
      <c r="T33" s="500">
        <v>2123</v>
      </c>
      <c r="U33" s="500">
        <v>2099</v>
      </c>
      <c r="V33" s="500">
        <v>2006</v>
      </c>
      <c r="W33" s="500">
        <v>1850</v>
      </c>
      <c r="X33" s="549">
        <f>SUM(T33:W33)</f>
        <v>8078</v>
      </c>
      <c r="Y33" s="500">
        <v>2066</v>
      </c>
      <c r="Z33" s="500">
        <v>1996</v>
      </c>
      <c r="AA33" s="500">
        <v>1954</v>
      </c>
      <c r="AB33" s="500">
        <v>2010</v>
      </c>
      <c r="AC33" s="549">
        <f>SUM(Y33:AB33)</f>
        <v>8026</v>
      </c>
      <c r="AD33" s="500">
        <v>2241</v>
      </c>
      <c r="AE33" s="500">
        <v>2221</v>
      </c>
      <c r="AF33" s="500">
        <v>2177</v>
      </c>
      <c r="AG33" s="500">
        <v>1856</v>
      </c>
      <c r="AH33" s="549">
        <f>SUM(AD33:AG33)</f>
        <v>8495</v>
      </c>
      <c r="AI33" s="500">
        <v>2020</v>
      </c>
      <c r="AJ33" s="500">
        <v>2068</v>
      </c>
      <c r="AK33" s="500">
        <v>2038</v>
      </c>
      <c r="AL33" s="500">
        <v>2140</v>
      </c>
      <c r="AM33" s="549">
        <f>SUM(AI33:AL33)</f>
        <v>8266</v>
      </c>
      <c r="AN33" s="500">
        <v>2211</v>
      </c>
      <c r="AO33" s="500">
        <v>2280</v>
      </c>
      <c r="AP33" s="500">
        <v>1920</v>
      </c>
      <c r="AQ33" s="500">
        <v>1094</v>
      </c>
      <c r="AR33" s="549">
        <f>SUM(AN33:AQ33)</f>
        <v>7505</v>
      </c>
      <c r="AS33" s="850">
        <v>957</v>
      </c>
      <c r="AT33" s="509">
        <v>966</v>
      </c>
      <c r="AU33" s="509">
        <v>1740</v>
      </c>
      <c r="AV33" s="851">
        <v>1549</v>
      </c>
      <c r="AW33" s="549">
        <f>SUM(AS33:AV33)</f>
        <v>5212</v>
      </c>
      <c r="AX33" s="850">
        <v>2000</v>
      </c>
      <c r="AY33" s="509">
        <v>1893</v>
      </c>
      <c r="AZ33" s="509">
        <v>1841</v>
      </c>
      <c r="BA33" s="851">
        <v>1700</v>
      </c>
      <c r="BB33" s="549">
        <f>SUM(AX33:BA33)</f>
        <v>7434</v>
      </c>
      <c r="BC33" s="850">
        <v>2088</v>
      </c>
      <c r="BD33" s="509">
        <v>1718</v>
      </c>
      <c r="BE33" s="509">
        <v>1853</v>
      </c>
      <c r="BF33" s="950">
        <v>1841</v>
      </c>
      <c r="BG33" s="499">
        <f>SUM(BC33:BF33)</f>
        <v>7500</v>
      </c>
      <c r="BH33" s="850">
        <v>2048</v>
      </c>
      <c r="BI33" s="509">
        <v>1925</v>
      </c>
      <c r="BJ33" s="509">
        <v>1804</v>
      </c>
      <c r="BK33" s="851">
        <v>1845</v>
      </c>
      <c r="BL33" s="499">
        <f>SUM(BH33:BK33)</f>
        <v>7622</v>
      </c>
      <c r="BM33" s="850">
        <v>1837</v>
      </c>
      <c r="BN33" s="509">
        <v>1796</v>
      </c>
      <c r="BO33" s="509">
        <v>1965</v>
      </c>
      <c r="BP33" s="851">
        <v>1893</v>
      </c>
      <c r="BQ33" s="549">
        <f>SUM(BM33:BP33)</f>
        <v>7491</v>
      </c>
      <c r="BR33" s="850">
        <v>1877</v>
      </c>
      <c r="BS33" s="509">
        <v>1972</v>
      </c>
      <c r="BT33" s="509">
        <v>2040</v>
      </c>
      <c r="BU33" s="851">
        <v>2264</v>
      </c>
      <c r="BV33" s="549">
        <f t="shared" ref="BV33:BV38" si="28">SUM(BR33:BU33)</f>
        <v>8153</v>
      </c>
      <c r="BW33" s="850">
        <v>1956</v>
      </c>
      <c r="BX33" s="509">
        <v>2196</v>
      </c>
      <c r="BY33" s="509">
        <v>2109</v>
      </c>
      <c r="BZ33" s="851">
        <v>1819</v>
      </c>
      <c r="CA33" s="549">
        <f t="shared" ref="CA33:CA38" si="29">SUM(BW33:BZ33)</f>
        <v>8080</v>
      </c>
      <c r="CB33" s="1003">
        <v>2392</v>
      </c>
      <c r="CC33" s="510">
        <v>2522</v>
      </c>
      <c r="CD33" s="509">
        <v>2121</v>
      </c>
      <c r="CE33" s="851">
        <v>2083</v>
      </c>
      <c r="CF33" s="549">
        <f t="shared" ref="CF33:CF37" si="30">SUM(CB33:CE33)</f>
        <v>9118</v>
      </c>
      <c r="CG33" s="850">
        <v>2451</v>
      </c>
      <c r="CH33" s="509">
        <v>2371</v>
      </c>
      <c r="CI33" s="510">
        <v>2282</v>
      </c>
      <c r="CJ33" s="851">
        <v>2207</v>
      </c>
      <c r="CK33" s="549">
        <f>SUM(CG33:CJ33)</f>
        <v>9311</v>
      </c>
      <c r="CL33" s="850">
        <v>2323</v>
      </c>
      <c r="CM33" s="598">
        <f>(1+Operations!CM27)*Operations!CH33</f>
        <v>2418.42</v>
      </c>
      <c r="CN33" s="598">
        <f>(1+Operations!CN27)*Operations!CI33</f>
        <v>2327.64</v>
      </c>
      <c r="CO33" s="839">
        <f>(1+Operations!CO27)*Operations!CJ33</f>
        <v>2251.14</v>
      </c>
      <c r="CP33" s="549">
        <f>SUM(CL33:CO33)</f>
        <v>9320.1999999999989</v>
      </c>
      <c r="CQ33" s="838">
        <f>(1+Operations!CQ27)*Operations!CL33</f>
        <v>2369.46</v>
      </c>
      <c r="CR33" s="598">
        <f>(1+Operations!CR27)*Operations!CM33</f>
        <v>2466.7883999999999</v>
      </c>
      <c r="CS33" s="598">
        <f>(1+Operations!CS27)*Operations!CN33</f>
        <v>2374.1927999999998</v>
      </c>
      <c r="CT33" s="839">
        <f>(1+Operations!CT27)*Operations!CO33</f>
        <v>2296.1628000000001</v>
      </c>
      <c r="CU33" s="549">
        <f>SUM(CQ33:CT33)</f>
        <v>9506.6039999999994</v>
      </c>
      <c r="CV33" s="838">
        <f>(1+Operations!CV27)*Operations!CQ33</f>
        <v>2559.0168000000003</v>
      </c>
      <c r="CW33" s="598">
        <f>(1+Operations!CW27)*Operations!CR33</f>
        <v>2664.131472</v>
      </c>
      <c r="CX33" s="598">
        <f>(1+Operations!CX27)*Operations!CS33</f>
        <v>2564.128224</v>
      </c>
      <c r="CY33" s="839">
        <f>(1+Operations!CY27)*Operations!CT33</f>
        <v>2479.8558240000002</v>
      </c>
      <c r="CZ33" s="549">
        <f>SUM(CV33:CY33)</f>
        <v>10267.132320000001</v>
      </c>
    </row>
    <row r="34" spans="1:104" ht="13.5" customHeight="1">
      <c r="A34" s="819"/>
      <c r="B34" s="66" t="s">
        <v>80</v>
      </c>
      <c r="C34" s="66"/>
      <c r="D34" s="66"/>
      <c r="E34" s="66"/>
      <c r="F34" s="66"/>
      <c r="G34" s="66"/>
      <c r="H34" s="500">
        <v>2209</v>
      </c>
      <c r="I34" s="500">
        <v>2687</v>
      </c>
      <c r="J34" s="500">
        <v>699</v>
      </c>
      <c r="K34" s="500">
        <v>774</v>
      </c>
      <c r="L34" s="500">
        <v>710</v>
      </c>
      <c r="M34" s="500">
        <v>764</v>
      </c>
      <c r="N34" s="549">
        <f>SUM(J34:M34)</f>
        <v>2947</v>
      </c>
      <c r="O34" s="500">
        <v>1463</v>
      </c>
      <c r="P34" s="500">
        <v>1321</v>
      </c>
      <c r="Q34" s="500">
        <v>1438</v>
      </c>
      <c r="R34" s="500">
        <v>1308</v>
      </c>
      <c r="S34" s="549">
        <f>SUM(O34:R34)</f>
        <v>5530</v>
      </c>
      <c r="T34" s="500">
        <v>1493</v>
      </c>
      <c r="U34" s="500">
        <v>1327</v>
      </c>
      <c r="V34" s="500">
        <v>1292</v>
      </c>
      <c r="W34" s="500">
        <v>1132</v>
      </c>
      <c r="X34" s="549">
        <f>SUM(T34:W34)</f>
        <v>5244</v>
      </c>
      <c r="Y34" s="500">
        <v>1376</v>
      </c>
      <c r="Z34" s="500">
        <v>1523</v>
      </c>
      <c r="AA34" s="500">
        <v>1674</v>
      </c>
      <c r="AB34" s="500">
        <v>1410</v>
      </c>
      <c r="AC34" s="549">
        <f>SUM(Y34:AB34)</f>
        <v>5983</v>
      </c>
      <c r="AD34" s="500">
        <v>1638</v>
      </c>
      <c r="AE34" s="500">
        <v>1809</v>
      </c>
      <c r="AF34" s="500">
        <v>1613</v>
      </c>
      <c r="AG34" s="500">
        <v>1453</v>
      </c>
      <c r="AH34" s="549">
        <f>SUM(AD34:AG34)</f>
        <v>6513</v>
      </c>
      <c r="AI34" s="500">
        <v>1819</v>
      </c>
      <c r="AJ34" s="500">
        <v>1404</v>
      </c>
      <c r="AK34" s="500">
        <v>1548</v>
      </c>
      <c r="AL34" s="500">
        <v>1516</v>
      </c>
      <c r="AM34" s="549">
        <f>SUM(AI34:AL34)</f>
        <v>6287</v>
      </c>
      <c r="AN34" s="500">
        <v>1516</v>
      </c>
      <c r="AO34" s="500">
        <v>1632</v>
      </c>
      <c r="AP34" s="500">
        <v>1272</v>
      </c>
      <c r="AQ34" s="500">
        <v>846</v>
      </c>
      <c r="AR34" s="549">
        <f>SUM(AN34:AQ34)</f>
        <v>5266</v>
      </c>
      <c r="AS34" s="850">
        <v>781</v>
      </c>
      <c r="AT34" s="509">
        <v>918</v>
      </c>
      <c r="AU34" s="509">
        <v>981</v>
      </c>
      <c r="AV34" s="851">
        <v>949</v>
      </c>
      <c r="AW34" s="549">
        <f>SUM(AS34:AV34)</f>
        <v>3629</v>
      </c>
      <c r="AX34" s="850">
        <v>1029</v>
      </c>
      <c r="AY34" s="509">
        <v>898</v>
      </c>
      <c r="AZ34" s="509">
        <v>1043</v>
      </c>
      <c r="BA34" s="851">
        <v>1049</v>
      </c>
      <c r="BB34" s="549">
        <f>SUM(AX34:BA34)</f>
        <v>4019</v>
      </c>
      <c r="BC34" s="955">
        <f>1077-BC35</f>
        <v>770.75</v>
      </c>
      <c r="BD34" s="956">
        <f>1186-BD35</f>
        <v>879.75</v>
      </c>
      <c r="BE34" s="956">
        <f>1223-BE35</f>
        <v>916.75</v>
      </c>
      <c r="BF34" s="957">
        <f>1194-BF35</f>
        <v>887.75</v>
      </c>
      <c r="BG34" s="667">
        <f>SUM(BC34:BF34)</f>
        <v>3455</v>
      </c>
      <c r="BH34" s="955">
        <f>1261-BH35</f>
        <v>954.75</v>
      </c>
      <c r="BI34" s="956">
        <f>1325-BI35</f>
        <v>1018.75</v>
      </c>
      <c r="BJ34" s="956">
        <f>1329-BJ35</f>
        <v>1022.75</v>
      </c>
      <c r="BK34" s="984">
        <f>1163-BK35</f>
        <v>856.75</v>
      </c>
      <c r="BL34" s="667">
        <f>SUM(BH34:BK34)</f>
        <v>3853</v>
      </c>
      <c r="BM34" s="955">
        <f>1273-BM35</f>
        <v>951.4375</v>
      </c>
      <c r="BN34" s="992">
        <f>1272-BN35</f>
        <v>950.4375</v>
      </c>
      <c r="BO34" s="992">
        <f>1345-BO35</f>
        <v>1023.4375</v>
      </c>
      <c r="BP34" s="957">
        <f>1294-BP35</f>
        <v>972.4375</v>
      </c>
      <c r="BQ34" s="668">
        <f>SUM(BM34:BP34)</f>
        <v>3897.75</v>
      </c>
      <c r="BR34" s="998">
        <f>1351-BR35</f>
        <v>951</v>
      </c>
      <c r="BS34" s="992">
        <f>1430-BS35</f>
        <v>1030</v>
      </c>
      <c r="BT34" s="992">
        <f>1502-BT35</f>
        <v>1102</v>
      </c>
      <c r="BU34" s="957">
        <f>1243-BU35</f>
        <v>843</v>
      </c>
      <c r="BV34" s="668">
        <f t="shared" si="28"/>
        <v>3926</v>
      </c>
      <c r="BW34" s="998">
        <f>1173-BW35</f>
        <v>773</v>
      </c>
      <c r="BX34" s="992">
        <f>1324-BX35</f>
        <v>924</v>
      </c>
      <c r="BY34" s="992">
        <f>1219-BY35</f>
        <v>819</v>
      </c>
      <c r="BZ34" s="957">
        <f>1074-BZ35</f>
        <v>674</v>
      </c>
      <c r="CA34" s="668">
        <f t="shared" si="29"/>
        <v>3190</v>
      </c>
      <c r="CB34" s="998">
        <f>1355-CB35</f>
        <v>955</v>
      </c>
      <c r="CC34" s="992">
        <f>1384-CC35</f>
        <v>984</v>
      </c>
      <c r="CD34" s="992">
        <f>1308-CD35</f>
        <v>908</v>
      </c>
      <c r="CE34" s="957">
        <f>1257-CE35</f>
        <v>857</v>
      </c>
      <c r="CF34" s="668">
        <f t="shared" si="30"/>
        <v>3704</v>
      </c>
      <c r="CG34" s="998">
        <f>1340-CG35</f>
        <v>940</v>
      </c>
      <c r="CH34" s="992">
        <f>1493-CH35</f>
        <v>1093</v>
      </c>
      <c r="CI34" s="992">
        <f>1489-CI35</f>
        <v>1089</v>
      </c>
      <c r="CJ34" s="984">
        <f>1516-CJ35</f>
        <v>1116</v>
      </c>
      <c r="CK34" s="549">
        <f>SUM(CG34:CJ34)</f>
        <v>4238</v>
      </c>
      <c r="CL34" s="955">
        <f>1651-CL35</f>
        <v>1251</v>
      </c>
      <c r="CM34" s="598">
        <f>(1+Operations!CM28)*Operations!CH34</f>
        <v>1114.8600000000001</v>
      </c>
      <c r="CN34" s="598">
        <f>(1+Operations!CN28)*Operations!CI34</f>
        <v>1110.78</v>
      </c>
      <c r="CO34" s="839">
        <f>(1+Operations!CO28)*Operations!CJ34</f>
        <v>1138.32</v>
      </c>
      <c r="CP34" s="549">
        <f>SUM(CL34:CO34)</f>
        <v>4614.96</v>
      </c>
      <c r="CQ34" s="838">
        <f>(1+Operations!CQ28)*Operations!CL34</f>
        <v>1276.02</v>
      </c>
      <c r="CR34" s="598">
        <f>(1+Operations!CR28)*Operations!CM34</f>
        <v>1137.1572000000001</v>
      </c>
      <c r="CS34" s="598">
        <f>(1+Operations!CS28)*Operations!CN34</f>
        <v>1132.9956</v>
      </c>
      <c r="CT34" s="839">
        <f>(1+Operations!CT28)*Operations!CO34</f>
        <v>1161.0863999999999</v>
      </c>
      <c r="CU34" s="549">
        <f>SUM(CQ34:CT34)</f>
        <v>4707.2592000000004</v>
      </c>
      <c r="CV34" s="838">
        <f>(1+Operations!CV28)*Operations!CQ34</f>
        <v>1518.4638</v>
      </c>
      <c r="CW34" s="598">
        <f>(1+Operations!CW28)*Operations!CR34</f>
        <v>1353.2170680000002</v>
      </c>
      <c r="CX34" s="598">
        <f>(1+Operations!CX28)*Operations!CS34</f>
        <v>1348.264764</v>
      </c>
      <c r="CY34" s="839">
        <f>(1+Operations!CY28)*Operations!CT34</f>
        <v>1381.6928159999998</v>
      </c>
      <c r="CZ34" s="549">
        <f>SUM(CV34:CY34)</f>
        <v>5601.6384480000006</v>
      </c>
    </row>
    <row r="35" spans="1:104" ht="13.5" customHeight="1">
      <c r="A35" s="820"/>
      <c r="B35" s="66" t="s">
        <v>552</v>
      </c>
      <c r="C35" s="79"/>
      <c r="D35" s="79"/>
      <c r="E35" s="79"/>
      <c r="F35" s="79"/>
      <c r="G35" s="79"/>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863"/>
      <c r="AT35" s="244"/>
      <c r="AU35" s="244"/>
      <c r="AV35" s="864"/>
      <c r="AW35" s="10"/>
      <c r="AX35" s="863"/>
      <c r="AY35" s="244"/>
      <c r="AZ35" s="244"/>
      <c r="BA35" s="864"/>
      <c r="BB35" s="10"/>
      <c r="BC35" s="838">
        <f>BD35</f>
        <v>306.25</v>
      </c>
      <c r="BD35" s="598">
        <f>BE35</f>
        <v>306.25</v>
      </c>
      <c r="BE35" s="598">
        <f>BF35</f>
        <v>306.25</v>
      </c>
      <c r="BF35" s="839">
        <f>BG35/4</f>
        <v>306.25</v>
      </c>
      <c r="BG35" s="549">
        <v>1225</v>
      </c>
      <c r="BH35" s="838">
        <f>BI35</f>
        <v>306.25</v>
      </c>
      <c r="BI35" s="598">
        <f>BJ35</f>
        <v>306.25</v>
      </c>
      <c r="BJ35" s="598">
        <f>BK35</f>
        <v>306.25</v>
      </c>
      <c r="BK35" s="839">
        <f>BL35/4</f>
        <v>306.25</v>
      </c>
      <c r="BL35" s="549">
        <v>1225</v>
      </c>
      <c r="BM35" s="838">
        <f>BN35</f>
        <v>321.5625</v>
      </c>
      <c r="BN35" s="598">
        <f>BO35</f>
        <v>321.5625</v>
      </c>
      <c r="BO35" s="598">
        <f>BP35</f>
        <v>321.5625</v>
      </c>
      <c r="BP35" s="839">
        <f>BQ35/4</f>
        <v>321.5625</v>
      </c>
      <c r="BQ35" s="549">
        <v>1286.25</v>
      </c>
      <c r="BR35" s="999">
        <v>400</v>
      </c>
      <c r="BS35" s="506">
        <v>400</v>
      </c>
      <c r="BT35" s="506">
        <v>400</v>
      </c>
      <c r="BU35" s="1000">
        <v>400</v>
      </c>
      <c r="BV35" s="549">
        <f t="shared" si="28"/>
        <v>1600</v>
      </c>
      <c r="BW35" s="999">
        <v>400</v>
      </c>
      <c r="BX35" s="506">
        <v>400</v>
      </c>
      <c r="BY35" s="506">
        <v>400</v>
      </c>
      <c r="BZ35" s="984">
        <v>400</v>
      </c>
      <c r="CA35" s="549">
        <f t="shared" si="29"/>
        <v>1600</v>
      </c>
      <c r="CB35" s="998">
        <v>400</v>
      </c>
      <c r="CC35" s="992">
        <v>400</v>
      </c>
      <c r="CD35" s="992">
        <v>400</v>
      </c>
      <c r="CE35" s="957">
        <v>400</v>
      </c>
      <c r="CF35" s="549">
        <f t="shared" si="30"/>
        <v>1600</v>
      </c>
      <c r="CG35" s="998">
        <v>400</v>
      </c>
      <c r="CH35" s="992">
        <v>400</v>
      </c>
      <c r="CI35" s="992">
        <f>CJ35</f>
        <v>400</v>
      </c>
      <c r="CJ35" s="984">
        <f>CK35/4</f>
        <v>400</v>
      </c>
      <c r="CK35" s="788">
        <v>1600</v>
      </c>
      <c r="CL35" s="998">
        <v>400</v>
      </c>
      <c r="CM35" s="598">
        <f>CN35</f>
        <v>400</v>
      </c>
      <c r="CN35" s="598">
        <f>CO35</f>
        <v>400</v>
      </c>
      <c r="CO35" s="839">
        <f>CP35/4</f>
        <v>400</v>
      </c>
      <c r="CP35" s="788">
        <v>1600</v>
      </c>
      <c r="CQ35" s="838">
        <f>CR35</f>
        <v>400</v>
      </c>
      <c r="CR35" s="598">
        <f>CS35</f>
        <v>400</v>
      </c>
      <c r="CS35" s="598">
        <f>CT35</f>
        <v>400</v>
      </c>
      <c r="CT35" s="839">
        <f>CU35/4</f>
        <v>400</v>
      </c>
      <c r="CU35" s="788">
        <v>1600</v>
      </c>
      <c r="CV35" s="838">
        <f>CW35</f>
        <v>400</v>
      </c>
      <c r="CW35" s="598">
        <f>CX35</f>
        <v>400</v>
      </c>
      <c r="CX35" s="598">
        <f>CY35</f>
        <v>400</v>
      </c>
      <c r="CY35" s="839">
        <f>CZ35/4</f>
        <v>400</v>
      </c>
      <c r="CZ35" s="788">
        <v>1600</v>
      </c>
    </row>
    <row r="36" spans="1:104" ht="13.5" customHeight="1">
      <c r="A36" s="819"/>
      <c r="B36" s="66" t="s">
        <v>464</v>
      </c>
      <c r="C36" s="66"/>
      <c r="D36" s="66"/>
      <c r="E36" s="66"/>
      <c r="F36" s="66"/>
      <c r="G36" s="66"/>
      <c r="H36" s="500">
        <v>3094</v>
      </c>
      <c r="I36" s="500">
        <v>2749</v>
      </c>
      <c r="J36" s="500">
        <v>689</v>
      </c>
      <c r="K36" s="500">
        <v>725</v>
      </c>
      <c r="L36" s="500">
        <v>617</v>
      </c>
      <c r="M36" s="500">
        <v>658</v>
      </c>
      <c r="N36" s="549">
        <f>SUM(J36:M36)</f>
        <v>2689</v>
      </c>
      <c r="O36" s="500">
        <v>606</v>
      </c>
      <c r="P36" s="500">
        <v>711</v>
      </c>
      <c r="Q36" s="500">
        <v>704</v>
      </c>
      <c r="R36" s="500">
        <v>759</v>
      </c>
      <c r="S36" s="549">
        <f>SUM(O36:R36)</f>
        <v>2780</v>
      </c>
      <c r="T36" s="500">
        <v>766</v>
      </c>
      <c r="U36" s="500">
        <v>704</v>
      </c>
      <c r="V36" s="500">
        <v>673</v>
      </c>
      <c r="W36" s="500">
        <v>617</v>
      </c>
      <c r="X36" s="549">
        <f>SUM(T36:W36)</f>
        <v>2760</v>
      </c>
      <c r="Y36" s="500">
        <v>655</v>
      </c>
      <c r="Z36" s="500">
        <v>683</v>
      </c>
      <c r="AA36" s="500">
        <v>755</v>
      </c>
      <c r="AB36" s="500">
        <v>773</v>
      </c>
      <c r="AC36" s="549">
        <f>SUM(Y36:AB36)</f>
        <v>2866</v>
      </c>
      <c r="AD36" s="500">
        <v>763</v>
      </c>
      <c r="AE36" s="500">
        <v>810</v>
      </c>
      <c r="AF36" s="500">
        <v>822</v>
      </c>
      <c r="AG36" s="500">
        <v>814</v>
      </c>
      <c r="AH36" s="549">
        <f>SUM(AD36:AG36)</f>
        <v>3209</v>
      </c>
      <c r="AI36" s="500">
        <v>765</v>
      </c>
      <c r="AJ36" s="500">
        <v>811</v>
      </c>
      <c r="AK36" s="500">
        <v>781</v>
      </c>
      <c r="AL36" s="500">
        <v>797</v>
      </c>
      <c r="AM36" s="549">
        <f>SUM(AI36:AL36)</f>
        <v>3154</v>
      </c>
      <c r="AN36" s="500">
        <v>776</v>
      </c>
      <c r="AO36" s="500">
        <v>825</v>
      </c>
      <c r="AP36" s="500">
        <v>818</v>
      </c>
      <c r="AQ36" s="500">
        <v>515</v>
      </c>
      <c r="AR36" s="549">
        <f>SUM(AN36:AQ36)</f>
        <v>2934</v>
      </c>
      <c r="AS36" s="850">
        <v>335</v>
      </c>
      <c r="AT36" s="509">
        <v>373</v>
      </c>
      <c r="AU36" s="509">
        <v>502</v>
      </c>
      <c r="AV36" s="851">
        <v>416</v>
      </c>
      <c r="AW36" s="549">
        <f>SUM(AS36:AV36)</f>
        <v>1626</v>
      </c>
      <c r="AX36" s="850">
        <v>484</v>
      </c>
      <c r="AY36" s="509">
        <v>542</v>
      </c>
      <c r="AZ36" s="509">
        <v>564</v>
      </c>
      <c r="BA36" s="851">
        <v>549</v>
      </c>
      <c r="BB36" s="549">
        <f>SUM(AX36:BA36)</f>
        <v>2139</v>
      </c>
      <c r="BC36" s="850">
        <v>663</v>
      </c>
      <c r="BD36" s="509">
        <v>565</v>
      </c>
      <c r="BE36" s="509">
        <v>525</v>
      </c>
      <c r="BF36" s="950">
        <v>585</v>
      </c>
      <c r="BG36" s="499">
        <f>SUM(BC36:BF36)</f>
        <v>2338</v>
      </c>
      <c r="BH36" s="850">
        <v>666</v>
      </c>
      <c r="BI36" s="509">
        <v>595</v>
      </c>
      <c r="BJ36" s="509">
        <v>620</v>
      </c>
      <c r="BK36" s="851">
        <v>624</v>
      </c>
      <c r="BL36" s="499">
        <f>SUM(BH36:BK36)</f>
        <v>2505</v>
      </c>
      <c r="BM36" s="850">
        <v>664</v>
      </c>
      <c r="BN36" s="509">
        <v>618</v>
      </c>
      <c r="BO36" s="509">
        <v>730</v>
      </c>
      <c r="BP36" s="851">
        <v>683</v>
      </c>
      <c r="BQ36" s="549">
        <f>SUM(BM36:BP36)</f>
        <v>2695</v>
      </c>
      <c r="BR36" s="850">
        <v>706</v>
      </c>
      <c r="BS36" s="509">
        <v>623</v>
      </c>
      <c r="BT36" s="509">
        <v>693</v>
      </c>
      <c r="BU36" s="851">
        <v>538</v>
      </c>
      <c r="BV36" s="549">
        <f t="shared" si="28"/>
        <v>2560</v>
      </c>
      <c r="BW36" s="850">
        <v>521</v>
      </c>
      <c r="BX36" s="509">
        <v>562</v>
      </c>
      <c r="BY36" s="509">
        <v>623</v>
      </c>
      <c r="BZ36" s="851">
        <v>525</v>
      </c>
      <c r="CA36" s="549">
        <f t="shared" si="29"/>
        <v>2231</v>
      </c>
      <c r="CB36" s="1003">
        <v>600</v>
      </c>
      <c r="CC36" s="510">
        <v>588</v>
      </c>
      <c r="CD36" s="509">
        <v>610</v>
      </c>
      <c r="CE36" s="851">
        <v>521</v>
      </c>
      <c r="CF36" s="549">
        <f t="shared" si="30"/>
        <v>2319</v>
      </c>
      <c r="CG36" s="1003">
        <v>506</v>
      </c>
      <c r="CH36" s="510">
        <v>438</v>
      </c>
      <c r="CI36" s="510">
        <v>402</v>
      </c>
      <c r="CJ36" s="950">
        <v>393</v>
      </c>
      <c r="CK36" s="499">
        <f>SUM(CG36:CJ36)</f>
        <v>1739</v>
      </c>
      <c r="CL36" s="1003">
        <v>497</v>
      </c>
      <c r="CM36" s="598">
        <f>(1+Operations!CM29)*Operations!CH36</f>
        <v>446.76</v>
      </c>
      <c r="CN36" s="598">
        <f>(1+Operations!CN29)*Operations!CI36</f>
        <v>410.04</v>
      </c>
      <c r="CO36" s="839">
        <f>(1+Operations!CO29)*Operations!CJ36</f>
        <v>400.86</v>
      </c>
      <c r="CP36" s="549">
        <f>SUM(CL36:CO36)</f>
        <v>1754.6599999999999</v>
      </c>
      <c r="CQ36" s="838">
        <f>(1+Operations!CQ29)*Operations!CL36</f>
        <v>506.94</v>
      </c>
      <c r="CR36" s="598">
        <f>(1+Operations!CR29)*Operations!CM36</f>
        <v>455.6952</v>
      </c>
      <c r="CS36" s="598">
        <f>(1+Operations!CS29)*Operations!CN36</f>
        <v>418.24080000000004</v>
      </c>
      <c r="CT36" s="839">
        <f>(1+Operations!CT29)*Operations!CO36</f>
        <v>408.87720000000002</v>
      </c>
      <c r="CU36" s="549">
        <f>SUM(CQ36:CT36)</f>
        <v>1789.7532000000001</v>
      </c>
      <c r="CV36" s="838">
        <f>(1+Operations!CV29)*Operations!CQ36</f>
        <v>517.0788</v>
      </c>
      <c r="CW36" s="598">
        <f>(1+Operations!CW29)*Operations!CR36</f>
        <v>464.80910399999999</v>
      </c>
      <c r="CX36" s="598">
        <f>(1+Operations!CX29)*Operations!CS36</f>
        <v>426.60561600000005</v>
      </c>
      <c r="CY36" s="839">
        <f>(1+Operations!CY29)*Operations!CT36</f>
        <v>417.05474400000003</v>
      </c>
      <c r="CZ36" s="549">
        <f>SUM(CV36:CY36)</f>
        <v>1825.548264</v>
      </c>
    </row>
    <row r="37" spans="1:104" ht="13.5" customHeight="1">
      <c r="A37" s="821"/>
      <c r="B37" s="77" t="s">
        <v>465</v>
      </c>
      <c r="C37" s="77"/>
      <c r="D37" s="77"/>
      <c r="E37" s="77"/>
      <c r="F37" s="77"/>
      <c r="G37" s="77"/>
      <c r="H37" s="505">
        <v>20</v>
      </c>
      <c r="I37" s="505">
        <v>522</v>
      </c>
      <c r="J37" s="505">
        <v>199</v>
      </c>
      <c r="K37" s="505">
        <v>238</v>
      </c>
      <c r="L37" s="505">
        <v>203</v>
      </c>
      <c r="M37" s="505">
        <v>232</v>
      </c>
      <c r="N37" s="619">
        <f>SUM(J37:M37)</f>
        <v>872</v>
      </c>
      <c r="O37" s="505">
        <v>226</v>
      </c>
      <c r="P37" s="505">
        <v>234</v>
      </c>
      <c r="Q37" s="505">
        <v>261</v>
      </c>
      <c r="R37" s="505">
        <v>278</v>
      </c>
      <c r="S37" s="619">
        <f>SUM(O37:R37)</f>
        <v>999</v>
      </c>
      <c r="T37" s="505">
        <v>344</v>
      </c>
      <c r="U37" s="505">
        <v>326</v>
      </c>
      <c r="V37" s="505">
        <v>521</v>
      </c>
      <c r="W37" s="505">
        <v>514</v>
      </c>
      <c r="X37" s="619">
        <f>SUM(T37:W37)</f>
        <v>1705</v>
      </c>
      <c r="Y37" s="505">
        <v>591</v>
      </c>
      <c r="Z37" s="505">
        <v>491</v>
      </c>
      <c r="AA37" s="505">
        <v>531</v>
      </c>
      <c r="AB37" s="505">
        <v>532</v>
      </c>
      <c r="AC37" s="619">
        <f>SUM(Y37:AB37)</f>
        <v>2145</v>
      </c>
      <c r="AD37" s="505">
        <v>624</v>
      </c>
      <c r="AE37" s="505">
        <v>610</v>
      </c>
      <c r="AF37" s="505">
        <v>611</v>
      </c>
      <c r="AG37" s="505">
        <v>590</v>
      </c>
      <c r="AH37" s="619">
        <f>SUM(AD37:AG37)</f>
        <v>2435</v>
      </c>
      <c r="AI37" s="505">
        <v>625</v>
      </c>
      <c r="AJ37" s="505">
        <v>607</v>
      </c>
      <c r="AK37" s="505">
        <v>671</v>
      </c>
      <c r="AL37" s="505">
        <v>625</v>
      </c>
      <c r="AM37" s="619">
        <f>SUM(AI37:AL37)</f>
        <v>2528</v>
      </c>
      <c r="AN37" s="505">
        <v>700</v>
      </c>
      <c r="AO37" s="505">
        <v>657</v>
      </c>
      <c r="AP37" s="505">
        <v>678</v>
      </c>
      <c r="AQ37" s="505">
        <v>445</v>
      </c>
      <c r="AR37" s="619">
        <f>SUM(AN37:AQ37)</f>
        <v>2480</v>
      </c>
      <c r="AS37" s="852">
        <v>360</v>
      </c>
      <c r="AT37" s="505">
        <v>312</v>
      </c>
      <c r="AU37" s="505">
        <v>482</v>
      </c>
      <c r="AV37" s="853">
        <v>454</v>
      </c>
      <c r="AW37" s="619">
        <f>SUM(AS37:AV37)</f>
        <v>1608</v>
      </c>
      <c r="AX37" s="852">
        <v>553</v>
      </c>
      <c r="AY37" s="505">
        <v>589</v>
      </c>
      <c r="AZ37" s="505">
        <v>545</v>
      </c>
      <c r="BA37" s="853">
        <v>542</v>
      </c>
      <c r="BB37" s="619">
        <f>SUM(AX37:BA37)</f>
        <v>2229</v>
      </c>
      <c r="BC37" s="852">
        <v>590</v>
      </c>
      <c r="BD37" s="505">
        <v>583</v>
      </c>
      <c r="BE37" s="505">
        <v>593</v>
      </c>
      <c r="BF37" s="951">
        <v>512</v>
      </c>
      <c r="BG37" s="620">
        <f>SUM(BC37:BF37)</f>
        <v>2278</v>
      </c>
      <c r="BH37" s="852">
        <v>615</v>
      </c>
      <c r="BI37" s="505">
        <v>604</v>
      </c>
      <c r="BJ37" s="505">
        <v>560</v>
      </c>
      <c r="BK37" s="853">
        <v>489</v>
      </c>
      <c r="BL37" s="620">
        <f>SUM(BH37:BK37)</f>
        <v>2268</v>
      </c>
      <c r="BM37" s="852">
        <v>560</v>
      </c>
      <c r="BN37" s="505">
        <v>588</v>
      </c>
      <c r="BO37" s="505">
        <v>600</v>
      </c>
      <c r="BP37" s="853">
        <v>615</v>
      </c>
      <c r="BQ37" s="619">
        <f>SUM(BM37:BP37)</f>
        <v>2363</v>
      </c>
      <c r="BR37" s="852">
        <v>666</v>
      </c>
      <c r="BS37" s="505">
        <v>621</v>
      </c>
      <c r="BT37" s="505">
        <v>616</v>
      </c>
      <c r="BU37" s="853">
        <v>539</v>
      </c>
      <c r="BV37" s="619">
        <f t="shared" si="28"/>
        <v>2442</v>
      </c>
      <c r="BW37" s="852">
        <v>515</v>
      </c>
      <c r="BX37" s="505">
        <v>496</v>
      </c>
      <c r="BY37" s="505">
        <v>489</v>
      </c>
      <c r="BZ37" s="853">
        <v>405</v>
      </c>
      <c r="CA37" s="619">
        <f t="shared" si="29"/>
        <v>1905</v>
      </c>
      <c r="CB37" s="1004">
        <v>552</v>
      </c>
      <c r="CC37" s="511">
        <v>588</v>
      </c>
      <c r="CD37" s="505">
        <v>426</v>
      </c>
      <c r="CE37" s="853">
        <v>457</v>
      </c>
      <c r="CF37" s="619">
        <f t="shared" si="30"/>
        <v>2023</v>
      </c>
      <c r="CG37" s="1004">
        <v>563</v>
      </c>
      <c r="CH37" s="511">
        <v>648</v>
      </c>
      <c r="CI37" s="511">
        <v>525</v>
      </c>
      <c r="CJ37" s="853">
        <v>513</v>
      </c>
      <c r="CK37" s="619">
        <f>SUM(CG37:CJ37)</f>
        <v>2249</v>
      </c>
      <c r="CL37" s="1004">
        <v>545</v>
      </c>
      <c r="CM37" s="619">
        <f>(1+Operations!CM30)*Operations!CH37</f>
        <v>667.44</v>
      </c>
      <c r="CN37" s="619">
        <f>(1+Operations!CN30)*Operations!CI37</f>
        <v>540.75</v>
      </c>
      <c r="CO37" s="1023">
        <f>(1+Operations!CO30)*Operations!CJ37</f>
        <v>528.39</v>
      </c>
      <c r="CP37" s="619">
        <f>SUM(CL37:CO37)</f>
        <v>2281.58</v>
      </c>
      <c r="CQ37" s="1042">
        <f>(1+Operations!CQ30)*Operations!CL37</f>
        <v>555.9</v>
      </c>
      <c r="CR37" s="619">
        <f>(1+Operations!CR30)*Operations!CM37</f>
        <v>680.78880000000004</v>
      </c>
      <c r="CS37" s="619">
        <f>(1+Operations!CS30)*Operations!CN37</f>
        <v>551.56500000000005</v>
      </c>
      <c r="CT37" s="1023">
        <f>(1+Operations!CT30)*Operations!CO37</f>
        <v>538.95780000000002</v>
      </c>
      <c r="CU37" s="619">
        <f>SUM(CQ37:CT37)</f>
        <v>2327.2116000000001</v>
      </c>
      <c r="CV37" s="1042">
        <f>(1+Operations!CV30)*Operations!CQ37</f>
        <v>567.01800000000003</v>
      </c>
      <c r="CW37" s="619">
        <f>(1+Operations!CW30)*Operations!CR37</f>
        <v>694.40457600000002</v>
      </c>
      <c r="CX37" s="619">
        <f>(1+Operations!CX30)*Operations!CS37</f>
        <v>562.59630000000004</v>
      </c>
      <c r="CY37" s="1023">
        <f>(1+Operations!CY30)*Operations!CT37</f>
        <v>549.73695600000008</v>
      </c>
      <c r="CZ37" s="619">
        <f>SUM(CV37:CY37)</f>
        <v>2373.7558320000003</v>
      </c>
    </row>
    <row r="38" spans="1:104" ht="13.5" customHeight="1">
      <c r="A38" s="819"/>
      <c r="B38" s="66"/>
      <c r="C38" s="79" t="s">
        <v>274</v>
      </c>
      <c r="D38" s="79"/>
      <c r="E38" s="79"/>
      <c r="F38" s="79"/>
      <c r="G38" s="79"/>
      <c r="H38" s="176">
        <f t="shared" ref="H38:AG38" si="31">H33+H34+H36+H37</f>
        <v>9779</v>
      </c>
      <c r="I38" s="176">
        <f t="shared" si="31"/>
        <v>11032</v>
      </c>
      <c r="J38" s="176">
        <f t="shared" si="31"/>
        <v>3023</v>
      </c>
      <c r="K38" s="176">
        <f t="shared" si="31"/>
        <v>3133</v>
      </c>
      <c r="L38" s="176">
        <f t="shared" si="31"/>
        <v>2962</v>
      </c>
      <c r="M38" s="176">
        <f t="shared" si="31"/>
        <v>3196</v>
      </c>
      <c r="N38" s="176">
        <f t="shared" si="31"/>
        <v>12314</v>
      </c>
      <c r="O38" s="176">
        <f t="shared" si="31"/>
        <v>4040</v>
      </c>
      <c r="P38" s="176">
        <f t="shared" si="31"/>
        <v>3953</v>
      </c>
      <c r="Q38" s="176">
        <f t="shared" si="31"/>
        <v>4162</v>
      </c>
      <c r="R38" s="176">
        <f t="shared" si="31"/>
        <v>4108</v>
      </c>
      <c r="S38" s="176">
        <f t="shared" si="31"/>
        <v>16263</v>
      </c>
      <c r="T38" s="176">
        <f t="shared" si="31"/>
        <v>4726</v>
      </c>
      <c r="U38" s="176">
        <f t="shared" si="31"/>
        <v>4456</v>
      </c>
      <c r="V38" s="176">
        <f t="shared" si="31"/>
        <v>4492</v>
      </c>
      <c r="W38" s="176">
        <f t="shared" si="31"/>
        <v>4113</v>
      </c>
      <c r="X38" s="176">
        <f t="shared" si="31"/>
        <v>17787</v>
      </c>
      <c r="Y38" s="176">
        <f t="shared" si="31"/>
        <v>4688</v>
      </c>
      <c r="Z38" s="176">
        <f t="shared" si="31"/>
        <v>4693</v>
      </c>
      <c r="AA38" s="176">
        <f t="shared" si="31"/>
        <v>4914</v>
      </c>
      <c r="AB38" s="176">
        <f t="shared" si="31"/>
        <v>4725</v>
      </c>
      <c r="AC38" s="176">
        <f t="shared" si="31"/>
        <v>19020</v>
      </c>
      <c r="AD38" s="176">
        <f t="shared" si="31"/>
        <v>5266</v>
      </c>
      <c r="AE38" s="176">
        <f t="shared" si="31"/>
        <v>5450</v>
      </c>
      <c r="AF38" s="176">
        <f t="shared" si="31"/>
        <v>5223</v>
      </c>
      <c r="AG38" s="176">
        <f t="shared" si="31"/>
        <v>4713</v>
      </c>
      <c r="AH38" s="176">
        <f>SUM(AD38:AG38)</f>
        <v>20652</v>
      </c>
      <c r="AI38" s="176">
        <f>AI33+AI34+AI36+AI37</f>
        <v>5229</v>
      </c>
      <c r="AJ38" s="176">
        <f>AJ33+AJ34+AJ36+AJ37</f>
        <v>4890</v>
      </c>
      <c r="AK38" s="176">
        <f>AK33+AK34+AK36+AK37</f>
        <v>5038</v>
      </c>
      <c r="AL38" s="176">
        <f>AL33+AL34+AL36+AL37</f>
        <v>5078</v>
      </c>
      <c r="AM38" s="176">
        <f>SUM(AI38:AL38)</f>
        <v>20235</v>
      </c>
      <c r="AN38" s="176">
        <f>AN33+AN34+AN36+AN37</f>
        <v>5203</v>
      </c>
      <c r="AO38" s="176">
        <f>AO33+AO34+AO36+AO37</f>
        <v>5394</v>
      </c>
      <c r="AP38" s="176">
        <f>AP33+AP34+AP36+AP37</f>
        <v>4688</v>
      </c>
      <c r="AQ38" s="176">
        <f>AQ33+AQ34+AQ36+AQ37</f>
        <v>2900</v>
      </c>
      <c r="AR38" s="176">
        <f>SUM(AN38:AQ38)</f>
        <v>18185</v>
      </c>
      <c r="AS38" s="865">
        <f>AS33+AS34+AS36+AS37</f>
        <v>2433</v>
      </c>
      <c r="AT38" s="174">
        <f>AT33+AT34+AT36+AT37</f>
        <v>2569</v>
      </c>
      <c r="AU38" s="174">
        <f>AU33+AU34+AU36+AU37</f>
        <v>3705</v>
      </c>
      <c r="AV38" s="866">
        <f>AV33+AV34+AV36+AV37</f>
        <v>3368</v>
      </c>
      <c r="AW38" s="176">
        <f>SUM(AS38:AV38)</f>
        <v>12075</v>
      </c>
      <c r="AX38" s="865">
        <f>AX33+AX34+AX36+AX37</f>
        <v>4066</v>
      </c>
      <c r="AY38" s="174">
        <f>AY33+AY34+AY36+AY37</f>
        <v>3922</v>
      </c>
      <c r="AZ38" s="174">
        <f>AZ33+AZ34+AZ36+AZ37</f>
        <v>3993</v>
      </c>
      <c r="BA38" s="866">
        <f>BA33+BA34+BA36+BA37</f>
        <v>3840</v>
      </c>
      <c r="BB38" s="176">
        <f>SUM(AX38:BA38)</f>
        <v>15821</v>
      </c>
      <c r="BC38" s="865">
        <f>BC33+BC34+BC36+BC37+BC35</f>
        <v>4418</v>
      </c>
      <c r="BD38" s="174">
        <f>BD33+BD34+BD36+BD37+BD35</f>
        <v>4052</v>
      </c>
      <c r="BE38" s="174">
        <f>BE33+BE34+BE36+BE37+BE35</f>
        <v>4194</v>
      </c>
      <c r="BF38" s="866">
        <f>BF33+BF34+BF36+BF37+BF35</f>
        <v>4132</v>
      </c>
      <c r="BG38" s="366">
        <f>SUM(BC38:BF38)</f>
        <v>16796</v>
      </c>
      <c r="BH38" s="865">
        <f>BH33+BH34+BH36+BH37+BH35</f>
        <v>4590</v>
      </c>
      <c r="BI38" s="174">
        <f>BI33+BI34+BI36+BI37+BI35</f>
        <v>4449</v>
      </c>
      <c r="BJ38" s="174">
        <f>BJ33+BJ34+BJ36+BJ37+BJ35</f>
        <v>4313</v>
      </c>
      <c r="BK38" s="866">
        <f>BK33+BK34+BK36+BK37+BK35</f>
        <v>4121</v>
      </c>
      <c r="BL38" s="366">
        <f>SUM(BH38:BK38)</f>
        <v>17473</v>
      </c>
      <c r="BM38" s="865">
        <f>BM33+BM34+BM36+BM37+BM35</f>
        <v>4334</v>
      </c>
      <c r="BN38" s="174">
        <f>BN33+BN34+BN36+BN37+BN35</f>
        <v>4274</v>
      </c>
      <c r="BO38" s="174">
        <f>BO33+BO34+BO36+BO37+BO35</f>
        <v>4640</v>
      </c>
      <c r="BP38" s="866">
        <f>BP33+BP34+BP36+BP37+BP35</f>
        <v>4485</v>
      </c>
      <c r="BQ38" s="176">
        <f>SUM(BM38:BP38)</f>
        <v>17733</v>
      </c>
      <c r="BR38" s="865">
        <f>BR33+BR34+BR36+BR37+BR35</f>
        <v>4600</v>
      </c>
      <c r="BS38" s="174">
        <f>BS33+BS34+BS36+BS37+BS35</f>
        <v>4646</v>
      </c>
      <c r="BT38" s="174">
        <f>BT33+BT34+BT36+BT37+BT35</f>
        <v>4851</v>
      </c>
      <c r="BU38" s="866">
        <f>BU33+BU34+BU36+BU37+BU35</f>
        <v>4584</v>
      </c>
      <c r="BV38" s="176">
        <f t="shared" si="28"/>
        <v>18681</v>
      </c>
      <c r="BW38" s="865">
        <f>BW33+BW34+BW36+BW37+BW35</f>
        <v>4165</v>
      </c>
      <c r="BX38" s="174">
        <f>BX33+BX34+BX36+BX37+BX35</f>
        <v>4578</v>
      </c>
      <c r="BY38" s="174">
        <f>BY33+BY34+BY36+BY37+BY35</f>
        <v>4440</v>
      </c>
      <c r="BZ38" s="866">
        <f>BZ33+BZ34+BZ36+BZ37+BZ35</f>
        <v>3823</v>
      </c>
      <c r="CA38" s="176">
        <f t="shared" si="29"/>
        <v>17006</v>
      </c>
      <c r="CB38" s="911">
        <f>CB33+CB34+CB36+CB37+CB35</f>
        <v>4899</v>
      </c>
      <c r="CC38" s="912">
        <f>CC33+CC34+CC36+CC37+CC35</f>
        <v>5082</v>
      </c>
      <c r="CD38" s="174">
        <f>CD33+CD34+CD36+CD37+CD35+CD124</f>
        <v>4465</v>
      </c>
      <c r="CE38" s="866">
        <f>CE33+CE34+CE36+CE37+CE35+CE124</f>
        <v>4400</v>
      </c>
      <c r="CF38" s="176">
        <f>SUM(CB38:CE38)</f>
        <v>18846</v>
      </c>
      <c r="CG38" s="865">
        <f t="shared" ref="CG38:CK38" si="32">CG33+CG34+CG36+CG37+CG35</f>
        <v>4860</v>
      </c>
      <c r="CH38" s="174">
        <f t="shared" si="32"/>
        <v>4950</v>
      </c>
      <c r="CI38" s="174">
        <f t="shared" si="32"/>
        <v>4698</v>
      </c>
      <c r="CJ38" s="866">
        <f t="shared" si="32"/>
        <v>4629</v>
      </c>
      <c r="CK38" s="176">
        <f t="shared" si="32"/>
        <v>19137</v>
      </c>
      <c r="CL38" s="865">
        <f>CL33+CL34+CL36+CL37+CL35</f>
        <v>5016</v>
      </c>
      <c r="CM38" s="174">
        <f t="shared" ref="CM38:CZ38" si="33">CM33+CM34+CM36+CM37+CM35</f>
        <v>5047.4799999999996</v>
      </c>
      <c r="CN38" s="174">
        <f t="shared" si="33"/>
        <v>4789.21</v>
      </c>
      <c r="CO38" s="866">
        <f t="shared" si="33"/>
        <v>4718.71</v>
      </c>
      <c r="CP38" s="176">
        <f t="shared" si="33"/>
        <v>19571.400000000001</v>
      </c>
      <c r="CQ38" s="865">
        <f t="shared" si="33"/>
        <v>5108.32</v>
      </c>
      <c r="CR38" s="174">
        <f t="shared" si="33"/>
        <v>5140.4296000000004</v>
      </c>
      <c r="CS38" s="174">
        <f t="shared" si="33"/>
        <v>4876.9942000000001</v>
      </c>
      <c r="CT38" s="866">
        <f t="shared" si="33"/>
        <v>4805.0842000000002</v>
      </c>
      <c r="CU38" s="176">
        <f t="shared" si="33"/>
        <v>19930.827999999998</v>
      </c>
      <c r="CV38" s="865">
        <f t="shared" si="33"/>
        <v>5561.5774000000001</v>
      </c>
      <c r="CW38" s="174">
        <f t="shared" si="33"/>
        <v>5576.5622199999998</v>
      </c>
      <c r="CX38" s="174">
        <f t="shared" si="33"/>
        <v>5301.5949040000005</v>
      </c>
      <c r="CY38" s="866">
        <f t="shared" si="33"/>
        <v>5228.3403399999997</v>
      </c>
      <c r="CZ38" s="176">
        <f t="shared" si="33"/>
        <v>21668.074864000002</v>
      </c>
    </row>
    <row r="39" spans="1:104" ht="13.5" customHeight="1">
      <c r="A39" s="819"/>
      <c r="B39" s="66"/>
      <c r="C39" s="82" t="s">
        <v>118</v>
      </c>
      <c r="D39" s="82"/>
      <c r="E39" s="82"/>
      <c r="F39" s="82"/>
      <c r="G39" s="82"/>
      <c r="H39" s="66"/>
      <c r="I39" s="208">
        <f>I38/H38-1</f>
        <v>0.1281317108088762</v>
      </c>
      <c r="J39" s="208"/>
      <c r="K39" s="208"/>
      <c r="L39" s="208"/>
      <c r="M39" s="208"/>
      <c r="N39" s="208">
        <f t="shared" ref="N39:AR39" si="34">N38/I38-1</f>
        <v>0.1162073966642494</v>
      </c>
      <c r="O39" s="208">
        <f t="shared" si="34"/>
        <v>0.33642077406549786</v>
      </c>
      <c r="P39" s="208">
        <f t="shared" si="34"/>
        <v>0.2617299712735397</v>
      </c>
      <c r="Q39" s="208">
        <f t="shared" si="34"/>
        <v>0.40513166779203247</v>
      </c>
      <c r="R39" s="208">
        <f t="shared" si="34"/>
        <v>0.28535669586983725</v>
      </c>
      <c r="S39" s="208">
        <f t="shared" si="34"/>
        <v>0.32069189540360554</v>
      </c>
      <c r="T39" s="208">
        <f t="shared" si="34"/>
        <v>0.16980198019801973</v>
      </c>
      <c r="U39" s="208">
        <f t="shared" si="34"/>
        <v>0.12724513028079931</v>
      </c>
      <c r="V39" s="208">
        <f t="shared" si="34"/>
        <v>7.9288803459875101E-2</v>
      </c>
      <c r="W39" s="208">
        <f t="shared" si="34"/>
        <v>1.2171372930867008E-3</v>
      </c>
      <c r="X39" s="208">
        <f t="shared" si="34"/>
        <v>9.3709647666482265E-2</v>
      </c>
      <c r="Y39" s="208">
        <f t="shared" si="34"/>
        <v>-8.0406263224714891E-3</v>
      </c>
      <c r="Z39" s="208">
        <f t="shared" si="34"/>
        <v>5.3186714542190261E-2</v>
      </c>
      <c r="AA39" s="208">
        <f t="shared" si="34"/>
        <v>9.3944790739091788E-2</v>
      </c>
      <c r="AB39" s="208">
        <f t="shared" si="34"/>
        <v>0.14879649890590807</v>
      </c>
      <c r="AC39" s="208">
        <f t="shared" si="34"/>
        <v>6.9320290099510906E-2</v>
      </c>
      <c r="AD39" s="208">
        <f t="shared" si="34"/>
        <v>0.12329351535836186</v>
      </c>
      <c r="AE39" s="208">
        <f t="shared" si="34"/>
        <v>0.16130406989132751</v>
      </c>
      <c r="AF39" s="208">
        <f t="shared" si="34"/>
        <v>6.288156288156288E-2</v>
      </c>
      <c r="AG39" s="208">
        <f t="shared" si="34"/>
        <v>-2.5396825396825085E-3</v>
      </c>
      <c r="AH39" s="208">
        <f t="shared" si="34"/>
        <v>8.5804416403785444E-2</v>
      </c>
      <c r="AI39" s="208">
        <f t="shared" si="34"/>
        <v>-7.0262058488416157E-3</v>
      </c>
      <c r="AJ39" s="208">
        <f t="shared" si="34"/>
        <v>-0.10275229357798166</v>
      </c>
      <c r="AK39" s="208">
        <f t="shared" si="34"/>
        <v>-3.5420256557534002E-2</v>
      </c>
      <c r="AL39" s="208">
        <f t="shared" si="34"/>
        <v>7.7445363887120644E-2</v>
      </c>
      <c r="AM39" s="208">
        <f t="shared" si="34"/>
        <v>-2.0191748983149349E-2</v>
      </c>
      <c r="AN39" s="208">
        <f t="shared" si="34"/>
        <v>-4.9722700325109948E-3</v>
      </c>
      <c r="AO39" s="208">
        <f t="shared" si="34"/>
        <v>0.10306748466257676</v>
      </c>
      <c r="AP39" s="208">
        <f t="shared" si="34"/>
        <v>-6.9472012703453712E-2</v>
      </c>
      <c r="AQ39" s="208">
        <f t="shared" si="34"/>
        <v>-0.42890901929893654</v>
      </c>
      <c r="AR39" s="208">
        <f t="shared" si="34"/>
        <v>-0.10130961205831479</v>
      </c>
      <c r="AS39" s="857">
        <f t="shared" ref="AS39:BX39" si="35">AS38/AN38-1</f>
        <v>-0.53238516240630407</v>
      </c>
      <c r="AT39" s="136">
        <f t="shared" si="35"/>
        <v>-0.52373007044864672</v>
      </c>
      <c r="AU39" s="136">
        <f t="shared" si="35"/>
        <v>-0.20968430034129693</v>
      </c>
      <c r="AV39" s="858">
        <f t="shared" si="35"/>
        <v>0.16137931034482755</v>
      </c>
      <c r="AW39" s="208">
        <f t="shared" si="35"/>
        <v>-0.3359912015397305</v>
      </c>
      <c r="AX39" s="857">
        <f t="shared" si="35"/>
        <v>0.67118783394985604</v>
      </c>
      <c r="AY39" s="136">
        <f t="shared" si="35"/>
        <v>0.52666407162319961</v>
      </c>
      <c r="AZ39" s="136">
        <f t="shared" si="35"/>
        <v>7.7732793522267141E-2</v>
      </c>
      <c r="BA39" s="858">
        <f t="shared" si="35"/>
        <v>0.14014251781472686</v>
      </c>
      <c r="BB39" s="208">
        <f t="shared" si="35"/>
        <v>0.31022774327122149</v>
      </c>
      <c r="BC39" s="857">
        <f t="shared" si="35"/>
        <v>8.6571569109690216E-2</v>
      </c>
      <c r="BD39" s="136">
        <f t="shared" si="35"/>
        <v>3.3146353901070791E-2</v>
      </c>
      <c r="BE39" s="136">
        <f t="shared" si="35"/>
        <v>5.0338091660405704E-2</v>
      </c>
      <c r="BF39" s="952">
        <f t="shared" si="35"/>
        <v>7.6041666666666563E-2</v>
      </c>
      <c r="BG39" s="368">
        <f t="shared" si="35"/>
        <v>6.1626951520131534E-2</v>
      </c>
      <c r="BH39" s="857">
        <f t="shared" si="35"/>
        <v>3.8931643277501093E-2</v>
      </c>
      <c r="BI39" s="136">
        <f t="shared" si="35"/>
        <v>9.7976307996051393E-2</v>
      </c>
      <c r="BJ39" s="136">
        <f t="shared" si="35"/>
        <v>2.8373867429661415E-2</v>
      </c>
      <c r="BK39" s="858">
        <f t="shared" si="35"/>
        <v>-2.6621490803484527E-3</v>
      </c>
      <c r="BL39" s="368">
        <f t="shared" si="35"/>
        <v>4.0307216003810487E-2</v>
      </c>
      <c r="BM39" s="857">
        <f t="shared" si="35"/>
        <v>-5.5773420479302782E-2</v>
      </c>
      <c r="BN39" s="136">
        <f t="shared" si="35"/>
        <v>-3.9334681951000205E-2</v>
      </c>
      <c r="BO39" s="136">
        <f t="shared" si="35"/>
        <v>7.5817296545328094E-2</v>
      </c>
      <c r="BP39" s="858">
        <f t="shared" si="35"/>
        <v>8.8328075709779075E-2</v>
      </c>
      <c r="BQ39" s="208">
        <f t="shared" si="35"/>
        <v>1.4880100726835765E-2</v>
      </c>
      <c r="BR39" s="857">
        <f t="shared" si="35"/>
        <v>6.1375173050300047E-2</v>
      </c>
      <c r="BS39" s="136">
        <f t="shared" si="35"/>
        <v>8.7037903603182087E-2</v>
      </c>
      <c r="BT39" s="136">
        <f t="shared" si="35"/>
        <v>4.5474137931034386E-2</v>
      </c>
      <c r="BU39" s="858">
        <f t="shared" si="35"/>
        <v>2.2073578595317667E-2</v>
      </c>
      <c r="BV39" s="208">
        <f t="shared" si="35"/>
        <v>5.3459651497208549E-2</v>
      </c>
      <c r="BW39" s="857">
        <f t="shared" si="35"/>
        <v>-9.4565217391304301E-2</v>
      </c>
      <c r="BX39" s="136">
        <f t="shared" si="35"/>
        <v>-1.4636246233318939E-2</v>
      </c>
      <c r="BY39" s="136">
        <f t="shared" ref="BY39:CZ39" si="36">BY38/BT38-1</f>
        <v>-8.472479901051333E-2</v>
      </c>
      <c r="BZ39" s="858">
        <f t="shared" si="36"/>
        <v>-0.16601221640488661</v>
      </c>
      <c r="CA39" s="208">
        <f t="shared" si="36"/>
        <v>-8.9663294256196124E-2</v>
      </c>
      <c r="CB39" s="857">
        <f t="shared" si="36"/>
        <v>0.1762304921968787</v>
      </c>
      <c r="CC39" s="136">
        <f t="shared" si="36"/>
        <v>0.11009174311926606</v>
      </c>
      <c r="CD39" s="136">
        <f t="shared" si="36"/>
        <v>5.6306306306306286E-3</v>
      </c>
      <c r="CE39" s="858">
        <f t="shared" si="36"/>
        <v>0.15092859011247706</v>
      </c>
      <c r="CF39" s="208">
        <f t="shared" si="36"/>
        <v>0.10819710690344575</v>
      </c>
      <c r="CG39" s="857">
        <f t="shared" si="36"/>
        <v>-7.9608083282302067E-3</v>
      </c>
      <c r="CH39" s="136">
        <f t="shared" si="36"/>
        <v>-2.5974025974025983E-2</v>
      </c>
      <c r="CI39" s="136">
        <f t="shared" si="36"/>
        <v>5.2183650615901467E-2</v>
      </c>
      <c r="CJ39" s="858">
        <f t="shared" si="36"/>
        <v>5.2045454545454506E-2</v>
      </c>
      <c r="CK39" s="208">
        <f t="shared" si="36"/>
        <v>1.5440942375039901E-2</v>
      </c>
      <c r="CL39" s="857">
        <f t="shared" si="36"/>
        <v>3.2098765432098775E-2</v>
      </c>
      <c r="CM39" s="136">
        <f t="shared" si="36"/>
        <v>1.9692929292929096E-2</v>
      </c>
      <c r="CN39" s="136">
        <f t="shared" si="36"/>
        <v>1.9414644529587077E-2</v>
      </c>
      <c r="CO39" s="858">
        <f t="shared" si="36"/>
        <v>1.9379995679412509E-2</v>
      </c>
      <c r="CP39" s="208">
        <f t="shared" si="36"/>
        <v>2.2699482677535743E-2</v>
      </c>
      <c r="CQ39" s="857">
        <f t="shared" si="36"/>
        <v>1.8405103668261535E-2</v>
      </c>
      <c r="CR39" s="136">
        <f t="shared" si="36"/>
        <v>1.8415050678754818E-2</v>
      </c>
      <c r="CS39" s="136">
        <f t="shared" si="36"/>
        <v>1.8329578364699062E-2</v>
      </c>
      <c r="CT39" s="858">
        <f t="shared" si="36"/>
        <v>1.8304621390168085E-2</v>
      </c>
      <c r="CU39" s="208">
        <f t="shared" si="36"/>
        <v>1.836496111673136E-2</v>
      </c>
      <c r="CV39" s="857">
        <f t="shared" si="36"/>
        <v>8.8729249538008759E-2</v>
      </c>
      <c r="CW39" s="136">
        <f t="shared" si="36"/>
        <v>8.4843613070782808E-2</v>
      </c>
      <c r="CX39" s="136">
        <f t="shared" si="36"/>
        <v>8.7061966159402093E-2</v>
      </c>
      <c r="CY39" s="858">
        <f t="shared" si="36"/>
        <v>8.8085062068214981E-2</v>
      </c>
      <c r="CZ39" s="208">
        <f t="shared" si="36"/>
        <v>8.7163807946162741E-2</v>
      </c>
    </row>
    <row r="40" spans="1:104" ht="13.5" customHeight="1">
      <c r="A40" s="819"/>
      <c r="B40" s="66"/>
      <c r="C40" s="82" t="s">
        <v>471</v>
      </c>
      <c r="D40" s="82"/>
      <c r="E40" s="82"/>
      <c r="F40" s="82"/>
      <c r="G40" s="82"/>
      <c r="H40" s="66"/>
      <c r="I40" s="66"/>
      <c r="J40" s="208"/>
      <c r="K40" s="208">
        <f>K38/J38-1</f>
        <v>3.6387694343367416E-2</v>
      </c>
      <c r="L40" s="208">
        <f>L38/K38-1</f>
        <v>-5.4580274497286974E-2</v>
      </c>
      <c r="M40" s="208">
        <f>M38/L38-1</f>
        <v>7.9000675219446315E-2</v>
      </c>
      <c r="N40" s="66"/>
      <c r="O40" s="208"/>
      <c r="P40" s="208">
        <f>P38/O38-1</f>
        <v>-2.1534653465346554E-2</v>
      </c>
      <c r="Q40" s="208">
        <f>Q38/P38-1</f>
        <v>5.2871237035163166E-2</v>
      </c>
      <c r="R40" s="208">
        <f>R38/Q38-1</f>
        <v>-1.2974531475252293E-2</v>
      </c>
      <c r="S40" s="208"/>
      <c r="T40" s="208">
        <f>T38/R38-1</f>
        <v>0.15043816942551125</v>
      </c>
      <c r="U40" s="208">
        <f>U38/T38-1</f>
        <v>-5.7130765975454967E-2</v>
      </c>
      <c r="V40" s="208">
        <f>V38/U38-1</f>
        <v>8.0789946140036317E-3</v>
      </c>
      <c r="W40" s="208">
        <f>W38/V38-1</f>
        <v>-8.437221727515587E-2</v>
      </c>
      <c r="X40" s="208"/>
      <c r="Y40" s="208">
        <f>Y38/W38-1</f>
        <v>0.1398006321419889</v>
      </c>
      <c r="Z40" s="208">
        <f>Z38/Y38-1</f>
        <v>1.066552901023865E-3</v>
      </c>
      <c r="AA40" s="208">
        <f>AA38/Z38-1</f>
        <v>4.7091412742382266E-2</v>
      </c>
      <c r="AB40" s="208">
        <f>AB38/AA38-1</f>
        <v>-3.8461538461538436E-2</v>
      </c>
      <c r="AC40" s="66"/>
      <c r="AD40" s="208">
        <f>AD38/AB38-1</f>
        <v>0.11449735449735443</v>
      </c>
      <c r="AE40" s="208">
        <f>AE38/AD38-1</f>
        <v>3.4941131788833957E-2</v>
      </c>
      <c r="AF40" s="208">
        <f>AF38/AE38-1</f>
        <v>-4.1651376146789043E-2</v>
      </c>
      <c r="AG40" s="208">
        <f>AG38/AF38-1</f>
        <v>-9.7645031591039655E-2</v>
      </c>
      <c r="AH40" s="66"/>
      <c r="AI40" s="208">
        <f>AI38/AG38-1</f>
        <v>0.10948440483768307</v>
      </c>
      <c r="AJ40" s="208">
        <f>AJ38/AI38-1</f>
        <v>-6.4830751577739543E-2</v>
      </c>
      <c r="AK40" s="208">
        <f>AK38/AJ38-1</f>
        <v>3.0265848670756546E-2</v>
      </c>
      <c r="AL40" s="208">
        <f>AL38/AK38-1</f>
        <v>7.9396585946804876E-3</v>
      </c>
      <c r="AM40" s="66"/>
      <c r="AN40" s="208">
        <f>AN38/AL38-1</f>
        <v>2.4615990547459665E-2</v>
      </c>
      <c r="AO40" s="208">
        <f>AO38/AN38-1</f>
        <v>3.6709590620795707E-2</v>
      </c>
      <c r="AP40" s="208">
        <f>AP38/AO38-1</f>
        <v>-0.13088616981831669</v>
      </c>
      <c r="AQ40" s="208">
        <f>AQ38/AP38-1</f>
        <v>-0.3813993174061433</v>
      </c>
      <c r="AR40" s="66"/>
      <c r="AS40" s="857">
        <f>AS38/AQ38-1</f>
        <v>-0.16103448275862065</v>
      </c>
      <c r="AT40" s="136">
        <f>AT38/AS38-1</f>
        <v>5.5898068228524389E-2</v>
      </c>
      <c r="AU40" s="136">
        <f>AU38/AT38-1</f>
        <v>0.44219540677306335</v>
      </c>
      <c r="AV40" s="858">
        <f>AV38/AU38-1</f>
        <v>-9.0958164642375161E-2</v>
      </c>
      <c r="AW40" s="66"/>
      <c r="AX40" s="857">
        <f>AX38/AV38-1</f>
        <v>0.20724465558194782</v>
      </c>
      <c r="AY40" s="136">
        <f>AY38/AX38-1</f>
        <v>-3.5415641908509543E-2</v>
      </c>
      <c r="AZ40" s="136">
        <f>AZ38/AY38-1</f>
        <v>1.810300866904635E-2</v>
      </c>
      <c r="BA40" s="858">
        <f>BA38/AZ38-1</f>
        <v>-3.8317054845980469E-2</v>
      </c>
      <c r="BB40" s="66"/>
      <c r="BC40" s="857">
        <f>BC38/BA38-1</f>
        <v>0.15052083333333344</v>
      </c>
      <c r="BD40" s="136">
        <f>BD38/BC38-1</f>
        <v>-8.2842915346310497E-2</v>
      </c>
      <c r="BE40" s="136">
        <f>BE38/BD38-1</f>
        <v>3.5044422507403805E-2</v>
      </c>
      <c r="BF40" s="952">
        <f>BF38/BE38-1</f>
        <v>-1.4783023366714332E-2</v>
      </c>
      <c r="BG40" s="362"/>
      <c r="BH40" s="857">
        <f>BH38/BF38-1</f>
        <v>0.11084220716360127</v>
      </c>
      <c r="BI40" s="136">
        <f>BI38/BH38-1</f>
        <v>-3.0718954248366015E-2</v>
      </c>
      <c r="BJ40" s="136">
        <f>BJ38/BI38-1</f>
        <v>-3.0568667116205872E-2</v>
      </c>
      <c r="BK40" s="858">
        <f>BK38/BJ38-1</f>
        <v>-4.451657778808249E-2</v>
      </c>
      <c r="BL40" s="66"/>
      <c r="BM40" s="857">
        <f>BM38/BK38-1</f>
        <v>5.168648386314012E-2</v>
      </c>
      <c r="BN40" s="136">
        <f>BN38/BM38-1</f>
        <v>-1.3844023996308241E-2</v>
      </c>
      <c r="BO40" s="136">
        <f>BO38/BN38-1</f>
        <v>8.5634066448291968E-2</v>
      </c>
      <c r="BP40" s="858">
        <f>BP38/BO38-1</f>
        <v>-3.3405172413793149E-2</v>
      </c>
      <c r="BQ40" s="66"/>
      <c r="BR40" s="857">
        <f>BR38/BP38-1</f>
        <v>2.564102564102555E-2</v>
      </c>
      <c r="BS40" s="136">
        <f>BS38/BR38-1</f>
        <v>1.0000000000000009E-2</v>
      </c>
      <c r="BT40" s="136">
        <f>BT38/BS38-1</f>
        <v>4.4123977615152743E-2</v>
      </c>
      <c r="BU40" s="858">
        <f>BU38/BT38-1</f>
        <v>-5.5040197897340715E-2</v>
      </c>
      <c r="BV40" s="66"/>
      <c r="BW40" s="857">
        <f>BW38/BU38-1</f>
        <v>-9.1404886561954668E-2</v>
      </c>
      <c r="BX40" s="136">
        <f>BX38/BW38-1</f>
        <v>9.915966386554631E-2</v>
      </c>
      <c r="BY40" s="136">
        <f>BY38/BX38-1</f>
        <v>-3.0144167758846652E-2</v>
      </c>
      <c r="BZ40" s="858">
        <f>BZ38/BY38-1</f>
        <v>-0.13896396396396393</v>
      </c>
      <c r="CA40" s="66"/>
      <c r="CB40" s="857">
        <f>CB38/BZ38-1</f>
        <v>0.28145435521841478</v>
      </c>
      <c r="CC40" s="136">
        <f>CC38/CB38-1</f>
        <v>3.7354562155542004E-2</v>
      </c>
      <c r="CD40" s="136">
        <f>CD38/CC38-1</f>
        <v>-0.12140889413616685</v>
      </c>
      <c r="CE40" s="858">
        <f>CE38/CD38-1</f>
        <v>-1.4557670772676334E-2</v>
      </c>
      <c r="CF40" s="453"/>
      <c r="CG40" s="857">
        <f>CG38/CE38-1</f>
        <v>0.1045454545454545</v>
      </c>
      <c r="CH40" s="136">
        <f>CH38/CG38-1</f>
        <v>1.8518518518518601E-2</v>
      </c>
      <c r="CI40" s="136">
        <f>CI38/CH38-1</f>
        <v>-5.0909090909090904E-2</v>
      </c>
      <c r="CJ40" s="858">
        <f>CJ38/CI38-1</f>
        <v>-1.4687100893997496E-2</v>
      </c>
      <c r="CK40" s="453"/>
      <c r="CL40" s="857">
        <f>CL38/CJ38-1</f>
        <v>8.3603370058327853E-2</v>
      </c>
      <c r="CM40" s="136">
        <f>CM38/CL38-1</f>
        <v>6.2759170653907681E-3</v>
      </c>
      <c r="CN40" s="136">
        <f>CN38/CM38-1</f>
        <v>-5.1168107649757766E-2</v>
      </c>
      <c r="CO40" s="858">
        <f>CO38/CN38-1</f>
        <v>-1.4720590661090216E-2</v>
      </c>
      <c r="CP40" s="66"/>
      <c r="CQ40" s="857">
        <f>CQ38/CO38-1</f>
        <v>8.2567057522076936E-2</v>
      </c>
      <c r="CR40" s="136">
        <f>CR38/CQ38-1</f>
        <v>6.2857456071665485E-3</v>
      </c>
      <c r="CS40" s="136">
        <f>CS38/CR38-1</f>
        <v>-5.1247740072152825E-2</v>
      </c>
      <c r="CT40" s="858">
        <f>CT38/CS38-1</f>
        <v>-1.4744737650087769E-2</v>
      </c>
      <c r="CU40" s="66"/>
      <c r="CV40" s="857">
        <f>CV38/CT38-1</f>
        <v>0.15743599248479345</v>
      </c>
      <c r="CW40" s="136">
        <f>CW38/CV38-1</f>
        <v>2.6943471109472927E-3</v>
      </c>
      <c r="CX40" s="136">
        <f>CX38/CW38-1</f>
        <v>-4.9307674720071359E-2</v>
      </c>
      <c r="CY40" s="858">
        <f>CY38/CX38-1</f>
        <v>-1.3817457826649671E-2</v>
      </c>
      <c r="CZ40" s="66"/>
    </row>
    <row r="41" spans="1:104" ht="6.2" customHeight="1">
      <c r="A41" s="819"/>
      <c r="B41" s="66"/>
      <c r="C41" s="82"/>
      <c r="D41" s="82"/>
      <c r="E41" s="82"/>
      <c r="F41" s="82"/>
      <c r="G41" s="82"/>
      <c r="H41" s="66"/>
      <c r="I41" s="66"/>
      <c r="J41" s="208"/>
      <c r="K41" s="208"/>
      <c r="L41" s="208"/>
      <c r="M41" s="208"/>
      <c r="N41" s="66"/>
      <c r="O41" s="208"/>
      <c r="P41" s="208"/>
      <c r="Q41" s="208"/>
      <c r="R41" s="208"/>
      <c r="S41" s="208"/>
      <c r="T41" s="208"/>
      <c r="U41" s="208"/>
      <c r="V41" s="208"/>
      <c r="W41" s="208"/>
      <c r="X41" s="208"/>
      <c r="Y41" s="208"/>
      <c r="Z41" s="208"/>
      <c r="AA41" s="208"/>
      <c r="AB41" s="208"/>
      <c r="AC41" s="66"/>
      <c r="AD41" s="208"/>
      <c r="AE41" s="208"/>
      <c r="AF41" s="208"/>
      <c r="AG41" s="208"/>
      <c r="AH41" s="66"/>
      <c r="AI41" s="208"/>
      <c r="AJ41" s="208"/>
      <c r="AK41" s="208"/>
      <c r="AL41" s="208"/>
      <c r="AM41" s="66"/>
      <c r="AN41" s="208"/>
      <c r="AO41" s="208"/>
      <c r="AP41" s="208"/>
      <c r="AQ41" s="208"/>
      <c r="AR41" s="66"/>
      <c r="AS41" s="857"/>
      <c r="AT41" s="136"/>
      <c r="AU41" s="136"/>
      <c r="AV41" s="858"/>
      <c r="AW41" s="66"/>
      <c r="AX41" s="857"/>
      <c r="AY41" s="136"/>
      <c r="AZ41" s="136"/>
      <c r="BA41" s="858"/>
      <c r="BB41" s="66"/>
      <c r="BC41" s="857"/>
      <c r="BD41" s="136"/>
      <c r="BE41" s="136"/>
      <c r="BF41" s="952"/>
      <c r="BG41" s="362"/>
      <c r="BH41" s="857"/>
      <c r="BI41" s="136"/>
      <c r="BJ41" s="136"/>
      <c r="BK41" s="858"/>
      <c r="BL41" s="66"/>
      <c r="BM41" s="857"/>
      <c r="BN41" s="136"/>
      <c r="BO41" s="136"/>
      <c r="BP41" s="858"/>
      <c r="BQ41" s="66"/>
      <c r="BR41" s="857"/>
      <c r="BS41" s="136"/>
      <c r="BT41" s="136"/>
      <c r="BU41" s="858"/>
      <c r="BV41" s="66"/>
      <c r="BW41" s="859"/>
      <c r="BX41" s="20"/>
      <c r="BY41" s="20"/>
      <c r="BZ41" s="860"/>
      <c r="CA41" s="66"/>
      <c r="CB41" s="859"/>
      <c r="CC41" s="20"/>
      <c r="CD41" s="20"/>
      <c r="CE41" s="944"/>
      <c r="CF41" s="453"/>
      <c r="CG41" s="981"/>
      <c r="CH41" s="495"/>
      <c r="CI41" s="20"/>
      <c r="CJ41" s="944"/>
      <c r="CK41" s="453"/>
      <c r="CL41" s="859"/>
      <c r="CM41" s="20"/>
      <c r="CN41" s="20"/>
      <c r="CO41" s="860"/>
      <c r="CP41" s="66"/>
      <c r="CQ41" s="859"/>
      <c r="CR41" s="20"/>
      <c r="CS41" s="20"/>
      <c r="CT41" s="860"/>
      <c r="CU41" s="66"/>
      <c r="CV41" s="859"/>
      <c r="CW41" s="20"/>
      <c r="CX41" s="20"/>
      <c r="CY41" s="860"/>
      <c r="CZ41" s="66"/>
    </row>
    <row r="42" spans="1:104" ht="13.5" customHeight="1">
      <c r="A42" s="820" t="s">
        <v>216</v>
      </c>
      <c r="B42" s="66"/>
      <c r="C42" s="82"/>
      <c r="D42" s="82"/>
      <c r="E42" s="82"/>
      <c r="F42" s="82"/>
      <c r="G42" s="82"/>
      <c r="H42" s="66"/>
      <c r="I42" s="66"/>
      <c r="J42" s="208"/>
      <c r="K42" s="208"/>
      <c r="L42" s="208"/>
      <c r="M42" s="208"/>
      <c r="N42" s="66"/>
      <c r="O42" s="208"/>
      <c r="P42" s="208"/>
      <c r="Q42" s="208"/>
      <c r="R42" s="208"/>
      <c r="S42" s="208"/>
      <c r="T42" s="208"/>
      <c r="U42" s="208"/>
      <c r="V42" s="208"/>
      <c r="W42" s="208"/>
      <c r="X42" s="208"/>
      <c r="Y42" s="208"/>
      <c r="Z42" s="208"/>
      <c r="AA42" s="208"/>
      <c r="AB42" s="208"/>
      <c r="AC42" s="66"/>
      <c r="AD42" s="208"/>
      <c r="AE42" s="208"/>
      <c r="AF42" s="208"/>
      <c r="AG42" s="208"/>
      <c r="AH42" s="66"/>
      <c r="AI42" s="208"/>
      <c r="AJ42" s="208"/>
      <c r="AK42" s="208"/>
      <c r="AL42" s="208"/>
      <c r="AM42" s="66"/>
      <c r="AN42" s="208"/>
      <c r="AO42" s="208"/>
      <c r="AP42" s="208"/>
      <c r="AQ42" s="208"/>
      <c r="AR42" s="66"/>
      <c r="AS42" s="857"/>
      <c r="AT42" s="136"/>
      <c r="AU42" s="136"/>
      <c r="AV42" s="858"/>
      <c r="AW42" s="66"/>
      <c r="AX42" s="857"/>
      <c r="AY42" s="136"/>
      <c r="AZ42" s="136"/>
      <c r="BA42" s="858"/>
      <c r="BB42" s="66"/>
      <c r="BC42" s="857"/>
      <c r="BD42" s="136"/>
      <c r="BE42" s="136"/>
      <c r="BF42" s="952"/>
      <c r="BG42" s="362"/>
      <c r="BH42" s="857"/>
      <c r="BI42" s="136"/>
      <c r="BJ42" s="136"/>
      <c r="BK42" s="858"/>
      <c r="BL42" s="66"/>
      <c r="BM42" s="857"/>
      <c r="BN42" s="136"/>
      <c r="BO42" s="136"/>
      <c r="BP42" s="858"/>
      <c r="BQ42" s="66"/>
      <c r="BR42" s="857"/>
      <c r="BS42" s="136"/>
      <c r="BT42" s="136"/>
      <c r="BU42" s="858"/>
      <c r="BV42" s="66"/>
      <c r="BW42" s="859"/>
      <c r="BX42" s="20"/>
      <c r="BY42" s="20"/>
      <c r="BZ42" s="860"/>
      <c r="CA42" s="66"/>
      <c r="CB42" s="859"/>
      <c r="CC42" s="20"/>
      <c r="CD42" s="20"/>
      <c r="CE42" s="944"/>
      <c r="CF42" s="453"/>
      <c r="CG42" s="981"/>
      <c r="CH42" s="495"/>
      <c r="CI42" s="20"/>
      <c r="CJ42" s="944"/>
      <c r="CK42" s="453"/>
      <c r="CL42" s="859"/>
      <c r="CM42" s="20"/>
      <c r="CN42" s="20"/>
      <c r="CO42" s="860"/>
      <c r="CP42" s="66"/>
      <c r="CQ42" s="859"/>
      <c r="CR42" s="20"/>
      <c r="CS42" s="20"/>
      <c r="CT42" s="860"/>
      <c r="CU42" s="66"/>
      <c r="CV42" s="859"/>
      <c r="CW42" s="20"/>
      <c r="CX42" s="20"/>
      <c r="CY42" s="860"/>
      <c r="CZ42" s="66"/>
    </row>
    <row r="43" spans="1:104" ht="13.5" customHeight="1" outlineLevel="1">
      <c r="A43" s="823"/>
      <c r="B43" s="66" t="s">
        <v>462</v>
      </c>
      <c r="C43" s="82"/>
      <c r="D43" s="82"/>
      <c r="E43" s="82"/>
      <c r="F43" s="82"/>
      <c r="G43" s="82"/>
      <c r="H43" s="208">
        <f t="shared" ref="H43:AM43" si="37">H33/H$38</f>
        <v>0.45567031393803048</v>
      </c>
      <c r="I43" s="208">
        <f t="shared" si="37"/>
        <v>0.45993473531544599</v>
      </c>
      <c r="J43" s="208">
        <f t="shared" si="37"/>
        <v>0.47502480979159772</v>
      </c>
      <c r="K43" s="208">
        <f t="shared" si="37"/>
        <v>0.44557931694861158</v>
      </c>
      <c r="L43" s="208">
        <f t="shared" si="37"/>
        <v>0.48345712356515869</v>
      </c>
      <c r="M43" s="208">
        <f t="shared" si="37"/>
        <v>0.48247809762202754</v>
      </c>
      <c r="N43" s="208">
        <f t="shared" si="37"/>
        <v>0.47149585837258406</v>
      </c>
      <c r="O43" s="208">
        <f t="shared" si="37"/>
        <v>0.43193069306930693</v>
      </c>
      <c r="P43" s="208">
        <f t="shared" si="37"/>
        <v>0.42676448267138883</v>
      </c>
      <c r="Q43" s="208">
        <f t="shared" si="37"/>
        <v>0.42263334935127345</v>
      </c>
      <c r="R43" s="208">
        <f t="shared" si="37"/>
        <v>0.42916260954235635</v>
      </c>
      <c r="S43" s="208">
        <f t="shared" si="37"/>
        <v>0.4275963844309168</v>
      </c>
      <c r="T43" s="208">
        <f t="shared" si="37"/>
        <v>0.44921709691070671</v>
      </c>
      <c r="U43" s="208">
        <f t="shared" si="37"/>
        <v>0.47105026929982047</v>
      </c>
      <c r="V43" s="208">
        <f t="shared" si="37"/>
        <v>0.44657168299198574</v>
      </c>
      <c r="W43" s="208">
        <f t="shared" si="37"/>
        <v>0.44979333819596401</v>
      </c>
      <c r="X43" s="208">
        <f t="shared" si="37"/>
        <v>0.45415190869736322</v>
      </c>
      <c r="Y43" s="208">
        <f t="shared" si="37"/>
        <v>0.44069965870307165</v>
      </c>
      <c r="Z43" s="208">
        <f t="shared" si="37"/>
        <v>0.4253142978904752</v>
      </c>
      <c r="AA43" s="208">
        <f t="shared" si="37"/>
        <v>0.39763939763939765</v>
      </c>
      <c r="AB43" s="208">
        <f t="shared" si="37"/>
        <v>0.42539682539682538</v>
      </c>
      <c r="AC43" s="208">
        <f t="shared" si="37"/>
        <v>0.42197686645636173</v>
      </c>
      <c r="AD43" s="208">
        <f t="shared" si="37"/>
        <v>0.42556019749335361</v>
      </c>
      <c r="AE43" s="208">
        <f t="shared" si="37"/>
        <v>0.40752293577981652</v>
      </c>
      <c r="AF43" s="208">
        <f t="shared" si="37"/>
        <v>0.41681026230135937</v>
      </c>
      <c r="AG43" s="208">
        <f t="shared" si="37"/>
        <v>0.39380437088903036</v>
      </c>
      <c r="AH43" s="208">
        <f t="shared" si="37"/>
        <v>0.4113403060236297</v>
      </c>
      <c r="AI43" s="208">
        <f t="shared" si="37"/>
        <v>0.38630713329508509</v>
      </c>
      <c r="AJ43" s="208">
        <f t="shared" si="37"/>
        <v>0.42290388548057262</v>
      </c>
      <c r="AK43" s="208">
        <f t="shared" si="37"/>
        <v>0.40452560539896787</v>
      </c>
      <c r="AL43" s="208">
        <f t="shared" si="37"/>
        <v>0.42142575817250888</v>
      </c>
      <c r="AM43" s="208">
        <f t="shared" si="37"/>
        <v>0.40850012354830739</v>
      </c>
      <c r="AN43" s="208">
        <f t="shared" ref="AN43:BS43" si="38">AN33/AN$38</f>
        <v>0.42494714587737842</v>
      </c>
      <c r="AO43" s="208">
        <f t="shared" si="38"/>
        <v>0.42269187986651835</v>
      </c>
      <c r="AP43" s="208">
        <f t="shared" si="38"/>
        <v>0.40955631399317405</v>
      </c>
      <c r="AQ43" s="208">
        <f t="shared" si="38"/>
        <v>0.37724137931034485</v>
      </c>
      <c r="AR43" s="208">
        <f t="shared" si="38"/>
        <v>0.41270277701402253</v>
      </c>
      <c r="AS43" s="857">
        <f t="shared" si="38"/>
        <v>0.39334155363748458</v>
      </c>
      <c r="AT43" s="136">
        <f t="shared" si="38"/>
        <v>0.37602179836512262</v>
      </c>
      <c r="AU43" s="136">
        <f t="shared" si="38"/>
        <v>0.46963562753036436</v>
      </c>
      <c r="AV43" s="858">
        <f t="shared" si="38"/>
        <v>0.45991686460807601</v>
      </c>
      <c r="AW43" s="208">
        <f t="shared" si="38"/>
        <v>0.43163561076604556</v>
      </c>
      <c r="AX43" s="857">
        <f t="shared" si="38"/>
        <v>0.49188391539596654</v>
      </c>
      <c r="AY43" s="136">
        <f t="shared" si="38"/>
        <v>0.48266190719020907</v>
      </c>
      <c r="AZ43" s="136">
        <f t="shared" si="38"/>
        <v>0.46105684948660153</v>
      </c>
      <c r="BA43" s="858">
        <f t="shared" si="38"/>
        <v>0.44270833333333331</v>
      </c>
      <c r="BB43" s="208">
        <f t="shared" si="38"/>
        <v>0.46988180266734086</v>
      </c>
      <c r="BC43" s="857">
        <f t="shared" si="38"/>
        <v>0.47261204164780446</v>
      </c>
      <c r="BD43" s="136">
        <f t="shared" si="38"/>
        <v>0.42398815399802564</v>
      </c>
      <c r="BE43" s="136">
        <f t="shared" si="38"/>
        <v>0.44182164997615642</v>
      </c>
      <c r="BF43" s="952">
        <f t="shared" si="38"/>
        <v>0.44554695062923522</v>
      </c>
      <c r="BG43" s="368">
        <f t="shared" si="38"/>
        <v>0.44653488925934748</v>
      </c>
      <c r="BH43" s="857">
        <f t="shared" si="38"/>
        <v>0.44618736383442265</v>
      </c>
      <c r="BI43" s="136">
        <f t="shared" si="38"/>
        <v>0.43268150146100248</v>
      </c>
      <c r="BJ43" s="136">
        <f t="shared" si="38"/>
        <v>0.41827034546719222</v>
      </c>
      <c r="BK43" s="952">
        <f t="shared" si="38"/>
        <v>0.4477068672652269</v>
      </c>
      <c r="BL43" s="368">
        <f t="shared" si="38"/>
        <v>0.43621587592285238</v>
      </c>
      <c r="BM43" s="857">
        <f t="shared" si="38"/>
        <v>0.42385786802030456</v>
      </c>
      <c r="BN43" s="136">
        <f t="shared" si="38"/>
        <v>0.42021525503041646</v>
      </c>
      <c r="BO43" s="136">
        <f t="shared" si="38"/>
        <v>0.42349137931034481</v>
      </c>
      <c r="BP43" s="858">
        <f t="shared" si="38"/>
        <v>0.42207357859531774</v>
      </c>
      <c r="BQ43" s="208">
        <f t="shared" si="38"/>
        <v>0.42243275249534767</v>
      </c>
      <c r="BR43" s="857">
        <f t="shared" si="38"/>
        <v>0.40804347826086956</v>
      </c>
      <c r="BS43" s="136">
        <f t="shared" si="38"/>
        <v>0.42445114076625051</v>
      </c>
      <c r="BT43" s="136">
        <f t="shared" ref="BT43:CZ43" si="39">BT33/BT$38</f>
        <v>0.42053184910327768</v>
      </c>
      <c r="BU43" s="858">
        <f t="shared" si="39"/>
        <v>0.49389179755671903</v>
      </c>
      <c r="BV43" s="208">
        <f t="shared" si="39"/>
        <v>0.43643273914672664</v>
      </c>
      <c r="BW43" s="857">
        <f t="shared" si="39"/>
        <v>0.46962785114045619</v>
      </c>
      <c r="BX43" s="136">
        <f t="shared" si="39"/>
        <v>0.4796854521625164</v>
      </c>
      <c r="BY43" s="136">
        <f t="shared" si="39"/>
        <v>0.47499999999999998</v>
      </c>
      <c r="BZ43" s="858">
        <f t="shared" si="39"/>
        <v>0.47580434213968087</v>
      </c>
      <c r="CA43" s="208">
        <f t="shared" si="39"/>
        <v>0.47512642596730564</v>
      </c>
      <c r="CB43" s="857">
        <f t="shared" si="39"/>
        <v>0.48826291079812206</v>
      </c>
      <c r="CC43" s="136">
        <f t="shared" si="39"/>
        <v>0.49626131444313265</v>
      </c>
      <c r="CD43" s="136">
        <f t="shared" si="39"/>
        <v>0.47502799552071667</v>
      </c>
      <c r="CE43" s="858">
        <f t="shared" si="39"/>
        <v>0.47340909090909089</v>
      </c>
      <c r="CF43" s="208">
        <f t="shared" si="39"/>
        <v>0.48381619441791363</v>
      </c>
      <c r="CG43" s="857">
        <f t="shared" si="39"/>
        <v>0.50432098765432098</v>
      </c>
      <c r="CH43" s="136">
        <f t="shared" si="39"/>
        <v>0.47898989898989897</v>
      </c>
      <c r="CI43" s="136">
        <f t="shared" si="39"/>
        <v>0.48573861217539377</v>
      </c>
      <c r="CJ43" s="858">
        <f t="shared" si="39"/>
        <v>0.47677684165046447</v>
      </c>
      <c r="CK43" s="208">
        <f t="shared" si="39"/>
        <v>0.4865443904478236</v>
      </c>
      <c r="CL43" s="857">
        <f t="shared" si="39"/>
        <v>0.46311802232854865</v>
      </c>
      <c r="CM43" s="136">
        <f t="shared" si="39"/>
        <v>0.47913414218580369</v>
      </c>
      <c r="CN43" s="136">
        <f t="shared" si="39"/>
        <v>0.48601752689900835</v>
      </c>
      <c r="CO43" s="858">
        <f t="shared" si="39"/>
        <v>0.47706682546712975</v>
      </c>
      <c r="CP43" s="208">
        <f t="shared" si="39"/>
        <v>0.4762152937449543</v>
      </c>
      <c r="CQ43" s="857">
        <f t="shared" si="39"/>
        <v>0.46384329877533126</v>
      </c>
      <c r="CR43" s="136">
        <f t="shared" si="39"/>
        <v>0.47987981393617368</v>
      </c>
      <c r="CS43" s="136">
        <f t="shared" si="39"/>
        <v>0.48681476799787865</v>
      </c>
      <c r="CT43" s="858">
        <f t="shared" si="39"/>
        <v>0.4778610955454225</v>
      </c>
      <c r="CU43" s="208">
        <f t="shared" si="39"/>
        <v>0.47697988262203661</v>
      </c>
      <c r="CV43" s="857">
        <f t="shared" si="39"/>
        <v>0.46012428056831506</v>
      </c>
      <c r="CW43" s="136">
        <f t="shared" si="39"/>
        <v>0.47773724507999843</v>
      </c>
      <c r="CX43" s="136">
        <f t="shared" si="39"/>
        <v>0.48365223492752923</v>
      </c>
      <c r="CY43" s="858">
        <f t="shared" si="39"/>
        <v>0.47431032846649007</v>
      </c>
      <c r="CZ43" s="208">
        <f t="shared" si="39"/>
        <v>0.47383684911750634</v>
      </c>
    </row>
    <row r="44" spans="1:104" ht="13.5" customHeight="1" outlineLevel="1">
      <c r="A44" s="819"/>
      <c r="B44" s="66" t="s">
        <v>80</v>
      </c>
      <c r="C44" s="82"/>
      <c r="D44" s="82"/>
      <c r="E44" s="82"/>
      <c r="F44" s="82"/>
      <c r="G44" s="82"/>
      <c r="H44" s="208">
        <f t="shared" ref="H44:AM44" si="40">H34/H$38</f>
        <v>0.22589221801820228</v>
      </c>
      <c r="I44" s="208">
        <f t="shared" si="40"/>
        <v>0.24356417693981144</v>
      </c>
      <c r="J44" s="208">
        <f t="shared" si="40"/>
        <v>0.23122725769103539</v>
      </c>
      <c r="K44" s="208">
        <f t="shared" si="40"/>
        <v>0.24704755825087776</v>
      </c>
      <c r="L44" s="208">
        <f t="shared" si="40"/>
        <v>0.23970290344361916</v>
      </c>
      <c r="M44" s="208">
        <f t="shared" si="40"/>
        <v>0.23904881101376721</v>
      </c>
      <c r="N44" s="208">
        <f t="shared" si="40"/>
        <v>0.23932109793730713</v>
      </c>
      <c r="O44" s="208">
        <f t="shared" si="40"/>
        <v>0.36212871287128712</v>
      </c>
      <c r="P44" s="208">
        <f t="shared" si="40"/>
        <v>0.33417657475335188</v>
      </c>
      <c r="Q44" s="208">
        <f t="shared" si="40"/>
        <v>0.34550696780394041</v>
      </c>
      <c r="R44" s="208">
        <f t="shared" si="40"/>
        <v>0.3184031158714703</v>
      </c>
      <c r="S44" s="208">
        <f t="shared" si="40"/>
        <v>0.34003566377667099</v>
      </c>
      <c r="T44" s="208">
        <f t="shared" si="40"/>
        <v>0.3159119763013119</v>
      </c>
      <c r="U44" s="208">
        <f t="shared" si="40"/>
        <v>0.29780071813285458</v>
      </c>
      <c r="V44" s="208">
        <f t="shared" si="40"/>
        <v>0.28762243989314334</v>
      </c>
      <c r="W44" s="208">
        <f t="shared" si="40"/>
        <v>0.275224896669098</v>
      </c>
      <c r="X44" s="208">
        <f t="shared" si="40"/>
        <v>0.29482206105582731</v>
      </c>
      <c r="Y44" s="208">
        <f t="shared" si="40"/>
        <v>0.29351535836177473</v>
      </c>
      <c r="Z44" s="208">
        <f t="shared" si="40"/>
        <v>0.32452588962284251</v>
      </c>
      <c r="AA44" s="208">
        <f t="shared" si="40"/>
        <v>0.34065934065934067</v>
      </c>
      <c r="AB44" s="208">
        <f t="shared" si="40"/>
        <v>0.29841269841269841</v>
      </c>
      <c r="AC44" s="208">
        <f t="shared" si="40"/>
        <v>0.31456361724500526</v>
      </c>
      <c r="AD44" s="208">
        <f t="shared" si="40"/>
        <v>0.31105203190277253</v>
      </c>
      <c r="AE44" s="208">
        <f t="shared" si="40"/>
        <v>0.33192660550458714</v>
      </c>
      <c r="AF44" s="208">
        <f t="shared" si="40"/>
        <v>0.30882634501244494</v>
      </c>
      <c r="AG44" s="208">
        <f t="shared" si="40"/>
        <v>0.30829620199448332</v>
      </c>
      <c r="AH44" s="208">
        <f t="shared" si="40"/>
        <v>0.31536897152818127</v>
      </c>
      <c r="AI44" s="208">
        <f t="shared" si="40"/>
        <v>0.34786766112067319</v>
      </c>
      <c r="AJ44" s="208">
        <f t="shared" si="40"/>
        <v>0.28711656441717792</v>
      </c>
      <c r="AK44" s="208">
        <f t="shared" si="40"/>
        <v>0.30726478761413262</v>
      </c>
      <c r="AL44" s="208">
        <f t="shared" si="40"/>
        <v>0.29854273335959042</v>
      </c>
      <c r="AM44" s="208">
        <f t="shared" si="40"/>
        <v>0.31069928341981717</v>
      </c>
      <c r="AN44" s="208">
        <f t="shared" ref="AN44:BS44" si="41">AN34/AN$38</f>
        <v>0.29137036325197002</v>
      </c>
      <c r="AO44" s="208">
        <f t="shared" si="41"/>
        <v>0.30255839822024472</v>
      </c>
      <c r="AP44" s="208">
        <f t="shared" si="41"/>
        <v>0.2713310580204778</v>
      </c>
      <c r="AQ44" s="208">
        <f t="shared" si="41"/>
        <v>0.29172413793103447</v>
      </c>
      <c r="AR44" s="208">
        <f t="shared" si="41"/>
        <v>0.2895793236183668</v>
      </c>
      <c r="AS44" s="857">
        <f t="shared" si="41"/>
        <v>0.32100287710645292</v>
      </c>
      <c r="AT44" s="136">
        <f t="shared" si="41"/>
        <v>0.35733748540288052</v>
      </c>
      <c r="AU44" s="136">
        <f t="shared" si="41"/>
        <v>0.26477732793522268</v>
      </c>
      <c r="AV44" s="858">
        <f t="shared" si="41"/>
        <v>0.28176959619952496</v>
      </c>
      <c r="AW44" s="208">
        <f t="shared" si="41"/>
        <v>0.30053830227743272</v>
      </c>
      <c r="AX44" s="857">
        <f t="shared" si="41"/>
        <v>0.25307427447122477</v>
      </c>
      <c r="AY44" s="136">
        <f t="shared" si="41"/>
        <v>0.22896481387047424</v>
      </c>
      <c r="AZ44" s="136">
        <f t="shared" si="41"/>
        <v>0.26120711244678185</v>
      </c>
      <c r="BA44" s="858">
        <f t="shared" si="41"/>
        <v>0.27317708333333335</v>
      </c>
      <c r="BB44" s="208">
        <f t="shared" si="41"/>
        <v>0.25402945452247011</v>
      </c>
      <c r="BC44" s="857">
        <f t="shared" si="41"/>
        <v>0.17445676776822092</v>
      </c>
      <c r="BD44" s="136">
        <f t="shared" si="41"/>
        <v>0.21711500493583416</v>
      </c>
      <c r="BE44" s="136">
        <f t="shared" si="41"/>
        <v>0.21858607534573199</v>
      </c>
      <c r="BF44" s="952">
        <f t="shared" si="41"/>
        <v>0.21484753146176186</v>
      </c>
      <c r="BG44" s="368">
        <f t="shared" si="41"/>
        <v>0.20570373898547273</v>
      </c>
      <c r="BH44" s="857">
        <f t="shared" si="41"/>
        <v>0.20800653594771243</v>
      </c>
      <c r="BI44" s="136">
        <f t="shared" si="41"/>
        <v>0.22898404135760844</v>
      </c>
      <c r="BJ44" s="136">
        <f t="shared" si="41"/>
        <v>0.23713192673313238</v>
      </c>
      <c r="BK44" s="952">
        <f t="shared" si="41"/>
        <v>0.20789856830866293</v>
      </c>
      <c r="BL44" s="368">
        <f t="shared" si="41"/>
        <v>0.22051164654037658</v>
      </c>
      <c r="BM44" s="857">
        <f t="shared" si="41"/>
        <v>0.21952872634979234</v>
      </c>
      <c r="BN44" s="136">
        <f t="shared" si="41"/>
        <v>0.22237657931679924</v>
      </c>
      <c r="BO44" s="136">
        <f t="shared" si="41"/>
        <v>0.22056842672413793</v>
      </c>
      <c r="BP44" s="858">
        <f t="shared" si="41"/>
        <v>0.21681995540691193</v>
      </c>
      <c r="BQ44" s="208">
        <f t="shared" si="41"/>
        <v>0.21980206394857046</v>
      </c>
      <c r="BR44" s="857">
        <f t="shared" si="41"/>
        <v>0.20673913043478262</v>
      </c>
      <c r="BS44" s="136">
        <f t="shared" si="41"/>
        <v>0.22169608265174343</v>
      </c>
      <c r="BT44" s="136">
        <f t="shared" ref="BT44:CZ44" si="42">BT34/BT$38</f>
        <v>0.2271696557410843</v>
      </c>
      <c r="BU44" s="858">
        <f t="shared" si="42"/>
        <v>0.18390052356020942</v>
      </c>
      <c r="BV44" s="208">
        <f t="shared" si="42"/>
        <v>0.21016005567153792</v>
      </c>
      <c r="BW44" s="857">
        <f t="shared" si="42"/>
        <v>0.18559423769507802</v>
      </c>
      <c r="BX44" s="136">
        <f t="shared" si="42"/>
        <v>0.20183486238532111</v>
      </c>
      <c r="BY44" s="136">
        <f t="shared" si="42"/>
        <v>0.18445945945945946</v>
      </c>
      <c r="BZ44" s="858">
        <f t="shared" si="42"/>
        <v>0.17630133403086581</v>
      </c>
      <c r="CA44" s="208">
        <f t="shared" si="42"/>
        <v>0.18758085381630013</v>
      </c>
      <c r="CB44" s="857">
        <f t="shared" si="42"/>
        <v>0.19493774239640743</v>
      </c>
      <c r="CC44" s="136">
        <f t="shared" si="42"/>
        <v>0.1936245572609209</v>
      </c>
      <c r="CD44" s="136">
        <f t="shared" si="42"/>
        <v>0.20335946248600223</v>
      </c>
      <c r="CE44" s="858">
        <f t="shared" si="42"/>
        <v>0.19477272727272726</v>
      </c>
      <c r="CF44" s="208">
        <f t="shared" si="42"/>
        <v>0.19654037992146875</v>
      </c>
      <c r="CG44" s="857">
        <f t="shared" si="42"/>
        <v>0.19341563786008231</v>
      </c>
      <c r="CH44" s="136">
        <f t="shared" si="42"/>
        <v>0.22080808080808081</v>
      </c>
      <c r="CI44" s="136">
        <f t="shared" si="42"/>
        <v>0.23180076628352492</v>
      </c>
      <c r="CJ44" s="858">
        <f t="shared" si="42"/>
        <v>0.24108878807517822</v>
      </c>
      <c r="CK44" s="208">
        <f t="shared" si="42"/>
        <v>0.22145581857135394</v>
      </c>
      <c r="CL44" s="857">
        <f t="shared" si="42"/>
        <v>0.2494019138755981</v>
      </c>
      <c r="CM44" s="136">
        <f t="shared" si="42"/>
        <v>0.22087457503546329</v>
      </c>
      <c r="CN44" s="136">
        <f t="shared" si="42"/>
        <v>0.23193386800745844</v>
      </c>
      <c r="CO44" s="858">
        <f t="shared" si="42"/>
        <v>0.24123542239298451</v>
      </c>
      <c r="CP44" s="208">
        <f t="shared" si="42"/>
        <v>0.23580122014776661</v>
      </c>
      <c r="CQ44" s="857">
        <f t="shared" si="42"/>
        <v>0.24979249538008583</v>
      </c>
      <c r="CR44" s="136">
        <f t="shared" si="42"/>
        <v>0.22121831996298519</v>
      </c>
      <c r="CS44" s="136">
        <f t="shared" si="42"/>
        <v>0.2323143218009158</v>
      </c>
      <c r="CT44" s="858">
        <f t="shared" si="42"/>
        <v>0.24163705601662502</v>
      </c>
      <c r="CU44" s="208">
        <f t="shared" si="42"/>
        <v>0.23617981149604025</v>
      </c>
      <c r="CV44" s="857">
        <f t="shared" si="42"/>
        <v>0.27302754071174123</v>
      </c>
      <c r="CW44" s="136">
        <f t="shared" si="42"/>
        <v>0.24266152059538937</v>
      </c>
      <c r="CX44" s="136">
        <f t="shared" si="42"/>
        <v>0.2543130488869958</v>
      </c>
      <c r="CY44" s="858">
        <f t="shared" si="42"/>
        <v>0.2642698688586137</v>
      </c>
      <c r="CZ44" s="208">
        <f t="shared" si="42"/>
        <v>0.25852035693797298</v>
      </c>
    </row>
    <row r="45" spans="1:104" ht="13.5" customHeight="1" outlineLevel="1">
      <c r="A45" s="819"/>
      <c r="B45" s="66" t="s">
        <v>552</v>
      </c>
      <c r="C45" s="82"/>
      <c r="D45" s="82"/>
      <c r="E45" s="82"/>
      <c r="F45" s="82"/>
      <c r="G45" s="82"/>
      <c r="H45" s="208"/>
      <c r="I45" s="208"/>
      <c r="J45" s="208"/>
      <c r="K45" s="208"/>
      <c r="L45" s="208"/>
      <c r="M45" s="208"/>
      <c r="N45" s="208"/>
      <c r="O45" s="208"/>
      <c r="P45" s="208"/>
      <c r="Q45" s="208"/>
      <c r="R45" s="208"/>
      <c r="S45" s="208"/>
      <c r="T45" s="208"/>
      <c r="U45" s="208"/>
      <c r="V45" s="208"/>
      <c r="W45" s="208"/>
      <c r="X45" s="208"/>
      <c r="Y45" s="208"/>
      <c r="Z45" s="208"/>
      <c r="AA45" s="208"/>
      <c r="AB45" s="208"/>
      <c r="AC45" s="208"/>
      <c r="AD45" s="208"/>
      <c r="AE45" s="208"/>
      <c r="AF45" s="208"/>
      <c r="AG45" s="208"/>
      <c r="AH45" s="208"/>
      <c r="AI45" s="208"/>
      <c r="AJ45" s="208"/>
      <c r="AK45" s="208"/>
      <c r="AL45" s="208"/>
      <c r="AM45" s="208"/>
      <c r="AN45" s="208"/>
      <c r="AO45" s="208"/>
      <c r="AP45" s="208"/>
      <c r="AQ45" s="208"/>
      <c r="AR45" s="208"/>
      <c r="AS45" s="857"/>
      <c r="AT45" s="136"/>
      <c r="AU45" s="136"/>
      <c r="AV45" s="858"/>
      <c r="AW45" s="208"/>
      <c r="AX45" s="857"/>
      <c r="AY45" s="136"/>
      <c r="AZ45" s="136"/>
      <c r="BA45" s="858"/>
      <c r="BB45" s="208"/>
      <c r="BC45" s="857">
        <f t="shared" ref="BC45:CH45" si="43">BC35/BC$38</f>
        <v>6.9318696242643724E-2</v>
      </c>
      <c r="BD45" s="136">
        <f t="shared" si="43"/>
        <v>7.5579960513326758E-2</v>
      </c>
      <c r="BE45" s="136">
        <f t="shared" si="43"/>
        <v>7.3020982355746306E-2</v>
      </c>
      <c r="BF45" s="858">
        <f t="shared" si="43"/>
        <v>7.4116650532429815E-2</v>
      </c>
      <c r="BG45" s="208">
        <f t="shared" si="43"/>
        <v>7.2934031912360087E-2</v>
      </c>
      <c r="BH45" s="857">
        <f t="shared" si="43"/>
        <v>6.672113289760348E-2</v>
      </c>
      <c r="BI45" s="136">
        <f t="shared" si="43"/>
        <v>6.8835693414250387E-2</v>
      </c>
      <c r="BJ45" s="136">
        <f t="shared" si="43"/>
        <v>7.1006260143751443E-2</v>
      </c>
      <c r="BK45" s="858">
        <f t="shared" si="43"/>
        <v>7.4314486775054603E-2</v>
      </c>
      <c r="BL45" s="208">
        <f t="shared" si="43"/>
        <v>7.0108166886052772E-2</v>
      </c>
      <c r="BM45" s="857">
        <f t="shared" si="43"/>
        <v>7.4195316105214584E-2</v>
      </c>
      <c r="BN45" s="136">
        <f t="shared" si="43"/>
        <v>7.5236897519887699E-2</v>
      </c>
      <c r="BO45" s="136">
        <f t="shared" si="43"/>
        <v>6.9302262931034489E-2</v>
      </c>
      <c r="BP45" s="858">
        <f t="shared" si="43"/>
        <v>7.1697324414715713E-2</v>
      </c>
      <c r="BQ45" s="208">
        <f t="shared" si="43"/>
        <v>7.2534258162747417E-2</v>
      </c>
      <c r="BR45" s="857">
        <f t="shared" si="43"/>
        <v>8.6956521739130432E-2</v>
      </c>
      <c r="BS45" s="136">
        <f t="shared" si="43"/>
        <v>8.6095566078346966E-2</v>
      </c>
      <c r="BT45" s="136">
        <f t="shared" si="43"/>
        <v>8.2457225314368165E-2</v>
      </c>
      <c r="BU45" s="858">
        <f t="shared" si="43"/>
        <v>8.7260034904013961E-2</v>
      </c>
      <c r="BV45" s="208">
        <f t="shared" si="43"/>
        <v>8.5648519886515714E-2</v>
      </c>
      <c r="BW45" s="857">
        <f t="shared" si="43"/>
        <v>9.6038415366146462E-2</v>
      </c>
      <c r="BX45" s="136">
        <f t="shared" si="43"/>
        <v>8.737439930100481E-2</v>
      </c>
      <c r="BY45" s="136">
        <f t="shared" si="43"/>
        <v>9.0090090090090086E-2</v>
      </c>
      <c r="BZ45" s="858">
        <f t="shared" si="43"/>
        <v>0.10462987182840701</v>
      </c>
      <c r="CA45" s="208">
        <f t="shared" si="43"/>
        <v>9.4084440785605086E-2</v>
      </c>
      <c r="CB45" s="857">
        <f t="shared" si="43"/>
        <v>8.1649316186976933E-2</v>
      </c>
      <c r="CC45" s="136">
        <f t="shared" si="43"/>
        <v>7.8709169618260522E-2</v>
      </c>
      <c r="CD45" s="136">
        <f t="shared" si="43"/>
        <v>8.9585666293393054E-2</v>
      </c>
      <c r="CE45" s="858">
        <f t="shared" si="43"/>
        <v>9.0909090909090912E-2</v>
      </c>
      <c r="CF45" s="208">
        <f t="shared" si="43"/>
        <v>8.4898652233895783E-2</v>
      </c>
      <c r="CG45" s="857">
        <f t="shared" si="43"/>
        <v>8.2304526748971193E-2</v>
      </c>
      <c r="CH45" s="136">
        <f t="shared" si="43"/>
        <v>8.0808080808080815E-2</v>
      </c>
      <c r="CI45" s="136">
        <f t="shared" ref="CI45:CZ45" si="44">CI35/CI$38</f>
        <v>8.5142613878246065E-2</v>
      </c>
      <c r="CJ45" s="858">
        <f t="shared" si="44"/>
        <v>8.6411751998271766E-2</v>
      </c>
      <c r="CK45" s="208">
        <f t="shared" si="44"/>
        <v>8.3607671003814596E-2</v>
      </c>
      <c r="CL45" s="857">
        <f t="shared" si="44"/>
        <v>7.9744816586921854E-2</v>
      </c>
      <c r="CM45" s="136">
        <f t="shared" si="44"/>
        <v>7.9247466062272662E-2</v>
      </c>
      <c r="CN45" s="136">
        <f t="shared" si="44"/>
        <v>8.352108176505102E-2</v>
      </c>
      <c r="CO45" s="858">
        <f t="shared" si="44"/>
        <v>8.4768930491596214E-2</v>
      </c>
      <c r="CP45" s="208">
        <f t="shared" si="44"/>
        <v>8.175194416342213E-2</v>
      </c>
      <c r="CQ45" s="857">
        <f t="shared" si="44"/>
        <v>7.8303630156294046E-2</v>
      </c>
      <c r="CR45" s="136">
        <f t="shared" si="44"/>
        <v>7.7814507954743692E-2</v>
      </c>
      <c r="CS45" s="136">
        <f t="shared" si="44"/>
        <v>8.2017731331318788E-2</v>
      </c>
      <c r="CT45" s="858">
        <f t="shared" si="44"/>
        <v>8.3245159366822336E-2</v>
      </c>
      <c r="CU45" s="208">
        <f t="shared" si="44"/>
        <v>8.0277648274321572E-2</v>
      </c>
      <c r="CV45" s="857">
        <f t="shared" si="44"/>
        <v>7.1922041397823572E-2</v>
      </c>
      <c r="CW45" s="136">
        <f t="shared" si="44"/>
        <v>7.1728779168898082E-2</v>
      </c>
      <c r="CX45" s="136">
        <f t="shared" si="44"/>
        <v>7.5448993603453932E-2</v>
      </c>
      <c r="CY45" s="858">
        <f t="shared" si="44"/>
        <v>7.650611360162525E-2</v>
      </c>
      <c r="CZ45" s="208">
        <f t="shared" si="44"/>
        <v>7.3841354621599936E-2</v>
      </c>
    </row>
    <row r="46" spans="1:104" ht="13.5" customHeight="1" outlineLevel="1">
      <c r="A46" s="819"/>
      <c r="B46" s="66" t="s">
        <v>464</v>
      </c>
      <c r="C46" s="82"/>
      <c r="D46" s="82"/>
      <c r="E46" s="82"/>
      <c r="F46" s="82"/>
      <c r="G46" s="82"/>
      <c r="H46" s="208">
        <f t="shared" ref="H46:BB46" si="45">H36/H$38</f>
        <v>0.31639226914817464</v>
      </c>
      <c r="I46" s="208">
        <f t="shared" si="45"/>
        <v>0.24918419144307469</v>
      </c>
      <c r="J46" s="208">
        <f t="shared" si="45"/>
        <v>0.227919285478002</v>
      </c>
      <c r="K46" s="208">
        <f t="shared" si="45"/>
        <v>0.23140759655282478</v>
      </c>
      <c r="L46" s="208">
        <f t="shared" si="45"/>
        <v>0.20830519918973667</v>
      </c>
      <c r="M46" s="208">
        <f t="shared" si="45"/>
        <v>0.20588235294117646</v>
      </c>
      <c r="N46" s="208">
        <f t="shared" si="45"/>
        <v>0.21836933571544584</v>
      </c>
      <c r="O46" s="208">
        <f t="shared" si="45"/>
        <v>0.15</v>
      </c>
      <c r="P46" s="208">
        <f t="shared" si="45"/>
        <v>0.17986339488995701</v>
      </c>
      <c r="Q46" s="208">
        <f t="shared" si="45"/>
        <v>0.1691494473810668</v>
      </c>
      <c r="R46" s="208">
        <f t="shared" si="45"/>
        <v>0.18476144109055501</v>
      </c>
      <c r="S46" s="208">
        <f t="shared" si="45"/>
        <v>0.17094017094017094</v>
      </c>
      <c r="T46" s="208">
        <f t="shared" si="45"/>
        <v>0.16208209902666101</v>
      </c>
      <c r="U46" s="208">
        <f t="shared" si="45"/>
        <v>0.15798922800718132</v>
      </c>
      <c r="V46" s="208">
        <f t="shared" si="45"/>
        <v>0.1498219056099733</v>
      </c>
      <c r="W46" s="208">
        <f t="shared" si="45"/>
        <v>0.15001215657670799</v>
      </c>
      <c r="X46" s="208">
        <f t="shared" si="45"/>
        <v>0.15516950581885647</v>
      </c>
      <c r="Y46" s="208">
        <f t="shared" si="45"/>
        <v>0.1397184300341297</v>
      </c>
      <c r="Z46" s="208">
        <f t="shared" si="45"/>
        <v>0.14553590453867463</v>
      </c>
      <c r="AA46" s="208">
        <f t="shared" si="45"/>
        <v>0.15364265364265364</v>
      </c>
      <c r="AB46" s="208">
        <f t="shared" si="45"/>
        <v>0.1635978835978836</v>
      </c>
      <c r="AC46" s="208">
        <f t="shared" si="45"/>
        <v>0.15068349106203996</v>
      </c>
      <c r="AD46" s="208">
        <f t="shared" si="45"/>
        <v>0.14489175845043675</v>
      </c>
      <c r="AE46" s="208">
        <f t="shared" si="45"/>
        <v>0.14862385321100918</v>
      </c>
      <c r="AF46" s="208">
        <f t="shared" si="45"/>
        <v>0.15738081562320505</v>
      </c>
      <c r="AG46" s="208">
        <f t="shared" si="45"/>
        <v>0.17271377042223637</v>
      </c>
      <c r="AH46" s="208">
        <f t="shared" si="45"/>
        <v>0.15538446639550649</v>
      </c>
      <c r="AI46" s="208">
        <f t="shared" si="45"/>
        <v>0.14629948364888123</v>
      </c>
      <c r="AJ46" s="208">
        <f t="shared" si="45"/>
        <v>0.16584867075664622</v>
      </c>
      <c r="AK46" s="208">
        <f t="shared" si="45"/>
        <v>0.15502183406113537</v>
      </c>
      <c r="AL46" s="208">
        <f t="shared" si="45"/>
        <v>0.1569515557306026</v>
      </c>
      <c r="AM46" s="208">
        <f t="shared" si="45"/>
        <v>0.15586854460093896</v>
      </c>
      <c r="AN46" s="208">
        <f t="shared" si="45"/>
        <v>0.14914472419757832</v>
      </c>
      <c r="AO46" s="208">
        <f t="shared" si="45"/>
        <v>0.15294771968854282</v>
      </c>
      <c r="AP46" s="208">
        <f t="shared" si="45"/>
        <v>0.17448805460750852</v>
      </c>
      <c r="AQ46" s="208">
        <f t="shared" si="45"/>
        <v>0.17758620689655172</v>
      </c>
      <c r="AR46" s="208">
        <f t="shared" si="45"/>
        <v>0.16134176519109156</v>
      </c>
      <c r="AS46" s="857">
        <f t="shared" si="45"/>
        <v>0.13769009453349773</v>
      </c>
      <c r="AT46" s="136">
        <f t="shared" si="45"/>
        <v>0.14519268197742313</v>
      </c>
      <c r="AU46" s="136">
        <f t="shared" si="45"/>
        <v>0.13549257759784075</v>
      </c>
      <c r="AV46" s="858">
        <f t="shared" si="45"/>
        <v>0.12351543942992874</v>
      </c>
      <c r="AW46" s="208">
        <f t="shared" si="45"/>
        <v>0.13465838509316772</v>
      </c>
      <c r="AX46" s="857">
        <f t="shared" si="45"/>
        <v>0.11903590752582391</v>
      </c>
      <c r="AY46" s="136">
        <f t="shared" si="45"/>
        <v>0.13819479857215705</v>
      </c>
      <c r="AZ46" s="136">
        <f t="shared" si="45"/>
        <v>0.14124718256949662</v>
      </c>
      <c r="BA46" s="858">
        <f t="shared" si="45"/>
        <v>0.14296875000000001</v>
      </c>
      <c r="BB46" s="208">
        <f t="shared" si="45"/>
        <v>0.13520005056570381</v>
      </c>
      <c r="BC46" s="857">
        <f t="shared" ref="BC46:CH46" si="46">BC36/BC$38</f>
        <v>0.15006790402897238</v>
      </c>
      <c r="BD46" s="136">
        <f t="shared" si="46"/>
        <v>0.13943731490621916</v>
      </c>
      <c r="BE46" s="136">
        <f t="shared" si="46"/>
        <v>0.12517882689556509</v>
      </c>
      <c r="BF46" s="952">
        <f t="shared" si="46"/>
        <v>0.14157792836398839</v>
      </c>
      <c r="BG46" s="368">
        <f t="shared" si="46"/>
        <v>0.13919980947844726</v>
      </c>
      <c r="BH46" s="857">
        <f t="shared" si="46"/>
        <v>0.14509803921568629</v>
      </c>
      <c r="BI46" s="136">
        <f t="shared" si="46"/>
        <v>0.13373791863340076</v>
      </c>
      <c r="BJ46" s="136">
        <f t="shared" si="46"/>
        <v>0.14375144910734988</v>
      </c>
      <c r="BK46" s="952">
        <f t="shared" si="46"/>
        <v>0.15141955835962145</v>
      </c>
      <c r="BL46" s="368">
        <f t="shared" si="46"/>
        <v>0.14336404738739769</v>
      </c>
      <c r="BM46" s="857">
        <f t="shared" si="46"/>
        <v>0.15320719889247808</v>
      </c>
      <c r="BN46" s="136">
        <f t="shared" si="46"/>
        <v>0.14459522695367338</v>
      </c>
      <c r="BO46" s="136">
        <f t="shared" si="46"/>
        <v>0.15732758620689655</v>
      </c>
      <c r="BP46" s="858">
        <f t="shared" si="46"/>
        <v>0.15228539576365663</v>
      </c>
      <c r="BQ46" s="208">
        <f t="shared" si="46"/>
        <v>0.15197654091242316</v>
      </c>
      <c r="BR46" s="857">
        <f t="shared" si="46"/>
        <v>0.15347826086956523</v>
      </c>
      <c r="BS46" s="136">
        <f t="shared" si="46"/>
        <v>0.13409384416702541</v>
      </c>
      <c r="BT46" s="136">
        <f t="shared" si="46"/>
        <v>0.14285714285714285</v>
      </c>
      <c r="BU46" s="858">
        <f t="shared" si="46"/>
        <v>0.11736474694589878</v>
      </c>
      <c r="BV46" s="208">
        <f t="shared" si="46"/>
        <v>0.13703763181842513</v>
      </c>
      <c r="BW46" s="857">
        <f t="shared" si="46"/>
        <v>0.12509003601440577</v>
      </c>
      <c r="BX46" s="136">
        <f t="shared" si="46"/>
        <v>0.12276103101791175</v>
      </c>
      <c r="BY46" s="136">
        <f t="shared" si="46"/>
        <v>0.14031531531531533</v>
      </c>
      <c r="BZ46" s="858">
        <f t="shared" si="46"/>
        <v>0.1373267067747842</v>
      </c>
      <c r="CA46" s="208">
        <f t="shared" si="46"/>
        <v>0.13118899212042809</v>
      </c>
      <c r="CB46" s="857">
        <f t="shared" si="46"/>
        <v>0.1224739742804654</v>
      </c>
      <c r="CC46" s="136">
        <f t="shared" si="46"/>
        <v>0.11570247933884298</v>
      </c>
      <c r="CD46" s="136">
        <f t="shared" si="46"/>
        <v>0.1366181410974244</v>
      </c>
      <c r="CE46" s="858">
        <f t="shared" si="46"/>
        <v>0.11840909090909091</v>
      </c>
      <c r="CF46" s="208">
        <f t="shared" si="46"/>
        <v>0.12304998408150271</v>
      </c>
      <c r="CG46" s="857">
        <f t="shared" si="46"/>
        <v>0.10411522633744856</v>
      </c>
      <c r="CH46" s="136">
        <f t="shared" si="46"/>
        <v>8.8484848484848486E-2</v>
      </c>
      <c r="CI46" s="136">
        <f t="shared" ref="CI46:CZ46" si="47">CI36/CI$38</f>
        <v>8.5568326947637288E-2</v>
      </c>
      <c r="CJ46" s="858">
        <f t="shared" si="47"/>
        <v>8.4899546338302004E-2</v>
      </c>
      <c r="CK46" s="208">
        <f t="shared" si="47"/>
        <v>9.0871087422270999E-2</v>
      </c>
      <c r="CL46" s="857">
        <f t="shared" si="47"/>
        <v>9.9082934609250398E-2</v>
      </c>
      <c r="CM46" s="136">
        <f t="shared" si="47"/>
        <v>8.851149484495234E-2</v>
      </c>
      <c r="CN46" s="136">
        <f t="shared" si="47"/>
        <v>8.561746091735381E-2</v>
      </c>
      <c r="CO46" s="858">
        <f t="shared" si="47"/>
        <v>8.4951183692153154E-2</v>
      </c>
      <c r="CP46" s="208">
        <f t="shared" si="47"/>
        <v>8.9654291466118918E-2</v>
      </c>
      <c r="CQ46" s="857">
        <f t="shared" si="47"/>
        <v>9.9238105678579269E-2</v>
      </c>
      <c r="CR46" s="136">
        <f t="shared" si="47"/>
        <v>8.8649244413346304E-2</v>
      </c>
      <c r="CS46" s="136">
        <f t="shared" si="47"/>
        <v>8.5757903915489597E-2</v>
      </c>
      <c r="CT46" s="858">
        <f t="shared" si="47"/>
        <v>8.5092619188650215E-2</v>
      </c>
      <c r="CU46" s="208">
        <f t="shared" si="47"/>
        <v>8.979823617965095E-2</v>
      </c>
      <c r="CV46" s="857">
        <f t="shared" si="47"/>
        <v>9.2973407148842335E-2</v>
      </c>
      <c r="CW46" s="136">
        <f t="shared" si="47"/>
        <v>8.3350473941273442E-2</v>
      </c>
      <c r="CX46" s="136">
        <f t="shared" si="47"/>
        <v>8.0467410981953827E-2</v>
      </c>
      <c r="CY46" s="858">
        <f t="shared" si="47"/>
        <v>7.9768094056401853E-2</v>
      </c>
      <c r="CZ46" s="208">
        <f t="shared" si="47"/>
        <v>8.4250597963043836E-2</v>
      </c>
    </row>
    <row r="47" spans="1:104" ht="13.5" customHeight="1" outlineLevel="1">
      <c r="A47" s="819"/>
      <c r="B47" s="66" t="s">
        <v>465</v>
      </c>
      <c r="C47" s="82"/>
      <c r="D47" s="82"/>
      <c r="E47" s="82"/>
      <c r="F47" s="82"/>
      <c r="G47" s="82"/>
      <c r="H47" s="208">
        <f t="shared" ref="H47:BB47" si="48">H37/H$38</f>
        <v>2.0451988955925964E-3</v>
      </c>
      <c r="I47" s="208">
        <f t="shared" si="48"/>
        <v>4.7316896301667875E-2</v>
      </c>
      <c r="J47" s="208">
        <f t="shared" si="48"/>
        <v>6.5828647039364863E-2</v>
      </c>
      <c r="K47" s="208">
        <f t="shared" si="48"/>
        <v>7.5965528247685918E-2</v>
      </c>
      <c r="L47" s="208">
        <f t="shared" si="48"/>
        <v>6.8534773801485482E-2</v>
      </c>
      <c r="M47" s="208">
        <f t="shared" si="48"/>
        <v>7.2590738423028781E-2</v>
      </c>
      <c r="N47" s="208">
        <f t="shared" si="48"/>
        <v>7.0813707974662979E-2</v>
      </c>
      <c r="O47" s="208">
        <f t="shared" si="48"/>
        <v>5.5940594059405942E-2</v>
      </c>
      <c r="P47" s="208">
        <f t="shared" si="48"/>
        <v>5.9195547685302302E-2</v>
      </c>
      <c r="Q47" s="208">
        <f t="shared" si="48"/>
        <v>6.2710235463719372E-2</v>
      </c>
      <c r="R47" s="208">
        <f t="shared" si="48"/>
        <v>6.7672833495618312E-2</v>
      </c>
      <c r="S47" s="208">
        <f t="shared" si="48"/>
        <v>6.1427780852241286E-2</v>
      </c>
      <c r="T47" s="208">
        <f t="shared" si="48"/>
        <v>7.2788827761320354E-2</v>
      </c>
      <c r="U47" s="208">
        <f t="shared" si="48"/>
        <v>7.3159784560143631E-2</v>
      </c>
      <c r="V47" s="208">
        <f t="shared" si="48"/>
        <v>0.1159839715048976</v>
      </c>
      <c r="W47" s="208">
        <f t="shared" si="48"/>
        <v>0.12496960855823</v>
      </c>
      <c r="X47" s="208">
        <f t="shared" si="48"/>
        <v>9.5856524427953005E-2</v>
      </c>
      <c r="Y47" s="208">
        <f t="shared" si="48"/>
        <v>0.12606655290102389</v>
      </c>
      <c r="Z47" s="208">
        <f t="shared" si="48"/>
        <v>0.10462390794800767</v>
      </c>
      <c r="AA47" s="208">
        <f t="shared" si="48"/>
        <v>0.10805860805860806</v>
      </c>
      <c r="AB47" s="208">
        <f t="shared" si="48"/>
        <v>0.11259259259259259</v>
      </c>
      <c r="AC47" s="208">
        <f t="shared" si="48"/>
        <v>0.11277602523659307</v>
      </c>
      <c r="AD47" s="208">
        <f t="shared" si="48"/>
        <v>0.11849601215343715</v>
      </c>
      <c r="AE47" s="208">
        <f t="shared" si="48"/>
        <v>0.11192660550458716</v>
      </c>
      <c r="AF47" s="208">
        <f t="shared" si="48"/>
        <v>0.11698257706299062</v>
      </c>
      <c r="AG47" s="208">
        <f t="shared" si="48"/>
        <v>0.12518565669424994</v>
      </c>
      <c r="AH47" s="208">
        <f t="shared" si="48"/>
        <v>0.11790625605268255</v>
      </c>
      <c r="AI47" s="208">
        <f t="shared" si="48"/>
        <v>0.11952572193536048</v>
      </c>
      <c r="AJ47" s="208">
        <f t="shared" si="48"/>
        <v>0.12413087934560327</v>
      </c>
      <c r="AK47" s="208">
        <f t="shared" si="48"/>
        <v>0.1331877729257642</v>
      </c>
      <c r="AL47" s="208">
        <f t="shared" si="48"/>
        <v>0.12307995273729815</v>
      </c>
      <c r="AM47" s="208">
        <f t="shared" si="48"/>
        <v>0.1249320484309365</v>
      </c>
      <c r="AN47" s="208">
        <f t="shared" si="48"/>
        <v>0.13453776667307324</v>
      </c>
      <c r="AO47" s="208">
        <f t="shared" si="48"/>
        <v>0.1218020022246941</v>
      </c>
      <c r="AP47" s="208">
        <f t="shared" si="48"/>
        <v>0.14462457337883958</v>
      </c>
      <c r="AQ47" s="208">
        <f t="shared" si="48"/>
        <v>0.15344827586206897</v>
      </c>
      <c r="AR47" s="208">
        <f t="shared" si="48"/>
        <v>0.13637613417651911</v>
      </c>
      <c r="AS47" s="857">
        <f t="shared" si="48"/>
        <v>0.14796547472256474</v>
      </c>
      <c r="AT47" s="136">
        <f t="shared" si="48"/>
        <v>0.12144803425457376</v>
      </c>
      <c r="AU47" s="136">
        <f t="shared" si="48"/>
        <v>0.1300944669365722</v>
      </c>
      <c r="AV47" s="858">
        <f t="shared" si="48"/>
        <v>0.13479809976247031</v>
      </c>
      <c r="AW47" s="208">
        <f t="shared" si="48"/>
        <v>0.13316770186335403</v>
      </c>
      <c r="AX47" s="857">
        <f t="shared" si="48"/>
        <v>0.13600590260698475</v>
      </c>
      <c r="AY47" s="136">
        <f t="shared" si="48"/>
        <v>0.15017848036715961</v>
      </c>
      <c r="AZ47" s="136">
        <f t="shared" si="48"/>
        <v>0.13648885549711995</v>
      </c>
      <c r="BA47" s="858">
        <f t="shared" si="48"/>
        <v>0.14114583333333333</v>
      </c>
      <c r="BB47" s="208">
        <f t="shared" si="48"/>
        <v>0.14088869224448516</v>
      </c>
      <c r="BC47" s="857">
        <f t="shared" ref="BC47:CH47" si="49">BC37/BC$38</f>
        <v>0.13354459031235855</v>
      </c>
      <c r="BD47" s="136">
        <f t="shared" si="49"/>
        <v>0.14387956564659427</v>
      </c>
      <c r="BE47" s="136">
        <f t="shared" si="49"/>
        <v>0.1413924654268002</v>
      </c>
      <c r="BF47" s="952">
        <f t="shared" si="49"/>
        <v>0.12391093901258471</v>
      </c>
      <c r="BG47" s="368">
        <f t="shared" si="49"/>
        <v>0.13562753036437247</v>
      </c>
      <c r="BH47" s="857">
        <f t="shared" si="49"/>
        <v>0.13398692810457516</v>
      </c>
      <c r="BI47" s="136">
        <f t="shared" si="49"/>
        <v>0.13576084513373793</v>
      </c>
      <c r="BJ47" s="136">
        <f t="shared" si="49"/>
        <v>0.12984001854857408</v>
      </c>
      <c r="BK47" s="952">
        <f t="shared" si="49"/>
        <v>0.11866051929143412</v>
      </c>
      <c r="BL47" s="368">
        <f t="shared" si="49"/>
        <v>0.12980026326332056</v>
      </c>
      <c r="BM47" s="857">
        <f t="shared" si="49"/>
        <v>0.12921089063221042</v>
      </c>
      <c r="BN47" s="136">
        <f t="shared" si="49"/>
        <v>0.1375760411792232</v>
      </c>
      <c r="BO47" s="136">
        <f t="shared" si="49"/>
        <v>0.12931034482758622</v>
      </c>
      <c r="BP47" s="858">
        <f t="shared" si="49"/>
        <v>0.13712374581939799</v>
      </c>
      <c r="BQ47" s="208">
        <f t="shared" si="49"/>
        <v>0.13325438448091129</v>
      </c>
      <c r="BR47" s="857">
        <f t="shared" si="49"/>
        <v>0.14478260869565218</v>
      </c>
      <c r="BS47" s="136">
        <f t="shared" si="49"/>
        <v>0.13366336633663367</v>
      </c>
      <c r="BT47" s="136">
        <f t="shared" si="49"/>
        <v>0.12698412698412698</v>
      </c>
      <c r="BU47" s="858">
        <f t="shared" si="49"/>
        <v>0.11758289703315881</v>
      </c>
      <c r="BV47" s="208">
        <f t="shared" si="49"/>
        <v>0.13072105347679461</v>
      </c>
      <c r="BW47" s="857">
        <f t="shared" si="49"/>
        <v>0.12364945978391356</v>
      </c>
      <c r="BX47" s="136">
        <f t="shared" si="49"/>
        <v>0.10834425513324596</v>
      </c>
      <c r="BY47" s="136">
        <f t="shared" si="49"/>
        <v>0.11013513513513513</v>
      </c>
      <c r="BZ47" s="858">
        <f t="shared" si="49"/>
        <v>0.10593774522626209</v>
      </c>
      <c r="CA47" s="208">
        <f t="shared" si="49"/>
        <v>0.11201928731036105</v>
      </c>
      <c r="CB47" s="857">
        <f t="shared" si="49"/>
        <v>0.11267605633802817</v>
      </c>
      <c r="CC47" s="136">
        <f t="shared" si="49"/>
        <v>0.11570247933884298</v>
      </c>
      <c r="CD47" s="136">
        <f t="shared" si="49"/>
        <v>9.5408734602463602E-2</v>
      </c>
      <c r="CE47" s="858">
        <f t="shared" si="49"/>
        <v>0.10386363636363637</v>
      </c>
      <c r="CF47" s="208">
        <f t="shared" si="49"/>
        <v>0.10734373341823199</v>
      </c>
      <c r="CG47" s="857">
        <f t="shared" si="49"/>
        <v>0.11584362139917695</v>
      </c>
      <c r="CH47" s="136">
        <f t="shared" si="49"/>
        <v>0.13090909090909092</v>
      </c>
      <c r="CI47" s="136">
        <f t="shared" ref="CI47:CZ47" si="50">CI37/CI$38</f>
        <v>0.11174968071519796</v>
      </c>
      <c r="CJ47" s="858">
        <f t="shared" si="50"/>
        <v>0.11082307193778354</v>
      </c>
      <c r="CK47" s="208">
        <f t="shared" si="50"/>
        <v>0.11752103255473689</v>
      </c>
      <c r="CL47" s="857">
        <f t="shared" si="50"/>
        <v>0.10865231259968101</v>
      </c>
      <c r="CM47" s="136">
        <f t="shared" si="50"/>
        <v>0.13223232187150818</v>
      </c>
      <c r="CN47" s="136">
        <f t="shared" si="50"/>
        <v>0.11291006241112835</v>
      </c>
      <c r="CO47" s="858">
        <f t="shared" si="50"/>
        <v>0.11197763795613631</v>
      </c>
      <c r="CP47" s="208">
        <f t="shared" si="50"/>
        <v>0.11657725047773791</v>
      </c>
      <c r="CQ47" s="857">
        <f t="shared" si="50"/>
        <v>0.10882247000970965</v>
      </c>
      <c r="CR47" s="136">
        <f t="shared" si="50"/>
        <v>0.13243811373275105</v>
      </c>
      <c r="CS47" s="136">
        <f t="shared" si="50"/>
        <v>0.11309527495439713</v>
      </c>
      <c r="CT47" s="858">
        <f t="shared" si="50"/>
        <v>0.1121640698824799</v>
      </c>
      <c r="CU47" s="208">
        <f t="shared" si="50"/>
        <v>0.11676442142795072</v>
      </c>
      <c r="CV47" s="857">
        <f t="shared" si="50"/>
        <v>0.10195273017327783</v>
      </c>
      <c r="CW47" s="136">
        <f t="shared" si="50"/>
        <v>0.12452198121444076</v>
      </c>
      <c r="CX47" s="136">
        <f t="shared" si="50"/>
        <v>0.10611831160006713</v>
      </c>
      <c r="CY47" s="858">
        <f t="shared" si="50"/>
        <v>0.10514559501686918</v>
      </c>
      <c r="CZ47" s="208">
        <f t="shared" si="50"/>
        <v>0.10955084135987689</v>
      </c>
    </row>
    <row r="48" spans="1:104" ht="13.5" customHeight="1">
      <c r="A48" s="820"/>
      <c r="B48" s="79"/>
      <c r="C48" s="79" t="s">
        <v>274</v>
      </c>
      <c r="D48" s="79"/>
      <c r="E48" s="79"/>
      <c r="F48" s="79"/>
      <c r="G48" s="79"/>
      <c r="H48" s="213">
        <f t="shared" ref="H48:BB48" si="51">H38/H$38</f>
        <v>1</v>
      </c>
      <c r="I48" s="213">
        <f t="shared" si="51"/>
        <v>1</v>
      </c>
      <c r="J48" s="213">
        <f t="shared" si="51"/>
        <v>1</v>
      </c>
      <c r="K48" s="213">
        <f t="shared" si="51"/>
        <v>1</v>
      </c>
      <c r="L48" s="213">
        <f t="shared" si="51"/>
        <v>1</v>
      </c>
      <c r="M48" s="213">
        <f t="shared" si="51"/>
        <v>1</v>
      </c>
      <c r="N48" s="213">
        <f t="shared" si="51"/>
        <v>1</v>
      </c>
      <c r="O48" s="213">
        <f t="shared" si="51"/>
        <v>1</v>
      </c>
      <c r="P48" s="213">
        <f t="shared" si="51"/>
        <v>1</v>
      </c>
      <c r="Q48" s="213">
        <f t="shared" si="51"/>
        <v>1</v>
      </c>
      <c r="R48" s="213">
        <f t="shared" si="51"/>
        <v>1</v>
      </c>
      <c r="S48" s="213">
        <f t="shared" si="51"/>
        <v>1</v>
      </c>
      <c r="T48" s="213">
        <f t="shared" si="51"/>
        <v>1</v>
      </c>
      <c r="U48" s="213">
        <f t="shared" si="51"/>
        <v>1</v>
      </c>
      <c r="V48" s="213">
        <f t="shared" si="51"/>
        <v>1</v>
      </c>
      <c r="W48" s="213">
        <f t="shared" si="51"/>
        <v>1</v>
      </c>
      <c r="X48" s="213">
        <f t="shared" si="51"/>
        <v>1</v>
      </c>
      <c r="Y48" s="213">
        <f t="shared" si="51"/>
        <v>1</v>
      </c>
      <c r="Z48" s="213">
        <f t="shared" si="51"/>
        <v>1</v>
      </c>
      <c r="AA48" s="213">
        <f t="shared" si="51"/>
        <v>1</v>
      </c>
      <c r="AB48" s="213">
        <f t="shared" si="51"/>
        <v>1</v>
      </c>
      <c r="AC48" s="213">
        <f t="shared" si="51"/>
        <v>1</v>
      </c>
      <c r="AD48" s="213">
        <f t="shared" si="51"/>
        <v>1</v>
      </c>
      <c r="AE48" s="213">
        <f t="shared" si="51"/>
        <v>1</v>
      </c>
      <c r="AF48" s="213">
        <f t="shared" si="51"/>
        <v>1</v>
      </c>
      <c r="AG48" s="213">
        <f t="shared" si="51"/>
        <v>1</v>
      </c>
      <c r="AH48" s="213">
        <f t="shared" si="51"/>
        <v>1</v>
      </c>
      <c r="AI48" s="213">
        <f t="shared" si="51"/>
        <v>1</v>
      </c>
      <c r="AJ48" s="213">
        <f t="shared" si="51"/>
        <v>1</v>
      </c>
      <c r="AK48" s="213">
        <f t="shared" si="51"/>
        <v>1</v>
      </c>
      <c r="AL48" s="213">
        <f t="shared" si="51"/>
        <v>1</v>
      </c>
      <c r="AM48" s="213">
        <f t="shared" si="51"/>
        <v>1</v>
      </c>
      <c r="AN48" s="213">
        <f t="shared" si="51"/>
        <v>1</v>
      </c>
      <c r="AO48" s="213">
        <f t="shared" si="51"/>
        <v>1</v>
      </c>
      <c r="AP48" s="213">
        <f t="shared" si="51"/>
        <v>1</v>
      </c>
      <c r="AQ48" s="213">
        <f t="shared" si="51"/>
        <v>1</v>
      </c>
      <c r="AR48" s="213">
        <f t="shared" si="51"/>
        <v>1</v>
      </c>
      <c r="AS48" s="867">
        <f t="shared" si="51"/>
        <v>1</v>
      </c>
      <c r="AT48" s="868">
        <f t="shared" si="51"/>
        <v>1</v>
      </c>
      <c r="AU48" s="868">
        <f t="shared" si="51"/>
        <v>1</v>
      </c>
      <c r="AV48" s="869">
        <f t="shared" si="51"/>
        <v>1</v>
      </c>
      <c r="AW48" s="213">
        <f t="shared" si="51"/>
        <v>1</v>
      </c>
      <c r="AX48" s="867">
        <f t="shared" si="51"/>
        <v>1</v>
      </c>
      <c r="AY48" s="868">
        <f t="shared" si="51"/>
        <v>1</v>
      </c>
      <c r="AZ48" s="868">
        <f t="shared" si="51"/>
        <v>1</v>
      </c>
      <c r="BA48" s="869">
        <f t="shared" si="51"/>
        <v>1</v>
      </c>
      <c r="BB48" s="213">
        <f t="shared" si="51"/>
        <v>1</v>
      </c>
      <c r="BC48" s="867">
        <f t="shared" ref="BC48:CH48" si="52">BC38/BC$38</f>
        <v>1</v>
      </c>
      <c r="BD48" s="868">
        <f t="shared" si="52"/>
        <v>1</v>
      </c>
      <c r="BE48" s="868">
        <f t="shared" si="52"/>
        <v>1</v>
      </c>
      <c r="BF48" s="958">
        <f t="shared" si="52"/>
        <v>1</v>
      </c>
      <c r="BG48" s="370">
        <f t="shared" si="52"/>
        <v>1</v>
      </c>
      <c r="BH48" s="867">
        <f t="shared" si="52"/>
        <v>1</v>
      </c>
      <c r="BI48" s="868">
        <f t="shared" si="52"/>
        <v>1</v>
      </c>
      <c r="BJ48" s="868">
        <f t="shared" si="52"/>
        <v>1</v>
      </c>
      <c r="BK48" s="958">
        <f t="shared" si="52"/>
        <v>1</v>
      </c>
      <c r="BL48" s="370">
        <f t="shared" si="52"/>
        <v>1</v>
      </c>
      <c r="BM48" s="867">
        <f t="shared" si="52"/>
        <v>1</v>
      </c>
      <c r="BN48" s="868">
        <f t="shared" si="52"/>
        <v>1</v>
      </c>
      <c r="BO48" s="868">
        <f t="shared" si="52"/>
        <v>1</v>
      </c>
      <c r="BP48" s="869">
        <f t="shared" si="52"/>
        <v>1</v>
      </c>
      <c r="BQ48" s="213">
        <f t="shared" si="52"/>
        <v>1</v>
      </c>
      <c r="BR48" s="867">
        <f t="shared" si="52"/>
        <v>1</v>
      </c>
      <c r="BS48" s="868">
        <f t="shared" si="52"/>
        <v>1</v>
      </c>
      <c r="BT48" s="868">
        <f t="shared" si="52"/>
        <v>1</v>
      </c>
      <c r="BU48" s="869">
        <f t="shared" si="52"/>
        <v>1</v>
      </c>
      <c r="BV48" s="213">
        <f t="shared" si="52"/>
        <v>1</v>
      </c>
      <c r="BW48" s="867">
        <f t="shared" si="52"/>
        <v>1</v>
      </c>
      <c r="BX48" s="868">
        <f t="shared" si="52"/>
        <v>1</v>
      </c>
      <c r="BY48" s="868">
        <f t="shared" si="52"/>
        <v>1</v>
      </c>
      <c r="BZ48" s="869">
        <f t="shared" si="52"/>
        <v>1</v>
      </c>
      <c r="CA48" s="213">
        <f t="shared" si="52"/>
        <v>1</v>
      </c>
      <c r="CB48" s="867">
        <f t="shared" si="52"/>
        <v>1</v>
      </c>
      <c r="CC48" s="868">
        <f t="shared" si="52"/>
        <v>1</v>
      </c>
      <c r="CD48" s="868">
        <f t="shared" si="52"/>
        <v>1</v>
      </c>
      <c r="CE48" s="869">
        <f t="shared" si="52"/>
        <v>1</v>
      </c>
      <c r="CF48" s="213">
        <f t="shared" si="52"/>
        <v>1</v>
      </c>
      <c r="CG48" s="867">
        <f t="shared" si="52"/>
        <v>1</v>
      </c>
      <c r="CH48" s="868">
        <f t="shared" si="52"/>
        <v>1</v>
      </c>
      <c r="CI48" s="868">
        <f t="shared" ref="CI48:CZ48" si="53">CI38/CI$38</f>
        <v>1</v>
      </c>
      <c r="CJ48" s="869">
        <f t="shared" si="53"/>
        <v>1</v>
      </c>
      <c r="CK48" s="213">
        <f t="shared" si="53"/>
        <v>1</v>
      </c>
      <c r="CL48" s="867">
        <f t="shared" si="53"/>
        <v>1</v>
      </c>
      <c r="CM48" s="868">
        <f t="shared" si="53"/>
        <v>1</v>
      </c>
      <c r="CN48" s="868">
        <f t="shared" si="53"/>
        <v>1</v>
      </c>
      <c r="CO48" s="869">
        <f t="shared" si="53"/>
        <v>1</v>
      </c>
      <c r="CP48" s="213">
        <f t="shared" si="53"/>
        <v>1</v>
      </c>
      <c r="CQ48" s="867">
        <f t="shared" si="53"/>
        <v>1</v>
      </c>
      <c r="CR48" s="868">
        <f t="shared" si="53"/>
        <v>1</v>
      </c>
      <c r="CS48" s="868">
        <f t="shared" si="53"/>
        <v>1</v>
      </c>
      <c r="CT48" s="869">
        <f t="shared" si="53"/>
        <v>1</v>
      </c>
      <c r="CU48" s="213">
        <f t="shared" si="53"/>
        <v>1</v>
      </c>
      <c r="CV48" s="867">
        <f t="shared" si="53"/>
        <v>1</v>
      </c>
      <c r="CW48" s="868">
        <f t="shared" si="53"/>
        <v>1</v>
      </c>
      <c r="CX48" s="868">
        <f t="shared" si="53"/>
        <v>1</v>
      </c>
      <c r="CY48" s="869">
        <f t="shared" si="53"/>
        <v>1</v>
      </c>
      <c r="CZ48" s="213">
        <f t="shared" si="53"/>
        <v>1</v>
      </c>
    </row>
    <row r="49" spans="1:104" ht="6.2" customHeight="1">
      <c r="A49" s="819"/>
      <c r="B49" s="66"/>
      <c r="C49" s="82"/>
      <c r="D49" s="82"/>
      <c r="E49" s="82"/>
      <c r="F49" s="82"/>
      <c r="G49" s="82"/>
      <c r="H49" s="66"/>
      <c r="I49" s="66"/>
      <c r="J49" s="208"/>
      <c r="K49" s="208"/>
      <c r="L49" s="208"/>
      <c r="M49" s="208"/>
      <c r="N49" s="66"/>
      <c r="O49" s="208"/>
      <c r="P49" s="208"/>
      <c r="Q49" s="208"/>
      <c r="R49" s="208"/>
      <c r="S49" s="208"/>
      <c r="T49" s="208"/>
      <c r="U49" s="208"/>
      <c r="V49" s="208"/>
      <c r="W49" s="208"/>
      <c r="X49" s="208"/>
      <c r="Y49" s="208"/>
      <c r="Z49" s="208"/>
      <c r="AA49" s="208"/>
      <c r="AB49" s="208"/>
      <c r="AC49" s="66"/>
      <c r="AD49" s="208"/>
      <c r="AE49" s="208"/>
      <c r="AF49" s="208"/>
      <c r="AG49" s="208"/>
      <c r="AH49" s="66"/>
      <c r="AI49" s="208"/>
      <c r="AJ49" s="208"/>
      <c r="AK49" s="208"/>
      <c r="AL49" s="208"/>
      <c r="AM49" s="66"/>
      <c r="AN49" s="208"/>
      <c r="AO49" s="208"/>
      <c r="AP49" s="208"/>
      <c r="AQ49" s="208"/>
      <c r="AR49" s="66"/>
      <c r="AS49" s="857"/>
      <c r="AT49" s="136"/>
      <c r="AU49" s="136"/>
      <c r="AV49" s="858"/>
      <c r="AW49" s="66"/>
      <c r="AX49" s="857"/>
      <c r="AY49" s="136"/>
      <c r="AZ49" s="136"/>
      <c r="BA49" s="858"/>
      <c r="BB49" s="66"/>
      <c r="BC49" s="857"/>
      <c r="BD49" s="136"/>
      <c r="BE49" s="136"/>
      <c r="BF49" s="952"/>
      <c r="BG49" s="362"/>
      <c r="BH49" s="857"/>
      <c r="BI49" s="136"/>
      <c r="BJ49" s="136"/>
      <c r="BK49" s="858"/>
      <c r="BL49" s="66"/>
      <c r="BM49" s="857"/>
      <c r="BN49" s="136"/>
      <c r="BO49" s="136"/>
      <c r="BP49" s="858"/>
      <c r="BQ49" s="66"/>
      <c r="BR49" s="857"/>
      <c r="BS49" s="136"/>
      <c r="BT49" s="136"/>
      <c r="BU49" s="858"/>
      <c r="BV49" s="66"/>
      <c r="BW49" s="859"/>
      <c r="BX49" s="20"/>
      <c r="BY49" s="20"/>
      <c r="BZ49" s="860"/>
      <c r="CA49" s="66"/>
      <c r="CB49" s="859"/>
      <c r="CC49" s="20"/>
      <c r="CD49" s="20"/>
      <c r="CE49" s="944"/>
      <c r="CF49" s="453"/>
      <c r="CG49" s="981"/>
      <c r="CH49" s="495"/>
      <c r="CI49" s="20"/>
      <c r="CJ49" s="944"/>
      <c r="CK49" s="453"/>
      <c r="CL49" s="859"/>
      <c r="CM49" s="20"/>
      <c r="CN49" s="20"/>
      <c r="CO49" s="860"/>
      <c r="CP49" s="66"/>
      <c r="CQ49" s="859"/>
      <c r="CR49" s="20"/>
      <c r="CS49" s="20"/>
      <c r="CT49" s="860"/>
      <c r="CU49" s="66"/>
      <c r="CV49" s="859"/>
      <c r="CW49" s="20"/>
      <c r="CX49" s="20"/>
      <c r="CY49" s="860"/>
      <c r="CZ49" s="66"/>
    </row>
    <row r="50" spans="1:104" ht="13.5" customHeight="1">
      <c r="A50" s="820" t="s">
        <v>644</v>
      </c>
      <c r="B50" s="66"/>
      <c r="C50" s="82"/>
      <c r="D50" s="82"/>
      <c r="E50" s="82"/>
      <c r="F50" s="82"/>
      <c r="G50" s="82"/>
      <c r="H50" s="66"/>
      <c r="I50" s="66"/>
      <c r="J50" s="208"/>
      <c r="K50" s="208"/>
      <c r="L50" s="208"/>
      <c r="M50" s="208"/>
      <c r="N50" s="66"/>
      <c r="O50" s="208"/>
      <c r="P50" s="208"/>
      <c r="Q50" s="208"/>
      <c r="R50" s="208"/>
      <c r="S50" s="208"/>
      <c r="T50" s="208"/>
      <c r="U50" s="208"/>
      <c r="V50" s="208"/>
      <c r="W50" s="208"/>
      <c r="X50" s="208"/>
      <c r="Y50" s="208"/>
      <c r="Z50" s="208"/>
      <c r="AA50" s="208"/>
      <c r="AB50" s="208"/>
      <c r="AC50" s="66"/>
      <c r="AD50" s="208"/>
      <c r="AE50" s="208"/>
      <c r="AF50" s="208"/>
      <c r="AG50" s="208"/>
      <c r="AH50" s="66"/>
      <c r="AI50" s="208"/>
      <c r="AJ50" s="208"/>
      <c r="AK50" s="208"/>
      <c r="AL50" s="208"/>
      <c r="AM50" s="101"/>
      <c r="AN50" s="208"/>
      <c r="AO50" s="208"/>
      <c r="AP50" s="208"/>
      <c r="AQ50" s="208"/>
      <c r="AR50" s="66"/>
      <c r="AS50" s="857"/>
      <c r="AT50" s="136"/>
      <c r="AU50" s="136"/>
      <c r="AV50" s="858"/>
      <c r="AW50" s="66"/>
      <c r="AX50" s="857"/>
      <c r="AY50" s="136"/>
      <c r="AZ50" s="136"/>
      <c r="BA50" s="858"/>
      <c r="BB50" s="66"/>
      <c r="BC50" s="857"/>
      <c r="BD50" s="136"/>
      <c r="BE50" s="136"/>
      <c r="BF50" s="952"/>
      <c r="BG50" s="362"/>
      <c r="BH50" s="857"/>
      <c r="BI50" s="136"/>
      <c r="BJ50" s="136"/>
      <c r="BK50" s="858"/>
      <c r="BL50" s="66"/>
      <c r="BM50" s="857"/>
      <c r="BN50" s="136"/>
      <c r="BO50" s="136"/>
      <c r="BP50" s="858"/>
      <c r="BQ50" s="66"/>
      <c r="BR50" s="857"/>
      <c r="BS50" s="136"/>
      <c r="BT50" s="136"/>
      <c r="BU50" s="858"/>
      <c r="BV50" s="66"/>
      <c r="BW50" s="859"/>
      <c r="BX50" s="20"/>
      <c r="BY50" s="20"/>
      <c r="BZ50" s="860"/>
      <c r="CA50" s="66"/>
      <c r="CB50" s="859"/>
      <c r="CC50" s="20"/>
      <c r="CD50" s="20"/>
      <c r="CE50" s="944"/>
      <c r="CF50" s="453"/>
      <c r="CG50" s="981"/>
      <c r="CH50" s="495"/>
      <c r="CI50" s="20"/>
      <c r="CJ50" s="944"/>
      <c r="CK50" s="453"/>
      <c r="CL50" s="859"/>
      <c r="CM50" s="20"/>
      <c r="CN50" s="20"/>
      <c r="CO50" s="860"/>
      <c r="CP50" s="66"/>
      <c r="CQ50" s="859"/>
      <c r="CR50" s="20"/>
      <c r="CS50" s="20"/>
      <c r="CT50" s="860"/>
      <c r="CU50" s="66"/>
      <c r="CV50" s="859"/>
      <c r="CW50" s="20"/>
      <c r="CX50" s="20"/>
      <c r="CY50" s="860"/>
      <c r="CZ50" s="66"/>
    </row>
    <row r="51" spans="1:104" ht="13.5" customHeight="1">
      <c r="A51" s="819"/>
      <c r="B51" s="453" t="s">
        <v>462</v>
      </c>
      <c r="C51" s="82"/>
      <c r="D51" s="82"/>
      <c r="E51" s="82"/>
      <c r="F51" s="82"/>
      <c r="G51" s="82"/>
      <c r="H51" s="542">
        <v>5900</v>
      </c>
      <c r="I51" s="542">
        <v>6000</v>
      </c>
      <c r="J51" s="549">
        <f>N51*90/365</f>
        <v>2071.2328767123286</v>
      </c>
      <c r="K51" s="549">
        <f>N51*91/365</f>
        <v>2094.2465753424658</v>
      </c>
      <c r="L51" s="549">
        <f>N51*92/365</f>
        <v>2117.2602739726026</v>
      </c>
      <c r="M51" s="549">
        <f>N51*92/365</f>
        <v>2117.2602739726026</v>
      </c>
      <c r="N51" s="530">
        <v>8400</v>
      </c>
      <c r="O51" s="549">
        <f>S51*90/365</f>
        <v>2145.205479452055</v>
      </c>
      <c r="P51" s="549">
        <f>S51*91/365</f>
        <v>2169.0410958904108</v>
      </c>
      <c r="Q51" s="549">
        <f>S51*92/365</f>
        <v>2192.8767123287671</v>
      </c>
      <c r="R51" s="549">
        <f>S51*92/365</f>
        <v>2192.8767123287671</v>
      </c>
      <c r="S51" s="530">
        <v>8700</v>
      </c>
      <c r="T51" s="549">
        <f>X51*90/365</f>
        <v>2243.8356164383563</v>
      </c>
      <c r="U51" s="549">
        <f>X51*91/365</f>
        <v>2268.7671232876714</v>
      </c>
      <c r="V51" s="549">
        <f>X51*92/365</f>
        <v>2293.6986301369861</v>
      </c>
      <c r="W51" s="549">
        <f>X51*92/365</f>
        <v>2293.6986301369861</v>
      </c>
      <c r="X51" s="530">
        <v>9100</v>
      </c>
      <c r="Y51" s="549">
        <f>AC51*90/365</f>
        <v>2663.0136986301368</v>
      </c>
      <c r="Z51" s="549">
        <f>AC51*91/365</f>
        <v>2692.6027397260273</v>
      </c>
      <c r="AA51" s="549">
        <f>AC51*92/365</f>
        <v>2722.1917808219177</v>
      </c>
      <c r="AB51" s="549">
        <f>AC51*92/365</f>
        <v>2722.1917808219177</v>
      </c>
      <c r="AC51" s="530">
        <v>10800</v>
      </c>
      <c r="AD51" s="549">
        <f>AH51*90/365</f>
        <v>2663.0136986301368</v>
      </c>
      <c r="AE51" s="549">
        <f>AH51*91/365</f>
        <v>2692.6027397260273</v>
      </c>
      <c r="AF51" s="549">
        <f>AH51*92/365</f>
        <v>2722.1917808219177</v>
      </c>
      <c r="AG51" s="549">
        <f>AH51*92/365</f>
        <v>2722.1917808219177</v>
      </c>
      <c r="AH51" s="530">
        <v>10800</v>
      </c>
      <c r="AI51" s="549">
        <f>AM51*90/365</f>
        <v>2663.0136986301368</v>
      </c>
      <c r="AJ51" s="549">
        <f>AM51*91/365</f>
        <v>2692.6027397260273</v>
      </c>
      <c r="AK51" s="549">
        <f>AM51*92/365</f>
        <v>2722.1917808219177</v>
      </c>
      <c r="AL51" s="549">
        <f>AM51*92/365</f>
        <v>2722.1917808219177</v>
      </c>
      <c r="AM51" s="530">
        <v>10800</v>
      </c>
      <c r="AN51" s="549">
        <f>AR51*90/365</f>
        <v>2663.0136986301368</v>
      </c>
      <c r="AO51" s="549">
        <f>AR51*91/365</f>
        <v>2692.6027397260273</v>
      </c>
      <c r="AP51" s="549">
        <f>AR51*92/365</f>
        <v>2722.1917808219177</v>
      </c>
      <c r="AQ51" s="549">
        <f>AR51*92/365</f>
        <v>2722.1917808219177</v>
      </c>
      <c r="AR51" s="530">
        <v>10800</v>
      </c>
      <c r="AS51" s="838">
        <f>AW51*90/365</f>
        <v>2684.9014824544943</v>
      </c>
      <c r="AT51" s="598">
        <f>AW51*91/365</f>
        <v>2714.7337211484332</v>
      </c>
      <c r="AU51" s="598">
        <f>AW51*92/365</f>
        <v>2744.5659598423722</v>
      </c>
      <c r="AV51" s="839">
        <f>AW51*92/365</f>
        <v>2744.5659598423722</v>
      </c>
      <c r="AW51" s="555">
        <f>AQ51*4</f>
        <v>10888.767123287671</v>
      </c>
      <c r="AX51" s="838">
        <f>BB51*90/365</f>
        <v>2663.0136986301368</v>
      </c>
      <c r="AY51" s="598">
        <f>BB51*91/365</f>
        <v>2692.6027397260273</v>
      </c>
      <c r="AZ51" s="598">
        <f>BB51*92/365</f>
        <v>2722.1917808219177</v>
      </c>
      <c r="BA51" s="839">
        <f>BB51*92/365</f>
        <v>2722.1917808219177</v>
      </c>
      <c r="BB51" s="500">
        <v>10800</v>
      </c>
      <c r="BC51" s="838">
        <f>BG51*90/365</f>
        <v>2663.0136986301368</v>
      </c>
      <c r="BD51" s="598">
        <f>BG51*91/365</f>
        <v>2692.6027397260273</v>
      </c>
      <c r="BE51" s="598">
        <f>BG51*92/365</f>
        <v>2722.1917808219177</v>
      </c>
      <c r="BF51" s="910">
        <f>BG51*92/365</f>
        <v>2722.1917808219177</v>
      </c>
      <c r="BG51" s="549">
        <f>BB51</f>
        <v>10800</v>
      </c>
      <c r="BH51" s="838">
        <f>BL51*90/365</f>
        <v>2786.3013698630139</v>
      </c>
      <c r="BI51" s="598">
        <f>BL51*91/365</f>
        <v>2817.2602739726026</v>
      </c>
      <c r="BJ51" s="598">
        <f>BL51*92/365</f>
        <v>2848.2191780821918</v>
      </c>
      <c r="BK51" s="839">
        <f>BL51*92/365</f>
        <v>2848.2191780821918</v>
      </c>
      <c r="BL51" s="555">
        <f>BG51+500</f>
        <v>11300</v>
      </c>
      <c r="BM51" s="838">
        <f>BQ51*90/365</f>
        <v>2786.3013698630139</v>
      </c>
      <c r="BN51" s="598">
        <f>BQ51*91/365</f>
        <v>2817.2602739726026</v>
      </c>
      <c r="BO51" s="598">
        <f>BQ51*92/365</f>
        <v>2848.2191780821918</v>
      </c>
      <c r="BP51" s="839">
        <f>BQ51*92/365</f>
        <v>2848.2191780821918</v>
      </c>
      <c r="BQ51" s="206">
        <f>BL51</f>
        <v>11300</v>
      </c>
      <c r="BR51" s="838">
        <f>BM51</f>
        <v>2786.3013698630139</v>
      </c>
      <c r="BS51" s="598">
        <f>BN51</f>
        <v>2817.2602739726026</v>
      </c>
      <c r="BT51" s="598">
        <f>BO51</f>
        <v>2848.2191780821918</v>
      </c>
      <c r="BU51" s="903">
        <f>BP51+1800/4</f>
        <v>3298.2191780821918</v>
      </c>
      <c r="BV51" s="399">
        <f>SUM(BR51:BU51)</f>
        <v>11750</v>
      </c>
      <c r="BW51" s="838">
        <f>CA51/365*BW$106</f>
        <v>3230.1369863013701</v>
      </c>
      <c r="BX51" s="598">
        <f>CA51/365*BX$106</f>
        <v>3266.0273972602745</v>
      </c>
      <c r="BY51" s="598">
        <f>CA51/365*BY$106</f>
        <v>3301.9178082191784</v>
      </c>
      <c r="BZ51" s="839">
        <f>CA51/365*BZ$106</f>
        <v>3301.9178082191784</v>
      </c>
      <c r="CA51" s="770">
        <v>13100</v>
      </c>
      <c r="CB51" s="838">
        <f>CF51/365*CB$106</f>
        <v>3266.0273972602745</v>
      </c>
      <c r="CC51" s="598">
        <f>CF51/365*CC$106</f>
        <v>3266.0273972602745</v>
      </c>
      <c r="CD51" s="598">
        <f>CF51/365*CD$106</f>
        <v>3301.9178082191784</v>
      </c>
      <c r="CE51" s="839">
        <f>CF51/365*CE$106</f>
        <v>3301.9178082191784</v>
      </c>
      <c r="CF51" s="2">
        <v>13100</v>
      </c>
      <c r="CG51" s="838">
        <f>CK51/365*CG$106</f>
        <v>3230.1369863013701</v>
      </c>
      <c r="CH51" s="598">
        <f>CK51/365*CH$106</f>
        <v>3266.0273972602745</v>
      </c>
      <c r="CI51" s="598">
        <f>CK51/365*CI$106</f>
        <v>3301.9178082191784</v>
      </c>
      <c r="CJ51" s="839">
        <f>CK51/365*CJ$106</f>
        <v>3301.9178082191784</v>
      </c>
      <c r="CK51" s="788">
        <v>13100</v>
      </c>
      <c r="CL51" s="838">
        <f>CP51*90/365</f>
        <v>3230.1369863013697</v>
      </c>
      <c r="CM51" s="598">
        <f>CP51*91/365</f>
        <v>3266.027397260274</v>
      </c>
      <c r="CN51" s="598">
        <f>CP51*92/365</f>
        <v>3301.9178082191779</v>
      </c>
      <c r="CO51" s="839">
        <f>CP51*92/365</f>
        <v>3301.9178082191779</v>
      </c>
      <c r="CP51" s="788">
        <v>13100</v>
      </c>
      <c r="CQ51" s="838">
        <f>CU51*90/365</f>
        <v>3230.1369863013697</v>
      </c>
      <c r="CR51" s="598">
        <f>CU51*91/365</f>
        <v>3266.027397260274</v>
      </c>
      <c r="CS51" s="598">
        <f>CU51*92/365</f>
        <v>3301.9178082191779</v>
      </c>
      <c r="CT51" s="839">
        <f>CU51*92/365</f>
        <v>3301.9178082191779</v>
      </c>
      <c r="CU51" s="788">
        <v>13100</v>
      </c>
      <c r="CV51" s="838">
        <f>CZ51*90/365</f>
        <v>3526.027397260274</v>
      </c>
      <c r="CW51" s="598">
        <f>CZ51*91/365</f>
        <v>3565.205479452055</v>
      </c>
      <c r="CX51" s="598">
        <f>CZ51*92/365</f>
        <v>3604.3835616438355</v>
      </c>
      <c r="CY51" s="839">
        <f>CZ51*92/365</f>
        <v>3604.3835616438355</v>
      </c>
      <c r="CZ51" s="1308">
        <f>+CU51+500+500+200</f>
        <v>14300</v>
      </c>
    </row>
    <row r="52" spans="1:104" ht="13.5" customHeight="1">
      <c r="A52" s="819"/>
      <c r="B52" s="66" t="s">
        <v>463</v>
      </c>
      <c r="C52" s="82"/>
      <c r="D52" s="82"/>
      <c r="E52" s="82"/>
      <c r="F52" s="82"/>
      <c r="G52" s="82"/>
      <c r="H52" s="542">
        <v>3000</v>
      </c>
      <c r="I52" s="542">
        <v>3700</v>
      </c>
      <c r="J52" s="549">
        <f>N52*90/365</f>
        <v>1430.1369863013699</v>
      </c>
      <c r="K52" s="549">
        <f>N52*91/365</f>
        <v>1446.027397260274</v>
      </c>
      <c r="L52" s="549">
        <f>N52*92/365</f>
        <v>1461.9178082191781</v>
      </c>
      <c r="M52" s="549">
        <f>N52*92/365</f>
        <v>1461.9178082191781</v>
      </c>
      <c r="N52" s="530">
        <v>5800</v>
      </c>
      <c r="O52" s="549">
        <f>S52*90/365</f>
        <v>1479.4520547945206</v>
      </c>
      <c r="P52" s="549">
        <f>S52*91/365</f>
        <v>1495.8904109589041</v>
      </c>
      <c r="Q52" s="549">
        <f>S52*92/365</f>
        <v>1512.3287671232877</v>
      </c>
      <c r="R52" s="549">
        <f>S52*92/365</f>
        <v>1512.3287671232877</v>
      </c>
      <c r="S52" s="530">
        <v>6000</v>
      </c>
      <c r="T52" s="549">
        <f>X52*90/365</f>
        <v>1553.4246575342465</v>
      </c>
      <c r="U52" s="549">
        <f>X52*91/365</f>
        <v>1570.6849315068494</v>
      </c>
      <c r="V52" s="549">
        <f>X52*92/365</f>
        <v>1587.9452054794519</v>
      </c>
      <c r="W52" s="549">
        <f>X52*92/365</f>
        <v>1587.9452054794519</v>
      </c>
      <c r="X52" s="530">
        <v>6300</v>
      </c>
      <c r="Y52" s="549">
        <f>AC52*90/365</f>
        <v>1843.1506849315069</v>
      </c>
      <c r="Z52" s="549">
        <f>AC52*91/365</f>
        <v>1863.6301369863013</v>
      </c>
      <c r="AA52" s="549">
        <f>AC52*92/365</f>
        <v>1884.1095890410959</v>
      </c>
      <c r="AB52" s="549">
        <f>AC52*92/365</f>
        <v>1884.1095890410959</v>
      </c>
      <c r="AC52" s="530">
        <v>7475</v>
      </c>
      <c r="AD52" s="549">
        <f>AH52*90/365</f>
        <v>1962.7397260273972</v>
      </c>
      <c r="AE52" s="549">
        <f>AH52*91/365</f>
        <v>1984.5479452054794</v>
      </c>
      <c r="AF52" s="549">
        <f>AH52*92/365</f>
        <v>2006.3561643835617</v>
      </c>
      <c r="AG52" s="549">
        <f>AH52*92/365</f>
        <v>2006.3561643835617</v>
      </c>
      <c r="AH52" s="530">
        <v>7960</v>
      </c>
      <c r="AI52" s="549">
        <f>AM52*90/365</f>
        <v>1987.3972602739725</v>
      </c>
      <c r="AJ52" s="549">
        <f>AM52*91/365</f>
        <v>2009.4794520547946</v>
      </c>
      <c r="AK52" s="549">
        <f>AM52*92/365</f>
        <v>2031.5616438356165</v>
      </c>
      <c r="AL52" s="549">
        <f>AM52*92/365</f>
        <v>2031.5616438356165</v>
      </c>
      <c r="AM52" s="530">
        <v>8060</v>
      </c>
      <c r="AN52" s="549">
        <f>AR52*90/365</f>
        <v>2196.9863013698632</v>
      </c>
      <c r="AO52" s="549">
        <f>AR52*91/365</f>
        <v>2221.3972602739727</v>
      </c>
      <c r="AP52" s="549">
        <f>AR52*92/365</f>
        <v>2245.8082191780823</v>
      </c>
      <c r="AQ52" s="549">
        <f>AR52*92/365</f>
        <v>2245.8082191780823</v>
      </c>
      <c r="AR52" s="530">
        <v>8910</v>
      </c>
      <c r="AS52" s="838">
        <f>AW52*90/365</f>
        <v>2196.9863013698632</v>
      </c>
      <c r="AT52" s="598">
        <f>AW52*91/365</f>
        <v>2221.3972602739727</v>
      </c>
      <c r="AU52" s="598">
        <f>AW52*92/365</f>
        <v>2245.8082191780823</v>
      </c>
      <c r="AV52" s="839">
        <f>AW52*92/365</f>
        <v>2245.8082191780823</v>
      </c>
      <c r="AW52" s="555">
        <f>AR52</f>
        <v>8910</v>
      </c>
      <c r="AX52" s="838">
        <f>BB52*90/365</f>
        <v>2246.3013698630139</v>
      </c>
      <c r="AY52" s="598">
        <f>BB52*91/365</f>
        <v>2271.2602739726026</v>
      </c>
      <c r="AZ52" s="598">
        <f>BB52*92/365</f>
        <v>2296.2191780821918</v>
      </c>
      <c r="BA52" s="839">
        <f>BB52*92/365</f>
        <v>2296.2191780821918</v>
      </c>
      <c r="BB52" s="500">
        <v>9110</v>
      </c>
      <c r="BC52" s="838">
        <f>BG52*90/365</f>
        <v>2246.3013698630139</v>
      </c>
      <c r="BD52" s="598">
        <f>BG52*91/365</f>
        <v>2271.2602739726026</v>
      </c>
      <c r="BE52" s="598">
        <f>BG52*92/365</f>
        <v>2296.2191780821918</v>
      </c>
      <c r="BF52" s="910">
        <f>BG52*92/365</f>
        <v>2296.2191780821918</v>
      </c>
      <c r="BG52" s="549">
        <f>BB52</f>
        <v>9110</v>
      </c>
      <c r="BH52" s="838">
        <f>BL52*90/365</f>
        <v>2246.3013698630139</v>
      </c>
      <c r="BI52" s="598">
        <f>BL52*91/365</f>
        <v>2271.2602739726026</v>
      </c>
      <c r="BJ52" s="598">
        <f>BL52*92/365</f>
        <v>2296.2191780821918</v>
      </c>
      <c r="BK52" s="839">
        <f>BL52*92/365</f>
        <v>2296.2191780821918</v>
      </c>
      <c r="BL52" s="555">
        <f>BG52</f>
        <v>9110</v>
      </c>
      <c r="BM52" s="838">
        <f>BQ52*90/365</f>
        <v>2246.3013698630139</v>
      </c>
      <c r="BN52" s="598">
        <f>BQ52*91/365</f>
        <v>2271.2602739726026</v>
      </c>
      <c r="BO52" s="598">
        <f>BQ52*92/365</f>
        <v>2296.2191780821918</v>
      </c>
      <c r="BP52" s="839">
        <f>BQ52*92/365</f>
        <v>2296.2191780821918</v>
      </c>
      <c r="BQ52" s="206">
        <f>BL52</f>
        <v>9110</v>
      </c>
      <c r="BR52" s="838">
        <f>BV52*90/365</f>
        <v>2246.3013698630139</v>
      </c>
      <c r="BS52" s="598">
        <f>BV52*91/365</f>
        <v>2271.2602739726026</v>
      </c>
      <c r="BT52" s="598">
        <f>BV52*92/365</f>
        <v>2296.2191780821918</v>
      </c>
      <c r="BU52" s="839">
        <f>BV52*92/365</f>
        <v>2296.2191780821918</v>
      </c>
      <c r="BV52" s="371">
        <f>BQ52</f>
        <v>9110</v>
      </c>
      <c r="BW52" s="838">
        <f>CA52/365*BW$106</f>
        <v>2246.3013698630139</v>
      </c>
      <c r="BX52" s="598">
        <f>CA52/365*BX$106</f>
        <v>2271.260273972603</v>
      </c>
      <c r="BY52" s="598">
        <f>CA52/365*BY$106</f>
        <v>2296.2191780821918</v>
      </c>
      <c r="BZ52" s="839">
        <f>CA52/365*BZ$106</f>
        <v>2296.2191780821918</v>
      </c>
      <c r="CA52" s="770">
        <v>9110</v>
      </c>
      <c r="CB52" s="838">
        <f>CF52/365*CB$106</f>
        <v>2271.260273972603</v>
      </c>
      <c r="CC52" s="598">
        <f>CF52/365*CC$106</f>
        <v>2271.260273972603</v>
      </c>
      <c r="CD52" s="598">
        <f>CF52/365*CD$106</f>
        <v>2296.2191780821918</v>
      </c>
      <c r="CE52" s="839">
        <f>CF52/365*CE$106</f>
        <v>2296.2191780821918</v>
      </c>
      <c r="CF52" s="2">
        <v>9110</v>
      </c>
      <c r="CG52" s="838">
        <f>CK52/365*CG$106</f>
        <v>2246.3013698630139</v>
      </c>
      <c r="CH52" s="598">
        <f>CK52/365*CH$106</f>
        <v>2271.260273972603</v>
      </c>
      <c r="CI52" s="598">
        <f>CK52/365*CI$106</f>
        <v>2296.2191780821918</v>
      </c>
      <c r="CJ52" s="839">
        <f>CK52/365*CJ$106</f>
        <v>2296.2191780821918</v>
      </c>
      <c r="CK52" s="788">
        <v>9110</v>
      </c>
      <c r="CL52" s="838">
        <f>CP52*90/365</f>
        <v>2246.3013698630139</v>
      </c>
      <c r="CM52" s="598">
        <f>CP52*91/365</f>
        <v>2271.2602739726026</v>
      </c>
      <c r="CN52" s="598">
        <f>CP52*92/365</f>
        <v>2296.2191780821918</v>
      </c>
      <c r="CO52" s="839">
        <f>CP52*92/365</f>
        <v>2296.2191780821918</v>
      </c>
      <c r="CP52" s="788">
        <v>9110</v>
      </c>
      <c r="CQ52" s="838">
        <f>CU52*90/365</f>
        <v>2246.3013698630139</v>
      </c>
      <c r="CR52" s="598">
        <f>CU52*91/365</f>
        <v>2271.2602739726026</v>
      </c>
      <c r="CS52" s="598">
        <f>CU52*92/365</f>
        <v>2296.2191780821918</v>
      </c>
      <c r="CT52" s="839">
        <f>CU52*92/365</f>
        <v>2296.2191780821918</v>
      </c>
      <c r="CU52" s="788">
        <v>9110</v>
      </c>
      <c r="CV52" s="838">
        <f>CZ52*90/365</f>
        <v>2455.8904109589039</v>
      </c>
      <c r="CW52" s="598">
        <f>CZ52*91/365</f>
        <v>2483.178082191781</v>
      </c>
      <c r="CX52" s="598">
        <f>CZ52*92/365</f>
        <v>2510.4657534246576</v>
      </c>
      <c r="CY52" s="839">
        <f>CZ52*92/365</f>
        <v>2510.4657534246576</v>
      </c>
      <c r="CZ52" s="1308">
        <f>+CU52+500+350</f>
        <v>9960</v>
      </c>
    </row>
    <row r="53" spans="1:104" ht="13.5" customHeight="1">
      <c r="A53" s="819"/>
      <c r="B53" s="66" t="s">
        <v>464</v>
      </c>
      <c r="C53" s="82"/>
      <c r="D53" s="82"/>
      <c r="E53" s="82"/>
      <c r="F53" s="82"/>
      <c r="G53" s="82"/>
      <c r="H53" s="542">
        <v>2900</v>
      </c>
      <c r="I53" s="542">
        <v>2900</v>
      </c>
      <c r="J53" s="549">
        <f>N53*90/365</f>
        <v>789.04109589041093</v>
      </c>
      <c r="K53" s="549">
        <f>N53*91/365</f>
        <v>797.80821917808214</v>
      </c>
      <c r="L53" s="549">
        <f>N53*92/365</f>
        <v>806.57534246575347</v>
      </c>
      <c r="M53" s="549">
        <f>N53*92/365</f>
        <v>806.57534246575347</v>
      </c>
      <c r="N53" s="530">
        <v>3200</v>
      </c>
      <c r="O53" s="549">
        <f>S53*90/365</f>
        <v>789.04109589041093</v>
      </c>
      <c r="P53" s="549">
        <f>S53*91/365</f>
        <v>797.80821917808214</v>
      </c>
      <c r="Q53" s="549">
        <f>S53*92/365</f>
        <v>806.57534246575347</v>
      </c>
      <c r="R53" s="549">
        <f>S53*92/365</f>
        <v>806.57534246575347</v>
      </c>
      <c r="S53" s="530">
        <v>3200</v>
      </c>
      <c r="T53" s="549">
        <f>X53*90/365</f>
        <v>789.04109589041093</v>
      </c>
      <c r="U53" s="549">
        <f>X53*91/365</f>
        <v>797.80821917808214</v>
      </c>
      <c r="V53" s="549">
        <f>X53*92/365</f>
        <v>806.57534246575347</v>
      </c>
      <c r="W53" s="549">
        <f>X53*92/365</f>
        <v>806.57534246575347</v>
      </c>
      <c r="X53" s="530">
        <v>3200</v>
      </c>
      <c r="Y53" s="549">
        <f>AC53*90/365</f>
        <v>912.32876712328766</v>
      </c>
      <c r="Z53" s="549">
        <f>AC53*91/365</f>
        <v>922.46575342465758</v>
      </c>
      <c r="AA53" s="549">
        <f>AC53*92/365</f>
        <v>932.60273972602738</v>
      </c>
      <c r="AB53" s="549">
        <f>AC53*92/365</f>
        <v>932.60273972602738</v>
      </c>
      <c r="AC53" s="530">
        <v>3700</v>
      </c>
      <c r="AD53" s="549">
        <f>AH53*90/365</f>
        <v>912.32876712328766</v>
      </c>
      <c r="AE53" s="549">
        <f>AH53*91/365</f>
        <v>922.46575342465758</v>
      </c>
      <c r="AF53" s="549">
        <f>AH53*92/365</f>
        <v>932.60273972602738</v>
      </c>
      <c r="AG53" s="549">
        <f>AH53*92/365</f>
        <v>932.60273972602738</v>
      </c>
      <c r="AH53" s="530">
        <v>3700</v>
      </c>
      <c r="AI53" s="549">
        <f>AM53*90/365</f>
        <v>912.32876712328766</v>
      </c>
      <c r="AJ53" s="549">
        <f>AM53*91/365</f>
        <v>922.46575342465758</v>
      </c>
      <c r="AK53" s="549">
        <f>AM53*92/365</f>
        <v>932.60273972602738</v>
      </c>
      <c r="AL53" s="549">
        <f>AM53*92/365</f>
        <v>932.60273972602738</v>
      </c>
      <c r="AM53" s="530">
        <v>3700</v>
      </c>
      <c r="AN53" s="549">
        <f>AR53*90/365</f>
        <v>912.32876712328766</v>
      </c>
      <c r="AO53" s="549">
        <f>AR53*91/365</f>
        <v>922.46575342465758</v>
      </c>
      <c r="AP53" s="549">
        <f>AR53*92/365</f>
        <v>932.60273972602738</v>
      </c>
      <c r="AQ53" s="549">
        <f>AR53*92/365</f>
        <v>932.60273972602738</v>
      </c>
      <c r="AR53" s="555">
        <f>AM53</f>
        <v>3700</v>
      </c>
      <c r="AS53" s="838">
        <f>AW53*90/365</f>
        <v>912.32876712328766</v>
      </c>
      <c r="AT53" s="598">
        <f>AW53*91/365</f>
        <v>922.46575342465758</v>
      </c>
      <c r="AU53" s="598">
        <f>AW53*92/365</f>
        <v>932.60273972602738</v>
      </c>
      <c r="AV53" s="839">
        <f>AW53*92/365</f>
        <v>932.60273972602738</v>
      </c>
      <c r="AW53" s="555">
        <f>AR53</f>
        <v>3700</v>
      </c>
      <c r="AX53" s="838">
        <f>BB53*90/365</f>
        <v>912.32876712328766</v>
      </c>
      <c r="AY53" s="598">
        <f>BB53*91/365</f>
        <v>922.46575342465758</v>
      </c>
      <c r="AZ53" s="598">
        <f>BB53*92/365</f>
        <v>932.60273972602738</v>
      </c>
      <c r="BA53" s="839">
        <f>BB53*92/365</f>
        <v>932.60273972602738</v>
      </c>
      <c r="BB53" s="549">
        <f>AW53</f>
        <v>3700</v>
      </c>
      <c r="BC53" s="838">
        <f>BG53*90/365</f>
        <v>912.32876712328766</v>
      </c>
      <c r="BD53" s="598">
        <f>BG53*91/365</f>
        <v>922.46575342465758</v>
      </c>
      <c r="BE53" s="598">
        <f>BG53*92/365</f>
        <v>932.60273972602738</v>
      </c>
      <c r="BF53" s="910">
        <f>BG53*92/365</f>
        <v>932.60273972602738</v>
      </c>
      <c r="BG53" s="549">
        <f>BB53</f>
        <v>3700</v>
      </c>
      <c r="BH53" s="838">
        <f>BL53*90/365</f>
        <v>912.32876712328766</v>
      </c>
      <c r="BI53" s="598">
        <f>BL53*91/365</f>
        <v>922.46575342465758</v>
      </c>
      <c r="BJ53" s="598">
        <f>BL53*92/365</f>
        <v>932.60273972602738</v>
      </c>
      <c r="BK53" s="839">
        <f>BL53*92/365</f>
        <v>932.60273972602738</v>
      </c>
      <c r="BL53" s="555">
        <f>BG53</f>
        <v>3700</v>
      </c>
      <c r="BM53" s="838">
        <f>BQ53*90/365</f>
        <v>912.32876712328766</v>
      </c>
      <c r="BN53" s="598">
        <f>BQ53*91/365</f>
        <v>922.46575342465758</v>
      </c>
      <c r="BO53" s="598">
        <f>BQ53*92/365</f>
        <v>932.60273972602738</v>
      </c>
      <c r="BP53" s="839">
        <f>BQ53*92/365</f>
        <v>932.60273972602738</v>
      </c>
      <c r="BQ53" s="206">
        <f>BL53</f>
        <v>3700</v>
      </c>
      <c r="BR53" s="838">
        <f>BV53*90/365</f>
        <v>912.32876712328766</v>
      </c>
      <c r="BS53" s="598">
        <f>BV53*91/365</f>
        <v>922.46575342465758</v>
      </c>
      <c r="BT53" s="598">
        <f>BV53*92/365</f>
        <v>932.60273972602738</v>
      </c>
      <c r="BU53" s="839">
        <f>BV53*92/365</f>
        <v>932.60273972602738</v>
      </c>
      <c r="BV53" s="206">
        <f>BQ53</f>
        <v>3700</v>
      </c>
      <c r="BW53" s="838">
        <f>CA53/365*BW$106</f>
        <v>912.32876712328766</v>
      </c>
      <c r="BX53" s="598">
        <f>CA53/365*BX$106</f>
        <v>922.46575342465746</v>
      </c>
      <c r="BY53" s="598">
        <f>CA53/365*BY$106</f>
        <v>932.60273972602738</v>
      </c>
      <c r="BZ53" s="839">
        <f>CA53/365*BZ$106</f>
        <v>932.60273972602738</v>
      </c>
      <c r="CA53" s="770">
        <v>3700</v>
      </c>
      <c r="CB53" s="838">
        <f>CF53/365*CB$106</f>
        <v>922.46575342465746</v>
      </c>
      <c r="CC53" s="598">
        <f>CF53/365*CC$106</f>
        <v>922.46575342465746</v>
      </c>
      <c r="CD53" s="598">
        <f>CF53/365*CD$106</f>
        <v>932.60273972602738</v>
      </c>
      <c r="CE53" s="839">
        <f>CF53/365*CE$106</f>
        <v>932.60273972602738</v>
      </c>
      <c r="CF53" s="2">
        <v>3700</v>
      </c>
      <c r="CG53" s="838">
        <f>CK53/365*CG$106</f>
        <v>912.32876712328766</v>
      </c>
      <c r="CH53" s="598">
        <f>CK53/365*CH$106</f>
        <v>922.46575342465746</v>
      </c>
      <c r="CI53" s="598">
        <f>CK53/365*CI$106</f>
        <v>932.60273972602738</v>
      </c>
      <c r="CJ53" s="839">
        <f>CK53/365*CJ$106</f>
        <v>932.60273972602738</v>
      </c>
      <c r="CK53" s="788">
        <v>3700</v>
      </c>
      <c r="CL53" s="838">
        <f>CP53*90/365</f>
        <v>912.32876712328766</v>
      </c>
      <c r="CM53" s="598">
        <f>CP53*91/365</f>
        <v>922.46575342465758</v>
      </c>
      <c r="CN53" s="598">
        <f>CP53*92/365</f>
        <v>932.60273972602738</v>
      </c>
      <c r="CO53" s="839">
        <f>CP53*92/365</f>
        <v>932.60273972602738</v>
      </c>
      <c r="CP53" s="788">
        <v>3700</v>
      </c>
      <c r="CQ53" s="838">
        <f>CU53*90/365</f>
        <v>912.32876712328766</v>
      </c>
      <c r="CR53" s="598">
        <f>CU53*91/365</f>
        <v>922.46575342465758</v>
      </c>
      <c r="CS53" s="598">
        <f>CU53*92/365</f>
        <v>932.60273972602738</v>
      </c>
      <c r="CT53" s="839">
        <f>CU53*92/365</f>
        <v>932.60273972602738</v>
      </c>
      <c r="CU53" s="788">
        <v>3700</v>
      </c>
      <c r="CV53" s="838">
        <f>CZ53*90/365</f>
        <v>912.32876712328766</v>
      </c>
      <c r="CW53" s="598">
        <f>CZ53*91/365</f>
        <v>922.46575342465758</v>
      </c>
      <c r="CX53" s="598">
        <f>CZ53*92/365</f>
        <v>932.60273972602738</v>
      </c>
      <c r="CY53" s="839">
        <f>CZ53*92/365</f>
        <v>932.60273972602738</v>
      </c>
      <c r="CZ53" s="788">
        <v>3700</v>
      </c>
    </row>
    <row r="54" spans="1:104" ht="13.5" customHeight="1">
      <c r="A54" s="821"/>
      <c r="B54" s="77" t="s">
        <v>465</v>
      </c>
      <c r="C54" s="203"/>
      <c r="D54" s="203"/>
      <c r="E54" s="203"/>
      <c r="F54" s="203"/>
      <c r="G54" s="203"/>
      <c r="H54" s="613">
        <v>1000</v>
      </c>
      <c r="I54" s="613">
        <v>1000</v>
      </c>
      <c r="J54" s="603">
        <f>N54*90/365</f>
        <v>295.89041095890411</v>
      </c>
      <c r="K54" s="603">
        <f>N54*91/365</f>
        <v>299.17808219178085</v>
      </c>
      <c r="L54" s="603">
        <f>N54*92/365</f>
        <v>302.46575342465752</v>
      </c>
      <c r="M54" s="603">
        <f>N54*92/365</f>
        <v>302.46575342465752</v>
      </c>
      <c r="N54" s="602">
        <v>1200</v>
      </c>
      <c r="O54" s="603">
        <f>S54*90/365</f>
        <v>295.89041095890411</v>
      </c>
      <c r="P54" s="603">
        <f>S54*91/365</f>
        <v>299.17808219178085</v>
      </c>
      <c r="Q54" s="603">
        <f>S54*92/365</f>
        <v>302.46575342465752</v>
      </c>
      <c r="R54" s="603">
        <f>S54*92/365</f>
        <v>302.46575342465752</v>
      </c>
      <c r="S54" s="602">
        <v>1200</v>
      </c>
      <c r="T54" s="603">
        <f>X54*90/365</f>
        <v>419.17808219178085</v>
      </c>
      <c r="U54" s="603">
        <f>X54*91/365</f>
        <v>423.83561643835617</v>
      </c>
      <c r="V54" s="603">
        <f>X54*92/365</f>
        <v>428.49315068493149</v>
      </c>
      <c r="W54" s="603">
        <f>X54*92/365</f>
        <v>428.49315068493149</v>
      </c>
      <c r="X54" s="602">
        <v>1700</v>
      </c>
      <c r="Y54" s="603">
        <f>AC54*90/365</f>
        <v>690.41095890410963</v>
      </c>
      <c r="Z54" s="603">
        <f>AC54*91/365</f>
        <v>698.08219178082197</v>
      </c>
      <c r="AA54" s="603">
        <f>AC54*92/365</f>
        <v>705.7534246575342</v>
      </c>
      <c r="AB54" s="603">
        <f>AC54*92/365</f>
        <v>705.7534246575342</v>
      </c>
      <c r="AC54" s="602">
        <v>2800</v>
      </c>
      <c r="AD54" s="603">
        <f>AH54*90/365</f>
        <v>690.41095890410963</v>
      </c>
      <c r="AE54" s="603">
        <f>AH54*91/365</f>
        <v>698.08219178082197</v>
      </c>
      <c r="AF54" s="603">
        <f>AH54*92/365</f>
        <v>705.7534246575342</v>
      </c>
      <c r="AG54" s="603">
        <f>AH54*92/365</f>
        <v>705.7534246575342</v>
      </c>
      <c r="AH54" s="602">
        <v>2800</v>
      </c>
      <c r="AI54" s="603">
        <f>AM54*90/365</f>
        <v>690.41095890410963</v>
      </c>
      <c r="AJ54" s="603">
        <f>AM54*91/365</f>
        <v>698.08219178082197</v>
      </c>
      <c r="AK54" s="603">
        <f>AM54*92/365</f>
        <v>705.7534246575342</v>
      </c>
      <c r="AL54" s="603">
        <f>AM54*92/365</f>
        <v>705.7534246575342</v>
      </c>
      <c r="AM54" s="602">
        <v>2800</v>
      </c>
      <c r="AN54" s="603">
        <f>AR54*90/365</f>
        <v>690.41095890410963</v>
      </c>
      <c r="AO54" s="603">
        <f>AR54*91/365</f>
        <v>698.08219178082197</v>
      </c>
      <c r="AP54" s="603">
        <f>AR54*92/365</f>
        <v>705.7534246575342</v>
      </c>
      <c r="AQ54" s="603">
        <f>AR54*92/365</f>
        <v>705.7534246575342</v>
      </c>
      <c r="AR54" s="603">
        <f>AM54</f>
        <v>2800</v>
      </c>
      <c r="AS54" s="870">
        <f>AW54*90/365</f>
        <v>690.41095890410963</v>
      </c>
      <c r="AT54" s="603">
        <f>AW54*91/365</f>
        <v>698.08219178082197</v>
      </c>
      <c r="AU54" s="603">
        <f>AW54*92/365</f>
        <v>705.7534246575342</v>
      </c>
      <c r="AV54" s="871">
        <f>AW54*92/365</f>
        <v>705.7534246575342</v>
      </c>
      <c r="AW54" s="603">
        <f>AR54</f>
        <v>2800</v>
      </c>
      <c r="AX54" s="870">
        <f>BB54*90/365</f>
        <v>690.41095890410963</v>
      </c>
      <c r="AY54" s="603">
        <f>BB54*91/365</f>
        <v>698.08219178082197</v>
      </c>
      <c r="AZ54" s="603">
        <f>BB54*92/365</f>
        <v>705.7534246575342</v>
      </c>
      <c r="BA54" s="871">
        <f>BB54*92/365</f>
        <v>705.7534246575342</v>
      </c>
      <c r="BB54" s="603">
        <f>AW54</f>
        <v>2800</v>
      </c>
      <c r="BC54" s="870">
        <f>BG54*90/365</f>
        <v>690.41095890410963</v>
      </c>
      <c r="BD54" s="603">
        <f>BG54*91/365</f>
        <v>698.08219178082197</v>
      </c>
      <c r="BE54" s="603">
        <f>BG54*92/365</f>
        <v>705.7534246575342</v>
      </c>
      <c r="BF54" s="959">
        <f>BG54*92/365</f>
        <v>705.7534246575342</v>
      </c>
      <c r="BG54" s="603">
        <f>BB54</f>
        <v>2800</v>
      </c>
      <c r="BH54" s="870">
        <f>BL54*90/365</f>
        <v>690.41095890410963</v>
      </c>
      <c r="BI54" s="603">
        <f>BL54*91/365</f>
        <v>698.08219178082197</v>
      </c>
      <c r="BJ54" s="603">
        <f>BL54*92/365</f>
        <v>705.7534246575342</v>
      </c>
      <c r="BK54" s="871">
        <f>BL54*92/365</f>
        <v>705.7534246575342</v>
      </c>
      <c r="BL54" s="603">
        <f>BG54</f>
        <v>2800</v>
      </c>
      <c r="BM54" s="870">
        <f>BQ54*90/365</f>
        <v>690.41095890410963</v>
      </c>
      <c r="BN54" s="603">
        <f>BQ54*91/365</f>
        <v>698.08219178082197</v>
      </c>
      <c r="BO54" s="603">
        <f>BQ54*92/365</f>
        <v>705.7534246575342</v>
      </c>
      <c r="BP54" s="993">
        <f>BQ54*92/365</f>
        <v>705.7534246575342</v>
      </c>
      <c r="BQ54" s="206">
        <f>BL54</f>
        <v>2800</v>
      </c>
      <c r="BR54" s="870">
        <f>BV54*90/365</f>
        <v>690.41095890410963</v>
      </c>
      <c r="BS54" s="603">
        <f>BV54*91/365</f>
        <v>698.08219178082197</v>
      </c>
      <c r="BT54" s="603">
        <f>BV54*92/365</f>
        <v>705.7534246575342</v>
      </c>
      <c r="BU54" s="871">
        <f>BV54*92/365</f>
        <v>705.7534246575342</v>
      </c>
      <c r="BV54" s="206">
        <f>BQ54</f>
        <v>2800</v>
      </c>
      <c r="BW54" s="870">
        <f>CA54/365*BW$106</f>
        <v>715.06849315068496</v>
      </c>
      <c r="BX54" s="603">
        <f>CA54/365*BX$106</f>
        <v>723.01369863013701</v>
      </c>
      <c r="BY54" s="603">
        <f>CA54/365*BY$106</f>
        <v>730.95890410958907</v>
      </c>
      <c r="BZ54" s="871">
        <f>CA54/365*BZ$106</f>
        <v>730.95890410958907</v>
      </c>
      <c r="CA54" s="770">
        <v>2900</v>
      </c>
      <c r="CB54" s="870">
        <f>CF54/365*CB$106</f>
        <v>723.01369863013701</v>
      </c>
      <c r="CC54" s="603">
        <f>CF54/365*CC$106</f>
        <v>723.01369863013701</v>
      </c>
      <c r="CD54" s="603">
        <f>CF54/365*CD$106</f>
        <v>730.95890410958907</v>
      </c>
      <c r="CE54" s="871">
        <f>CF54/365*CE$106</f>
        <v>730.95890410958907</v>
      </c>
      <c r="CF54" s="2">
        <v>2900</v>
      </c>
      <c r="CG54" s="870">
        <f>CK54/365*CG$106</f>
        <v>715.06849315068496</v>
      </c>
      <c r="CH54" s="603">
        <f>CK54/365*CH$106</f>
        <v>723.01369863013701</v>
      </c>
      <c r="CI54" s="603">
        <f>CK54/365*CI$106</f>
        <v>730.95890410958907</v>
      </c>
      <c r="CJ54" s="871">
        <f>CK54/365*CJ$106</f>
        <v>730.95890410958907</v>
      </c>
      <c r="CK54" s="788">
        <v>2900</v>
      </c>
      <c r="CL54" s="870">
        <f>CP54*90/365</f>
        <v>715.06849315068496</v>
      </c>
      <c r="CM54" s="603">
        <f>CP54*91/365</f>
        <v>723.01369863013701</v>
      </c>
      <c r="CN54" s="603">
        <f>CP54*92/365</f>
        <v>730.95890410958907</v>
      </c>
      <c r="CO54" s="871">
        <f>CP54*92/365</f>
        <v>730.95890410958907</v>
      </c>
      <c r="CP54" s="788">
        <v>2900</v>
      </c>
      <c r="CQ54" s="870">
        <f>CU54*90/365</f>
        <v>715.06849315068496</v>
      </c>
      <c r="CR54" s="603">
        <f>CU54*91/365</f>
        <v>723.01369863013701</v>
      </c>
      <c r="CS54" s="603">
        <f>CU54*92/365</f>
        <v>730.95890410958907</v>
      </c>
      <c r="CT54" s="871">
        <f>CU54*92/365</f>
        <v>730.95890410958907</v>
      </c>
      <c r="CU54" s="788">
        <v>2900</v>
      </c>
      <c r="CV54" s="870">
        <f>CZ54*90/365</f>
        <v>715.06849315068496</v>
      </c>
      <c r="CW54" s="603">
        <f>CZ54*91/365</f>
        <v>723.01369863013701</v>
      </c>
      <c r="CX54" s="603">
        <f>CZ54*92/365</f>
        <v>730.95890410958907</v>
      </c>
      <c r="CY54" s="871">
        <f>CZ54*92/365</f>
        <v>730.95890410958907</v>
      </c>
      <c r="CZ54" s="788">
        <v>2900</v>
      </c>
    </row>
    <row r="55" spans="1:104" ht="13.5" customHeight="1">
      <c r="A55" s="820"/>
      <c r="B55" s="79"/>
      <c r="C55" s="79" t="s">
        <v>274</v>
      </c>
      <c r="D55" s="79"/>
      <c r="E55" s="79"/>
      <c r="F55" s="79"/>
      <c r="G55" s="79"/>
      <c r="H55" s="79">
        <f>SUM(H51:H54)</f>
        <v>12800</v>
      </c>
      <c r="I55" s="79">
        <f>SUM(I51:I54)</f>
        <v>13600</v>
      </c>
      <c r="J55" s="215">
        <f>N55/4</f>
        <v>4650</v>
      </c>
      <c r="K55" s="215">
        <f>N55/4</f>
        <v>4650</v>
      </c>
      <c r="L55" s="111">
        <f>N55/4</f>
        <v>4650</v>
      </c>
      <c r="M55" s="111">
        <f>N55/4</f>
        <v>4650</v>
      </c>
      <c r="N55" s="111">
        <f>SUM(N51:N54)</f>
        <v>18600</v>
      </c>
      <c r="O55" s="111">
        <f>S55/4</f>
        <v>4775</v>
      </c>
      <c r="P55" s="111">
        <f>S55/4</f>
        <v>4775</v>
      </c>
      <c r="Q55" s="111">
        <f>S55/4</f>
        <v>4775</v>
      </c>
      <c r="R55" s="111">
        <f>S55/4</f>
        <v>4775</v>
      </c>
      <c r="S55" s="111">
        <f>SUM(S51:S54)</f>
        <v>19100</v>
      </c>
      <c r="T55" s="111">
        <f>X55/4</f>
        <v>5075</v>
      </c>
      <c r="U55" s="111">
        <f>X55/4</f>
        <v>5075</v>
      </c>
      <c r="V55" s="111">
        <f>X55/4</f>
        <v>5075</v>
      </c>
      <c r="W55" s="111">
        <f>X55/4</f>
        <v>5075</v>
      </c>
      <c r="X55" s="111">
        <f>SUM(X51:X54)</f>
        <v>20300</v>
      </c>
      <c r="Y55" s="111">
        <f>AC55/4</f>
        <v>6193.75</v>
      </c>
      <c r="Z55" s="111">
        <f>AC55/4</f>
        <v>6193.75</v>
      </c>
      <c r="AA55" s="111">
        <f>AC55/4</f>
        <v>6193.75</v>
      </c>
      <c r="AB55" s="111">
        <f>AC55/4</f>
        <v>6193.75</v>
      </c>
      <c r="AC55" s="111">
        <f>SUM(AC51:AC54)</f>
        <v>24775</v>
      </c>
      <c r="AD55" s="111">
        <f>AH55/4</f>
        <v>6315</v>
      </c>
      <c r="AE55" s="111">
        <f>AH55/4</f>
        <v>6315</v>
      </c>
      <c r="AF55" s="111">
        <f>AH55/4</f>
        <v>6315</v>
      </c>
      <c r="AG55" s="111">
        <f>AH55/4</f>
        <v>6315</v>
      </c>
      <c r="AH55" s="111">
        <f>SUM(AH51:AH54)</f>
        <v>25260</v>
      </c>
      <c r="AI55" s="111">
        <f>AM55/4</f>
        <v>6340</v>
      </c>
      <c r="AJ55" s="111">
        <f>AM55/4</f>
        <v>6340</v>
      </c>
      <c r="AK55" s="111">
        <f>AM55/4</f>
        <v>6340</v>
      </c>
      <c r="AL55" s="111">
        <f>AM55/4</f>
        <v>6340</v>
      </c>
      <c r="AM55" s="111">
        <f>SUM(AM51:AM54)</f>
        <v>25360</v>
      </c>
      <c r="AN55" s="111">
        <f>AR55/4</f>
        <v>6552.5</v>
      </c>
      <c r="AO55" s="111">
        <f>AR55/4</f>
        <v>6552.5</v>
      </c>
      <c r="AP55" s="111">
        <f>AR55/4</f>
        <v>6552.5</v>
      </c>
      <c r="AQ55" s="111">
        <f>AR55/4</f>
        <v>6552.5</v>
      </c>
      <c r="AR55" s="111">
        <f>SUM(AR51:AR54)</f>
        <v>26210</v>
      </c>
      <c r="AS55" s="872">
        <f>AW55/4</f>
        <v>6574.6917808219177</v>
      </c>
      <c r="AT55" s="112">
        <f>AW55/4</f>
        <v>6574.6917808219177</v>
      </c>
      <c r="AU55" s="112">
        <f>AW55/4</f>
        <v>6574.6917808219177</v>
      </c>
      <c r="AV55" s="873">
        <f>AW55/4</f>
        <v>6574.6917808219177</v>
      </c>
      <c r="AW55" s="111">
        <f>SUM(AW51:AW54)</f>
        <v>26298.767123287671</v>
      </c>
      <c r="AX55" s="872">
        <f>BB55/4</f>
        <v>6602.5</v>
      </c>
      <c r="AY55" s="112">
        <f>BB55/4</f>
        <v>6602.5</v>
      </c>
      <c r="AZ55" s="112">
        <f>BB55/4</f>
        <v>6602.5</v>
      </c>
      <c r="BA55" s="873">
        <f>BB55/4</f>
        <v>6602.5</v>
      </c>
      <c r="BB55" s="111">
        <f>SUM(BB51:BB54)</f>
        <v>26410</v>
      </c>
      <c r="BC55" s="872">
        <f>BG55/4</f>
        <v>6602.5</v>
      </c>
      <c r="BD55" s="112">
        <f>BG55/4</f>
        <v>6602.5</v>
      </c>
      <c r="BE55" s="112">
        <f>BG55/4</f>
        <v>6602.5</v>
      </c>
      <c r="BF55" s="960">
        <f>BG55/4</f>
        <v>6602.5</v>
      </c>
      <c r="BG55" s="371">
        <f>SUM(BG51:BG54)</f>
        <v>26410</v>
      </c>
      <c r="BH55" s="872">
        <f>BL55/4</f>
        <v>6727.5</v>
      </c>
      <c r="BI55" s="112">
        <f>BL55/4</f>
        <v>6727.5</v>
      </c>
      <c r="BJ55" s="112">
        <f>BL55/4</f>
        <v>6727.5</v>
      </c>
      <c r="BK55" s="873">
        <f>BL55/4</f>
        <v>6727.5</v>
      </c>
      <c r="BL55" s="111">
        <f>SUM(BL51:BL54)</f>
        <v>26910</v>
      </c>
      <c r="BM55" s="872">
        <f>BQ55/4</f>
        <v>6727.5</v>
      </c>
      <c r="BN55" s="112">
        <f>BQ55/4</f>
        <v>6727.5</v>
      </c>
      <c r="BO55" s="112">
        <f>BQ55/4</f>
        <v>6727.5</v>
      </c>
      <c r="BP55" s="873">
        <f>BQ55/4</f>
        <v>6727.5</v>
      </c>
      <c r="BQ55" s="503">
        <f>SUM(BQ51:BQ54)</f>
        <v>26910</v>
      </c>
      <c r="BR55" s="872">
        <f>BV55/4</f>
        <v>6840</v>
      </c>
      <c r="BS55" s="112">
        <f>BV55/4</f>
        <v>6840</v>
      </c>
      <c r="BT55" s="112">
        <f>BV55/4</f>
        <v>6840</v>
      </c>
      <c r="BU55" s="873">
        <f>BV55/4</f>
        <v>6840</v>
      </c>
      <c r="BV55" s="503">
        <f t="shared" ref="BV55:CZ55" si="54">SUM(BV51:BV54)</f>
        <v>27360</v>
      </c>
      <c r="BW55" s="872">
        <f t="shared" si="54"/>
        <v>7103.8356164383567</v>
      </c>
      <c r="BX55" s="112">
        <f t="shared" si="54"/>
        <v>7182.7671232876719</v>
      </c>
      <c r="BY55" s="112">
        <f t="shared" si="54"/>
        <v>7261.6986301369861</v>
      </c>
      <c r="BZ55" s="873">
        <f t="shared" si="54"/>
        <v>7261.6986301369861</v>
      </c>
      <c r="CA55" s="503">
        <f t="shared" si="54"/>
        <v>28810</v>
      </c>
      <c r="CB55" s="872">
        <f t="shared" si="54"/>
        <v>7182.7671232876719</v>
      </c>
      <c r="CC55" s="112">
        <f t="shared" si="54"/>
        <v>7182.7671232876719</v>
      </c>
      <c r="CD55" s="112">
        <f t="shared" si="54"/>
        <v>7261.6986301369861</v>
      </c>
      <c r="CE55" s="873">
        <f t="shared" si="54"/>
        <v>7261.6986301369861</v>
      </c>
      <c r="CF55" s="503">
        <f t="shared" si="54"/>
        <v>28810</v>
      </c>
      <c r="CG55" s="872">
        <f t="shared" si="54"/>
        <v>7103.8356164383567</v>
      </c>
      <c r="CH55" s="112">
        <f t="shared" si="54"/>
        <v>7182.7671232876719</v>
      </c>
      <c r="CI55" s="112">
        <f t="shared" si="54"/>
        <v>7261.6986301369861</v>
      </c>
      <c r="CJ55" s="873">
        <f t="shared" si="54"/>
        <v>7261.6986301369861</v>
      </c>
      <c r="CK55" s="1309">
        <f t="shared" si="54"/>
        <v>28810</v>
      </c>
      <c r="CL55" s="872">
        <f t="shared" si="54"/>
        <v>7103.8356164383558</v>
      </c>
      <c r="CM55" s="112">
        <f t="shared" si="54"/>
        <v>7182.767123287671</v>
      </c>
      <c r="CN55" s="112">
        <f t="shared" si="54"/>
        <v>7261.6986301369861</v>
      </c>
      <c r="CO55" s="873">
        <f t="shared" si="54"/>
        <v>7261.6986301369861</v>
      </c>
      <c r="CP55" s="698">
        <f t="shared" si="54"/>
        <v>28810</v>
      </c>
      <c r="CQ55" s="872">
        <f t="shared" si="54"/>
        <v>7103.8356164383558</v>
      </c>
      <c r="CR55" s="112">
        <f t="shared" si="54"/>
        <v>7182.767123287671</v>
      </c>
      <c r="CS55" s="112">
        <f t="shared" si="54"/>
        <v>7261.6986301369861</v>
      </c>
      <c r="CT55" s="873">
        <f t="shared" si="54"/>
        <v>7261.6986301369861</v>
      </c>
      <c r="CU55" s="698">
        <f t="shared" si="54"/>
        <v>28810</v>
      </c>
      <c r="CV55" s="872">
        <f t="shared" si="54"/>
        <v>7609.3150684931497</v>
      </c>
      <c r="CW55" s="112">
        <f t="shared" si="54"/>
        <v>7693.8630136986303</v>
      </c>
      <c r="CX55" s="112">
        <f t="shared" si="54"/>
        <v>7778.41095890411</v>
      </c>
      <c r="CY55" s="873">
        <f t="shared" si="54"/>
        <v>7778.41095890411</v>
      </c>
      <c r="CZ55" s="698">
        <f t="shared" si="54"/>
        <v>30860</v>
      </c>
    </row>
    <row r="56" spans="1:104" ht="6.2" customHeight="1">
      <c r="A56" s="819"/>
      <c r="B56" s="66"/>
      <c r="C56" s="79"/>
      <c r="D56" s="79"/>
      <c r="E56" s="79"/>
      <c r="F56" s="79"/>
      <c r="G56" s="79"/>
      <c r="H56" s="66"/>
      <c r="I56" s="66"/>
      <c r="J56" s="214"/>
      <c r="K56" s="214"/>
      <c r="L56" s="214"/>
      <c r="M56" s="214"/>
      <c r="N56" s="66"/>
      <c r="O56" s="214"/>
      <c r="P56" s="214"/>
      <c r="Q56" s="214"/>
      <c r="R56" s="214"/>
      <c r="S56" s="66"/>
      <c r="T56" s="214"/>
      <c r="U56" s="214"/>
      <c r="V56" s="214"/>
      <c r="W56" s="214"/>
      <c r="X56" s="66"/>
      <c r="Y56" s="214"/>
      <c r="Z56" s="214"/>
      <c r="AA56" s="214"/>
      <c r="AB56" s="214"/>
      <c r="AC56" s="66"/>
      <c r="AD56" s="214"/>
      <c r="AE56" s="214"/>
      <c r="AF56" s="214"/>
      <c r="AG56" s="214"/>
      <c r="AH56" s="137"/>
      <c r="AI56" s="214"/>
      <c r="AJ56" s="214"/>
      <c r="AK56" s="214"/>
      <c r="AL56" s="214"/>
      <c r="AM56" s="137"/>
      <c r="AN56" s="214"/>
      <c r="AO56" s="214"/>
      <c r="AP56" s="214"/>
      <c r="AQ56" s="214"/>
      <c r="AR56" s="137"/>
      <c r="AS56" s="874"/>
      <c r="AT56" s="875"/>
      <c r="AU56" s="875"/>
      <c r="AV56" s="876"/>
      <c r="AW56" s="137"/>
      <c r="AX56" s="874"/>
      <c r="AY56" s="875"/>
      <c r="AZ56" s="875"/>
      <c r="BA56" s="876"/>
      <c r="BB56" s="137"/>
      <c r="BC56" s="874"/>
      <c r="BD56" s="875"/>
      <c r="BE56" s="875"/>
      <c r="BF56" s="961"/>
      <c r="BG56" s="372"/>
      <c r="BH56" s="874"/>
      <c r="BI56" s="875"/>
      <c r="BJ56" s="875"/>
      <c r="BK56" s="876"/>
      <c r="BL56" s="137"/>
      <c r="BM56" s="874"/>
      <c r="BN56" s="875"/>
      <c r="BO56" s="875"/>
      <c r="BP56" s="876"/>
      <c r="BQ56" s="137"/>
      <c r="BR56" s="874"/>
      <c r="BS56" s="875"/>
      <c r="BT56" s="875"/>
      <c r="BU56" s="876"/>
      <c r="BV56" s="137"/>
      <c r="BW56" s="1007"/>
      <c r="BX56" s="151"/>
      <c r="BY56" s="151"/>
      <c r="BZ56" s="1008"/>
      <c r="CA56" s="134"/>
      <c r="CB56" s="1007"/>
      <c r="CC56" s="151"/>
      <c r="CD56" s="151"/>
      <c r="CE56" s="1008"/>
      <c r="CF56" s="137"/>
      <c r="CG56" s="1007"/>
      <c r="CH56" s="151"/>
      <c r="CI56" s="151"/>
      <c r="CJ56" s="1008"/>
      <c r="CK56" s="137"/>
      <c r="CL56" s="1007"/>
      <c r="CM56" s="151"/>
      <c r="CN56" s="151"/>
      <c r="CO56" s="1008"/>
      <c r="CP56" s="137"/>
      <c r="CQ56" s="1007"/>
      <c r="CR56" s="151"/>
      <c r="CS56" s="151"/>
      <c r="CT56" s="1008"/>
      <c r="CU56" s="137"/>
      <c r="CV56" s="1007"/>
      <c r="CW56" s="151"/>
      <c r="CX56" s="151"/>
      <c r="CY56" s="1008"/>
      <c r="CZ56" s="137"/>
    </row>
    <row r="57" spans="1:104" ht="13.5" customHeight="1">
      <c r="A57" s="820" t="s">
        <v>28</v>
      </c>
      <c r="B57" s="66"/>
      <c r="C57" s="66"/>
      <c r="D57" s="66"/>
      <c r="E57" s="66"/>
      <c r="F57" s="66"/>
      <c r="G57" s="66"/>
      <c r="H57" s="66"/>
      <c r="I57" s="66"/>
      <c r="J57" s="66"/>
      <c r="K57" s="66"/>
      <c r="L57" s="66"/>
      <c r="M57" s="66"/>
      <c r="N57" s="66"/>
      <c r="O57" s="66"/>
      <c r="P57" s="66"/>
      <c r="Q57" s="66"/>
      <c r="R57" s="66"/>
      <c r="S57" s="66"/>
      <c r="T57" s="66"/>
      <c r="U57" s="66"/>
      <c r="V57" s="66"/>
      <c r="W57" s="66"/>
      <c r="X57" s="66"/>
      <c r="Y57" s="66"/>
      <c r="Z57" s="66"/>
      <c r="AA57" s="66"/>
      <c r="AB57" s="66"/>
      <c r="AC57" s="66"/>
      <c r="AD57" s="66"/>
      <c r="AE57" s="66"/>
      <c r="AF57" s="66"/>
      <c r="AG57" s="66"/>
      <c r="AH57" s="66"/>
      <c r="AI57" s="66"/>
      <c r="AJ57" s="66"/>
      <c r="AK57" s="66"/>
      <c r="AL57" s="66"/>
      <c r="AM57" s="66"/>
      <c r="AN57" s="66"/>
      <c r="AO57" s="66"/>
      <c r="AP57" s="66"/>
      <c r="AQ57" s="66"/>
      <c r="AR57" s="66"/>
      <c r="AS57" s="859"/>
      <c r="AT57" s="20"/>
      <c r="AU57" s="20"/>
      <c r="AV57" s="860"/>
      <c r="AW57" s="66"/>
      <c r="AX57" s="859"/>
      <c r="AY57" s="20"/>
      <c r="AZ57" s="20"/>
      <c r="BA57" s="860"/>
      <c r="BB57" s="66"/>
      <c r="BC57" s="859"/>
      <c r="BD57" s="20"/>
      <c r="BE57" s="20"/>
      <c r="BF57" s="954"/>
      <c r="BG57" s="362"/>
      <c r="BH57" s="859"/>
      <c r="BI57" s="20"/>
      <c r="BJ57" s="20"/>
      <c r="BK57" s="860"/>
      <c r="BL57" s="66"/>
      <c r="BM57" s="859"/>
      <c r="BN57" s="20"/>
      <c r="BO57" s="20"/>
      <c r="BP57" s="860"/>
      <c r="BQ57" s="66"/>
      <c r="BR57" s="859"/>
      <c r="BS57" s="20"/>
      <c r="BT57" s="20"/>
      <c r="BU57" s="860"/>
      <c r="BV57" s="66"/>
      <c r="BW57" s="859"/>
      <c r="BX57" s="20"/>
      <c r="BY57" s="20"/>
      <c r="BZ57" s="860"/>
      <c r="CA57" s="66"/>
      <c r="CB57" s="859"/>
      <c r="CC57" s="20"/>
      <c r="CD57" s="20"/>
      <c r="CE57" s="944"/>
      <c r="CF57" s="453"/>
      <c r="CG57" s="981"/>
      <c r="CH57" s="495"/>
      <c r="CI57" s="20"/>
      <c r="CJ57" s="944"/>
      <c r="CK57" s="453"/>
      <c r="CL57" s="859"/>
      <c r="CM57" s="20"/>
      <c r="CN57" s="20"/>
      <c r="CO57" s="860"/>
      <c r="CP57" s="66"/>
      <c r="CQ57" s="859"/>
      <c r="CR57" s="20"/>
      <c r="CS57" s="20"/>
      <c r="CT57" s="860"/>
      <c r="CU57" s="66"/>
      <c r="CV57" s="859"/>
      <c r="CW57" s="20"/>
      <c r="CX57" s="20"/>
      <c r="CY57" s="860"/>
      <c r="CZ57" s="66"/>
    </row>
    <row r="58" spans="1:104" ht="13.5" customHeight="1">
      <c r="A58" s="819"/>
      <c r="B58" s="453" t="s">
        <v>645</v>
      </c>
      <c r="C58" s="66"/>
      <c r="D58" s="66"/>
      <c r="E58" s="66"/>
      <c r="F58" s="66"/>
      <c r="G58" s="66"/>
      <c r="H58" s="549">
        <f>H55</f>
        <v>12800</v>
      </c>
      <c r="I58" s="549">
        <f>I55</f>
        <v>13600</v>
      </c>
      <c r="J58" s="549">
        <f>N58*90/365</f>
        <v>4586.3013698630139</v>
      </c>
      <c r="K58" s="549">
        <f>N58*91/365</f>
        <v>4637.2602739726026</v>
      </c>
      <c r="L58" s="549">
        <f>N58*92/365</f>
        <v>4688.2191780821922</v>
      </c>
      <c r="M58" s="549">
        <f>N58*92/365</f>
        <v>4688.2191780821922</v>
      </c>
      <c r="N58" s="549">
        <f>N55</f>
        <v>18600</v>
      </c>
      <c r="O58" s="549">
        <f>S58*90/365</f>
        <v>4709.58904109589</v>
      </c>
      <c r="P58" s="549">
        <f>S58*91/365</f>
        <v>4761.9178082191784</v>
      </c>
      <c r="Q58" s="549">
        <f>S58*92/365</f>
        <v>4814.2465753424658</v>
      </c>
      <c r="R58" s="549">
        <f>S58*92/365</f>
        <v>4814.2465753424658</v>
      </c>
      <c r="S58" s="549">
        <f>S55</f>
        <v>19100</v>
      </c>
      <c r="T58" s="549">
        <f>X58*90/365</f>
        <v>5005.4794520547948</v>
      </c>
      <c r="U58" s="549">
        <f>X58*91/365</f>
        <v>5061.0958904109593</v>
      </c>
      <c r="V58" s="549">
        <f>X58*92/365</f>
        <v>5116.7123287671229</v>
      </c>
      <c r="W58" s="549">
        <f>X58*92/365</f>
        <v>5116.7123287671229</v>
      </c>
      <c r="X58" s="549">
        <f>X55</f>
        <v>20300</v>
      </c>
      <c r="Y58" s="549">
        <f>AC58*90/365</f>
        <v>6108.9041095890407</v>
      </c>
      <c r="Z58" s="549">
        <f>AC58*91/365</f>
        <v>6176.7808219178078</v>
      </c>
      <c r="AA58" s="549">
        <f>AC58*92/365</f>
        <v>6244.6575342465758</v>
      </c>
      <c r="AB58" s="549">
        <f>AC58*92/365</f>
        <v>6244.6575342465758</v>
      </c>
      <c r="AC58" s="549">
        <f>AC55</f>
        <v>24775</v>
      </c>
      <c r="AD58" s="549">
        <f>AH58*90/365</f>
        <v>6228.4931506849316</v>
      </c>
      <c r="AE58" s="549">
        <f>AH58*91/365</f>
        <v>6297.6986301369861</v>
      </c>
      <c r="AF58" s="549">
        <f>AH58*92/365</f>
        <v>6366.9041095890407</v>
      </c>
      <c r="AG58" s="549">
        <f>AH58*92/365</f>
        <v>6366.9041095890407</v>
      </c>
      <c r="AH58" s="549">
        <f>AH55</f>
        <v>25260</v>
      </c>
      <c r="AI58" s="549">
        <f>AM58*90/365</f>
        <v>6253.1506849315065</v>
      </c>
      <c r="AJ58" s="549">
        <f>AM58*91/365</f>
        <v>6322.6301369863013</v>
      </c>
      <c r="AK58" s="549">
        <f>AM58*92/365</f>
        <v>6392.1095890410961</v>
      </c>
      <c r="AL58" s="549">
        <f>AM58*92/365</f>
        <v>6392.1095890410961</v>
      </c>
      <c r="AM58" s="549">
        <f>AM55</f>
        <v>25360</v>
      </c>
      <c r="AN58" s="549">
        <f>AR58*90/365</f>
        <v>6462.7397260273974</v>
      </c>
      <c r="AO58" s="549">
        <f>AR58*91/365</f>
        <v>6534.5479452054797</v>
      </c>
      <c r="AP58" s="549">
        <f>AR58*92/365</f>
        <v>6606.3561643835619</v>
      </c>
      <c r="AQ58" s="549">
        <f>AR58*92/365</f>
        <v>6606.3561643835619</v>
      </c>
      <c r="AR58" s="549">
        <f>AR55</f>
        <v>26210</v>
      </c>
      <c r="AS58" s="838">
        <f>AW58*90/365</f>
        <v>6484.6275098517553</v>
      </c>
      <c r="AT58" s="598">
        <f>AW58*91/365</f>
        <v>6556.6789266278856</v>
      </c>
      <c r="AU58" s="598">
        <f>AW58*92/365</f>
        <v>6628.7303434040159</v>
      </c>
      <c r="AV58" s="839">
        <f>AW58*92/365</f>
        <v>6628.7303434040159</v>
      </c>
      <c r="AW58" s="549">
        <f>AW55</f>
        <v>26298.767123287671</v>
      </c>
      <c r="AX58" s="838">
        <f>BB58*90/365</f>
        <v>6512.0547945205481</v>
      </c>
      <c r="AY58" s="598">
        <f>BB58*91/365</f>
        <v>6584.41095890411</v>
      </c>
      <c r="AZ58" s="598">
        <f>BB58*92/365</f>
        <v>6656.767123287671</v>
      </c>
      <c r="BA58" s="839">
        <f>BB58*92/365</f>
        <v>6656.767123287671</v>
      </c>
      <c r="BB58" s="549">
        <f>BB55</f>
        <v>26410</v>
      </c>
      <c r="BC58" s="838">
        <f>BG58*90/365</f>
        <v>6512.0547945205481</v>
      </c>
      <c r="BD58" s="598">
        <f>BG58*91/365</f>
        <v>6584.41095890411</v>
      </c>
      <c r="BE58" s="598">
        <f>BG58*92/365</f>
        <v>6656.767123287671</v>
      </c>
      <c r="BF58" s="910">
        <f>BG58*92/365</f>
        <v>6656.767123287671</v>
      </c>
      <c r="BG58" s="499">
        <f>BG55</f>
        <v>26410</v>
      </c>
      <c r="BH58" s="838">
        <f>BL58*90/365</f>
        <v>6635.3424657534242</v>
      </c>
      <c r="BI58" s="598">
        <f>BL58*91/365</f>
        <v>6709.0684931506848</v>
      </c>
      <c r="BJ58" s="598">
        <f>BL58*92/365</f>
        <v>6782.7945205479455</v>
      </c>
      <c r="BK58" s="839">
        <f>BL58*92/365</f>
        <v>6782.7945205479455</v>
      </c>
      <c r="BL58" s="499">
        <f>BL55</f>
        <v>26910</v>
      </c>
      <c r="BM58" s="838">
        <f>BQ58*90/365</f>
        <v>6635.3424657534242</v>
      </c>
      <c r="BN58" s="598">
        <f>BQ58*91/365</f>
        <v>6709.0684931506848</v>
      </c>
      <c r="BO58" s="598">
        <f>BQ58*92/365</f>
        <v>6782.7945205479455</v>
      </c>
      <c r="BP58" s="839">
        <f>BQ58*92/365</f>
        <v>6782.7945205479455</v>
      </c>
      <c r="BQ58" s="549">
        <f>BQ55</f>
        <v>26910</v>
      </c>
      <c r="BR58" s="838">
        <f>BV58*90/365</f>
        <v>6746.3013698630139</v>
      </c>
      <c r="BS58" s="598">
        <f>BV58*91/365</f>
        <v>6821.2602739726026</v>
      </c>
      <c r="BT58" s="598">
        <f>BV58*92/365</f>
        <v>6896.2191780821922</v>
      </c>
      <c r="BU58" s="839">
        <f>BV58*92/365</f>
        <v>6896.2191780821922</v>
      </c>
      <c r="BV58" s="549">
        <f>BV55</f>
        <v>27360</v>
      </c>
      <c r="BW58" s="838">
        <f>CA58*90/365</f>
        <v>7103.8356164383558</v>
      </c>
      <c r="BX58" s="598">
        <f>CA58*91/365</f>
        <v>7182.767123287671</v>
      </c>
      <c r="BY58" s="598">
        <f>CA58*92/365</f>
        <v>7261.6986301369861</v>
      </c>
      <c r="BZ58" s="839">
        <f>CA58*92/365</f>
        <v>7261.6986301369861</v>
      </c>
      <c r="CA58" s="549">
        <f>CA55</f>
        <v>28810</v>
      </c>
      <c r="CB58" s="838">
        <f>CF58*90/365</f>
        <v>6583.5616438356165</v>
      </c>
      <c r="CC58" s="598">
        <f>CF58*91/365</f>
        <v>6656.7123287671229</v>
      </c>
      <c r="CD58" s="598">
        <f>CF58*92/365</f>
        <v>6729.8630136986303</v>
      </c>
      <c r="CE58" s="839">
        <f>CF58*92/365</f>
        <v>6729.8630136986303</v>
      </c>
      <c r="CF58" s="500">
        <v>26700</v>
      </c>
      <c r="CG58" s="838">
        <f>CK58*90/365</f>
        <v>6583.5616438356165</v>
      </c>
      <c r="CH58" s="598">
        <f>CK58*91/365</f>
        <v>6656.7123287671229</v>
      </c>
      <c r="CI58" s="598">
        <f>CK58*92/365</f>
        <v>6729.8630136986303</v>
      </c>
      <c r="CJ58" s="839">
        <f>CK58*92/365</f>
        <v>6729.8630136986303</v>
      </c>
      <c r="CK58" s="788">
        <v>26700</v>
      </c>
      <c r="CL58" s="838">
        <f>CP58*90/365</f>
        <v>6583.5616438356165</v>
      </c>
      <c r="CM58" s="598">
        <f>CP58*91/365</f>
        <v>6656.7123287671229</v>
      </c>
      <c r="CN58" s="598">
        <f>CP58*92/365</f>
        <v>6729.8630136986303</v>
      </c>
      <c r="CO58" s="839">
        <f>CP58*92/365</f>
        <v>6729.8630136986303</v>
      </c>
      <c r="CP58" s="788">
        <v>26700</v>
      </c>
      <c r="CQ58" s="838">
        <f>CU58*90/365</f>
        <v>6583.5616438356165</v>
      </c>
      <c r="CR58" s="598">
        <f>CU58*91/365</f>
        <v>6656.7123287671229</v>
      </c>
      <c r="CS58" s="598">
        <f>CU58*92/365</f>
        <v>6729.8630136986303</v>
      </c>
      <c r="CT58" s="839">
        <f>CU58*92/365</f>
        <v>6729.8630136986303</v>
      </c>
      <c r="CU58" s="788">
        <v>26700</v>
      </c>
      <c r="CV58" s="838">
        <f>CZ58*90/365</f>
        <v>6793.1506849315065</v>
      </c>
      <c r="CW58" s="598">
        <f>CZ58*91/365</f>
        <v>6868.6301369863013</v>
      </c>
      <c r="CX58" s="598">
        <f>CZ58*92/365</f>
        <v>6944.1095890410961</v>
      </c>
      <c r="CY58" s="839">
        <f>CZ58*92/365</f>
        <v>6944.1095890410961</v>
      </c>
      <c r="CZ58" s="788">
        <f>+CU58+500+350</f>
        <v>27550</v>
      </c>
    </row>
    <row r="59" spans="1:104" ht="13.5" customHeight="1">
      <c r="A59" s="819"/>
      <c r="B59" s="66" t="s">
        <v>358</v>
      </c>
      <c r="C59" s="66"/>
      <c r="D59" s="66"/>
      <c r="E59" s="66"/>
      <c r="F59" s="66"/>
      <c r="G59" s="66"/>
      <c r="H59" s="542">
        <v>11271</v>
      </c>
      <c r="I59" s="542">
        <v>12316</v>
      </c>
      <c r="J59" s="500">
        <v>3237</v>
      </c>
      <c r="K59" s="500">
        <v>3517</v>
      </c>
      <c r="L59" s="500">
        <v>3280</v>
      </c>
      <c r="M59" s="500">
        <v>3588</v>
      </c>
      <c r="N59" s="549">
        <f>SUM(J59:M59)</f>
        <v>13622</v>
      </c>
      <c r="O59" s="500">
        <v>4258</v>
      </c>
      <c r="P59" s="500">
        <v>4287</v>
      </c>
      <c r="Q59" s="500">
        <v>4470</v>
      </c>
      <c r="R59" s="500">
        <v>4426</v>
      </c>
      <c r="S59" s="549">
        <f>SUM(O59:R59)</f>
        <v>17441</v>
      </c>
      <c r="T59" s="500">
        <v>4960</v>
      </c>
      <c r="U59" s="500">
        <v>5121</v>
      </c>
      <c r="V59" s="500">
        <v>5072</v>
      </c>
      <c r="W59" s="500">
        <v>4584</v>
      </c>
      <c r="X59" s="549">
        <f>SUM(T59:W59)</f>
        <v>19737</v>
      </c>
      <c r="Y59" s="500">
        <v>5108</v>
      </c>
      <c r="Z59" s="500">
        <v>4943</v>
      </c>
      <c r="AA59" s="500">
        <v>5085</v>
      </c>
      <c r="AB59" s="500">
        <v>5196</v>
      </c>
      <c r="AC59" s="549">
        <f>SUM(Y59:AB59)</f>
        <v>20332</v>
      </c>
      <c r="AD59" s="500">
        <v>5791</v>
      </c>
      <c r="AE59" s="500">
        <v>5728</v>
      </c>
      <c r="AF59" s="500">
        <v>5799</v>
      </c>
      <c r="AG59" s="500">
        <v>5064</v>
      </c>
      <c r="AH59" s="549">
        <f>SUM(AD59:AG59)</f>
        <v>22382</v>
      </c>
      <c r="AI59" s="500">
        <v>5585</v>
      </c>
      <c r="AJ59" s="500">
        <v>5518</v>
      </c>
      <c r="AK59" s="500">
        <v>5400</v>
      </c>
      <c r="AL59" s="500">
        <v>5586</v>
      </c>
      <c r="AM59" s="549">
        <f>SUM(AI59:AL59)</f>
        <v>22089</v>
      </c>
      <c r="AN59" s="500">
        <v>5831</v>
      </c>
      <c r="AO59" s="500">
        <v>6043</v>
      </c>
      <c r="AP59" s="500">
        <v>5510</v>
      </c>
      <c r="AQ59" s="500">
        <v>3062</v>
      </c>
      <c r="AR59" s="549">
        <f>SUM(AN59:AQ59)</f>
        <v>20446</v>
      </c>
      <c r="AS59" s="850">
        <v>2879</v>
      </c>
      <c r="AT59" s="509">
        <v>2964</v>
      </c>
      <c r="AU59" s="509">
        <v>4433</v>
      </c>
      <c r="AV59" s="851">
        <v>3722</v>
      </c>
      <c r="AW59" s="549">
        <f>SUM(AS59:AV59)</f>
        <v>13998</v>
      </c>
      <c r="AX59" s="850">
        <v>4712</v>
      </c>
      <c r="AY59" s="509">
        <v>4648</v>
      </c>
      <c r="AZ59" s="509">
        <v>4426</v>
      </c>
      <c r="BA59" s="851">
        <v>4472</v>
      </c>
      <c r="BB59" s="549">
        <f>SUM(AX59:BA59)</f>
        <v>18258</v>
      </c>
      <c r="BC59" s="850">
        <v>5219</v>
      </c>
      <c r="BD59" s="509">
        <v>4667</v>
      </c>
      <c r="BE59" s="509">
        <v>4910</v>
      </c>
      <c r="BF59" s="950">
        <v>4765</v>
      </c>
      <c r="BG59" s="499">
        <f>SUM(BC59:BF59)</f>
        <v>19561</v>
      </c>
      <c r="BH59" s="850">
        <v>5259</v>
      </c>
      <c r="BI59" s="509">
        <v>5061</v>
      </c>
      <c r="BJ59" s="509">
        <v>4819</v>
      </c>
      <c r="BK59" s="851">
        <v>4726</v>
      </c>
      <c r="BL59" s="549">
        <f>SUM(BH59:BK59)</f>
        <v>19865</v>
      </c>
      <c r="BM59" s="850">
        <v>4818</v>
      </c>
      <c r="BN59" s="509">
        <v>4892</v>
      </c>
      <c r="BO59" s="509">
        <v>5202</v>
      </c>
      <c r="BP59" s="851">
        <v>4988</v>
      </c>
      <c r="BQ59" s="549">
        <f>SUM(BM59:BP59)</f>
        <v>19900</v>
      </c>
      <c r="BR59" s="850">
        <v>5194</v>
      </c>
      <c r="BS59" s="509">
        <v>5324</v>
      </c>
      <c r="BT59" s="509">
        <v>5412</v>
      </c>
      <c r="BU59" s="851">
        <v>5205</v>
      </c>
      <c r="BV59" s="549">
        <f>SUM(BR59:BU59)</f>
        <v>21135</v>
      </c>
      <c r="BW59" s="850">
        <v>4758</v>
      </c>
      <c r="BX59" s="509">
        <v>5196</v>
      </c>
      <c r="BY59" s="509">
        <v>4942</v>
      </c>
      <c r="BZ59" s="851">
        <v>4398</v>
      </c>
      <c r="CA59" s="549">
        <f>SUM(BW59:BZ59)</f>
        <v>19294</v>
      </c>
      <c r="CB59" s="1003">
        <v>5390</v>
      </c>
      <c r="CC59" s="509">
        <v>5890</v>
      </c>
      <c r="CD59" s="509">
        <v>5012</v>
      </c>
      <c r="CE59" s="851">
        <v>4990</v>
      </c>
      <c r="CF59" s="549">
        <f>SUM(CB59:CE59)</f>
        <v>21282</v>
      </c>
      <c r="CG59" s="1024">
        <f>CG60*0.96</f>
        <v>5901.12</v>
      </c>
      <c r="CH59" s="1025">
        <f>CH60*0.96</f>
        <v>6093.12</v>
      </c>
      <c r="CI59" s="1025">
        <f>CI60*0.96</f>
        <v>5918.4</v>
      </c>
      <c r="CJ59" s="1294">
        <f>CJ60*0.96</f>
        <v>5816.6399999999994</v>
      </c>
      <c r="CK59" s="549">
        <f>SUM(CG59:CJ59)</f>
        <v>23729.279999999999</v>
      </c>
      <c r="CL59" s="838">
        <f>CL60*0.96</f>
        <v>6017.28</v>
      </c>
      <c r="CM59" s="598">
        <f>CM60*0.96</f>
        <v>6055.0439502392337</v>
      </c>
      <c r="CN59" s="598">
        <f>CN60*0.96</f>
        <v>5745.2188095693773</v>
      </c>
      <c r="CO59" s="839">
        <f>CO60*0.96</f>
        <v>5660.6457952153105</v>
      </c>
      <c r="CP59" s="549">
        <f>SUM(CL59:CO59)</f>
        <v>23478.18855502392</v>
      </c>
      <c r="CQ59" s="838">
        <f>CQ60*0.96</f>
        <v>6128.0286622009562</v>
      </c>
      <c r="CR59" s="598">
        <f>CR60*0.96</f>
        <v>6166.5478914449759</v>
      </c>
      <c r="CS59" s="598">
        <f>CS60*0.96</f>
        <v>5850.5262479617222</v>
      </c>
      <c r="CT59" s="839">
        <f>CT60*0.96</f>
        <v>5764.2617733205743</v>
      </c>
      <c r="CU59" s="549">
        <f>SUM(CQ59:CT59)</f>
        <v>23909.36457492823</v>
      </c>
      <c r="CV59" s="838">
        <f>CV60*0.96</f>
        <v>6671.7640465454533</v>
      </c>
      <c r="CW59" s="598">
        <f>CW60*0.96</f>
        <v>6689.7400947291862</v>
      </c>
      <c r="CX59" s="598">
        <f>CX60*0.96</f>
        <v>6359.884566176459</v>
      </c>
      <c r="CY59" s="839">
        <f>CY60*0.96</f>
        <v>6272.0071294009558</v>
      </c>
      <c r="CZ59" s="549">
        <f>SUM(CV59:CY59)</f>
        <v>25993.395836852054</v>
      </c>
    </row>
    <row r="60" spans="1:104" ht="13.5" customHeight="1">
      <c r="A60" s="819"/>
      <c r="B60" s="1305" t="s">
        <v>31</v>
      </c>
      <c r="C60" s="66"/>
      <c r="D60" s="66"/>
      <c r="E60" s="66"/>
      <c r="F60" s="66"/>
      <c r="G60" s="66"/>
      <c r="H60" s="542">
        <v>10980</v>
      </c>
      <c r="I60" s="542">
        <v>12141</v>
      </c>
      <c r="J60" s="500">
        <v>3272</v>
      </c>
      <c r="K60" s="500">
        <v>3393</v>
      </c>
      <c r="L60" s="500">
        <v>3321</v>
      </c>
      <c r="M60" s="500">
        <v>3452</v>
      </c>
      <c r="N60" s="549">
        <f>SUM(J60:M60)</f>
        <v>13438</v>
      </c>
      <c r="O60" s="500">
        <v>4346</v>
      </c>
      <c r="P60" s="500">
        <v>4297</v>
      </c>
      <c r="Q60" s="500">
        <v>4546</v>
      </c>
      <c r="R60" s="500">
        <v>4467</v>
      </c>
      <c r="S60" s="549">
        <f>SUM(O60:R60)</f>
        <v>17656</v>
      </c>
      <c r="T60" s="500">
        <v>5145</v>
      </c>
      <c r="U60" s="500">
        <v>4905</v>
      </c>
      <c r="V60" s="500">
        <v>4968</v>
      </c>
      <c r="W60" s="500">
        <v>4446</v>
      </c>
      <c r="X60" s="549">
        <f>SUM(T60:W60)</f>
        <v>19464</v>
      </c>
      <c r="Y60" s="500">
        <v>5043</v>
      </c>
      <c r="Z60" s="500">
        <v>5103</v>
      </c>
      <c r="AA60" s="500">
        <v>5358</v>
      </c>
      <c r="AB60" s="500">
        <v>5165</v>
      </c>
      <c r="AC60" s="549">
        <f>SUM(Y60:AB60)</f>
        <v>20669</v>
      </c>
      <c r="AD60" s="500">
        <v>5721</v>
      </c>
      <c r="AE60" s="500">
        <v>5895</v>
      </c>
      <c r="AF60" s="500">
        <v>5670</v>
      </c>
      <c r="AG60" s="500">
        <v>5060</v>
      </c>
      <c r="AH60" s="549">
        <f>SUM(AD60:AG60)</f>
        <v>22346</v>
      </c>
      <c r="AI60" s="500">
        <v>5660</v>
      </c>
      <c r="AJ60" s="500">
        <v>5407</v>
      </c>
      <c r="AK60" s="500">
        <v>5596</v>
      </c>
      <c r="AL60" s="500">
        <v>5684</v>
      </c>
      <c r="AM60" s="549">
        <f>SUM(AI60:AL60)</f>
        <v>22347</v>
      </c>
      <c r="AN60" s="500">
        <v>5951</v>
      </c>
      <c r="AO60" s="500">
        <v>6117</v>
      </c>
      <c r="AP60" s="500">
        <v>5438</v>
      </c>
      <c r="AQ60" s="500">
        <v>3426</v>
      </c>
      <c r="AR60" s="549">
        <f>SUM(AN60:AQ60)</f>
        <v>20932</v>
      </c>
      <c r="AS60" s="850">
        <v>2808</v>
      </c>
      <c r="AT60" s="509">
        <v>2999</v>
      </c>
      <c r="AU60" s="509">
        <v>4312</v>
      </c>
      <c r="AV60" s="851">
        <v>3917</v>
      </c>
      <c r="AW60" s="549">
        <f>SUM(AS60:AV60)</f>
        <v>14036</v>
      </c>
      <c r="AX60" s="850">
        <v>4706</v>
      </c>
      <c r="AY60" s="509">
        <v>4597</v>
      </c>
      <c r="AZ60" s="509">
        <v>4702</v>
      </c>
      <c r="BA60" s="851">
        <v>4568</v>
      </c>
      <c r="BB60" s="549">
        <f>SUM(AX60:BA60)</f>
        <v>18573</v>
      </c>
      <c r="BC60" s="850">
        <v>5200</v>
      </c>
      <c r="BD60" s="509">
        <v>4864</v>
      </c>
      <c r="BE60" s="509">
        <v>5128</v>
      </c>
      <c r="BF60" s="950">
        <v>4933</v>
      </c>
      <c r="BG60" s="499">
        <f>SUM(BC60:BF60)</f>
        <v>20125</v>
      </c>
      <c r="BH60" s="850">
        <v>5235</v>
      </c>
      <c r="BI60" s="509">
        <v>5202</v>
      </c>
      <c r="BJ60" s="509">
        <v>5043</v>
      </c>
      <c r="BK60" s="851">
        <v>4762</v>
      </c>
      <c r="BL60" s="499">
        <f>SUM(BH60:BK60)</f>
        <v>20242</v>
      </c>
      <c r="BM60" s="850">
        <v>5075</v>
      </c>
      <c r="BN60" s="509">
        <v>5025</v>
      </c>
      <c r="BO60" s="509">
        <v>5359</v>
      </c>
      <c r="BP60" s="851">
        <v>5191</v>
      </c>
      <c r="BQ60" s="549">
        <f>SUM(BM60:BP60)</f>
        <v>20650</v>
      </c>
      <c r="BR60" s="850">
        <v>5432</v>
      </c>
      <c r="BS60" s="509">
        <v>5477</v>
      </c>
      <c r="BT60" s="509">
        <v>5741</v>
      </c>
      <c r="BU60" s="851">
        <v>5317</v>
      </c>
      <c r="BV60" s="549">
        <f>SUM(BR60:BU60)</f>
        <v>21967</v>
      </c>
      <c r="BW60" s="850">
        <v>4887</v>
      </c>
      <c r="BX60" s="509">
        <v>5348</v>
      </c>
      <c r="BY60" s="509">
        <v>5166</v>
      </c>
      <c r="BZ60" s="851">
        <v>4459</v>
      </c>
      <c r="CA60" s="549">
        <f>SUM(BW60:BZ60)</f>
        <v>19860</v>
      </c>
      <c r="CB60" s="1003">
        <v>5647</v>
      </c>
      <c r="CC60" s="509">
        <v>5930</v>
      </c>
      <c r="CD60" s="509">
        <v>5213</v>
      </c>
      <c r="CE60" s="851">
        <v>5151</v>
      </c>
      <c r="CF60" s="549">
        <f>SUM(CB60:CE60)</f>
        <v>21941</v>
      </c>
      <c r="CG60" s="1003">
        <v>6147</v>
      </c>
      <c r="CH60" s="510">
        <v>6347</v>
      </c>
      <c r="CI60" s="510">
        <v>6165</v>
      </c>
      <c r="CJ60" s="851">
        <v>6059</v>
      </c>
      <c r="CK60" s="549">
        <f>SUM(CG60:CJ60)</f>
        <v>24718</v>
      </c>
      <c r="CL60" s="1003">
        <v>6268</v>
      </c>
      <c r="CM60" s="598">
        <f>CM61/CM64</f>
        <v>6307.3374481658684</v>
      </c>
      <c r="CN60" s="598">
        <f>CN61/CN64</f>
        <v>5984.6029266347687</v>
      </c>
      <c r="CO60" s="839">
        <f>CO61/CO64</f>
        <v>5896.5060366826156</v>
      </c>
      <c r="CP60" s="549">
        <f>SUM(CL60:CO60)</f>
        <v>24456.446411483252</v>
      </c>
      <c r="CQ60" s="838">
        <f>CQ61/CQ64</f>
        <v>6383.3631897926625</v>
      </c>
      <c r="CR60" s="598">
        <f>CR61/CR64</f>
        <v>6423.48738692185</v>
      </c>
      <c r="CS60" s="598">
        <f>CS61/CS64</f>
        <v>6094.2981749601277</v>
      </c>
      <c r="CT60" s="839">
        <f>CT61/CT64</f>
        <v>6004.4393472089314</v>
      </c>
      <c r="CU60" s="549">
        <f>SUM(CQ60:CT60)</f>
        <v>24905.588098883574</v>
      </c>
      <c r="CV60" s="838">
        <f>CV61/CV64</f>
        <v>6949.7542151515145</v>
      </c>
      <c r="CW60" s="598">
        <f>CW61/CW64</f>
        <v>6968.4792653429022</v>
      </c>
      <c r="CX60" s="598">
        <f>CX61/CX64</f>
        <v>6624.879756433812</v>
      </c>
      <c r="CY60" s="839">
        <f>CY61/CY64</f>
        <v>6533.3407597926625</v>
      </c>
      <c r="CZ60" s="549">
        <f>SUM(CV60:CY60)</f>
        <v>27076.453996720891</v>
      </c>
    </row>
    <row r="61" spans="1:104" ht="13.5" customHeight="1">
      <c r="A61" s="819"/>
      <c r="B61" s="66" t="s">
        <v>361</v>
      </c>
      <c r="C61" s="66"/>
      <c r="D61" s="66"/>
      <c r="E61" s="66"/>
      <c r="F61" s="66"/>
      <c r="G61" s="66"/>
      <c r="H61" s="549">
        <f t="shared" ref="H61:R61" si="55">H38</f>
        <v>9779</v>
      </c>
      <c r="I61" s="549">
        <f t="shared" si="55"/>
        <v>11032</v>
      </c>
      <c r="J61" s="549">
        <f t="shared" si="55"/>
        <v>3023</v>
      </c>
      <c r="K61" s="549">
        <f t="shared" si="55"/>
        <v>3133</v>
      </c>
      <c r="L61" s="549">
        <f t="shared" si="55"/>
        <v>2962</v>
      </c>
      <c r="M61" s="549">
        <f t="shared" si="55"/>
        <v>3196</v>
      </c>
      <c r="N61" s="549">
        <f t="shared" si="55"/>
        <v>12314</v>
      </c>
      <c r="O61" s="549">
        <f t="shared" si="55"/>
        <v>4040</v>
      </c>
      <c r="P61" s="549">
        <f t="shared" si="55"/>
        <v>3953</v>
      </c>
      <c r="Q61" s="549">
        <f t="shared" si="55"/>
        <v>4162</v>
      </c>
      <c r="R61" s="549">
        <f t="shared" si="55"/>
        <v>4108</v>
      </c>
      <c r="S61" s="549">
        <f>SUM(O61:R61)</f>
        <v>16263</v>
      </c>
      <c r="T61" s="549">
        <f>T38</f>
        <v>4726</v>
      </c>
      <c r="U61" s="549">
        <f>U38</f>
        <v>4456</v>
      </c>
      <c r="V61" s="549">
        <f>V38</f>
        <v>4492</v>
      </c>
      <c r="W61" s="549">
        <f>W38</f>
        <v>4113</v>
      </c>
      <c r="X61" s="549">
        <f>SUM(T61:W61)</f>
        <v>17787</v>
      </c>
      <c r="Y61" s="549">
        <f>Y38</f>
        <v>4688</v>
      </c>
      <c r="Z61" s="549">
        <f>Z38</f>
        <v>4693</v>
      </c>
      <c r="AA61" s="549">
        <f>AA38</f>
        <v>4914</v>
      </c>
      <c r="AB61" s="549">
        <f>AB38</f>
        <v>4725</v>
      </c>
      <c r="AC61" s="549">
        <f>SUM(Y61:AB61)</f>
        <v>19020</v>
      </c>
      <c r="AD61" s="549">
        <f>AD38</f>
        <v>5266</v>
      </c>
      <c r="AE61" s="549">
        <f>AE38</f>
        <v>5450</v>
      </c>
      <c r="AF61" s="549">
        <f>AF38</f>
        <v>5223</v>
      </c>
      <c r="AG61" s="549">
        <f>AG38</f>
        <v>4713</v>
      </c>
      <c r="AH61" s="549">
        <f>SUM(AD61:AG61)</f>
        <v>20652</v>
      </c>
      <c r="AI61" s="549">
        <f>AI38</f>
        <v>5229</v>
      </c>
      <c r="AJ61" s="549">
        <f>AJ38</f>
        <v>4890</v>
      </c>
      <c r="AK61" s="549">
        <f>AK38</f>
        <v>5038</v>
      </c>
      <c r="AL61" s="549">
        <f>AL38</f>
        <v>5078</v>
      </c>
      <c r="AM61" s="549">
        <f>SUM(AI61:AL61)</f>
        <v>20235</v>
      </c>
      <c r="AN61" s="549">
        <f>AN38</f>
        <v>5203</v>
      </c>
      <c r="AO61" s="549">
        <f>AO38</f>
        <v>5394</v>
      </c>
      <c r="AP61" s="549">
        <f>AP38</f>
        <v>4688</v>
      </c>
      <c r="AQ61" s="500">
        <v>2900</v>
      </c>
      <c r="AR61" s="549">
        <f>SUM(AN61:AQ61)</f>
        <v>18185</v>
      </c>
      <c r="AS61" s="850">
        <v>2433</v>
      </c>
      <c r="AT61" s="509">
        <v>2569</v>
      </c>
      <c r="AU61" s="509">
        <v>3705</v>
      </c>
      <c r="AV61" s="851">
        <v>3368</v>
      </c>
      <c r="AW61" s="549">
        <f>SUM(AS61:AV61)</f>
        <v>12075</v>
      </c>
      <c r="AX61" s="838">
        <f>AX38</f>
        <v>4066</v>
      </c>
      <c r="AY61" s="598">
        <f>AY38</f>
        <v>3922</v>
      </c>
      <c r="AZ61" s="598">
        <f>AZ38</f>
        <v>3993</v>
      </c>
      <c r="BA61" s="839">
        <f>BA38</f>
        <v>3840</v>
      </c>
      <c r="BB61" s="549">
        <f>SUM(AX61:BA61)</f>
        <v>15821</v>
      </c>
      <c r="BC61" s="838">
        <f>BC38</f>
        <v>4418</v>
      </c>
      <c r="BD61" s="598">
        <f>BD38</f>
        <v>4052</v>
      </c>
      <c r="BE61" s="509">
        <v>4194</v>
      </c>
      <c r="BF61" s="950">
        <v>4132</v>
      </c>
      <c r="BG61" s="499">
        <f>SUM(BC61:BF61)</f>
        <v>16796</v>
      </c>
      <c r="BH61" s="850">
        <v>4590</v>
      </c>
      <c r="BI61" s="509">
        <v>4449</v>
      </c>
      <c r="BJ61" s="509">
        <v>4313</v>
      </c>
      <c r="BK61" s="851">
        <v>4121</v>
      </c>
      <c r="BL61" s="499">
        <f>SUM(BH61:BK61)</f>
        <v>17473</v>
      </c>
      <c r="BM61" s="850">
        <v>4334</v>
      </c>
      <c r="BN61" s="510">
        <v>4274</v>
      </c>
      <c r="BO61" s="509">
        <v>4640</v>
      </c>
      <c r="BP61" s="851">
        <v>4485</v>
      </c>
      <c r="BQ61" s="549">
        <f>SUM(BM61:BP61)</f>
        <v>17733</v>
      </c>
      <c r="BR61" s="850">
        <v>4600</v>
      </c>
      <c r="BS61" s="509">
        <v>4646</v>
      </c>
      <c r="BT61" s="509">
        <v>4851</v>
      </c>
      <c r="BU61" s="851">
        <v>4584</v>
      </c>
      <c r="BV61" s="549">
        <f>SUM(BR61:BU61)</f>
        <v>18681</v>
      </c>
      <c r="BW61" s="838">
        <f>BW38</f>
        <v>4165</v>
      </c>
      <c r="BX61" s="598">
        <f>BX38</f>
        <v>4578</v>
      </c>
      <c r="BY61" s="598">
        <f>BY38</f>
        <v>4440</v>
      </c>
      <c r="BZ61" s="839">
        <f>BZ38</f>
        <v>3823</v>
      </c>
      <c r="CA61" s="549">
        <f>SUM(BW61:BZ61)</f>
        <v>17006</v>
      </c>
      <c r="CB61" s="838">
        <f>CB38</f>
        <v>4899</v>
      </c>
      <c r="CC61" s="598">
        <f>CC38</f>
        <v>5082</v>
      </c>
      <c r="CD61" s="598">
        <f>CD38</f>
        <v>4465</v>
      </c>
      <c r="CE61" s="839">
        <f>CE38</f>
        <v>4400</v>
      </c>
      <c r="CF61" s="549">
        <f>SUM(CB61:CE61)</f>
        <v>18846</v>
      </c>
      <c r="CG61" s="838">
        <f>CG38</f>
        <v>4860</v>
      </c>
      <c r="CH61" s="598">
        <f>CH38</f>
        <v>4950</v>
      </c>
      <c r="CI61" s="598">
        <f>CI38</f>
        <v>4698</v>
      </c>
      <c r="CJ61" s="839">
        <f>CJ38</f>
        <v>4629</v>
      </c>
      <c r="CK61" s="549">
        <f>SUM(CG61:CJ61)</f>
        <v>19137</v>
      </c>
      <c r="CL61" s="838">
        <f>CL38</f>
        <v>5016</v>
      </c>
      <c r="CM61" s="598">
        <f>CM38</f>
        <v>5047.4799999999996</v>
      </c>
      <c r="CN61" s="598">
        <f>CN38</f>
        <v>4789.21</v>
      </c>
      <c r="CO61" s="839">
        <f>CO38</f>
        <v>4718.71</v>
      </c>
      <c r="CP61" s="549">
        <f>SUM(CL61:CO61)</f>
        <v>19571.399999999998</v>
      </c>
      <c r="CQ61" s="838">
        <f>CQ38</f>
        <v>5108.32</v>
      </c>
      <c r="CR61" s="598">
        <f>CR38</f>
        <v>5140.4296000000004</v>
      </c>
      <c r="CS61" s="598">
        <f>CS38</f>
        <v>4876.9942000000001</v>
      </c>
      <c r="CT61" s="839">
        <f>CT38</f>
        <v>4805.0842000000002</v>
      </c>
      <c r="CU61" s="549">
        <f>SUM(CQ61:CT61)</f>
        <v>19930.828000000001</v>
      </c>
      <c r="CV61" s="838">
        <f>CV38</f>
        <v>5561.5774000000001</v>
      </c>
      <c r="CW61" s="598">
        <f>CW38</f>
        <v>5576.5622199999998</v>
      </c>
      <c r="CX61" s="598">
        <f>CX38</f>
        <v>5301.5949040000005</v>
      </c>
      <c r="CY61" s="839">
        <f>CY38</f>
        <v>5228.3403399999997</v>
      </c>
      <c r="CZ61" s="549">
        <f>SUM(CV61:CY61)</f>
        <v>21668.074863999998</v>
      </c>
    </row>
    <row r="62" spans="1:104" ht="6.2" customHeight="1">
      <c r="A62" s="819"/>
      <c r="B62" s="66"/>
      <c r="C62" s="66"/>
      <c r="D62" s="66"/>
      <c r="E62" s="66"/>
      <c r="F62" s="66"/>
      <c r="G62" s="66"/>
      <c r="H62" s="66"/>
      <c r="I62" s="66"/>
      <c r="J62" s="66"/>
      <c r="K62" s="66"/>
      <c r="L62" s="66"/>
      <c r="M62" s="66"/>
      <c r="N62" s="66"/>
      <c r="O62" s="66"/>
      <c r="P62" s="66"/>
      <c r="Q62" s="66"/>
      <c r="R62" s="66"/>
      <c r="S62" s="66"/>
      <c r="T62" s="66"/>
      <c r="U62" s="66"/>
      <c r="V62" s="66"/>
      <c r="W62" s="66"/>
      <c r="X62" s="66"/>
      <c r="Y62" s="66"/>
      <c r="Z62" s="66"/>
      <c r="AA62" s="66"/>
      <c r="AB62" s="66"/>
      <c r="AC62" s="66"/>
      <c r="AD62" s="66"/>
      <c r="AE62" s="66"/>
      <c r="AF62" s="66"/>
      <c r="AG62" s="66"/>
      <c r="AH62" s="66"/>
      <c r="AI62" s="66"/>
      <c r="AJ62" s="66"/>
      <c r="AK62" s="66"/>
      <c r="AL62" s="66"/>
      <c r="AM62" s="66"/>
      <c r="AN62" s="66"/>
      <c r="AO62" s="66"/>
      <c r="AP62" s="66"/>
      <c r="AQ62" s="66"/>
      <c r="AR62" s="66"/>
      <c r="AS62" s="859"/>
      <c r="AT62" s="20"/>
      <c r="AU62" s="20"/>
      <c r="AV62" s="860"/>
      <c r="AW62" s="66"/>
      <c r="AX62" s="859"/>
      <c r="AY62" s="20"/>
      <c r="AZ62" s="20"/>
      <c r="BA62" s="860"/>
      <c r="BB62" s="66"/>
      <c r="BC62" s="859"/>
      <c r="BD62" s="20"/>
      <c r="BE62" s="20"/>
      <c r="BF62" s="954"/>
      <c r="BG62" s="362"/>
      <c r="BH62" s="859"/>
      <c r="BI62" s="20"/>
      <c r="BJ62" s="20"/>
      <c r="BK62" s="860"/>
      <c r="BL62" s="362"/>
      <c r="BM62" s="859"/>
      <c r="BN62" s="20"/>
      <c r="BO62" s="20"/>
      <c r="BP62" s="860"/>
      <c r="BQ62" s="66"/>
      <c r="BR62" s="859"/>
      <c r="BS62" s="20"/>
      <c r="BT62" s="20"/>
      <c r="BU62" s="860"/>
      <c r="BV62" s="453"/>
      <c r="BW62" s="859"/>
      <c r="BX62" s="20"/>
      <c r="BY62" s="20"/>
      <c r="BZ62" s="860"/>
      <c r="CA62" s="453"/>
      <c r="CB62" s="859"/>
      <c r="CC62" s="20"/>
      <c r="CD62" s="20"/>
      <c r="CE62" s="944"/>
      <c r="CF62" s="453"/>
      <c r="CG62" s="981"/>
      <c r="CH62" s="495"/>
      <c r="CI62" s="20"/>
      <c r="CJ62" s="944"/>
      <c r="CK62" s="453"/>
      <c r="CL62" s="859"/>
      <c r="CM62" s="20"/>
      <c r="CN62" s="20"/>
      <c r="CO62" s="860"/>
      <c r="CP62" s="66"/>
      <c r="CQ62" s="859"/>
      <c r="CR62" s="20"/>
      <c r="CS62" s="20"/>
      <c r="CT62" s="860"/>
      <c r="CU62" s="66"/>
      <c r="CV62" s="859"/>
      <c r="CW62" s="20"/>
      <c r="CX62" s="20"/>
      <c r="CY62" s="860"/>
      <c r="CZ62" s="66"/>
    </row>
    <row r="63" spans="1:104" ht="13.5" customHeight="1">
      <c r="A63" s="819"/>
      <c r="B63" s="66"/>
      <c r="C63" s="66" t="s">
        <v>28</v>
      </c>
      <c r="D63" s="66"/>
      <c r="E63" s="66"/>
      <c r="F63" s="66"/>
      <c r="G63" s="66"/>
      <c r="H63" s="553">
        <f t="shared" ref="H63:AM63" si="56">H59/H58</f>
        <v>0.88054687499999995</v>
      </c>
      <c r="I63" s="553">
        <f t="shared" si="56"/>
        <v>0.90558823529411769</v>
      </c>
      <c r="J63" s="553">
        <f t="shared" si="56"/>
        <v>0.70579749103942646</v>
      </c>
      <c r="K63" s="553">
        <f t="shared" si="56"/>
        <v>0.7584219543896964</v>
      </c>
      <c r="L63" s="553">
        <f t="shared" si="56"/>
        <v>0.69962599345488541</v>
      </c>
      <c r="M63" s="553">
        <f t="shared" si="56"/>
        <v>0.76532258064516123</v>
      </c>
      <c r="N63" s="553">
        <f t="shared" si="56"/>
        <v>0.73236559139784951</v>
      </c>
      <c r="O63" s="553">
        <f t="shared" si="56"/>
        <v>0.90411285631180927</v>
      </c>
      <c r="P63" s="553">
        <f t="shared" si="56"/>
        <v>0.90026753351360678</v>
      </c>
      <c r="Q63" s="553">
        <f t="shared" si="56"/>
        <v>0.92849419531072164</v>
      </c>
      <c r="R63" s="553">
        <f t="shared" si="56"/>
        <v>0.91935465513316639</v>
      </c>
      <c r="S63" s="553">
        <f t="shared" si="56"/>
        <v>0.91314136125654455</v>
      </c>
      <c r="T63" s="553">
        <f t="shared" si="56"/>
        <v>0.99091406677613569</v>
      </c>
      <c r="U63" s="553">
        <f t="shared" si="56"/>
        <v>1.0118361933632869</v>
      </c>
      <c r="V63" s="553">
        <f t="shared" si="56"/>
        <v>0.99126151210109237</v>
      </c>
      <c r="W63" s="553">
        <f t="shared" si="56"/>
        <v>0.89588777040051404</v>
      </c>
      <c r="X63" s="553">
        <f t="shared" si="56"/>
        <v>0.97226600985221678</v>
      </c>
      <c r="Y63" s="553">
        <f t="shared" si="56"/>
        <v>0.83615651978921413</v>
      </c>
      <c r="Z63" s="553">
        <f t="shared" si="56"/>
        <v>0.80025504263647562</v>
      </c>
      <c r="AA63" s="553">
        <f t="shared" si="56"/>
        <v>0.81429605580660724</v>
      </c>
      <c r="AB63" s="553">
        <f t="shared" si="56"/>
        <v>0.83207124994515858</v>
      </c>
      <c r="AC63" s="553">
        <f t="shared" si="56"/>
        <v>0.82066599394550954</v>
      </c>
      <c r="AD63" s="553">
        <f t="shared" si="56"/>
        <v>0.92975939122019879</v>
      </c>
      <c r="AE63" s="553">
        <f t="shared" si="56"/>
        <v>0.90953860075000215</v>
      </c>
      <c r="AF63" s="553">
        <f t="shared" si="56"/>
        <v>0.91080372818341426</v>
      </c>
      <c r="AG63" s="553">
        <f t="shared" si="56"/>
        <v>0.79536300733243837</v>
      </c>
      <c r="AH63" s="553">
        <f t="shared" si="56"/>
        <v>0.8860649247822644</v>
      </c>
      <c r="AI63" s="553">
        <f t="shared" si="56"/>
        <v>0.89314975464423418</v>
      </c>
      <c r="AJ63" s="553">
        <f t="shared" si="56"/>
        <v>0.87273806635005369</v>
      </c>
      <c r="AK63" s="553">
        <f t="shared" si="56"/>
        <v>0.84479152379646139</v>
      </c>
      <c r="AL63" s="553">
        <f t="shared" si="56"/>
        <v>0.87388989850500609</v>
      </c>
      <c r="AM63" s="553">
        <f t="shared" si="56"/>
        <v>0.87101735015772874</v>
      </c>
      <c r="AN63" s="553">
        <f t="shared" ref="AN63:BS63" si="57">AN59/AN58</f>
        <v>0.90224892958582392</v>
      </c>
      <c r="AO63" s="553">
        <f t="shared" si="57"/>
        <v>0.9247770543077678</v>
      </c>
      <c r="AP63" s="553">
        <f t="shared" si="57"/>
        <v>0.8340452532223015</v>
      </c>
      <c r="AQ63" s="553">
        <f t="shared" si="57"/>
        <v>0.46349302456745683</v>
      </c>
      <c r="AR63" s="553">
        <f t="shared" si="57"/>
        <v>0.78008393742846238</v>
      </c>
      <c r="AS63" s="877">
        <f t="shared" si="57"/>
        <v>0.44397307256678753</v>
      </c>
      <c r="AT63" s="578">
        <f t="shared" si="57"/>
        <v>0.45205812777603732</v>
      </c>
      <c r="AU63" s="578">
        <f t="shared" si="57"/>
        <v>0.66875551883191342</v>
      </c>
      <c r="AV63" s="878">
        <f t="shared" si="57"/>
        <v>0.5614951592809343</v>
      </c>
      <c r="AW63" s="553">
        <f t="shared" si="57"/>
        <v>0.53226829738359527</v>
      </c>
      <c r="AX63" s="877">
        <f t="shared" si="57"/>
        <v>0.72358113509192645</v>
      </c>
      <c r="AY63" s="578">
        <f t="shared" si="57"/>
        <v>0.70590976611423406</v>
      </c>
      <c r="AZ63" s="942">
        <f t="shared" si="57"/>
        <v>0.66488731211826879</v>
      </c>
      <c r="BA63" s="943">
        <f t="shared" si="57"/>
        <v>0.67179757338294122</v>
      </c>
      <c r="BB63" s="553">
        <f t="shared" si="57"/>
        <v>0.69132904202953427</v>
      </c>
      <c r="BC63" s="941">
        <f t="shared" si="57"/>
        <v>0.80143674534056963</v>
      </c>
      <c r="BD63" s="962">
        <f t="shared" si="57"/>
        <v>0.70879536971926216</v>
      </c>
      <c r="BE63" s="962">
        <f t="shared" si="57"/>
        <v>0.73759527846830086</v>
      </c>
      <c r="BF63" s="963">
        <f t="shared" si="57"/>
        <v>0.71581293317748551</v>
      </c>
      <c r="BG63" s="554">
        <f t="shared" si="57"/>
        <v>0.74066641423703139</v>
      </c>
      <c r="BH63" s="985">
        <f t="shared" si="57"/>
        <v>0.79257401213922962</v>
      </c>
      <c r="BI63" s="986">
        <f t="shared" si="57"/>
        <v>0.75435211388388645</v>
      </c>
      <c r="BJ63" s="986">
        <f t="shared" si="57"/>
        <v>0.71047412469907745</v>
      </c>
      <c r="BK63" s="963">
        <f t="shared" si="57"/>
        <v>0.6967629618858352</v>
      </c>
      <c r="BL63" s="554">
        <f t="shared" si="57"/>
        <v>0.73820141211445556</v>
      </c>
      <c r="BM63" s="985">
        <f t="shared" si="57"/>
        <v>0.72611173045955657</v>
      </c>
      <c r="BN63" s="986">
        <f t="shared" si="57"/>
        <v>0.72916232782453516</v>
      </c>
      <c r="BO63" s="578">
        <f t="shared" si="57"/>
        <v>0.76694052639232224</v>
      </c>
      <c r="BP63" s="878">
        <f t="shared" si="57"/>
        <v>0.73539010873604449</v>
      </c>
      <c r="BQ63" s="553">
        <f t="shared" si="57"/>
        <v>0.73950204384986995</v>
      </c>
      <c r="BR63" s="877">
        <f t="shared" si="57"/>
        <v>0.76990334632878488</v>
      </c>
      <c r="BS63" s="578">
        <f t="shared" si="57"/>
        <v>0.78050093181672131</v>
      </c>
      <c r="BT63" s="578">
        <f t="shared" ref="BT63:CZ63" si="58">BT59/BT58</f>
        <v>0.78477784134248663</v>
      </c>
      <c r="BU63" s="878">
        <f t="shared" si="58"/>
        <v>0.7547613939740655</v>
      </c>
      <c r="BV63" s="553">
        <f t="shared" si="58"/>
        <v>0.77247807017543857</v>
      </c>
      <c r="BW63" s="877">
        <f t="shared" si="58"/>
        <v>0.66977901191715838</v>
      </c>
      <c r="BX63" s="578">
        <f t="shared" si="58"/>
        <v>0.72339808750777168</v>
      </c>
      <c r="BY63" s="578">
        <f t="shared" si="58"/>
        <v>0.68055702277288987</v>
      </c>
      <c r="BZ63" s="878">
        <f t="shared" si="58"/>
        <v>0.6056434209136321</v>
      </c>
      <c r="CA63" s="553">
        <f t="shared" si="58"/>
        <v>0.66969802152030544</v>
      </c>
      <c r="CB63" s="877">
        <f t="shared" si="58"/>
        <v>0.81870578443612152</v>
      </c>
      <c r="CC63" s="578">
        <f t="shared" si="58"/>
        <v>0.88482117133802529</v>
      </c>
      <c r="CD63" s="578">
        <f t="shared" si="58"/>
        <v>0.74474027031428103</v>
      </c>
      <c r="CE63" s="878">
        <f t="shared" si="58"/>
        <v>0.74147125875264608</v>
      </c>
      <c r="CF63" s="553">
        <f t="shared" si="58"/>
        <v>0.79707865168539327</v>
      </c>
      <c r="CG63" s="877">
        <f t="shared" si="58"/>
        <v>0.89634157303370787</v>
      </c>
      <c r="CH63" s="578">
        <f t="shared" si="58"/>
        <v>0.91533473268304733</v>
      </c>
      <c r="CI63" s="578">
        <f t="shared" si="58"/>
        <v>0.87942354665363942</v>
      </c>
      <c r="CJ63" s="878">
        <f t="shared" si="58"/>
        <v>0.86430288226673169</v>
      </c>
      <c r="CK63" s="553">
        <f t="shared" si="58"/>
        <v>0.88873707865168539</v>
      </c>
      <c r="CL63" s="877">
        <f t="shared" ref="CL63" si="59">CL59/CL58</f>
        <v>0.91398551810237194</v>
      </c>
      <c r="CM63" s="578">
        <f t="shared" si="58"/>
        <v>0.90961478447434685</v>
      </c>
      <c r="CN63" s="578">
        <f t="shared" si="58"/>
        <v>0.85369030511839383</v>
      </c>
      <c r="CO63" s="878">
        <f t="shared" si="58"/>
        <v>0.84112347958540479</v>
      </c>
      <c r="CP63" s="553">
        <f t="shared" si="58"/>
        <v>0.87933290468254388</v>
      </c>
      <c r="CQ63" s="877">
        <f t="shared" si="58"/>
        <v>0.93080751631433578</v>
      </c>
      <c r="CR63" s="578">
        <f t="shared" si="58"/>
        <v>0.92636538682858638</v>
      </c>
      <c r="CS63" s="578">
        <f t="shared" si="58"/>
        <v>0.8693380884652453</v>
      </c>
      <c r="CT63" s="878">
        <f t="shared" si="58"/>
        <v>0.85651992642159647</v>
      </c>
      <c r="CU63" s="553">
        <f t="shared" si="58"/>
        <v>0.89548181928570147</v>
      </c>
      <c r="CV63" s="877">
        <f t="shared" si="58"/>
        <v>0.982131025202295</v>
      </c>
      <c r="CW63" s="578">
        <f t="shared" si="58"/>
        <v>0.97395549932237213</v>
      </c>
      <c r="CX63" s="578">
        <f t="shared" si="58"/>
        <v>0.91586753990941661</v>
      </c>
      <c r="CY63" s="878">
        <f t="shared" si="58"/>
        <v>0.90321257880192096</v>
      </c>
      <c r="CZ63" s="553">
        <f t="shared" si="58"/>
        <v>0.94349894144653557</v>
      </c>
    </row>
    <row r="64" spans="1:104" ht="13.5" customHeight="1">
      <c r="A64" s="820"/>
      <c r="B64" s="66"/>
      <c r="C64" s="66" t="s">
        <v>29</v>
      </c>
      <c r="D64" s="66"/>
      <c r="E64" s="66"/>
      <c r="F64" s="66"/>
      <c r="G64" s="66"/>
      <c r="H64" s="553">
        <f t="shared" ref="H64:AM64" si="60">H61/H60</f>
        <v>0.8906193078324226</v>
      </c>
      <c r="I64" s="553">
        <f t="shared" si="60"/>
        <v>0.90865661807099907</v>
      </c>
      <c r="J64" s="553">
        <f t="shared" si="60"/>
        <v>0.9238997555012225</v>
      </c>
      <c r="K64" s="553">
        <f t="shared" si="60"/>
        <v>0.92337164750957856</v>
      </c>
      <c r="L64" s="553">
        <f t="shared" si="60"/>
        <v>0.89190003011141228</v>
      </c>
      <c r="M64" s="553">
        <f t="shared" si="60"/>
        <v>0.9258400926998841</v>
      </c>
      <c r="N64" s="553">
        <f t="shared" si="60"/>
        <v>0.91635660068462566</v>
      </c>
      <c r="O64" s="553">
        <f t="shared" si="60"/>
        <v>0.92959042797975144</v>
      </c>
      <c r="P64" s="553">
        <f t="shared" si="60"/>
        <v>0.91994414707935768</v>
      </c>
      <c r="Q64" s="553">
        <f t="shared" si="60"/>
        <v>0.91553013638363401</v>
      </c>
      <c r="R64" s="553">
        <f t="shared" si="60"/>
        <v>0.91963286321916271</v>
      </c>
      <c r="S64" s="553">
        <f t="shared" si="60"/>
        <v>0.92110330765745352</v>
      </c>
      <c r="T64" s="553">
        <f t="shared" si="60"/>
        <v>0.91856171039844514</v>
      </c>
      <c r="U64" s="553">
        <f t="shared" si="60"/>
        <v>0.90846075433231399</v>
      </c>
      <c r="V64" s="553">
        <f t="shared" si="60"/>
        <v>0.90418679549114334</v>
      </c>
      <c r="W64" s="553">
        <f t="shared" si="60"/>
        <v>0.9251012145748988</v>
      </c>
      <c r="X64" s="553">
        <f t="shared" si="60"/>
        <v>0.91384093711467329</v>
      </c>
      <c r="Y64" s="553">
        <f t="shared" si="60"/>
        <v>0.92960539361491179</v>
      </c>
      <c r="Z64" s="553">
        <f t="shared" si="60"/>
        <v>0.91965510484029001</v>
      </c>
      <c r="AA64" s="553">
        <f t="shared" si="60"/>
        <v>0.9171332586786114</v>
      </c>
      <c r="AB64" s="553">
        <f t="shared" si="60"/>
        <v>0.91481122942884796</v>
      </c>
      <c r="AC64" s="553">
        <f t="shared" si="60"/>
        <v>0.92021868498717885</v>
      </c>
      <c r="AD64" s="553">
        <f t="shared" si="60"/>
        <v>0.92046844957175322</v>
      </c>
      <c r="AE64" s="553">
        <f t="shared" si="60"/>
        <v>0.92451229855810013</v>
      </c>
      <c r="AF64" s="553">
        <f t="shared" si="60"/>
        <v>0.92116402116402119</v>
      </c>
      <c r="AG64" s="553">
        <f t="shared" si="60"/>
        <v>0.93142292490118572</v>
      </c>
      <c r="AH64" s="553">
        <f t="shared" si="60"/>
        <v>0.92419224917211129</v>
      </c>
      <c r="AI64" s="553">
        <f t="shared" si="60"/>
        <v>0.92385159010600704</v>
      </c>
      <c r="AJ64" s="553">
        <f t="shared" si="60"/>
        <v>0.90438320695394858</v>
      </c>
      <c r="AK64" s="553">
        <f t="shared" si="60"/>
        <v>0.9002859185132237</v>
      </c>
      <c r="AL64" s="553">
        <f t="shared" si="60"/>
        <v>0.89338494018296977</v>
      </c>
      <c r="AM64" s="553">
        <f t="shared" si="60"/>
        <v>0.90549066988857563</v>
      </c>
      <c r="AN64" s="553">
        <f t="shared" ref="AN64:BS64" si="61">AN61/AN60</f>
        <v>0.87430683918669128</v>
      </c>
      <c r="AO64" s="553">
        <f t="shared" si="61"/>
        <v>0.88180480627758706</v>
      </c>
      <c r="AP64" s="553">
        <f t="shared" si="61"/>
        <v>0.86208164766458262</v>
      </c>
      <c r="AQ64" s="553">
        <f t="shared" si="61"/>
        <v>0.84646818447168715</v>
      </c>
      <c r="AR64" s="553">
        <f t="shared" si="61"/>
        <v>0.86876552646665395</v>
      </c>
      <c r="AS64" s="877">
        <f t="shared" si="61"/>
        <v>0.86645299145299148</v>
      </c>
      <c r="AT64" s="578">
        <f t="shared" si="61"/>
        <v>0.8566188729576526</v>
      </c>
      <c r="AU64" s="578">
        <f t="shared" si="61"/>
        <v>0.85923005565862709</v>
      </c>
      <c r="AV64" s="878">
        <f t="shared" si="61"/>
        <v>0.85984171559867251</v>
      </c>
      <c r="AW64" s="553">
        <f t="shared" si="61"/>
        <v>0.86028783129096609</v>
      </c>
      <c r="AX64" s="877">
        <f t="shared" si="61"/>
        <v>0.86400339991500208</v>
      </c>
      <c r="AY64" s="578">
        <f t="shared" si="61"/>
        <v>0.85316510767892106</v>
      </c>
      <c r="AZ64" s="578">
        <f t="shared" si="61"/>
        <v>0.8492131008081667</v>
      </c>
      <c r="BA64" s="878">
        <f t="shared" si="61"/>
        <v>0.84063047285464099</v>
      </c>
      <c r="BB64" s="553">
        <f t="shared" si="61"/>
        <v>0.85182792225273241</v>
      </c>
      <c r="BC64" s="877">
        <f t="shared" si="61"/>
        <v>0.84961538461538466</v>
      </c>
      <c r="BD64" s="578">
        <f t="shared" si="61"/>
        <v>0.83305921052631582</v>
      </c>
      <c r="BE64" s="578">
        <f t="shared" si="61"/>
        <v>0.81786271450858039</v>
      </c>
      <c r="BF64" s="964">
        <f t="shared" si="61"/>
        <v>0.83762416379485105</v>
      </c>
      <c r="BG64" s="554">
        <f t="shared" si="61"/>
        <v>0.83458385093167697</v>
      </c>
      <c r="BH64" s="877">
        <f t="shared" si="61"/>
        <v>0.87679083094555876</v>
      </c>
      <c r="BI64" s="578">
        <f t="shared" si="61"/>
        <v>0.85524798154555937</v>
      </c>
      <c r="BJ64" s="578">
        <f t="shared" si="61"/>
        <v>0.85524489391235381</v>
      </c>
      <c r="BK64" s="964">
        <f t="shared" si="61"/>
        <v>0.86539269214615711</v>
      </c>
      <c r="BL64" s="554">
        <f t="shared" si="61"/>
        <v>0.86320521687580276</v>
      </c>
      <c r="BM64" s="994">
        <f t="shared" si="61"/>
        <v>0.85399014778325122</v>
      </c>
      <c r="BN64" s="579">
        <f t="shared" si="61"/>
        <v>0.85054726368159206</v>
      </c>
      <c r="BO64" s="579">
        <f t="shared" si="61"/>
        <v>0.86583317783168501</v>
      </c>
      <c r="BP64" s="964">
        <f t="shared" si="61"/>
        <v>0.86399537661336934</v>
      </c>
      <c r="BQ64" s="553">
        <f t="shared" si="61"/>
        <v>0.85874092009685232</v>
      </c>
      <c r="BR64" s="994">
        <f t="shared" si="61"/>
        <v>0.84683357879234167</v>
      </c>
      <c r="BS64" s="579">
        <f t="shared" si="61"/>
        <v>0.84827460288479095</v>
      </c>
      <c r="BT64" s="579">
        <f t="shared" ref="BT64:CH64" si="62">BT61/BT60</f>
        <v>0.84497474307611919</v>
      </c>
      <c r="BU64" s="964">
        <f t="shared" si="62"/>
        <v>0.862140304683092</v>
      </c>
      <c r="BV64" s="553">
        <f t="shared" si="62"/>
        <v>0.85041198160877685</v>
      </c>
      <c r="BW64" s="994">
        <f t="shared" si="62"/>
        <v>0.85226110087988538</v>
      </c>
      <c r="BX64" s="579">
        <f t="shared" si="62"/>
        <v>0.85602094240837701</v>
      </c>
      <c r="BY64" s="579">
        <f t="shared" si="62"/>
        <v>0.85946573751451805</v>
      </c>
      <c r="BZ64" s="964">
        <f t="shared" si="62"/>
        <v>0.85736712267324511</v>
      </c>
      <c r="CA64" s="553">
        <f t="shared" si="62"/>
        <v>0.85629405840886208</v>
      </c>
      <c r="CB64" s="994">
        <f t="shared" si="62"/>
        <v>0.86754028687798834</v>
      </c>
      <c r="CC64" s="579">
        <f t="shared" si="62"/>
        <v>0.85699831365935919</v>
      </c>
      <c r="CD64" s="579">
        <f t="shared" si="62"/>
        <v>0.85651256474199122</v>
      </c>
      <c r="CE64" s="964">
        <f t="shared" si="62"/>
        <v>0.85420306736556006</v>
      </c>
      <c r="CF64" s="553">
        <f t="shared" si="62"/>
        <v>0.8589398842349939</v>
      </c>
      <c r="CG64" s="994">
        <f t="shared" si="62"/>
        <v>0.79062957540263545</v>
      </c>
      <c r="CH64" s="579">
        <f t="shared" si="62"/>
        <v>0.77989601386481799</v>
      </c>
      <c r="CI64" s="578">
        <f>CH64</f>
        <v>0.77989601386481799</v>
      </c>
      <c r="CJ64" s="878">
        <f>CI64</f>
        <v>0.77989601386481799</v>
      </c>
      <c r="CK64" s="553">
        <f>CK61/CK60</f>
        <v>0.77421312403916176</v>
      </c>
      <c r="CL64" s="994">
        <f t="shared" ref="CL64" si="63">CL61/CL60</f>
        <v>0.80025526483726872</v>
      </c>
      <c r="CM64" s="578">
        <f>CL64</f>
        <v>0.80025526483726872</v>
      </c>
      <c r="CN64" s="578">
        <f>CM64</f>
        <v>0.80025526483726872</v>
      </c>
      <c r="CO64" s="878">
        <f>CN64</f>
        <v>0.80025526483726872</v>
      </c>
      <c r="CP64" s="553">
        <f>CP61/CP60</f>
        <v>0.80025526483726861</v>
      </c>
      <c r="CQ64" s="877">
        <f>CO64</f>
        <v>0.80025526483726872</v>
      </c>
      <c r="CR64" s="578">
        <f>CQ64</f>
        <v>0.80025526483726872</v>
      </c>
      <c r="CS64" s="578">
        <f>CR64</f>
        <v>0.80025526483726872</v>
      </c>
      <c r="CT64" s="878">
        <f>CS64</f>
        <v>0.80025526483726872</v>
      </c>
      <c r="CU64" s="553">
        <f>CU61/CU60</f>
        <v>0.80025526483726872</v>
      </c>
      <c r="CV64" s="877">
        <f>CT64</f>
        <v>0.80025526483726872</v>
      </c>
      <c r="CW64" s="578">
        <f>CV64</f>
        <v>0.80025526483726872</v>
      </c>
      <c r="CX64" s="578">
        <f>CW64</f>
        <v>0.80025526483726872</v>
      </c>
      <c r="CY64" s="878">
        <f>CX64</f>
        <v>0.80025526483726872</v>
      </c>
      <c r="CZ64" s="553">
        <f>CZ61/CZ60</f>
        <v>0.80025526483726861</v>
      </c>
    </row>
    <row r="65" spans="1:104" ht="6.2" customHeight="1">
      <c r="A65" s="819"/>
      <c r="B65" s="66"/>
      <c r="C65" s="66"/>
      <c r="D65" s="66"/>
      <c r="E65" s="66"/>
      <c r="F65" s="66"/>
      <c r="G65" s="66"/>
      <c r="H65" s="66"/>
      <c r="I65" s="66"/>
      <c r="J65" s="66"/>
      <c r="K65" s="66"/>
      <c r="L65" s="66"/>
      <c r="M65" s="66"/>
      <c r="N65" s="66"/>
      <c r="O65" s="66"/>
      <c r="P65" s="66"/>
      <c r="Q65" s="66"/>
      <c r="R65" s="66"/>
      <c r="S65" s="66"/>
      <c r="T65" s="66"/>
      <c r="U65" s="66"/>
      <c r="V65" s="66"/>
      <c r="W65" s="66"/>
      <c r="X65" s="66"/>
      <c r="Y65" s="66"/>
      <c r="Z65" s="66"/>
      <c r="AA65" s="66"/>
      <c r="AB65" s="66"/>
      <c r="AC65" s="66"/>
      <c r="AD65" s="66"/>
      <c r="AE65" s="66"/>
      <c r="AF65" s="66"/>
      <c r="AG65" s="66"/>
      <c r="AH65" s="66"/>
      <c r="AI65" s="66"/>
      <c r="AJ65" s="66"/>
      <c r="AK65" s="66"/>
      <c r="AL65" s="66"/>
      <c r="AM65" s="66"/>
      <c r="AN65" s="66"/>
      <c r="AO65" s="66"/>
      <c r="AP65" s="66"/>
      <c r="AQ65" s="66"/>
      <c r="AR65" s="66"/>
      <c r="AS65" s="859"/>
      <c r="AT65" s="20"/>
      <c r="AU65" s="20"/>
      <c r="AV65" s="860"/>
      <c r="AW65" s="66"/>
      <c r="AX65" s="859"/>
      <c r="AY65" s="20"/>
      <c r="AZ65" s="20"/>
      <c r="BA65" s="860"/>
      <c r="BB65" s="66"/>
      <c r="BC65" s="859"/>
      <c r="BD65" s="20"/>
      <c r="BE65" s="20"/>
      <c r="BF65" s="860"/>
      <c r="BG65" s="66"/>
      <c r="BH65" s="859"/>
      <c r="BI65" s="20"/>
      <c r="BJ65" s="20"/>
      <c r="BK65" s="860"/>
      <c r="BL65" s="66"/>
      <c r="BM65" s="859"/>
      <c r="BN65" s="20"/>
      <c r="BO65" s="20"/>
      <c r="BP65" s="860"/>
      <c r="BQ65" s="66"/>
      <c r="BR65" s="859"/>
      <c r="BS65" s="20"/>
      <c r="BT65" s="20"/>
      <c r="BU65" s="860"/>
      <c r="BV65" s="66"/>
      <c r="BW65" s="859"/>
      <c r="BX65" s="20"/>
      <c r="BY65" s="20"/>
      <c r="BZ65" s="860"/>
      <c r="CA65" s="66"/>
      <c r="CB65" s="859"/>
      <c r="CC65" s="20"/>
      <c r="CD65" s="20"/>
      <c r="CE65" s="944"/>
      <c r="CF65" s="453"/>
      <c r="CG65" s="981"/>
      <c r="CH65" s="495"/>
      <c r="CI65" s="20"/>
      <c r="CJ65" s="944"/>
      <c r="CK65" s="453"/>
      <c r="CL65" s="981"/>
      <c r="CM65" s="20"/>
      <c r="CN65" s="20"/>
      <c r="CO65" s="860"/>
      <c r="CP65" s="66"/>
      <c r="CQ65" s="859"/>
      <c r="CR65" s="20"/>
      <c r="CS65" s="20"/>
      <c r="CT65" s="860"/>
      <c r="CU65" s="66"/>
      <c r="CV65" s="859"/>
      <c r="CW65" s="20"/>
      <c r="CX65" s="20"/>
      <c r="CY65" s="860"/>
      <c r="CZ65" s="66"/>
    </row>
    <row r="66" spans="1:104" ht="13.5" customHeight="1" collapsed="1">
      <c r="A66" s="820" t="s">
        <v>646</v>
      </c>
      <c r="B66" s="66"/>
      <c r="C66" s="66"/>
      <c r="D66" s="542"/>
      <c r="E66" s="542"/>
      <c r="F66" s="542"/>
      <c r="G66" s="542"/>
      <c r="H66" s="542"/>
      <c r="I66" s="542"/>
      <c r="J66" s="542"/>
      <c r="K66" s="542"/>
      <c r="L66" s="542"/>
      <c r="M66" s="542"/>
      <c r="N66" s="542"/>
      <c r="O66" s="542"/>
      <c r="P66" s="542"/>
      <c r="Q66" s="542"/>
      <c r="R66" s="542"/>
      <c r="S66" s="542"/>
      <c r="T66" s="542"/>
      <c r="U66" s="542"/>
      <c r="V66" s="542"/>
      <c r="W66" s="542"/>
      <c r="X66" s="542"/>
      <c r="Y66" s="542"/>
      <c r="Z66" s="542"/>
      <c r="AA66" s="542"/>
      <c r="AB66" s="542"/>
      <c r="AC66" s="542"/>
      <c r="AD66" s="542"/>
      <c r="AE66" s="542"/>
      <c r="AF66" s="542"/>
      <c r="AG66" s="542"/>
      <c r="AH66" s="542"/>
      <c r="AI66" s="542"/>
      <c r="AJ66" s="542"/>
      <c r="AK66" s="542"/>
      <c r="AL66" s="542"/>
      <c r="AM66" s="542"/>
      <c r="AN66" s="542"/>
      <c r="AO66" s="542"/>
      <c r="AP66" s="542"/>
      <c r="AQ66" s="542"/>
      <c r="AR66" s="542"/>
      <c r="AS66" s="842"/>
      <c r="AT66" s="843"/>
      <c r="AU66" s="843"/>
      <c r="AV66" s="844"/>
      <c r="AW66" s="542"/>
      <c r="AX66" s="842"/>
      <c r="AY66" s="843"/>
      <c r="AZ66" s="843"/>
      <c r="BA66" s="844"/>
      <c r="BB66" s="542"/>
      <c r="BC66" s="842"/>
      <c r="BD66" s="843"/>
      <c r="BE66" s="947"/>
      <c r="BF66" s="948"/>
      <c r="BG66" s="543"/>
      <c r="BH66" s="842"/>
      <c r="BI66" s="843"/>
      <c r="BJ66" s="843"/>
      <c r="BK66" s="844"/>
      <c r="BL66" s="542"/>
      <c r="BM66" s="842"/>
      <c r="BN66" s="843"/>
      <c r="BO66" s="843"/>
      <c r="BP66" s="844"/>
      <c r="BQ66" s="542"/>
      <c r="BR66" s="1001"/>
      <c r="BS66" s="947"/>
      <c r="BT66" s="947"/>
      <c r="BU66" s="948"/>
      <c r="BV66" s="543"/>
      <c r="BW66" s="1001"/>
      <c r="BX66" s="947"/>
      <c r="BY66" s="947"/>
      <c r="BZ66" s="948"/>
      <c r="CA66" s="543"/>
      <c r="CB66" s="1001"/>
      <c r="CC66" s="947"/>
      <c r="CD66" s="947"/>
      <c r="CE66" s="948"/>
      <c r="CF66" s="543"/>
      <c r="CG66" s="1001"/>
      <c r="CH66" s="947"/>
      <c r="CI66" s="947"/>
      <c r="CJ66" s="948"/>
      <c r="CK66" s="543"/>
      <c r="CL66" s="1001"/>
      <c r="CM66" s="947"/>
      <c r="CN66" s="947"/>
      <c r="CO66" s="948"/>
      <c r="CP66" s="543"/>
      <c r="CQ66" s="1001"/>
      <c r="CR66" s="947"/>
      <c r="CS66" s="947"/>
      <c r="CT66" s="948"/>
      <c r="CU66" s="543"/>
      <c r="CV66" s="1001"/>
      <c r="CW66" s="947"/>
      <c r="CX66" s="947"/>
      <c r="CY66" s="948"/>
      <c r="CZ66" s="543"/>
    </row>
    <row r="67" spans="1:104" ht="13.5" hidden="1" customHeight="1" outlineLevel="1">
      <c r="A67" s="819"/>
      <c r="B67" s="199" t="s">
        <v>462</v>
      </c>
      <c r="C67" s="199"/>
      <c r="D67" s="542"/>
      <c r="E67" s="542"/>
      <c r="F67" s="542"/>
      <c r="G67" s="542"/>
      <c r="H67" s="530"/>
      <c r="I67" s="496"/>
      <c r="J67" s="496"/>
      <c r="K67" s="496"/>
      <c r="L67" s="496"/>
      <c r="M67" s="496"/>
      <c r="N67" s="496"/>
      <c r="O67" s="496"/>
      <c r="P67" s="496"/>
      <c r="Q67" s="496"/>
      <c r="R67" s="496"/>
      <c r="S67" s="496"/>
      <c r="T67" s="553">
        <f>Operations!T33/Operations!T51</f>
        <v>0.94614774114774114</v>
      </c>
      <c r="U67" s="553">
        <f>Operations!U33/Operations!U51</f>
        <v>0.92517208066658607</v>
      </c>
      <c r="V67" s="553">
        <f>Operations!V33/Operations!V51</f>
        <v>0.87456999522216916</v>
      </c>
      <c r="W67" s="553">
        <f>Operations!W33/Operations!W51</f>
        <v>0.80655757286192076</v>
      </c>
      <c r="X67" s="553">
        <f>Operations!X33/Operations!X51</f>
        <v>0.88769230769230767</v>
      </c>
      <c r="Y67" s="553">
        <f>Operations!Y33/Operations!Y51</f>
        <v>0.77581275720164611</v>
      </c>
      <c r="Z67" s="553">
        <f>Operations!Z33/Operations!Z51</f>
        <v>0.74129019129019136</v>
      </c>
      <c r="AA67" s="553">
        <f>Operations!AA33/Operations!AA51</f>
        <v>0.71780394524959745</v>
      </c>
      <c r="AB67" s="553">
        <f>Operations!AB33/Operations!AB51</f>
        <v>0.73837560386473433</v>
      </c>
      <c r="AC67" s="553">
        <f>Operations!AC33/Operations!AC51</f>
        <v>0.74314814814814811</v>
      </c>
      <c r="AD67" s="553">
        <f>Operations!AD33/Operations!AD51</f>
        <v>0.84152777777777787</v>
      </c>
      <c r="AE67" s="553">
        <f>Operations!AE33/Operations!AE51</f>
        <v>0.82485246235246235</v>
      </c>
      <c r="AF67" s="553">
        <f>Operations!AF33/Operations!AF51</f>
        <v>0.79972322866344603</v>
      </c>
      <c r="AG67" s="553">
        <f>Operations!AG33/Operations!AG51</f>
        <v>0.68180354267310794</v>
      </c>
      <c r="AH67" s="553">
        <f>Operations!AH33/Operations!AH51</f>
        <v>0.78657407407407409</v>
      </c>
      <c r="AI67" s="553">
        <f>Operations!AI33/Operations!AI51</f>
        <v>0.75853909465020586</v>
      </c>
      <c r="AJ67" s="553">
        <f>Operations!AJ33/Operations!AJ51</f>
        <v>0.76803011803011811</v>
      </c>
      <c r="AK67" s="553">
        <f>Operations!AK33/Operations!AK51</f>
        <v>0.74866143317230271</v>
      </c>
      <c r="AL67" s="553">
        <f>Operations!AL33/Operations!AL51</f>
        <v>0.78613123993558776</v>
      </c>
      <c r="AM67" s="553">
        <f>Operations!AM33/Operations!AM51</f>
        <v>0.76537037037037037</v>
      </c>
      <c r="AN67" s="553">
        <f>Operations!AN33/Operations!AN51</f>
        <v>0.83026234567901236</v>
      </c>
      <c r="AO67" s="553">
        <f>Operations!AO33/Operations!AO51</f>
        <v>0.84676434676434675</v>
      </c>
      <c r="AP67" s="553">
        <f>Operations!AP33/Operations!AP51</f>
        <v>0.70531400966183577</v>
      </c>
      <c r="AQ67" s="553">
        <f>Operations!AQ33/Operations!AQ51</f>
        <v>0.40188204508856684</v>
      </c>
      <c r="AR67" s="553">
        <f>(Operations!AR33)/Operations!AR51</f>
        <v>0.69490740740740742</v>
      </c>
      <c r="AS67" s="877">
        <f>(Operations!AS33)/Operations!AS51</f>
        <v>0.35643765935319377</v>
      </c>
      <c r="AT67" s="578">
        <f>(Operations!AT33)/Operations!AT51</f>
        <v>0.35583600427350426</v>
      </c>
      <c r="AU67" s="578">
        <f>(Operations!AU33)/Operations!AU51</f>
        <v>0.63398002651753826</v>
      </c>
      <c r="AV67" s="878">
        <f>(Operations!AV33)/Operations!AV51</f>
        <v>0.56438796613544073</v>
      </c>
      <c r="AW67" s="553">
        <f>(Operations!AW33)/Operations!AW51</f>
        <v>0.47865841384863123</v>
      </c>
      <c r="AX67" s="877">
        <f>(Operations!AX33)/Operations!AX51</f>
        <v>0.75102880658436222</v>
      </c>
      <c r="AY67" s="578">
        <f>(Operations!AY33)/Operations!AY51</f>
        <v>0.70303724053724059</v>
      </c>
      <c r="AZ67" s="578">
        <f>(Operations!AZ33)/Operations!AZ51</f>
        <v>0.67629327697262487</v>
      </c>
      <c r="BA67" s="878">
        <f>(Operations!BA33)/Operations!BA51</f>
        <v>0.62449677938808379</v>
      </c>
      <c r="BB67" s="553">
        <f>(Operations!BB33)/Operations!BB51</f>
        <v>0.68833333333333335</v>
      </c>
      <c r="BC67" s="877">
        <f>(Operations!BC33)/Operations!BC51</f>
        <v>0.78407407407407415</v>
      </c>
      <c r="BD67" s="578">
        <f>(Operations!BD33)/Operations!BD51</f>
        <v>0.63804436304436307</v>
      </c>
      <c r="BE67" s="579">
        <f>(Operations!BE33)/Operations!BE51</f>
        <v>0.68070148953301124</v>
      </c>
      <c r="BF67" s="964">
        <f>(Operations!BF33)/Operations!BF51</f>
        <v>0.67629327697262487</v>
      </c>
      <c r="BG67" s="554">
        <f>(Operations!BG33)/Operations!BG51</f>
        <v>0.69444444444444442</v>
      </c>
      <c r="BH67" s="877">
        <f>(Operations!BH33)/Operations!BH51</f>
        <v>0.73502458210422805</v>
      </c>
      <c r="BI67" s="578">
        <f>(Operations!BI33)/Operations!BI51</f>
        <v>0.68328795098706607</v>
      </c>
      <c r="BJ67" s="578">
        <f>(Operations!BJ33)/Operations!BJ51</f>
        <v>0.63337822239322816</v>
      </c>
      <c r="BK67" s="878">
        <f>(Operations!BK33)/Operations!BK51</f>
        <v>0.64777318199307421</v>
      </c>
      <c r="BL67" s="553">
        <f>(Operations!BL33)/Operations!BL51</f>
        <v>0.67451327433628316</v>
      </c>
      <c r="BM67" s="877">
        <f>(Operations!BM33)/Operations!BM51</f>
        <v>0.65929695181907566</v>
      </c>
      <c r="BN67" s="578">
        <f>(Operations!BN33)/Operations!BN51</f>
        <v>0.63749878440143926</v>
      </c>
      <c r="BO67" s="578">
        <f>(Operations!BO33)/Operations!BO51</f>
        <v>0.68990477106579451</v>
      </c>
      <c r="BP67" s="878">
        <f>(Operations!BP33)/Operations!BP51</f>
        <v>0.66462581762216233</v>
      </c>
      <c r="BQ67" s="553">
        <f>(Operations!BQ33)/Operations!BQ51</f>
        <v>0.66292035398230087</v>
      </c>
      <c r="BR67" s="994">
        <f>(Operations!BR33)/Operations!BR51</f>
        <v>0.67365290068829886</v>
      </c>
      <c r="BS67" s="579">
        <f>(Operations!BS33)/Operations!BS51</f>
        <v>0.69997082563454249</v>
      </c>
      <c r="BT67" s="579">
        <f>(Operations!BT33)/Operations!BT51</f>
        <v>0.71623701423624475</v>
      </c>
      <c r="BU67" s="878">
        <f>(Operations!BU33)/Operations!BU51</f>
        <v>0.68643103376666526</v>
      </c>
      <c r="BV67" s="553">
        <f>(Operations!BV33)/Operations!BV51</f>
        <v>0.69387234042553192</v>
      </c>
      <c r="BW67" s="994">
        <f>(Operations!BW33)/Operations!BW51</f>
        <v>0.60554707379134853</v>
      </c>
      <c r="BX67" s="579">
        <f>(Operations!BX33)/Operations!BX51</f>
        <v>0.67237647848334858</v>
      </c>
      <c r="BY67" s="579">
        <f>(Operations!BY33)/Operations!BY51</f>
        <v>0.63871971457019572</v>
      </c>
      <c r="BZ67" s="964">
        <f>(Operations!BZ33)/Operations!BZ51</f>
        <v>0.55089196813806829</v>
      </c>
      <c r="CA67" s="554">
        <f>(Operations!CA33)/Operations!CA51</f>
        <v>0.61679389312977095</v>
      </c>
      <c r="CB67" s="994">
        <f>(Operations!CB33)/Operations!CB51</f>
        <v>0.73238822246455826</v>
      </c>
      <c r="CC67" s="579">
        <f>(Operations!CC33)/Operations!CC51</f>
        <v>0.77219193020719723</v>
      </c>
      <c r="CD67" s="579">
        <f>(Operations!CD33)/Operations!CD51</f>
        <v>0.6423539661466976</v>
      </c>
      <c r="CE67" s="964">
        <f>(Operations!CE33)/Operations!CE51</f>
        <v>0.63084550282110852</v>
      </c>
      <c r="CF67" s="554">
        <f>(Operations!CF33)/Operations!CF51</f>
        <v>0.69603053435114504</v>
      </c>
      <c r="CG67" s="994">
        <f>(Operations!CG33)/Operations!CG51</f>
        <v>0.75879134860050879</v>
      </c>
      <c r="CH67" s="579">
        <f>(Operations!CH33)/Operations!CH51</f>
        <v>0.7259583927522858</v>
      </c>
      <c r="CI67" s="579">
        <f>(Operations!CI33)/Operations!CI51</f>
        <v>0.69111350813143035</v>
      </c>
      <c r="CJ67" s="964">
        <f>(Operations!CJ33)/Operations!CJ51</f>
        <v>0.66839943577829397</v>
      </c>
      <c r="CK67" s="554">
        <f>(Operations!CK33)/Operations!CK51</f>
        <v>0.71076335877862595</v>
      </c>
      <c r="CL67" s="994">
        <f>(Operations!CL33)/Operations!CL51</f>
        <v>0.71916454622561499</v>
      </c>
      <c r="CM67" s="579">
        <f>(Operations!CM33)/Operations!CM51</f>
        <v>0.74047756060733161</v>
      </c>
      <c r="CN67" s="579">
        <f>(Operations!CN33)/Operations!CN51</f>
        <v>0.70493577829405907</v>
      </c>
      <c r="CO67" s="964">
        <f>(Operations!CO33)/Operations!CO51</f>
        <v>0.68176742449385996</v>
      </c>
      <c r="CP67" s="554">
        <f>(Operations!CP33)/Operations!CP51</f>
        <v>0.71146564885496177</v>
      </c>
      <c r="CQ67" s="994">
        <f>(Operations!CQ33)/Operations!CQ51</f>
        <v>0.73354783715012728</v>
      </c>
      <c r="CR67" s="579">
        <f>(Operations!CR33)/Operations!CR51</f>
        <v>0.75528711181947816</v>
      </c>
      <c r="CS67" s="579">
        <f>(Operations!CS33)/Operations!CS51</f>
        <v>0.71903449385994023</v>
      </c>
      <c r="CT67" s="964">
        <f>(Operations!CT33)/Operations!CT51</f>
        <v>0.69540277298373721</v>
      </c>
      <c r="CU67" s="554">
        <f>(Operations!CU33)/Operations!CU51</f>
        <v>0.72569496183206106</v>
      </c>
      <c r="CV67" s="994">
        <f>(Operations!CV33)/Operations!CV51</f>
        <v>0.72575068531468545</v>
      </c>
      <c r="CW67" s="579">
        <f>(Operations!CW33)/Operations!CW51</f>
        <v>0.74725888517636208</v>
      </c>
      <c r="CX67" s="579">
        <f>(Operations!CX33)/Operations!CX51</f>
        <v>0.71139160972940108</v>
      </c>
      <c r="CY67" s="964">
        <f>(Operations!CY33)/Operations!CY51</f>
        <v>0.68801107917300097</v>
      </c>
      <c r="CZ67" s="554">
        <f>(Operations!CZ33)/Operations!CZ51</f>
        <v>0.71798128111888115</v>
      </c>
    </row>
    <row r="68" spans="1:104" ht="13.5" hidden="1" customHeight="1" outlineLevel="1">
      <c r="A68" s="819"/>
      <c r="B68" s="199" t="s">
        <v>463</v>
      </c>
      <c r="C68" s="199"/>
      <c r="D68" s="542"/>
      <c r="E68" s="542"/>
      <c r="F68" s="542"/>
      <c r="G68" s="542"/>
      <c r="H68" s="530"/>
      <c r="I68" s="496"/>
      <c r="J68" s="496"/>
      <c r="K68" s="496"/>
      <c r="L68" s="496"/>
      <c r="M68" s="496"/>
      <c r="N68" s="496"/>
      <c r="O68" s="496"/>
      <c r="P68" s="496"/>
      <c r="Q68" s="496"/>
      <c r="R68" s="496"/>
      <c r="S68" s="496"/>
      <c r="T68" s="553">
        <f>Operations!T34/Operations!T52</f>
        <v>0.96110229276895942</v>
      </c>
      <c r="U68" s="553">
        <f>Operations!U34/Operations!U52</f>
        <v>0.84485435199720915</v>
      </c>
      <c r="V68" s="553">
        <f>Operations!V34/Operations!V52</f>
        <v>0.81363008971704631</v>
      </c>
      <c r="W68" s="553">
        <f>Operations!W34/Operations!W52</f>
        <v>0.71287094547964114</v>
      </c>
      <c r="X68" s="553">
        <f>Operations!X34/Operations!X52</f>
        <v>0.83238095238095233</v>
      </c>
      <c r="Y68" s="553">
        <f>Operations!Y34/Operations!Y52</f>
        <v>0.74654775176514299</v>
      </c>
      <c r="Z68" s="553">
        <f>Operations!Z34/Operations!Z52</f>
        <v>0.81722224264030285</v>
      </c>
      <c r="AA68" s="553">
        <f>Operations!AA34/Operations!AA52</f>
        <v>0.88848335029809511</v>
      </c>
      <c r="AB68" s="553">
        <f>Operations!AB34/Operations!AB52</f>
        <v>0.74836411225825217</v>
      </c>
      <c r="AC68" s="553">
        <f>Operations!AC34/Operations!AC52</f>
        <v>0.80040133779264211</v>
      </c>
      <c r="AD68" s="553">
        <f>Operations!AD34/Operations!AD52</f>
        <v>0.83454773869346732</v>
      </c>
      <c r="AE68" s="553">
        <f>Operations!AE34/Operations!AE52</f>
        <v>0.91154260312551771</v>
      </c>
      <c r="AF68" s="553">
        <f>Operations!AF34/Operations!AF52</f>
        <v>0.80394499672274411</v>
      </c>
      <c r="AG68" s="553">
        <f>Operations!AG34/Operations!AG52</f>
        <v>0.72419843784138083</v>
      </c>
      <c r="AH68" s="553">
        <f>Operations!AH34/Operations!AH52</f>
        <v>0.8182160804020101</v>
      </c>
      <c r="AI68" s="553">
        <f>Operations!AI34/Operations!AI52</f>
        <v>0.91526743865453553</v>
      </c>
      <c r="AJ68" s="553">
        <f>Operations!AJ34/Operations!AJ52</f>
        <v>0.69868840836582768</v>
      </c>
      <c r="AK68" s="553">
        <f>Operations!AK34/Operations!AK52</f>
        <v>0.76197540187722512</v>
      </c>
      <c r="AL68" s="553">
        <f>Operations!AL34/Operations!AL52</f>
        <v>0.74622397238105509</v>
      </c>
      <c r="AM68" s="553">
        <f>Operations!AM34/Operations!AM52</f>
        <v>0.7800248138957816</v>
      </c>
      <c r="AN68" s="553">
        <f>Operations!AN34/Operations!AN52</f>
        <v>0.69003616411023816</v>
      </c>
      <c r="AO68" s="553">
        <f>Operations!AO34/Operations!AO52</f>
        <v>0.73467273467273464</v>
      </c>
      <c r="AP68" s="553">
        <f>Operations!AP34/Operations!AP52</f>
        <v>0.56638852291026198</v>
      </c>
      <c r="AQ68" s="553">
        <f>Operations!AQ34/Operations!AQ52</f>
        <v>0.3767018006148441</v>
      </c>
      <c r="AR68" s="553">
        <f>Operations!AR34/Operations!AR52</f>
        <v>0.59102132435465771</v>
      </c>
      <c r="AS68" s="877">
        <f>Operations!AS34/Operations!AS52</f>
        <v>0.35548696844993138</v>
      </c>
      <c r="AT68" s="578">
        <f>Operations!AT34/Operations!AT52</f>
        <v>0.41325341325341325</v>
      </c>
      <c r="AU68" s="578">
        <f>Operations!AU34/Operations!AU52</f>
        <v>0.43681379007465965</v>
      </c>
      <c r="AV68" s="878">
        <f>Operations!AV34/Operations!AV52</f>
        <v>0.42256502220270337</v>
      </c>
      <c r="AW68" s="553">
        <f>Operations!AW34/Operations!AW52</f>
        <v>0.40729517396184062</v>
      </c>
      <c r="AX68" s="877">
        <f>Operations!AX34/Operations!AX52</f>
        <v>0.4580863519941456</v>
      </c>
      <c r="AY68" s="578">
        <f>Operations!AY34/Operations!AY52</f>
        <v>0.39537520657169395</v>
      </c>
      <c r="AZ68" s="578">
        <f>Operations!AZ34/Operations!AZ52</f>
        <v>0.45422493199064573</v>
      </c>
      <c r="BA68" s="878">
        <f>Operations!BA34/Operations!BA52</f>
        <v>0.45683792297045767</v>
      </c>
      <c r="BB68" s="553">
        <f>Operations!BB34/Operations!BB52</f>
        <v>0.44116355653128431</v>
      </c>
      <c r="BC68" s="877">
        <f>Operations!BC34/Operations!BC52</f>
        <v>0.34311958775460422</v>
      </c>
      <c r="BD68" s="578">
        <f>Operations!BD34/Operations!BD52</f>
        <v>0.38734002002388396</v>
      </c>
      <c r="BE68" s="579">
        <f>Operations!BE34/Operations!BE52</f>
        <v>0.39924324679043571</v>
      </c>
      <c r="BF68" s="964">
        <f>Operations!BF34/Operations!BF52</f>
        <v>0.38661379038801125</v>
      </c>
      <c r="BG68" s="554">
        <f>Operations!BG34/Operations!BG52</f>
        <v>0.37925356750823269</v>
      </c>
      <c r="BH68" s="877">
        <f>Operations!BH34/Operations!BH52</f>
        <v>0.42503201609952429</v>
      </c>
      <c r="BI68" s="578">
        <f>Operations!BI34/Operations!BI52</f>
        <v>0.44853952304556038</v>
      </c>
      <c r="BJ68" s="578">
        <f>Operations!BJ34/Operations!BJ52</f>
        <v>0.44540608743378035</v>
      </c>
      <c r="BK68" s="878">
        <f>Operations!BK34/Operations!BK52</f>
        <v>0.37311333699231614</v>
      </c>
      <c r="BL68" s="553">
        <f>Operations!BL34/Operations!BL52</f>
        <v>0.42294182217343579</v>
      </c>
      <c r="BM68" s="877">
        <f>Operations!BM34/Operations!BM52</f>
        <v>0.42355736980119524</v>
      </c>
      <c r="BN68" s="578">
        <f>Operations!BN34/Operations!BN52</f>
        <v>0.41846260901557281</v>
      </c>
      <c r="BO68" s="578">
        <f>Operations!BO34/Operations!BO52</f>
        <v>0.44570549265021714</v>
      </c>
      <c r="BP68" s="878">
        <f>Operations!BP34/Operations!BP52</f>
        <v>0.42349506932181552</v>
      </c>
      <c r="BQ68" s="553">
        <f>Operations!BQ34/Operations!BQ52</f>
        <v>0.42785400658616907</v>
      </c>
      <c r="BR68" s="994">
        <f>Operations!BR34/Operations!BR52</f>
        <v>0.42336260519575553</v>
      </c>
      <c r="BS68" s="579">
        <f>Operations!BS34/Operations!BS52</f>
        <v>0.45349272023256659</v>
      </c>
      <c r="BT68" s="579">
        <f>Operations!BT34/Operations!BT52</f>
        <v>0.47991934329212999</v>
      </c>
      <c r="BU68" s="878">
        <f>Operations!BU34/Operations!BU52</f>
        <v>0.36712523266358038</v>
      </c>
      <c r="BV68" s="553">
        <f>Operations!BV34/Operations!BV52</f>
        <v>0.4309549945115258</v>
      </c>
      <c r="BW68" s="994">
        <f>Operations!BW34/Operations!BW52</f>
        <v>0.34412123429686542</v>
      </c>
      <c r="BX68" s="579">
        <f>Operations!BX34/Operations!BX52</f>
        <v>0.40682259562610817</v>
      </c>
      <c r="BY68" s="579">
        <f>Operations!BY34/Operations!BY52</f>
        <v>0.35667326874433253</v>
      </c>
      <c r="BZ68" s="964">
        <f>Operations!BZ34/Operations!BZ52</f>
        <v>0.2935259867322102</v>
      </c>
      <c r="CA68" s="554">
        <f>Operations!CA34/Operations!CA52</f>
        <v>0.35016465422612514</v>
      </c>
      <c r="CB68" s="994">
        <f>Operations!CB34/Operations!CB52</f>
        <v>0.42047140565252522</v>
      </c>
      <c r="CC68" s="579">
        <f>Operations!CC34/Operations!CC52</f>
        <v>0.43323964729014119</v>
      </c>
      <c r="CD68" s="579">
        <f>Operations!CD34/Operations!CD52</f>
        <v>0.39543263494487663</v>
      </c>
      <c r="CE68" s="964">
        <f>Operations!CE34/Operations!CE52</f>
        <v>0.37322221161647495</v>
      </c>
      <c r="CF68" s="554">
        <f>Operations!CF34/Operations!CF52</f>
        <v>0.4065861690450055</v>
      </c>
      <c r="CG68" s="994">
        <f>Operations!CG34/Operations!CG52</f>
        <v>0.41846566654470052</v>
      </c>
      <c r="CH68" s="579">
        <f>Operations!CH34/Operations!CH52</f>
        <v>0.48123062447980114</v>
      </c>
      <c r="CI68" s="579">
        <f>Operations!CI34/Operations!CI52</f>
        <v>0.47425786283587074</v>
      </c>
      <c r="CJ68" s="964">
        <f>Operations!CJ34/Operations!CJ52</f>
        <v>0.48601632224502456</v>
      </c>
      <c r="CK68" s="554">
        <f>Operations!CK34/Operations!CK52</f>
        <v>0.46520307354555435</v>
      </c>
      <c r="CL68" s="994">
        <f>Operations!CL34/Operations!CL52</f>
        <v>0.55691547749725567</v>
      </c>
      <c r="CM68" s="579">
        <f>Operations!CM34/Operations!CM52</f>
        <v>0.49085523696939731</v>
      </c>
      <c r="CN68" s="579">
        <f>Operations!CN34/Operations!CN52</f>
        <v>0.48374302009258818</v>
      </c>
      <c r="CO68" s="964">
        <f>Operations!CO34/Operations!CO52</f>
        <v>0.49573664868992506</v>
      </c>
      <c r="CP68" s="554">
        <f>Operations!CP34/Operations!CP52</f>
        <v>0.5065817782656421</v>
      </c>
      <c r="CQ68" s="994">
        <f>Operations!CQ34/Operations!CQ52</f>
        <v>0.56805378704720078</v>
      </c>
      <c r="CR68" s="579">
        <f>Operations!CR34/Operations!CR52</f>
        <v>0.50067234170878527</v>
      </c>
      <c r="CS68" s="579">
        <f>Operations!CS34/Operations!CS52</f>
        <v>0.49341788049443991</v>
      </c>
      <c r="CT68" s="964">
        <f>Operations!CT34/Operations!CT52</f>
        <v>0.50565138166372359</v>
      </c>
      <c r="CU68" s="554">
        <f>Operations!CU34/Operations!CU52</f>
        <v>0.51671341383095504</v>
      </c>
      <c r="CV68" s="994">
        <f>Operations!CV34/Operations!CV52</f>
        <v>0.61829460843373496</v>
      </c>
      <c r="CW68" s="579">
        <f>Operations!CW34/Operations!CW52</f>
        <v>0.54495369369786839</v>
      </c>
      <c r="CX68" s="579">
        <f>Operations!CX34/Operations!CX52</f>
        <v>0.53705762054740702</v>
      </c>
      <c r="CY68" s="964">
        <f>Operations!CY34/Operations!CY52</f>
        <v>0.55037309874279716</v>
      </c>
      <c r="CZ68" s="554">
        <f>Operations!CZ34/Operations!CZ52</f>
        <v>0.56241349879518077</v>
      </c>
    </row>
    <row r="69" spans="1:104" ht="13.5" hidden="1" customHeight="1" outlineLevel="1">
      <c r="A69" s="819"/>
      <c r="B69" s="199" t="s">
        <v>464</v>
      </c>
      <c r="C69" s="199"/>
      <c r="D69" s="542"/>
      <c r="E69" s="542"/>
      <c r="F69" s="542"/>
      <c r="G69" s="542"/>
      <c r="H69" s="530"/>
      <c r="I69" s="496"/>
      <c r="J69" s="496"/>
      <c r="K69" s="496"/>
      <c r="L69" s="496"/>
      <c r="M69" s="496"/>
      <c r="N69" s="496"/>
      <c r="O69" s="496"/>
      <c r="P69" s="496"/>
      <c r="Q69" s="496"/>
      <c r="R69" s="496"/>
      <c r="S69" s="496"/>
      <c r="T69" s="553">
        <f>Operations!T36/Operations!T53</f>
        <v>0.9707986111111111</v>
      </c>
      <c r="U69" s="553">
        <f>Operations!U36/Operations!U53</f>
        <v>0.8824175824175825</v>
      </c>
      <c r="V69" s="553">
        <f>Operations!V36/Operations!V53</f>
        <v>0.83439198369565215</v>
      </c>
      <c r="W69" s="553">
        <f>Operations!W36/Operations!W53</f>
        <v>0.76496263586956514</v>
      </c>
      <c r="X69" s="553">
        <f>Operations!X36/Operations!X53</f>
        <v>0.86250000000000004</v>
      </c>
      <c r="Y69" s="553">
        <f>Operations!Y36/Operations!Y53</f>
        <v>0.71794294294294292</v>
      </c>
      <c r="Z69" s="553">
        <f>Operations!Z36/Operations!Z53</f>
        <v>0.74040689040689034</v>
      </c>
      <c r="AA69" s="553">
        <f>Operations!AA36/Operations!AA53</f>
        <v>0.80956227967097538</v>
      </c>
      <c r="AB69" s="553">
        <f>Operations!AB36/Operations!AB53</f>
        <v>0.82886310223266746</v>
      </c>
      <c r="AC69" s="553">
        <f>Operations!AC36/Operations!AC53</f>
        <v>0.77459459459459457</v>
      </c>
      <c r="AD69" s="553">
        <f>Operations!AD36/Operations!AD53</f>
        <v>0.83632132132132131</v>
      </c>
      <c r="AE69" s="553">
        <f>Operations!AE36/Operations!AE53</f>
        <v>0.87808137808137809</v>
      </c>
      <c r="AF69" s="553">
        <f>Operations!AF36/Operations!AF53</f>
        <v>0.88140423031727377</v>
      </c>
      <c r="AG69" s="553">
        <f>Operations!AG36/Operations!AG53</f>
        <v>0.87282608695652175</v>
      </c>
      <c r="AH69" s="553">
        <f>Operations!AH36/Operations!AH53</f>
        <v>0.86729729729729732</v>
      </c>
      <c r="AI69" s="553">
        <f>Operations!AI36/Operations!AI53</f>
        <v>0.83851351351351355</v>
      </c>
      <c r="AJ69" s="553">
        <f>Operations!AJ36/Operations!AJ53</f>
        <v>0.87916542916542917</v>
      </c>
      <c r="AK69" s="553">
        <f>Operations!AK36/Operations!AK53</f>
        <v>0.83744124559341948</v>
      </c>
      <c r="AL69" s="553">
        <f>Operations!AL36/Operations!AL53</f>
        <v>0.85459753231492364</v>
      </c>
      <c r="AM69" s="553">
        <f>Operations!AM36/Operations!AM53</f>
        <v>0.85243243243243239</v>
      </c>
      <c r="AN69" s="553">
        <f>Operations!AN36/Operations!AN53</f>
        <v>0.85057057057057062</v>
      </c>
      <c r="AO69" s="553">
        <f>Operations!AO36/Operations!AO53</f>
        <v>0.89434214434214432</v>
      </c>
      <c r="AP69" s="553">
        <f>Operations!AP36/Operations!AP53</f>
        <v>0.87711515863689782</v>
      </c>
      <c r="AQ69" s="553">
        <f>Operations!AQ36/Operations!AQ53</f>
        <v>0.55221797884841362</v>
      </c>
      <c r="AR69" s="553">
        <f>Operations!AR36/Operations!AR53</f>
        <v>0.79297297297297298</v>
      </c>
      <c r="AS69" s="877">
        <f>Operations!AS36/Operations!AS53</f>
        <v>0.36719219219219218</v>
      </c>
      <c r="AT69" s="578">
        <f>Operations!AT36/Operations!AT53</f>
        <v>0.40435105435105434</v>
      </c>
      <c r="AU69" s="578">
        <f>Operations!AU36/Operations!AU53</f>
        <v>0.53827849588719157</v>
      </c>
      <c r="AV69" s="878">
        <f>Operations!AV36/Operations!AV53</f>
        <v>0.44606345475910691</v>
      </c>
      <c r="AW69" s="553">
        <f>Operations!AW36/Operations!AW53</f>
        <v>0.43945945945945947</v>
      </c>
      <c r="AX69" s="877">
        <f>Operations!AX36/Operations!AX53</f>
        <v>0.53051051051051057</v>
      </c>
      <c r="AY69" s="578">
        <f>Operations!AY36/Operations!AY53</f>
        <v>0.58755568755568754</v>
      </c>
      <c r="AZ69" s="578">
        <f>Operations!AZ36/Operations!AZ53</f>
        <v>0.60475910693302004</v>
      </c>
      <c r="BA69" s="878">
        <f>Operations!BA36/Operations!BA53</f>
        <v>0.58867508813160985</v>
      </c>
      <c r="BB69" s="553">
        <f>Operations!BB36/Operations!BB53</f>
        <v>0.57810810810810809</v>
      </c>
      <c r="BC69" s="877">
        <f>Operations!BC36/Operations!BC53</f>
        <v>0.72671171171171167</v>
      </c>
      <c r="BD69" s="578">
        <f>Operations!BD36/Operations!BD53</f>
        <v>0.61248886248886247</v>
      </c>
      <c r="BE69" s="579">
        <f>Operations!BE36/Operations!BE53</f>
        <v>0.56294065804935367</v>
      </c>
      <c r="BF69" s="964">
        <f>Operations!BF36/Operations!BF53</f>
        <v>0.62727673325499411</v>
      </c>
      <c r="BG69" s="554">
        <f>Operations!BG36/Operations!BG53</f>
        <v>0.63189189189189188</v>
      </c>
      <c r="BH69" s="877">
        <f>Operations!BH36/Operations!BH53</f>
        <v>0.73</v>
      </c>
      <c r="BI69" s="578">
        <f>Operations!BI36/Operations!BI53</f>
        <v>0.64501039501039503</v>
      </c>
      <c r="BJ69" s="578">
        <f>Operations!BJ36/Operations!BJ53</f>
        <v>0.66480611045828442</v>
      </c>
      <c r="BK69" s="878">
        <f>Operations!BK36/Operations!BK53</f>
        <v>0.66909518213866037</v>
      </c>
      <c r="BL69" s="553">
        <f>Operations!BL36/Operations!BL53</f>
        <v>0.677027027027027</v>
      </c>
      <c r="BM69" s="877">
        <f>Operations!BM36/Operations!BM53</f>
        <v>0.72780780780780785</v>
      </c>
      <c r="BN69" s="578">
        <f>Operations!BN36/Operations!BN53</f>
        <v>0.66994356994356996</v>
      </c>
      <c r="BO69" s="578">
        <f>Operations!BO36/Operations!BO53</f>
        <v>0.78275558166862513</v>
      </c>
      <c r="BP69" s="878">
        <f>Operations!BP36/Operations!BP53</f>
        <v>0.73235898942420685</v>
      </c>
      <c r="BQ69" s="553">
        <f>Operations!BQ36/Operations!BQ53</f>
        <v>0.72837837837837838</v>
      </c>
      <c r="BR69" s="994">
        <f>Operations!BR36/Operations!BR53</f>
        <v>0.77384384384384386</v>
      </c>
      <c r="BS69" s="579">
        <f>Operations!BS36/Operations!BS53</f>
        <v>0.67536382536382533</v>
      </c>
      <c r="BT69" s="579">
        <f>Operations!BT36/Operations!BT53</f>
        <v>0.74308166862514691</v>
      </c>
      <c r="BU69" s="878">
        <f>Operations!BU36/Operations!BU53</f>
        <v>0.57688014101057583</v>
      </c>
      <c r="BV69" s="553">
        <f>Operations!BV36/Operations!BV53</f>
        <v>0.69189189189189193</v>
      </c>
      <c r="BW69" s="994">
        <f>Operations!BW36/Operations!BW53</f>
        <v>0.57106606606606602</v>
      </c>
      <c r="BX69" s="579">
        <f>Operations!BX36/Operations!BX53</f>
        <v>0.60923670923670925</v>
      </c>
      <c r="BY69" s="579">
        <f>Operations!BY36/Operations!BY53</f>
        <v>0.66802291421856641</v>
      </c>
      <c r="BZ69" s="964">
        <f>Operations!BZ36/Operations!BZ53</f>
        <v>0.56294065804935367</v>
      </c>
      <c r="CA69" s="554">
        <f>Operations!CA36/Operations!CA53</f>
        <v>0.60297297297297292</v>
      </c>
      <c r="CB69" s="994">
        <f>Operations!CB36/Operations!CB53</f>
        <v>0.65043065043065051</v>
      </c>
      <c r="CC69" s="579">
        <f>Operations!CC36/Operations!CC53</f>
        <v>0.63742203742203751</v>
      </c>
      <c r="CD69" s="579">
        <f>Operations!CD36/Operations!CD53</f>
        <v>0.65408343125734436</v>
      </c>
      <c r="CE69" s="964">
        <f>Operations!CE36/Operations!CE53</f>
        <v>0.55865158636897772</v>
      </c>
      <c r="CF69" s="554">
        <f>Operations!CF36/Operations!CF53</f>
        <v>0.62675675675675679</v>
      </c>
      <c r="CG69" s="994">
        <f>Operations!CG36/Operations!CG53</f>
        <v>0.55462462462462458</v>
      </c>
      <c r="CH69" s="579">
        <f>Operations!CH36/Operations!CH53</f>
        <v>0.47481437481437483</v>
      </c>
      <c r="CI69" s="579">
        <f>Operations!CI36/Operations!CI53</f>
        <v>0.43105170387779085</v>
      </c>
      <c r="CJ69" s="964">
        <f>Operations!CJ36/Operations!CJ53</f>
        <v>0.42140129259694475</v>
      </c>
      <c r="CK69" s="554">
        <f>Operations!CK36/Operations!CK53</f>
        <v>0.47</v>
      </c>
      <c r="CL69" s="994">
        <f>Operations!CL36/Operations!CL53</f>
        <v>0.54475975975975977</v>
      </c>
      <c r="CM69" s="579">
        <f>Operations!CM36/Operations!CM53</f>
        <v>0.48431066231066228</v>
      </c>
      <c r="CN69" s="579">
        <f>Operations!CN36/Operations!CN53</f>
        <v>0.43967273795534667</v>
      </c>
      <c r="CO69" s="964">
        <f>Operations!CO36/Operations!CO53</f>
        <v>0.42982931844888367</v>
      </c>
      <c r="CP69" s="554">
        <f>Operations!CP36/Operations!CP53</f>
        <v>0.4742324324324324</v>
      </c>
      <c r="CQ69" s="994">
        <f>Operations!CQ36/Operations!CQ53</f>
        <v>0.55565495495495498</v>
      </c>
      <c r="CR69" s="579">
        <f>Operations!CR36/Operations!CR53</f>
        <v>0.49399687555687555</v>
      </c>
      <c r="CS69" s="579">
        <f>Operations!CS36/Operations!CS53</f>
        <v>0.44846619271445365</v>
      </c>
      <c r="CT69" s="964">
        <f>Operations!CT36/Operations!CT53</f>
        <v>0.43842590481786137</v>
      </c>
      <c r="CU69" s="554">
        <f>Operations!CU36/Operations!CU53</f>
        <v>0.48371708108108113</v>
      </c>
      <c r="CV69" s="994">
        <f>Operations!CV36/Operations!CV53</f>
        <v>0.56676805405405406</v>
      </c>
      <c r="CW69" s="579">
        <f>Operations!CW36/Operations!CW53</f>
        <v>0.50387681306801302</v>
      </c>
      <c r="CX69" s="579">
        <f>Operations!CX36/Operations!CX53</f>
        <v>0.45743551656874271</v>
      </c>
      <c r="CY69" s="964">
        <f>Operations!CY36/Operations!CY53</f>
        <v>0.44719442291421863</v>
      </c>
      <c r="CZ69" s="554">
        <f>Operations!CZ36/Operations!CZ53</f>
        <v>0.4933914227027027</v>
      </c>
    </row>
    <row r="70" spans="1:104" ht="13.5" hidden="1" customHeight="1" outlineLevel="1">
      <c r="A70" s="819"/>
      <c r="B70" s="199" t="s">
        <v>465</v>
      </c>
      <c r="C70" s="199"/>
      <c r="D70" s="542"/>
      <c r="E70" s="542"/>
      <c r="F70" s="542"/>
      <c r="G70" s="542"/>
      <c r="H70" s="530"/>
      <c r="I70" s="496"/>
      <c r="J70" s="496"/>
      <c r="K70" s="496"/>
      <c r="L70" s="496"/>
      <c r="M70" s="496"/>
      <c r="N70" s="496"/>
      <c r="O70" s="496"/>
      <c r="P70" s="496"/>
      <c r="Q70" s="496"/>
      <c r="R70" s="496"/>
      <c r="S70" s="496"/>
      <c r="T70" s="553">
        <f>Operations!T37/Operations!T54</f>
        <v>0.82065359477124178</v>
      </c>
      <c r="U70" s="553">
        <f>Operations!U37/Operations!U54</f>
        <v>0.76916612798965744</v>
      </c>
      <c r="V70" s="553">
        <f>Operations!V37/Operations!V54</f>
        <v>1.215888746803069</v>
      </c>
      <c r="W70" s="553">
        <f>Operations!W37/Operations!W54</f>
        <v>1.1995524296675193</v>
      </c>
      <c r="X70" s="553">
        <f>Operations!X37/Operations!X54</f>
        <v>1.0029411764705882</v>
      </c>
      <c r="Y70" s="553">
        <f>Operations!Y37/Operations!Y54</f>
        <v>0.8560119047619047</v>
      </c>
      <c r="Z70" s="553">
        <f>Operations!Z37/Operations!Z54</f>
        <v>0.7033555729984301</v>
      </c>
      <c r="AA70" s="553">
        <f>Operations!AA37/Operations!AA54</f>
        <v>0.75238742236024847</v>
      </c>
      <c r="AB70" s="553">
        <f>Operations!AB37/Operations!AB54</f>
        <v>0.75380434782608696</v>
      </c>
      <c r="AC70" s="553">
        <f>Operations!AC37/Operations!AC54</f>
        <v>0.76607142857142863</v>
      </c>
      <c r="AD70" s="553">
        <f>Operations!AD37/Operations!AD54</f>
        <v>0.90380952380952373</v>
      </c>
      <c r="AE70" s="553">
        <f>Operations!AE37/Operations!AE54</f>
        <v>0.87382260596546302</v>
      </c>
      <c r="AF70" s="553">
        <f>Operations!AF37/Operations!AF54</f>
        <v>0.86574145962732929</v>
      </c>
      <c r="AG70" s="553">
        <f>Operations!AG37/Operations!AG54</f>
        <v>0.83598602484472051</v>
      </c>
      <c r="AH70" s="553">
        <f>Operations!AH37/Operations!AH54</f>
        <v>0.86964285714285716</v>
      </c>
      <c r="AI70" s="553">
        <f>Operations!AI37/Operations!AI54</f>
        <v>0.9052579365079364</v>
      </c>
      <c r="AJ70" s="553">
        <f>Operations!AJ37/Operations!AJ54</f>
        <v>0.86952511773940333</v>
      </c>
      <c r="AK70" s="553">
        <f>Operations!AK37/Operations!AK54</f>
        <v>0.95075698757763982</v>
      </c>
      <c r="AL70" s="553">
        <f>Operations!AL37/Operations!AL54</f>
        <v>0.8855784161490684</v>
      </c>
      <c r="AM70" s="553">
        <f>Operations!AM37/Operations!AM54</f>
        <v>0.9028571428571428</v>
      </c>
      <c r="AN70" s="553">
        <f>Operations!AN37/Operations!AN54</f>
        <v>1.0138888888888888</v>
      </c>
      <c r="AO70" s="553">
        <f>Operations!AO37/Operations!AO54</f>
        <v>0.94114992150706434</v>
      </c>
      <c r="AP70" s="553">
        <f>Operations!AP37/Operations!AP54</f>
        <v>0.96067546583850938</v>
      </c>
      <c r="AQ70" s="553">
        <f>Operations!AQ37/Operations!AQ54</f>
        <v>0.6305318322981367</v>
      </c>
      <c r="AR70" s="553">
        <f>Operations!AR37/Operations!AR54</f>
        <v>0.88571428571428568</v>
      </c>
      <c r="AS70" s="877">
        <f>Operations!AS37/Operations!AS54</f>
        <v>0.52142857142857135</v>
      </c>
      <c r="AT70" s="578">
        <f>Operations!AT37/Operations!AT54</f>
        <v>0.44693877551020406</v>
      </c>
      <c r="AU70" s="578">
        <f>Operations!AU37/Operations!AU54</f>
        <v>0.68295807453416157</v>
      </c>
      <c r="AV70" s="878">
        <f>Operations!AV37/Operations!AV54</f>
        <v>0.64328416149068324</v>
      </c>
      <c r="AW70" s="553">
        <f>Operations!AW37/Operations!AW54</f>
        <v>0.57428571428571429</v>
      </c>
      <c r="AX70" s="877">
        <f>Operations!AX37/Operations!AX54</f>
        <v>0.8009722222222222</v>
      </c>
      <c r="AY70" s="578">
        <f>Operations!AY37/Operations!AY54</f>
        <v>0.84374018838304543</v>
      </c>
      <c r="AZ70" s="578">
        <f>Operations!AZ37/Operations!AZ54</f>
        <v>0.77222437888198758</v>
      </c>
      <c r="BA70" s="878">
        <f>Operations!BA37/Operations!BA54</f>
        <v>0.76797360248447211</v>
      </c>
      <c r="BB70" s="553">
        <f>Operations!BB37/Operations!BB54</f>
        <v>0.79607142857142854</v>
      </c>
      <c r="BC70" s="877">
        <f>Operations!BC37/Operations!BC54</f>
        <v>0.85456349206349203</v>
      </c>
      <c r="BD70" s="578">
        <f>Operations!BD37/Operations!BD54</f>
        <v>0.83514521193092617</v>
      </c>
      <c r="BE70" s="579">
        <f>Operations!BE37/Operations!BE54</f>
        <v>0.8402368012422361</v>
      </c>
      <c r="BF70" s="964">
        <f>Operations!BF37/Operations!BF54</f>
        <v>0.72546583850931678</v>
      </c>
      <c r="BG70" s="554">
        <f>Operations!BG37/Operations!BG54</f>
        <v>0.81357142857142861</v>
      </c>
      <c r="BH70" s="877">
        <f>Operations!BH37/Operations!BH54</f>
        <v>0.89077380952380947</v>
      </c>
      <c r="BI70" s="578">
        <f>Operations!BI37/Operations!BI54</f>
        <v>0.86522762951334375</v>
      </c>
      <c r="BJ70" s="578">
        <f>Operations!BJ37/Operations!BJ54</f>
        <v>0.7934782608695653</v>
      </c>
      <c r="BK70" s="878">
        <f>Operations!BK37/Operations!BK54</f>
        <v>0.69287655279503113</v>
      </c>
      <c r="BL70" s="553">
        <f>Operations!BL37/Operations!BL54</f>
        <v>0.81</v>
      </c>
      <c r="BM70" s="877">
        <f>Operations!BM37/Operations!BM54</f>
        <v>0.81111111111111101</v>
      </c>
      <c r="BN70" s="578">
        <f>Operations!BN37/Operations!BN54</f>
        <v>0.8423076923076922</v>
      </c>
      <c r="BO70" s="578">
        <f>Operations!BO37/Operations!BO54</f>
        <v>0.85015527950310565</v>
      </c>
      <c r="BP70" s="878">
        <f>Operations!BP37/Operations!BP54</f>
        <v>0.87140916149068326</v>
      </c>
      <c r="BQ70" s="553">
        <f>Operations!BQ37/Operations!BQ54</f>
        <v>0.84392857142857147</v>
      </c>
      <c r="BR70" s="994">
        <f>Operations!BR37/Operations!BR54</f>
        <v>0.96464285714285714</v>
      </c>
      <c r="BS70" s="579">
        <f>Operations!BS37/Operations!BS54</f>
        <v>0.88958006279434843</v>
      </c>
      <c r="BT70" s="579">
        <f>Operations!BT37/Operations!BT54</f>
        <v>0.87282608695652175</v>
      </c>
      <c r="BU70" s="878">
        <f>Operations!BU37/Operations!BU54</f>
        <v>0.76372282608695663</v>
      </c>
      <c r="BV70" s="553">
        <f>Operations!BV37/Operations!BV54</f>
        <v>0.87214285714285711</v>
      </c>
      <c r="BW70" s="994">
        <f>Operations!BW37/Operations!BW54</f>
        <v>0.7202107279693486</v>
      </c>
      <c r="BX70" s="579">
        <f>Operations!BX37/Operations!BX54</f>
        <v>0.68601743084501698</v>
      </c>
      <c r="BY70" s="579">
        <f>Operations!BY37/Operations!BY54</f>
        <v>0.66898425787106441</v>
      </c>
      <c r="BZ70" s="964">
        <f>Operations!BZ37/Operations!BZ54</f>
        <v>0.55406671664167917</v>
      </c>
      <c r="CA70" s="554">
        <f>Operations!CA37/Operations!CA54</f>
        <v>0.65689655172413797</v>
      </c>
      <c r="CB70" s="994">
        <f>Operations!CB37/Operations!CB54</f>
        <v>0.76347101174687382</v>
      </c>
      <c r="CC70" s="579">
        <f>Operations!CC37/Operations!CC54</f>
        <v>0.81326259946949597</v>
      </c>
      <c r="CD70" s="579">
        <f>Operations!CD37/Operations!CD54</f>
        <v>0.58279610194902542</v>
      </c>
      <c r="CE70" s="964">
        <f>Operations!CE37/Operations!CE54</f>
        <v>0.62520614692653675</v>
      </c>
      <c r="CF70" s="554">
        <f>Operations!CF37/Operations!CF54</f>
        <v>0.69758620689655171</v>
      </c>
      <c r="CG70" s="994">
        <f>Operations!CG37/Operations!CG54</f>
        <v>0.78733716475095783</v>
      </c>
      <c r="CH70" s="579">
        <f>Operations!CH37/Operations!CH54</f>
        <v>0.89624857900719967</v>
      </c>
      <c r="CI70" s="579">
        <f>Operations!CI37/Operations!CI54</f>
        <v>0.71823463268365817</v>
      </c>
      <c r="CJ70" s="964">
        <f>Operations!CJ37/Operations!CJ54</f>
        <v>0.70181784107946021</v>
      </c>
      <c r="CK70" s="554">
        <f>Operations!CK37/Operations!CK54</f>
        <v>0.77551724137931033</v>
      </c>
      <c r="CL70" s="994">
        <f>Operations!CL37/Operations!CL54</f>
        <v>0.76216475095785441</v>
      </c>
      <c r="CM70" s="579">
        <f>Operations!CM37/Operations!CM54</f>
        <v>0.9231360363774157</v>
      </c>
      <c r="CN70" s="579">
        <f>Operations!CN37/Operations!CN54</f>
        <v>0.73978167166416786</v>
      </c>
      <c r="CO70" s="964">
        <f>Operations!CO37/Operations!CO54</f>
        <v>0.72287237631184398</v>
      </c>
      <c r="CP70" s="554">
        <f>Operations!CP37/Operations!CP54</f>
        <v>0.78675172413793104</v>
      </c>
      <c r="CQ70" s="994">
        <f>Operations!CQ37/Operations!CQ54</f>
        <v>0.77740804597701141</v>
      </c>
      <c r="CR70" s="579">
        <f>Operations!CR37/Operations!CR54</f>
        <v>0.94159875710496399</v>
      </c>
      <c r="CS70" s="579">
        <f>Operations!CS37/Operations!CS54</f>
        <v>0.75457730509745136</v>
      </c>
      <c r="CT70" s="964">
        <f>Operations!CT37/Operations!CT54</f>
        <v>0.73732982383808099</v>
      </c>
      <c r="CU70" s="554">
        <f>Operations!CU37/Operations!CU54</f>
        <v>0.80248675862068963</v>
      </c>
      <c r="CV70" s="994">
        <f>Operations!CV37/Operations!CV54</f>
        <v>0.79295620689655177</v>
      </c>
      <c r="CW70" s="579">
        <f>Operations!CW37/Operations!CW54</f>
        <v>0.96043073224706332</v>
      </c>
      <c r="CX70" s="579">
        <f>Operations!CX37/Operations!CX54</f>
        <v>0.76966885119940032</v>
      </c>
      <c r="CY70" s="964">
        <f>Operations!CY37/Operations!CY54</f>
        <v>0.75207642031484268</v>
      </c>
      <c r="CZ70" s="554">
        <f>Operations!CZ37/Operations!CZ54</f>
        <v>0.81853649379310356</v>
      </c>
    </row>
    <row r="71" spans="1:104" ht="6.2" customHeight="1">
      <c r="A71" s="819"/>
      <c r="B71" s="199"/>
      <c r="C71" s="199"/>
      <c r="D71" s="542"/>
      <c r="E71" s="542"/>
      <c r="F71" s="542"/>
      <c r="G71" s="542"/>
      <c r="H71" s="496"/>
      <c r="I71" s="496"/>
      <c r="J71" s="496"/>
      <c r="K71" s="496"/>
      <c r="L71" s="496"/>
      <c r="M71" s="496"/>
      <c r="N71" s="496"/>
      <c r="O71" s="496"/>
      <c r="P71" s="496"/>
      <c r="Q71" s="496"/>
      <c r="R71" s="496"/>
      <c r="S71" s="496"/>
      <c r="T71" s="496"/>
      <c r="U71" s="496"/>
      <c r="V71" s="496"/>
      <c r="W71" s="496"/>
      <c r="X71" s="496"/>
      <c r="Y71" s="496"/>
      <c r="Z71" s="496"/>
      <c r="AA71" s="496"/>
      <c r="AB71" s="496"/>
      <c r="AC71" s="496"/>
      <c r="AD71" s="496"/>
      <c r="AE71" s="496"/>
      <c r="AF71" s="496"/>
      <c r="AG71" s="496"/>
      <c r="AH71" s="496"/>
      <c r="AI71" s="545"/>
      <c r="AJ71" s="545"/>
      <c r="AK71" s="545"/>
      <c r="AL71" s="545"/>
      <c r="AM71" s="496"/>
      <c r="AN71" s="545"/>
      <c r="AO71" s="496"/>
      <c r="AP71" s="496"/>
      <c r="AQ71" s="496"/>
      <c r="AR71" s="496"/>
      <c r="AS71" s="879"/>
      <c r="AT71" s="880"/>
      <c r="AU71" s="880"/>
      <c r="AV71" s="881"/>
      <c r="AW71" s="496"/>
      <c r="AX71" s="879"/>
      <c r="AY71" s="880"/>
      <c r="AZ71" s="880"/>
      <c r="BA71" s="881"/>
      <c r="BB71" s="496"/>
      <c r="BC71" s="879"/>
      <c r="BD71" s="880"/>
      <c r="BE71" s="965"/>
      <c r="BF71" s="966"/>
      <c r="BG71" s="546"/>
      <c r="BH71" s="879"/>
      <c r="BI71" s="880"/>
      <c r="BJ71" s="880"/>
      <c r="BK71" s="881"/>
      <c r="BL71" s="496"/>
      <c r="BM71" s="879"/>
      <c r="BN71" s="880"/>
      <c r="BO71" s="880"/>
      <c r="BP71" s="881"/>
      <c r="BQ71" s="496"/>
      <c r="BR71" s="879"/>
      <c r="BS71" s="880"/>
      <c r="BT71" s="880"/>
      <c r="BU71" s="881"/>
      <c r="BV71" s="496"/>
      <c r="BW71" s="879"/>
      <c r="BX71" s="880"/>
      <c r="BY71" s="880"/>
      <c r="BZ71" s="881"/>
      <c r="CA71" s="496"/>
      <c r="CB71" s="879"/>
      <c r="CC71" s="880"/>
      <c r="CD71" s="880"/>
      <c r="CE71" s="881"/>
      <c r="CF71" s="496"/>
      <c r="CG71" s="879"/>
      <c r="CH71" s="880"/>
      <c r="CI71" s="880"/>
      <c r="CJ71" s="881"/>
      <c r="CK71" s="496"/>
      <c r="CL71" s="879"/>
      <c r="CM71" s="880"/>
      <c r="CN71" s="880"/>
      <c r="CO71" s="881"/>
      <c r="CP71" s="496"/>
      <c r="CQ71" s="879"/>
      <c r="CR71" s="880"/>
      <c r="CS71" s="880"/>
      <c r="CT71" s="881"/>
      <c r="CU71" s="496"/>
      <c r="CV71" s="879"/>
      <c r="CW71" s="880"/>
      <c r="CX71" s="880"/>
      <c r="CY71" s="881"/>
      <c r="CZ71" s="496"/>
    </row>
    <row r="72" spans="1:104" ht="13.5" customHeight="1">
      <c r="A72" s="819"/>
      <c r="B72" s="497" t="s">
        <v>619</v>
      </c>
      <c r="C72" s="66"/>
      <c r="D72" s="66"/>
      <c r="E72" s="66"/>
      <c r="F72" s="66"/>
      <c r="G72" s="66"/>
      <c r="H72" s="216"/>
      <c r="I72" s="216"/>
      <c r="J72" s="621">
        <v>76.541666666666671</v>
      </c>
      <c r="K72" s="621">
        <v>96.348214285714278</v>
      </c>
      <c r="L72" s="621">
        <v>101.02678571428571</v>
      </c>
      <c r="M72" s="621">
        <v>95.440476190476176</v>
      </c>
      <c r="N72" s="621">
        <f>AVERAGE(J72:M72)</f>
        <v>92.339285714285722</v>
      </c>
      <c r="O72" s="623">
        <v>110.24404761904759</v>
      </c>
      <c r="P72" s="623">
        <v>113.60714285714285</v>
      </c>
      <c r="Q72" s="623">
        <v>122.32142857142856</v>
      </c>
      <c r="R72" s="623">
        <v>144.72619047619045</v>
      </c>
      <c r="S72" s="621">
        <f>AVERAGE(O72:R72)</f>
        <v>122.72470238095235</v>
      </c>
      <c r="T72" s="625">
        <f>Operations!T13</f>
        <v>244.5</v>
      </c>
      <c r="U72" s="625">
        <f>Operations!U13</f>
        <v>201.4666666666667</v>
      </c>
      <c r="V72" s="625">
        <f>Operations!V13</f>
        <v>265.48333333333329</v>
      </c>
      <c r="W72" s="625">
        <f>Operations!W13</f>
        <v>287.01666666666671</v>
      </c>
      <c r="X72" s="621">
        <f>AVERAGE(T72:W72)</f>
        <v>249.61666666666667</v>
      </c>
      <c r="Y72" s="625">
        <f>Operations!Y13</f>
        <v>246.37666666666667</v>
      </c>
      <c r="Z72" s="625">
        <f>Operations!Z13</f>
        <v>203.84666666666666</v>
      </c>
      <c r="AA72" s="625">
        <f>Operations!AA13</f>
        <v>220.79666666666665</v>
      </c>
      <c r="AB72" s="625">
        <f>Operations!AB13</f>
        <v>246.94</v>
      </c>
      <c r="AC72" s="621">
        <f>AVERAGE(Y72:AB72)</f>
        <v>229.49</v>
      </c>
      <c r="AD72" s="625">
        <f>Operations!AD13</f>
        <v>241.68333333333331</v>
      </c>
      <c r="AE72" s="625">
        <f>Operations!AE13</f>
        <v>267.77999999999997</v>
      </c>
      <c r="AF72" s="625">
        <f>Operations!AF13</f>
        <v>254.14666666666668</v>
      </c>
      <c r="AG72" s="625">
        <f>Operations!AG13</f>
        <v>228.62</v>
      </c>
      <c r="AH72" s="621">
        <f>AVERAGE(AD72:AG72)</f>
        <v>248.05749999999998</v>
      </c>
      <c r="AI72" s="625">
        <f>Operations!AI13</f>
        <v>299.89</v>
      </c>
      <c r="AJ72" s="625">
        <f>Operations!AJ13</f>
        <v>286.15333333333336</v>
      </c>
      <c r="AK72" s="625">
        <f>Operations!AK13</f>
        <v>278.87</v>
      </c>
      <c r="AL72" s="625">
        <f>Operations!AL13</f>
        <v>295.40000000000003</v>
      </c>
      <c r="AM72" s="621">
        <f>AVERAGE(AI72:AL72)</f>
        <v>290.07833333333332</v>
      </c>
      <c r="AN72" s="625">
        <f>Operations!AN13</f>
        <v>392.53999999999996</v>
      </c>
      <c r="AO72" s="625">
        <f>Operations!AO13</f>
        <v>547.20666666666682</v>
      </c>
      <c r="AP72" s="625">
        <f>Operations!AP13</f>
        <v>513.71333333333337</v>
      </c>
      <c r="AQ72" s="625">
        <f>Operations!AQ13</f>
        <v>193.66333333333333</v>
      </c>
      <c r="AR72" s="621">
        <f>AVERAGE(AN72:AQ72)</f>
        <v>411.78083333333336</v>
      </c>
      <c r="AS72" s="882">
        <f>Operations!AS13</f>
        <v>213.37333333333333</v>
      </c>
      <c r="AT72" s="625">
        <f>Operations!AT13</f>
        <v>191.80666666666664</v>
      </c>
      <c r="AU72" s="625">
        <f>Operations!AU13</f>
        <v>269.50666666666666</v>
      </c>
      <c r="AV72" s="883">
        <f>Operations!AV13</f>
        <v>265.71333333333331</v>
      </c>
      <c r="AW72" s="621">
        <f>AVERAGE(AS72:AV72)</f>
        <v>235.09999999999997</v>
      </c>
      <c r="AX72" s="882">
        <f>Operations!AX13</f>
        <v>358.61666666666662</v>
      </c>
      <c r="AY72" s="625">
        <f>Operations!AY13</f>
        <v>368.89333333333337</v>
      </c>
      <c r="AZ72" s="625">
        <f>Operations!AZ13</f>
        <v>339.70666666666665</v>
      </c>
      <c r="BA72" s="883">
        <f>Operations!BA13</f>
        <v>367.51666666666665</v>
      </c>
      <c r="BB72" s="621">
        <f>AVERAGE(AX72:BA72)</f>
        <v>358.68333333333334</v>
      </c>
      <c r="BC72" s="882">
        <f>Operations!BC13</f>
        <v>456.45666666666665</v>
      </c>
      <c r="BD72" s="625">
        <f>Operations!BD13</f>
        <v>447.39333333333337</v>
      </c>
      <c r="BE72" s="625">
        <f>Operations!BE13</f>
        <v>450</v>
      </c>
      <c r="BF72" s="967">
        <f>Operations!BF13</f>
        <v>429.87000000000006</v>
      </c>
      <c r="BG72" s="626">
        <f>AVERAGE(BC72:BF72)</f>
        <v>445.93</v>
      </c>
      <c r="BH72" s="882">
        <f>Operations!BH13</f>
        <v>449.5</v>
      </c>
      <c r="BI72" s="625">
        <f>Operations!BI13</f>
        <v>414.82666666666665</v>
      </c>
      <c r="BJ72" s="625">
        <f>Operations!BJ13</f>
        <v>373.72</v>
      </c>
      <c r="BK72" s="883">
        <f>Operations!BK13</f>
        <v>369.33</v>
      </c>
      <c r="BL72" s="621">
        <f>AVERAGE(BH72:BK72)</f>
        <v>401.84416666666664</v>
      </c>
      <c r="BM72" s="882">
        <f>Operations!BM13</f>
        <v>390.07333333333332</v>
      </c>
      <c r="BN72" s="625">
        <f>Operations!BN13</f>
        <v>374.86666666666662</v>
      </c>
      <c r="BO72" s="625">
        <f>Operations!BO13</f>
        <v>366.6033333333333</v>
      </c>
      <c r="BP72" s="883">
        <f>Operations!BP13</f>
        <v>383.98333333333335</v>
      </c>
      <c r="BQ72" s="621">
        <f>AVERAGE(BM72:BP72)</f>
        <v>378.88166666666666</v>
      </c>
      <c r="BR72" s="882">
        <f>Operations!BR13</f>
        <v>412.41333333333336</v>
      </c>
      <c r="BS72" s="625">
        <f>Operations!BS13</f>
        <v>383.64333333333337</v>
      </c>
      <c r="BT72" s="625">
        <f>Operations!BT13</f>
        <v>374.24333333333334</v>
      </c>
      <c r="BU72" s="883">
        <f>Operations!BU13</f>
        <v>338.38333333333338</v>
      </c>
      <c r="BV72" s="621">
        <f>AVERAGE(BR72:BU72)</f>
        <v>377.17083333333341</v>
      </c>
      <c r="BW72" s="882">
        <f>Operations!BW13</f>
        <v>277.58666666666664</v>
      </c>
      <c r="BX72" s="625">
        <f>Operations!BX13</f>
        <v>249.18333333333331</v>
      </c>
      <c r="BY72" s="625">
        <f>Operations!BY13</f>
        <v>244.09</v>
      </c>
      <c r="BZ72" s="883">
        <f>Operations!BZ13</f>
        <v>171.85666666666668</v>
      </c>
      <c r="CA72" s="621">
        <f>AVERAGE(BW72:BZ72)</f>
        <v>235.67916666666667</v>
      </c>
      <c r="CB72" s="882">
        <f>Operations!CB13</f>
        <v>194.21666666666667</v>
      </c>
      <c r="CC72" s="625">
        <f>Operations!CC13</f>
        <v>260.70666666666665</v>
      </c>
      <c r="CD72" s="625">
        <f>Operations!CD13</f>
        <v>235.08</v>
      </c>
      <c r="CE72" s="883">
        <f>Operations!CE13</f>
        <v>227.43666666666664</v>
      </c>
      <c r="CF72" s="621">
        <f>AVERAGE(CB72:CE72)</f>
        <v>229.35999999999999</v>
      </c>
      <c r="CG72" s="882">
        <f>Operations!CG13</f>
        <v>301.52666666666664</v>
      </c>
      <c r="CH72" s="625">
        <f>Operations!CH13</f>
        <v>292.27333333333331</v>
      </c>
      <c r="CI72" s="625">
        <f>Operations!CI13</f>
        <v>289.08666666666664</v>
      </c>
      <c r="CJ72" s="883">
        <f>Operations!CJ13</f>
        <v>272.81666666666666</v>
      </c>
      <c r="CK72" s="621">
        <f>AVERAGE(CG72:CJ72)</f>
        <v>288.92583333333329</v>
      </c>
      <c r="CL72" s="882">
        <f>Operations!CL13</f>
        <v>332.51333333333332</v>
      </c>
      <c r="CM72" s="625">
        <f>Operations!CM13</f>
        <v>375</v>
      </c>
      <c r="CN72" s="625">
        <f>Operations!CN13</f>
        <v>360</v>
      </c>
      <c r="CO72" s="883">
        <f>Operations!CO13</f>
        <v>345</v>
      </c>
      <c r="CP72" s="621">
        <f>AVERAGE(CL72:CO72)</f>
        <v>353.12833333333333</v>
      </c>
      <c r="CQ72" s="882">
        <f>Operations!CQ13</f>
        <v>355</v>
      </c>
      <c r="CR72" s="625">
        <f>Operations!CR13</f>
        <v>360</v>
      </c>
      <c r="CS72" s="625">
        <f>Operations!CS13</f>
        <v>350</v>
      </c>
      <c r="CT72" s="883">
        <f>Operations!CT13</f>
        <v>335</v>
      </c>
      <c r="CU72" s="621">
        <f>AVERAGE(CQ72:CT72)</f>
        <v>350</v>
      </c>
      <c r="CV72" s="882">
        <f>Operations!CV13</f>
        <v>305</v>
      </c>
      <c r="CW72" s="625">
        <f>Operations!CW13</f>
        <v>310</v>
      </c>
      <c r="CX72" s="625">
        <f>Operations!CX13</f>
        <v>300</v>
      </c>
      <c r="CY72" s="883">
        <f>Operations!CY13</f>
        <v>285</v>
      </c>
      <c r="CZ72" s="621">
        <f>AVERAGE(CV72:CY72)</f>
        <v>300</v>
      </c>
    </row>
    <row r="73" spans="1:104" ht="13.5" customHeight="1">
      <c r="A73" s="821"/>
      <c r="B73" s="217" t="s">
        <v>133</v>
      </c>
      <c r="C73" s="77"/>
      <c r="D73" s="77"/>
      <c r="E73" s="77"/>
      <c r="F73" s="77"/>
      <c r="G73" s="77"/>
      <c r="H73" s="218"/>
      <c r="I73" s="218"/>
      <c r="J73" s="622">
        <v>77.957542666189269</v>
      </c>
      <c r="K73" s="622">
        <v>96.68966450216449</v>
      </c>
      <c r="L73" s="622">
        <v>110.05140692640691</v>
      </c>
      <c r="M73" s="622">
        <v>112.39988558352401</v>
      </c>
      <c r="N73" s="622">
        <f>AVERAGE(J73:M73)</f>
        <v>99.274624919571167</v>
      </c>
      <c r="O73" s="624">
        <v>121.64041055018497</v>
      </c>
      <c r="P73" s="624">
        <v>124.99999999999999</v>
      </c>
      <c r="Q73" s="624">
        <v>134.67326324469178</v>
      </c>
      <c r="R73" s="624">
        <v>157.54676870748295</v>
      </c>
      <c r="S73" s="622">
        <f>AVERAGE(O73:R73)</f>
        <v>134.71511062558994</v>
      </c>
      <c r="T73" s="622">
        <f>Operations!T14</f>
        <v>260.22006102212049</v>
      </c>
      <c r="U73" s="622">
        <f>Operations!U14</f>
        <v>251.76046176046171</v>
      </c>
      <c r="V73" s="622">
        <f>Operations!V14</f>
        <v>365.16594516594517</v>
      </c>
      <c r="W73" s="622">
        <f>Operations!W14</f>
        <v>411.3095238095238</v>
      </c>
      <c r="X73" s="622">
        <f>AVERAGE(T73:W73)</f>
        <v>322.11399793951279</v>
      </c>
      <c r="Y73" s="622">
        <f>Operations!Y14</f>
        <v>303.50324180015247</v>
      </c>
      <c r="Z73" s="622">
        <f>Operations!Z14</f>
        <v>206.73881673881669</v>
      </c>
      <c r="AA73" s="622">
        <f>Operations!AA14</f>
        <v>223.92753623188403</v>
      </c>
      <c r="AB73" s="622">
        <f>Operations!AB14</f>
        <v>265.51587301587301</v>
      </c>
      <c r="AC73" s="622">
        <f>AVERAGE(Y73:AB73)</f>
        <v>249.92136694668156</v>
      </c>
      <c r="AD73" s="622">
        <f>Operations!AD14</f>
        <v>265.21929824561403</v>
      </c>
      <c r="AE73" s="622">
        <f>Operations!AE14</f>
        <v>315.45454545454544</v>
      </c>
      <c r="AF73" s="622">
        <f>Operations!AF14</f>
        <v>298.47101449275362</v>
      </c>
      <c r="AG73" s="622">
        <f>Operations!AG14</f>
        <v>231.23333333333335</v>
      </c>
      <c r="AH73" s="622">
        <f>AVERAGE(AD73:AG73)</f>
        <v>277.59454788156165</v>
      </c>
      <c r="AI73" s="622">
        <f>Operations!AI14</f>
        <v>301.20105820105817</v>
      </c>
      <c r="AJ73" s="622">
        <f>Operations!AJ14</f>
        <v>310.33</v>
      </c>
      <c r="AK73" s="622">
        <f>Operations!AK14</f>
        <v>312.79333333333335</v>
      </c>
      <c r="AL73" s="622">
        <f>Operations!AL14</f>
        <v>320.09333333333331</v>
      </c>
      <c r="AM73" s="622">
        <f>AVERAGE(AI73:AL73)</f>
        <v>311.10443121693118</v>
      </c>
      <c r="AN73" s="622">
        <f>Operations!AN14</f>
        <v>414.93666666666667</v>
      </c>
      <c r="AO73" s="622">
        <f>Operations!AO14</f>
        <v>682.81333333333339</v>
      </c>
      <c r="AP73" s="622">
        <f>Operations!AP14</f>
        <v>773.15666666666675</v>
      </c>
      <c r="AQ73" s="622">
        <f>Operations!AQ14</f>
        <v>218.44666666666663</v>
      </c>
      <c r="AR73" s="622">
        <f>AVERAGE(AN73:AQ73)</f>
        <v>522.33833333333337</v>
      </c>
      <c r="AS73" s="884">
        <f>Operations!AS14</f>
        <v>226.29666666666665</v>
      </c>
      <c r="AT73" s="622">
        <f>Operations!AT14</f>
        <v>198.70333333333335</v>
      </c>
      <c r="AU73" s="622">
        <f>Operations!AU14</f>
        <v>315.73666666666668</v>
      </c>
      <c r="AV73" s="885">
        <f>Operations!AV14</f>
        <v>307.81666666666666</v>
      </c>
      <c r="AW73" s="622">
        <f>AVERAGE(AS73:AV73)</f>
        <v>262.13833333333332</v>
      </c>
      <c r="AX73" s="884">
        <f>Operations!AX14</f>
        <v>414.06333333333333</v>
      </c>
      <c r="AY73" s="622">
        <f>Operations!AY14</f>
        <v>467.1133333333334</v>
      </c>
      <c r="AZ73" s="622">
        <f>Operations!AZ14</f>
        <v>417.85666666666674</v>
      </c>
      <c r="BA73" s="885">
        <f>Operations!BA14</f>
        <v>406.64000000000004</v>
      </c>
      <c r="BB73" s="622">
        <f>AVERAGE(AX73:BA73)</f>
        <v>426.41833333333341</v>
      </c>
      <c r="BC73" s="884">
        <f>Operations!BC14</f>
        <v>485.19333333333333</v>
      </c>
      <c r="BD73" s="622">
        <f>Operations!BD14</f>
        <v>498.10666666666663</v>
      </c>
      <c r="BE73" s="622">
        <f>Operations!BE14</f>
        <v>511.63333333333338</v>
      </c>
      <c r="BF73" s="968">
        <f>Operations!BF14</f>
        <v>482.8</v>
      </c>
      <c r="BG73" s="627">
        <f>AVERAGE(BC73:BF73)</f>
        <v>494.43333333333334</v>
      </c>
      <c r="BH73" s="884">
        <f>Operations!BH14</f>
        <v>487.22666666666669</v>
      </c>
      <c r="BI73" s="622">
        <f>Operations!BI14</f>
        <v>429.26333333333332</v>
      </c>
      <c r="BJ73" s="622">
        <f>Operations!BJ14</f>
        <v>382.78</v>
      </c>
      <c r="BK73" s="885">
        <f>Operations!BK14</f>
        <v>371.62999999999994</v>
      </c>
      <c r="BL73" s="622">
        <f>AVERAGE(BH73:BK73)</f>
        <v>417.72499999999997</v>
      </c>
      <c r="BM73" s="884">
        <f>Operations!BM14</f>
        <v>393.1033333333333</v>
      </c>
      <c r="BN73" s="622">
        <f>Operations!BN14</f>
        <v>392.21333333333331</v>
      </c>
      <c r="BO73" s="622">
        <f>Operations!BO14</f>
        <v>404.09999999999997</v>
      </c>
      <c r="BP73" s="885">
        <f>Operations!BP14</f>
        <v>417.89333333333337</v>
      </c>
      <c r="BQ73" s="622">
        <f>AVERAGE(BM73:BP73)</f>
        <v>401.82749999999999</v>
      </c>
      <c r="BR73" s="884">
        <f>Operations!BR14</f>
        <v>414.45</v>
      </c>
      <c r="BS73" s="622">
        <f>Operations!BS14</f>
        <v>397.29333333333335</v>
      </c>
      <c r="BT73" s="622">
        <f>Operations!BT14</f>
        <v>397</v>
      </c>
      <c r="BU73" s="885">
        <f>Operations!BU14</f>
        <v>362.80666666666667</v>
      </c>
      <c r="BV73" s="622">
        <f>AVERAGE(BR73:BU73)</f>
        <v>392.88749999999999</v>
      </c>
      <c r="BW73" s="884">
        <f>Operations!BW14</f>
        <v>290.99333333333334</v>
      </c>
      <c r="BX73" s="622">
        <f>Operations!BX14</f>
        <v>248.18333333333331</v>
      </c>
      <c r="BY73" s="622">
        <f>Operations!BY14</f>
        <v>254.76333333333332</v>
      </c>
      <c r="BZ73" s="885">
        <f>Operations!BZ14</f>
        <v>175.89333333333335</v>
      </c>
      <c r="CA73" s="622">
        <f>AVERAGE(BW73:BZ73)</f>
        <v>242.45833333333331</v>
      </c>
      <c r="CB73" s="884">
        <f>Operations!CB14</f>
        <v>183.29333333333332</v>
      </c>
      <c r="CC73" s="622">
        <f>Operations!CC14</f>
        <v>259.92333333333335</v>
      </c>
      <c r="CD73" s="622">
        <f>Operations!CD14</f>
        <v>261.29333333333335</v>
      </c>
      <c r="CE73" s="885">
        <f>Operations!CE14</f>
        <v>234.56333333333336</v>
      </c>
      <c r="CF73" s="622">
        <f>AVERAGE(CB73:CE73)</f>
        <v>234.76833333333335</v>
      </c>
      <c r="CG73" s="884">
        <f>Operations!CG14</f>
        <v>325.10999999999996</v>
      </c>
      <c r="CH73" s="622">
        <f>Operations!CH14</f>
        <v>351.33333333333331</v>
      </c>
      <c r="CI73" s="622">
        <f>Operations!CI14</f>
        <v>359.12999999999994</v>
      </c>
      <c r="CJ73" s="885">
        <f>Operations!CJ14</f>
        <v>332.75666666666666</v>
      </c>
      <c r="CK73" s="622">
        <f>AVERAGE(CG73:CJ73)</f>
        <v>342.08249999999998</v>
      </c>
      <c r="CL73" s="884">
        <f>Operations!CL14</f>
        <v>366.45666666666671</v>
      </c>
      <c r="CM73" s="622">
        <f>Operations!CM14</f>
        <v>385</v>
      </c>
      <c r="CN73" s="622">
        <f>Operations!CN14</f>
        <v>370</v>
      </c>
      <c r="CO73" s="885">
        <f>Operations!CO14</f>
        <v>355</v>
      </c>
      <c r="CP73" s="622">
        <f>AVERAGE(CL73:CO73)</f>
        <v>369.11416666666668</v>
      </c>
      <c r="CQ73" s="884">
        <f>Operations!CQ14</f>
        <v>365</v>
      </c>
      <c r="CR73" s="622">
        <f>Operations!CR14</f>
        <v>370</v>
      </c>
      <c r="CS73" s="622">
        <f>Operations!CS14</f>
        <v>360</v>
      </c>
      <c r="CT73" s="885">
        <f>Operations!CT14</f>
        <v>355</v>
      </c>
      <c r="CU73" s="622">
        <f>AVERAGE(CQ73:CT73)</f>
        <v>362.5</v>
      </c>
      <c r="CV73" s="884">
        <f>Operations!CV14</f>
        <v>325</v>
      </c>
      <c r="CW73" s="622">
        <f>Operations!CW14</f>
        <v>330</v>
      </c>
      <c r="CX73" s="622">
        <f>Operations!CX14</f>
        <v>320</v>
      </c>
      <c r="CY73" s="885">
        <f>Operations!CY14</f>
        <v>305</v>
      </c>
      <c r="CZ73" s="622">
        <f>AVERAGE(CV73:CY73)</f>
        <v>320</v>
      </c>
    </row>
    <row r="74" spans="1:104" ht="13.5" customHeight="1">
      <c r="A74" s="820"/>
      <c r="B74" s="79"/>
      <c r="C74" s="79" t="s">
        <v>121</v>
      </c>
      <c r="D74" s="79"/>
      <c r="E74" s="79"/>
      <c r="F74" s="79"/>
      <c r="G74" s="79"/>
      <c r="H74" s="219"/>
      <c r="I74" s="219"/>
      <c r="J74" s="219">
        <f t="shared" ref="J74:AO74" si="64">(J72*0.33+J73*0.67)</f>
        <v>77.490303586346812</v>
      </c>
      <c r="K74" s="219">
        <f t="shared" si="64"/>
        <v>96.57698593073593</v>
      </c>
      <c r="L74" s="219">
        <f t="shared" si="64"/>
        <v>107.07328192640692</v>
      </c>
      <c r="M74" s="219">
        <f t="shared" si="64"/>
        <v>106.80328048381824</v>
      </c>
      <c r="N74" s="219">
        <f t="shared" si="64"/>
        <v>96.985962981826972</v>
      </c>
      <c r="O74" s="219">
        <f t="shared" si="64"/>
        <v>117.87961078290965</v>
      </c>
      <c r="P74" s="219">
        <f t="shared" si="64"/>
        <v>121.24035714285714</v>
      </c>
      <c r="Q74" s="219">
        <f t="shared" si="64"/>
        <v>130.59715780251491</v>
      </c>
      <c r="R74" s="219">
        <f t="shared" si="64"/>
        <v>153.31597789115642</v>
      </c>
      <c r="S74" s="219">
        <f t="shared" si="64"/>
        <v>130.75827590485954</v>
      </c>
      <c r="T74" s="219">
        <f t="shared" si="64"/>
        <v>255.03244088482074</v>
      </c>
      <c r="U74" s="219">
        <f t="shared" si="64"/>
        <v>235.16350937950938</v>
      </c>
      <c r="V74" s="219">
        <f t="shared" si="64"/>
        <v>332.27068326118331</v>
      </c>
      <c r="W74" s="219">
        <f t="shared" si="64"/>
        <v>370.29288095238098</v>
      </c>
      <c r="X74" s="219">
        <f t="shared" si="64"/>
        <v>298.18987861947357</v>
      </c>
      <c r="Y74" s="219">
        <f t="shared" si="64"/>
        <v>284.65147200610215</v>
      </c>
      <c r="Z74" s="219">
        <f t="shared" si="64"/>
        <v>205.78440721500721</v>
      </c>
      <c r="AA74" s="219">
        <f t="shared" si="64"/>
        <v>222.89434927536232</v>
      </c>
      <c r="AB74" s="219">
        <f t="shared" si="64"/>
        <v>259.38583492063492</v>
      </c>
      <c r="AC74" s="219">
        <f t="shared" si="64"/>
        <v>243.17901585427666</v>
      </c>
      <c r="AD74" s="219">
        <f t="shared" si="64"/>
        <v>257.45242982456142</v>
      </c>
      <c r="AE74" s="219">
        <f t="shared" si="64"/>
        <v>299.72194545454545</v>
      </c>
      <c r="AF74" s="219">
        <f t="shared" si="64"/>
        <v>283.84397971014494</v>
      </c>
      <c r="AG74" s="219">
        <f t="shared" si="64"/>
        <v>230.37093333333337</v>
      </c>
      <c r="AH74" s="219">
        <f t="shared" si="64"/>
        <v>267.84732208064634</v>
      </c>
      <c r="AI74" s="219">
        <f t="shared" si="64"/>
        <v>300.76840899470898</v>
      </c>
      <c r="AJ74" s="219">
        <f t="shared" si="64"/>
        <v>302.35169999999999</v>
      </c>
      <c r="AK74" s="219">
        <f t="shared" si="64"/>
        <v>301.59863333333334</v>
      </c>
      <c r="AL74" s="219">
        <f t="shared" si="64"/>
        <v>311.94453333333337</v>
      </c>
      <c r="AM74" s="219">
        <f t="shared" si="64"/>
        <v>304.16581891534389</v>
      </c>
      <c r="AN74" s="219">
        <f t="shared" si="64"/>
        <v>407.54576666666662</v>
      </c>
      <c r="AO74" s="219">
        <f t="shared" si="64"/>
        <v>638.06313333333344</v>
      </c>
      <c r="AP74" s="219">
        <f t="shared" ref="AP74:BU74" si="65">(AP72*0.33+AP73*0.67)</f>
        <v>687.54036666666673</v>
      </c>
      <c r="AQ74" s="219">
        <f t="shared" si="65"/>
        <v>210.26816666666667</v>
      </c>
      <c r="AR74" s="219">
        <f t="shared" si="65"/>
        <v>485.85435833333338</v>
      </c>
      <c r="AS74" s="854">
        <f t="shared" si="65"/>
        <v>222.03196666666668</v>
      </c>
      <c r="AT74" s="855">
        <f t="shared" si="65"/>
        <v>196.42743333333334</v>
      </c>
      <c r="AU74" s="855">
        <f t="shared" si="65"/>
        <v>300.48076666666668</v>
      </c>
      <c r="AV74" s="856">
        <f t="shared" si="65"/>
        <v>293.92256666666668</v>
      </c>
      <c r="AW74" s="219">
        <f t="shared" si="65"/>
        <v>253.21568333333335</v>
      </c>
      <c r="AX74" s="854">
        <f t="shared" si="65"/>
        <v>395.76593333333335</v>
      </c>
      <c r="AY74" s="855">
        <f t="shared" si="65"/>
        <v>434.7007333333334</v>
      </c>
      <c r="AZ74" s="855">
        <f t="shared" si="65"/>
        <v>392.06716666666676</v>
      </c>
      <c r="BA74" s="856">
        <f t="shared" si="65"/>
        <v>393.72930000000008</v>
      </c>
      <c r="BB74" s="219">
        <f t="shared" si="65"/>
        <v>404.0657833333334</v>
      </c>
      <c r="BC74" s="854">
        <f t="shared" si="65"/>
        <v>475.71023333333335</v>
      </c>
      <c r="BD74" s="855">
        <f t="shared" si="65"/>
        <v>481.37126666666666</v>
      </c>
      <c r="BE74" s="855">
        <f t="shared" si="65"/>
        <v>491.29433333333338</v>
      </c>
      <c r="BF74" s="856">
        <f t="shared" si="65"/>
        <v>465.33310000000006</v>
      </c>
      <c r="BG74" s="219">
        <f t="shared" si="65"/>
        <v>478.42723333333339</v>
      </c>
      <c r="BH74" s="854">
        <f t="shared" si="65"/>
        <v>474.77686666666671</v>
      </c>
      <c r="BI74" s="855">
        <f t="shared" si="65"/>
        <v>424.49923333333334</v>
      </c>
      <c r="BJ74" s="855">
        <f t="shared" si="65"/>
        <v>379.79020000000003</v>
      </c>
      <c r="BK74" s="856">
        <f t="shared" si="65"/>
        <v>370.87099999999998</v>
      </c>
      <c r="BL74" s="219">
        <f t="shared" si="65"/>
        <v>412.48432500000001</v>
      </c>
      <c r="BM74" s="854">
        <f t="shared" si="65"/>
        <v>392.10343333333333</v>
      </c>
      <c r="BN74" s="855">
        <f t="shared" si="65"/>
        <v>386.48893333333331</v>
      </c>
      <c r="BO74" s="855">
        <f t="shared" si="65"/>
        <v>391.72609999999997</v>
      </c>
      <c r="BP74" s="856">
        <f t="shared" si="65"/>
        <v>406.70303333333334</v>
      </c>
      <c r="BQ74" s="219">
        <f t="shared" si="65"/>
        <v>394.25537500000002</v>
      </c>
      <c r="BR74" s="854">
        <f t="shared" si="65"/>
        <v>413.77790000000005</v>
      </c>
      <c r="BS74" s="855">
        <f t="shared" si="65"/>
        <v>392.7888333333334</v>
      </c>
      <c r="BT74" s="855">
        <f t="shared" si="65"/>
        <v>389.49030000000005</v>
      </c>
      <c r="BU74" s="856">
        <f t="shared" si="65"/>
        <v>354.74696666666671</v>
      </c>
      <c r="BV74" s="219">
        <f t="shared" ref="BV74:CZ74" si="66">(BV72*0.33+BV73*0.67)</f>
        <v>387.70100000000002</v>
      </c>
      <c r="BW74" s="1009">
        <f t="shared" si="66"/>
        <v>286.56913333333335</v>
      </c>
      <c r="BX74" s="1010">
        <f t="shared" si="66"/>
        <v>248.51333333333332</v>
      </c>
      <c r="BY74" s="855">
        <f t="shared" si="66"/>
        <v>251.24113333333332</v>
      </c>
      <c r="BZ74" s="856">
        <f t="shared" si="66"/>
        <v>174.56123333333335</v>
      </c>
      <c r="CA74" s="219">
        <f t="shared" si="66"/>
        <v>240.22120833333332</v>
      </c>
      <c r="CB74" s="854">
        <f t="shared" si="66"/>
        <v>186.89803333333333</v>
      </c>
      <c r="CC74" s="855">
        <f t="shared" si="66"/>
        <v>260.18183333333332</v>
      </c>
      <c r="CD74" s="855">
        <f t="shared" si="66"/>
        <v>252.64293333333336</v>
      </c>
      <c r="CE74" s="856">
        <f t="shared" si="66"/>
        <v>232.21153333333336</v>
      </c>
      <c r="CF74" s="219">
        <f t="shared" si="66"/>
        <v>232.98358333333334</v>
      </c>
      <c r="CG74" s="854">
        <f t="shared" si="66"/>
        <v>317.32749999999999</v>
      </c>
      <c r="CH74" s="855">
        <f t="shared" si="66"/>
        <v>331.84353333333331</v>
      </c>
      <c r="CI74" s="855">
        <f t="shared" si="66"/>
        <v>336.01569999999998</v>
      </c>
      <c r="CJ74" s="856">
        <f t="shared" si="66"/>
        <v>312.97646666666668</v>
      </c>
      <c r="CK74" s="219">
        <f t="shared" si="66"/>
        <v>324.54079999999999</v>
      </c>
      <c r="CL74" s="854">
        <f t="shared" ref="CL74" si="67">(CL72*0.33+CL73*0.67)</f>
        <v>355.2553666666667</v>
      </c>
      <c r="CM74" s="855">
        <f t="shared" si="66"/>
        <v>381.7</v>
      </c>
      <c r="CN74" s="855">
        <f t="shared" si="66"/>
        <v>366.70000000000005</v>
      </c>
      <c r="CO74" s="856">
        <f t="shared" si="66"/>
        <v>351.70000000000005</v>
      </c>
      <c r="CP74" s="219">
        <f t="shared" si="66"/>
        <v>363.83884166666667</v>
      </c>
      <c r="CQ74" s="854">
        <f t="shared" si="66"/>
        <v>361.70000000000005</v>
      </c>
      <c r="CR74" s="855">
        <f t="shared" si="66"/>
        <v>366.70000000000005</v>
      </c>
      <c r="CS74" s="855">
        <f t="shared" si="66"/>
        <v>356.70000000000005</v>
      </c>
      <c r="CT74" s="856">
        <f t="shared" si="66"/>
        <v>348.40000000000003</v>
      </c>
      <c r="CU74" s="219">
        <f t="shared" si="66"/>
        <v>358.375</v>
      </c>
      <c r="CV74" s="854">
        <f t="shared" si="66"/>
        <v>318.39999999999998</v>
      </c>
      <c r="CW74" s="855">
        <f t="shared" si="66"/>
        <v>323.40000000000003</v>
      </c>
      <c r="CX74" s="855">
        <f t="shared" si="66"/>
        <v>313.39999999999998</v>
      </c>
      <c r="CY74" s="856">
        <f t="shared" si="66"/>
        <v>298.40000000000003</v>
      </c>
      <c r="CZ74" s="219">
        <f t="shared" si="66"/>
        <v>313.39999999999998</v>
      </c>
    </row>
    <row r="75" spans="1:104" ht="6.2" customHeight="1">
      <c r="A75" s="820"/>
      <c r="B75" s="79"/>
      <c r="C75" s="79"/>
      <c r="D75" s="79"/>
      <c r="E75" s="79"/>
      <c r="F75" s="79"/>
      <c r="G75" s="79"/>
      <c r="H75" s="219"/>
      <c r="I75" s="219"/>
      <c r="J75" s="219"/>
      <c r="K75" s="219"/>
      <c r="L75" s="219"/>
      <c r="M75" s="219"/>
      <c r="N75" s="219"/>
      <c r="O75" s="219"/>
      <c r="P75" s="219"/>
      <c r="Q75" s="219"/>
      <c r="R75" s="219"/>
      <c r="S75" s="219"/>
      <c r="T75" s="219"/>
      <c r="U75" s="219"/>
      <c r="V75" s="219"/>
      <c r="W75" s="219"/>
      <c r="X75" s="219"/>
      <c r="Y75" s="219"/>
      <c r="Z75" s="219"/>
      <c r="AA75" s="219"/>
      <c r="AB75" s="219"/>
      <c r="AC75" s="219"/>
      <c r="AD75" s="219"/>
      <c r="AE75" s="219"/>
      <c r="AF75" s="219"/>
      <c r="AG75" s="219"/>
      <c r="AH75" s="219"/>
      <c r="AI75" s="219"/>
      <c r="AJ75" s="219"/>
      <c r="AK75" s="219"/>
      <c r="AL75" s="219"/>
      <c r="AM75" s="219"/>
      <c r="AN75" s="219"/>
      <c r="AO75" s="219"/>
      <c r="AP75" s="219"/>
      <c r="AQ75" s="219"/>
      <c r="AR75" s="219"/>
      <c r="AS75" s="854"/>
      <c r="AT75" s="855"/>
      <c r="AU75" s="855"/>
      <c r="AV75" s="856"/>
      <c r="AW75" s="219"/>
      <c r="AX75" s="854"/>
      <c r="AY75" s="855"/>
      <c r="AZ75" s="855"/>
      <c r="BA75" s="856"/>
      <c r="BB75" s="219"/>
      <c r="BC75" s="854"/>
      <c r="BD75" s="855"/>
      <c r="BE75" s="855"/>
      <c r="BF75" s="856"/>
      <c r="BG75" s="219"/>
      <c r="BH75" s="854"/>
      <c r="BI75" s="855"/>
      <c r="BJ75" s="855"/>
      <c r="BK75" s="856"/>
      <c r="BL75" s="219"/>
      <c r="BM75" s="854"/>
      <c r="BN75" s="855"/>
      <c r="BO75" s="855"/>
      <c r="BP75" s="856"/>
      <c r="BQ75" s="219"/>
      <c r="BR75" s="854"/>
      <c r="BS75" s="855"/>
      <c r="BT75" s="855"/>
      <c r="BU75" s="856"/>
      <c r="BV75" s="219"/>
      <c r="BW75" s="1009"/>
      <c r="BX75" s="1010"/>
      <c r="BY75" s="855"/>
      <c r="BZ75" s="856"/>
      <c r="CA75" s="219"/>
      <c r="CB75" s="854"/>
      <c r="CC75" s="855"/>
      <c r="CD75" s="855"/>
      <c r="CE75" s="856"/>
      <c r="CF75" s="219"/>
      <c r="CG75" s="854"/>
      <c r="CH75" s="855"/>
      <c r="CI75" s="855"/>
      <c r="CJ75" s="856"/>
      <c r="CK75" s="219"/>
      <c r="CL75" s="854"/>
      <c r="CM75" s="855"/>
      <c r="CN75" s="855"/>
      <c r="CO75" s="856"/>
      <c r="CP75" s="219"/>
      <c r="CQ75" s="854"/>
      <c r="CR75" s="855"/>
      <c r="CS75" s="855"/>
      <c r="CT75" s="856"/>
      <c r="CU75" s="219"/>
      <c r="CV75" s="854"/>
      <c r="CW75" s="855"/>
      <c r="CX75" s="855"/>
      <c r="CY75" s="856"/>
      <c r="CZ75" s="219"/>
    </row>
    <row r="76" spans="1:104" ht="13.5" customHeight="1">
      <c r="A76" s="820" t="s">
        <v>352</v>
      </c>
      <c r="B76" s="66"/>
      <c r="C76" s="66"/>
      <c r="D76" s="66"/>
      <c r="E76" s="66"/>
      <c r="F76" s="66"/>
      <c r="G76" s="66"/>
      <c r="H76" s="216"/>
      <c r="I76" s="216"/>
      <c r="J76" s="216"/>
      <c r="K76" s="216"/>
      <c r="L76" s="216"/>
      <c r="M76" s="216"/>
      <c r="N76" s="216"/>
      <c r="O76" s="216"/>
      <c r="P76" s="216"/>
      <c r="Q76" s="216"/>
      <c r="R76" s="216"/>
      <c r="S76" s="216"/>
      <c r="T76" s="216"/>
      <c r="U76" s="216"/>
      <c r="V76" s="216"/>
      <c r="W76" s="216"/>
      <c r="X76" s="216"/>
      <c r="Y76" s="216"/>
      <c r="Z76" s="216"/>
      <c r="AA76" s="216"/>
      <c r="AB76" s="216"/>
      <c r="AC76" s="216"/>
      <c r="AD76" s="216"/>
      <c r="AE76" s="216"/>
      <c r="AF76" s="216"/>
      <c r="AG76" s="216"/>
      <c r="AH76" s="216"/>
      <c r="AI76" s="216"/>
      <c r="AJ76" s="216"/>
      <c r="AK76" s="216"/>
      <c r="AL76" s="216"/>
      <c r="AM76" s="216"/>
      <c r="AN76" s="216"/>
      <c r="AO76" s="216"/>
      <c r="AP76" s="216"/>
      <c r="AQ76" s="216"/>
      <c r="AR76" s="216"/>
      <c r="AS76" s="847"/>
      <c r="AT76" s="848"/>
      <c r="AU76" s="848"/>
      <c r="AV76" s="849"/>
      <c r="AW76" s="216"/>
      <c r="AX76" s="847"/>
      <c r="AY76" s="848"/>
      <c r="AZ76" s="848"/>
      <c r="BA76" s="849"/>
      <c r="BB76" s="216"/>
      <c r="BC76" s="847"/>
      <c r="BD76" s="848"/>
      <c r="BE76" s="848"/>
      <c r="BF76" s="949"/>
      <c r="BG76" s="373"/>
      <c r="BH76" s="847"/>
      <c r="BI76" s="848"/>
      <c r="BJ76" s="848"/>
      <c r="BK76" s="849"/>
      <c r="BL76" s="216"/>
      <c r="BM76" s="847"/>
      <c r="BN76" s="848"/>
      <c r="BO76" s="848"/>
      <c r="BP76" s="849"/>
      <c r="BQ76" s="216"/>
      <c r="BR76" s="847"/>
      <c r="BS76" s="848"/>
      <c r="BT76" s="848"/>
      <c r="BU76" s="849"/>
      <c r="BV76" s="216"/>
      <c r="BW76" s="847"/>
      <c r="BX76" s="848"/>
      <c r="BY76" s="848"/>
      <c r="BZ76" s="849"/>
      <c r="CA76" s="216"/>
      <c r="CB76" s="847"/>
      <c r="CC76" s="848"/>
      <c r="CD76" s="848"/>
      <c r="CE76" s="883"/>
      <c r="CF76" s="621"/>
      <c r="CG76" s="882"/>
      <c r="CH76" s="625"/>
      <c r="CI76" s="848"/>
      <c r="CJ76" s="883"/>
      <c r="CK76" s="621"/>
      <c r="CL76" s="882"/>
      <c r="CM76" s="848"/>
      <c r="CN76" s="848"/>
      <c r="CO76" s="849"/>
      <c r="CP76" s="216"/>
      <c r="CQ76" s="847"/>
      <c r="CR76" s="848"/>
      <c r="CS76" s="848"/>
      <c r="CT76" s="849"/>
      <c r="CU76" s="216"/>
      <c r="CV76" s="847"/>
      <c r="CW76" s="848"/>
      <c r="CX76" s="848"/>
      <c r="CY76" s="849"/>
      <c r="CZ76" s="216"/>
    </row>
    <row r="77" spans="1:104" ht="13.5" customHeight="1">
      <c r="A77" s="819"/>
      <c r="B77" s="66" t="s">
        <v>242</v>
      </c>
      <c r="C77" s="66"/>
      <c r="D77" s="66"/>
      <c r="E77" s="66"/>
      <c r="F77" s="66"/>
      <c r="G77" s="66"/>
      <c r="H77" s="614">
        <v>120</v>
      </c>
      <c r="I77" s="614">
        <v>101</v>
      </c>
      <c r="J77" s="614">
        <v>96</v>
      </c>
      <c r="K77" s="614">
        <v>107</v>
      </c>
      <c r="L77" s="614">
        <v>118</v>
      </c>
      <c r="M77" s="614">
        <v>118</v>
      </c>
      <c r="N77" s="614">
        <v>110</v>
      </c>
      <c r="O77" s="614">
        <v>122</v>
      </c>
      <c r="P77" s="614">
        <v>131</v>
      </c>
      <c r="Q77" s="614">
        <v>137</v>
      </c>
      <c r="R77" s="614">
        <v>158</v>
      </c>
      <c r="S77" s="621">
        <f>AVERAGE(O77:R77)</f>
        <v>137</v>
      </c>
      <c r="T77" s="614">
        <v>200</v>
      </c>
      <c r="U77" s="614">
        <v>227</v>
      </c>
      <c r="V77" s="614">
        <v>248</v>
      </c>
      <c r="W77" s="614">
        <v>278</v>
      </c>
      <c r="X77" s="621">
        <f>AVERAGE(T77:W77)</f>
        <v>238.25</v>
      </c>
      <c r="Y77" s="614">
        <v>272</v>
      </c>
      <c r="Z77" s="614">
        <v>246</v>
      </c>
      <c r="AA77" s="614">
        <v>217</v>
      </c>
      <c r="AB77" s="614">
        <v>240</v>
      </c>
      <c r="AC77" s="621">
        <f>AVERAGE(Y77:AB77)</f>
        <v>243.75</v>
      </c>
      <c r="AD77" s="614">
        <v>237</v>
      </c>
      <c r="AE77" s="614">
        <v>247</v>
      </c>
      <c r="AF77" s="614">
        <v>257</v>
      </c>
      <c r="AG77" s="614">
        <v>243</v>
      </c>
      <c r="AH77" s="621">
        <f>AVERAGE(AD77:AG77)</f>
        <v>246</v>
      </c>
      <c r="AI77" s="614">
        <v>259</v>
      </c>
      <c r="AJ77" s="500">
        <v>291</v>
      </c>
      <c r="AK77" s="500">
        <v>277</v>
      </c>
      <c r="AL77" s="500">
        <v>285</v>
      </c>
      <c r="AM77" s="549">
        <f>AVERAGE(AI77:AL77)</f>
        <v>278</v>
      </c>
      <c r="AN77" s="500">
        <v>333</v>
      </c>
      <c r="AO77" s="500">
        <v>456</v>
      </c>
      <c r="AP77" s="500">
        <v>533</v>
      </c>
      <c r="AQ77" s="500">
        <v>435</v>
      </c>
      <c r="AR77" s="549">
        <f>AVERAGE(AN77:AQ77)</f>
        <v>439.25</v>
      </c>
      <c r="AS77" s="850">
        <v>333</v>
      </c>
      <c r="AT77" s="509">
        <v>312</v>
      </c>
      <c r="AU77" s="509">
        <v>299</v>
      </c>
      <c r="AV77" s="851">
        <v>276</v>
      </c>
      <c r="AW77" s="549">
        <f>AVERAGE(AS77:AV77)</f>
        <v>305</v>
      </c>
      <c r="AX77" s="850">
        <v>318</v>
      </c>
      <c r="AY77" s="509">
        <v>373</v>
      </c>
      <c r="AZ77" s="509">
        <v>354</v>
      </c>
      <c r="BA77" s="851">
        <v>359</v>
      </c>
      <c r="BB77" s="549">
        <f>AVERAGE(AX77:BA77)</f>
        <v>351</v>
      </c>
      <c r="BC77" s="850">
        <v>424</v>
      </c>
      <c r="BD77" s="509">
        <v>444</v>
      </c>
      <c r="BE77" s="509">
        <v>449</v>
      </c>
      <c r="BF77" s="950">
        <v>441</v>
      </c>
      <c r="BG77" s="504">
        <v>439</v>
      </c>
      <c r="BH77" s="850">
        <v>445</v>
      </c>
      <c r="BI77" s="509">
        <v>427</v>
      </c>
      <c r="BJ77" s="509">
        <v>380</v>
      </c>
      <c r="BK77" s="851">
        <v>372</v>
      </c>
      <c r="BL77" s="500">
        <v>407</v>
      </c>
      <c r="BM77" s="850">
        <v>379</v>
      </c>
      <c r="BN77" s="509">
        <v>377</v>
      </c>
      <c r="BO77" s="509">
        <v>372</v>
      </c>
      <c r="BP77" s="851">
        <v>377</v>
      </c>
      <c r="BQ77" s="549">
        <f>AVERAGE(BM77:BP77)</f>
        <v>376.25</v>
      </c>
      <c r="BR77" s="850">
        <v>398</v>
      </c>
      <c r="BS77" s="509">
        <v>384</v>
      </c>
      <c r="BT77" s="509">
        <v>379</v>
      </c>
      <c r="BU77" s="851">
        <v>363</v>
      </c>
      <c r="BV77" s="549">
        <f>AVERAGE(BR77:BU77)</f>
        <v>381</v>
      </c>
      <c r="BW77" s="850">
        <v>324</v>
      </c>
      <c r="BX77" s="509">
        <v>271</v>
      </c>
      <c r="BY77" s="509">
        <v>262</v>
      </c>
      <c r="BZ77" s="851">
        <v>219</v>
      </c>
      <c r="CA77" s="549">
        <f>AVERAGE(BW77:BZ77)</f>
        <v>269</v>
      </c>
      <c r="CB77" s="850">
        <v>193</v>
      </c>
      <c r="CC77" s="510">
        <v>232</v>
      </c>
      <c r="CD77" s="510">
        <v>252</v>
      </c>
      <c r="CE77" s="950">
        <v>236</v>
      </c>
      <c r="CF77" s="549">
        <f>AVERAGE(CB77:CE77)</f>
        <v>228.25</v>
      </c>
      <c r="CG77" s="1003">
        <v>284</v>
      </c>
      <c r="CH77" s="510">
        <v>313</v>
      </c>
      <c r="CI77" s="510">
        <v>317</v>
      </c>
      <c r="CJ77" s="851">
        <v>317</v>
      </c>
      <c r="CK77" s="549">
        <f>AVERAGE(CG77:CJ77)</f>
        <v>307.75</v>
      </c>
      <c r="CL77" s="850">
        <v>337</v>
      </c>
      <c r="CM77" s="598">
        <f>'Price Relationships'!$K$70</f>
        <v>359.98500000000001</v>
      </c>
      <c r="CN77" s="598">
        <f>'Price Relationships'!$K$71</f>
        <v>367.78107499999999</v>
      </c>
      <c r="CO77" s="839">
        <f>'Price Relationships'!$K$72</f>
        <v>366.53973962499998</v>
      </c>
      <c r="CP77" s="549">
        <f>AVERAGE(CL77:CO77)</f>
        <v>357.82645365625001</v>
      </c>
      <c r="CQ77" s="838">
        <f>'Price Relationships'!$K$73</f>
        <v>369.7211450768749</v>
      </c>
      <c r="CR77" s="598">
        <f>'Price Relationships'!$K$74</f>
        <v>373.57408132074056</v>
      </c>
      <c r="CS77" s="598">
        <f>'Price Relationships'!$K$75</f>
        <v>371.94657838584061</v>
      </c>
      <c r="CT77" s="839">
        <f>'Price Relationships'!$K$76</f>
        <v>367.56821413957516</v>
      </c>
      <c r="CU77" s="549">
        <f>AVERAGE(CQ77:CT77)</f>
        <v>370.70250473075782</v>
      </c>
      <c r="CV77" s="838">
        <f>'Price Relationships'!$K$77</f>
        <v>353.20308741304723</v>
      </c>
      <c r="CW77" s="598">
        <f>'Price Relationships'!$K$78</f>
        <v>346.61583701076307</v>
      </c>
      <c r="CX77" s="598">
        <f>'Price Relationships'!$K$79</f>
        <v>338.77642302140401</v>
      </c>
      <c r="CY77" s="839">
        <f>'Price Relationships'!$K$80</f>
        <v>328.23197169773539</v>
      </c>
      <c r="CZ77" s="549">
        <f>AVERAGE(CV77:CY77)</f>
        <v>341.70682978573745</v>
      </c>
    </row>
    <row r="78" spans="1:104" ht="13.5" customHeight="1">
      <c r="A78" s="823"/>
      <c r="B78" s="453"/>
      <c r="C78" s="453" t="s">
        <v>359</v>
      </c>
      <c r="D78" s="453"/>
      <c r="E78" s="453"/>
      <c r="F78" s="453"/>
      <c r="G78" s="453"/>
      <c r="H78" s="453"/>
      <c r="I78" s="553">
        <f>I77/H77-1</f>
        <v>-0.15833333333333333</v>
      </c>
      <c r="J78" s="621"/>
      <c r="K78" s="621"/>
      <c r="L78" s="621"/>
      <c r="M78" s="621"/>
      <c r="N78" s="553">
        <f t="shared" ref="N78:AR78" si="68">N77/I77-1</f>
        <v>8.9108910891089188E-2</v>
      </c>
      <c r="O78" s="689">
        <f t="shared" si="68"/>
        <v>0.27083333333333326</v>
      </c>
      <c r="P78" s="689">
        <f t="shared" si="68"/>
        <v>0.22429906542056077</v>
      </c>
      <c r="Q78" s="689">
        <f t="shared" si="68"/>
        <v>0.16101694915254239</v>
      </c>
      <c r="R78" s="689">
        <f t="shared" si="68"/>
        <v>0.33898305084745761</v>
      </c>
      <c r="S78" s="689">
        <f t="shared" si="68"/>
        <v>0.24545454545454537</v>
      </c>
      <c r="T78" s="689">
        <f t="shared" si="68"/>
        <v>0.63934426229508201</v>
      </c>
      <c r="U78" s="689">
        <f t="shared" si="68"/>
        <v>0.73282442748091614</v>
      </c>
      <c r="V78" s="689">
        <f t="shared" si="68"/>
        <v>0.81021897810218979</v>
      </c>
      <c r="W78" s="689">
        <f t="shared" si="68"/>
        <v>0.759493670886076</v>
      </c>
      <c r="X78" s="689">
        <f t="shared" si="68"/>
        <v>0.73905109489051091</v>
      </c>
      <c r="Y78" s="689">
        <f t="shared" si="68"/>
        <v>0.3600000000000001</v>
      </c>
      <c r="Z78" s="689">
        <f t="shared" si="68"/>
        <v>8.3700440528634346E-2</v>
      </c>
      <c r="AA78" s="689">
        <f t="shared" si="68"/>
        <v>-0.125</v>
      </c>
      <c r="AB78" s="689">
        <f t="shared" si="68"/>
        <v>-0.13669064748201443</v>
      </c>
      <c r="AC78" s="689">
        <f t="shared" si="68"/>
        <v>2.3084994753410193E-2</v>
      </c>
      <c r="AD78" s="689">
        <f t="shared" si="68"/>
        <v>-0.12867647058823528</v>
      </c>
      <c r="AE78" s="689">
        <f t="shared" si="68"/>
        <v>4.0650406504065817E-3</v>
      </c>
      <c r="AF78" s="689">
        <f t="shared" si="68"/>
        <v>0.18433179723502313</v>
      </c>
      <c r="AG78" s="689">
        <f t="shared" si="68"/>
        <v>1.2499999999999956E-2</v>
      </c>
      <c r="AH78" s="689">
        <f t="shared" si="68"/>
        <v>9.2307692307691536E-3</v>
      </c>
      <c r="AI78" s="689">
        <f t="shared" si="68"/>
        <v>9.2827004219409259E-2</v>
      </c>
      <c r="AJ78" s="689">
        <f t="shared" si="68"/>
        <v>0.17813765182186225</v>
      </c>
      <c r="AK78" s="689">
        <f t="shared" si="68"/>
        <v>7.7821011673151697E-2</v>
      </c>
      <c r="AL78" s="689">
        <f t="shared" si="68"/>
        <v>0.17283950617283961</v>
      </c>
      <c r="AM78" s="689">
        <f t="shared" si="68"/>
        <v>0.13008130081300817</v>
      </c>
      <c r="AN78" s="689">
        <f t="shared" si="68"/>
        <v>0.28571428571428581</v>
      </c>
      <c r="AO78" s="689">
        <f t="shared" si="68"/>
        <v>0.5670103092783505</v>
      </c>
      <c r="AP78" s="689">
        <f t="shared" si="68"/>
        <v>0.92418772563176899</v>
      </c>
      <c r="AQ78" s="689">
        <f t="shared" si="68"/>
        <v>0.52631578947368429</v>
      </c>
      <c r="AR78" s="689">
        <f t="shared" si="68"/>
        <v>0.58003597122302164</v>
      </c>
      <c r="AS78" s="886">
        <f t="shared" ref="AS78:BX78" si="69">AS77/AN77-1</f>
        <v>0</v>
      </c>
      <c r="AT78" s="887">
        <f t="shared" si="69"/>
        <v>-0.31578947368421051</v>
      </c>
      <c r="AU78" s="887">
        <f t="shared" si="69"/>
        <v>-0.43902439024390238</v>
      </c>
      <c r="AV78" s="888">
        <f t="shared" si="69"/>
        <v>-0.3655172413793103</v>
      </c>
      <c r="AW78" s="689">
        <f t="shared" si="69"/>
        <v>-0.30563460443938528</v>
      </c>
      <c r="AX78" s="886">
        <f t="shared" si="69"/>
        <v>-4.5045045045045029E-2</v>
      </c>
      <c r="AY78" s="887">
        <f t="shared" si="69"/>
        <v>0.19551282051282048</v>
      </c>
      <c r="AZ78" s="887">
        <f t="shared" si="69"/>
        <v>0.18394648829431448</v>
      </c>
      <c r="BA78" s="888">
        <f t="shared" si="69"/>
        <v>0.30072463768115942</v>
      </c>
      <c r="BB78" s="689">
        <f t="shared" si="69"/>
        <v>0.15081967213114744</v>
      </c>
      <c r="BC78" s="886">
        <f t="shared" si="69"/>
        <v>0.33333333333333326</v>
      </c>
      <c r="BD78" s="887">
        <f t="shared" si="69"/>
        <v>0.19034852546916881</v>
      </c>
      <c r="BE78" s="887">
        <f t="shared" si="69"/>
        <v>0.26836158192090398</v>
      </c>
      <c r="BF78" s="969">
        <f t="shared" si="69"/>
        <v>0.22841225626740957</v>
      </c>
      <c r="BG78" s="690">
        <f t="shared" si="69"/>
        <v>0.25071225071225078</v>
      </c>
      <c r="BH78" s="886">
        <f t="shared" si="69"/>
        <v>4.952830188679247E-2</v>
      </c>
      <c r="BI78" s="887">
        <f t="shared" si="69"/>
        <v>-3.8288288288288341E-2</v>
      </c>
      <c r="BJ78" s="887">
        <f t="shared" si="69"/>
        <v>-0.15367483296213813</v>
      </c>
      <c r="BK78" s="888">
        <f t="shared" si="69"/>
        <v>-0.15646258503401356</v>
      </c>
      <c r="BL78" s="689">
        <f t="shared" si="69"/>
        <v>-7.2892938496583182E-2</v>
      </c>
      <c r="BM78" s="886">
        <f t="shared" si="69"/>
        <v>-0.14831460674157304</v>
      </c>
      <c r="BN78" s="887">
        <f t="shared" si="69"/>
        <v>-0.11709601873536302</v>
      </c>
      <c r="BO78" s="887">
        <f t="shared" si="69"/>
        <v>-2.1052631578947323E-2</v>
      </c>
      <c r="BP78" s="888">
        <f t="shared" si="69"/>
        <v>1.3440860215053752E-2</v>
      </c>
      <c r="BQ78" s="689">
        <f t="shared" si="69"/>
        <v>-7.5552825552825498E-2</v>
      </c>
      <c r="BR78" s="886">
        <f t="shared" si="69"/>
        <v>5.0131926121371961E-2</v>
      </c>
      <c r="BS78" s="887">
        <f t="shared" si="69"/>
        <v>1.8567639257294433E-2</v>
      </c>
      <c r="BT78" s="887">
        <f t="shared" si="69"/>
        <v>1.8817204301075252E-2</v>
      </c>
      <c r="BU78" s="888">
        <f t="shared" si="69"/>
        <v>-3.7135278514588865E-2</v>
      </c>
      <c r="BV78" s="689">
        <f t="shared" si="69"/>
        <v>1.2624584717608078E-2</v>
      </c>
      <c r="BW78" s="886">
        <f t="shared" si="69"/>
        <v>-0.18592964824120606</v>
      </c>
      <c r="BX78" s="887">
        <f t="shared" si="69"/>
        <v>-0.29427083333333337</v>
      </c>
      <c r="BY78" s="887">
        <f t="shared" ref="BY78:CZ78" si="70">BY77/BT77-1</f>
        <v>-0.30870712401055411</v>
      </c>
      <c r="BZ78" s="888">
        <f t="shared" si="70"/>
        <v>-0.39669421487603307</v>
      </c>
      <c r="CA78" s="689">
        <f t="shared" si="70"/>
        <v>-0.29396325459317585</v>
      </c>
      <c r="CB78" s="886">
        <f t="shared" si="70"/>
        <v>-0.40432098765432101</v>
      </c>
      <c r="CC78" s="887">
        <f t="shared" si="70"/>
        <v>-0.14391143911439119</v>
      </c>
      <c r="CD78" s="887">
        <f t="shared" si="70"/>
        <v>-3.8167938931297662E-2</v>
      </c>
      <c r="CE78" s="888">
        <f t="shared" si="70"/>
        <v>7.7625570776255648E-2</v>
      </c>
      <c r="CF78" s="689">
        <f t="shared" si="70"/>
        <v>-0.1514869888475836</v>
      </c>
      <c r="CG78" s="886">
        <f t="shared" si="70"/>
        <v>0.47150259067357503</v>
      </c>
      <c r="CH78" s="887">
        <f t="shared" si="70"/>
        <v>0.34913793103448265</v>
      </c>
      <c r="CI78" s="887">
        <f t="shared" si="70"/>
        <v>0.25793650793650791</v>
      </c>
      <c r="CJ78" s="888">
        <f t="shared" si="70"/>
        <v>0.34322033898305082</v>
      </c>
      <c r="CK78" s="689">
        <f t="shared" si="70"/>
        <v>0.34830230010952912</v>
      </c>
      <c r="CL78" s="886">
        <f t="shared" si="70"/>
        <v>0.18661971830985924</v>
      </c>
      <c r="CM78" s="887">
        <f t="shared" si="70"/>
        <v>0.15011182108626198</v>
      </c>
      <c r="CN78" s="887">
        <f t="shared" si="70"/>
        <v>0.160192665615142</v>
      </c>
      <c r="CO78" s="888">
        <f t="shared" si="70"/>
        <v>0.15627678115141941</v>
      </c>
      <c r="CP78" s="689">
        <f t="shared" si="70"/>
        <v>0.16271796476441924</v>
      </c>
      <c r="CQ78" s="886">
        <f t="shared" si="70"/>
        <v>9.709538598479206E-2</v>
      </c>
      <c r="CR78" s="887">
        <f t="shared" si="70"/>
        <v>3.7749020989042759E-2</v>
      </c>
      <c r="CS78" s="887">
        <f t="shared" si="70"/>
        <v>1.1326040595864395E-2</v>
      </c>
      <c r="CT78" s="888">
        <f t="shared" si="70"/>
        <v>2.8059017983355083E-3</v>
      </c>
      <c r="CU78" s="689">
        <f t="shared" si="70"/>
        <v>3.5984066976997076E-2</v>
      </c>
      <c r="CV78" s="886">
        <f t="shared" si="70"/>
        <v>-4.4677070499695493E-2</v>
      </c>
      <c r="CW78" s="887">
        <f t="shared" si="70"/>
        <v>-7.2163047860999363E-2</v>
      </c>
      <c r="CX78" s="887">
        <f t="shared" si="70"/>
        <v>-8.9179891124115618E-2</v>
      </c>
      <c r="CY78" s="888">
        <f t="shared" si="70"/>
        <v>-0.10701753015809679</v>
      </c>
      <c r="CZ78" s="689">
        <f t="shared" si="70"/>
        <v>-7.8218179200272742E-2</v>
      </c>
    </row>
    <row r="79" spans="1:104" ht="13.5" customHeight="1">
      <c r="A79" s="823"/>
      <c r="B79" s="453"/>
      <c r="C79" s="453" t="s">
        <v>360</v>
      </c>
      <c r="D79" s="453"/>
      <c r="E79" s="453"/>
      <c r="F79" s="453"/>
      <c r="G79" s="453"/>
      <c r="H79" s="453"/>
      <c r="I79" s="453"/>
      <c r="J79" s="621"/>
      <c r="K79" s="689">
        <f>K77/J77-1</f>
        <v>0.11458333333333326</v>
      </c>
      <c r="L79" s="689">
        <f>L77/K77-1</f>
        <v>0.10280373831775691</v>
      </c>
      <c r="M79" s="689">
        <f>M77/L77-1</f>
        <v>0</v>
      </c>
      <c r="N79" s="453"/>
      <c r="O79" s="689">
        <f>O77/M77-1</f>
        <v>3.3898305084745672E-2</v>
      </c>
      <c r="P79" s="689">
        <f>P77/O77-1</f>
        <v>7.3770491803278659E-2</v>
      </c>
      <c r="Q79" s="689">
        <f>Q77/P77-1</f>
        <v>4.5801526717557328E-2</v>
      </c>
      <c r="R79" s="689">
        <f>R77/Q77-1</f>
        <v>0.15328467153284664</v>
      </c>
      <c r="S79" s="621"/>
      <c r="T79" s="689">
        <f>T77/R77-1</f>
        <v>0.26582278481012667</v>
      </c>
      <c r="U79" s="689">
        <f>U77/T77-1</f>
        <v>0.13500000000000001</v>
      </c>
      <c r="V79" s="689">
        <f>V77/U77-1</f>
        <v>9.2511013215859084E-2</v>
      </c>
      <c r="W79" s="689">
        <f>W77/V77-1</f>
        <v>0.12096774193548376</v>
      </c>
      <c r="X79" s="453"/>
      <c r="Y79" s="689">
        <f>Y77/W77-1</f>
        <v>-2.1582733812949617E-2</v>
      </c>
      <c r="Z79" s="689">
        <f>Z77/Y77-1</f>
        <v>-9.5588235294117641E-2</v>
      </c>
      <c r="AA79" s="689">
        <f>AA77/Z77-1</f>
        <v>-0.11788617886178865</v>
      </c>
      <c r="AB79" s="689">
        <f>AB77/AA77-1</f>
        <v>0.10599078341013835</v>
      </c>
      <c r="AC79" s="453"/>
      <c r="AD79" s="689">
        <f>AD77/AB77-1</f>
        <v>-1.2499999999999956E-2</v>
      </c>
      <c r="AE79" s="689">
        <f>AE77/AD77-1</f>
        <v>4.2194092827004148E-2</v>
      </c>
      <c r="AF79" s="689">
        <f>AF77/AE77-1</f>
        <v>4.0485829959514108E-2</v>
      </c>
      <c r="AG79" s="689">
        <f>AG77/AF77-1</f>
        <v>-5.4474708171206254E-2</v>
      </c>
      <c r="AH79" s="453"/>
      <c r="AI79" s="689">
        <f>AI77/AG77-1</f>
        <v>6.5843621399176877E-2</v>
      </c>
      <c r="AJ79" s="689">
        <f>AJ77/AI77-1</f>
        <v>0.12355212355212353</v>
      </c>
      <c r="AK79" s="689">
        <f>AK77/AJ77-1</f>
        <v>-4.8109965635738883E-2</v>
      </c>
      <c r="AL79" s="689">
        <f>AL77/AK77-1</f>
        <v>2.8880866425992746E-2</v>
      </c>
      <c r="AM79" s="453"/>
      <c r="AN79" s="689">
        <f>AN77/AL77-1</f>
        <v>0.16842105263157903</v>
      </c>
      <c r="AO79" s="689">
        <f>AO77/AN77-1</f>
        <v>0.36936936936936937</v>
      </c>
      <c r="AP79" s="689">
        <f>AP77/AO77-1</f>
        <v>0.16885964912280693</v>
      </c>
      <c r="AQ79" s="689">
        <f>AQ77/AP77-1</f>
        <v>-0.18386491557223261</v>
      </c>
      <c r="AR79" s="453"/>
      <c r="AS79" s="886">
        <f>AS77/AQ77-1</f>
        <v>-0.23448275862068968</v>
      </c>
      <c r="AT79" s="887">
        <f>AT77/AS77-1</f>
        <v>-6.3063063063063085E-2</v>
      </c>
      <c r="AU79" s="887">
        <f>AU77/AT77-1</f>
        <v>-4.166666666666663E-2</v>
      </c>
      <c r="AV79" s="888">
        <f>AV77/AU77-1</f>
        <v>-7.6923076923076872E-2</v>
      </c>
      <c r="AW79" s="453"/>
      <c r="AX79" s="886">
        <f>AX77/AV77-1</f>
        <v>0.15217391304347827</v>
      </c>
      <c r="AY79" s="887">
        <f>AY77/AX77-1</f>
        <v>0.17295597484276737</v>
      </c>
      <c r="AZ79" s="887">
        <f>AZ77/AY77-1</f>
        <v>-5.0938337801608613E-2</v>
      </c>
      <c r="BA79" s="888">
        <f>BA77/AZ77-1</f>
        <v>1.4124293785310771E-2</v>
      </c>
      <c r="BB79" s="453"/>
      <c r="BC79" s="886">
        <f>BC77/BA77-1</f>
        <v>0.18105849582172695</v>
      </c>
      <c r="BD79" s="887">
        <f>BD77/BC77-1</f>
        <v>4.7169811320754818E-2</v>
      </c>
      <c r="BE79" s="887">
        <f>BE77/BD77-1</f>
        <v>1.1261261261261257E-2</v>
      </c>
      <c r="BF79" s="969">
        <f>BF77/BE77-1</f>
        <v>-1.7817371937639215E-2</v>
      </c>
      <c r="BG79" s="688"/>
      <c r="BH79" s="886">
        <f>BH77/BF77-1</f>
        <v>9.0702947845804349E-3</v>
      </c>
      <c r="BI79" s="887">
        <f>BI77/BH77-1</f>
        <v>-4.0449438202247223E-2</v>
      </c>
      <c r="BJ79" s="887">
        <f>BJ77/BI77-1</f>
        <v>-0.11007025761124123</v>
      </c>
      <c r="BK79" s="888">
        <f>BK77/BJ77-1</f>
        <v>-2.1052631578947323E-2</v>
      </c>
      <c r="BL79" s="453"/>
      <c r="BM79" s="886">
        <f>BM77/BK77-1</f>
        <v>1.8817204301075252E-2</v>
      </c>
      <c r="BN79" s="887">
        <f>BN77/BM77-1</f>
        <v>-5.2770448548812299E-3</v>
      </c>
      <c r="BO79" s="887">
        <f>BO77/BN77-1</f>
        <v>-1.3262599469496039E-2</v>
      </c>
      <c r="BP79" s="888">
        <f>BP77/BO77-1</f>
        <v>1.3440860215053752E-2</v>
      </c>
      <c r="BQ79" s="453"/>
      <c r="BR79" s="886">
        <f>BR77/BP77-1</f>
        <v>5.5702917771883298E-2</v>
      </c>
      <c r="BS79" s="887">
        <f>BS77/BR77-1</f>
        <v>-3.5175879396984966E-2</v>
      </c>
      <c r="BT79" s="887">
        <f>BT77/BS77-1</f>
        <v>-1.302083333333337E-2</v>
      </c>
      <c r="BU79" s="888">
        <f>BU77/BT77-1</f>
        <v>-4.2216358839050172E-2</v>
      </c>
      <c r="BV79" s="453"/>
      <c r="BW79" s="886">
        <f>BW77/BU77-1</f>
        <v>-0.1074380165289256</v>
      </c>
      <c r="BX79" s="887">
        <f>BX77/BW77-1</f>
        <v>-0.1635802469135802</v>
      </c>
      <c r="BY79" s="887">
        <f>BY77/BX77-1</f>
        <v>-3.3210332103321027E-2</v>
      </c>
      <c r="BZ79" s="888">
        <f>BZ77/BY77-1</f>
        <v>-0.16412213740458015</v>
      </c>
      <c r="CA79" s="453"/>
      <c r="CB79" s="886">
        <f>CB77/BZ77-1</f>
        <v>-0.11872146118721461</v>
      </c>
      <c r="CC79" s="887">
        <f>CC77/CB77-1</f>
        <v>0.20207253886010368</v>
      </c>
      <c r="CD79" s="887">
        <f>CD77/CC77-1</f>
        <v>8.6206896551724199E-2</v>
      </c>
      <c r="CE79" s="888">
        <f>CE77/CD77-1</f>
        <v>-6.3492063492063489E-2</v>
      </c>
      <c r="CF79" s="453"/>
      <c r="CG79" s="886">
        <f>CG77/CE77-1</f>
        <v>0.20338983050847448</v>
      </c>
      <c r="CH79" s="887">
        <f>CH77/CG77-1</f>
        <v>0.102112676056338</v>
      </c>
      <c r="CI79" s="887">
        <f>CI77/CH77-1</f>
        <v>1.2779552715654896E-2</v>
      </c>
      <c r="CJ79" s="888">
        <f>CJ77/CI77-1</f>
        <v>0</v>
      </c>
      <c r="CK79" s="689">
        <f t="shared" ref="CK79" si="71">CK77/CJ77-1</f>
        <v>-2.9179810725552091E-2</v>
      </c>
      <c r="CL79" s="886">
        <f>CL77/CJ77-1</f>
        <v>6.3091482649842323E-2</v>
      </c>
      <c r="CM79" s="887">
        <f t="shared" ref="CM79:CZ79" si="72">CM77/CL77-1</f>
        <v>6.8204747774480712E-2</v>
      </c>
      <c r="CN79" s="887">
        <f t="shared" si="72"/>
        <v>2.1656666249982637E-2</v>
      </c>
      <c r="CO79" s="888">
        <f t="shared" si="72"/>
        <v>-3.3752018779106274E-3</v>
      </c>
      <c r="CP79" s="689">
        <f t="shared" si="72"/>
        <v>-2.3771736122430775E-2</v>
      </c>
      <c r="CQ79" s="886">
        <f t="shared" si="72"/>
        <v>3.3241509393969082E-2</v>
      </c>
      <c r="CR79" s="887">
        <f t="shared" si="72"/>
        <v>1.0421195258022209E-2</v>
      </c>
      <c r="CS79" s="887">
        <f t="shared" si="72"/>
        <v>-4.3565734784010157E-3</v>
      </c>
      <c r="CT79" s="888">
        <f t="shared" si="72"/>
        <v>-1.1771486822829469E-2</v>
      </c>
      <c r="CU79" s="689">
        <f t="shared" si="72"/>
        <v>8.5270991087180725E-3</v>
      </c>
      <c r="CV79" s="886">
        <f t="shared" si="72"/>
        <v>-4.7206094089977779E-2</v>
      </c>
      <c r="CW79" s="887">
        <f t="shared" si="72"/>
        <v>-1.8650036302148232E-2</v>
      </c>
      <c r="CX79" s="887">
        <f t="shared" si="72"/>
        <v>-2.2617010396774329E-2</v>
      </c>
      <c r="CY79" s="888">
        <f t="shared" si="72"/>
        <v>-3.1125103776783236E-2</v>
      </c>
      <c r="CZ79" s="689">
        <f t="shared" si="72"/>
        <v>4.1052850574869959E-2</v>
      </c>
    </row>
    <row r="80" spans="1:104" ht="13.5" customHeight="1">
      <c r="A80" s="819"/>
      <c r="B80" s="66" t="s">
        <v>539</v>
      </c>
      <c r="C80" s="66"/>
      <c r="D80" s="66"/>
      <c r="E80" s="66"/>
      <c r="F80" s="66"/>
      <c r="G80" s="66"/>
      <c r="H80" s="22"/>
      <c r="I80" s="22"/>
      <c r="J80" s="553">
        <f t="shared" ref="J80:AO80" si="73">J77/J72</f>
        <v>1.2542188350571584</v>
      </c>
      <c r="K80" s="553">
        <f t="shared" si="73"/>
        <v>1.1105550922064684</v>
      </c>
      <c r="L80" s="553">
        <f t="shared" si="73"/>
        <v>1.1680070702607159</v>
      </c>
      <c r="M80" s="553">
        <f t="shared" si="73"/>
        <v>1.2363727079955098</v>
      </c>
      <c r="N80" s="553">
        <f t="shared" si="73"/>
        <v>1.1912589441113903</v>
      </c>
      <c r="O80" s="553">
        <f t="shared" si="73"/>
        <v>1.1066357108147511</v>
      </c>
      <c r="P80" s="553">
        <f t="shared" si="73"/>
        <v>1.1530965105312796</v>
      </c>
      <c r="Q80" s="553">
        <f t="shared" si="73"/>
        <v>1.1200000000000001</v>
      </c>
      <c r="R80" s="553">
        <f t="shared" si="73"/>
        <v>1.0917167064242825</v>
      </c>
      <c r="S80" s="553">
        <f t="shared" si="73"/>
        <v>1.116319676007324</v>
      </c>
      <c r="T80" s="553">
        <f t="shared" si="73"/>
        <v>0.81799591002044991</v>
      </c>
      <c r="U80" s="553">
        <f t="shared" si="73"/>
        <v>1.1267372600926537</v>
      </c>
      <c r="V80" s="553">
        <f t="shared" si="73"/>
        <v>0.93414526963400102</v>
      </c>
      <c r="W80" s="553">
        <f t="shared" si="73"/>
        <v>0.96858486731316407</v>
      </c>
      <c r="X80" s="553">
        <f t="shared" si="73"/>
        <v>0.95446351071643187</v>
      </c>
      <c r="Y80" s="553">
        <f t="shared" si="73"/>
        <v>1.1040006494121468</v>
      </c>
      <c r="Z80" s="553">
        <f t="shared" si="73"/>
        <v>1.2067894168819702</v>
      </c>
      <c r="AA80" s="553">
        <f t="shared" si="73"/>
        <v>0.98280469209982046</v>
      </c>
      <c r="AB80" s="553">
        <f t="shared" si="73"/>
        <v>0.97189600712723745</v>
      </c>
      <c r="AC80" s="553">
        <f t="shared" si="73"/>
        <v>1.0621377837814283</v>
      </c>
      <c r="AD80" s="553">
        <f t="shared" si="73"/>
        <v>0.98062202606716786</v>
      </c>
      <c r="AE80" s="553">
        <f t="shared" si="73"/>
        <v>0.92239898424079481</v>
      </c>
      <c r="AF80" s="553">
        <f t="shared" si="73"/>
        <v>1.0112271129531505</v>
      </c>
      <c r="AG80" s="553">
        <f t="shared" si="73"/>
        <v>1.062899133934039</v>
      </c>
      <c r="AH80" s="553">
        <f t="shared" si="73"/>
        <v>0.9917055521401289</v>
      </c>
      <c r="AI80" s="553">
        <f t="shared" si="73"/>
        <v>0.86365000500183409</v>
      </c>
      <c r="AJ80" s="553">
        <f t="shared" si="73"/>
        <v>1.0169373063392586</v>
      </c>
      <c r="AK80" s="553">
        <f t="shared" si="73"/>
        <v>0.99329436655072256</v>
      </c>
      <c r="AL80" s="553">
        <f t="shared" si="73"/>
        <v>0.96479350033852396</v>
      </c>
      <c r="AM80" s="553">
        <f t="shared" si="73"/>
        <v>0.95836182180675344</v>
      </c>
      <c r="AN80" s="553">
        <f t="shared" si="73"/>
        <v>0.84832119019717744</v>
      </c>
      <c r="AO80" s="553">
        <f t="shared" si="73"/>
        <v>0.83332318076046807</v>
      </c>
      <c r="AP80" s="553">
        <f t="shared" ref="AP80:BU80" si="74">AP77/AP72</f>
        <v>1.0375436365288033</v>
      </c>
      <c r="AQ80" s="553">
        <f t="shared" si="74"/>
        <v>2.2461660269539925</v>
      </c>
      <c r="AR80" s="553">
        <f t="shared" si="74"/>
        <v>1.0667082205946934</v>
      </c>
      <c r="AS80" s="877">
        <f t="shared" si="74"/>
        <v>1.5606448790851715</v>
      </c>
      <c r="AT80" s="578">
        <f t="shared" si="74"/>
        <v>1.626637934030795</v>
      </c>
      <c r="AU80" s="578">
        <f t="shared" si="74"/>
        <v>1.1094345223371098</v>
      </c>
      <c r="AV80" s="878">
        <f t="shared" si="74"/>
        <v>1.0387134004064531</v>
      </c>
      <c r="AW80" s="553">
        <f t="shared" si="74"/>
        <v>1.297320289238622</v>
      </c>
      <c r="AX80" s="877">
        <f t="shared" si="74"/>
        <v>0.88674071664265475</v>
      </c>
      <c r="AY80" s="578">
        <f t="shared" si="74"/>
        <v>1.011132395995229</v>
      </c>
      <c r="AZ80" s="578">
        <f t="shared" si="74"/>
        <v>1.0420755161315645</v>
      </c>
      <c r="BA80" s="878">
        <f t="shared" si="74"/>
        <v>0.97682644778014605</v>
      </c>
      <c r="BB80" s="553">
        <f t="shared" si="74"/>
        <v>0.97857906231123093</v>
      </c>
      <c r="BC80" s="877">
        <f t="shared" si="74"/>
        <v>0.92889430906183135</v>
      </c>
      <c r="BD80" s="578">
        <f t="shared" si="74"/>
        <v>0.99241532432311608</v>
      </c>
      <c r="BE80" s="578">
        <f t="shared" si="74"/>
        <v>0.99777777777777776</v>
      </c>
      <c r="BF80" s="964">
        <f t="shared" si="74"/>
        <v>1.0258915486077185</v>
      </c>
      <c r="BG80" s="554">
        <f t="shared" si="74"/>
        <v>0.98445944430740251</v>
      </c>
      <c r="BH80" s="877">
        <f t="shared" si="74"/>
        <v>0.9899888765294772</v>
      </c>
      <c r="BI80" s="578">
        <f t="shared" si="74"/>
        <v>1.0293455901259965</v>
      </c>
      <c r="BJ80" s="578">
        <f t="shared" si="74"/>
        <v>1.0168040244032965</v>
      </c>
      <c r="BK80" s="878">
        <f t="shared" si="74"/>
        <v>1.0072293071237106</v>
      </c>
      <c r="BL80" s="553">
        <f t="shared" si="74"/>
        <v>1.0128304297063746</v>
      </c>
      <c r="BM80" s="877">
        <f t="shared" si="74"/>
        <v>0.97161217548836976</v>
      </c>
      <c r="BN80" s="578">
        <f t="shared" si="74"/>
        <v>1.0056909123243822</v>
      </c>
      <c r="BO80" s="578">
        <f t="shared" si="74"/>
        <v>1.0147207244887755</v>
      </c>
      <c r="BP80" s="878">
        <f t="shared" si="74"/>
        <v>0.98181344676418247</v>
      </c>
      <c r="BQ80" s="553">
        <f t="shared" si="74"/>
        <v>0.99305411979993752</v>
      </c>
      <c r="BR80" s="877">
        <f t="shared" si="74"/>
        <v>0.96505124308945711</v>
      </c>
      <c r="BS80" s="578">
        <f t="shared" si="74"/>
        <v>1.0009296829520473</v>
      </c>
      <c r="BT80" s="578">
        <f t="shared" si="74"/>
        <v>1.0127100905827759</v>
      </c>
      <c r="BU80" s="878">
        <f t="shared" si="74"/>
        <v>1.0727478697729398</v>
      </c>
      <c r="BV80" s="553">
        <f t="shared" ref="BV80:CZ80" si="75">BV77/BV72</f>
        <v>1.0101523403409152</v>
      </c>
      <c r="BW80" s="877">
        <f t="shared" si="75"/>
        <v>1.1672030356885539</v>
      </c>
      <c r="BX80" s="578">
        <f t="shared" si="75"/>
        <v>1.0875526720620696</v>
      </c>
      <c r="BY80" s="578">
        <f t="shared" si="75"/>
        <v>1.0733745749518619</v>
      </c>
      <c r="BZ80" s="878">
        <f t="shared" si="75"/>
        <v>1.2743177454079948</v>
      </c>
      <c r="CA80" s="553">
        <f t="shared" si="75"/>
        <v>1.1413821756271767</v>
      </c>
      <c r="CB80" s="877">
        <f t="shared" si="75"/>
        <v>0.99373551875053634</v>
      </c>
      <c r="CC80" s="578">
        <f t="shared" si="75"/>
        <v>0.8898890195877871</v>
      </c>
      <c r="CD80" s="578">
        <f t="shared" si="75"/>
        <v>1.0719754977029097</v>
      </c>
      <c r="CE80" s="878">
        <f t="shared" si="75"/>
        <v>1.0376515073793438</v>
      </c>
      <c r="CF80" s="553">
        <f t="shared" si="75"/>
        <v>0.99516044645971402</v>
      </c>
      <c r="CG80" s="877">
        <f t="shared" si="75"/>
        <v>0.94187357668752358</v>
      </c>
      <c r="CH80" s="578">
        <f t="shared" si="75"/>
        <v>1.0709153532081841</v>
      </c>
      <c r="CI80" s="578">
        <f t="shared" si="75"/>
        <v>1.0965569725341882</v>
      </c>
      <c r="CJ80" s="878">
        <f t="shared" si="75"/>
        <v>1.1619524711344615</v>
      </c>
      <c r="CK80" s="553">
        <f t="shared" si="75"/>
        <v>1.0651522449532898</v>
      </c>
      <c r="CL80" s="877">
        <f t="shared" ref="CL80" si="76">CL77/CL72</f>
        <v>1.0134931932554083</v>
      </c>
      <c r="CM80" s="578">
        <f t="shared" si="75"/>
        <v>0.95996000000000004</v>
      </c>
      <c r="CN80" s="578">
        <f t="shared" si="75"/>
        <v>1.0216140972222223</v>
      </c>
      <c r="CO80" s="878">
        <f t="shared" si="75"/>
        <v>1.0624340278985507</v>
      </c>
      <c r="CP80" s="553">
        <f t="shared" si="75"/>
        <v>1.0133042859477432</v>
      </c>
      <c r="CQ80" s="877">
        <f t="shared" si="75"/>
        <v>1.0414680143010562</v>
      </c>
      <c r="CR80" s="578">
        <f t="shared" si="75"/>
        <v>1.0377057814465016</v>
      </c>
      <c r="CS80" s="578">
        <f t="shared" si="75"/>
        <v>1.0627045096738303</v>
      </c>
      <c r="CT80" s="878">
        <f t="shared" si="75"/>
        <v>1.0972185496703737</v>
      </c>
      <c r="CU80" s="553">
        <f t="shared" si="75"/>
        <v>1.0591500135164509</v>
      </c>
      <c r="CV80" s="877">
        <f t="shared" si="75"/>
        <v>1.1580429095509746</v>
      </c>
      <c r="CW80" s="578">
        <f t="shared" si="75"/>
        <v>1.1181156032605259</v>
      </c>
      <c r="CX80" s="578">
        <f t="shared" si="75"/>
        <v>1.12925474340468</v>
      </c>
      <c r="CY80" s="878">
        <f t="shared" si="75"/>
        <v>1.1516911287639837</v>
      </c>
      <c r="CZ80" s="553">
        <f t="shared" si="75"/>
        <v>1.1390227659524581</v>
      </c>
    </row>
    <row r="81" spans="1:104" ht="6.2" customHeight="1">
      <c r="A81" s="820"/>
      <c r="B81" s="79"/>
      <c r="C81" s="79"/>
      <c r="D81" s="79"/>
      <c r="E81" s="79"/>
      <c r="F81" s="79"/>
      <c r="G81" s="79"/>
      <c r="H81" s="219"/>
      <c r="I81" s="219"/>
      <c r="J81" s="219"/>
      <c r="K81" s="219"/>
      <c r="L81" s="219"/>
      <c r="M81" s="219"/>
      <c r="N81" s="219"/>
      <c r="O81" s="219"/>
      <c r="P81" s="219"/>
      <c r="Q81" s="219"/>
      <c r="R81" s="219"/>
      <c r="S81" s="219"/>
      <c r="T81" s="219"/>
      <c r="U81" s="219"/>
      <c r="V81" s="219"/>
      <c r="W81" s="219"/>
      <c r="X81" s="219"/>
      <c r="Y81" s="219"/>
      <c r="Z81" s="219"/>
      <c r="AA81" s="219"/>
      <c r="AB81" s="219"/>
      <c r="AC81" s="219"/>
      <c r="AD81" s="219"/>
      <c r="AE81" s="219"/>
      <c r="AF81" s="219"/>
      <c r="AG81" s="219"/>
      <c r="AH81" s="219"/>
      <c r="AI81" s="219"/>
      <c r="AJ81" s="219"/>
      <c r="AK81" s="219"/>
      <c r="AL81" s="219"/>
      <c r="AM81" s="219"/>
      <c r="AN81" s="219"/>
      <c r="AO81" s="219"/>
      <c r="AP81" s="219"/>
      <c r="AQ81" s="219"/>
      <c r="AR81" s="219"/>
      <c r="AS81" s="854"/>
      <c r="AT81" s="855"/>
      <c r="AU81" s="855"/>
      <c r="AV81" s="856"/>
      <c r="AW81" s="219"/>
      <c r="AX81" s="854"/>
      <c r="AY81" s="855"/>
      <c r="AZ81" s="855"/>
      <c r="BA81" s="856"/>
      <c r="BB81" s="219"/>
      <c r="BC81" s="854"/>
      <c r="BD81" s="855"/>
      <c r="BE81" s="855"/>
      <c r="BF81" s="856"/>
      <c r="BG81" s="219"/>
      <c r="BH81" s="854"/>
      <c r="BI81" s="855"/>
      <c r="BJ81" s="855"/>
      <c r="BK81" s="856"/>
      <c r="BL81" s="219"/>
      <c r="BM81" s="854"/>
      <c r="BN81" s="855"/>
      <c r="BO81" s="855"/>
      <c r="BP81" s="856"/>
      <c r="BQ81" s="219"/>
      <c r="BR81" s="854"/>
      <c r="BS81" s="855"/>
      <c r="BT81" s="855"/>
      <c r="BU81" s="856"/>
      <c r="BV81" s="219"/>
      <c r="BW81" s="1009"/>
      <c r="BX81" s="1010"/>
      <c r="BY81" s="855"/>
      <c r="BZ81" s="856"/>
      <c r="CA81" s="219"/>
      <c r="CB81" s="854"/>
      <c r="CC81" s="855"/>
      <c r="CD81" s="855"/>
      <c r="CE81" s="856"/>
      <c r="CF81" s="219"/>
      <c r="CG81" s="854"/>
      <c r="CH81" s="855"/>
      <c r="CI81" s="855"/>
      <c r="CJ81" s="856"/>
      <c r="CK81" s="219"/>
      <c r="CL81" s="854"/>
      <c r="CM81" s="855"/>
      <c r="CN81" s="855"/>
      <c r="CO81" s="856"/>
      <c r="CP81" s="219"/>
      <c r="CQ81" s="854"/>
      <c r="CR81" s="855"/>
      <c r="CS81" s="855"/>
      <c r="CT81" s="856"/>
      <c r="CU81" s="219"/>
      <c r="CV81" s="854"/>
      <c r="CW81" s="855"/>
      <c r="CX81" s="855"/>
      <c r="CY81" s="856"/>
      <c r="CZ81" s="219"/>
    </row>
    <row r="82" spans="1:104" ht="13.5" customHeight="1">
      <c r="A82" s="12" t="s">
        <v>106</v>
      </c>
      <c r="B82" s="20"/>
      <c r="C82" s="20"/>
      <c r="D82" s="20"/>
      <c r="E82" s="20"/>
      <c r="F82" s="20"/>
      <c r="G82" s="20"/>
      <c r="H82" s="66"/>
      <c r="I82" s="66"/>
      <c r="J82" s="66"/>
      <c r="K82" s="66"/>
      <c r="L82" s="66"/>
      <c r="M82" s="66"/>
      <c r="N82" s="66"/>
      <c r="O82" s="66"/>
      <c r="P82" s="66"/>
      <c r="Q82" s="66"/>
      <c r="R82" s="66"/>
      <c r="S82" s="66"/>
      <c r="T82" s="66"/>
      <c r="U82" s="66"/>
      <c r="V82" s="66"/>
      <c r="W82" s="66"/>
      <c r="X82" s="66"/>
      <c r="Y82" s="66"/>
      <c r="Z82" s="66"/>
      <c r="AA82" s="66"/>
      <c r="AB82" s="66"/>
      <c r="AC82" s="66"/>
      <c r="AD82" s="66"/>
      <c r="AE82" s="66"/>
      <c r="AF82" s="66"/>
      <c r="AG82" s="66"/>
      <c r="AH82" s="66"/>
      <c r="AI82" s="66"/>
      <c r="AJ82" s="66"/>
      <c r="AK82" s="66"/>
      <c r="AL82" s="66"/>
      <c r="AM82" s="66"/>
      <c r="AN82" s="66"/>
      <c r="AO82" s="66"/>
      <c r="AP82" s="66"/>
      <c r="AQ82" s="66"/>
      <c r="AR82" s="66"/>
      <c r="AS82" s="859"/>
      <c r="AT82" s="20"/>
      <c r="AU82" s="20"/>
      <c r="AV82" s="860"/>
      <c r="AW82" s="66"/>
      <c r="AX82" s="859"/>
      <c r="AY82" s="20"/>
      <c r="AZ82" s="20"/>
      <c r="BA82" s="860"/>
      <c r="BB82" s="66"/>
      <c r="BC82" s="859"/>
      <c r="BD82" s="20"/>
      <c r="BE82" s="20"/>
      <c r="BF82" s="954"/>
      <c r="BG82" s="362"/>
      <c r="BH82" s="859"/>
      <c r="BI82" s="20"/>
      <c r="BJ82" s="20"/>
      <c r="BK82" s="860"/>
      <c r="BL82" s="66"/>
      <c r="BM82" s="859"/>
      <c r="BN82" s="20"/>
      <c r="BO82" s="20"/>
      <c r="BP82" s="860"/>
      <c r="BQ82" s="66"/>
      <c r="BR82" s="859"/>
      <c r="BS82" s="20"/>
      <c r="BT82" s="20"/>
      <c r="BU82" s="860"/>
      <c r="BV82" s="66"/>
      <c r="BW82" s="859"/>
      <c r="BX82" s="20"/>
      <c r="BY82" s="20"/>
      <c r="BZ82" s="860"/>
      <c r="CA82" s="66"/>
      <c r="CB82" s="859"/>
      <c r="CC82" s="20"/>
      <c r="CD82" s="20"/>
      <c r="CE82" s="944"/>
      <c r="CF82" s="453"/>
      <c r="CG82" s="981"/>
      <c r="CH82" s="495"/>
      <c r="CI82" s="20"/>
      <c r="CJ82" s="944"/>
      <c r="CK82" s="453"/>
      <c r="CL82" s="981"/>
      <c r="CM82" s="20"/>
      <c r="CN82" s="20"/>
      <c r="CO82" s="860"/>
      <c r="CP82" s="66"/>
      <c r="CQ82" s="859"/>
      <c r="CR82" s="20"/>
      <c r="CS82" s="20"/>
      <c r="CT82" s="860"/>
      <c r="CU82" s="66"/>
      <c r="CV82" s="859"/>
      <c r="CW82" s="20"/>
      <c r="CX82" s="20"/>
      <c r="CY82" s="860"/>
      <c r="CZ82" s="66"/>
    </row>
    <row r="83" spans="1:104" ht="13.5" customHeight="1">
      <c r="A83" s="819"/>
      <c r="B83" s="66" t="s">
        <v>462</v>
      </c>
      <c r="C83" s="66"/>
      <c r="D83" s="66"/>
      <c r="E83" s="66"/>
      <c r="F83" s="66"/>
      <c r="G83" s="66"/>
      <c r="H83" s="66"/>
      <c r="I83" s="66"/>
      <c r="J83" s="66"/>
      <c r="K83" s="66"/>
      <c r="L83" s="66"/>
      <c r="M83" s="66"/>
      <c r="N83" s="66"/>
      <c r="O83" s="66"/>
      <c r="P83" s="66"/>
      <c r="Q83" s="66"/>
      <c r="R83" s="66"/>
      <c r="S83" s="549">
        <f>S89-SUM(S84:S87)</f>
        <v>2371.6110000000003</v>
      </c>
      <c r="T83" s="66"/>
      <c r="U83" s="66"/>
      <c r="V83" s="66"/>
      <c r="W83" s="66"/>
      <c r="X83" s="549">
        <f>X89-SUM(X84:X87)</f>
        <v>4856.4690000000001</v>
      </c>
      <c r="Y83" s="550">
        <f t="shared" ref="Y83:AB84" si="77">Y33*Y18/1000</f>
        <v>1394.55</v>
      </c>
      <c r="Z83" s="550">
        <f t="shared" si="77"/>
        <v>1215.5640000000001</v>
      </c>
      <c r="AA83" s="550">
        <f t="shared" si="77"/>
        <v>1021.942</v>
      </c>
      <c r="AB83" s="550">
        <f t="shared" si="77"/>
        <v>1171.83</v>
      </c>
      <c r="AC83" s="550">
        <f>SUM(Y83:AB83)</f>
        <v>4803.8860000000004</v>
      </c>
      <c r="AD83" s="550">
        <f t="shared" ref="AD83:AG84" si="78">AD33*AD18/1000</f>
        <v>1331.154</v>
      </c>
      <c r="AE83" s="550">
        <f t="shared" si="78"/>
        <v>1388.125</v>
      </c>
      <c r="AF83" s="550">
        <f t="shared" si="78"/>
        <v>1465.1210000000001</v>
      </c>
      <c r="AG83" s="550">
        <f t="shared" si="78"/>
        <v>1158.144</v>
      </c>
      <c r="AH83" s="550">
        <f>SUM(AD83:AG83)</f>
        <v>5342.5439999999999</v>
      </c>
      <c r="AI83" s="550">
        <f t="shared" ref="AI83:AL84" si="79">AI33*AI18/1000</f>
        <v>1203.92</v>
      </c>
      <c r="AJ83" s="550">
        <f t="shared" si="79"/>
        <v>1302.8399999999999</v>
      </c>
      <c r="AK83" s="550">
        <f t="shared" si="79"/>
        <v>1226.876</v>
      </c>
      <c r="AL83" s="550">
        <f t="shared" si="79"/>
        <v>1296.8399999999999</v>
      </c>
      <c r="AM83" s="550">
        <f>SUM(AI83:AL83)</f>
        <v>5030.4760000000006</v>
      </c>
      <c r="AN83" s="550">
        <f t="shared" ref="AN83:BS83" si="80">AN33*AN18/1000</f>
        <v>1459.26</v>
      </c>
      <c r="AO83" s="550">
        <f t="shared" si="80"/>
        <v>1988.16</v>
      </c>
      <c r="AP83" s="550">
        <f t="shared" si="80"/>
        <v>2092.8000000000002</v>
      </c>
      <c r="AQ83" s="550">
        <f t="shared" si="80"/>
        <v>934.27599999999995</v>
      </c>
      <c r="AR83" s="550">
        <f t="shared" si="80"/>
        <v>6521.8450000000003</v>
      </c>
      <c r="AS83" s="889">
        <f t="shared" si="80"/>
        <v>583.77</v>
      </c>
      <c r="AT83" s="550">
        <f t="shared" si="80"/>
        <v>482.03399999999999</v>
      </c>
      <c r="AU83" s="550">
        <f t="shared" si="80"/>
        <v>887.4</v>
      </c>
      <c r="AV83" s="890">
        <f t="shared" si="80"/>
        <v>924.75300000000004</v>
      </c>
      <c r="AW83" s="550">
        <f t="shared" si="80"/>
        <v>2887.4479999999999</v>
      </c>
      <c r="AX83" s="889">
        <f t="shared" si="80"/>
        <v>1268</v>
      </c>
      <c r="AY83" s="550">
        <f t="shared" si="80"/>
        <v>1374.318</v>
      </c>
      <c r="AZ83" s="550">
        <f t="shared" si="80"/>
        <v>1251.8800000000001</v>
      </c>
      <c r="BA83" s="890">
        <f t="shared" si="80"/>
        <v>1082.9000000000001</v>
      </c>
      <c r="BB83" s="550">
        <f t="shared" si="80"/>
        <v>4975.2044999999998</v>
      </c>
      <c r="BC83" s="889">
        <f t="shared" si="80"/>
        <v>1576.44</v>
      </c>
      <c r="BD83" s="550">
        <f t="shared" si="80"/>
        <v>1535.8920000000001</v>
      </c>
      <c r="BE83" s="550">
        <f t="shared" si="80"/>
        <v>1482.4</v>
      </c>
      <c r="BF83" s="970">
        <f t="shared" si="80"/>
        <v>1375.2270000000001</v>
      </c>
      <c r="BG83" s="577">
        <f t="shared" si="80"/>
        <v>5970</v>
      </c>
      <c r="BH83" s="889">
        <f t="shared" si="80"/>
        <v>1597.44</v>
      </c>
      <c r="BI83" s="550">
        <f t="shared" si="80"/>
        <v>1461.075</v>
      </c>
      <c r="BJ83" s="550">
        <f t="shared" si="80"/>
        <v>1275.4280000000001</v>
      </c>
      <c r="BK83" s="970">
        <f t="shared" si="80"/>
        <v>1273.05</v>
      </c>
      <c r="BL83" s="577">
        <f t="shared" si="80"/>
        <v>5602.17</v>
      </c>
      <c r="BM83" s="990">
        <f t="shared" si="80"/>
        <v>1284.0630000000001</v>
      </c>
      <c r="BN83" s="577">
        <f t="shared" si="80"/>
        <v>1214.096</v>
      </c>
      <c r="BO83" s="577">
        <f t="shared" si="80"/>
        <v>1361.7449999999999</v>
      </c>
      <c r="BP83" s="970">
        <f t="shared" si="80"/>
        <v>1370.5319999999999</v>
      </c>
      <c r="BQ83" s="577">
        <f t="shared" si="80"/>
        <v>5228.7179999999998</v>
      </c>
      <c r="BR83" s="990">
        <f t="shared" si="80"/>
        <v>1396.4880000000001</v>
      </c>
      <c r="BS83" s="577">
        <f t="shared" si="80"/>
        <v>1453.364</v>
      </c>
      <c r="BT83" s="577">
        <f t="shared" ref="BT83:CZ83" si="81">BT33*BT18/1000</f>
        <v>1530</v>
      </c>
      <c r="BU83" s="970">
        <f t="shared" si="81"/>
        <v>1611.9680000000001</v>
      </c>
      <c r="BV83" s="577">
        <f t="shared" si="81"/>
        <v>5998.5697499999997</v>
      </c>
      <c r="BW83" s="990">
        <f t="shared" si="81"/>
        <v>1296.828</v>
      </c>
      <c r="BX83" s="577">
        <f t="shared" si="81"/>
        <v>1229.76</v>
      </c>
      <c r="BY83" s="577">
        <f t="shared" si="81"/>
        <v>1164.1679999999999</v>
      </c>
      <c r="BZ83" s="970">
        <f t="shared" si="81"/>
        <v>924.05200000000002</v>
      </c>
      <c r="CA83" s="577">
        <f t="shared" si="81"/>
        <v>4611.66</v>
      </c>
      <c r="CB83" s="990">
        <f t="shared" si="81"/>
        <v>1126.6320000000001</v>
      </c>
      <c r="CC83" s="577">
        <f t="shared" si="81"/>
        <v>1387.1</v>
      </c>
      <c r="CD83" s="577">
        <f t="shared" si="81"/>
        <v>1412.586</v>
      </c>
      <c r="CE83" s="970">
        <f t="shared" si="81"/>
        <v>1256.049</v>
      </c>
      <c r="CF83" s="577">
        <f t="shared" si="81"/>
        <v>5220.0550000000003</v>
      </c>
      <c r="CG83" s="990">
        <f t="shared" si="81"/>
        <v>1620.1110000000001</v>
      </c>
      <c r="CH83" s="577">
        <f t="shared" si="81"/>
        <v>1681.039</v>
      </c>
      <c r="CI83" s="577">
        <f t="shared" si="81"/>
        <v>1585.99</v>
      </c>
      <c r="CJ83" s="970">
        <f t="shared" si="81"/>
        <v>1525.037</v>
      </c>
      <c r="CK83" s="577">
        <f t="shared" si="81"/>
        <v>6415.2790000000005</v>
      </c>
      <c r="CL83" s="990">
        <f t="shared" si="81"/>
        <v>1679.529</v>
      </c>
      <c r="CM83" s="577">
        <f t="shared" si="81"/>
        <v>2104.630005</v>
      </c>
      <c r="CN83" s="577">
        <f t="shared" si="81"/>
        <v>2111.6059125000002</v>
      </c>
      <c r="CO83" s="970">
        <f t="shared" si="81"/>
        <v>1987.1164520624998</v>
      </c>
      <c r="CP83" s="577">
        <f t="shared" si="81"/>
        <v>7882.9159389062488</v>
      </c>
      <c r="CQ83" s="990">
        <f t="shared" si="81"/>
        <v>2096.8547376843753</v>
      </c>
      <c r="CR83" s="577">
        <f t="shared" si="81"/>
        <v>2131.6324317704721</v>
      </c>
      <c r="CS83" s="577">
        <f t="shared" si="81"/>
        <v>2017.2244424017017</v>
      </c>
      <c r="CT83" s="970">
        <f t="shared" si="81"/>
        <v>1864.888895387938</v>
      </c>
      <c r="CU83" s="577">
        <f t="shared" si="81"/>
        <v>8106.5327198855002</v>
      </c>
      <c r="CV83" s="990">
        <f t="shared" si="81"/>
        <v>1994.6555544758862</v>
      </c>
      <c r="CW83" s="577">
        <f t="shared" si="81"/>
        <v>2074.8564697822585</v>
      </c>
      <c r="CX83" s="577">
        <f t="shared" si="81"/>
        <v>1941.0041850987207</v>
      </c>
      <c r="CY83" s="970">
        <f t="shared" si="81"/>
        <v>1858.2661238009491</v>
      </c>
      <c r="CZ83" s="577">
        <f t="shared" si="81"/>
        <v>7866.1679327249021</v>
      </c>
    </row>
    <row r="84" spans="1:104" ht="13.5" customHeight="1">
      <c r="A84" s="819"/>
      <c r="B84" s="66" t="s">
        <v>80</v>
      </c>
      <c r="C84" s="66"/>
      <c r="D84" s="66"/>
      <c r="E84" s="66"/>
      <c r="F84" s="66"/>
      <c r="G84" s="66"/>
      <c r="H84" s="66"/>
      <c r="I84" s="66"/>
      <c r="J84" s="66"/>
      <c r="K84" s="66"/>
      <c r="L84" s="66"/>
      <c r="M84" s="66"/>
      <c r="N84" s="66"/>
      <c r="O84" s="66"/>
      <c r="P84" s="66"/>
      <c r="Q84" s="66"/>
      <c r="R84" s="66"/>
      <c r="S84" s="500">
        <v>1746.8050000000001</v>
      </c>
      <c r="T84" s="66"/>
      <c r="U84" s="66"/>
      <c r="V84" s="66"/>
      <c r="W84" s="66"/>
      <c r="X84" s="500">
        <v>2632.9659999999999</v>
      </c>
      <c r="Y84" s="550">
        <f t="shared" si="77"/>
        <v>707.26400000000001</v>
      </c>
      <c r="Z84" s="550">
        <f t="shared" si="77"/>
        <v>759.97699999999998</v>
      </c>
      <c r="AA84" s="550">
        <f t="shared" si="77"/>
        <v>830.30399999999997</v>
      </c>
      <c r="AB84" s="550">
        <f t="shared" si="77"/>
        <v>764.22</v>
      </c>
      <c r="AC84" s="550">
        <f>SUM(Y84:AB84)</f>
        <v>3061.7650000000003</v>
      </c>
      <c r="AD84" s="550">
        <f t="shared" si="78"/>
        <v>889.43399999999997</v>
      </c>
      <c r="AE84" s="550">
        <f t="shared" si="78"/>
        <v>1025.703</v>
      </c>
      <c r="AF84" s="550">
        <f t="shared" si="78"/>
        <v>969.41300000000001</v>
      </c>
      <c r="AG84" s="550">
        <f t="shared" si="78"/>
        <v>836.928</v>
      </c>
      <c r="AH84" s="550">
        <f>SUM(AD84:AG84)</f>
        <v>3721.4780000000001</v>
      </c>
      <c r="AI84" s="550">
        <f t="shared" si="79"/>
        <v>1064.115</v>
      </c>
      <c r="AJ84" s="550">
        <f t="shared" si="79"/>
        <v>912.6</v>
      </c>
      <c r="AK84" s="550">
        <f t="shared" si="79"/>
        <v>976.78800000000001</v>
      </c>
      <c r="AL84" s="550">
        <f t="shared" si="79"/>
        <v>950.53200000000004</v>
      </c>
      <c r="AM84" s="550">
        <f>SUM(AI84:AL84)</f>
        <v>3904.0350000000003</v>
      </c>
      <c r="AN84" s="550">
        <f>AN34*AN19/1000</f>
        <v>1055.136</v>
      </c>
      <c r="AO84" s="550">
        <f>AO34*AO19/1000</f>
        <v>1406.7840000000001</v>
      </c>
      <c r="AP84" s="550">
        <f>AP34*AP19/1000</f>
        <v>1285.992</v>
      </c>
      <c r="AQ84" s="550">
        <f>AQ34*AQ19/1000</f>
        <v>641.26800000000003</v>
      </c>
      <c r="AR84" s="550">
        <f t="shared" ref="AR84:CH84" si="82">(AR34+AR35)*AR19/1000-AR85</f>
        <v>4379.9955</v>
      </c>
      <c r="AS84" s="889">
        <f t="shared" si="82"/>
        <v>494.37299999999999</v>
      </c>
      <c r="AT84" s="550">
        <f t="shared" si="82"/>
        <v>493.88400000000001</v>
      </c>
      <c r="AU84" s="550">
        <f t="shared" si="82"/>
        <v>546.41700000000003</v>
      </c>
      <c r="AV84" s="890">
        <f t="shared" si="82"/>
        <v>507.71499999999997</v>
      </c>
      <c r="AW84" s="550">
        <f t="shared" si="82"/>
        <v>2053.1067499999999</v>
      </c>
      <c r="AX84" s="889">
        <f t="shared" si="82"/>
        <v>635.92200000000003</v>
      </c>
      <c r="AY84" s="550">
        <f t="shared" si="82"/>
        <v>636.68200000000002</v>
      </c>
      <c r="AZ84" s="550">
        <f t="shared" si="82"/>
        <v>694.63800000000003</v>
      </c>
      <c r="BA84" s="890">
        <f t="shared" si="82"/>
        <v>701.78099999999995</v>
      </c>
      <c r="BB84" s="550">
        <f t="shared" si="82"/>
        <v>2674.6444999999999</v>
      </c>
      <c r="BC84" s="889">
        <f t="shared" si="82"/>
        <v>544.0642499999999</v>
      </c>
      <c r="BD84" s="550">
        <f t="shared" si="82"/>
        <v>633.93966666666665</v>
      </c>
      <c r="BE84" s="550">
        <f t="shared" si="82"/>
        <v>669.16758333333325</v>
      </c>
      <c r="BF84" s="890">
        <f t="shared" si="82"/>
        <v>626.81983333333324</v>
      </c>
      <c r="BG84" s="550">
        <f t="shared" si="82"/>
        <v>2475.0133333333333</v>
      </c>
      <c r="BH84" s="889">
        <f t="shared" si="82"/>
        <v>702.80633333333344</v>
      </c>
      <c r="BI84" s="550">
        <f t="shared" si="82"/>
        <v>740.63249999999994</v>
      </c>
      <c r="BJ84" s="550">
        <f t="shared" si="82"/>
        <v>714.21458333333339</v>
      </c>
      <c r="BK84" s="890">
        <f t="shared" si="82"/>
        <v>574.12566666666669</v>
      </c>
      <c r="BL84" s="550">
        <f t="shared" si="82"/>
        <v>2729.8630833333332</v>
      </c>
      <c r="BM84" s="889">
        <f t="shared" si="82"/>
        <v>652.69831249999993</v>
      </c>
      <c r="BN84" s="550">
        <f t="shared" si="82"/>
        <v>652.0234375</v>
      </c>
      <c r="BO84" s="550">
        <f t="shared" si="82"/>
        <v>684.74143750000007</v>
      </c>
      <c r="BP84" s="890">
        <f t="shared" si="82"/>
        <v>652.45706250000001</v>
      </c>
      <c r="BQ84" s="550">
        <f t="shared" si="82"/>
        <v>2643.0262499999999</v>
      </c>
      <c r="BR84" s="889">
        <f t="shared" si="82"/>
        <v>644.54033333333325</v>
      </c>
      <c r="BS84" s="550">
        <f t="shared" si="82"/>
        <v>687.72</v>
      </c>
      <c r="BT84" s="550">
        <f t="shared" si="82"/>
        <v>747.48933333333343</v>
      </c>
      <c r="BU84" s="890">
        <f t="shared" si="82"/>
        <v>529.5053333333334</v>
      </c>
      <c r="BV84" s="550">
        <f t="shared" si="82"/>
        <v>2607.5765000000001</v>
      </c>
      <c r="BW84" s="889">
        <f t="shared" si="82"/>
        <v>460.56733333333341</v>
      </c>
      <c r="BX84" s="550">
        <f t="shared" si="82"/>
        <v>514.31866666666656</v>
      </c>
      <c r="BY84" s="550">
        <f t="shared" si="82"/>
        <v>470.94166666666661</v>
      </c>
      <c r="BZ84" s="890">
        <f t="shared" si="82"/>
        <v>340.09200000000004</v>
      </c>
      <c r="CA84" s="550">
        <f t="shared" si="82"/>
        <v>1779.6866666666667</v>
      </c>
      <c r="CB84" s="889">
        <f t="shared" si="82"/>
        <v>434.995</v>
      </c>
      <c r="CC84" s="550">
        <f t="shared" si="82"/>
        <v>518.31733333333329</v>
      </c>
      <c r="CD84" s="550">
        <f t="shared" si="82"/>
        <v>485.87599999999998</v>
      </c>
      <c r="CE84" s="890">
        <f t="shared" si="82"/>
        <v>443.30133333333333</v>
      </c>
      <c r="CF84" s="550">
        <f t="shared" si="82"/>
        <v>1883.048666666667</v>
      </c>
      <c r="CG84" s="889">
        <f t="shared" si="82"/>
        <v>527.52</v>
      </c>
      <c r="CH84" s="550">
        <f t="shared" si="82"/>
        <v>601.39833333333331</v>
      </c>
      <c r="CI84" s="550">
        <f>(CI34+CI35)*CI19/1000-CI85</f>
        <v>610.36266666666666</v>
      </c>
      <c r="CJ84" s="890">
        <f t="shared" ref="CJ84:CZ84" si="83">(CJ34+CJ35)*CJ19/1000-CJ85</f>
        <v>604.69200000000001</v>
      </c>
      <c r="CK84" s="550">
        <f t="shared" si="83"/>
        <v>2342.7019999999998</v>
      </c>
      <c r="CL84" s="889">
        <f t="shared" si="83"/>
        <v>760.00666666666677</v>
      </c>
      <c r="CM84" s="550">
        <f t="shared" si="83"/>
        <v>763.09116000000017</v>
      </c>
      <c r="CN84" s="550">
        <f t="shared" si="83"/>
        <v>779.9557089744003</v>
      </c>
      <c r="CO84" s="890">
        <f t="shared" si="83"/>
        <v>793.76620900640705</v>
      </c>
      <c r="CP84" s="550">
        <f t="shared" si="83"/>
        <v>3105.8007154833672</v>
      </c>
      <c r="CQ84" s="889">
        <f t="shared" si="83"/>
        <v>896.80022571778545</v>
      </c>
      <c r="CR84" s="550">
        <f t="shared" si="83"/>
        <v>802.28064698561138</v>
      </c>
      <c r="CS84" s="550">
        <f t="shared" si="83"/>
        <v>776.04022443635677</v>
      </c>
      <c r="CT84" s="890">
        <f t="shared" si="83"/>
        <v>751.11083775989118</v>
      </c>
      <c r="CU84" s="550">
        <f t="shared" si="83"/>
        <v>3225.142991643761</v>
      </c>
      <c r="CV84" s="889">
        <f t="shared" si="83"/>
        <v>900.81817761875118</v>
      </c>
      <c r="CW84" s="550">
        <f t="shared" si="83"/>
        <v>774.47158271395779</v>
      </c>
      <c r="CX84" s="550">
        <f t="shared" si="83"/>
        <v>757.79289084090237</v>
      </c>
      <c r="CY84" s="890">
        <f t="shared" si="83"/>
        <v>758.06166321254977</v>
      </c>
      <c r="CZ84" s="550">
        <f t="shared" si="83"/>
        <v>3188.8745483711928</v>
      </c>
    </row>
    <row r="85" spans="1:104" ht="13.5" customHeight="1">
      <c r="A85" s="819"/>
      <c r="B85" s="66" t="s">
        <v>552</v>
      </c>
      <c r="C85" s="66"/>
      <c r="D85" s="66"/>
      <c r="E85" s="66"/>
      <c r="F85" s="66"/>
      <c r="G85" s="66"/>
      <c r="H85" s="66"/>
      <c r="I85" s="66"/>
      <c r="J85" s="66"/>
      <c r="K85" s="66"/>
      <c r="L85" s="66"/>
      <c r="M85" s="66"/>
      <c r="N85" s="66"/>
      <c r="O85" s="66"/>
      <c r="P85" s="66"/>
      <c r="Q85" s="66"/>
      <c r="R85" s="66"/>
      <c r="S85" s="102"/>
      <c r="T85" s="66"/>
      <c r="U85" s="66"/>
      <c r="V85" s="66"/>
      <c r="W85" s="66"/>
      <c r="X85" s="102"/>
      <c r="Y85" s="75"/>
      <c r="Z85" s="75"/>
      <c r="AA85" s="75"/>
      <c r="AB85" s="75"/>
      <c r="AC85" s="75"/>
      <c r="AD85" s="75"/>
      <c r="AE85" s="75"/>
      <c r="AF85" s="75"/>
      <c r="AG85" s="75"/>
      <c r="AH85" s="75"/>
      <c r="AI85" s="75"/>
      <c r="AJ85" s="75"/>
      <c r="AK85" s="75"/>
      <c r="AL85" s="75"/>
      <c r="AM85" s="75"/>
      <c r="AN85" s="75"/>
      <c r="AO85" s="75"/>
      <c r="AP85" s="75"/>
      <c r="AQ85" s="75"/>
      <c r="AR85" s="75"/>
      <c r="AS85" s="891"/>
      <c r="AT85" s="75"/>
      <c r="AU85" s="75"/>
      <c r="AV85" s="892"/>
      <c r="AW85" s="75"/>
      <c r="AX85" s="891"/>
      <c r="AY85" s="75"/>
      <c r="AZ85" s="75"/>
      <c r="BA85" s="892"/>
      <c r="BB85" s="75">
        <f t="shared" ref="BB85:CG85" si="84">BB35*BB9/1000</f>
        <v>0</v>
      </c>
      <c r="BC85" s="889">
        <f t="shared" si="84"/>
        <v>294.91874999999999</v>
      </c>
      <c r="BD85" s="550">
        <f t="shared" si="84"/>
        <v>318.41833333333329</v>
      </c>
      <c r="BE85" s="550">
        <f t="shared" si="84"/>
        <v>322.6854166666667</v>
      </c>
      <c r="BF85" s="890">
        <f t="shared" si="84"/>
        <v>323.60416666666669</v>
      </c>
      <c r="BG85" s="550">
        <f t="shared" si="84"/>
        <v>1259.6266666666668</v>
      </c>
      <c r="BH85" s="889">
        <f t="shared" si="84"/>
        <v>334.99666666666661</v>
      </c>
      <c r="BI85" s="550">
        <f t="shared" si="84"/>
        <v>312.74250000000001</v>
      </c>
      <c r="BJ85" s="550">
        <f t="shared" si="84"/>
        <v>275.89041666666668</v>
      </c>
      <c r="BK85" s="890">
        <f t="shared" si="84"/>
        <v>266.72333333333336</v>
      </c>
      <c r="BL85" s="550">
        <f t="shared" si="84"/>
        <v>1190.3529166666667</v>
      </c>
      <c r="BM85" s="889">
        <f t="shared" si="84"/>
        <v>279.13768750000003</v>
      </c>
      <c r="BN85" s="550">
        <f t="shared" si="84"/>
        <v>277.80856249999999</v>
      </c>
      <c r="BO85" s="550">
        <f t="shared" si="84"/>
        <v>267.51856249999997</v>
      </c>
      <c r="BP85" s="890">
        <f t="shared" si="84"/>
        <v>264.98893750000002</v>
      </c>
      <c r="BQ85" s="550">
        <f t="shared" si="84"/>
        <v>1089.4537499999999</v>
      </c>
      <c r="BR85" s="889">
        <f t="shared" si="84"/>
        <v>351.14666666666676</v>
      </c>
      <c r="BS85" s="550">
        <f t="shared" si="84"/>
        <v>359.04</v>
      </c>
      <c r="BT85" s="550">
        <f t="shared" si="84"/>
        <v>360.98666666666668</v>
      </c>
      <c r="BU85" s="890">
        <f t="shared" si="84"/>
        <v>370.42666666666662</v>
      </c>
      <c r="BV85" s="550">
        <f t="shared" si="84"/>
        <v>1441.6</v>
      </c>
      <c r="BW85" s="889">
        <f t="shared" si="84"/>
        <v>358.18666666666661</v>
      </c>
      <c r="BX85" s="550">
        <f t="shared" si="84"/>
        <v>310.53333333333336</v>
      </c>
      <c r="BY85" s="550">
        <f t="shared" si="84"/>
        <v>290.93333333333339</v>
      </c>
      <c r="BZ85" s="890">
        <f t="shared" si="84"/>
        <v>259.2</v>
      </c>
      <c r="CA85" s="550">
        <f t="shared" si="84"/>
        <v>1218.8533333333332</v>
      </c>
      <c r="CB85" s="889">
        <f t="shared" si="84"/>
        <v>249.27999999999997</v>
      </c>
      <c r="CC85" s="550">
        <f t="shared" si="84"/>
        <v>258.10666666666668</v>
      </c>
      <c r="CD85" s="550">
        <f t="shared" si="84"/>
        <v>255.76</v>
      </c>
      <c r="CE85" s="890">
        <f t="shared" si="84"/>
        <v>240.50666666666666</v>
      </c>
      <c r="CF85" s="550">
        <f t="shared" si="84"/>
        <v>1003.6533333333333</v>
      </c>
      <c r="CG85" s="889">
        <f t="shared" si="84"/>
        <v>276.48</v>
      </c>
      <c r="CH85" s="550">
        <f t="shared" ref="CH85:CZ85" si="85">CH35*CH9/1000</f>
        <v>301.86666666666662</v>
      </c>
      <c r="CI85" s="550">
        <f t="shared" si="85"/>
        <v>318.77333333333337</v>
      </c>
      <c r="CJ85" s="890">
        <f t="shared" si="85"/>
        <v>315.52</v>
      </c>
      <c r="CK85" s="550">
        <f t="shared" si="85"/>
        <v>1212.6400000000003</v>
      </c>
      <c r="CL85" s="889">
        <f t="shared" si="85"/>
        <v>329.65333333333331</v>
      </c>
      <c r="CM85" s="550">
        <f t="shared" si="85"/>
        <v>364</v>
      </c>
      <c r="CN85" s="550">
        <f t="shared" si="85"/>
        <v>370</v>
      </c>
      <c r="CO85" s="890">
        <f t="shared" si="85"/>
        <v>358</v>
      </c>
      <c r="CP85" s="550">
        <f t="shared" si="85"/>
        <v>1421.6533333333332</v>
      </c>
      <c r="CQ85" s="889">
        <f t="shared" si="85"/>
        <v>362</v>
      </c>
      <c r="CR85" s="550">
        <f t="shared" si="85"/>
        <v>364</v>
      </c>
      <c r="CS85" s="550">
        <f t="shared" si="85"/>
        <v>356</v>
      </c>
      <c r="CT85" s="890">
        <f t="shared" si="85"/>
        <v>338</v>
      </c>
      <c r="CU85" s="550">
        <f t="shared" si="85"/>
        <v>1420</v>
      </c>
      <c r="CV85" s="889">
        <f t="shared" si="85"/>
        <v>322</v>
      </c>
      <c r="CW85" s="550">
        <f t="shared" si="85"/>
        <v>324</v>
      </c>
      <c r="CX85" s="550">
        <f t="shared" si="85"/>
        <v>320</v>
      </c>
      <c r="CY85" s="890">
        <f t="shared" si="85"/>
        <v>314</v>
      </c>
      <c r="CZ85" s="550">
        <f t="shared" si="85"/>
        <v>1280</v>
      </c>
    </row>
    <row r="86" spans="1:104" ht="13.5" customHeight="1">
      <c r="A86" s="819"/>
      <c r="B86" s="66" t="s">
        <v>464</v>
      </c>
      <c r="C86" s="66"/>
      <c r="D86" s="66"/>
      <c r="E86" s="66"/>
      <c r="F86" s="66"/>
      <c r="G86" s="66"/>
      <c r="H86" s="66"/>
      <c r="I86" s="66"/>
      <c r="J86" s="66"/>
      <c r="K86" s="66"/>
      <c r="L86" s="66"/>
      <c r="M86" s="66"/>
      <c r="N86" s="66"/>
      <c r="O86" s="66"/>
      <c r="P86" s="66"/>
      <c r="Q86" s="66"/>
      <c r="R86" s="66"/>
      <c r="S86" s="500">
        <v>1005.859</v>
      </c>
      <c r="T86" s="102"/>
      <c r="U86" s="102"/>
      <c r="V86" s="102"/>
      <c r="W86" s="102"/>
      <c r="X86" s="500">
        <v>1500.8779999999999</v>
      </c>
      <c r="Y86" s="550">
        <f t="shared" ref="Y86:AB87" si="86">Y36*Y20/1000</f>
        <v>396.27499999999998</v>
      </c>
      <c r="Z86" s="550">
        <f t="shared" si="86"/>
        <v>392.04199999999997</v>
      </c>
      <c r="AA86" s="550">
        <f t="shared" si="86"/>
        <v>423.55500000000001</v>
      </c>
      <c r="AB86" s="550">
        <f t="shared" si="86"/>
        <v>490.08199999999999</v>
      </c>
      <c r="AC86" s="550">
        <f>SUM(Y86:AB86)</f>
        <v>1701.9540000000002</v>
      </c>
      <c r="AD86" s="550">
        <f t="shared" ref="AD86:AG87" si="87">AD36*AD20/1000</f>
        <v>495.18700000000001</v>
      </c>
      <c r="AE86" s="550">
        <f t="shared" si="87"/>
        <v>540.27</v>
      </c>
      <c r="AF86" s="550">
        <f t="shared" si="87"/>
        <v>577.86599999999999</v>
      </c>
      <c r="AG86" s="550">
        <f t="shared" si="87"/>
        <v>591.77800000000002</v>
      </c>
      <c r="AH86" s="550">
        <f>SUM(AD86:AG86)</f>
        <v>2205.1009999999997</v>
      </c>
      <c r="AI86" s="550">
        <f t="shared" ref="AI86:AL87" si="88">AI36*AI20/1000</f>
        <v>576.80999999999995</v>
      </c>
      <c r="AJ86" s="550">
        <f t="shared" si="88"/>
        <v>669.07500000000005</v>
      </c>
      <c r="AK86" s="550">
        <f t="shared" si="88"/>
        <v>655.25900000000001</v>
      </c>
      <c r="AL86" s="550">
        <f t="shared" si="88"/>
        <v>690.99900000000002</v>
      </c>
      <c r="AM86" s="550">
        <f>SUM(AI86:AL86)</f>
        <v>2592.143</v>
      </c>
      <c r="AN86" s="550">
        <f t="shared" ref="AN86:BS86" si="89">AN36*AN20/1000</f>
        <v>721.68</v>
      </c>
      <c r="AO86" s="550">
        <f t="shared" si="89"/>
        <v>858.82500000000005</v>
      </c>
      <c r="AP86" s="550">
        <f t="shared" si="89"/>
        <v>943.154</v>
      </c>
      <c r="AQ86" s="550">
        <f t="shared" si="89"/>
        <v>571.13499999999999</v>
      </c>
      <c r="AR86" s="550">
        <f t="shared" si="89"/>
        <v>3104.9054999999998</v>
      </c>
      <c r="AS86" s="889">
        <f t="shared" si="89"/>
        <v>323.94499999999999</v>
      </c>
      <c r="AT86" s="550">
        <f t="shared" si="89"/>
        <v>284.59899999999999</v>
      </c>
      <c r="AU86" s="550">
        <f t="shared" si="89"/>
        <v>370.476</v>
      </c>
      <c r="AV86" s="890">
        <f t="shared" si="89"/>
        <v>302.01600000000002</v>
      </c>
      <c r="AW86" s="550">
        <f t="shared" si="89"/>
        <v>1298.3610000000001</v>
      </c>
      <c r="AX86" s="889">
        <f t="shared" si="89"/>
        <v>358.16</v>
      </c>
      <c r="AY86" s="550">
        <f t="shared" si="89"/>
        <v>417.34</v>
      </c>
      <c r="AZ86" s="550">
        <f t="shared" si="89"/>
        <v>443.30399999999997</v>
      </c>
      <c r="BA86" s="890">
        <f t="shared" si="89"/>
        <v>424.37700000000001</v>
      </c>
      <c r="BB86" s="550">
        <f t="shared" si="89"/>
        <v>1641.1477500000001</v>
      </c>
      <c r="BC86" s="889">
        <f t="shared" si="89"/>
        <v>550.95299999999997</v>
      </c>
      <c r="BD86" s="550">
        <f t="shared" si="89"/>
        <v>521.495</v>
      </c>
      <c r="BE86" s="550">
        <f t="shared" si="89"/>
        <v>473.02499999999998</v>
      </c>
      <c r="BF86" s="970">
        <f t="shared" si="89"/>
        <v>521.23500000000001</v>
      </c>
      <c r="BG86" s="577">
        <f t="shared" si="89"/>
        <v>2066.7919999999999</v>
      </c>
      <c r="BH86" s="889">
        <f t="shared" si="89"/>
        <v>576.75599999999997</v>
      </c>
      <c r="BI86" s="550">
        <f t="shared" si="89"/>
        <v>538.47500000000002</v>
      </c>
      <c r="BJ86" s="550">
        <f t="shared" si="89"/>
        <v>593.96</v>
      </c>
      <c r="BK86" s="970">
        <f t="shared" si="89"/>
        <v>596.54399999999998</v>
      </c>
      <c r="BL86" s="577">
        <f t="shared" si="89"/>
        <v>2317.125</v>
      </c>
      <c r="BM86" s="990">
        <f t="shared" si="89"/>
        <v>630.13599999999997</v>
      </c>
      <c r="BN86" s="577">
        <f t="shared" si="89"/>
        <v>592.66200000000003</v>
      </c>
      <c r="BO86" s="577">
        <f t="shared" si="89"/>
        <v>673.79</v>
      </c>
      <c r="BP86" s="970">
        <f t="shared" si="89"/>
        <v>661.827</v>
      </c>
      <c r="BQ86" s="577">
        <f t="shared" si="89"/>
        <v>2560.25</v>
      </c>
      <c r="BR86" s="990">
        <f t="shared" si="89"/>
        <v>664.346</v>
      </c>
      <c r="BS86" s="577">
        <f t="shared" si="89"/>
        <v>647.29700000000003</v>
      </c>
      <c r="BT86" s="577">
        <f t="shared" ref="BT86:CZ86" si="90">BT36*BT20/1000</f>
        <v>733.19399999999996</v>
      </c>
      <c r="BU86" s="970">
        <f t="shared" si="90"/>
        <v>571.89400000000001</v>
      </c>
      <c r="BV86" s="577">
        <f t="shared" si="90"/>
        <v>2624.64</v>
      </c>
      <c r="BW86" s="990">
        <f t="shared" si="90"/>
        <v>518.91600000000005</v>
      </c>
      <c r="BX86" s="577">
        <f t="shared" si="90"/>
        <v>556.94200000000001</v>
      </c>
      <c r="BY86" s="577">
        <f t="shared" si="90"/>
        <v>576.89800000000002</v>
      </c>
      <c r="BZ86" s="970">
        <f t="shared" si="90"/>
        <v>484.57499999999999</v>
      </c>
      <c r="CA86" s="577">
        <f t="shared" si="90"/>
        <v>2139.529</v>
      </c>
      <c r="CB86" s="990">
        <f t="shared" si="90"/>
        <v>522</v>
      </c>
      <c r="CC86" s="577">
        <f t="shared" si="90"/>
        <v>496.86</v>
      </c>
      <c r="CD86" s="577">
        <f t="shared" si="90"/>
        <v>527.65</v>
      </c>
      <c r="CE86" s="970">
        <f t="shared" si="90"/>
        <v>436.077</v>
      </c>
      <c r="CF86" s="577">
        <f t="shared" si="90"/>
        <v>1981.00575</v>
      </c>
      <c r="CG86" s="990">
        <f t="shared" si="90"/>
        <v>373.428</v>
      </c>
      <c r="CH86" s="577">
        <f t="shared" si="90"/>
        <v>335.50799999999998</v>
      </c>
      <c r="CI86" s="577">
        <f t="shared" si="90"/>
        <v>309.13799999999998</v>
      </c>
      <c r="CJ86" s="970">
        <f t="shared" si="90"/>
        <v>300.25200000000001</v>
      </c>
      <c r="CK86" s="577">
        <f t="shared" si="90"/>
        <v>1320.33575</v>
      </c>
      <c r="CL86" s="990">
        <f t="shared" si="90"/>
        <v>396.60599999999999</v>
      </c>
      <c r="CM86" s="577">
        <f t="shared" si="90"/>
        <v>386.04531599999996</v>
      </c>
      <c r="CN86" s="577">
        <f t="shared" si="90"/>
        <v>372.67305479999999</v>
      </c>
      <c r="CO86" s="970">
        <f t="shared" si="90"/>
        <v>375.08830973999994</v>
      </c>
      <c r="CP86" s="577">
        <f t="shared" si="90"/>
        <v>1538.2573435349998</v>
      </c>
      <c r="CQ86" s="990">
        <f t="shared" si="90"/>
        <v>485.39317432199988</v>
      </c>
      <c r="CR86" s="577">
        <f t="shared" si="90"/>
        <v>443.95986834943187</v>
      </c>
      <c r="CS86" s="577">
        <f t="shared" si="90"/>
        <v>408.61004730942955</v>
      </c>
      <c r="CT86" s="970">
        <f t="shared" si="90"/>
        <v>394.72237462294544</v>
      </c>
      <c r="CU86" s="577">
        <f t="shared" si="90"/>
        <v>1733.4198803807583</v>
      </c>
      <c r="CV86" s="990">
        <f t="shared" si="90"/>
        <v>485.6749816914064</v>
      </c>
      <c r="CW86" s="577">
        <f t="shared" si="90"/>
        <v>429.47747807579253</v>
      </c>
      <c r="CX86" s="577">
        <f t="shared" si="90"/>
        <v>388.33515134688594</v>
      </c>
      <c r="CY86" s="970">
        <f t="shared" si="90"/>
        <v>373.76593525204055</v>
      </c>
      <c r="CZ86" s="577">
        <f t="shared" si="90"/>
        <v>1674.8255046560907</v>
      </c>
    </row>
    <row r="87" spans="1:104" ht="13.5" customHeight="1">
      <c r="A87" s="819"/>
      <c r="B87" s="66" t="s">
        <v>465</v>
      </c>
      <c r="C87" s="66"/>
      <c r="D87" s="66"/>
      <c r="E87" s="66"/>
      <c r="F87" s="66"/>
      <c r="G87" s="66"/>
      <c r="H87" s="66"/>
      <c r="I87" s="66"/>
      <c r="J87" s="66"/>
      <c r="K87" s="66"/>
      <c r="L87" s="66"/>
      <c r="M87" s="66"/>
      <c r="N87" s="66"/>
      <c r="O87" s="66"/>
      <c r="P87" s="66"/>
      <c r="Q87" s="66"/>
      <c r="R87" s="66"/>
      <c r="S87" s="500">
        <v>321.85199999999998</v>
      </c>
      <c r="T87" s="66"/>
      <c r="U87" s="66"/>
      <c r="V87" s="66"/>
      <c r="W87" s="66"/>
      <c r="X87" s="500">
        <v>1119.117</v>
      </c>
      <c r="Y87" s="550">
        <f t="shared" si="86"/>
        <v>450.93299999999999</v>
      </c>
      <c r="Z87" s="550">
        <f t="shared" si="86"/>
        <v>347.62799999999999</v>
      </c>
      <c r="AA87" s="550">
        <f t="shared" si="86"/>
        <v>331.875</v>
      </c>
      <c r="AB87" s="550">
        <f t="shared" si="86"/>
        <v>363.88799999999998</v>
      </c>
      <c r="AC87" s="550">
        <f>SUM(Y87:AB87)</f>
        <v>1494.3239999999998</v>
      </c>
      <c r="AD87" s="550">
        <f t="shared" si="87"/>
        <v>435.55200000000002</v>
      </c>
      <c r="AE87" s="550">
        <f t="shared" si="87"/>
        <v>434.32</v>
      </c>
      <c r="AF87" s="550">
        <f t="shared" si="87"/>
        <v>455.80599999999998</v>
      </c>
      <c r="AG87" s="550">
        <f t="shared" si="87"/>
        <v>431.88</v>
      </c>
      <c r="AH87" s="550">
        <f>SUM(AD87:AG87)</f>
        <v>1757.558</v>
      </c>
      <c r="AI87" s="550">
        <f t="shared" si="88"/>
        <v>428.125</v>
      </c>
      <c r="AJ87" s="550">
        <f t="shared" si="88"/>
        <v>449.78699999999998</v>
      </c>
      <c r="AK87" s="550">
        <f t="shared" si="88"/>
        <v>485.80399999999997</v>
      </c>
      <c r="AL87" s="550">
        <f t="shared" si="88"/>
        <v>446.875</v>
      </c>
      <c r="AM87" s="550">
        <f>SUM(AI87:AL87)</f>
        <v>1810.5909999999999</v>
      </c>
      <c r="AN87" s="550">
        <f t="shared" ref="AN87:BS87" si="91">AN37*AN21/1000</f>
        <v>525.70000000000005</v>
      </c>
      <c r="AO87" s="550">
        <f t="shared" si="91"/>
        <v>639.91800000000001</v>
      </c>
      <c r="AP87" s="550">
        <f t="shared" si="91"/>
        <v>873.94200000000001</v>
      </c>
      <c r="AQ87" s="550">
        <f t="shared" si="91"/>
        <v>487.72</v>
      </c>
      <c r="AR87" s="550">
        <f t="shared" si="91"/>
        <v>2548.1999999999998</v>
      </c>
      <c r="AS87" s="889">
        <f t="shared" si="91"/>
        <v>257.04000000000002</v>
      </c>
      <c r="AT87" s="550">
        <f t="shared" si="91"/>
        <v>169.10400000000001</v>
      </c>
      <c r="AU87" s="550">
        <f t="shared" si="91"/>
        <v>267.51</v>
      </c>
      <c r="AV87" s="890">
        <f t="shared" si="91"/>
        <v>270.13</v>
      </c>
      <c r="AW87" s="550">
        <f t="shared" si="91"/>
        <v>967.21199999999999</v>
      </c>
      <c r="AX87" s="889">
        <f t="shared" si="91"/>
        <v>352.26100000000002</v>
      </c>
      <c r="AY87" s="550">
        <f t="shared" si="91"/>
        <v>448.22899999999998</v>
      </c>
      <c r="AZ87" s="550">
        <f t="shared" si="91"/>
        <v>409.84</v>
      </c>
      <c r="BA87" s="890">
        <f t="shared" si="91"/>
        <v>396.202</v>
      </c>
      <c r="BB87" s="550">
        <f t="shared" si="91"/>
        <v>1605.4372499999999</v>
      </c>
      <c r="BC87" s="889">
        <f t="shared" si="91"/>
        <v>519.20000000000005</v>
      </c>
      <c r="BD87" s="550">
        <f t="shared" si="91"/>
        <v>599.90700000000004</v>
      </c>
      <c r="BE87" s="550">
        <f t="shared" si="91"/>
        <v>605.45299999999997</v>
      </c>
      <c r="BF87" s="970">
        <f t="shared" si="91"/>
        <v>484.35199999999998</v>
      </c>
      <c r="BG87" s="577">
        <f t="shared" si="91"/>
        <v>2209.66</v>
      </c>
      <c r="BH87" s="889">
        <f t="shared" si="91"/>
        <v>571.33500000000004</v>
      </c>
      <c r="BI87" s="550">
        <f t="shared" si="91"/>
        <v>556.88800000000003</v>
      </c>
      <c r="BJ87" s="550">
        <f t="shared" si="91"/>
        <v>468.72</v>
      </c>
      <c r="BK87" s="970">
        <f t="shared" si="91"/>
        <v>380.44200000000001</v>
      </c>
      <c r="BL87" s="577">
        <f t="shared" si="91"/>
        <v>1977.6959999999999</v>
      </c>
      <c r="BM87" s="990">
        <f t="shared" si="91"/>
        <v>430.64</v>
      </c>
      <c r="BN87" s="577">
        <f t="shared" si="91"/>
        <v>449.82</v>
      </c>
      <c r="BO87" s="577">
        <f t="shared" si="91"/>
        <v>451.8</v>
      </c>
      <c r="BP87" s="970">
        <f t="shared" si="91"/>
        <v>471.70499999999998</v>
      </c>
      <c r="BQ87" s="577">
        <f t="shared" si="91"/>
        <v>1804.1505</v>
      </c>
      <c r="BR87" s="990">
        <f t="shared" si="91"/>
        <v>543.45600000000002</v>
      </c>
      <c r="BS87" s="577">
        <f t="shared" si="91"/>
        <v>519.77700000000004</v>
      </c>
      <c r="BT87" s="577">
        <f t="shared" ref="BT87:CZ87" si="92">BT37*BT21/1000</f>
        <v>531.60799999999995</v>
      </c>
      <c r="BU87" s="970">
        <f t="shared" si="92"/>
        <v>471.625</v>
      </c>
      <c r="BV87" s="577">
        <f t="shared" si="92"/>
        <v>2070.2055</v>
      </c>
      <c r="BW87" s="990">
        <f t="shared" si="92"/>
        <v>414.57499999999999</v>
      </c>
      <c r="BX87" s="577">
        <f t="shared" si="92"/>
        <v>342.73599999999999</v>
      </c>
      <c r="BY87" s="577">
        <f t="shared" si="92"/>
        <v>316.87200000000001</v>
      </c>
      <c r="BZ87" s="970">
        <f t="shared" si="92"/>
        <v>238.14</v>
      </c>
      <c r="CA87" s="577">
        <f t="shared" si="92"/>
        <v>1301.115</v>
      </c>
      <c r="CB87" s="990">
        <f t="shared" si="92"/>
        <v>300.83999999999997</v>
      </c>
      <c r="CC87" s="577">
        <f t="shared" si="92"/>
        <v>355.15199999999999</v>
      </c>
      <c r="CD87" s="577">
        <f t="shared" si="92"/>
        <v>281.58600000000001</v>
      </c>
      <c r="CE87" s="970">
        <f t="shared" si="92"/>
        <v>266.88799999999998</v>
      </c>
      <c r="CF87" s="577">
        <f t="shared" si="92"/>
        <v>1210.7655</v>
      </c>
      <c r="CG87" s="990">
        <f t="shared" si="92"/>
        <v>395.78899999999999</v>
      </c>
      <c r="CH87" s="577">
        <f t="shared" si="92"/>
        <v>483.40800000000002</v>
      </c>
      <c r="CI87" s="577">
        <f t="shared" si="92"/>
        <v>393.22500000000002</v>
      </c>
      <c r="CJ87" s="970">
        <f t="shared" si="92"/>
        <v>372.95100000000002</v>
      </c>
      <c r="CK87" s="577">
        <f t="shared" si="92"/>
        <v>1644.58125</v>
      </c>
      <c r="CL87" s="990">
        <f t="shared" si="92"/>
        <v>427.82499999999999</v>
      </c>
      <c r="CM87" s="577">
        <f t="shared" si="92"/>
        <v>608.0968767827668</v>
      </c>
      <c r="CN87" s="577">
        <f t="shared" si="92"/>
        <v>512.34702005060262</v>
      </c>
      <c r="CO87" s="970">
        <f t="shared" si="92"/>
        <v>477.70915673294212</v>
      </c>
      <c r="CP87" s="577">
        <f t="shared" si="92"/>
        <v>2023.5605066071571</v>
      </c>
      <c r="CQ87" s="990">
        <f t="shared" si="92"/>
        <v>519.22857153761868</v>
      </c>
      <c r="CR87" s="577">
        <f t="shared" si="92"/>
        <v>629.32119654455471</v>
      </c>
      <c r="CS87" s="577">
        <f t="shared" si="92"/>
        <v>507.95166730131564</v>
      </c>
      <c r="CT87" s="970">
        <f t="shared" si="92"/>
        <v>478.33872454591699</v>
      </c>
      <c r="CU87" s="577">
        <f t="shared" si="92"/>
        <v>2133.4047787564109</v>
      </c>
      <c r="CV87" s="990">
        <f t="shared" si="92"/>
        <v>476.16228675757804</v>
      </c>
      <c r="CW87" s="577">
        <f t="shared" si="92"/>
        <v>583.58090746509401</v>
      </c>
      <c r="CX87" s="577">
        <f t="shared" si="92"/>
        <v>457.16628672779024</v>
      </c>
      <c r="CY87" s="970">
        <f t="shared" si="92"/>
        <v>442.84752486660187</v>
      </c>
      <c r="CZ87" s="577">
        <f t="shared" si="92"/>
        <v>1957.3599065028409</v>
      </c>
    </row>
    <row r="88" spans="1:104" ht="13.5" customHeight="1">
      <c r="A88" s="820"/>
      <c r="B88" s="453" t="s">
        <v>304</v>
      </c>
      <c r="C88" s="66"/>
      <c r="D88" s="66"/>
      <c r="E88" s="66"/>
      <c r="F88" s="66"/>
      <c r="G88" s="66"/>
      <c r="H88" s="66"/>
      <c r="I88" s="66"/>
      <c r="J88" s="66"/>
      <c r="K88" s="66"/>
      <c r="L88" s="66"/>
      <c r="M88" s="66"/>
      <c r="N88" s="66"/>
      <c r="O88" s="66"/>
      <c r="P88" s="66"/>
      <c r="Q88" s="66"/>
      <c r="R88" s="66"/>
      <c r="S88" s="66"/>
      <c r="T88" s="201"/>
      <c r="U88" s="201"/>
      <c r="V88" s="201"/>
      <c r="W88" s="201"/>
      <c r="X88" s="201"/>
      <c r="Y88" s="201"/>
      <c r="Z88" s="201"/>
      <c r="AA88" s="201"/>
      <c r="AB88" s="201"/>
      <c r="AC88" s="201"/>
      <c r="AD88" s="201"/>
      <c r="AE88" s="201"/>
      <c r="AF88" s="201"/>
      <c r="AG88" s="201"/>
      <c r="AH88" s="201"/>
      <c r="AI88" s="201"/>
      <c r="AJ88" s="201"/>
      <c r="AK88" s="201"/>
      <c r="AL88" s="201"/>
      <c r="AM88" s="201"/>
      <c r="AN88" s="201">
        <f t="shared" ref="AN88:CG88" si="93">AN89-SUM(AN83:AN87)</f>
        <v>-2.3229999999998654</v>
      </c>
      <c r="AO88" s="201">
        <f t="shared" si="93"/>
        <v>-0.5500000000001819</v>
      </c>
      <c r="AP88" s="201">
        <f t="shared" si="93"/>
        <v>-3.8059999999995853</v>
      </c>
      <c r="AQ88" s="201">
        <f t="shared" si="93"/>
        <v>-1.170999999999367</v>
      </c>
      <c r="AR88" s="201">
        <f t="shared" si="93"/>
        <v>-77.045999999998457</v>
      </c>
      <c r="AS88" s="893">
        <f t="shared" si="93"/>
        <v>-2.88799999999992</v>
      </c>
      <c r="AT88" s="894">
        <f t="shared" si="93"/>
        <v>-0.33699999999998909</v>
      </c>
      <c r="AU88" s="894">
        <f t="shared" si="93"/>
        <v>-1.600999999999658</v>
      </c>
      <c r="AV88" s="895">
        <f t="shared" si="93"/>
        <v>-0.82800000000088403</v>
      </c>
      <c r="AW88" s="201">
        <f t="shared" si="93"/>
        <v>-46.615749999999935</v>
      </c>
      <c r="AX88" s="893">
        <f t="shared" si="93"/>
        <v>-2.3269999999997708</v>
      </c>
      <c r="AY88" s="894">
        <f t="shared" si="93"/>
        <v>-1.2309999999997672</v>
      </c>
      <c r="AZ88" s="894">
        <f t="shared" si="93"/>
        <v>-1.2430000000003929</v>
      </c>
      <c r="BA88" s="895">
        <f t="shared" si="93"/>
        <v>-30.273000000001048</v>
      </c>
      <c r="BB88" s="201">
        <f t="shared" si="93"/>
        <v>-35.674000000000888</v>
      </c>
      <c r="BC88" s="893">
        <f t="shared" si="93"/>
        <v>-37.378999999999905</v>
      </c>
      <c r="BD88" s="894">
        <f t="shared" si="93"/>
        <v>-39.865999999999985</v>
      </c>
      <c r="BE88" s="894">
        <f t="shared" si="93"/>
        <v>65.135999999999967</v>
      </c>
      <c r="BF88" s="895">
        <f t="shared" si="93"/>
        <v>-6.8429999999993925</v>
      </c>
      <c r="BG88" s="201">
        <f t="shared" si="93"/>
        <v>-20.846999999997934</v>
      </c>
      <c r="BH88" s="893">
        <f t="shared" si="93"/>
        <v>-157.19499999999971</v>
      </c>
      <c r="BI88" s="894">
        <f t="shared" si="93"/>
        <v>-133.15199999999959</v>
      </c>
      <c r="BJ88" s="894">
        <f t="shared" si="93"/>
        <v>-123.31500000000051</v>
      </c>
      <c r="BK88" s="895">
        <f t="shared" si="93"/>
        <v>-80.60300000000052</v>
      </c>
      <c r="BL88" s="201">
        <f t="shared" si="93"/>
        <v>-499.22700000000077</v>
      </c>
      <c r="BM88" s="893">
        <f t="shared" si="93"/>
        <v>-8.5209999999997308</v>
      </c>
      <c r="BN88" s="894">
        <f t="shared" si="93"/>
        <v>11.022999999999683</v>
      </c>
      <c r="BO88" s="894">
        <f t="shared" si="93"/>
        <v>-3.7110000000002401</v>
      </c>
      <c r="BP88" s="895">
        <f t="shared" si="93"/>
        <v>-11.032999999999447</v>
      </c>
      <c r="BQ88" s="201">
        <f t="shared" si="93"/>
        <v>-13.650499999999738</v>
      </c>
      <c r="BR88" s="893">
        <f t="shared" si="93"/>
        <v>7.7869999999998072</v>
      </c>
      <c r="BS88" s="894">
        <f t="shared" si="93"/>
        <v>6.9420000000000073</v>
      </c>
      <c r="BT88" s="894">
        <f t="shared" si="93"/>
        <v>-5.2470000000002983</v>
      </c>
      <c r="BU88" s="895">
        <f t="shared" si="93"/>
        <v>-11.712000000001353</v>
      </c>
      <c r="BV88" s="201">
        <f t="shared" si="93"/>
        <v>-18.949749999999767</v>
      </c>
      <c r="BW88" s="893">
        <f t="shared" si="93"/>
        <v>4.2660000000000764</v>
      </c>
      <c r="BX88" s="894">
        <f t="shared" si="93"/>
        <v>14.353999999999814</v>
      </c>
      <c r="BY88" s="894">
        <f t="shared" si="93"/>
        <v>-3.3719999999998436</v>
      </c>
      <c r="BZ88" s="895">
        <f t="shared" si="93"/>
        <v>-0.15199999999913416</v>
      </c>
      <c r="CA88" s="201">
        <f t="shared" si="93"/>
        <v>33.48700000000099</v>
      </c>
      <c r="CB88" s="893">
        <f t="shared" si="93"/>
        <v>0.84199999999964348</v>
      </c>
      <c r="CC88" s="894">
        <f t="shared" si="93"/>
        <v>0.78600000000005821</v>
      </c>
      <c r="CD88" s="894">
        <f t="shared" si="93"/>
        <v>-2.8159999999998035</v>
      </c>
      <c r="CE88" s="895">
        <f t="shared" si="93"/>
        <v>-2.7609999999995125</v>
      </c>
      <c r="CF88" s="201">
        <f t="shared" si="93"/>
        <v>13.519749999999476</v>
      </c>
      <c r="CG88" s="893">
        <f t="shared" si="93"/>
        <v>136.49599999999964</v>
      </c>
      <c r="CH88" s="894">
        <f>CH89-SUM(CH83:CH87)-CH160</f>
        <v>169.00400000000013</v>
      </c>
      <c r="CI88" s="894">
        <f>CI89-SUM(CI83:CI87)-CI160</f>
        <v>177.8209999999998</v>
      </c>
      <c r="CJ88" s="895">
        <f>CJ89-SUM(CJ83:CJ87)</f>
        <v>388.74899999999934</v>
      </c>
      <c r="CK88" s="615">
        <f>SUM(CG88:CJ88)</f>
        <v>872.06999999999891</v>
      </c>
      <c r="CL88" s="1313">
        <f t="shared" ref="CL88:CY88" si="94">+CL90*(CL84+CL85)</f>
        <v>392.27760000000001</v>
      </c>
      <c r="CM88" s="894">
        <f t="shared" si="94"/>
        <v>405.75281760000007</v>
      </c>
      <c r="CN88" s="894">
        <f t="shared" si="94"/>
        <v>413.98405523078407</v>
      </c>
      <c r="CO88" s="895">
        <f t="shared" si="94"/>
        <v>414.63583524230654</v>
      </c>
      <c r="CP88" s="201">
        <f>SUM(CL88:CO88)</f>
        <v>1626.6503080730906</v>
      </c>
      <c r="CQ88" s="893">
        <f t="shared" si="94"/>
        <v>453.16808125840276</v>
      </c>
      <c r="CR88" s="894">
        <f t="shared" si="94"/>
        <v>419.8610329148201</v>
      </c>
      <c r="CS88" s="894">
        <f t="shared" si="94"/>
        <v>407.53448079708841</v>
      </c>
      <c r="CT88" s="895">
        <f t="shared" si="94"/>
        <v>392.07990159356081</v>
      </c>
      <c r="CU88" s="201">
        <f>SUM(CQ88:CT88)</f>
        <v>1672.6434965638721</v>
      </c>
      <c r="CV88" s="893">
        <f t="shared" si="94"/>
        <v>440.21454394275042</v>
      </c>
      <c r="CW88" s="894">
        <f t="shared" si="94"/>
        <v>395.44976977702481</v>
      </c>
      <c r="CX88" s="894">
        <f t="shared" si="94"/>
        <v>388.00544070272485</v>
      </c>
      <c r="CY88" s="895">
        <f t="shared" si="94"/>
        <v>385.94219875651788</v>
      </c>
      <c r="CZ88" s="201">
        <f>SUM(CV88:CY88)</f>
        <v>1609.611953179018</v>
      </c>
    </row>
    <row r="89" spans="1:104" ht="13.5" customHeight="1">
      <c r="A89" s="819"/>
      <c r="B89" s="79" t="s">
        <v>104</v>
      </c>
      <c r="C89" s="66"/>
      <c r="D89" s="66"/>
      <c r="E89" s="66"/>
      <c r="F89" s="66"/>
      <c r="G89" s="66"/>
      <c r="H89" s="512">
        <v>3614.1825290000002</v>
      </c>
      <c r="I89" s="512">
        <v>3449.6456309999999</v>
      </c>
      <c r="J89" s="512">
        <v>927.03874599999995</v>
      </c>
      <c r="K89" s="512">
        <v>1015.804601</v>
      </c>
      <c r="L89" s="512">
        <v>1022.357503</v>
      </c>
      <c r="M89" s="512">
        <v>1097.3885780000003</v>
      </c>
      <c r="N89" s="176">
        <f>SUM(J89:M89)</f>
        <v>4062.5894280000002</v>
      </c>
      <c r="O89" s="512">
        <v>1297.879486</v>
      </c>
      <c r="P89" s="512">
        <v>1320.302725</v>
      </c>
      <c r="Q89" s="512">
        <v>1383.859614</v>
      </c>
      <c r="R89" s="512">
        <v>1444.0851750000002</v>
      </c>
      <c r="S89" s="176">
        <f>SUM(O89:R89)</f>
        <v>5446.1270000000004</v>
      </c>
      <c r="T89" s="512">
        <v>2064.069</v>
      </c>
      <c r="U89" s="512">
        <v>2461.0740000000001</v>
      </c>
      <c r="V89" s="512">
        <v>2868.4830000000002</v>
      </c>
      <c r="W89" s="512">
        <v>2715.8040000000001</v>
      </c>
      <c r="X89" s="176">
        <f>SUM(T89:W89)</f>
        <v>10109.43</v>
      </c>
      <c r="Y89" s="512">
        <v>2950</v>
      </c>
      <c r="Z89" s="512">
        <v>2716.6770000000001</v>
      </c>
      <c r="AA89" s="512">
        <v>2605.942</v>
      </c>
      <c r="AB89" s="512">
        <v>2791.0620000000008</v>
      </c>
      <c r="AC89" s="176">
        <f>SUM(Y89:AB89)</f>
        <v>11063.681</v>
      </c>
      <c r="AD89" s="512">
        <f>6537.494-AE89</f>
        <v>3149.4259999999995</v>
      </c>
      <c r="AE89" s="512">
        <f>3388.068</f>
        <v>3388.0680000000002</v>
      </c>
      <c r="AF89" s="512">
        <v>3469.4430000000002</v>
      </c>
      <c r="AG89" s="176">
        <f>AH89-SUM(AD89:AF89)</f>
        <v>3018.1859999999997</v>
      </c>
      <c r="AH89" s="512">
        <v>13025.123</v>
      </c>
      <c r="AI89" s="512">
        <f>6609.41-AJ89</f>
        <v>3273.2539999999999</v>
      </c>
      <c r="AJ89" s="512">
        <f>3336.156</f>
        <v>3336.1559999999999</v>
      </c>
      <c r="AK89" s="512">
        <v>3344.116</v>
      </c>
      <c r="AL89" s="176">
        <f>AM89-SUM(AI89:AK89)</f>
        <v>3357.6859999999997</v>
      </c>
      <c r="AM89" s="512">
        <v>13311.212</v>
      </c>
      <c r="AN89" s="512">
        <v>3759.453</v>
      </c>
      <c r="AO89" s="512">
        <v>4893.1369999999997</v>
      </c>
      <c r="AP89" s="512">
        <v>5192.0820000000003</v>
      </c>
      <c r="AQ89" s="176">
        <f>AR89-SUM(AN89:AP89)</f>
        <v>2633.228000000001</v>
      </c>
      <c r="AR89" s="512">
        <v>16477.900000000001</v>
      </c>
      <c r="AS89" s="896">
        <v>1656.24</v>
      </c>
      <c r="AT89" s="897">
        <v>1429.2840000000001</v>
      </c>
      <c r="AU89" s="897">
        <v>2070.2020000000002</v>
      </c>
      <c r="AV89" s="866">
        <f>AW89-SUM(AS89:AU89)</f>
        <v>2003.7859999999991</v>
      </c>
      <c r="AW89" s="512">
        <v>7159.5119999999997</v>
      </c>
      <c r="AX89" s="896">
        <v>2612.0160000000001</v>
      </c>
      <c r="AY89" s="897">
        <v>2875.3380000000002</v>
      </c>
      <c r="AZ89" s="897">
        <v>2798.4189999999999</v>
      </c>
      <c r="BA89" s="866">
        <f>BB89-SUM(AX89:AZ89)</f>
        <v>2574.9869999999992</v>
      </c>
      <c r="BB89" s="512">
        <v>10860.76</v>
      </c>
      <c r="BC89" s="896">
        <v>3448.1970000000001</v>
      </c>
      <c r="BD89" s="897">
        <v>3569.7860000000001</v>
      </c>
      <c r="BE89" s="897">
        <v>3617.8670000000002</v>
      </c>
      <c r="BF89" s="866">
        <f>BG89-SUM(BC89:BE89)</f>
        <v>3324.3950000000004</v>
      </c>
      <c r="BG89" s="507">
        <v>13960.245000000001</v>
      </c>
      <c r="BH89" s="896">
        <v>3626.1390000000001</v>
      </c>
      <c r="BI89" s="897">
        <v>3476.6610000000001</v>
      </c>
      <c r="BJ89" s="987">
        <v>3204.8980000000001</v>
      </c>
      <c r="BK89" s="903">
        <f>BL89-SUM(BH89:BJ89)</f>
        <v>3010.2819999999992</v>
      </c>
      <c r="BL89" s="507">
        <v>13317.98</v>
      </c>
      <c r="BM89" s="973">
        <v>3268.154</v>
      </c>
      <c r="BN89" s="987">
        <v>3197.433</v>
      </c>
      <c r="BO89" s="987">
        <v>3435.884</v>
      </c>
      <c r="BP89" s="903">
        <f>BQ89-SUM(BM89:BO89)</f>
        <v>3410.4770000000008</v>
      </c>
      <c r="BQ89" s="512">
        <v>13311.948</v>
      </c>
      <c r="BR89" s="973">
        <v>3607.7640000000001</v>
      </c>
      <c r="BS89" s="987">
        <v>3674.14</v>
      </c>
      <c r="BT89" s="987">
        <v>3898.0309999999999</v>
      </c>
      <c r="BU89" s="903">
        <f>BV89-SUM(BR89:BT89)</f>
        <v>3543.7069999999985</v>
      </c>
      <c r="BV89" s="507">
        <v>14723.642</v>
      </c>
      <c r="BW89" s="901">
        <v>3053.3389999999999</v>
      </c>
      <c r="BX89" s="989">
        <v>2968.6439999999998</v>
      </c>
      <c r="BY89" s="987">
        <v>2816.4409999999998</v>
      </c>
      <c r="BZ89" s="903">
        <f>CA89-SUM(BW89:BY89)</f>
        <v>2245.9070000000011</v>
      </c>
      <c r="CA89" s="507">
        <v>11084.331</v>
      </c>
      <c r="CB89" s="901">
        <v>2634.5889999999999</v>
      </c>
      <c r="CC89" s="989">
        <v>3016.3220000000001</v>
      </c>
      <c r="CD89" s="989">
        <v>2960.6419999999998</v>
      </c>
      <c r="CE89" s="903">
        <f>CF89-SUM(CB89:CD89)-CE160</f>
        <v>2640.0610000000006</v>
      </c>
      <c r="CF89" s="507">
        <v>11312.048000000001</v>
      </c>
      <c r="CG89" s="973">
        <f>3542.789-CG160</f>
        <v>3329.8240000000001</v>
      </c>
      <c r="CH89" s="989">
        <v>3800.3589999999999</v>
      </c>
      <c r="CI89" s="989">
        <v>3639.4879999999998</v>
      </c>
      <c r="CJ89" s="913">
        <f>CK89-SUM(CG89:CI89)-CJ160</f>
        <v>3507.2009999999996</v>
      </c>
      <c r="CK89" s="507">
        <v>14508.847</v>
      </c>
      <c r="CL89" s="1296">
        <f>SUM(CL83:CL88)</f>
        <v>3985.8975999999998</v>
      </c>
      <c r="CM89" s="174">
        <f>SUM(CM83:CM88)</f>
        <v>4631.6161753827673</v>
      </c>
      <c r="CN89" s="174">
        <f>SUM(CN83:CN88)</f>
        <v>4560.5657515557878</v>
      </c>
      <c r="CO89" s="866">
        <f>SUM(CO83:CO88)</f>
        <v>4406.3159627841551</v>
      </c>
      <c r="CP89" s="176">
        <f>SUM(CL89:CO89)</f>
        <v>17584.395489722712</v>
      </c>
      <c r="CQ89" s="865">
        <f>SUM(CQ83:CQ88)</f>
        <v>4813.4447905201823</v>
      </c>
      <c r="CR89" s="174">
        <f>SUM(CR83:CR88)</f>
        <v>4791.0551765648906</v>
      </c>
      <c r="CS89" s="174">
        <f>SUM(CS83:CS88)</f>
        <v>4473.3608622458923</v>
      </c>
      <c r="CT89" s="866">
        <f>SUM(CT83:CT88)</f>
        <v>4219.1407339102525</v>
      </c>
      <c r="CU89" s="176">
        <f>SUM(CQ89:CT89)</f>
        <v>18297.001563241218</v>
      </c>
      <c r="CV89" s="865">
        <f>SUM(CV83:CV88)</f>
        <v>4619.5255444863724</v>
      </c>
      <c r="CW89" s="174">
        <f>SUM(CW83:CW88)</f>
        <v>4581.8362078141281</v>
      </c>
      <c r="CX89" s="174">
        <f>SUM(CX83:CX88)</f>
        <v>4252.3039547170238</v>
      </c>
      <c r="CY89" s="866">
        <f>SUM(CY83:CY88)</f>
        <v>4132.8834458886595</v>
      </c>
      <c r="CZ89" s="176">
        <f>SUM(CV89:CY89)</f>
        <v>17586.549152906184</v>
      </c>
    </row>
    <row r="90" spans="1:104" ht="13.5" customHeight="1">
      <c r="A90" s="819"/>
      <c r="B90" s="453" t="s">
        <v>662</v>
      </c>
      <c r="C90" s="66"/>
      <c r="D90" s="66"/>
      <c r="E90" s="66"/>
      <c r="F90" s="66"/>
      <c r="G90" s="66"/>
      <c r="H90" s="66"/>
      <c r="I90" s="66"/>
      <c r="J90" s="22"/>
      <c r="K90" s="22"/>
      <c r="L90" s="22"/>
      <c r="M90" s="22"/>
      <c r="N90" s="553"/>
      <c r="O90" s="553"/>
      <c r="P90" s="553"/>
      <c r="Q90" s="553"/>
      <c r="R90" s="553"/>
      <c r="S90" s="553"/>
      <c r="T90" s="553"/>
      <c r="U90" s="553"/>
      <c r="V90" s="553"/>
      <c r="W90" s="553"/>
      <c r="X90" s="553"/>
      <c r="Y90" s="553"/>
      <c r="Z90" s="553"/>
      <c r="AA90" s="553"/>
      <c r="AB90" s="553"/>
      <c r="AC90" s="553"/>
      <c r="AD90" s="553"/>
      <c r="AE90" s="553"/>
      <c r="AF90" s="553"/>
      <c r="AG90" s="553"/>
      <c r="AH90" s="553"/>
      <c r="AI90" s="553"/>
      <c r="AJ90" s="553"/>
      <c r="AK90" s="553"/>
      <c r="AL90" s="553"/>
      <c r="AM90" s="553"/>
      <c r="AN90" s="553"/>
      <c r="AO90" s="553"/>
      <c r="AP90" s="553"/>
      <c r="AQ90" s="553"/>
      <c r="AR90" s="553"/>
      <c r="AS90" s="877"/>
      <c r="AT90" s="578"/>
      <c r="AU90" s="578"/>
      <c r="AV90" s="878"/>
      <c r="AW90" s="553"/>
      <c r="AX90" s="877"/>
      <c r="AY90" s="578"/>
      <c r="AZ90" s="578"/>
      <c r="BA90" s="878"/>
      <c r="BB90" s="553"/>
      <c r="BC90" s="877">
        <f t="shared" ref="BC90:CE90" si="95">BC88/SUM(BC84:BC85)</f>
        <v>-4.4552750174914044E-2</v>
      </c>
      <c r="BD90" s="578">
        <f t="shared" si="95"/>
        <v>-4.1860308833442876E-2</v>
      </c>
      <c r="BE90" s="578">
        <f t="shared" si="95"/>
        <v>6.5671021814724534E-2</v>
      </c>
      <c r="BF90" s="878">
        <f t="shared" si="95"/>
        <v>-7.1999444458466883E-3</v>
      </c>
      <c r="BG90" s="553">
        <f t="shared" si="95"/>
        <v>-5.5820641346951598E-3</v>
      </c>
      <c r="BH90" s="877">
        <f t="shared" si="95"/>
        <v>-0.15146901675944249</v>
      </c>
      <c r="BI90" s="578">
        <f t="shared" si="95"/>
        <v>-0.12640512637949408</v>
      </c>
      <c r="BJ90" s="578">
        <f t="shared" si="95"/>
        <v>-0.12454739648825176</v>
      </c>
      <c r="BK90" s="878">
        <f t="shared" si="95"/>
        <v>-9.5859066253275574E-2</v>
      </c>
      <c r="BL90" s="553">
        <f t="shared" si="95"/>
        <v>-0.12734680946151966</v>
      </c>
      <c r="BM90" s="877">
        <f t="shared" si="95"/>
        <v>-9.1443129477716371E-3</v>
      </c>
      <c r="BN90" s="578">
        <f t="shared" si="95"/>
        <v>1.185482968966403E-2</v>
      </c>
      <c r="BO90" s="578">
        <f t="shared" si="95"/>
        <v>-3.8970449247056897E-3</v>
      </c>
      <c r="BP90" s="878">
        <f t="shared" si="95"/>
        <v>-1.2025775903976306E-2</v>
      </c>
      <c r="BQ90" s="553">
        <f t="shared" si="95"/>
        <v>-3.6572198645403965E-3</v>
      </c>
      <c r="BR90" s="877">
        <f t="shared" si="95"/>
        <v>7.8207308119919283E-3</v>
      </c>
      <c r="BS90" s="578">
        <f t="shared" si="95"/>
        <v>6.6318926974664747E-3</v>
      </c>
      <c r="BT90" s="578">
        <f t="shared" si="95"/>
        <v>-4.7335260303338076E-3</v>
      </c>
      <c r="BU90" s="878">
        <f t="shared" si="95"/>
        <v>-1.3014316637258541E-2</v>
      </c>
      <c r="BV90" s="553">
        <f t="shared" si="95"/>
        <v>-4.6799021973973638E-3</v>
      </c>
      <c r="BW90" s="877">
        <f t="shared" si="95"/>
        <v>5.2103562242139592E-3</v>
      </c>
      <c r="BX90" s="578">
        <f t="shared" si="95"/>
        <v>1.7401909675917399E-2</v>
      </c>
      <c r="BY90" s="578">
        <f t="shared" si="95"/>
        <v>-4.4259228876125925E-3</v>
      </c>
      <c r="BZ90" s="878">
        <f t="shared" si="95"/>
        <v>-2.5363261982328173E-4</v>
      </c>
      <c r="CA90" s="553">
        <f t="shared" si="95"/>
        <v>1.11677683139131E-2</v>
      </c>
      <c r="CB90" s="877">
        <f t="shared" si="95"/>
        <v>1.2304994337066874E-3</v>
      </c>
      <c r="CC90" s="578">
        <f t="shared" si="95"/>
        <v>1.012333467280839E-3</v>
      </c>
      <c r="CD90" s="578">
        <f t="shared" si="95"/>
        <v>-3.7970109325866108E-3</v>
      </c>
      <c r="CE90" s="878">
        <f t="shared" si="95"/>
        <v>-4.0376830923292981E-3</v>
      </c>
      <c r="CF90" s="553">
        <f>CF88/SUM(CF84:CF85)</f>
        <v>4.6834588398800689E-3</v>
      </c>
      <c r="CG90" s="877">
        <f t="shared" ref="CG90:CZ90" si="96">CG88/SUM(CG84:CG85)</f>
        <v>0.16977114427860651</v>
      </c>
      <c r="CH90" s="578">
        <f t="shared" si="96"/>
        <v>0.18710345247518742</v>
      </c>
      <c r="CI90" s="578">
        <f t="shared" si="96"/>
        <v>0.19138317748962455</v>
      </c>
      <c r="CJ90" s="878">
        <f t="shared" si="96"/>
        <v>0.42245591233324425</v>
      </c>
      <c r="CK90" s="553">
        <f t="shared" ref="CK90" si="97">CK88/SUM(CK84:CK85)</f>
        <v>0.24528441989546965</v>
      </c>
      <c r="CL90" s="1043">
        <v>0.36</v>
      </c>
      <c r="CM90" s="1044">
        <v>0.36</v>
      </c>
      <c r="CN90" s="1044">
        <v>0.36</v>
      </c>
      <c r="CO90" s="1026">
        <v>0.36</v>
      </c>
      <c r="CP90" s="553">
        <f t="shared" si="96"/>
        <v>0.35928587911305992</v>
      </c>
      <c r="CQ90" s="1043">
        <v>0.36</v>
      </c>
      <c r="CR90" s="1044">
        <v>0.36</v>
      </c>
      <c r="CS90" s="1044">
        <v>0.36</v>
      </c>
      <c r="CT90" s="1026">
        <v>0.36</v>
      </c>
      <c r="CU90" s="553">
        <f t="shared" si="96"/>
        <v>0.36008439343478194</v>
      </c>
      <c r="CV90" s="1043">
        <v>0.36</v>
      </c>
      <c r="CW90" s="1044">
        <v>0.36</v>
      </c>
      <c r="CX90" s="1044">
        <v>0.36</v>
      </c>
      <c r="CY90" s="1026">
        <v>0.36</v>
      </c>
      <c r="CZ90" s="553">
        <f t="shared" si="96"/>
        <v>0.3601828459842728</v>
      </c>
    </row>
    <row r="91" spans="1:104" ht="6.2" customHeight="1">
      <c r="A91" s="819"/>
      <c r="B91" s="66"/>
      <c r="C91" s="66"/>
      <c r="D91" s="66"/>
      <c r="E91" s="66"/>
      <c r="F91" s="66"/>
      <c r="G91" s="66"/>
      <c r="H91" s="66"/>
      <c r="I91" s="66"/>
      <c r="J91" s="66"/>
      <c r="K91" s="66"/>
      <c r="L91" s="66"/>
      <c r="M91" s="66"/>
      <c r="N91" s="66"/>
      <c r="O91" s="66"/>
      <c r="P91" s="66"/>
      <c r="Q91" s="66"/>
      <c r="R91" s="66"/>
      <c r="S91" s="66"/>
      <c r="T91" s="66"/>
      <c r="U91" s="66"/>
      <c r="V91" s="66"/>
      <c r="W91" s="66"/>
      <c r="X91" s="66"/>
      <c r="Y91" s="66"/>
      <c r="Z91" s="66"/>
      <c r="AA91" s="66"/>
      <c r="AB91" s="66"/>
      <c r="AC91" s="66"/>
      <c r="AD91" s="66"/>
      <c r="AE91" s="66"/>
      <c r="AF91" s="66"/>
      <c r="AG91" s="66"/>
      <c r="AH91" s="66"/>
      <c r="AI91" s="66"/>
      <c r="AJ91" s="66"/>
      <c r="AK91" s="66"/>
      <c r="AL91" s="66"/>
      <c r="AM91" s="66"/>
      <c r="AN91" s="66"/>
      <c r="AO91" s="66"/>
      <c r="AP91" s="66"/>
      <c r="AQ91" s="66"/>
      <c r="AR91" s="66"/>
      <c r="AS91" s="859"/>
      <c r="AT91" s="20"/>
      <c r="AU91" s="20"/>
      <c r="AV91" s="860"/>
      <c r="AW91" s="66"/>
      <c r="AX91" s="859"/>
      <c r="AY91" s="20"/>
      <c r="AZ91" s="20"/>
      <c r="BA91" s="860"/>
      <c r="BB91" s="66"/>
      <c r="BC91" s="859"/>
      <c r="BD91" s="20"/>
      <c r="BE91" s="20"/>
      <c r="BF91" s="954"/>
      <c r="BG91" s="362"/>
      <c r="BH91" s="859"/>
      <c r="BI91" s="20"/>
      <c r="BJ91" s="20"/>
      <c r="BK91" s="860"/>
      <c r="BL91" s="66"/>
      <c r="BM91" s="859"/>
      <c r="BN91" s="20"/>
      <c r="BO91" s="20"/>
      <c r="BP91" s="860"/>
      <c r="BQ91" s="66"/>
      <c r="BR91" s="859"/>
      <c r="BS91" s="20"/>
      <c r="BT91" s="20"/>
      <c r="BU91" s="860"/>
      <c r="BV91" s="66"/>
      <c r="BW91" s="859"/>
      <c r="BX91" s="20"/>
      <c r="BY91" s="20"/>
      <c r="BZ91" s="860"/>
      <c r="CA91" s="66"/>
      <c r="CB91" s="859"/>
      <c r="CC91" s="20"/>
      <c r="CD91" s="20"/>
      <c r="CE91" s="944"/>
      <c r="CF91" s="453"/>
      <c r="CG91" s="981"/>
      <c r="CH91" s="495"/>
      <c r="CI91" s="20"/>
      <c r="CJ91" s="944"/>
      <c r="CK91" s="453"/>
      <c r="CL91" s="859"/>
      <c r="CM91" s="20"/>
      <c r="CN91" s="20"/>
      <c r="CO91" s="860"/>
      <c r="CP91" s="66"/>
      <c r="CQ91" s="859"/>
      <c r="CR91" s="20"/>
      <c r="CS91" s="20"/>
      <c r="CT91" s="860"/>
      <c r="CU91" s="66"/>
      <c r="CV91" s="859"/>
      <c r="CW91" s="20"/>
      <c r="CX91" s="20"/>
      <c r="CY91" s="860"/>
      <c r="CZ91" s="66"/>
    </row>
    <row r="92" spans="1:104" ht="13.5" customHeight="1">
      <c r="A92" s="819"/>
      <c r="B92" s="66"/>
      <c r="C92" s="66" t="s">
        <v>238</v>
      </c>
      <c r="D92" s="66"/>
      <c r="E92" s="66"/>
      <c r="F92" s="66"/>
      <c r="G92" s="66"/>
      <c r="H92" s="615">
        <f t="shared" ref="H92:K92" si="98">+H22</f>
        <v>369.58610583904283</v>
      </c>
      <c r="I92" s="615">
        <f t="shared" si="98"/>
        <v>312.69449156997825</v>
      </c>
      <c r="J92" s="615">
        <f t="shared" si="98"/>
        <v>306.66184121733374</v>
      </c>
      <c r="K92" s="615">
        <f t="shared" si="98"/>
        <v>324.22745004787743</v>
      </c>
      <c r="L92" s="615">
        <f t="shared" ref="L92:AM92" si="99">L22</f>
        <v>345.15783355840642</v>
      </c>
      <c r="M92" s="615">
        <f t="shared" si="99"/>
        <v>343.36313454317906</v>
      </c>
      <c r="N92" s="615">
        <f t="shared" si="99"/>
        <v>329.91630891668024</v>
      </c>
      <c r="O92" s="615">
        <f t="shared" si="99"/>
        <v>321.25729851485147</v>
      </c>
      <c r="P92" s="615">
        <f t="shared" si="99"/>
        <v>334.0001834050089</v>
      </c>
      <c r="Q92" s="615">
        <f t="shared" si="99"/>
        <v>332.49870591061989</v>
      </c>
      <c r="R92" s="615">
        <f t="shared" si="99"/>
        <v>351.52998417721528</v>
      </c>
      <c r="S92" s="615">
        <f t="shared" si="99"/>
        <v>334.87837422369796</v>
      </c>
      <c r="T92" s="615">
        <f t="shared" si="99"/>
        <v>436.74756665256029</v>
      </c>
      <c r="U92" s="615">
        <f t="shared" si="99"/>
        <v>552.30565529622982</v>
      </c>
      <c r="V92" s="615">
        <f t="shared" si="99"/>
        <v>638.57591273374885</v>
      </c>
      <c r="W92" s="615">
        <f t="shared" si="99"/>
        <v>660.29759299781176</v>
      </c>
      <c r="X92" s="615">
        <f t="shared" si="99"/>
        <v>568.36060043852251</v>
      </c>
      <c r="Y92" s="615">
        <f t="shared" si="99"/>
        <v>629.26621160409559</v>
      </c>
      <c r="Z92" s="615">
        <f t="shared" si="99"/>
        <v>578.87854251012141</v>
      </c>
      <c r="AA92" s="615">
        <f t="shared" si="99"/>
        <v>530.30972730972735</v>
      </c>
      <c r="AB92" s="615">
        <f t="shared" si="99"/>
        <v>590.70095238095257</v>
      </c>
      <c r="AC92" s="615">
        <f t="shared" si="99"/>
        <v>581.59458464773923</v>
      </c>
      <c r="AD92" s="615">
        <f t="shared" si="99"/>
        <v>598.0679832890238</v>
      </c>
      <c r="AE92" s="615">
        <f t="shared" si="99"/>
        <v>621.72807339449537</v>
      </c>
      <c r="AF92" s="615">
        <f t="shared" si="99"/>
        <v>664.02565575339838</v>
      </c>
      <c r="AG92" s="615">
        <f t="shared" si="99"/>
        <v>640.51135158073419</v>
      </c>
      <c r="AH92" s="615">
        <f t="shared" si="99"/>
        <v>630.77091807088902</v>
      </c>
      <c r="AI92" s="615">
        <f t="shared" si="99"/>
        <v>625.92656339644293</v>
      </c>
      <c r="AJ92" s="615">
        <f t="shared" si="99"/>
        <v>681.86134969325155</v>
      </c>
      <c r="AK92" s="615">
        <f t="shared" si="99"/>
        <v>663.89976181024213</v>
      </c>
      <c r="AL92" s="615">
        <f t="shared" si="99"/>
        <v>666.64946829460416</v>
      </c>
      <c r="AM92" s="615">
        <f t="shared" si="99"/>
        <v>659.70527551272551</v>
      </c>
      <c r="AN92" s="615">
        <f t="shared" ref="AN92:AR92" si="100">+AN22</f>
        <v>723.00134537766678</v>
      </c>
      <c r="AO92" s="615">
        <f t="shared" si="100"/>
        <v>907.24638487208006</v>
      </c>
      <c r="AP92" s="615">
        <f t="shared" si="100"/>
        <v>1108.3378839590443</v>
      </c>
      <c r="AQ92" s="615">
        <f t="shared" si="100"/>
        <v>908.41344827586204</v>
      </c>
      <c r="AR92" s="615">
        <f t="shared" si="100"/>
        <v>910.36271652460823</v>
      </c>
      <c r="AS92" s="898">
        <f t="shared" ref="AS92:AW92" si="101">+AS22</f>
        <v>681.92683929305383</v>
      </c>
      <c r="AT92" s="899">
        <f t="shared" si="101"/>
        <v>556.48929544569876</v>
      </c>
      <c r="AU92" s="899">
        <f t="shared" si="101"/>
        <v>559.19109311740885</v>
      </c>
      <c r="AV92" s="900">
        <f t="shared" si="101"/>
        <v>595.19418052256538</v>
      </c>
      <c r="AW92" s="615">
        <f t="shared" si="101"/>
        <v>596.7807660455486</v>
      </c>
      <c r="AX92" s="898">
        <f t="shared" ref="AX92:BB92" si="102">+AX22</f>
        <v>642.97663551401865</v>
      </c>
      <c r="AY92" s="899">
        <f t="shared" si="102"/>
        <v>733.44441611422747</v>
      </c>
      <c r="AZ92" s="899">
        <f t="shared" si="102"/>
        <v>701.14249937390434</v>
      </c>
      <c r="BA92" s="900">
        <f t="shared" si="102"/>
        <v>678.453125</v>
      </c>
      <c r="BB92" s="615">
        <f t="shared" si="102"/>
        <v>688.73231780544847</v>
      </c>
      <c r="BC92" s="898">
        <f t="shared" ref="BC92:BF92" si="103">+BC22</f>
        <v>788.94884563150742</v>
      </c>
      <c r="BD92" s="899">
        <f t="shared" si="103"/>
        <v>890.83218163869697</v>
      </c>
      <c r="BE92" s="899">
        <f t="shared" si="103"/>
        <v>847.09847401049115</v>
      </c>
      <c r="BF92" s="900">
        <f t="shared" si="103"/>
        <v>806.20474346563412</v>
      </c>
      <c r="BG92" s="615">
        <f t="shared" ref="BG92:BG97" si="104">AVERAGE(BC92:BF92)</f>
        <v>833.27106118658253</v>
      </c>
      <c r="BH92" s="898">
        <f t="shared" ref="BH92:BK92" si="105">+BH22</f>
        <v>824.25577342047927</v>
      </c>
      <c r="BI92" s="899">
        <f t="shared" si="105"/>
        <v>811.37626432906268</v>
      </c>
      <c r="BJ92" s="899">
        <f t="shared" si="105"/>
        <v>771.67006723858105</v>
      </c>
      <c r="BK92" s="900">
        <f t="shared" si="105"/>
        <v>750.0327590390682</v>
      </c>
      <c r="BL92" s="615">
        <f t="shared" ref="BL92:BL98" si="106">AVERAGE(BH92:BK92)</f>
        <v>789.33371600679789</v>
      </c>
      <c r="BM92" s="898">
        <f t="shared" ref="BM92:BP92" si="107">+BM22</f>
        <v>756.03945546838952</v>
      </c>
      <c r="BN92" s="899">
        <f t="shared" si="107"/>
        <v>745.53345811885822</v>
      </c>
      <c r="BO92" s="899">
        <f t="shared" si="107"/>
        <v>741.29202586206895</v>
      </c>
      <c r="BP92" s="900">
        <f t="shared" si="107"/>
        <v>762.87848383500557</v>
      </c>
      <c r="BQ92" s="615">
        <f t="shared" ref="BQ92:BQ98" si="108">AVERAGE(BM92:BP92)</f>
        <v>751.43585582108062</v>
      </c>
      <c r="BR92" s="898">
        <f t="shared" ref="BR92:BU92" si="109">+BR22</f>
        <v>782.60369565217388</v>
      </c>
      <c r="BS92" s="899">
        <f t="shared" si="109"/>
        <v>789.32371932845456</v>
      </c>
      <c r="BT92" s="899">
        <f t="shared" si="109"/>
        <v>804.63368377654092</v>
      </c>
      <c r="BU92" s="900">
        <f t="shared" si="109"/>
        <v>775.61496509598601</v>
      </c>
      <c r="BV92" s="615">
        <f t="shared" ref="BV92:BV98" si="110">AVERAGE(BR92:BU92)</f>
        <v>788.04401596328876</v>
      </c>
      <c r="BW92" s="898">
        <f t="shared" ref="BW92:BZ92" si="111">+BW22</f>
        <v>732.07034813925566</v>
      </c>
      <c r="BX92" s="899">
        <f t="shared" si="111"/>
        <v>645.32328527741367</v>
      </c>
      <c r="BY92" s="899">
        <f t="shared" si="111"/>
        <v>635.09301801801803</v>
      </c>
      <c r="BZ92" s="900">
        <f t="shared" si="111"/>
        <v>587.51216322260007</v>
      </c>
      <c r="CA92" s="615">
        <f t="shared" ref="CA92:CA98" si="112">AVERAGE(BW92:BZ92)</f>
        <v>649.99970366432183</v>
      </c>
      <c r="CB92" s="898">
        <f t="shared" ref="CB92:CE92" si="113">+CB22</f>
        <v>537.60910389875482</v>
      </c>
      <c r="CC92" s="899">
        <f t="shared" si="113"/>
        <v>593.37583628492723</v>
      </c>
      <c r="CD92" s="899">
        <f t="shared" si="113"/>
        <v>663.70839865621497</v>
      </c>
      <c r="CE92" s="900">
        <f t="shared" si="113"/>
        <v>614.37636363636364</v>
      </c>
      <c r="CF92" s="615">
        <f t="shared" ref="CF92:CF98" si="114">AVERAGE(CB92:CE92)</f>
        <v>602.26742561906519</v>
      </c>
      <c r="CG92" s="898">
        <f>+CG22</f>
        <v>657.06337448559668</v>
      </c>
      <c r="CH92" s="899">
        <f t="shared" ref="CH92:CY92" si="115">+CH22</f>
        <v>687.51919191919194</v>
      </c>
      <c r="CI92" s="899">
        <f t="shared" si="115"/>
        <v>684.86355896126008</v>
      </c>
      <c r="CJ92" s="900">
        <f t="shared" si="115"/>
        <v>673.67725210628646</v>
      </c>
      <c r="CK92" s="615">
        <f t="shared" ref="CK92:CK98" si="116">AVERAGE(CG92:CJ92)</f>
        <v>675.78084436808376</v>
      </c>
      <c r="CL92" s="898">
        <f t="shared" si="115"/>
        <v>716.43141945773527</v>
      </c>
      <c r="CM92" s="899">
        <f t="shared" si="115"/>
        <v>837.22240757422867</v>
      </c>
      <c r="CN92" s="899">
        <f t="shared" si="115"/>
        <v>865.81747226056132</v>
      </c>
      <c r="CO92" s="900">
        <f t="shared" si="115"/>
        <v>845.92613819070232</v>
      </c>
      <c r="CP92" s="615">
        <f t="shared" ref="CP92:CP97" si="117">AVERAGE(CL92:CO92)</f>
        <v>816.34935937080684</v>
      </c>
      <c r="CQ92" s="898">
        <f t="shared" si="115"/>
        <v>853.56373705284295</v>
      </c>
      <c r="CR92" s="899">
        <f t="shared" si="115"/>
        <v>850.35580365696853</v>
      </c>
      <c r="CS92" s="899">
        <f t="shared" si="115"/>
        <v>833.67463948364002</v>
      </c>
      <c r="CT92" s="900">
        <f t="shared" si="115"/>
        <v>796.4607222318167</v>
      </c>
      <c r="CU92" s="615">
        <f t="shared" ref="CU92:CU97" si="118">AVERAGE(CQ92:CT92)</f>
        <v>833.51372560631705</v>
      </c>
      <c r="CV92" s="898">
        <f t="shared" si="115"/>
        <v>751.46144698869455</v>
      </c>
      <c r="CW92" s="899">
        <f t="shared" si="115"/>
        <v>750.71097082408289</v>
      </c>
      <c r="CX92" s="899">
        <f t="shared" si="115"/>
        <v>728.89358466425358</v>
      </c>
      <c r="CY92" s="900">
        <f t="shared" si="115"/>
        <v>716.65978177926763</v>
      </c>
      <c r="CZ92" s="615">
        <f t="shared" ref="CZ92:CZ97" si="119">AVERAGE(CV92:CY92)</f>
        <v>736.93144606407463</v>
      </c>
    </row>
    <row r="93" spans="1:104" ht="13.5" customHeight="1">
      <c r="A93" s="819"/>
      <c r="B93" s="66"/>
      <c r="C93" s="66" t="s">
        <v>485</v>
      </c>
      <c r="D93" s="66"/>
      <c r="E93" s="66"/>
      <c r="F93" s="66"/>
      <c r="G93" s="66"/>
      <c r="H93" s="615">
        <f t="shared" ref="H93:AM93" si="120">H77</f>
        <v>120</v>
      </c>
      <c r="I93" s="615">
        <f t="shared" si="120"/>
        <v>101</v>
      </c>
      <c r="J93" s="615">
        <f t="shared" si="120"/>
        <v>96</v>
      </c>
      <c r="K93" s="615">
        <f t="shared" si="120"/>
        <v>107</v>
      </c>
      <c r="L93" s="615">
        <f t="shared" si="120"/>
        <v>118</v>
      </c>
      <c r="M93" s="615">
        <f t="shared" si="120"/>
        <v>118</v>
      </c>
      <c r="N93" s="615">
        <f t="shared" si="120"/>
        <v>110</v>
      </c>
      <c r="O93" s="615">
        <f t="shared" si="120"/>
        <v>122</v>
      </c>
      <c r="P93" s="615">
        <f t="shared" si="120"/>
        <v>131</v>
      </c>
      <c r="Q93" s="615">
        <f t="shared" si="120"/>
        <v>137</v>
      </c>
      <c r="R93" s="615">
        <f t="shared" si="120"/>
        <v>158</v>
      </c>
      <c r="S93" s="615">
        <f t="shared" si="120"/>
        <v>137</v>
      </c>
      <c r="T93" s="615">
        <f t="shared" si="120"/>
        <v>200</v>
      </c>
      <c r="U93" s="615">
        <f t="shared" si="120"/>
        <v>227</v>
      </c>
      <c r="V93" s="615">
        <f t="shared" si="120"/>
        <v>248</v>
      </c>
      <c r="W93" s="615">
        <f t="shared" si="120"/>
        <v>278</v>
      </c>
      <c r="X93" s="615">
        <f t="shared" si="120"/>
        <v>238.25</v>
      </c>
      <c r="Y93" s="615">
        <f t="shared" si="120"/>
        <v>272</v>
      </c>
      <c r="Z93" s="615">
        <f t="shared" si="120"/>
        <v>246</v>
      </c>
      <c r="AA93" s="615">
        <f t="shared" si="120"/>
        <v>217</v>
      </c>
      <c r="AB93" s="615">
        <f t="shared" si="120"/>
        <v>240</v>
      </c>
      <c r="AC93" s="615">
        <f t="shared" si="120"/>
        <v>243.75</v>
      </c>
      <c r="AD93" s="615">
        <f t="shared" si="120"/>
        <v>237</v>
      </c>
      <c r="AE93" s="615">
        <f t="shared" si="120"/>
        <v>247</v>
      </c>
      <c r="AF93" s="615">
        <f t="shared" si="120"/>
        <v>257</v>
      </c>
      <c r="AG93" s="615">
        <f t="shared" si="120"/>
        <v>243</v>
      </c>
      <c r="AH93" s="615">
        <f t="shared" si="120"/>
        <v>246</v>
      </c>
      <c r="AI93" s="615">
        <f t="shared" si="120"/>
        <v>259</v>
      </c>
      <c r="AJ93" s="615">
        <f t="shared" si="120"/>
        <v>291</v>
      </c>
      <c r="AK93" s="615">
        <f t="shared" si="120"/>
        <v>277</v>
      </c>
      <c r="AL93" s="615">
        <f t="shared" si="120"/>
        <v>285</v>
      </c>
      <c r="AM93" s="615">
        <f t="shared" si="120"/>
        <v>278</v>
      </c>
      <c r="AN93" s="615">
        <f t="shared" ref="AN93:BF93" si="121">AN77</f>
        <v>333</v>
      </c>
      <c r="AO93" s="615">
        <f t="shared" si="121"/>
        <v>456</v>
      </c>
      <c r="AP93" s="615">
        <f t="shared" si="121"/>
        <v>533</v>
      </c>
      <c r="AQ93" s="615">
        <f t="shared" si="121"/>
        <v>435</v>
      </c>
      <c r="AR93" s="615">
        <f t="shared" si="121"/>
        <v>439.25</v>
      </c>
      <c r="AS93" s="898">
        <f t="shared" si="121"/>
        <v>333</v>
      </c>
      <c r="AT93" s="899">
        <f t="shared" si="121"/>
        <v>312</v>
      </c>
      <c r="AU93" s="899">
        <f t="shared" si="121"/>
        <v>299</v>
      </c>
      <c r="AV93" s="900">
        <f t="shared" si="121"/>
        <v>276</v>
      </c>
      <c r="AW93" s="615">
        <f t="shared" si="121"/>
        <v>305</v>
      </c>
      <c r="AX93" s="898">
        <f t="shared" si="121"/>
        <v>318</v>
      </c>
      <c r="AY93" s="899">
        <f t="shared" si="121"/>
        <v>373</v>
      </c>
      <c r="AZ93" s="899">
        <f t="shared" si="121"/>
        <v>354</v>
      </c>
      <c r="BA93" s="900">
        <f t="shared" si="121"/>
        <v>359</v>
      </c>
      <c r="BB93" s="615">
        <f t="shared" si="121"/>
        <v>351</v>
      </c>
      <c r="BC93" s="898">
        <f t="shared" si="121"/>
        <v>424</v>
      </c>
      <c r="BD93" s="899">
        <f t="shared" si="121"/>
        <v>444</v>
      </c>
      <c r="BE93" s="899">
        <f t="shared" si="121"/>
        <v>449</v>
      </c>
      <c r="BF93" s="971">
        <f t="shared" si="121"/>
        <v>441</v>
      </c>
      <c r="BG93" s="615">
        <f t="shared" si="104"/>
        <v>439.5</v>
      </c>
      <c r="BH93" s="898">
        <f>BH77</f>
        <v>445</v>
      </c>
      <c r="BI93" s="899">
        <f>BI77</f>
        <v>427</v>
      </c>
      <c r="BJ93" s="988">
        <f>BJ77</f>
        <v>380</v>
      </c>
      <c r="BK93" s="971">
        <f>BK77</f>
        <v>372</v>
      </c>
      <c r="BL93" s="615">
        <f t="shared" si="106"/>
        <v>406</v>
      </c>
      <c r="BM93" s="898">
        <f>BM77</f>
        <v>379</v>
      </c>
      <c r="BN93" s="899">
        <f>BN77</f>
        <v>377</v>
      </c>
      <c r="BO93" s="899">
        <f>BO77</f>
        <v>372</v>
      </c>
      <c r="BP93" s="900">
        <f>BP77</f>
        <v>377</v>
      </c>
      <c r="BQ93" s="615">
        <f t="shared" si="108"/>
        <v>376.25</v>
      </c>
      <c r="BR93" s="898">
        <f>BR77</f>
        <v>398</v>
      </c>
      <c r="BS93" s="899">
        <f>BS77</f>
        <v>384</v>
      </c>
      <c r="BT93" s="899">
        <f>BT77</f>
        <v>379</v>
      </c>
      <c r="BU93" s="900">
        <f>BU77</f>
        <v>363</v>
      </c>
      <c r="BV93" s="615">
        <f t="shared" si="110"/>
        <v>381</v>
      </c>
      <c r="BW93" s="898">
        <f>BW77</f>
        <v>324</v>
      </c>
      <c r="BX93" s="899">
        <f>BX77</f>
        <v>271</v>
      </c>
      <c r="BY93" s="899">
        <f>BY77</f>
        <v>262</v>
      </c>
      <c r="BZ93" s="900">
        <f>BZ77</f>
        <v>219</v>
      </c>
      <c r="CA93" s="615">
        <f t="shared" si="112"/>
        <v>269</v>
      </c>
      <c r="CB93" s="898">
        <f>CB77</f>
        <v>193</v>
      </c>
      <c r="CC93" s="899">
        <f>CC77</f>
        <v>232</v>
      </c>
      <c r="CD93" s="899">
        <f>CD77</f>
        <v>252</v>
      </c>
      <c r="CE93" s="900">
        <f>CE77</f>
        <v>236</v>
      </c>
      <c r="CF93" s="615">
        <f t="shared" si="114"/>
        <v>228.25</v>
      </c>
      <c r="CG93" s="898">
        <f>CG77</f>
        <v>284</v>
      </c>
      <c r="CH93" s="899">
        <f>CH77</f>
        <v>313</v>
      </c>
      <c r="CI93" s="899">
        <f>CI77</f>
        <v>317</v>
      </c>
      <c r="CJ93" s="900">
        <f>CJ77</f>
        <v>317</v>
      </c>
      <c r="CK93" s="615">
        <f t="shared" si="116"/>
        <v>307.75</v>
      </c>
      <c r="CL93" s="898">
        <f>CL77</f>
        <v>337</v>
      </c>
      <c r="CM93" s="899">
        <f>CM77</f>
        <v>359.98500000000001</v>
      </c>
      <c r="CN93" s="899">
        <f>CN77</f>
        <v>367.78107499999999</v>
      </c>
      <c r="CO93" s="900">
        <f>CO77</f>
        <v>366.53973962499998</v>
      </c>
      <c r="CP93" s="615">
        <f t="shared" si="117"/>
        <v>357.82645365625001</v>
      </c>
      <c r="CQ93" s="898">
        <f>CQ77</f>
        <v>369.7211450768749</v>
      </c>
      <c r="CR93" s="899">
        <f>CR77</f>
        <v>373.57408132074056</v>
      </c>
      <c r="CS93" s="899">
        <f>CS77</f>
        <v>371.94657838584061</v>
      </c>
      <c r="CT93" s="900">
        <f>CT77</f>
        <v>367.56821413957516</v>
      </c>
      <c r="CU93" s="615">
        <f t="shared" si="118"/>
        <v>370.70250473075782</v>
      </c>
      <c r="CV93" s="898">
        <f>CV77</f>
        <v>353.20308741304723</v>
      </c>
      <c r="CW93" s="899">
        <f>CW77</f>
        <v>346.61583701076307</v>
      </c>
      <c r="CX93" s="899">
        <f>CX77</f>
        <v>338.77642302140401</v>
      </c>
      <c r="CY93" s="900">
        <f>CY77</f>
        <v>328.23197169773539</v>
      </c>
      <c r="CZ93" s="615">
        <f t="shared" si="119"/>
        <v>341.70682978573745</v>
      </c>
    </row>
    <row r="94" spans="1:104" ht="13.5" customHeight="1">
      <c r="A94" s="819"/>
      <c r="B94" s="66"/>
      <c r="C94" s="66" t="s">
        <v>30</v>
      </c>
      <c r="D94" s="66"/>
      <c r="E94" s="66"/>
      <c r="F94" s="66"/>
      <c r="G94" s="66"/>
      <c r="H94" s="615">
        <f t="shared" ref="H94:AM94" si="122">H92-H93</f>
        <v>249.58610583904283</v>
      </c>
      <c r="I94" s="615">
        <f t="shared" si="122"/>
        <v>211.69449156997825</v>
      </c>
      <c r="J94" s="615">
        <f t="shared" si="122"/>
        <v>210.66184121733374</v>
      </c>
      <c r="K94" s="615">
        <f t="shared" si="122"/>
        <v>217.22745004787743</v>
      </c>
      <c r="L94" s="615">
        <f t="shared" si="122"/>
        <v>227.15783355840642</v>
      </c>
      <c r="M94" s="615">
        <f t="shared" si="122"/>
        <v>225.36313454317906</v>
      </c>
      <c r="N94" s="615">
        <f t="shared" si="122"/>
        <v>219.91630891668024</v>
      </c>
      <c r="O94" s="615">
        <f t="shared" si="122"/>
        <v>199.25729851485147</v>
      </c>
      <c r="P94" s="615">
        <f t="shared" si="122"/>
        <v>203.0001834050089</v>
      </c>
      <c r="Q94" s="615">
        <f t="shared" si="122"/>
        <v>195.49870591061989</v>
      </c>
      <c r="R94" s="615">
        <f t="shared" si="122"/>
        <v>193.52998417721528</v>
      </c>
      <c r="S94" s="615">
        <f t="shared" si="122"/>
        <v>197.87837422369796</v>
      </c>
      <c r="T94" s="615">
        <f t="shared" si="122"/>
        <v>236.74756665256029</v>
      </c>
      <c r="U94" s="615">
        <f t="shared" si="122"/>
        <v>325.30565529622982</v>
      </c>
      <c r="V94" s="615">
        <f t="shared" si="122"/>
        <v>390.57591273374885</v>
      </c>
      <c r="W94" s="615">
        <f t="shared" si="122"/>
        <v>382.29759299781176</v>
      </c>
      <c r="X94" s="615">
        <f t="shared" si="122"/>
        <v>330.11060043852251</v>
      </c>
      <c r="Y94" s="615">
        <f t="shared" si="122"/>
        <v>357.26621160409559</v>
      </c>
      <c r="Z94" s="615">
        <f t="shared" si="122"/>
        <v>332.87854251012141</v>
      </c>
      <c r="AA94" s="615">
        <f t="shared" si="122"/>
        <v>313.30972730972735</v>
      </c>
      <c r="AB94" s="615">
        <f t="shared" si="122"/>
        <v>350.70095238095257</v>
      </c>
      <c r="AC94" s="615">
        <f t="shared" si="122"/>
        <v>337.84458464773923</v>
      </c>
      <c r="AD94" s="615">
        <f t="shared" si="122"/>
        <v>361.0679832890238</v>
      </c>
      <c r="AE94" s="615">
        <f t="shared" si="122"/>
        <v>374.72807339449537</v>
      </c>
      <c r="AF94" s="615">
        <f t="shared" si="122"/>
        <v>407.02565575339838</v>
      </c>
      <c r="AG94" s="615">
        <f t="shared" si="122"/>
        <v>397.51135158073419</v>
      </c>
      <c r="AH94" s="615">
        <f t="shared" si="122"/>
        <v>384.77091807088902</v>
      </c>
      <c r="AI94" s="615">
        <f t="shared" si="122"/>
        <v>366.92656339644293</v>
      </c>
      <c r="AJ94" s="615">
        <f t="shared" si="122"/>
        <v>390.86134969325155</v>
      </c>
      <c r="AK94" s="615">
        <f t="shared" si="122"/>
        <v>386.89976181024213</v>
      </c>
      <c r="AL94" s="615">
        <f t="shared" si="122"/>
        <v>381.64946829460416</v>
      </c>
      <c r="AM94" s="615">
        <f t="shared" si="122"/>
        <v>381.70527551272551</v>
      </c>
      <c r="AN94" s="615">
        <f>AN22-AN77</f>
        <v>390.00134537766678</v>
      </c>
      <c r="AO94" s="615">
        <f>AO22-AO77</f>
        <v>451.24638487208006</v>
      </c>
      <c r="AP94" s="615">
        <f>AP22-AP77</f>
        <v>575.33788395904435</v>
      </c>
      <c r="AQ94" s="615">
        <f t="shared" ref="AQ94:BU94" si="123">AQ92-AQ93</f>
        <v>473.41344827586204</v>
      </c>
      <c r="AR94" s="615">
        <f t="shared" si="123"/>
        <v>471.11271652460823</v>
      </c>
      <c r="AS94" s="898">
        <f t="shared" si="123"/>
        <v>348.92683929305383</v>
      </c>
      <c r="AT94" s="899">
        <f t="shared" si="123"/>
        <v>244.48929544569876</v>
      </c>
      <c r="AU94" s="899">
        <f t="shared" si="123"/>
        <v>260.19109311740885</v>
      </c>
      <c r="AV94" s="900">
        <f t="shared" si="123"/>
        <v>319.19418052256538</v>
      </c>
      <c r="AW94" s="615">
        <f t="shared" si="123"/>
        <v>291.7807660455486</v>
      </c>
      <c r="AX94" s="898">
        <f t="shared" si="123"/>
        <v>324.97663551401865</v>
      </c>
      <c r="AY94" s="899">
        <f t="shared" si="123"/>
        <v>360.44441611422747</v>
      </c>
      <c r="AZ94" s="899">
        <f t="shared" si="123"/>
        <v>347.14249937390434</v>
      </c>
      <c r="BA94" s="900">
        <f t="shared" si="123"/>
        <v>319.453125</v>
      </c>
      <c r="BB94" s="615">
        <f t="shared" si="123"/>
        <v>337.73231780544847</v>
      </c>
      <c r="BC94" s="898">
        <f t="shared" si="123"/>
        <v>364.94884563150742</v>
      </c>
      <c r="BD94" s="899">
        <f t="shared" si="123"/>
        <v>446.83218163869697</v>
      </c>
      <c r="BE94" s="899">
        <f t="shared" si="123"/>
        <v>398.09847401049115</v>
      </c>
      <c r="BF94" s="971">
        <f t="shared" si="123"/>
        <v>365.20474346563412</v>
      </c>
      <c r="BG94" s="615">
        <f t="shared" si="104"/>
        <v>393.77106118658241</v>
      </c>
      <c r="BH94" s="898">
        <f t="shared" si="123"/>
        <v>379.25577342047927</v>
      </c>
      <c r="BI94" s="899">
        <f t="shared" si="123"/>
        <v>384.37626432906268</v>
      </c>
      <c r="BJ94" s="988">
        <f t="shared" si="123"/>
        <v>391.67006723858105</v>
      </c>
      <c r="BK94" s="971">
        <f t="shared" si="123"/>
        <v>378.0327590390682</v>
      </c>
      <c r="BL94" s="615">
        <f t="shared" si="106"/>
        <v>383.33371600679783</v>
      </c>
      <c r="BM94" s="898">
        <f t="shared" si="123"/>
        <v>377.03945546838952</v>
      </c>
      <c r="BN94" s="899">
        <f t="shared" si="123"/>
        <v>368.53345811885822</v>
      </c>
      <c r="BO94" s="899">
        <f t="shared" si="123"/>
        <v>369.29202586206895</v>
      </c>
      <c r="BP94" s="900">
        <f t="shared" si="123"/>
        <v>385.87848383500557</v>
      </c>
      <c r="BQ94" s="615">
        <f t="shared" si="108"/>
        <v>375.18585582108062</v>
      </c>
      <c r="BR94" s="898">
        <f t="shared" si="123"/>
        <v>384.60369565217388</v>
      </c>
      <c r="BS94" s="899">
        <f t="shared" si="123"/>
        <v>405.32371932845456</v>
      </c>
      <c r="BT94" s="899">
        <f t="shared" si="123"/>
        <v>425.63368377654092</v>
      </c>
      <c r="BU94" s="900">
        <f t="shared" si="123"/>
        <v>412.61496509598601</v>
      </c>
      <c r="BV94" s="615">
        <f t="shared" si="110"/>
        <v>407.04401596328887</v>
      </c>
      <c r="BW94" s="898">
        <f t="shared" ref="BW94:CY94" si="124">BW92-BW93</f>
        <v>408.07034813925566</v>
      </c>
      <c r="BX94" s="899">
        <f t="shared" si="124"/>
        <v>374.32328527741367</v>
      </c>
      <c r="BY94" s="899">
        <f t="shared" si="124"/>
        <v>373.09301801801803</v>
      </c>
      <c r="BZ94" s="900">
        <f t="shared" si="124"/>
        <v>368.51216322260007</v>
      </c>
      <c r="CA94" s="615">
        <f t="shared" si="112"/>
        <v>380.99970366432183</v>
      </c>
      <c r="CB94" s="898">
        <f t="shared" si="124"/>
        <v>344.60910389875482</v>
      </c>
      <c r="CC94" s="899">
        <f t="shared" si="124"/>
        <v>361.37583628492723</v>
      </c>
      <c r="CD94" s="899">
        <f t="shared" si="124"/>
        <v>411.70839865621497</v>
      </c>
      <c r="CE94" s="900">
        <f t="shared" si="124"/>
        <v>378.37636363636364</v>
      </c>
      <c r="CF94" s="615">
        <f t="shared" si="114"/>
        <v>374.01742561906519</v>
      </c>
      <c r="CG94" s="898">
        <f t="shared" si="124"/>
        <v>373.06337448559668</v>
      </c>
      <c r="CH94" s="899">
        <f t="shared" si="124"/>
        <v>374.51919191919194</v>
      </c>
      <c r="CI94" s="899">
        <f t="shared" si="124"/>
        <v>367.86355896126008</v>
      </c>
      <c r="CJ94" s="900">
        <f t="shared" si="124"/>
        <v>356.67725210628646</v>
      </c>
      <c r="CK94" s="615">
        <f t="shared" si="116"/>
        <v>368.03084436808382</v>
      </c>
      <c r="CL94" s="898">
        <f t="shared" ref="CL94" si="125">CL92-CL93</f>
        <v>379.43141945773527</v>
      </c>
      <c r="CM94" s="899">
        <f t="shared" si="124"/>
        <v>477.23740757422865</v>
      </c>
      <c r="CN94" s="899">
        <f t="shared" si="124"/>
        <v>498.03639726056133</v>
      </c>
      <c r="CO94" s="900">
        <f t="shared" si="124"/>
        <v>479.38639856570234</v>
      </c>
      <c r="CP94" s="615">
        <f t="shared" si="117"/>
        <v>458.52290571455688</v>
      </c>
      <c r="CQ94" s="898">
        <f t="shared" si="124"/>
        <v>483.84259197596805</v>
      </c>
      <c r="CR94" s="899">
        <f t="shared" si="124"/>
        <v>476.78172233622797</v>
      </c>
      <c r="CS94" s="899">
        <f t="shared" si="124"/>
        <v>461.72806109779941</v>
      </c>
      <c r="CT94" s="900">
        <f t="shared" si="124"/>
        <v>428.89250809224154</v>
      </c>
      <c r="CU94" s="615">
        <f t="shared" si="118"/>
        <v>462.81122087555923</v>
      </c>
      <c r="CV94" s="898">
        <f t="shared" si="124"/>
        <v>398.25835957564732</v>
      </c>
      <c r="CW94" s="899">
        <f t="shared" si="124"/>
        <v>404.09513381331982</v>
      </c>
      <c r="CX94" s="899">
        <f t="shared" si="124"/>
        <v>390.11716164284957</v>
      </c>
      <c r="CY94" s="900">
        <f t="shared" si="124"/>
        <v>388.42781008153224</v>
      </c>
      <c r="CZ94" s="615">
        <f t="shared" si="119"/>
        <v>395.22461627833724</v>
      </c>
    </row>
    <row r="95" spans="1:104" ht="13.5" customHeight="1">
      <c r="A95" s="819"/>
      <c r="B95" s="66"/>
      <c r="C95" s="66" t="s">
        <v>484</v>
      </c>
      <c r="D95" s="66"/>
      <c r="E95" s="66"/>
      <c r="F95" s="66"/>
      <c r="G95" s="66"/>
      <c r="H95" s="615">
        <f t="shared" ref="H95:AM95" si="126">H102/H38*1000</f>
        <v>82.88739789344514</v>
      </c>
      <c r="I95" s="615">
        <f t="shared" si="126"/>
        <v>43.634308738216099</v>
      </c>
      <c r="J95" s="615">
        <f t="shared" si="126"/>
        <v>49.783908121071782</v>
      </c>
      <c r="K95" s="615">
        <f t="shared" si="126"/>
        <v>56.093032317267799</v>
      </c>
      <c r="L95" s="615">
        <f t="shared" si="126"/>
        <v>120.82653553342337</v>
      </c>
      <c r="M95" s="615">
        <f t="shared" si="126"/>
        <v>2.0572848091364273</v>
      </c>
      <c r="N95" s="615">
        <f t="shared" si="126"/>
        <v>56.090588354718207</v>
      </c>
      <c r="O95" s="615">
        <f t="shared" si="126"/>
        <v>34.926349257425741</v>
      </c>
      <c r="P95" s="615">
        <f t="shared" si="126"/>
        <v>35.808621553250703</v>
      </c>
      <c r="Q95" s="615">
        <f t="shared" si="126"/>
        <v>33.867117731859686</v>
      </c>
      <c r="R95" s="615">
        <f t="shared" si="126"/>
        <v>32.114684518013632</v>
      </c>
      <c r="S95" s="615">
        <f t="shared" si="126"/>
        <v>34.159503166697412</v>
      </c>
      <c r="T95" s="615">
        <f t="shared" si="126"/>
        <v>69.14362039779941</v>
      </c>
      <c r="U95" s="615">
        <f t="shared" si="126"/>
        <v>140.0928523339318</v>
      </c>
      <c r="V95" s="615">
        <f t="shared" si="126"/>
        <v>197.44874220837045</v>
      </c>
      <c r="W95" s="615">
        <f t="shared" si="126"/>
        <v>174.90681983953317</v>
      </c>
      <c r="X95" s="615">
        <f t="shared" si="126"/>
        <v>143.7768032832968</v>
      </c>
      <c r="Y95" s="615">
        <f t="shared" si="126"/>
        <v>159.36577431740614</v>
      </c>
      <c r="Z95" s="615">
        <f t="shared" si="126"/>
        <v>130.66497975708504</v>
      </c>
      <c r="AA95" s="615">
        <f t="shared" si="126"/>
        <v>117.59539072039071</v>
      </c>
      <c r="AB95" s="615">
        <f t="shared" si="126"/>
        <v>132.34428571428572</v>
      </c>
      <c r="AC95" s="615">
        <f t="shared" si="126"/>
        <v>134.77960042060991</v>
      </c>
      <c r="AD95" s="615">
        <f t="shared" si="126"/>
        <v>155.2847037599696</v>
      </c>
      <c r="AE95" s="615">
        <f t="shared" si="126"/>
        <v>169.39527522935779</v>
      </c>
      <c r="AF95" s="615">
        <f t="shared" si="126"/>
        <v>189.90738081562321</v>
      </c>
      <c r="AG95" s="615">
        <f t="shared" si="126"/>
        <v>171.22963080840228</v>
      </c>
      <c r="AH95" s="615">
        <f t="shared" si="126"/>
        <v>171.40349602944025</v>
      </c>
      <c r="AI95" s="615">
        <f t="shared" si="126"/>
        <v>157.54004485096965</v>
      </c>
      <c r="AJ95" s="615">
        <f t="shared" si="126"/>
        <v>154.58341401343975</v>
      </c>
      <c r="AK95" s="615">
        <f t="shared" si="126"/>
        <v>165.33503265695123</v>
      </c>
      <c r="AL95" s="615">
        <f t="shared" si="126"/>
        <v>156.61596977662865</v>
      </c>
      <c r="AM95" s="615">
        <f t="shared" si="126"/>
        <v>158.5343997085684</v>
      </c>
      <c r="AN95" s="615">
        <f t="shared" ref="AN95:BF95" si="127">AN102/AN38*1000</f>
        <v>170.94349413799731</v>
      </c>
      <c r="AO95" s="615">
        <f t="shared" si="127"/>
        <v>209.62495365220619</v>
      </c>
      <c r="AP95" s="615">
        <f t="shared" si="127"/>
        <v>280.11305460750856</v>
      </c>
      <c r="AQ95" s="615">
        <f t="shared" si="127"/>
        <v>217.93620689655177</v>
      </c>
      <c r="AR95" s="615">
        <f t="shared" si="127"/>
        <v>218.0544954632939</v>
      </c>
      <c r="AS95" s="898">
        <f t="shared" si="127"/>
        <v>-55.217632552404446</v>
      </c>
      <c r="AT95" s="899">
        <f t="shared" si="127"/>
        <v>-45.113079019073567</v>
      </c>
      <c r="AU95" s="899">
        <f t="shared" si="127"/>
        <v>9.0732793522267166</v>
      </c>
      <c r="AV95" s="900">
        <f t="shared" si="127"/>
        <v>66.619210213776697</v>
      </c>
      <c r="AW95" s="615">
        <f t="shared" si="127"/>
        <v>0.64182194616976751</v>
      </c>
      <c r="AX95" s="898">
        <f t="shared" si="127"/>
        <v>61.77570093457944</v>
      </c>
      <c r="AY95" s="899">
        <f t="shared" si="127"/>
        <v>90.470933197348288</v>
      </c>
      <c r="AZ95" s="899">
        <f t="shared" si="127"/>
        <v>81.262960180315545</v>
      </c>
      <c r="BA95" s="900">
        <f t="shared" si="127"/>
        <v>57.077083333333327</v>
      </c>
      <c r="BB95" s="615">
        <f t="shared" si="127"/>
        <v>72.667088047531777</v>
      </c>
      <c r="BC95" s="898">
        <f t="shared" si="127"/>
        <v>91.800362154821187</v>
      </c>
      <c r="BD95" s="899">
        <f t="shared" si="127"/>
        <v>177.64955577492597</v>
      </c>
      <c r="BE95" s="899">
        <f t="shared" si="127"/>
        <v>126.17835002384359</v>
      </c>
      <c r="BF95" s="971">
        <f t="shared" si="127"/>
        <v>101.96393998063891</v>
      </c>
      <c r="BG95" s="615">
        <f t="shared" si="104"/>
        <v>124.39805198355739</v>
      </c>
      <c r="BH95" s="898">
        <f>BH102/BH38*1000</f>
        <v>105.40108932461874</v>
      </c>
      <c r="BI95" s="899">
        <f>BI102/BI38*1000</f>
        <v>96.559901101371096</v>
      </c>
      <c r="BJ95" s="988">
        <f>BJ102/BJ38*1000</f>
        <v>72.09111987016</v>
      </c>
      <c r="BK95" s="900">
        <f>BK102/BK38*1000</f>
        <v>75.498665372482435</v>
      </c>
      <c r="BL95" s="615">
        <f t="shared" si="106"/>
        <v>87.387693917158074</v>
      </c>
      <c r="BM95" s="898">
        <f>BM102/BM38*1000</f>
        <v>82.787321181356717</v>
      </c>
      <c r="BN95" s="899">
        <f>BN102/BN38*1000</f>
        <v>75.723970519419751</v>
      </c>
      <c r="BO95" s="899">
        <f>BO102/BO38*1000</f>
        <v>85.589062499999997</v>
      </c>
      <c r="BP95" s="900">
        <f>BP102/BP38*1000</f>
        <v>94.382664437012238</v>
      </c>
      <c r="BQ95" s="615">
        <f t="shared" si="108"/>
        <v>84.620754659447172</v>
      </c>
      <c r="BR95" s="898">
        <f>BR102/BR38*1000</f>
        <v>91.794836956521735</v>
      </c>
      <c r="BS95" s="899">
        <f>BS102/BS38*1000</f>
        <v>99.784169177787334</v>
      </c>
      <c r="BT95" s="899">
        <f>BT102/BT38*1000</f>
        <v>125.88378684807256</v>
      </c>
      <c r="BU95" s="900">
        <f>BU102/BU38*1000</f>
        <v>109.33098821989533</v>
      </c>
      <c r="BV95" s="615">
        <f t="shared" si="110"/>
        <v>106.69844530056925</v>
      </c>
      <c r="BW95" s="898">
        <f>BW102/BW38*1000</f>
        <v>76.149639855942368</v>
      </c>
      <c r="BX95" s="899">
        <f>BX102/BX38*1000</f>
        <v>65.210845347313239</v>
      </c>
      <c r="BY95" s="899">
        <f>BY102/BY38*1000</f>
        <v>81.263795045045043</v>
      </c>
      <c r="BZ95" s="900">
        <f>BZ102/BZ38*1000</f>
        <v>53.85489144650797</v>
      </c>
      <c r="CA95" s="615">
        <f t="shared" si="112"/>
        <v>69.119792923702164</v>
      </c>
      <c r="CB95" s="898">
        <f>CB102/CB38*1000</f>
        <v>77.538579301898338</v>
      </c>
      <c r="CC95" s="899">
        <f>CC102/CC38*1000</f>
        <v>124.11521054702874</v>
      </c>
      <c r="CD95" s="899">
        <f>CD102/CD38*1000</f>
        <v>155.24647256438971</v>
      </c>
      <c r="CE95" s="900">
        <f>CE102/CE38*1000</f>
        <v>87.473522727272737</v>
      </c>
      <c r="CF95" s="615">
        <f t="shared" si="114"/>
        <v>111.09344628514738</v>
      </c>
      <c r="CG95" s="898">
        <f>CG102/CG38*1000</f>
        <v>156.01234567901236</v>
      </c>
      <c r="CH95" s="899">
        <f>CH102/CH38*1000</f>
        <v>140.68747474747477</v>
      </c>
      <c r="CI95" s="899">
        <f>CI102/CI38*1000</f>
        <v>108.93039591315454</v>
      </c>
      <c r="CJ95" s="900">
        <f>CJ102/CJ38*1000</f>
        <v>92.675523871246483</v>
      </c>
      <c r="CK95" s="615">
        <f t="shared" si="116"/>
        <v>124.57643505272203</v>
      </c>
      <c r="CL95" s="898">
        <f>CL102/CL38*1000</f>
        <v>131.67922647527911</v>
      </c>
      <c r="CM95" s="899">
        <f t="shared" ref="CM95:CO95" si="128">+CM94-CM96</f>
        <v>189.27406958907551</v>
      </c>
      <c r="CN95" s="899">
        <f t="shared" si="128"/>
        <v>203.03639726056133</v>
      </c>
      <c r="CO95" s="900">
        <f t="shared" si="128"/>
        <v>184.38639856570234</v>
      </c>
      <c r="CP95" s="615">
        <f t="shared" si="117"/>
        <v>177.09402297265456</v>
      </c>
      <c r="CQ95" s="898">
        <f t="shared" ref="CQ95:CT95" si="129">+CQ94-CQ96</f>
        <v>188.84259197596805</v>
      </c>
      <c r="CR95" s="899">
        <f t="shared" si="129"/>
        <v>181.78172233622797</v>
      </c>
      <c r="CS95" s="899">
        <f t="shared" si="129"/>
        <v>166.72806109779941</v>
      </c>
      <c r="CT95" s="900">
        <f t="shared" si="129"/>
        <v>133.89250809224154</v>
      </c>
      <c r="CU95" s="615">
        <f t="shared" si="118"/>
        <v>167.81122087555923</v>
      </c>
      <c r="CV95" s="898">
        <f t="shared" ref="CV95:CY95" si="130">+CV94-CV96</f>
        <v>138.25835957564732</v>
      </c>
      <c r="CW95" s="899">
        <f t="shared" si="130"/>
        <v>144.09513381331982</v>
      </c>
      <c r="CX95" s="899">
        <f t="shared" si="130"/>
        <v>130.11716164284957</v>
      </c>
      <c r="CY95" s="900">
        <f t="shared" si="130"/>
        <v>128.42781008153224</v>
      </c>
      <c r="CZ95" s="615">
        <f t="shared" si="119"/>
        <v>135.22461627833724</v>
      </c>
    </row>
    <row r="96" spans="1:104" ht="13.5" customHeight="1">
      <c r="A96" s="819"/>
      <c r="B96" s="66"/>
      <c r="C96" s="798" t="s">
        <v>659</v>
      </c>
      <c r="D96" s="66"/>
      <c r="E96" s="66"/>
      <c r="F96" s="66"/>
      <c r="G96" s="66"/>
      <c r="H96" s="201"/>
      <c r="I96" s="201"/>
      <c r="J96" s="615">
        <f t="shared" ref="J96:AO96" si="131">J94-J95</f>
        <v>160.87793309626196</v>
      </c>
      <c r="K96" s="615">
        <f t="shared" si="131"/>
        <v>161.13441773060964</v>
      </c>
      <c r="L96" s="615">
        <f t="shared" si="131"/>
        <v>106.33129802498306</v>
      </c>
      <c r="M96" s="615">
        <f t="shared" si="131"/>
        <v>223.30584973404262</v>
      </c>
      <c r="N96" s="615">
        <f t="shared" si="131"/>
        <v>163.82572056196204</v>
      </c>
      <c r="O96" s="615">
        <f t="shared" si="131"/>
        <v>164.33094925742574</v>
      </c>
      <c r="P96" s="615">
        <f t="shared" si="131"/>
        <v>167.19156185175819</v>
      </c>
      <c r="Q96" s="615">
        <f t="shared" si="131"/>
        <v>161.63158817876021</v>
      </c>
      <c r="R96" s="615">
        <f t="shared" si="131"/>
        <v>161.41529965920165</v>
      </c>
      <c r="S96" s="615">
        <f t="shared" si="131"/>
        <v>163.71887105700054</v>
      </c>
      <c r="T96" s="615">
        <f t="shared" si="131"/>
        <v>167.6039462547609</v>
      </c>
      <c r="U96" s="615">
        <f t="shared" si="131"/>
        <v>185.21280296229801</v>
      </c>
      <c r="V96" s="615">
        <f t="shared" si="131"/>
        <v>193.1271705253784</v>
      </c>
      <c r="W96" s="615">
        <f t="shared" si="131"/>
        <v>207.39077315827859</v>
      </c>
      <c r="X96" s="615">
        <f t="shared" si="131"/>
        <v>186.33379715522571</v>
      </c>
      <c r="Y96" s="615">
        <f t="shared" si="131"/>
        <v>197.90043728668945</v>
      </c>
      <c r="Z96" s="615">
        <f t="shared" si="131"/>
        <v>202.21356275303637</v>
      </c>
      <c r="AA96" s="615">
        <f t="shared" si="131"/>
        <v>195.71433658933665</v>
      </c>
      <c r="AB96" s="615">
        <f t="shared" si="131"/>
        <v>218.35666666666685</v>
      </c>
      <c r="AC96" s="615">
        <f t="shared" si="131"/>
        <v>203.06498422712932</v>
      </c>
      <c r="AD96" s="615">
        <f t="shared" si="131"/>
        <v>205.7832795290542</v>
      </c>
      <c r="AE96" s="615">
        <f t="shared" si="131"/>
        <v>205.33279816513758</v>
      </c>
      <c r="AF96" s="615">
        <f t="shared" si="131"/>
        <v>217.11827493777517</v>
      </c>
      <c r="AG96" s="615">
        <f t="shared" si="131"/>
        <v>226.28172077233191</v>
      </c>
      <c r="AH96" s="615">
        <f t="shared" si="131"/>
        <v>213.36742204144878</v>
      </c>
      <c r="AI96" s="615">
        <f t="shared" si="131"/>
        <v>209.38651854547328</v>
      </c>
      <c r="AJ96" s="615">
        <f t="shared" si="131"/>
        <v>236.2779356798118</v>
      </c>
      <c r="AK96" s="615">
        <f t="shared" si="131"/>
        <v>221.5647291532909</v>
      </c>
      <c r="AL96" s="615">
        <f t="shared" si="131"/>
        <v>225.03349851797552</v>
      </c>
      <c r="AM96" s="615">
        <f t="shared" si="131"/>
        <v>223.17087580415711</v>
      </c>
      <c r="AN96" s="615">
        <f t="shared" si="131"/>
        <v>219.05785123966947</v>
      </c>
      <c r="AO96" s="615">
        <f t="shared" si="131"/>
        <v>241.62143121987387</v>
      </c>
      <c r="AP96" s="615">
        <f t="shared" ref="AP96:BF96" si="132">AP94-AP95</f>
        <v>295.22482935153579</v>
      </c>
      <c r="AQ96" s="615">
        <f t="shared" si="132"/>
        <v>255.47724137931027</v>
      </c>
      <c r="AR96" s="615">
        <f t="shared" si="132"/>
        <v>253.05822106131433</v>
      </c>
      <c r="AS96" s="898">
        <f t="shared" si="132"/>
        <v>404.14447184545827</v>
      </c>
      <c r="AT96" s="899">
        <f t="shared" si="132"/>
        <v>289.60237446477231</v>
      </c>
      <c r="AU96" s="899">
        <f t="shared" si="132"/>
        <v>251.11781376518215</v>
      </c>
      <c r="AV96" s="900">
        <f t="shared" si="132"/>
        <v>252.57497030878869</v>
      </c>
      <c r="AW96" s="615">
        <f t="shared" si="132"/>
        <v>291.13894409937882</v>
      </c>
      <c r="AX96" s="898">
        <f t="shared" si="132"/>
        <v>263.20093457943921</v>
      </c>
      <c r="AY96" s="899">
        <f t="shared" si="132"/>
        <v>269.97348291687916</v>
      </c>
      <c r="AZ96" s="899">
        <f t="shared" si="132"/>
        <v>265.87953919358881</v>
      </c>
      <c r="BA96" s="900">
        <f t="shared" si="132"/>
        <v>262.37604166666665</v>
      </c>
      <c r="BB96" s="615">
        <f t="shared" si="132"/>
        <v>265.06522975791671</v>
      </c>
      <c r="BC96" s="898">
        <f t="shared" si="132"/>
        <v>273.14848347668624</v>
      </c>
      <c r="BD96" s="899">
        <f t="shared" si="132"/>
        <v>269.18262586377102</v>
      </c>
      <c r="BE96" s="899">
        <f t="shared" si="132"/>
        <v>271.92012398664758</v>
      </c>
      <c r="BF96" s="900">
        <f t="shared" si="132"/>
        <v>263.24080348499524</v>
      </c>
      <c r="BG96" s="615">
        <f t="shared" si="104"/>
        <v>269.37300920302505</v>
      </c>
      <c r="BH96" s="898">
        <f>BH94-BH95</f>
        <v>273.85468409586053</v>
      </c>
      <c r="BI96" s="899">
        <f>BI94-BI95</f>
        <v>287.81636322769157</v>
      </c>
      <c r="BJ96" s="899">
        <f>BJ94-BJ95</f>
        <v>319.57894736842104</v>
      </c>
      <c r="BK96" s="900">
        <f>BK94-BK95</f>
        <v>302.53409366658576</v>
      </c>
      <c r="BL96" s="615">
        <f t="shared" si="106"/>
        <v>295.94602208963971</v>
      </c>
      <c r="BM96" s="898">
        <f>BM94-BM95</f>
        <v>294.25213428703279</v>
      </c>
      <c r="BN96" s="899">
        <f>BN94-BN95</f>
        <v>292.80948759943846</v>
      </c>
      <c r="BO96" s="899">
        <f>BO94-BO95</f>
        <v>283.70296336206894</v>
      </c>
      <c r="BP96" s="900">
        <f>BP94-BP95</f>
        <v>291.49581939799333</v>
      </c>
      <c r="BQ96" s="615">
        <f t="shared" si="108"/>
        <v>290.56510116163338</v>
      </c>
      <c r="BR96" s="898">
        <f>BR94-BR95</f>
        <v>292.80885869565213</v>
      </c>
      <c r="BS96" s="899">
        <f>BS94-BS95</f>
        <v>305.5395501506672</v>
      </c>
      <c r="BT96" s="899">
        <f>BT94-BT95</f>
        <v>299.74989692846839</v>
      </c>
      <c r="BU96" s="900">
        <f>BU94-BU95</f>
        <v>303.28397687609066</v>
      </c>
      <c r="BV96" s="615">
        <f t="shared" si="110"/>
        <v>300.34557066271958</v>
      </c>
      <c r="BW96" s="898">
        <f>BW94-BW95</f>
        <v>331.92070828331327</v>
      </c>
      <c r="BX96" s="899">
        <f>BX94-BX95</f>
        <v>309.11243993010044</v>
      </c>
      <c r="BY96" s="899">
        <f>BY94-BY95</f>
        <v>291.82922297297296</v>
      </c>
      <c r="BZ96" s="900">
        <f>BZ94-BZ95</f>
        <v>314.6572717760921</v>
      </c>
      <c r="CA96" s="615">
        <f t="shared" si="112"/>
        <v>311.87991074061972</v>
      </c>
      <c r="CB96" s="898">
        <f>CB94-CB95</f>
        <v>267.0705245968565</v>
      </c>
      <c r="CC96" s="899">
        <f>CC94-CC95</f>
        <v>237.26062573789849</v>
      </c>
      <c r="CD96" s="899">
        <f>CD94-CD95</f>
        <v>256.46192609182526</v>
      </c>
      <c r="CE96" s="900">
        <f>CE94-CE95</f>
        <v>290.90284090909091</v>
      </c>
      <c r="CF96" s="615">
        <f t="shared" si="114"/>
        <v>262.92397933391777</v>
      </c>
      <c r="CG96" s="898">
        <f>CG94-CG95</f>
        <v>217.05102880658433</v>
      </c>
      <c r="CH96" s="899">
        <f>CH94-CH95</f>
        <v>233.83171717171717</v>
      </c>
      <c r="CI96" s="899">
        <f>CI94-CI95</f>
        <v>258.93316304810554</v>
      </c>
      <c r="CJ96" s="900">
        <f>CJ94-CJ95</f>
        <v>264.00172823503999</v>
      </c>
      <c r="CK96" s="615">
        <f t="shared" si="116"/>
        <v>243.45440931536177</v>
      </c>
      <c r="CL96" s="898">
        <f>CL94-CL95</f>
        <v>247.75219298245617</v>
      </c>
      <c r="CM96" s="899">
        <f t="shared" ref="CM96:CO96" si="133">CM98+CM97</f>
        <v>287.96333798515315</v>
      </c>
      <c r="CN96" s="899">
        <f t="shared" si="133"/>
        <v>295</v>
      </c>
      <c r="CO96" s="900">
        <f t="shared" si="133"/>
        <v>295</v>
      </c>
      <c r="CP96" s="615">
        <f t="shared" si="117"/>
        <v>281.42888274190233</v>
      </c>
      <c r="CQ96" s="898">
        <f t="shared" ref="CQ96:CT96" si="134">CQ98+CQ97</f>
        <v>295</v>
      </c>
      <c r="CR96" s="899">
        <f t="shared" si="134"/>
        <v>295</v>
      </c>
      <c r="CS96" s="899">
        <f t="shared" si="134"/>
        <v>295</v>
      </c>
      <c r="CT96" s="900">
        <f t="shared" si="134"/>
        <v>295</v>
      </c>
      <c r="CU96" s="615">
        <f t="shared" si="118"/>
        <v>295</v>
      </c>
      <c r="CV96" s="898">
        <f t="shared" ref="CV96:CY96" si="135">CV98+CV97</f>
        <v>260</v>
      </c>
      <c r="CW96" s="899">
        <f t="shared" si="135"/>
        <v>260</v>
      </c>
      <c r="CX96" s="899">
        <f t="shared" si="135"/>
        <v>260</v>
      </c>
      <c r="CY96" s="900">
        <f t="shared" si="135"/>
        <v>260</v>
      </c>
      <c r="CZ96" s="615">
        <f t="shared" si="119"/>
        <v>260</v>
      </c>
    </row>
    <row r="97" spans="1:104" ht="13.5" customHeight="1">
      <c r="A97" s="819"/>
      <c r="B97" s="66"/>
      <c r="C97" s="798" t="s">
        <v>660</v>
      </c>
      <c r="D97" s="66"/>
      <c r="E97" s="66"/>
      <c r="F97" s="66"/>
      <c r="G97" s="66"/>
      <c r="H97" s="201"/>
      <c r="I97" s="201"/>
      <c r="J97" s="615"/>
      <c r="K97" s="615"/>
      <c r="L97" s="615"/>
      <c r="M97" s="615"/>
      <c r="N97" s="615"/>
      <c r="O97" s="615"/>
      <c r="P97" s="615"/>
      <c r="Q97" s="615"/>
      <c r="R97" s="615"/>
      <c r="S97" s="615"/>
      <c r="T97" s="615"/>
      <c r="U97" s="615"/>
      <c r="V97" s="615"/>
      <c r="W97" s="615"/>
      <c r="X97" s="615"/>
      <c r="Y97" s="615"/>
      <c r="Z97" s="615"/>
      <c r="AA97" s="615"/>
      <c r="AB97" s="615"/>
      <c r="AC97" s="615"/>
      <c r="AD97" s="615"/>
      <c r="AE97" s="615"/>
      <c r="AF97" s="615"/>
      <c r="AG97" s="615"/>
      <c r="AH97" s="615"/>
      <c r="AI97" s="615"/>
      <c r="AJ97" s="615"/>
      <c r="AK97" s="615"/>
      <c r="AL97" s="615"/>
      <c r="AM97" s="615"/>
      <c r="AN97" s="615"/>
      <c r="AO97" s="615"/>
      <c r="AP97" s="615"/>
      <c r="AQ97" s="615"/>
      <c r="AR97" s="615"/>
      <c r="AS97" s="898"/>
      <c r="AT97" s="899"/>
      <c r="AU97" s="899"/>
      <c r="AV97" s="900"/>
      <c r="AW97" s="615"/>
      <c r="AX97" s="898"/>
      <c r="AY97" s="899"/>
      <c r="AZ97" s="899"/>
      <c r="BA97" s="900"/>
      <c r="BB97" s="615"/>
      <c r="BC97" s="898">
        <f>+BC96-BC98</f>
        <v>23.825413254017661</v>
      </c>
      <c r="BD97" s="899">
        <f t="shared" ref="BD97:BF97" si="136">+BD96-BD98</f>
        <v>-32.508593717167855</v>
      </c>
      <c r="BE97" s="899">
        <f t="shared" si="136"/>
        <v>-2.7624470001567829</v>
      </c>
      <c r="BF97" s="900">
        <f t="shared" si="136"/>
        <v>-11.952926680164865</v>
      </c>
      <c r="BG97" s="615">
        <f t="shared" si="104"/>
        <v>-5.8496385358679603</v>
      </c>
      <c r="BH97" s="898">
        <f>+BH96-BH98</f>
        <v>16.233086429208583</v>
      </c>
      <c r="BI97" s="899">
        <f t="shared" ref="BI97" si="137">+BI96-BI98</f>
        <v>5.2312681050452738</v>
      </c>
      <c r="BJ97" s="899">
        <f t="shared" ref="BJ97" si="138">+BJ96-BJ98</f>
        <v>25.466409010702648</v>
      </c>
      <c r="BK97" s="900">
        <f t="shared" ref="BK97" si="139">+BK96-BK98</f>
        <v>-12.856243723244745</v>
      </c>
      <c r="BL97" s="615">
        <f t="shared" si="106"/>
        <v>8.5186299554279401</v>
      </c>
      <c r="BM97" s="898">
        <f>+BM96-BM98</f>
        <v>2.2946698549093867</v>
      </c>
      <c r="BN97" s="899">
        <f t="shared" ref="BN97" si="140">+BN96-BN98</f>
        <v>1.0753592232975393</v>
      </c>
      <c r="BO97" s="899">
        <f t="shared" ref="BO97" si="141">+BO96-BO98</f>
        <v>4.2720547072918862</v>
      </c>
      <c r="BP97" s="900">
        <f t="shared" ref="BP97" si="142">+BP96-BP98</f>
        <v>1.2525022172207514</v>
      </c>
      <c r="BQ97" s="615">
        <f t="shared" si="108"/>
        <v>2.2236465006798909</v>
      </c>
      <c r="BR97" s="898">
        <f>+BR96-BR98</f>
        <v>4.0774517614269712</v>
      </c>
      <c r="BS97" s="899">
        <f t="shared" ref="BS97" si="143">+BS96-BS98</f>
        <v>9.5562630870641101</v>
      </c>
      <c r="BT97" s="899">
        <f t="shared" ref="BT97" si="144">+BT96-BT98</f>
        <v>-5.8136879665006518</v>
      </c>
      <c r="BU97" s="900">
        <f t="shared" ref="BU97" si="145">+BU96-BU98</f>
        <v>-6.717384783026489</v>
      </c>
      <c r="BV97" s="615">
        <f t="shared" si="110"/>
        <v>0.27566052474098512</v>
      </c>
      <c r="BW97" s="898">
        <f>+BW96-BW98</f>
        <v>16.208334921678102</v>
      </c>
      <c r="BX97" s="899">
        <f t="shared" ref="BX97" si="146">+BX96-BX98</f>
        <v>2.2538600781596756</v>
      </c>
      <c r="BY97" s="899">
        <f t="shared" ref="BY97" si="147">+BY96-BY98</f>
        <v>-13.3688039173839</v>
      </c>
      <c r="BZ97" s="900">
        <f t="shared" ref="BZ97" si="148">+BZ96-BZ98</f>
        <v>10.266528357979723</v>
      </c>
      <c r="CA97" s="615">
        <f t="shared" si="112"/>
        <v>3.8399798601084001</v>
      </c>
      <c r="CB97" s="898">
        <f>+CB96-CB98</f>
        <v>-3.7643979308029429E-2</v>
      </c>
      <c r="CC97" s="899">
        <f t="shared" ref="CC97" si="149">+CC96-CC98</f>
        <v>-27.644815961886962</v>
      </c>
      <c r="CD97" s="899">
        <f t="shared" ref="CD97" si="150">+CD96-CD98</f>
        <v>-16.419353792010384</v>
      </c>
      <c r="CE97" s="900">
        <f t="shared" ref="CE97" si="151">+CE96-CE98</f>
        <v>23.885308194034451</v>
      </c>
      <c r="CF97" s="615">
        <f t="shared" si="114"/>
        <v>-5.0541263847927311</v>
      </c>
      <c r="CG97" s="898">
        <f>+CG96-CG98</f>
        <v>-59.66778512673028</v>
      </c>
      <c r="CH97" s="899">
        <f t="shared" ref="CH97" si="152">+CH96-CH98</f>
        <v>-0.44122057613162724</v>
      </c>
      <c r="CI97" s="899">
        <f t="shared" ref="CI97:CJ97" si="153">+CI96-CI98</f>
        <v>6.1623473965710787</v>
      </c>
      <c r="CJ97" s="900">
        <f t="shared" si="153"/>
        <v>-6.2274580239431998E-2</v>
      </c>
      <c r="CK97" s="615">
        <f t="shared" si="116"/>
        <v>-13.502233221632565</v>
      </c>
      <c r="CL97" s="898">
        <f>+CL96-CL98</f>
        <v>-13.582701134205934</v>
      </c>
      <c r="CM97" s="1046">
        <v>8</v>
      </c>
      <c r="CN97" s="1046">
        <f t="shared" ref="CN97:CO97" si="154">IF(CN98&lt;295,0,295-CN98)</f>
        <v>-24.774126965938706</v>
      </c>
      <c r="CO97" s="1027">
        <f t="shared" si="154"/>
        <v>-21.534102813348454</v>
      </c>
      <c r="CP97" s="615">
        <f t="shared" si="117"/>
        <v>-12.972732728373273</v>
      </c>
      <c r="CQ97" s="1045">
        <f>IF(CQ98&lt;295,0,295-CQ98)</f>
        <v>-11.317473435722206</v>
      </c>
      <c r="CR97" s="1046">
        <f t="shared" ref="CR97:CT97" si="155">IF(CR98&lt;295,0,295-CR98)</f>
        <v>-18.5505547244735</v>
      </c>
      <c r="CS97" s="1046">
        <f t="shared" si="155"/>
        <v>-21.885207427617786</v>
      </c>
      <c r="CT97" s="1027">
        <f t="shared" si="155"/>
        <v>-10.529211593868752</v>
      </c>
      <c r="CU97" s="615">
        <f t="shared" si="118"/>
        <v>-15.570611795420561</v>
      </c>
      <c r="CV97" s="1045">
        <f>IF(CV98&lt;260,0,260-CV98)</f>
        <v>-19.050183251739838</v>
      </c>
      <c r="CW97" s="1046">
        <f t="shared" ref="CW97:CY97" si="156">IF(CW98&lt;260,0,260-CW98)</f>
        <v>-13.16288925354479</v>
      </c>
      <c r="CX97" s="1046">
        <f t="shared" si="156"/>
        <v>-16.095923830949403</v>
      </c>
      <c r="CY97" s="1027">
        <f t="shared" si="156"/>
        <v>-11.646270247838743</v>
      </c>
      <c r="CZ97" s="615">
        <f t="shared" si="119"/>
        <v>-14.988816646018194</v>
      </c>
    </row>
    <row r="98" spans="1:104" ht="13.5" customHeight="1">
      <c r="A98" s="820"/>
      <c r="B98" s="66"/>
      <c r="C98" s="798" t="s">
        <v>661</v>
      </c>
      <c r="D98" s="66"/>
      <c r="E98" s="66"/>
      <c r="F98" s="66"/>
      <c r="G98" s="66"/>
      <c r="H98" s="66"/>
      <c r="I98" s="66"/>
      <c r="J98" s="66"/>
      <c r="K98" s="66"/>
      <c r="L98" s="66"/>
      <c r="M98" s="66"/>
      <c r="N98" s="66"/>
      <c r="O98" s="66"/>
      <c r="P98" s="66"/>
      <c r="Q98" s="66"/>
      <c r="R98" s="66"/>
      <c r="S98" s="66"/>
      <c r="T98" s="66"/>
      <c r="U98" s="66"/>
      <c r="V98" s="102"/>
      <c r="W98" s="66"/>
      <c r="X98" s="66"/>
      <c r="Y98" s="66"/>
      <c r="Z98" s="102"/>
      <c r="AA98" s="102"/>
      <c r="AB98" s="66"/>
      <c r="AC98" s="66"/>
      <c r="AD98" s="66"/>
      <c r="AE98" s="66"/>
      <c r="AF98" s="66"/>
      <c r="AG98" s="66"/>
      <c r="AH98" s="66"/>
      <c r="AI98" s="66"/>
      <c r="AJ98" s="204"/>
      <c r="AK98" s="66"/>
      <c r="AL98" s="66"/>
      <c r="AM98" s="66"/>
      <c r="AN98" s="66"/>
      <c r="AO98" s="66"/>
      <c r="AP98" s="66"/>
      <c r="AQ98" s="66"/>
      <c r="AR98" s="66"/>
      <c r="AS98" s="859"/>
      <c r="AT98" s="20"/>
      <c r="AU98" s="20"/>
      <c r="AV98" s="860"/>
      <c r="AW98" s="66"/>
      <c r="AX98" s="859"/>
      <c r="AY98" s="20"/>
      <c r="AZ98" s="20"/>
      <c r="BA98" s="860"/>
      <c r="BB98" s="66"/>
      <c r="BC98" s="898">
        <f>BA96*0.713+BC94*0.218-115*(BC38/BA38-1)</f>
        <v>249.32307022266858</v>
      </c>
      <c r="BD98" s="899">
        <f>BC96*0.713+BD94*0.218-115*(BD38/BC38-1)</f>
        <v>301.69121958093888</v>
      </c>
      <c r="BE98" s="899">
        <f>BD96*0.713+BE94*0.218-115*(BE38/BD38-1)</f>
        <v>274.68257098680436</v>
      </c>
      <c r="BF98" s="900">
        <f>BE96*0.713+BF94*0.218-115*(BF38/BE38-1)</f>
        <v>275.1937301651601</v>
      </c>
      <c r="BG98" s="615">
        <f t="shared" ref="BG98" si="157">AVERAGE(BC98:BF98)</f>
        <v>275.22264773889299</v>
      </c>
      <c r="BH98" s="898">
        <f>BF96*0.713+BH94*0.218-115*(BH38/BF38-1)</f>
        <v>257.62159766665195</v>
      </c>
      <c r="BI98" s="899">
        <f>BH96*0.713+BI94*0.218-115*(BI38/BH38-1)</f>
        <v>282.58509512264629</v>
      </c>
      <c r="BJ98" s="899">
        <f>BI96*0.713+BJ94*0.218-115*(BJ38/BI38-1)</f>
        <v>294.11253835771839</v>
      </c>
      <c r="BK98" s="900">
        <f>BJ96*0.713+BK94*0.218-115*(BK38/BJ38-1)</f>
        <v>315.39033738983051</v>
      </c>
      <c r="BL98" s="615">
        <f t="shared" si="106"/>
        <v>287.4273921342118</v>
      </c>
      <c r="BM98" s="898">
        <f>BK96*0.713+BM94*0.218-115*(BM38/BK38-1)</f>
        <v>291.9574644321234</v>
      </c>
      <c r="BN98" s="899">
        <f>BM96*0.713+BN94*0.218-115*(BN38/BM38-1)</f>
        <v>291.73412837614092</v>
      </c>
      <c r="BO98" s="899">
        <f>BN96*0.713+BO94*0.218-115*(BO38/BN38-1)</f>
        <v>279.43090865477706</v>
      </c>
      <c r="BP98" s="900">
        <f>BO96*0.713+BP94*0.218-115*(BP38/BO38-1)</f>
        <v>290.24331718077258</v>
      </c>
      <c r="BQ98" s="615">
        <f t="shared" si="108"/>
        <v>288.34145466095345</v>
      </c>
      <c r="BR98" s="898">
        <f>BP96*0.713+BR94*0.218-115*(BR38/BP38-1)</f>
        <v>288.73140693422516</v>
      </c>
      <c r="BS98" s="899">
        <f>BR96*0.713+BS94*0.218-115*(BS38/BR38-1)</f>
        <v>295.98328706360309</v>
      </c>
      <c r="BT98" s="899">
        <f>BS96*0.713+BT94*0.218-115*(BT38/BS38-1)</f>
        <v>305.56358489496904</v>
      </c>
      <c r="BU98" s="900">
        <f>BT96*0.713+BU94*0.218-115*(BU38/BT38-1)</f>
        <v>310.00136165911715</v>
      </c>
      <c r="BV98" s="615">
        <f t="shared" si="110"/>
        <v>300.06991013797858</v>
      </c>
      <c r="BW98" s="898">
        <f>BU96*0.713+BW94*0.218-115*(BW38/BU38-1)</f>
        <v>315.71237336163517</v>
      </c>
      <c r="BX98" s="899">
        <f>BW96*0.713+BX94*0.218-115*(BX38/BW38-1)</f>
        <v>306.85857985194076</v>
      </c>
      <c r="BY98" s="899">
        <f>BX96*0.713+BY94*0.218-115*(BY38/BX38-1)</f>
        <v>305.19802689035686</v>
      </c>
      <c r="BZ98" s="900">
        <f>BY96*0.713+BZ94*0.218-115*(BZ38/BY38-1)</f>
        <v>304.39074341811238</v>
      </c>
      <c r="CA98" s="615">
        <f t="shared" si="112"/>
        <v>308.03993088051129</v>
      </c>
      <c r="CB98" s="898">
        <f>BZ96*0.713+CB94*0.218-115*(CB38/BZ38-1)</f>
        <v>267.10816857616453</v>
      </c>
      <c r="CC98" s="899">
        <f>CB96*0.713+CC94*0.218-115*(CC38/CB38-1)</f>
        <v>264.90544169978546</v>
      </c>
      <c r="CD98" s="899">
        <f>CC96*0.713+CD94*0.218-115*(CD38/CC38-1)</f>
        <v>272.88127988383565</v>
      </c>
      <c r="CE98" s="900">
        <f>CD96*0.713+CE94*0.218-115*(CE38/CD38-1)</f>
        <v>267.01753271505646</v>
      </c>
      <c r="CF98" s="615">
        <f t="shared" si="114"/>
        <v>267.97810571871054</v>
      </c>
      <c r="CG98" s="898">
        <f>CE96*0.713+CG94*0.218-115*(CG38/CE38-1)</f>
        <v>276.71881393331461</v>
      </c>
      <c r="CH98" s="899">
        <f>CG96*0.713+CH94*0.218-115*(CH38/CG38-1)</f>
        <v>234.2729377478488</v>
      </c>
      <c r="CI98" s="899">
        <f>CH96*0.713+CI94*0.218-115*(CI38/CH38-1)</f>
        <v>252.77081565153446</v>
      </c>
      <c r="CJ98" s="900">
        <f>CI96*0.713+CJ94*0.218-115*(CJ38/CI38-1)</f>
        <v>264.06400281527942</v>
      </c>
      <c r="CK98" s="615">
        <f t="shared" si="116"/>
        <v>256.95664253699431</v>
      </c>
      <c r="CL98" s="898">
        <f>CJ96*0.713+CL94*0.218-115*(CL38/CJ38-1)</f>
        <v>261.3348941166621</v>
      </c>
      <c r="CM98" s="899">
        <f>CL96*0.713+CM94*0.218-115*(CM38/CL38-1)</f>
        <v>279.96333798515315</v>
      </c>
      <c r="CN98" s="899">
        <f>CM96*0.713+CN94*0.218-115*(CN38/CM38-1)</f>
        <v>319.77412696593871</v>
      </c>
      <c r="CO98" s="900">
        <f>CN96*0.713+CO94*0.218-115*(CO38/CN38-1)</f>
        <v>316.53410281334845</v>
      </c>
      <c r="CP98" s="615">
        <f t="shared" ref="CP98" si="158">AVERAGE(CL98:CO98)</f>
        <v>294.4016154702756</v>
      </c>
      <c r="CQ98" s="898">
        <f>CO96*0.713+CQ94*0.218-115*(CQ38/CO38-1)</f>
        <v>306.31747343572221</v>
      </c>
      <c r="CR98" s="899">
        <f>CQ96*0.713+CR94*0.218-115*(CR38/CQ38-1)</f>
        <v>313.5505547244735</v>
      </c>
      <c r="CS98" s="899">
        <f>CR96*0.713+CS94*0.218-115*(CS38/CR38-1)</f>
        <v>316.88520742761779</v>
      </c>
      <c r="CT98" s="900">
        <f>CS96*0.713+CT94*0.218-115*(CT38/CS38-1)</f>
        <v>305.52921159386875</v>
      </c>
      <c r="CU98" s="615">
        <f t="shared" ref="CU98" si="159">AVERAGE(CQ98:CT98)</f>
        <v>310.57061179542058</v>
      </c>
      <c r="CV98" s="898">
        <f>CT96*0.713+CV94*0.218-115*(CV38/CT38-1)</f>
        <v>279.05018325173984</v>
      </c>
      <c r="CW98" s="899">
        <f>CV96*0.713+CW94*0.218-115*(CW38/CV38-1)</f>
        <v>273.16288925354479</v>
      </c>
      <c r="CX98" s="899">
        <f>CW96*0.713+CX94*0.218-115*(CX38/CW38-1)</f>
        <v>276.0959238309494</v>
      </c>
      <c r="CY98" s="900">
        <f>CX96*0.713+CY94*0.218-115*(CY38/CX38-1)</f>
        <v>271.64627024783874</v>
      </c>
      <c r="CZ98" s="615">
        <f t="shared" ref="CZ98" si="160">AVERAGE(CV98:CY98)</f>
        <v>274.98881664601822</v>
      </c>
    </row>
    <row r="99" spans="1:104" ht="6.2" customHeight="1">
      <c r="A99" s="820"/>
      <c r="B99" s="66"/>
      <c r="C99" s="798"/>
      <c r="D99" s="66"/>
      <c r="E99" s="66"/>
      <c r="F99" s="66"/>
      <c r="G99" s="66"/>
      <c r="H99" s="66"/>
      <c r="I99" s="66"/>
      <c r="J99" s="66"/>
      <c r="K99" s="66"/>
      <c r="L99" s="66"/>
      <c r="M99" s="66"/>
      <c r="N99" s="66"/>
      <c r="O99" s="66"/>
      <c r="P99" s="66"/>
      <c r="Q99" s="66"/>
      <c r="R99" s="66"/>
      <c r="S99" s="66"/>
      <c r="T99" s="66"/>
      <c r="U99" s="66"/>
      <c r="V99" s="102"/>
      <c r="W99" s="66"/>
      <c r="X99" s="66"/>
      <c r="Y99" s="66"/>
      <c r="Z99" s="102"/>
      <c r="AA99" s="102"/>
      <c r="AB99" s="66"/>
      <c r="AC99" s="66"/>
      <c r="AD99" s="66"/>
      <c r="AE99" s="66"/>
      <c r="AF99" s="66"/>
      <c r="AG99" s="66"/>
      <c r="AH99" s="66"/>
      <c r="AI99" s="66"/>
      <c r="AJ99" s="204"/>
      <c r="AK99" s="66"/>
      <c r="AL99" s="66"/>
      <c r="AM99" s="66"/>
      <c r="AN99" s="66"/>
      <c r="AO99" s="66"/>
      <c r="AP99" s="66"/>
      <c r="AQ99" s="66"/>
      <c r="AR99" s="66"/>
      <c r="AS99" s="859"/>
      <c r="AT99" s="20"/>
      <c r="AU99" s="20"/>
      <c r="AV99" s="860"/>
      <c r="AW99" s="66"/>
      <c r="AX99" s="859"/>
      <c r="AY99" s="20"/>
      <c r="AZ99" s="20"/>
      <c r="BA99" s="860"/>
      <c r="BB99" s="66"/>
      <c r="BC99" s="859"/>
      <c r="BD99" s="20"/>
      <c r="BE99" s="20"/>
      <c r="BF99" s="860"/>
      <c r="BG99" s="66"/>
      <c r="BH99" s="859"/>
      <c r="BI99" s="20"/>
      <c r="BJ99" s="20"/>
      <c r="BK99" s="860"/>
      <c r="BL99" s="66"/>
      <c r="BM99" s="859"/>
      <c r="BN99" s="20"/>
      <c r="BO99" s="20"/>
      <c r="BP99" s="860"/>
      <c r="BQ99" s="66"/>
      <c r="BR99" s="859"/>
      <c r="BS99" s="20"/>
      <c r="BT99" s="20"/>
      <c r="BU99" s="860"/>
      <c r="BV99" s="66"/>
      <c r="BW99" s="859"/>
      <c r="BX99" s="20"/>
      <c r="BY99" s="20"/>
      <c r="BZ99" s="860"/>
      <c r="CA99" s="66"/>
      <c r="CB99" s="859"/>
      <c r="CC99" s="20"/>
      <c r="CD99" s="20"/>
      <c r="CE99" s="944"/>
      <c r="CF99" s="453"/>
      <c r="CG99" s="981"/>
      <c r="CH99" s="495"/>
      <c r="CI99" s="20"/>
      <c r="CJ99" s="944"/>
      <c r="CK99" s="453"/>
      <c r="CL99" s="859"/>
      <c r="CM99" s="20"/>
      <c r="CN99" s="20"/>
      <c r="CO99" s="860"/>
      <c r="CP99" s="66"/>
      <c r="CQ99" s="859"/>
      <c r="CR99" s="20"/>
      <c r="CS99" s="20"/>
      <c r="CT99" s="860"/>
      <c r="CU99" s="66"/>
      <c r="CV99" s="859"/>
      <c r="CW99" s="20"/>
      <c r="CX99" s="20"/>
      <c r="CY99" s="860"/>
      <c r="CZ99" s="66"/>
    </row>
    <row r="100" spans="1:104" ht="13.5" customHeight="1">
      <c r="A100" s="824"/>
      <c r="B100" s="79" t="s">
        <v>670</v>
      </c>
      <c r="C100" s="205"/>
      <c r="D100" s="205"/>
      <c r="E100" s="205"/>
      <c r="F100" s="205"/>
      <c r="G100" s="205"/>
      <c r="H100" s="501">
        <v>562.41610000000003</v>
      </c>
      <c r="I100" s="501">
        <v>207.35815299999999</v>
      </c>
      <c r="J100" s="612">
        <v>78.276939999999996</v>
      </c>
      <c r="K100" s="612">
        <v>103.519656</v>
      </c>
      <c r="L100" s="612">
        <v>285.668384</v>
      </c>
      <c r="M100" s="612">
        <v>-65.644731999999976</v>
      </c>
      <c r="N100" s="206">
        <f>SUM(J100:M100)</f>
        <v>401.82024799999999</v>
      </c>
      <c r="O100" s="501">
        <v>54.568451000000003</v>
      </c>
      <c r="P100" s="501">
        <f>47.817481+7.2</f>
        <v>55.017481000000004</v>
      </c>
      <c r="Q100" s="501">
        <v>54.420943999999999</v>
      </c>
      <c r="R100" s="206">
        <f>S100-O100-P100-Q100</f>
        <v>45.393123999999993</v>
      </c>
      <c r="S100" s="501">
        <v>209.4</v>
      </c>
      <c r="T100" s="501">
        <v>235.267</v>
      </c>
      <c r="U100" s="501">
        <v>532.74800000000005</v>
      </c>
      <c r="V100" s="501">
        <v>795.43399999999997</v>
      </c>
      <c r="W100" s="206">
        <f>X100-T100-U100-V100</f>
        <v>627.88599999999997</v>
      </c>
      <c r="X100" s="501">
        <v>2191.335</v>
      </c>
      <c r="Y100" s="501">
        <v>658.13499999999999</v>
      </c>
      <c r="Z100" s="501">
        <v>524.23900000000003</v>
      </c>
      <c r="AA100" s="501">
        <v>488.892</v>
      </c>
      <c r="AB100" s="206">
        <f>AC100-Y100-Z100-AA100</f>
        <v>536.35500000000002</v>
      </c>
      <c r="AC100" s="501">
        <v>2207.6210000000001</v>
      </c>
      <c r="AD100" s="501">
        <v>731.43799999999999</v>
      </c>
      <c r="AE100" s="501">
        <v>836.91300000000001</v>
      </c>
      <c r="AF100" s="501">
        <v>905.59500000000003</v>
      </c>
      <c r="AG100" s="206">
        <f>AH100-SUM(AD100:AF100)</f>
        <v>720.71399999999994</v>
      </c>
      <c r="AH100" s="501">
        <v>3194.66</v>
      </c>
      <c r="AI100" s="501">
        <v>735.32899999999995</v>
      </c>
      <c r="AJ100" s="501">
        <f>667.465</f>
        <v>667.46500000000003</v>
      </c>
      <c r="AK100" s="501">
        <v>744.51</v>
      </c>
      <c r="AL100" s="206">
        <f>AM100-SUM(AI100:AK100)</f>
        <v>706.84799999999996</v>
      </c>
      <c r="AM100" s="501">
        <v>2854.152</v>
      </c>
      <c r="AN100" s="501">
        <v>799.28399999999999</v>
      </c>
      <c r="AO100" s="501">
        <v>1040.5820000000001</v>
      </c>
      <c r="AP100" s="501">
        <v>1223.0350000000001</v>
      </c>
      <c r="AQ100" s="206">
        <f>AR100-SUM(AN100:AP100)</f>
        <v>541.88000000000011</v>
      </c>
      <c r="AR100" s="501">
        <v>3604.7809999999999</v>
      </c>
      <c r="AS100" s="901">
        <v>-223.875</v>
      </c>
      <c r="AT100" s="902">
        <v>-205.42599999999999</v>
      </c>
      <c r="AU100" s="902">
        <v>-55.914000000000001</v>
      </c>
      <c r="AV100" s="903">
        <f>AW100-SUM(AS100:AU100)</f>
        <v>134.84299999999996</v>
      </c>
      <c r="AW100" s="501">
        <v>-350.37200000000001</v>
      </c>
      <c r="AX100" s="901">
        <v>158.5</v>
      </c>
      <c r="AY100" s="902">
        <v>262.14699999999999</v>
      </c>
      <c r="AZ100" s="902">
        <v>231.803</v>
      </c>
      <c r="BA100" s="903">
        <f>BB100-SUM(AX100:AZ100)</f>
        <v>126.49599999999998</v>
      </c>
      <c r="BB100" s="501">
        <v>778.94600000000003</v>
      </c>
      <c r="BC100" s="901">
        <v>312.57799999999997</v>
      </c>
      <c r="BD100" s="902">
        <v>626.84</v>
      </c>
      <c r="BE100" s="902">
        <v>436.19600000000003</v>
      </c>
      <c r="BF100" s="903">
        <f>BG100-SUM(BC100:BE100)</f>
        <v>328.31899999999996</v>
      </c>
      <c r="BG100" s="502">
        <v>1703.933</v>
      </c>
      <c r="BH100" s="901">
        <v>390.29199999999997</v>
      </c>
      <c r="BI100" s="902">
        <v>336.096</v>
      </c>
      <c r="BJ100" s="989">
        <v>217.43</v>
      </c>
      <c r="BK100" s="903">
        <f>BL100-SUM(BH100:BJ100)</f>
        <v>217.63100000000009</v>
      </c>
      <c r="BL100" s="502">
        <v>1161.4490000000001</v>
      </c>
      <c r="BM100" s="995">
        <v>272.25799999999998</v>
      </c>
      <c r="BN100" s="989">
        <v>237.102</v>
      </c>
      <c r="BO100" s="989">
        <v>310.59100000000001</v>
      </c>
      <c r="BP100" s="903">
        <f>BQ100-SUM(BM100:BO100)</f>
        <v>336.7639999999999</v>
      </c>
      <c r="BQ100" s="502">
        <v>1156.7149999999999</v>
      </c>
      <c r="BR100" s="995">
        <f>317.797+9</f>
        <v>326.79700000000003</v>
      </c>
      <c r="BS100" s="989">
        <v>368.13799999999998</v>
      </c>
      <c r="BT100" s="989">
        <f>502.703+12.5</f>
        <v>515.20299999999997</v>
      </c>
      <c r="BU100" s="1002">
        <f>BV100-SUM(BR100:BT100)</f>
        <v>405.71400000000017</v>
      </c>
      <c r="BV100" s="502">
        <f>1594.352+9+12.5</f>
        <v>1615.8520000000001</v>
      </c>
      <c r="BW100" s="901">
        <v>217.12799999999999</v>
      </c>
      <c r="BX100" s="989">
        <v>198.5</v>
      </c>
      <c r="BY100" s="989">
        <v>260.77600000000001</v>
      </c>
      <c r="BZ100" s="1011">
        <f>CA100-SUM(BW100:BY100)+153</f>
        <v>105.85199999999998</v>
      </c>
      <c r="CA100" s="501">
        <v>629.25599999999997</v>
      </c>
      <c r="CB100" s="901">
        <v>279.83499999999998</v>
      </c>
      <c r="CC100" s="989">
        <v>530.72699999999998</v>
      </c>
      <c r="CD100" s="989">
        <v>593.149</v>
      </c>
      <c r="CE100" s="1015">
        <f>CF100-SUM(CB100:CD100)-77.6+42</f>
        <v>284.85700000000008</v>
      </c>
      <c r="CF100" s="501">
        <v>1724.1679999999999</v>
      </c>
      <c r="CG100" s="901">
        <v>644.18299999999999</v>
      </c>
      <c r="CH100" s="1318">
        <f>617.366-35</f>
        <v>582.36599999999999</v>
      </c>
      <c r="CI100" s="1318">
        <f>432.718-35</f>
        <v>397.71800000000002</v>
      </c>
      <c r="CJ100" s="1319">
        <f>349.958-35</f>
        <v>314.95800000000003</v>
      </c>
      <c r="CK100" s="206">
        <f>SUM(CG100:CJ100)</f>
        <v>1939.2250000000001</v>
      </c>
      <c r="CL100" s="901">
        <v>560.50300000000004</v>
      </c>
      <c r="CM100" s="161">
        <f t="shared" ref="CM100:CO100" si="161">+CM102-CM101</f>
        <v>855.35708076946685</v>
      </c>
      <c r="CN100" s="161">
        <f t="shared" si="161"/>
        <v>872.38394412425293</v>
      </c>
      <c r="CO100" s="903">
        <f t="shared" si="161"/>
        <v>770.06594277596537</v>
      </c>
      <c r="CP100" s="206">
        <f>SUM(CL100:CO100)</f>
        <v>3058.3099676696856</v>
      </c>
      <c r="CQ100" s="1047">
        <f t="shared" ref="CQ100:CT100" si="162">+CQ102-CQ101</f>
        <v>864.66838944267704</v>
      </c>
      <c r="CR100" s="161">
        <f t="shared" si="162"/>
        <v>834.43614623612746</v>
      </c>
      <c r="CS100" s="161">
        <f t="shared" si="162"/>
        <v>713.13178695121337</v>
      </c>
      <c r="CT100" s="903">
        <f t="shared" si="162"/>
        <v>543.36477513240197</v>
      </c>
      <c r="CU100" s="206">
        <f>SUM(CQ100:CT100)</f>
        <v>2955.6010977624196</v>
      </c>
      <c r="CV100" s="1047">
        <f t="shared" ref="CV100:CY100" si="163">+CV102-CV101</f>
        <v>668.93456797699378</v>
      </c>
      <c r="CW100" s="161">
        <f t="shared" si="163"/>
        <v>703.55547930920375</v>
      </c>
      <c r="CX100" s="161">
        <f t="shared" si="163"/>
        <v>589.82848108867552</v>
      </c>
      <c r="CY100" s="903">
        <f t="shared" si="163"/>
        <v>571.46430022713366</v>
      </c>
      <c r="CZ100" s="206">
        <f>SUM(CV100:CY100)</f>
        <v>2533.7828286020067</v>
      </c>
    </row>
    <row r="101" spans="1:104" ht="13.5" customHeight="1">
      <c r="A101" s="819"/>
      <c r="B101" s="79"/>
      <c r="C101" s="66" t="s">
        <v>579</v>
      </c>
      <c r="D101" s="66"/>
      <c r="E101" s="66"/>
      <c r="F101" s="66"/>
      <c r="G101" s="66"/>
      <c r="H101" s="500">
        <v>248.13976400000001</v>
      </c>
      <c r="I101" s="500">
        <v>274.01554099999998</v>
      </c>
      <c r="J101" s="616">
        <f>K101</f>
        <v>72.219814249999999</v>
      </c>
      <c r="K101" s="616">
        <f>L101</f>
        <v>72.219814249999999</v>
      </c>
      <c r="L101" s="616">
        <f>M101</f>
        <v>72.219814249999999</v>
      </c>
      <c r="M101" s="616">
        <f>N101/4</f>
        <v>72.219814249999999</v>
      </c>
      <c r="N101" s="500">
        <v>288.879257</v>
      </c>
      <c r="O101" s="616">
        <f>P101</f>
        <v>86.534000000000006</v>
      </c>
      <c r="P101" s="616">
        <f>Q101</f>
        <v>86.534000000000006</v>
      </c>
      <c r="Q101" s="616">
        <f>R101</f>
        <v>86.534000000000006</v>
      </c>
      <c r="R101" s="616">
        <f>S101/4</f>
        <v>86.534000000000006</v>
      </c>
      <c r="S101" s="500">
        <v>346.13600000000002</v>
      </c>
      <c r="T101" s="616">
        <f>U101</f>
        <v>91.505750000000006</v>
      </c>
      <c r="U101" s="616">
        <f>V101</f>
        <v>91.505750000000006</v>
      </c>
      <c r="V101" s="616">
        <f>W101</f>
        <v>91.505750000000006</v>
      </c>
      <c r="W101" s="616">
        <f>X101/4</f>
        <v>91.505750000000006</v>
      </c>
      <c r="X101" s="500">
        <v>366.02300000000002</v>
      </c>
      <c r="Y101" s="616">
        <f>AC101/4</f>
        <v>88.97175</v>
      </c>
      <c r="Z101" s="616">
        <f>AC101/4</f>
        <v>88.97175</v>
      </c>
      <c r="AA101" s="616">
        <f>AC101/4</f>
        <v>88.97175</v>
      </c>
      <c r="AB101" s="616">
        <f>AC101/4</f>
        <v>88.97175</v>
      </c>
      <c r="AC101" s="500">
        <v>355.887</v>
      </c>
      <c r="AD101" s="616">
        <f>AE101</f>
        <v>86.291250000000005</v>
      </c>
      <c r="AE101" s="616">
        <f>AF101</f>
        <v>86.291250000000005</v>
      </c>
      <c r="AF101" s="616">
        <f>AH101/4</f>
        <v>86.291250000000005</v>
      </c>
      <c r="AG101" s="616">
        <f>AH101/4</f>
        <v>86.291250000000005</v>
      </c>
      <c r="AH101" s="500">
        <v>345.16500000000002</v>
      </c>
      <c r="AI101" s="616">
        <f>AJ101</f>
        <v>88.447894525720358</v>
      </c>
      <c r="AJ101" s="616">
        <f>AK101</f>
        <v>88.447894525720358</v>
      </c>
      <c r="AK101" s="616">
        <f>AM101/4</f>
        <v>88.447894525720358</v>
      </c>
      <c r="AL101" s="616">
        <f>AM101/4</f>
        <v>88.447894525720358</v>
      </c>
      <c r="AM101" s="500">
        <v>353.79157810288143</v>
      </c>
      <c r="AN101" s="616">
        <f>AO101</f>
        <v>90.134999999999991</v>
      </c>
      <c r="AO101" s="616">
        <f>AP101</f>
        <v>90.134999999999991</v>
      </c>
      <c r="AP101" s="616">
        <f>AR101/4</f>
        <v>90.134999999999991</v>
      </c>
      <c r="AQ101" s="616">
        <f>AR101/4</f>
        <v>90.134999999999991</v>
      </c>
      <c r="AR101" s="500">
        <f>360.14+0.4</f>
        <v>360.53999999999996</v>
      </c>
      <c r="AS101" s="904">
        <f>AT101</f>
        <v>89.530499999999989</v>
      </c>
      <c r="AT101" s="905">
        <f>AU101</f>
        <v>89.530499999999989</v>
      </c>
      <c r="AU101" s="905">
        <f>AW101/4</f>
        <v>89.530499999999989</v>
      </c>
      <c r="AV101" s="906">
        <f>AW101/4</f>
        <v>89.530499999999989</v>
      </c>
      <c r="AW101" s="500">
        <f>357.722+0.4</f>
        <v>358.12199999999996</v>
      </c>
      <c r="AX101" s="904">
        <f>AY101</f>
        <v>92.68</v>
      </c>
      <c r="AY101" s="905">
        <f>AZ101</f>
        <v>92.68</v>
      </c>
      <c r="AZ101" s="905">
        <f>BB101/4</f>
        <v>92.68</v>
      </c>
      <c r="BA101" s="906">
        <f>BB101/4</f>
        <v>92.68</v>
      </c>
      <c r="BB101" s="500">
        <f>370.458+0.262</f>
        <v>370.72</v>
      </c>
      <c r="BC101" s="889">
        <f>BD101</f>
        <v>92.995999999999995</v>
      </c>
      <c r="BD101" s="550">
        <f>BE101</f>
        <v>92.995999999999995</v>
      </c>
      <c r="BE101" s="550">
        <f>BF101</f>
        <v>92.995999999999995</v>
      </c>
      <c r="BF101" s="970">
        <f>BG101/4</f>
        <v>92.995999999999995</v>
      </c>
      <c r="BG101" s="504">
        <v>371.98399999999998</v>
      </c>
      <c r="BH101" s="990">
        <f>BI101</f>
        <v>93.499000000000009</v>
      </c>
      <c r="BI101" s="577">
        <f>BJ101</f>
        <v>93.499000000000009</v>
      </c>
      <c r="BJ101" s="577">
        <f>BK101</f>
        <v>93.499000000000009</v>
      </c>
      <c r="BK101" s="890">
        <f>BL101/4</f>
        <v>93.499000000000009</v>
      </c>
      <c r="BL101" s="500">
        <f>366.117+7.879</f>
        <v>373.99600000000004</v>
      </c>
      <c r="BM101" s="990">
        <f>BN101</f>
        <v>86.542249999999996</v>
      </c>
      <c r="BN101" s="577">
        <f>BO101</f>
        <v>86.542249999999996</v>
      </c>
      <c r="BO101" s="577">
        <f>BP101</f>
        <v>86.542249999999996</v>
      </c>
      <c r="BP101" s="890">
        <f>BQ101/4</f>
        <v>86.542249999999996</v>
      </c>
      <c r="BQ101" s="504">
        <f>332.258+13.911</f>
        <v>346.16899999999998</v>
      </c>
      <c r="BR101" s="990">
        <f>BS101</f>
        <v>95.459249999999997</v>
      </c>
      <c r="BS101" s="577">
        <f>BT101</f>
        <v>95.459249999999997</v>
      </c>
      <c r="BT101" s="577">
        <f>BU101</f>
        <v>95.459249999999997</v>
      </c>
      <c r="BU101" s="890">
        <f>BV101/4</f>
        <v>95.459249999999997</v>
      </c>
      <c r="BV101" s="500">
        <f>366.568+15.269</f>
        <v>381.83699999999999</v>
      </c>
      <c r="BW101" s="990">
        <f>BX101</f>
        <v>100.03524999999999</v>
      </c>
      <c r="BX101" s="577">
        <f>BY101</f>
        <v>100.03524999999999</v>
      </c>
      <c r="BY101" s="577">
        <f>BZ101</f>
        <v>100.03524999999999</v>
      </c>
      <c r="BZ101" s="890">
        <f>CA101/4</f>
        <v>100.03524999999999</v>
      </c>
      <c r="CA101" s="500">
        <f>381.352+18.789</f>
        <v>400.14099999999996</v>
      </c>
      <c r="CB101" s="990">
        <f>CC101</f>
        <v>100.0265</v>
      </c>
      <c r="CC101" s="577">
        <f>CD101</f>
        <v>100.0265</v>
      </c>
      <c r="CD101" s="577">
        <f>CE101</f>
        <v>100.0265</v>
      </c>
      <c r="CE101" s="890">
        <f>CF101/4</f>
        <v>100.0265</v>
      </c>
      <c r="CF101" s="500">
        <f>377.627+22.479</f>
        <v>400.10599999999999</v>
      </c>
      <c r="CG101" s="990">
        <f>CH101</f>
        <v>114.03700000000001</v>
      </c>
      <c r="CH101" s="577">
        <f>CI101</f>
        <v>114.03700000000001</v>
      </c>
      <c r="CI101" s="577">
        <f>CJ101</f>
        <v>114.03700000000001</v>
      </c>
      <c r="CJ101" s="890">
        <f>CK101/4</f>
        <v>114.03700000000001</v>
      </c>
      <c r="CK101" s="500">
        <f>414.67+41.478</f>
        <v>456.14800000000002</v>
      </c>
      <c r="CL101" s="1028">
        <v>100</v>
      </c>
      <c r="CM101" s="797">
        <v>100</v>
      </c>
      <c r="CN101" s="797">
        <v>100</v>
      </c>
      <c r="CO101" s="1029">
        <v>100</v>
      </c>
      <c r="CP101" s="549">
        <f>SUM(CL101:CO101)</f>
        <v>400</v>
      </c>
      <c r="CQ101" s="1028">
        <v>100</v>
      </c>
      <c r="CR101" s="797">
        <v>100</v>
      </c>
      <c r="CS101" s="797">
        <v>100</v>
      </c>
      <c r="CT101" s="1029">
        <v>100</v>
      </c>
      <c r="CU101" s="549">
        <f>SUM(CQ101:CT101)</f>
        <v>400</v>
      </c>
      <c r="CV101" s="1028">
        <v>100</v>
      </c>
      <c r="CW101" s="797">
        <v>100</v>
      </c>
      <c r="CX101" s="797">
        <v>100</v>
      </c>
      <c r="CY101" s="1029">
        <v>100</v>
      </c>
      <c r="CZ101" s="549">
        <f>SUM(CV101:CY101)</f>
        <v>400</v>
      </c>
    </row>
    <row r="102" spans="1:104" ht="13.5" customHeight="1">
      <c r="A102" s="819"/>
      <c r="B102" s="79"/>
      <c r="C102" s="453" t="s">
        <v>62</v>
      </c>
      <c r="D102" s="66"/>
      <c r="E102" s="66"/>
      <c r="F102" s="66"/>
      <c r="G102" s="66"/>
      <c r="H102" s="616">
        <f t="shared" ref="H102:AM102" si="164">H100+H101</f>
        <v>810.55586400000004</v>
      </c>
      <c r="I102" s="616">
        <f t="shared" si="164"/>
        <v>481.373694</v>
      </c>
      <c r="J102" s="616">
        <f t="shared" si="164"/>
        <v>150.49675424999998</v>
      </c>
      <c r="K102" s="616">
        <f t="shared" si="164"/>
        <v>175.73947025000001</v>
      </c>
      <c r="L102" s="616">
        <f t="shared" si="164"/>
        <v>357.88819825000002</v>
      </c>
      <c r="M102" s="616">
        <f t="shared" si="164"/>
        <v>6.5750822500000226</v>
      </c>
      <c r="N102" s="616">
        <f t="shared" si="164"/>
        <v>690.69950500000004</v>
      </c>
      <c r="O102" s="616">
        <f t="shared" si="164"/>
        <v>141.102451</v>
      </c>
      <c r="P102" s="616">
        <f t="shared" si="164"/>
        <v>141.55148100000002</v>
      </c>
      <c r="Q102" s="616">
        <f t="shared" si="164"/>
        <v>140.95494400000001</v>
      </c>
      <c r="R102" s="616">
        <f t="shared" si="164"/>
        <v>131.92712399999999</v>
      </c>
      <c r="S102" s="549">
        <f t="shared" si="164"/>
        <v>555.53600000000006</v>
      </c>
      <c r="T102" s="616">
        <f t="shared" si="164"/>
        <v>326.77274999999997</v>
      </c>
      <c r="U102" s="616">
        <f t="shared" si="164"/>
        <v>624.25375000000008</v>
      </c>
      <c r="V102" s="616">
        <f t="shared" si="164"/>
        <v>886.93975</v>
      </c>
      <c r="W102" s="616">
        <f t="shared" si="164"/>
        <v>719.39175</v>
      </c>
      <c r="X102" s="549">
        <f t="shared" si="164"/>
        <v>2557.3580000000002</v>
      </c>
      <c r="Y102" s="616">
        <f t="shared" si="164"/>
        <v>747.10675000000003</v>
      </c>
      <c r="Z102" s="616">
        <f t="shared" si="164"/>
        <v>613.21075000000008</v>
      </c>
      <c r="AA102" s="616">
        <f t="shared" si="164"/>
        <v>577.86374999999998</v>
      </c>
      <c r="AB102" s="616">
        <f t="shared" si="164"/>
        <v>625.32675000000006</v>
      </c>
      <c r="AC102" s="549">
        <f t="shared" si="164"/>
        <v>2563.5080000000003</v>
      </c>
      <c r="AD102" s="616">
        <f t="shared" si="164"/>
        <v>817.72924999999998</v>
      </c>
      <c r="AE102" s="616">
        <f t="shared" si="164"/>
        <v>923.20425</v>
      </c>
      <c r="AF102" s="616">
        <f t="shared" si="164"/>
        <v>991.88625000000002</v>
      </c>
      <c r="AG102" s="616">
        <f t="shared" si="164"/>
        <v>807.00524999999993</v>
      </c>
      <c r="AH102" s="549">
        <f t="shared" si="164"/>
        <v>3539.8249999999998</v>
      </c>
      <c r="AI102" s="616">
        <f t="shared" si="164"/>
        <v>823.77689452572031</v>
      </c>
      <c r="AJ102" s="616">
        <f t="shared" si="164"/>
        <v>755.91289452572039</v>
      </c>
      <c r="AK102" s="616">
        <f t="shared" si="164"/>
        <v>832.95789452572035</v>
      </c>
      <c r="AL102" s="616">
        <f t="shared" si="164"/>
        <v>795.29589452572031</v>
      </c>
      <c r="AM102" s="549">
        <f t="shared" si="164"/>
        <v>3207.9435781028815</v>
      </c>
      <c r="AN102" s="616">
        <f t="shared" ref="AN102:BS102" si="165">AN100+AN101</f>
        <v>889.41899999999998</v>
      </c>
      <c r="AO102" s="616">
        <f t="shared" si="165"/>
        <v>1130.7170000000001</v>
      </c>
      <c r="AP102" s="616">
        <f t="shared" si="165"/>
        <v>1313.17</v>
      </c>
      <c r="AQ102" s="616">
        <f t="shared" si="165"/>
        <v>632.0150000000001</v>
      </c>
      <c r="AR102" s="549">
        <f t="shared" si="165"/>
        <v>3965.3209999999999</v>
      </c>
      <c r="AS102" s="904">
        <f t="shared" si="165"/>
        <v>-134.34450000000001</v>
      </c>
      <c r="AT102" s="905">
        <f t="shared" si="165"/>
        <v>-115.8955</v>
      </c>
      <c r="AU102" s="905">
        <f t="shared" si="165"/>
        <v>33.616499999999988</v>
      </c>
      <c r="AV102" s="906">
        <f t="shared" si="165"/>
        <v>224.37349999999995</v>
      </c>
      <c r="AW102" s="549">
        <f t="shared" si="165"/>
        <v>7.7499999999999432</v>
      </c>
      <c r="AX102" s="904">
        <f t="shared" si="165"/>
        <v>251.18</v>
      </c>
      <c r="AY102" s="905">
        <f t="shared" si="165"/>
        <v>354.827</v>
      </c>
      <c r="AZ102" s="905">
        <f t="shared" si="165"/>
        <v>324.483</v>
      </c>
      <c r="BA102" s="906">
        <f t="shared" si="165"/>
        <v>219.17599999999999</v>
      </c>
      <c r="BB102" s="549">
        <f t="shared" si="165"/>
        <v>1149.6660000000002</v>
      </c>
      <c r="BC102" s="904">
        <f t="shared" si="165"/>
        <v>405.57399999999996</v>
      </c>
      <c r="BD102" s="905">
        <f t="shared" si="165"/>
        <v>719.83600000000001</v>
      </c>
      <c r="BE102" s="905">
        <f t="shared" si="165"/>
        <v>529.19200000000001</v>
      </c>
      <c r="BF102" s="972">
        <f t="shared" si="165"/>
        <v>421.31499999999994</v>
      </c>
      <c r="BG102" s="499">
        <f t="shared" si="165"/>
        <v>2075.9169999999999</v>
      </c>
      <c r="BH102" s="904">
        <f t="shared" si="165"/>
        <v>483.791</v>
      </c>
      <c r="BI102" s="905">
        <f t="shared" si="165"/>
        <v>429.59500000000003</v>
      </c>
      <c r="BJ102" s="991">
        <f t="shared" si="165"/>
        <v>310.92900000000003</v>
      </c>
      <c r="BK102" s="906">
        <f t="shared" si="165"/>
        <v>311.13000000000011</v>
      </c>
      <c r="BL102" s="549">
        <f t="shared" si="165"/>
        <v>1535.4450000000002</v>
      </c>
      <c r="BM102" s="904">
        <f t="shared" si="165"/>
        <v>358.80025000000001</v>
      </c>
      <c r="BN102" s="905">
        <f t="shared" si="165"/>
        <v>323.64425</v>
      </c>
      <c r="BO102" s="905">
        <f t="shared" si="165"/>
        <v>397.13324999999998</v>
      </c>
      <c r="BP102" s="906">
        <f t="shared" si="165"/>
        <v>423.30624999999986</v>
      </c>
      <c r="BQ102" s="549">
        <f t="shared" si="165"/>
        <v>1502.884</v>
      </c>
      <c r="BR102" s="904">
        <f t="shared" si="165"/>
        <v>422.25625000000002</v>
      </c>
      <c r="BS102" s="905">
        <f t="shared" si="165"/>
        <v>463.59724999999997</v>
      </c>
      <c r="BT102" s="905">
        <f t="shared" ref="BT102:CJ102" si="166">BT100+BT101</f>
        <v>610.66224999999997</v>
      </c>
      <c r="BU102" s="906">
        <f t="shared" si="166"/>
        <v>501.17325000000017</v>
      </c>
      <c r="BV102" s="549">
        <f t="shared" si="166"/>
        <v>1997.6890000000001</v>
      </c>
      <c r="BW102" s="904">
        <f t="shared" si="166"/>
        <v>317.16324999999995</v>
      </c>
      <c r="BX102" s="905">
        <f t="shared" si="166"/>
        <v>298.53525000000002</v>
      </c>
      <c r="BY102" s="905">
        <f t="shared" si="166"/>
        <v>360.81124999999997</v>
      </c>
      <c r="BZ102" s="906">
        <f t="shared" si="166"/>
        <v>205.88724999999997</v>
      </c>
      <c r="CA102" s="549">
        <f t="shared" si="166"/>
        <v>1029.3969999999999</v>
      </c>
      <c r="CB102" s="904">
        <f t="shared" si="166"/>
        <v>379.86149999999998</v>
      </c>
      <c r="CC102" s="905">
        <f t="shared" si="166"/>
        <v>630.75350000000003</v>
      </c>
      <c r="CD102" s="905">
        <f t="shared" si="166"/>
        <v>693.17550000000006</v>
      </c>
      <c r="CE102" s="906">
        <f t="shared" si="166"/>
        <v>384.88350000000008</v>
      </c>
      <c r="CF102" s="549">
        <f t="shared" si="166"/>
        <v>2124.2739999999999</v>
      </c>
      <c r="CG102" s="904">
        <f t="shared" si="166"/>
        <v>758.22</v>
      </c>
      <c r="CH102" s="905">
        <f t="shared" si="166"/>
        <v>696.40300000000002</v>
      </c>
      <c r="CI102" s="905">
        <f t="shared" si="166"/>
        <v>511.755</v>
      </c>
      <c r="CJ102" s="906">
        <f t="shared" si="166"/>
        <v>428.995</v>
      </c>
      <c r="CK102" s="549">
        <f>CK100+CK101</f>
        <v>2395.373</v>
      </c>
      <c r="CL102" s="904">
        <f t="shared" ref="CL102" si="167">CL100+CL101</f>
        <v>660.50300000000004</v>
      </c>
      <c r="CM102" s="905">
        <f>+CM95*CM38/1000</f>
        <v>955.35708076946685</v>
      </c>
      <c r="CN102" s="905">
        <f>+CN95*CN38/1000</f>
        <v>972.38394412425293</v>
      </c>
      <c r="CO102" s="906">
        <f>+CO95*CO38/1000</f>
        <v>870.06594277596537</v>
      </c>
      <c r="CP102" s="549">
        <f>CP100+CP101</f>
        <v>3458.3099676696856</v>
      </c>
      <c r="CQ102" s="904">
        <f>+CQ95*CQ38/1000</f>
        <v>964.66838944267704</v>
      </c>
      <c r="CR102" s="905">
        <f>+CR95*CR38/1000</f>
        <v>934.43614623612746</v>
      </c>
      <c r="CS102" s="905">
        <f>+CS95*CS38/1000</f>
        <v>813.13178695121337</v>
      </c>
      <c r="CT102" s="906">
        <f>+CT95*CT38/1000</f>
        <v>643.36477513240197</v>
      </c>
      <c r="CU102" s="549">
        <f>CU100+CU101</f>
        <v>3355.6010977624196</v>
      </c>
      <c r="CV102" s="904">
        <f>+CV95*CV38/1000</f>
        <v>768.93456797699378</v>
      </c>
      <c r="CW102" s="905">
        <f>+CW95*CW38/1000</f>
        <v>803.55547930920375</v>
      </c>
      <c r="CX102" s="905">
        <f>+CX95*CX38/1000</f>
        <v>689.82848108867552</v>
      </c>
      <c r="CY102" s="906">
        <f>+CY95*CY38/1000</f>
        <v>671.46430022713366</v>
      </c>
      <c r="CZ102" s="549">
        <f>CZ100+CZ101</f>
        <v>2933.7828286020067</v>
      </c>
    </row>
    <row r="103" spans="1:104" ht="6.2" customHeight="1">
      <c r="AS103" s="907"/>
      <c r="AT103" s="536"/>
      <c r="AU103" s="536"/>
      <c r="AV103" s="908"/>
      <c r="AX103" s="907"/>
      <c r="AY103" s="536"/>
      <c r="AZ103" s="536"/>
      <c r="BA103" s="908"/>
      <c r="BC103" s="907"/>
      <c r="BD103" s="536"/>
      <c r="BE103" s="536"/>
      <c r="BF103" s="908"/>
      <c r="BH103" s="907"/>
      <c r="BI103" s="536"/>
      <c r="BJ103" s="536"/>
      <c r="BK103" s="908"/>
      <c r="BM103" s="907"/>
      <c r="BN103" s="536"/>
      <c r="BO103" s="536"/>
      <c r="BP103" s="908"/>
      <c r="BR103" s="907"/>
      <c r="BS103" s="536"/>
      <c r="BT103" s="536"/>
      <c r="BU103" s="908"/>
      <c r="BW103" s="907"/>
      <c r="BX103" s="536"/>
      <c r="BY103" s="536"/>
      <c r="BZ103" s="908"/>
      <c r="CB103" s="907"/>
      <c r="CC103" s="536"/>
      <c r="CD103" s="536"/>
      <c r="CE103" s="908"/>
      <c r="CG103" s="907"/>
      <c r="CH103" s="536"/>
      <c r="CI103" s="536"/>
      <c r="CJ103" s="908"/>
      <c r="CL103" s="907"/>
      <c r="CM103" s="536"/>
      <c r="CN103" s="536"/>
      <c r="CO103" s="908"/>
      <c r="CQ103" s="907"/>
      <c r="CR103" s="536"/>
      <c r="CS103" s="536"/>
      <c r="CT103" s="908"/>
      <c r="CV103" s="907"/>
      <c r="CW103" s="536"/>
      <c r="CX103" s="536"/>
      <c r="CY103" s="908"/>
    </row>
    <row r="104" spans="1:104" ht="13.5" customHeight="1">
      <c r="A104" s="820"/>
      <c r="B104" s="66" t="s">
        <v>127</v>
      </c>
      <c r="C104" s="66"/>
      <c r="D104" s="66"/>
      <c r="E104" s="66"/>
      <c r="F104" s="66"/>
      <c r="G104" s="66"/>
      <c r="H104" s="500">
        <v>389.80959100000001</v>
      </c>
      <c r="I104" s="500">
        <v>206.561688</v>
      </c>
      <c r="J104" s="549">
        <f>N104/4</f>
        <v>59.382144500000003</v>
      </c>
      <c r="K104" s="549">
        <f>N104/4</f>
        <v>59.382144500000003</v>
      </c>
      <c r="L104" s="549">
        <f>N104/4</f>
        <v>59.382144500000003</v>
      </c>
      <c r="M104" s="549">
        <f>N104/4</f>
        <v>59.382144500000003</v>
      </c>
      <c r="N104" s="500">
        <v>237.52857800000001</v>
      </c>
      <c r="O104" s="549">
        <f>S104/4</f>
        <v>50.283499999999997</v>
      </c>
      <c r="P104" s="549">
        <f>S104/4</f>
        <v>50.283499999999997</v>
      </c>
      <c r="Q104" s="549">
        <f>S104/4</f>
        <v>50.283499999999997</v>
      </c>
      <c r="R104" s="549">
        <f>S104/4</f>
        <v>50.283499999999997</v>
      </c>
      <c r="S104" s="500">
        <v>201.13399999999999</v>
      </c>
      <c r="T104" s="549">
        <f>X104/4</f>
        <v>60.621499999999997</v>
      </c>
      <c r="U104" s="549">
        <f>X104/4</f>
        <v>60.621499999999997</v>
      </c>
      <c r="V104" s="549">
        <f>X104/4</f>
        <v>60.621499999999997</v>
      </c>
      <c r="W104" s="549">
        <f>X104/4</f>
        <v>60.621499999999997</v>
      </c>
      <c r="X104" s="500">
        <v>242.48599999999999</v>
      </c>
      <c r="Y104" s="549">
        <f>AC104/4</f>
        <v>54.011749999999999</v>
      </c>
      <c r="Z104" s="549">
        <f>AC104/4</f>
        <v>54.011749999999999</v>
      </c>
      <c r="AA104" s="549">
        <f>AC104/4</f>
        <v>54.011749999999999</v>
      </c>
      <c r="AB104" s="549">
        <f>AC104/4</f>
        <v>54.011749999999999</v>
      </c>
      <c r="AC104" s="500">
        <v>216.047</v>
      </c>
      <c r="AD104" s="549">
        <f>AH104/4</f>
        <v>48.887250000000002</v>
      </c>
      <c r="AE104" s="549">
        <f>AH104/4</f>
        <v>48.887250000000002</v>
      </c>
      <c r="AF104" s="549">
        <f>AH104/4</f>
        <v>48.887250000000002</v>
      </c>
      <c r="AG104" s="549">
        <f>AH104/4</f>
        <v>48.887250000000002</v>
      </c>
      <c r="AH104" s="500">
        <v>195.54900000000001</v>
      </c>
      <c r="AI104" s="549">
        <f>AM104/4</f>
        <v>102.4965</v>
      </c>
      <c r="AJ104" s="549">
        <f>AM104/4</f>
        <v>102.4965</v>
      </c>
      <c r="AK104" s="549">
        <f>AM104/4</f>
        <v>102.4965</v>
      </c>
      <c r="AL104" s="549">
        <f>AM104/4</f>
        <v>102.4965</v>
      </c>
      <c r="AM104" s="500">
        <v>409.98599999999999</v>
      </c>
      <c r="AN104" s="549">
        <f>AR104/4</f>
        <v>192.80500000000001</v>
      </c>
      <c r="AO104" s="549">
        <f>AR104/4</f>
        <v>192.80500000000001</v>
      </c>
      <c r="AP104" s="549">
        <f>AR104/4</f>
        <v>192.80500000000001</v>
      </c>
      <c r="AQ104" s="549">
        <f>AR104/4</f>
        <v>192.80500000000001</v>
      </c>
      <c r="AR104" s="500">
        <v>771.22</v>
      </c>
      <c r="AS104" s="838">
        <f>AW104/4</f>
        <v>54.422499999999999</v>
      </c>
      <c r="AT104" s="598">
        <f>AW104/4</f>
        <v>54.422499999999999</v>
      </c>
      <c r="AU104" s="598">
        <f>AW104/4</f>
        <v>54.422499999999999</v>
      </c>
      <c r="AV104" s="839">
        <f>AW104/4</f>
        <v>54.422499999999999</v>
      </c>
      <c r="AW104" s="500">
        <v>217.69</v>
      </c>
      <c r="AX104" s="838">
        <f>BB104/4</f>
        <v>46.558999999999997</v>
      </c>
      <c r="AY104" s="598">
        <f>BB104/4</f>
        <v>46.558999999999997</v>
      </c>
      <c r="AZ104" s="598">
        <f>BB104/4</f>
        <v>46.558999999999997</v>
      </c>
      <c r="BA104" s="839">
        <f>BB104/4</f>
        <v>46.558999999999997</v>
      </c>
      <c r="BB104" s="500">
        <v>186.23599999999999</v>
      </c>
      <c r="BC104" s="838">
        <f>BG104/4</f>
        <v>45.294499999999999</v>
      </c>
      <c r="BD104" s="598">
        <f>BG104/4</f>
        <v>45.294499999999999</v>
      </c>
      <c r="BE104" s="598">
        <f>BG104/4</f>
        <v>45.294499999999999</v>
      </c>
      <c r="BF104" s="839">
        <f>BG104/4</f>
        <v>45.294499999999999</v>
      </c>
      <c r="BG104" s="500">
        <v>181.178</v>
      </c>
      <c r="BH104" s="838">
        <f>BL104/4</f>
        <v>92.365750000000006</v>
      </c>
      <c r="BI104" s="598">
        <f>BL104/4</f>
        <v>92.365750000000006</v>
      </c>
      <c r="BJ104" s="598">
        <f>BL104/4</f>
        <v>92.365750000000006</v>
      </c>
      <c r="BK104" s="839">
        <f>BL104/4</f>
        <v>92.365750000000006</v>
      </c>
      <c r="BL104" s="500">
        <v>369.46300000000002</v>
      </c>
      <c r="BM104" s="838">
        <f>BQ104/4</f>
        <v>147.40525</v>
      </c>
      <c r="BN104" s="598">
        <f>BQ104/4</f>
        <v>147.40525</v>
      </c>
      <c r="BO104" s="598">
        <f>BQ104/4</f>
        <v>147.40525</v>
      </c>
      <c r="BP104" s="839">
        <f>BQ104/4</f>
        <v>147.40525</v>
      </c>
      <c r="BQ104" s="500">
        <v>589.62099999999998</v>
      </c>
      <c r="BR104" s="838">
        <f>BV104/4</f>
        <v>85.941749999999999</v>
      </c>
      <c r="BS104" s="598">
        <f>BV104/4</f>
        <v>85.941749999999999</v>
      </c>
      <c r="BT104" s="598">
        <f>BV104/4</f>
        <v>85.941749999999999</v>
      </c>
      <c r="BU104" s="839">
        <f>BV104/4</f>
        <v>85.941749999999999</v>
      </c>
      <c r="BV104" s="500">
        <v>343.767</v>
      </c>
      <c r="BW104" s="838">
        <f>CA104/4</f>
        <v>62.133000000000003</v>
      </c>
      <c r="BX104" s="598">
        <f>CA104/4</f>
        <v>62.133000000000003</v>
      </c>
      <c r="BY104" s="598">
        <f>CA104/4</f>
        <v>62.133000000000003</v>
      </c>
      <c r="BZ104" s="839">
        <f>CA104/4</f>
        <v>62.133000000000003</v>
      </c>
      <c r="CA104" s="500">
        <v>248.53200000000001</v>
      </c>
      <c r="CB104" s="838">
        <f>CF104/4</f>
        <v>93.998999999999995</v>
      </c>
      <c r="CC104" s="598">
        <f>CF104/4</f>
        <v>93.998999999999995</v>
      </c>
      <c r="CD104" s="598">
        <f>CF104/4</f>
        <v>93.998999999999995</v>
      </c>
      <c r="CE104" s="839">
        <f>CF104/4</f>
        <v>93.998999999999995</v>
      </c>
      <c r="CF104" s="500">
        <v>375.99599999999998</v>
      </c>
      <c r="CG104" s="838">
        <f>CK104/4</f>
        <v>89.803749999999994</v>
      </c>
      <c r="CH104" s="598">
        <f>CK104/4</f>
        <v>89.803749999999994</v>
      </c>
      <c r="CI104" s="598">
        <f>CK104/4</f>
        <v>89.803749999999994</v>
      </c>
      <c r="CJ104" s="839">
        <f>CK104/4</f>
        <v>89.803749999999994</v>
      </c>
      <c r="CK104" s="500">
        <v>359.21499999999997</v>
      </c>
      <c r="CL104" s="1024"/>
      <c r="CM104" s="1049"/>
      <c r="CN104" s="1049"/>
      <c r="CO104" s="1050"/>
      <c r="CP104" s="361"/>
      <c r="CQ104" s="1048"/>
      <c r="CR104" s="1049"/>
      <c r="CS104" s="1049"/>
      <c r="CT104" s="1050"/>
      <c r="CU104" s="361"/>
      <c r="CV104" s="1048"/>
      <c r="CW104" s="1049"/>
      <c r="CX104" s="1049"/>
      <c r="CY104" s="1050"/>
      <c r="CZ104" s="361"/>
    </row>
    <row r="105" spans="1:104" ht="13.5" customHeight="1">
      <c r="A105" s="820"/>
      <c r="B105" s="66"/>
      <c r="C105" s="66" t="s">
        <v>145</v>
      </c>
      <c r="D105" s="66"/>
      <c r="E105" s="66"/>
      <c r="F105" s="66"/>
      <c r="G105" s="66"/>
      <c r="H105" s="549">
        <f t="shared" ref="H105:AM105" si="168">H104/H38*1000</f>
        <v>39.86190725023009</v>
      </c>
      <c r="I105" s="549">
        <f t="shared" si="168"/>
        <v>18.723865844815084</v>
      </c>
      <c r="J105" s="549">
        <f t="shared" si="168"/>
        <v>19.643448395633477</v>
      </c>
      <c r="K105" s="549">
        <f t="shared" si="168"/>
        <v>18.953764602617301</v>
      </c>
      <c r="L105" s="549">
        <f t="shared" si="168"/>
        <v>20.04798936529372</v>
      </c>
      <c r="M105" s="549">
        <f t="shared" si="168"/>
        <v>18.580145337922403</v>
      </c>
      <c r="N105" s="549">
        <f t="shared" si="168"/>
        <v>19.289311190514862</v>
      </c>
      <c r="O105" s="549">
        <f t="shared" si="168"/>
        <v>12.446410891089108</v>
      </c>
      <c r="P105" s="549">
        <f t="shared" si="168"/>
        <v>12.720338983050846</v>
      </c>
      <c r="Q105" s="549">
        <f t="shared" si="168"/>
        <v>12.081571359923114</v>
      </c>
      <c r="R105" s="549">
        <f t="shared" si="168"/>
        <v>12.240384615384615</v>
      </c>
      <c r="S105" s="549">
        <f t="shared" si="168"/>
        <v>12.367582856791488</v>
      </c>
      <c r="T105" s="549">
        <f t="shared" si="168"/>
        <v>12.827232331781632</v>
      </c>
      <c r="U105" s="549">
        <f t="shared" si="168"/>
        <v>13.604465888689406</v>
      </c>
      <c r="V105" s="549">
        <f t="shared" si="168"/>
        <v>13.495436331255565</v>
      </c>
      <c r="W105" s="549">
        <f t="shared" si="168"/>
        <v>14.738998298079261</v>
      </c>
      <c r="X105" s="549">
        <f t="shared" si="168"/>
        <v>13.632765502895372</v>
      </c>
      <c r="Y105" s="549">
        <f t="shared" si="168"/>
        <v>11.521277730375427</v>
      </c>
      <c r="Z105" s="549">
        <f t="shared" si="168"/>
        <v>11.509002770083102</v>
      </c>
      <c r="AA105" s="549">
        <f t="shared" si="168"/>
        <v>10.991402116402115</v>
      </c>
      <c r="AB105" s="549">
        <f t="shared" si="168"/>
        <v>11.431058201058201</v>
      </c>
      <c r="AC105" s="549">
        <f t="shared" si="168"/>
        <v>11.358937960042061</v>
      </c>
      <c r="AD105" s="549">
        <f t="shared" si="168"/>
        <v>9.283564375237372</v>
      </c>
      <c r="AE105" s="549">
        <f t="shared" si="168"/>
        <v>8.9701376146788991</v>
      </c>
      <c r="AF105" s="549">
        <f t="shared" si="168"/>
        <v>9.3599942561746126</v>
      </c>
      <c r="AG105" s="549">
        <f t="shared" si="168"/>
        <v>10.37285168682368</v>
      </c>
      <c r="AH105" s="549">
        <f t="shared" si="168"/>
        <v>9.4687681580476468</v>
      </c>
      <c r="AI105" s="549">
        <f t="shared" si="168"/>
        <v>19.60154905335628</v>
      </c>
      <c r="AJ105" s="549">
        <f t="shared" si="168"/>
        <v>20.960429447852761</v>
      </c>
      <c r="AK105" s="549">
        <f t="shared" si="168"/>
        <v>20.344680428741565</v>
      </c>
      <c r="AL105" s="549">
        <f t="shared" si="168"/>
        <v>20.184423001181568</v>
      </c>
      <c r="AM105" s="549">
        <f t="shared" si="168"/>
        <v>20.261230541141586</v>
      </c>
      <c r="AN105" s="549">
        <f t="shared" ref="AN105:BS105" si="169">AN104/AN38*1000</f>
        <v>37.056505862002695</v>
      </c>
      <c r="AO105" s="549">
        <f t="shared" si="169"/>
        <v>35.744345569150909</v>
      </c>
      <c r="AP105" s="549">
        <f t="shared" si="169"/>
        <v>41.12734641638226</v>
      </c>
      <c r="AQ105" s="549">
        <f t="shared" si="169"/>
        <v>66.484482758620686</v>
      </c>
      <c r="AR105" s="549">
        <f t="shared" si="169"/>
        <v>42.409678306296399</v>
      </c>
      <c r="AS105" s="838">
        <f t="shared" si="169"/>
        <v>22.368475133579942</v>
      </c>
      <c r="AT105" s="598">
        <f t="shared" si="169"/>
        <v>21.184312962242117</v>
      </c>
      <c r="AU105" s="598">
        <f t="shared" si="169"/>
        <v>14.6889338731444</v>
      </c>
      <c r="AV105" s="839">
        <f t="shared" si="169"/>
        <v>16.158699524940616</v>
      </c>
      <c r="AW105" s="549">
        <f t="shared" si="169"/>
        <v>18.028157349896478</v>
      </c>
      <c r="AX105" s="838">
        <f t="shared" si="169"/>
        <v>11.450811608460404</v>
      </c>
      <c r="AY105" s="598">
        <f t="shared" si="169"/>
        <v>11.871239163691993</v>
      </c>
      <c r="AZ105" s="598">
        <f t="shared" si="169"/>
        <v>11.660155271725518</v>
      </c>
      <c r="BA105" s="839">
        <f t="shared" si="169"/>
        <v>12.124739583333332</v>
      </c>
      <c r="BB105" s="549">
        <f t="shared" si="169"/>
        <v>11.771443018772517</v>
      </c>
      <c r="BC105" s="838">
        <f t="shared" si="169"/>
        <v>10.252263467632414</v>
      </c>
      <c r="BD105" s="598">
        <f t="shared" si="169"/>
        <v>11.1783070088845</v>
      </c>
      <c r="BE105" s="598">
        <f t="shared" si="169"/>
        <v>10.799833094897473</v>
      </c>
      <c r="BF105" s="839">
        <f t="shared" si="169"/>
        <v>10.961882865440465</v>
      </c>
      <c r="BG105" s="549">
        <f t="shared" si="169"/>
        <v>10.786973088830674</v>
      </c>
      <c r="BH105" s="838">
        <f t="shared" si="169"/>
        <v>20.123257080610024</v>
      </c>
      <c r="BI105" s="598">
        <f t="shared" si="169"/>
        <v>20.761013710946283</v>
      </c>
      <c r="BJ105" s="598">
        <f t="shared" si="169"/>
        <v>21.415661952237425</v>
      </c>
      <c r="BK105" s="839">
        <f t="shared" si="169"/>
        <v>22.413431206017957</v>
      </c>
      <c r="BL105" s="549">
        <f t="shared" si="169"/>
        <v>21.144794826303439</v>
      </c>
      <c r="BM105" s="838">
        <f t="shared" si="169"/>
        <v>34.01136363636364</v>
      </c>
      <c r="BN105" s="598">
        <f t="shared" si="169"/>
        <v>34.488827795975666</v>
      </c>
      <c r="BO105" s="598">
        <f t="shared" si="169"/>
        <v>31.768372844827585</v>
      </c>
      <c r="BP105" s="839">
        <f t="shared" si="169"/>
        <v>32.866276477146044</v>
      </c>
      <c r="BQ105" s="549">
        <f t="shared" si="169"/>
        <v>33.249929509953198</v>
      </c>
      <c r="BR105" s="838">
        <f t="shared" si="169"/>
        <v>18.68298913043478</v>
      </c>
      <c r="BS105" s="598">
        <f t="shared" si="169"/>
        <v>18.498009040034436</v>
      </c>
      <c r="BT105" s="598">
        <f t="shared" ref="BT105:CY105" si="170">BT104/BT38*1000</f>
        <v>17.716295609152752</v>
      </c>
      <c r="BU105" s="839">
        <f t="shared" si="170"/>
        <v>18.748200261780106</v>
      </c>
      <c r="BV105" s="549">
        <f t="shared" si="170"/>
        <v>18.401959209892404</v>
      </c>
      <c r="BW105" s="838">
        <f t="shared" si="170"/>
        <v>14.917887154861946</v>
      </c>
      <c r="BX105" s="598">
        <f t="shared" si="170"/>
        <v>13.57208387942333</v>
      </c>
      <c r="BY105" s="598">
        <f t="shared" si="170"/>
        <v>13.993918918918919</v>
      </c>
      <c r="BZ105" s="839">
        <f t="shared" si="170"/>
        <v>16.252419565786035</v>
      </c>
      <c r="CA105" s="549">
        <f t="shared" si="170"/>
        <v>14.614371398330002</v>
      </c>
      <c r="CB105" s="1016">
        <f t="shared" si="170"/>
        <v>19.187385180649112</v>
      </c>
      <c r="CC105" s="1017">
        <f t="shared" si="170"/>
        <v>18.496458087367177</v>
      </c>
      <c r="CD105" s="1017">
        <f t="shared" si="170"/>
        <v>21.052407614781632</v>
      </c>
      <c r="CE105" s="1018">
        <f t="shared" si="170"/>
        <v>21.363409090909091</v>
      </c>
      <c r="CF105" s="628">
        <f t="shared" si="170"/>
        <v>19.950971028334923</v>
      </c>
      <c r="CG105" s="1016">
        <f t="shared" si="170"/>
        <v>18.478137860082303</v>
      </c>
      <c r="CH105" s="1017">
        <f t="shared" si="170"/>
        <v>18.142171717171717</v>
      </c>
      <c r="CI105" s="1017">
        <f t="shared" si="170"/>
        <v>19.11531502767135</v>
      </c>
      <c r="CJ105" s="1018">
        <f t="shared" si="170"/>
        <v>19.400248433786995</v>
      </c>
      <c r="CK105" s="628">
        <f t="shared" si="170"/>
        <v>18.770705962272039</v>
      </c>
      <c r="CL105" s="1016">
        <f t="shared" si="170"/>
        <v>0</v>
      </c>
      <c r="CM105" s="1017">
        <f t="shared" si="170"/>
        <v>0</v>
      </c>
      <c r="CN105" s="1017">
        <f t="shared" si="170"/>
        <v>0</v>
      </c>
      <c r="CO105" s="1018">
        <f t="shared" si="170"/>
        <v>0</v>
      </c>
      <c r="CP105" s="628">
        <f t="shared" si="170"/>
        <v>0</v>
      </c>
      <c r="CQ105" s="1016">
        <f t="shared" si="170"/>
        <v>0</v>
      </c>
      <c r="CR105" s="1017">
        <f t="shared" si="170"/>
        <v>0</v>
      </c>
      <c r="CS105" s="1017">
        <f t="shared" si="170"/>
        <v>0</v>
      </c>
      <c r="CT105" s="1018">
        <f t="shared" si="170"/>
        <v>0</v>
      </c>
      <c r="CU105" s="628">
        <f t="shared" si="170"/>
        <v>0</v>
      </c>
      <c r="CV105" s="1016">
        <f t="shared" si="170"/>
        <v>0</v>
      </c>
      <c r="CW105" s="1017">
        <f t="shared" si="170"/>
        <v>0</v>
      </c>
      <c r="CX105" s="1017">
        <f t="shared" si="170"/>
        <v>0</v>
      </c>
      <c r="CY105" s="1018">
        <f t="shared" si="170"/>
        <v>0</v>
      </c>
      <c r="CZ105" s="628">
        <f t="shared" ref="CZ105" si="171">CZ104/CZ38*1000</f>
        <v>0</v>
      </c>
    </row>
    <row r="106" spans="1:104" ht="13.5" customHeight="1">
      <c r="A106" s="820" t="s">
        <v>629</v>
      </c>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c r="AA106" s="66"/>
      <c r="AB106" s="66"/>
      <c r="AC106" s="66"/>
      <c r="AD106" s="66"/>
      <c r="AE106" s="66"/>
      <c r="AF106" s="66"/>
      <c r="AG106" s="66"/>
      <c r="AH106" s="66"/>
      <c r="AI106" s="66"/>
      <c r="AJ106" s="66"/>
      <c r="AK106" s="66"/>
      <c r="AL106" s="66"/>
      <c r="AM106" s="66"/>
      <c r="AN106" s="66"/>
      <c r="AO106" s="66"/>
      <c r="AP106" s="66"/>
      <c r="AQ106" s="66"/>
      <c r="AR106" s="66"/>
      <c r="AS106" s="859"/>
      <c r="AT106" s="20"/>
      <c r="AU106" s="20"/>
      <c r="AV106" s="860"/>
      <c r="AW106" s="66"/>
      <c r="AX106" s="859"/>
      <c r="AY106" s="20"/>
      <c r="AZ106" s="20"/>
      <c r="BA106" s="860"/>
      <c r="BB106" s="66"/>
      <c r="BC106" s="859"/>
      <c r="BD106" s="20"/>
      <c r="BE106" s="20"/>
      <c r="BF106" s="860"/>
      <c r="BG106" s="66"/>
      <c r="BH106" s="859"/>
      <c r="BI106" s="20"/>
      <c r="BJ106" s="20"/>
      <c r="BK106" s="860"/>
      <c r="BL106" s="66"/>
      <c r="BM106" s="859"/>
      <c r="BN106" s="20"/>
      <c r="BO106" s="20"/>
      <c r="BP106" s="860"/>
      <c r="BQ106" s="66"/>
      <c r="BR106" s="859"/>
      <c r="BS106" s="20"/>
      <c r="BT106" s="20"/>
      <c r="BU106" s="860"/>
      <c r="BV106" s="66"/>
      <c r="BW106" s="850">
        <v>90</v>
      </c>
      <c r="BX106" s="509">
        <v>91</v>
      </c>
      <c r="BY106" s="509">
        <v>92</v>
      </c>
      <c r="BZ106" s="851">
        <v>92</v>
      </c>
      <c r="CA106" s="691">
        <f>SUM(BW106:BZ106)</f>
        <v>365</v>
      </c>
      <c r="CB106" s="850">
        <v>91</v>
      </c>
      <c r="CC106" s="509">
        <v>91</v>
      </c>
      <c r="CD106" s="509">
        <v>92</v>
      </c>
      <c r="CE106" s="851">
        <v>92</v>
      </c>
      <c r="CF106" s="549">
        <f>SUM(CB106:CE106)</f>
        <v>366</v>
      </c>
      <c r="CG106" s="850">
        <v>90</v>
      </c>
      <c r="CH106" s="509">
        <v>91</v>
      </c>
      <c r="CI106" s="509">
        <v>92</v>
      </c>
      <c r="CJ106" s="851">
        <v>92</v>
      </c>
      <c r="CK106" s="549">
        <f>SUM(CG106:CJ106)</f>
        <v>365</v>
      </c>
      <c r="CL106" s="850">
        <v>90</v>
      </c>
      <c r="CM106" s="509">
        <v>91</v>
      </c>
      <c r="CN106" s="509">
        <v>92</v>
      </c>
      <c r="CO106" s="851">
        <v>92</v>
      </c>
      <c r="CP106" s="549">
        <f>SUM(CL106:CO106)</f>
        <v>365</v>
      </c>
      <c r="CQ106" s="850">
        <v>90</v>
      </c>
      <c r="CR106" s="509">
        <v>91</v>
      </c>
      <c r="CS106" s="509">
        <v>92</v>
      </c>
      <c r="CT106" s="851">
        <v>92</v>
      </c>
      <c r="CU106" s="549">
        <f>SUM(CQ106:CT106)</f>
        <v>365</v>
      </c>
      <c r="CV106" s="850">
        <v>90</v>
      </c>
      <c r="CW106" s="509">
        <v>91</v>
      </c>
      <c r="CX106" s="509">
        <v>92</v>
      </c>
      <c r="CY106" s="851">
        <v>92</v>
      </c>
      <c r="CZ106" s="549">
        <f>SUM(CV106:CY106)</f>
        <v>365</v>
      </c>
    </row>
    <row r="107" spans="1:104" ht="6.2" customHeight="1">
      <c r="AS107" s="907"/>
      <c r="AT107" s="536"/>
      <c r="AU107" s="536"/>
      <c r="AV107" s="908"/>
      <c r="AX107" s="907"/>
      <c r="AY107" s="536"/>
      <c r="AZ107" s="536"/>
      <c r="BA107" s="908"/>
      <c r="BC107" s="907"/>
      <c r="BD107" s="536"/>
      <c r="BE107" s="536"/>
      <c r="BF107" s="908"/>
      <c r="BH107" s="907"/>
      <c r="BI107" s="536"/>
      <c r="BJ107" s="536"/>
      <c r="BK107" s="908"/>
      <c r="BM107" s="907"/>
      <c r="BN107" s="536"/>
      <c r="BO107" s="536"/>
      <c r="BP107" s="908"/>
      <c r="BR107" s="907"/>
      <c r="BS107" s="536"/>
      <c r="BT107" s="536"/>
      <c r="BU107" s="908"/>
      <c r="BW107" s="907"/>
      <c r="BX107" s="536"/>
      <c r="BY107" s="536"/>
      <c r="BZ107" s="908"/>
      <c r="CB107" s="907"/>
      <c r="CC107" s="536"/>
      <c r="CD107" s="536"/>
      <c r="CE107" s="908"/>
      <c r="CG107" s="907"/>
      <c r="CH107" s="536"/>
      <c r="CI107" s="536"/>
      <c r="CJ107" s="908"/>
      <c r="CL107" s="907"/>
      <c r="CM107" s="536"/>
      <c r="CN107" s="536"/>
      <c r="CO107" s="908"/>
      <c r="CQ107" s="907"/>
      <c r="CR107" s="536"/>
      <c r="CS107" s="536"/>
      <c r="CT107" s="908"/>
      <c r="CV107" s="907"/>
      <c r="CW107" s="536"/>
      <c r="CX107" s="536"/>
      <c r="CY107" s="908"/>
    </row>
    <row r="108" spans="1:104" ht="13.5" customHeight="1">
      <c r="A108" s="817" t="s">
        <v>663</v>
      </c>
      <c r="B108" s="743"/>
      <c r="C108" s="743"/>
      <c r="D108" s="744"/>
      <c r="E108" s="744"/>
      <c r="F108" s="744"/>
      <c r="G108" s="744"/>
      <c r="H108" s="744"/>
      <c r="I108" s="744"/>
      <c r="J108" s="744"/>
      <c r="K108" s="744"/>
      <c r="L108" s="744"/>
      <c r="M108" s="744"/>
      <c r="N108" s="744"/>
      <c r="O108" s="744"/>
      <c r="P108" s="744"/>
      <c r="Q108" s="744"/>
      <c r="R108" s="744"/>
      <c r="S108" s="744"/>
      <c r="T108" s="744"/>
      <c r="U108" s="744"/>
      <c r="V108" s="744"/>
      <c r="W108" s="744"/>
      <c r="X108" s="744"/>
      <c r="Y108" s="744"/>
      <c r="Z108" s="744"/>
      <c r="AA108" s="744"/>
      <c r="AB108" s="744"/>
      <c r="AC108" s="744"/>
      <c r="AD108" s="744"/>
      <c r="AE108" s="744"/>
      <c r="AF108" s="744"/>
      <c r="AG108" s="744"/>
      <c r="AH108" s="744"/>
      <c r="AI108" s="744"/>
      <c r="AJ108" s="744"/>
      <c r="AK108" s="744"/>
      <c r="AL108" s="744"/>
      <c r="AM108" s="744"/>
      <c r="AN108" s="744"/>
      <c r="AO108" s="744"/>
      <c r="AP108" s="744"/>
      <c r="AQ108" s="744"/>
      <c r="AR108" s="743"/>
      <c r="AS108" s="845"/>
      <c r="AT108" s="744"/>
      <c r="AU108" s="744"/>
      <c r="AV108" s="846"/>
      <c r="AW108" s="743"/>
      <c r="AX108" s="845"/>
      <c r="AY108" s="744"/>
      <c r="AZ108" s="744"/>
      <c r="BA108" s="846"/>
      <c r="BB108" s="743"/>
      <c r="BC108" s="845"/>
      <c r="BD108" s="744"/>
      <c r="BE108" s="744"/>
      <c r="BF108" s="846"/>
      <c r="BG108" s="743"/>
      <c r="BH108" s="845"/>
      <c r="BI108" s="744"/>
      <c r="BJ108" s="744"/>
      <c r="BK108" s="846"/>
      <c r="BL108" s="743"/>
      <c r="BM108" s="845"/>
      <c r="BN108" s="744"/>
      <c r="BO108" s="744"/>
      <c r="BP108" s="846"/>
      <c r="BQ108" s="743"/>
      <c r="BR108" s="845"/>
      <c r="BS108" s="744"/>
      <c r="BT108" s="744"/>
      <c r="BU108" s="846"/>
      <c r="BV108" s="743"/>
      <c r="BW108" s="845"/>
      <c r="BX108" s="744"/>
      <c r="BY108" s="744"/>
      <c r="BZ108" s="846"/>
      <c r="CA108" s="743"/>
      <c r="CB108" s="845"/>
      <c r="CC108" s="744"/>
      <c r="CD108" s="744"/>
      <c r="CE108" s="846"/>
      <c r="CF108" s="743"/>
      <c r="CG108" s="845"/>
      <c r="CH108" s="744"/>
      <c r="CI108" s="744"/>
      <c r="CJ108" s="846"/>
      <c r="CK108" s="743"/>
      <c r="CL108" s="845"/>
      <c r="CM108" s="744"/>
      <c r="CN108" s="744"/>
      <c r="CO108" s="846"/>
      <c r="CP108" s="743"/>
      <c r="CQ108" s="845"/>
      <c r="CR108" s="744"/>
      <c r="CS108" s="744"/>
      <c r="CT108" s="846"/>
      <c r="CU108" s="743"/>
      <c r="CV108" s="845"/>
      <c r="CW108" s="744"/>
      <c r="CX108" s="744"/>
      <c r="CY108" s="846"/>
      <c r="CZ108" s="743"/>
    </row>
    <row r="109" spans="1:104" ht="13.5" customHeight="1">
      <c r="A109" s="819"/>
      <c r="B109" s="79" t="s">
        <v>543</v>
      </c>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c r="AA109" s="66"/>
      <c r="AB109" s="66"/>
      <c r="AC109" s="66"/>
      <c r="AD109" s="66"/>
      <c r="AE109" s="66"/>
      <c r="AF109" s="66"/>
      <c r="AG109" s="66"/>
      <c r="AH109" s="66"/>
      <c r="AI109" s="66"/>
      <c r="AJ109" s="66"/>
      <c r="AK109" s="66"/>
      <c r="AL109" s="66"/>
      <c r="AM109" s="66"/>
      <c r="AN109" s="66"/>
      <c r="AO109" s="66"/>
      <c r="AP109" s="66"/>
      <c r="AQ109" s="66"/>
      <c r="AR109" s="66"/>
      <c r="AS109" s="859"/>
      <c r="AT109" s="20"/>
      <c r="AU109" s="20"/>
      <c r="AV109" s="860"/>
      <c r="AW109" s="66"/>
      <c r="AX109" s="859"/>
      <c r="AY109" s="20"/>
      <c r="AZ109" s="20"/>
      <c r="BA109" s="860"/>
      <c r="BB109" s="66"/>
      <c r="BC109" s="859"/>
      <c r="BD109" s="20"/>
      <c r="BE109" s="20"/>
      <c r="BF109" s="860"/>
      <c r="BG109" s="66"/>
      <c r="BH109" s="859"/>
      <c r="BI109" s="20"/>
      <c r="BJ109" s="20"/>
      <c r="BK109" s="860"/>
      <c r="BL109" s="66"/>
      <c r="BM109" s="859"/>
      <c r="BN109" s="20"/>
      <c r="BO109" s="20"/>
      <c r="BP109" s="860"/>
      <c r="BQ109" s="66"/>
      <c r="BR109" s="859"/>
      <c r="BS109" s="20"/>
      <c r="BT109" s="20"/>
      <c r="BU109" s="860"/>
      <c r="BV109" s="66"/>
      <c r="BW109" s="859"/>
      <c r="BX109" s="20"/>
      <c r="BY109" s="20"/>
      <c r="BZ109" s="860"/>
      <c r="CA109" s="66"/>
      <c r="CB109" s="859"/>
      <c r="CC109" s="20"/>
      <c r="CD109" s="20"/>
      <c r="CE109" s="944"/>
      <c r="CF109" s="453"/>
      <c r="CG109" s="981"/>
      <c r="CH109" s="495"/>
      <c r="CI109" s="20"/>
      <c r="CJ109" s="944"/>
      <c r="CK109" s="453"/>
      <c r="CL109" s="859"/>
      <c r="CM109" s="20"/>
      <c r="CN109" s="20"/>
      <c r="CO109" s="860"/>
      <c r="CP109" s="66"/>
      <c r="CQ109" s="859"/>
      <c r="CR109" s="20"/>
      <c r="CS109" s="20"/>
      <c r="CT109" s="860"/>
      <c r="CU109" s="66"/>
      <c r="CV109" s="859"/>
      <c r="CW109" s="20"/>
      <c r="CX109" s="20"/>
      <c r="CY109" s="860"/>
      <c r="CZ109" s="66"/>
    </row>
    <row r="110" spans="1:104" ht="13.5" customHeight="1">
      <c r="A110" s="819"/>
      <c r="B110" s="199" t="s">
        <v>466</v>
      </c>
      <c r="C110" s="199"/>
      <c r="D110" s="542"/>
      <c r="E110" s="542"/>
      <c r="F110" s="542"/>
      <c r="G110" s="542"/>
      <c r="H110" s="496"/>
      <c r="I110" s="538">
        <f>Operations!Q119/Operations!H119-1</f>
        <v>-0.76672104404567698</v>
      </c>
      <c r="J110" s="538"/>
      <c r="K110" s="538"/>
      <c r="L110" s="538"/>
      <c r="M110" s="538"/>
      <c r="N110" s="538">
        <f>Operations!R119/Operations!I119-1</f>
        <v>-0.76503759398496241</v>
      </c>
      <c r="O110" s="538"/>
      <c r="P110" s="538"/>
      <c r="Q110" s="538"/>
      <c r="R110" s="538"/>
      <c r="S110" s="538">
        <f>Operations!S119/Operations!N119-1</f>
        <v>8.8744588744588793E-2</v>
      </c>
      <c r="T110" s="538">
        <f>Operations!T119/Operations!O119-1</f>
        <v>8.4112149532710179E-2</v>
      </c>
      <c r="U110" s="538">
        <f>Operations!U119/Operations!P119-1</f>
        <v>6.25E-2</v>
      </c>
      <c r="V110" s="538">
        <f>Operations!V119/Operations!Q119-1</f>
        <v>6.9930069930070893E-3</v>
      </c>
      <c r="W110" s="538">
        <f>Operations!W119/Operations!R119-1</f>
        <v>8.0000000000000071E-3</v>
      </c>
      <c r="X110" s="538">
        <f>Operations!X119/Operations!S119-1</f>
        <v>3.7773359840954202E-2</v>
      </c>
      <c r="Y110" s="538">
        <f>Operations!Y119/Operations!T119-1</f>
        <v>6.0344827586206851E-2</v>
      </c>
      <c r="Z110" s="538">
        <f>Operations!Z119/Operations!U119-1</f>
        <v>2.2058823529411686E-2</v>
      </c>
      <c r="AA110" s="538">
        <f>Operations!AA119/Operations!V119-1</f>
        <v>4.861111111111116E-2</v>
      </c>
      <c r="AB110" s="538">
        <f>Operations!AB119/Operations!W119-1</f>
        <v>0.11904761904761907</v>
      </c>
      <c r="AC110" s="538">
        <f>Operations!AC119/Operations!X119-1</f>
        <v>6.1302681992337238E-2</v>
      </c>
      <c r="AD110" s="538">
        <f>Operations!AD119/Operations!Y119-1</f>
        <v>0.13008130081300817</v>
      </c>
      <c r="AE110" s="538">
        <f>Operations!AE119/Operations!Z119-1</f>
        <v>2.1582733812949728E-2</v>
      </c>
      <c r="AF110" s="538">
        <f>Operations!AF119/Operations!AA119-1</f>
        <v>6.6225165562914245E-3</v>
      </c>
      <c r="AG110" s="538">
        <f>Operations!AG119/Operations!AB119-1</f>
        <v>-2.8368794326241176E-2</v>
      </c>
      <c r="AH110" s="538">
        <f>Operations!AH119/Operations!AC119-1</f>
        <v>2.8880866425992746E-2</v>
      </c>
      <c r="AI110" s="538">
        <f>Operations!AI119/Operations!AD119-1</f>
        <v>-0.12949640287769781</v>
      </c>
      <c r="AJ110" s="538">
        <f>Operations!AJ119/Operations!AE119-1</f>
        <v>1.4084507042253502E-2</v>
      </c>
      <c r="AK110" s="538">
        <f>Operations!AK119/Operations!AF119-1</f>
        <v>-5.2631578947368474E-2</v>
      </c>
      <c r="AL110" s="538">
        <f>Operations!AL119/Operations!AG119-1</f>
        <v>-2.9197080291970767E-2</v>
      </c>
      <c r="AM110" s="538">
        <f>Operations!AM119/Operations!AH119-1</f>
        <v>-4.9122807017543901E-2</v>
      </c>
      <c r="AN110" s="538">
        <f>Operations!AN119/Operations!AI119-1</f>
        <v>9.0909090909090828E-2</v>
      </c>
      <c r="AO110" s="538">
        <f>Operations!AO119/Operations!AJ119-1</f>
        <v>-2.777777777777779E-2</v>
      </c>
      <c r="AP110" s="538">
        <f>Operations!AP119/Operations!AK119-1</f>
        <v>-0.17361111111111116</v>
      </c>
      <c r="AQ110" s="538">
        <f>Operations!AQ119/Operations!AL119-1</f>
        <v>-0.29323308270676696</v>
      </c>
      <c r="AR110" s="538">
        <f>Operations!AR119/Operations!AM119-1</f>
        <v>-0.10516605166051662</v>
      </c>
      <c r="AS110" s="861">
        <f>Operations!AS119/Operations!AN119-1</f>
        <v>-0.54545454545454541</v>
      </c>
      <c r="AT110" s="589">
        <f>Operations!AT119/Operations!AO119-1</f>
        <v>-0.5357142857142857</v>
      </c>
      <c r="AU110" s="589">
        <f>Operations!AU119/Operations!AP119-1</f>
        <v>-0.42016806722689071</v>
      </c>
      <c r="AV110" s="862">
        <f>Operations!AV119/Operations!AQ119-1</f>
        <v>-0.25531914893617025</v>
      </c>
      <c r="AW110" s="538">
        <f>Operations!AW119/Operations!AR119-1</f>
        <v>-0.45567010309278355</v>
      </c>
      <c r="AX110" s="861">
        <f>Operations!AX119/Operations!AS119-1</f>
        <v>-1.6666666666666718E-2</v>
      </c>
      <c r="AY110" s="589">
        <f>Operations!AY119/Operations!AT119-1</f>
        <v>0.10769230769230775</v>
      </c>
      <c r="AZ110" s="589">
        <f>Operations!AZ119/Operations!AU119-1</f>
        <v>2.8985507246376718E-2</v>
      </c>
      <c r="BA110" s="881">
        <v>0</v>
      </c>
      <c r="BB110" s="538">
        <f>Operations!BB119/Operations!AW119-1</f>
        <v>4.5454545454545414E-2</v>
      </c>
      <c r="BC110" s="861">
        <f>Operations!BC119/Operations!AX119-1</f>
        <v>0.13559322033898313</v>
      </c>
      <c r="BD110" s="589">
        <f>Operations!BD119/Operations!AY119-1</f>
        <v>-2.777777777777779E-2</v>
      </c>
      <c r="BE110" s="590">
        <f>Operations!BE119/Operations!AZ119-1</f>
        <v>0.15492957746478875</v>
      </c>
      <c r="BF110" s="953">
        <f>Operations!BF119/Operations!BA119-1</f>
        <v>-6.7567567567567544E-2</v>
      </c>
      <c r="BG110" s="552">
        <f>Operations!BG119/Operations!BB119-1</f>
        <v>4.3478260869565188E-2</v>
      </c>
      <c r="BH110" s="983">
        <f>Operations!BH119/Operations!BC119-1</f>
        <v>-4.4776119402985093E-2</v>
      </c>
      <c r="BI110" s="589">
        <f>Operations!BI119/Operations!BD119-1</f>
        <v>7.1428571428571397E-2</v>
      </c>
      <c r="BJ110" s="589">
        <f>Operations!BJ119/Operations!BE119-1</f>
        <v>-4.8780487804878092E-2</v>
      </c>
      <c r="BK110" s="862">
        <f>Operations!BK119/Operations!BF119-1</f>
        <v>7.2463768115942129E-2</v>
      </c>
      <c r="BL110" s="538">
        <f>Operations!BL119/Operations!BG119-1</f>
        <v>1.0416666666666741E-2</v>
      </c>
      <c r="BM110" s="861">
        <f>Operations!BM119/Operations!BH119-1</f>
        <v>0.109375</v>
      </c>
      <c r="BN110" s="589">
        <f>Operations!BN119/Operations!BI119-1</f>
        <v>0.21333333333333337</v>
      </c>
      <c r="BO110" s="589">
        <f>Operations!BO119/Operations!BJ119-1</f>
        <v>0.10256410256410264</v>
      </c>
      <c r="BP110" s="862">
        <f>Operations!BP119/Operations!BK119-1</f>
        <v>0.27027027027027017</v>
      </c>
      <c r="BQ110" s="538">
        <f>Operations!BQ119/Operations!BL119-1</f>
        <v>0.17525773195876293</v>
      </c>
      <c r="BR110" s="861">
        <f>Operations!BR119/Operations!BM119-1</f>
        <v>0.29577464788732399</v>
      </c>
      <c r="BS110" s="589">
        <f>Operations!BS119/Operations!BN119-1</f>
        <v>6.5934065934065922E-2</v>
      </c>
      <c r="BT110" s="589">
        <f>Operations!BT119/Operations!BO119-1</f>
        <v>0.48837209302325579</v>
      </c>
      <c r="BU110" s="862">
        <f>Operations!BU119/Operations!BP119-1</f>
        <v>0.1063829787234043</v>
      </c>
      <c r="BV110" s="538">
        <f>Operations!BV119/Operations!BQ119-1</f>
        <v>0.23099415204678353</v>
      </c>
      <c r="BW110" s="861">
        <f>Operations!BW119/Operations!BR119-1</f>
        <v>-3.2608695652173947E-2</v>
      </c>
      <c r="BX110" s="589">
        <f>Operations!BX119/Operations!BS119-1</f>
        <v>0</v>
      </c>
      <c r="BY110" s="589">
        <f>Operations!BY119/Operations!BT119-1</f>
        <v>-3.125E-2</v>
      </c>
      <c r="BZ110" s="862">
        <f>Operations!BZ119/Operations!BU119-1</f>
        <v>0.125</v>
      </c>
      <c r="CA110" s="538">
        <f>Operations!CA119/Operations!BV119-1</f>
        <v>1.4251781472684133E-2</v>
      </c>
      <c r="CB110" s="861">
        <f>Operations!CB119/Operations!BW119-1</f>
        <v>0.101123595505618</v>
      </c>
      <c r="CC110" s="589">
        <f>Operations!CC119/Operations!BX119-1</f>
        <v>-2.0618556701030966E-2</v>
      </c>
      <c r="CD110" s="589">
        <f>Operations!CD119/Operations!BY119-1</f>
        <v>4.0322580645161255E-2</v>
      </c>
      <c r="CE110" s="862">
        <f>Operations!CE119/Operations!BZ119-1</f>
        <v>5.1282051282051322E-2</v>
      </c>
      <c r="CF110" s="552">
        <f>Operations!CF119/Operations!CA119-1</f>
        <v>4.2154566744730726E-2</v>
      </c>
      <c r="CG110" s="861">
        <f>Operations!CG119/Operations!CB119-1</f>
        <v>3.0612244897959107E-2</v>
      </c>
      <c r="CH110" s="589">
        <f>Operations!CH119/Operations!CC119-1</f>
        <v>9.473684210526323E-2</v>
      </c>
      <c r="CI110" s="589">
        <f>Operations!CI119/Operations!CD119-1</f>
        <v>-1.5503875968992276E-2</v>
      </c>
      <c r="CJ110" s="862">
        <f>Operations!CJ119/Operations!CE119-1</f>
        <v>0.13821138211382111</v>
      </c>
      <c r="CK110" s="552">
        <f>Operations!CK119/Operations!CF119-1</f>
        <v>6.067415730337089E-2</v>
      </c>
      <c r="CL110" s="861">
        <f>Operations!CL119/Operations!CG119-1</f>
        <v>3.9603960396039639E-2</v>
      </c>
      <c r="CM110" s="675">
        <v>0.03</v>
      </c>
      <c r="CN110" s="675">
        <v>0.03</v>
      </c>
      <c r="CO110" s="1022">
        <v>0.03</v>
      </c>
      <c r="CP110" s="552">
        <f>Operations!CP119/Operations!CK119-1</f>
        <v>3.2055084745762796E-2</v>
      </c>
      <c r="CQ110" s="1041">
        <v>0.02</v>
      </c>
      <c r="CR110" s="675">
        <v>0.02</v>
      </c>
      <c r="CS110" s="675">
        <v>0.02</v>
      </c>
      <c r="CT110" s="1022">
        <v>0.02</v>
      </c>
      <c r="CU110" s="552">
        <f>Operations!CU119/Operations!CP119-1</f>
        <v>2.0000000000000018E-2</v>
      </c>
      <c r="CV110" s="1041">
        <v>0.02</v>
      </c>
      <c r="CW110" s="675">
        <v>0.02</v>
      </c>
      <c r="CX110" s="675">
        <v>0.02</v>
      </c>
      <c r="CY110" s="1022">
        <v>0.02</v>
      </c>
      <c r="CZ110" s="552">
        <f>Operations!CZ119/Operations!CU119-1</f>
        <v>1.9999999999999796E-2</v>
      </c>
    </row>
    <row r="111" spans="1:104" ht="13.5" customHeight="1">
      <c r="A111" s="819"/>
      <c r="B111" s="199" t="s">
        <v>467</v>
      </c>
      <c r="C111" s="199"/>
      <c r="D111" s="542"/>
      <c r="E111" s="542"/>
      <c r="F111" s="542"/>
      <c r="G111" s="542"/>
      <c r="H111" s="496"/>
      <c r="I111" s="538">
        <f>Operations!Q120/Operations!H120-1</f>
        <v>-0.73371104815864019</v>
      </c>
      <c r="J111" s="538"/>
      <c r="K111" s="538"/>
      <c r="L111" s="538"/>
      <c r="M111" s="538"/>
      <c r="N111" s="538">
        <f>Operations!R120/Operations!I120-1</f>
        <v>-0.74709302325581395</v>
      </c>
      <c r="O111" s="538"/>
      <c r="P111" s="538"/>
      <c r="Q111" s="538"/>
      <c r="R111" s="538"/>
      <c r="S111" s="538">
        <f>Operations!S120/Operations!N120-1</f>
        <v>6.9696969696969591E-2</v>
      </c>
      <c r="T111" s="538">
        <f>Operations!T120/Operations!O120-1</f>
        <v>-7.4999999999999956E-2</v>
      </c>
      <c r="U111" s="538">
        <f>Operations!U120/Operations!P120-1</f>
        <v>2.1739130434782705E-2</v>
      </c>
      <c r="V111" s="538">
        <f>Operations!V120/Operations!Q120-1</f>
        <v>9.5744680851063801E-2</v>
      </c>
      <c r="W111" s="538">
        <f>Operations!W120/Operations!R120-1</f>
        <v>6.8965517241379226E-2</v>
      </c>
      <c r="X111" s="538">
        <f>Operations!X120/Operations!S120-1</f>
        <v>3.1161473087818692E-2</v>
      </c>
      <c r="Y111" s="538">
        <f>Operations!Y120/Operations!T120-1</f>
        <v>8.1081081081081141E-2</v>
      </c>
      <c r="Z111" s="538">
        <f>Operations!Z120/Operations!U120-1</f>
        <v>7.4468085106383031E-2</v>
      </c>
      <c r="AA111" s="538">
        <f>Operations!AA120/Operations!V120-1</f>
        <v>9.7087378640776656E-3</v>
      </c>
      <c r="AB111" s="538">
        <f>Operations!AB120/Operations!W120-1</f>
        <v>2.1505376344086002E-2</v>
      </c>
      <c r="AC111" s="538">
        <f>Operations!AC120/Operations!X120-1</f>
        <v>4.3956043956044022E-2</v>
      </c>
      <c r="AD111" s="538">
        <f>Operations!AD120/Operations!Y120-1</f>
        <v>6.25E-2</v>
      </c>
      <c r="AE111" s="538">
        <f>Operations!AE120/Operations!Z120-1</f>
        <v>-6.9306930693069257E-2</v>
      </c>
      <c r="AF111" s="538">
        <f>Operations!AF120/Operations!AA120-1</f>
        <v>9.6153846153845812E-3</v>
      </c>
      <c r="AG111" s="538">
        <f>Operations!AG120/Operations!AB120-1</f>
        <v>0.19999999999999996</v>
      </c>
      <c r="AH111" s="538">
        <f>Operations!AH120/Operations!AC120-1</f>
        <v>4.7368421052631504E-2</v>
      </c>
      <c r="AI111" s="538">
        <f>Operations!AI120/Operations!AD120-1</f>
        <v>0.24705882352941178</v>
      </c>
      <c r="AJ111" s="538">
        <f>Operations!AJ120/Operations!AE120-1</f>
        <v>0.34042553191489366</v>
      </c>
      <c r="AK111" s="538">
        <f>Operations!AK120/Operations!AF120-1</f>
        <v>0.17142857142857149</v>
      </c>
      <c r="AL111" s="538">
        <f>Operations!AL120/Operations!AG120-1</f>
        <v>7.8947368421052655E-2</v>
      </c>
      <c r="AM111" s="538">
        <f>Operations!AM120/Operations!AH120-1</f>
        <v>0.20100502512562812</v>
      </c>
      <c r="AN111" s="538">
        <f>Operations!AN120/Operations!AI120-1</f>
        <v>9.4339622641509413E-2</v>
      </c>
      <c r="AO111" s="538">
        <f>Operations!AO120/Operations!AJ120-1</f>
        <v>0.10317460317460325</v>
      </c>
      <c r="AP111" s="538">
        <f>Operations!AP120/Operations!AK120-1</f>
        <v>8.1300813008130079E-2</v>
      </c>
      <c r="AQ111" s="538">
        <f>Operations!AQ120/Operations!AL120-1</f>
        <v>-0.10569105691056913</v>
      </c>
      <c r="AR111" s="538">
        <f>Operations!AR120/Operations!AM120-1</f>
        <v>4.1841004184100417E-2</v>
      </c>
      <c r="AS111" s="861">
        <f>Operations!AS120/Operations!AN120-1</f>
        <v>-0.35344827586206895</v>
      </c>
      <c r="AT111" s="589">
        <f>Operations!AT120/Operations!AO120-1</f>
        <v>-0.47482014388489213</v>
      </c>
      <c r="AU111" s="589">
        <f>Operations!AU120/Operations!AP120-1</f>
        <v>-0.36842105263157898</v>
      </c>
      <c r="AV111" s="862">
        <f>Operations!AV120/Operations!AQ120-1</f>
        <v>-0.29090909090909089</v>
      </c>
      <c r="AW111" s="538">
        <f>Operations!AW120/Operations!AR120-1</f>
        <v>-0.3775100401606426</v>
      </c>
      <c r="AX111" s="861">
        <f>Operations!AX120/Operations!AS120-1</f>
        <v>-9.3333333333333379E-2</v>
      </c>
      <c r="AY111" s="589">
        <f>Operations!AY120/Operations!AT120-1</f>
        <v>0.1095890410958904</v>
      </c>
      <c r="AZ111" s="589">
        <f>Operations!AZ120/Operations!AU120-1</f>
        <v>-3.5714285714285698E-2</v>
      </c>
      <c r="BA111" s="881">
        <v>0</v>
      </c>
      <c r="BB111" s="538">
        <f>Operations!BB120/Operations!AW120-1</f>
        <v>-1.2903225806451646E-2</v>
      </c>
      <c r="BC111" s="861">
        <f>Operations!BC120/Operations!AX120-1</f>
        <v>5.8823529411764719E-2</v>
      </c>
      <c r="BD111" s="589">
        <f>Operations!BD120/Operations!AY120-1</f>
        <v>-2.4691358024691357E-2</v>
      </c>
      <c r="BE111" s="590">
        <f>Operations!BE120/Operations!AZ120-1</f>
        <v>2.4691358024691468E-2</v>
      </c>
      <c r="BF111" s="953">
        <f>Operations!BF120/Operations!BA120-1</f>
        <v>2.6315789473684292E-2</v>
      </c>
      <c r="BG111" s="552">
        <f>Operations!BG120/Operations!BB120-1</f>
        <v>1.9607843137254832E-2</v>
      </c>
      <c r="BH111" s="983">
        <f>Operations!BH120/Operations!BC120-1</f>
        <v>-9.722222222222221E-2</v>
      </c>
      <c r="BI111" s="589">
        <f>Operations!BI120/Operations!BD120-1</f>
        <v>-3.7974683544303778E-2</v>
      </c>
      <c r="BJ111" s="589">
        <f>Operations!BJ120/Operations!BE120-1</f>
        <v>-3.6144578313253017E-2</v>
      </c>
      <c r="BK111" s="862">
        <f>Operations!BK120/Operations!BF120-1</f>
        <v>0.11538461538461542</v>
      </c>
      <c r="BL111" s="538">
        <f>Operations!BL120/Operations!BG120-1</f>
        <v>-1.2820512820512775E-2</v>
      </c>
      <c r="BM111" s="861">
        <f>Operations!BM120/Operations!BH120-1</f>
        <v>6.1538461538461542E-2</v>
      </c>
      <c r="BN111" s="589">
        <f>Operations!BN120/Operations!BI120-1</f>
        <v>9.210526315789469E-2</v>
      </c>
      <c r="BO111" s="589">
        <f>Operations!BO120/Operations!BJ120-1</f>
        <v>0.125</v>
      </c>
      <c r="BP111" s="862">
        <f>Operations!BP120/Operations!BK120-1</f>
        <v>5.7471264367816133E-2</v>
      </c>
      <c r="BQ111" s="538">
        <f>Operations!BQ120/Operations!BL120-1</f>
        <v>8.4415584415584499E-2</v>
      </c>
      <c r="BR111" s="861">
        <f>Operations!BR120/Operations!BM120-1</f>
        <v>0.26086956521739135</v>
      </c>
      <c r="BS111" s="589">
        <f>Operations!BS120/Operations!BN120-1</f>
        <v>0.2168674698795181</v>
      </c>
      <c r="BT111" s="589">
        <f>Operations!BT120/Operations!BO120-1</f>
        <v>0.25555555555555554</v>
      </c>
      <c r="BU111" s="862">
        <f>Operations!BU120/Operations!BP120-1</f>
        <v>3.2608695652173836E-2</v>
      </c>
      <c r="BV111" s="538">
        <f>Operations!BV120/Operations!BQ120-1</f>
        <v>0.18562874251497008</v>
      </c>
      <c r="BW111" s="861">
        <f>Operations!BW120/Operations!BR120-1</f>
        <v>-5.7471264367816133E-2</v>
      </c>
      <c r="BX111" s="589">
        <f>Operations!BX120/Operations!BS120-1</f>
        <v>-8.9108910891089077E-2</v>
      </c>
      <c r="BY111" s="589">
        <f>Operations!BY120/Operations!BT120-1</f>
        <v>3.539823008849563E-2</v>
      </c>
      <c r="BZ111" s="862">
        <f>Operations!BZ120/Operations!BU120-1</f>
        <v>0.15789473684210531</v>
      </c>
      <c r="CA111" s="538">
        <f>Operations!CA120/Operations!BV120-1</f>
        <v>1.2626262626262541E-2</v>
      </c>
      <c r="CB111" s="861">
        <f>Operations!CB120/Operations!BW120-1</f>
        <v>0.23170731707317072</v>
      </c>
      <c r="CC111" s="589">
        <f>Operations!CC120/Operations!BX120-1</f>
        <v>0.17391304347826098</v>
      </c>
      <c r="CD111" s="589">
        <f>Operations!CD120/Operations!BY120-1</f>
        <v>5.1282051282051322E-2</v>
      </c>
      <c r="CE111" s="862">
        <f>Operations!CE120/Operations!BZ120-1</f>
        <v>0</v>
      </c>
      <c r="CF111" s="552">
        <f>Operations!CF120/Operations!CA120-1</f>
        <v>0.10224438902743138</v>
      </c>
      <c r="CG111" s="861">
        <f>Operations!CG120/Operations!CB120-1</f>
        <v>4.9504950495049549E-2</v>
      </c>
      <c r="CH111" s="589">
        <f>Operations!CH120/Operations!CC120-1</f>
        <v>-3.703703703703709E-2</v>
      </c>
      <c r="CI111" s="589">
        <f>Operations!CI120/Operations!CD120-1</f>
        <v>-3.2520325203251987E-2</v>
      </c>
      <c r="CJ111" s="862">
        <f>Operations!CJ120/Operations!CE120-1</f>
        <v>0.16363636363636358</v>
      </c>
      <c r="CK111" s="552">
        <f>Operations!CK120/Operations!CF120-1</f>
        <v>3.3936651583710509E-2</v>
      </c>
      <c r="CL111" s="861">
        <f>Operations!CL120/Operations!CG120-1</f>
        <v>0</v>
      </c>
      <c r="CM111" s="675">
        <v>0.03</v>
      </c>
      <c r="CN111" s="675">
        <v>0.03</v>
      </c>
      <c r="CO111" s="1022">
        <v>0.03</v>
      </c>
      <c r="CP111" s="552">
        <f>Operations!CP120/Operations!CK120-1</f>
        <v>2.3041575492341204E-2</v>
      </c>
      <c r="CQ111" s="1041">
        <v>0.02</v>
      </c>
      <c r="CR111" s="675">
        <v>0.02</v>
      </c>
      <c r="CS111" s="675">
        <v>0.02</v>
      </c>
      <c r="CT111" s="1022">
        <v>0.02</v>
      </c>
      <c r="CU111" s="552">
        <f>Operations!CU120/Operations!CP120-1</f>
        <v>2.000000000000024E-2</v>
      </c>
      <c r="CV111" s="1041">
        <v>0.02</v>
      </c>
      <c r="CW111" s="675">
        <v>0.02</v>
      </c>
      <c r="CX111" s="675">
        <v>0.02</v>
      </c>
      <c r="CY111" s="1022">
        <v>0.02</v>
      </c>
      <c r="CZ111" s="552">
        <f>Operations!CZ120/Operations!CU120-1</f>
        <v>2.0000000000000018E-2</v>
      </c>
    </row>
    <row r="112" spans="1:104" ht="13.5" customHeight="1">
      <c r="A112" s="819"/>
      <c r="B112" s="199" t="s">
        <v>468</v>
      </c>
      <c r="C112" s="199"/>
      <c r="D112" s="542"/>
      <c r="E112" s="542"/>
      <c r="F112" s="542"/>
      <c r="G112" s="542"/>
      <c r="H112" s="496"/>
      <c r="I112" s="538">
        <f>Operations!Q121/Operations!H121-1</f>
        <v>-0.78400000000000003</v>
      </c>
      <c r="J112" s="538"/>
      <c r="K112" s="538"/>
      <c r="L112" s="538"/>
      <c r="M112" s="538"/>
      <c r="N112" s="538">
        <f>Operations!R121/Operations!I121-1</f>
        <v>-0.72906403940886699</v>
      </c>
      <c r="O112" s="538"/>
      <c r="P112" s="538"/>
      <c r="Q112" s="538"/>
      <c r="R112" s="538"/>
      <c r="S112" s="538">
        <f>Operations!S121/Operations!N121-1</f>
        <v>4.8672566371681381E-2</v>
      </c>
      <c r="T112" s="538">
        <f>Operations!T121/Operations!O121-1</f>
        <v>7.2463768115942129E-2</v>
      </c>
      <c r="U112" s="538">
        <f>Operations!U121/Operations!P121-1</f>
        <v>0.20338983050847448</v>
      </c>
      <c r="V112" s="538">
        <f>Operations!V121/Operations!Q121-1</f>
        <v>0.22222222222222232</v>
      </c>
      <c r="W112" s="538">
        <f>Operations!W121/Operations!R121-1</f>
        <v>9.0909090909090828E-2</v>
      </c>
      <c r="X112" s="538">
        <f>Operations!X121/Operations!S121-1</f>
        <v>0.14345991561181437</v>
      </c>
      <c r="Y112" s="538">
        <f>Operations!Y121/Operations!T121-1</f>
        <v>0.20270270270270263</v>
      </c>
      <c r="Z112" s="538">
        <f>Operations!Z121/Operations!U121-1</f>
        <v>0.22535211267605626</v>
      </c>
      <c r="AA112" s="538">
        <f>Operations!AA121/Operations!V121-1</f>
        <v>0.28787878787878785</v>
      </c>
      <c r="AB112" s="538">
        <f>Operations!AB121/Operations!W121-1</f>
        <v>0.35000000000000009</v>
      </c>
      <c r="AC112" s="538">
        <f>Operations!AC121/Operations!X121-1</f>
        <v>0.26199261992619927</v>
      </c>
      <c r="AD112" s="538">
        <f>Operations!AD121/Operations!Y121-1</f>
        <v>7.8651685393258397E-2</v>
      </c>
      <c r="AE112" s="538">
        <f>Operations!AE121/Operations!Z121-1</f>
        <v>4.5977011494252817E-2</v>
      </c>
      <c r="AF112" s="538">
        <f>Operations!AF121/Operations!AA121-1</f>
        <v>-0.12941176470588234</v>
      </c>
      <c r="AG112" s="538">
        <f>Operations!AG121/Operations!AB121-1</f>
        <v>-0.18518518518518523</v>
      </c>
      <c r="AH112" s="538">
        <f>Operations!AH121/Operations!AC121-1</f>
        <v>-4.3859649122807043E-2</v>
      </c>
      <c r="AI112" s="538">
        <f>Operations!AI121/Operations!AD121-1</f>
        <v>-6.25E-2</v>
      </c>
      <c r="AJ112" s="538">
        <f>Operations!AJ121/Operations!AE121-1</f>
        <v>0.27472527472527464</v>
      </c>
      <c r="AK112" s="538">
        <f>Operations!AK121/Operations!AF121-1</f>
        <v>0.56756756756756754</v>
      </c>
      <c r="AL112" s="538">
        <f>Operations!AL121/Operations!AG121-1</f>
        <v>0.92424242424242431</v>
      </c>
      <c r="AM112" s="538">
        <f>Operations!AM121/Operations!AH121-1</f>
        <v>0.37308868501529058</v>
      </c>
      <c r="AN112" s="538">
        <f>Operations!AN121/Operations!AI121-1</f>
        <v>0.51111111111111107</v>
      </c>
      <c r="AO112" s="538">
        <f>Operations!AO121/Operations!AJ121-1</f>
        <v>0.23275862068965525</v>
      </c>
      <c r="AP112" s="538">
        <f>Operations!AP121/Operations!AK121-1</f>
        <v>-8.6206896551723755E-3</v>
      </c>
      <c r="AQ112" s="538">
        <f>Operations!AQ121/Operations!AL121-1</f>
        <v>-0.28346456692913391</v>
      </c>
      <c r="AR112" s="538">
        <f>Operations!AR121/Operations!AM121-1</f>
        <v>8.01781737193763E-2</v>
      </c>
      <c r="AS112" s="861">
        <f>Operations!AS121/Operations!AN121-1</f>
        <v>-0.41176470588235292</v>
      </c>
      <c r="AT112" s="589">
        <f>Operations!AT121/Operations!AO121-1</f>
        <v>-0.46853146853146854</v>
      </c>
      <c r="AU112" s="589">
        <f>Operations!AU121/Operations!AP121-1</f>
        <v>-0.24347826086956526</v>
      </c>
      <c r="AV112" s="862">
        <f>Operations!AV121/Operations!AQ121-1</f>
        <v>-4.3956043956043911E-2</v>
      </c>
      <c r="AW112" s="538">
        <f>Operations!AW121/Operations!AR121-1</f>
        <v>-0.31958762886597936</v>
      </c>
      <c r="AX112" s="861">
        <f>Operations!AX121/Operations!AS121-1</f>
        <v>0.38749999999999996</v>
      </c>
      <c r="AY112" s="589">
        <f>Operations!AY121/Operations!AT121-1</f>
        <v>0.53947368421052633</v>
      </c>
      <c r="AZ112" s="589">
        <f>Operations!AZ121/Operations!AU121-1</f>
        <v>0.4137931034482758</v>
      </c>
      <c r="BA112" s="881">
        <v>0.2</v>
      </c>
      <c r="BB112" s="538">
        <f>Operations!BB121/Operations!AW121-1</f>
        <v>0.39999999999999991</v>
      </c>
      <c r="BC112" s="861">
        <f>Operations!BC121/Operations!AX121-1</f>
        <v>0.20720720720720731</v>
      </c>
      <c r="BD112" s="589">
        <f>Operations!BD121/Operations!AY121-1</f>
        <v>0.10256410256410264</v>
      </c>
      <c r="BE112" s="590">
        <f>Operations!BE121/Operations!AZ121-1</f>
        <v>-4.065040650406504E-2</v>
      </c>
      <c r="BF112" s="953">
        <f>Operations!BF121/Operations!BA121-1</f>
        <v>1.8018018018018056E-2</v>
      </c>
      <c r="BG112" s="552">
        <f>Operations!BG121/Operations!BB121-1</f>
        <v>6.9264069264069361E-2</v>
      </c>
      <c r="BH112" s="983">
        <f>Operations!BH121/Operations!BC121-1</f>
        <v>2.9850746268656803E-2</v>
      </c>
      <c r="BI112" s="589">
        <f>Operations!BI121/Operations!BD121-1</f>
        <v>2.3255813953488413E-2</v>
      </c>
      <c r="BJ112" s="589">
        <f>Operations!BJ121/Operations!BE121-1</f>
        <v>0</v>
      </c>
      <c r="BK112" s="862">
        <f>Operations!BK121/Operations!BF121-1</f>
        <v>-7.9646017699115057E-2</v>
      </c>
      <c r="BL112" s="538">
        <f>Operations!BL121/Operations!BG121-1</f>
        <v>-4.0485829959514552E-3</v>
      </c>
      <c r="BM112" s="861">
        <f>Operations!BM121/Operations!BH121-1</f>
        <v>-0.11594202898550721</v>
      </c>
      <c r="BN112" s="589">
        <f>Operations!BN121/Operations!BI121-1</f>
        <v>-6.0606060606060552E-2</v>
      </c>
      <c r="BO112" s="589">
        <f>Operations!BO121/Operations!BJ121-1</f>
        <v>-4.2372881355932202E-2</v>
      </c>
      <c r="BP112" s="862">
        <f>Operations!BP121/Operations!BK121-1</f>
        <v>0.10576923076923084</v>
      </c>
      <c r="BQ112" s="538">
        <f>Operations!BQ121/Operations!BL121-1</f>
        <v>-3.6585365853658569E-2</v>
      </c>
      <c r="BR112" s="861">
        <f>Operations!BR121/Operations!BM121-1</f>
        <v>0.13114754098360648</v>
      </c>
      <c r="BS112" s="589">
        <f>Operations!BS121/Operations!BN121-1</f>
        <v>7.2580645161290258E-2</v>
      </c>
      <c r="BT112" s="589">
        <f>Operations!BT121/Operations!BO121-1</f>
        <v>0.1415929203539823</v>
      </c>
      <c r="BU112" s="862">
        <f>Operations!BU121/Operations!BP121-1</f>
        <v>-9.5652173913043481E-2</v>
      </c>
      <c r="BV112" s="538">
        <f>Operations!BV121/Operations!BQ121-1</f>
        <v>6.3291139240506222E-2</v>
      </c>
      <c r="BW112" s="861">
        <f>Operations!BW121/Operations!BR121-1</f>
        <v>-5.7971014492753659E-2</v>
      </c>
      <c r="BX112" s="589">
        <f>Operations!BX121/Operations!BS121-1</f>
        <v>-0.12030075187969924</v>
      </c>
      <c r="BY112" s="589">
        <f>Operations!BY121/Operations!BT121-1</f>
        <v>-0.1705426356589147</v>
      </c>
      <c r="BZ112" s="862">
        <f>Operations!BZ121/Operations!BU121-1</f>
        <v>-8.6538461538461564E-2</v>
      </c>
      <c r="CA112" s="538">
        <f>Operations!CA121/Operations!BV121-1</f>
        <v>-0.10912698412698407</v>
      </c>
      <c r="CB112" s="861">
        <f>Operations!CB121/Operations!BW121-1</f>
        <v>-8.4615384615384648E-2</v>
      </c>
      <c r="CC112" s="589">
        <f>Operations!CC121/Operations!BX121-1</f>
        <v>-5.9829059829059839E-2</v>
      </c>
      <c r="CD112" s="589">
        <f>Operations!CD121/Operations!BY121-1</f>
        <v>-7.4766355140186924E-2</v>
      </c>
      <c r="CE112" s="862">
        <f>Operations!CE121/Operations!BZ121-1</f>
        <v>3.1578947368421151E-2</v>
      </c>
      <c r="CF112" s="552">
        <f>Operations!CF121/Operations!CA121-1</f>
        <v>-5.1224944320712673E-2</v>
      </c>
      <c r="CG112" s="861">
        <f>Operations!CG121/Operations!CB121-1</f>
        <v>2.5210084033613356E-2</v>
      </c>
      <c r="CH112" s="589">
        <f>Operations!CH121/Operations!CC121-1</f>
        <v>9.0909090909090828E-2</v>
      </c>
      <c r="CI112" s="589">
        <f>Operations!CI121/Operations!CD121-1</f>
        <v>0.20202020202020199</v>
      </c>
      <c r="CJ112" s="862">
        <f>Operations!CJ121/Operations!CE121-1</f>
        <v>0.28571428571428581</v>
      </c>
      <c r="CK112" s="552">
        <f>Operations!CK121/Operations!CF121-1</f>
        <v>0.14319248826291076</v>
      </c>
      <c r="CL112" s="861">
        <f>Operations!CL121/Operations!CG121-1</f>
        <v>0.20491803278688514</v>
      </c>
      <c r="CM112" s="675">
        <v>0.03</v>
      </c>
      <c r="CN112" s="675">
        <v>0.03</v>
      </c>
      <c r="CO112" s="1022">
        <v>0.03</v>
      </c>
      <c r="CP112" s="552">
        <f>Operations!CP121/Operations!CK121-1</f>
        <v>7.3819301848049301E-2</v>
      </c>
      <c r="CQ112" s="1041">
        <v>0.02</v>
      </c>
      <c r="CR112" s="675">
        <v>0.02</v>
      </c>
      <c r="CS112" s="675">
        <v>0.02</v>
      </c>
      <c r="CT112" s="1022">
        <v>0.02</v>
      </c>
      <c r="CU112" s="552">
        <f>Operations!CU121/Operations!CP121-1</f>
        <v>1.9999999999999796E-2</v>
      </c>
      <c r="CV112" s="1041">
        <v>0.02</v>
      </c>
      <c r="CW112" s="675">
        <v>0.02</v>
      </c>
      <c r="CX112" s="675">
        <v>0.02</v>
      </c>
      <c r="CY112" s="1022">
        <v>0.02</v>
      </c>
      <c r="CZ112" s="552">
        <f>Operations!CZ121/Operations!CU121-1</f>
        <v>2.0000000000000018E-2</v>
      </c>
    </row>
    <row r="113" spans="1:113" ht="13.5" customHeight="1">
      <c r="A113" s="819"/>
      <c r="B113" s="453" t="s">
        <v>228</v>
      </c>
      <c r="C113" s="66"/>
      <c r="D113" s="542"/>
      <c r="E113" s="542"/>
      <c r="F113" s="542"/>
      <c r="G113" s="542"/>
      <c r="H113" s="496"/>
      <c r="I113" s="496"/>
      <c r="J113" s="496"/>
      <c r="K113" s="496"/>
      <c r="L113" s="496"/>
      <c r="M113" s="496"/>
      <c r="N113" s="496"/>
      <c r="O113" s="496"/>
      <c r="P113" s="496"/>
      <c r="Q113" s="496"/>
      <c r="R113" s="496"/>
      <c r="S113" s="496"/>
      <c r="T113" s="496"/>
      <c r="U113" s="496"/>
      <c r="V113" s="496"/>
      <c r="W113" s="496"/>
      <c r="X113" s="496"/>
      <c r="Y113" s="496"/>
      <c r="Z113" s="496"/>
      <c r="AA113" s="496"/>
      <c r="AB113" s="496"/>
      <c r="AC113" s="496"/>
      <c r="AD113" s="496"/>
      <c r="AE113" s="496"/>
      <c r="AF113" s="496"/>
      <c r="AG113" s="496"/>
      <c r="AH113" s="496"/>
      <c r="AI113" s="496"/>
      <c r="AJ113" s="496"/>
      <c r="AK113" s="496"/>
      <c r="AL113" s="496"/>
      <c r="AM113" s="496"/>
      <c r="AN113" s="551">
        <f>Operations!AN122/Operations!AI122-1</f>
        <v>3.4749999999999996</v>
      </c>
      <c r="AO113" s="538">
        <f>Operations!AO122/Operations!AJ122-1</f>
        <v>0.41463414634146334</v>
      </c>
      <c r="AP113" s="538">
        <f>Operations!AP122/Operations!AK122-1</f>
        <v>0.42541436464088389</v>
      </c>
      <c r="AQ113" s="538">
        <f>Operations!AQ122/Operations!AL122-1</f>
        <v>0.44444444444444442</v>
      </c>
      <c r="AR113" s="538">
        <f>Operations!AR122/Operations!AM122-1</f>
        <v>0.63807890222984565</v>
      </c>
      <c r="AS113" s="861">
        <f>Operations!AS122/Operations!AN122-1</f>
        <v>0.16201117318435765</v>
      </c>
      <c r="AT113" s="589">
        <f>Operations!AT122/Operations!AO122-1</f>
        <v>9.9137931034482651E-2</v>
      </c>
      <c r="AU113" s="589">
        <f>Operations!AU122/Operations!AP122-1</f>
        <v>8.5271317829457294E-2</v>
      </c>
      <c r="AV113" s="862">
        <f>Operations!AV122/Operations!AQ122-1</f>
        <v>-0.26223776223776218</v>
      </c>
      <c r="AW113" s="538">
        <f>Operations!AW122/Operations!AR122-1</f>
        <v>-1.0471204188481353E-3</v>
      </c>
      <c r="AX113" s="861">
        <f>Operations!AX122/Operations!AS122-1</f>
        <v>-6.7307692307692291E-2</v>
      </c>
      <c r="AY113" s="589">
        <f>Operations!AY122/Operations!AT122-1</f>
        <v>4.3137254901960853E-2</v>
      </c>
      <c r="AZ113" s="589">
        <f>Operations!AZ122/Operations!AU122-1</f>
        <v>3.9285714285714368E-2</v>
      </c>
      <c r="BA113" s="881">
        <v>0.05</v>
      </c>
      <c r="BB113" s="538">
        <f>Operations!BB122/Operations!AW122-1</f>
        <v>2.8301886792452935E-2</v>
      </c>
      <c r="BC113" s="861">
        <f>Operations!BC122/Operations!AX122-1</f>
        <v>0.13917525773195871</v>
      </c>
      <c r="BD113" s="589">
        <f>Operations!BD122/Operations!AY122-1</f>
        <v>3.3834586466165328E-2</v>
      </c>
      <c r="BE113" s="590">
        <f>Operations!BE122/Operations!AZ122-1</f>
        <v>7.2164948453608213E-2</v>
      </c>
      <c r="BF113" s="953">
        <f>Operations!BF122/Operations!BA122-1</f>
        <v>0.15652173913043477</v>
      </c>
      <c r="BG113" s="552">
        <f>Operations!BG122/Operations!BB122-1</f>
        <v>9.4801223241590238E-2</v>
      </c>
      <c r="BH113" s="983">
        <f>Operations!BH122/Operations!BC122-1</f>
        <v>0.13122171945701355</v>
      </c>
      <c r="BI113" s="589">
        <f>Operations!BI122/Operations!BD122-1</f>
        <v>0.1709090909090909</v>
      </c>
      <c r="BJ113" s="589">
        <f>Operations!BJ122/Operations!BE122-1</f>
        <v>9.935897435897445E-2</v>
      </c>
      <c r="BK113" s="862">
        <f>Operations!BK122/Operations!BF122-1</f>
        <v>-3.7593984962406291E-3</v>
      </c>
      <c r="BL113" s="538">
        <f>Operations!BL122/Operations!BG122-1</f>
        <v>9.8696461824953508E-2</v>
      </c>
      <c r="BM113" s="861">
        <f>Operations!BM122/Operations!BH122-1</f>
        <v>-8.7999999999999967E-2</v>
      </c>
      <c r="BN113" s="589">
        <f>Operations!BN122/Operations!BI122-1</f>
        <v>-0.13043478260869568</v>
      </c>
      <c r="BO113" s="589">
        <f>Operations!BO122/Operations!BJ122-1</f>
        <v>-0.11078717201166177</v>
      </c>
      <c r="BP113" s="862">
        <f>Operations!BP122/Operations!BK122-1</f>
        <v>-4.9056603773584895E-2</v>
      </c>
      <c r="BQ113" s="538">
        <f>Operations!BQ122/Operations!BL122-1</f>
        <v>-9.745762711864403E-2</v>
      </c>
      <c r="BR113" s="861">
        <f>Operations!BR122/Operations!BM122-1</f>
        <v>4.8245614035087758E-2</v>
      </c>
      <c r="BS113" s="589">
        <f>Operations!BS122/Operations!BN122-1</f>
        <v>0.14642857142857135</v>
      </c>
      <c r="BT113" s="589">
        <f>Operations!BT122/Operations!BO122-1</f>
        <v>0.12131147540983611</v>
      </c>
      <c r="BU113" s="862">
        <f>Operations!BU122/Operations!BP122-1</f>
        <v>0.12301587301587302</v>
      </c>
      <c r="BV113" s="538">
        <f>Operations!BV122/Operations!BQ122-1</f>
        <v>0.11267605633802824</v>
      </c>
      <c r="BW113" s="861">
        <f>Operations!BW122/Operations!BR122-1</f>
        <v>9.6234309623431047E-2</v>
      </c>
      <c r="BX113" s="589">
        <f>Operations!BX122/Operations!BS122-1</f>
        <v>9.3457943925232545E-3</v>
      </c>
      <c r="BY113" s="589">
        <f>Operations!BY122/Operations!BT122-1</f>
        <v>-8.7719298245614308E-3</v>
      </c>
      <c r="BZ113" s="862">
        <f>Operations!BZ122/Operations!BU122-1</f>
        <v>-6.360424028268552E-2</v>
      </c>
      <c r="CA113" s="538">
        <f>Operations!CA122/Operations!BV122-1</f>
        <v>4.2194092827003704E-3</v>
      </c>
      <c r="CB113" s="861">
        <f>Operations!CB122/Operations!BW122-1</f>
        <v>-7.6335877862595436E-2</v>
      </c>
      <c r="CC113" s="589">
        <f>Operations!CC122/Operations!BX122-1</f>
        <v>-6.1728395061728447E-2</v>
      </c>
      <c r="CD113" s="589">
        <f>Operations!CD122/Operations!BY122-1</f>
        <v>-8.259587020648973E-2</v>
      </c>
      <c r="CE113" s="862">
        <f>Operations!CE122/Operations!BZ122-1</f>
        <v>-2.6415094339622636E-2</v>
      </c>
      <c r="CF113" s="552">
        <f>Operations!CF122/Operations!CA122-1</f>
        <v>-6.3025210084033612E-2</v>
      </c>
      <c r="CG113" s="861">
        <f>Operations!CG122/Operations!CB122-1</f>
        <v>2.0661157024793431E-2</v>
      </c>
      <c r="CH113" s="589">
        <f>Operations!CH122/Operations!CC122-1</f>
        <v>-4.2763157894736836E-2</v>
      </c>
      <c r="CI113" s="589">
        <f>Operations!CI122/Operations!CD122-1</f>
        <v>2.5723472668810254E-2</v>
      </c>
      <c r="CJ113" s="862">
        <f>Operations!CJ122/Operations!CE122-1</f>
        <v>0.10465116279069764</v>
      </c>
      <c r="CK113" s="552">
        <f>Operations!CK122/Operations!CF122-1</f>
        <v>2.4215246636771326E-2</v>
      </c>
      <c r="CL113" s="861">
        <f>Operations!CL122/Operations!CG122-1</f>
        <v>0.17408906882591091</v>
      </c>
      <c r="CM113" s="675">
        <v>0.03</v>
      </c>
      <c r="CN113" s="675">
        <v>0.03</v>
      </c>
      <c r="CO113" s="1022">
        <v>0.03</v>
      </c>
      <c r="CP113" s="552">
        <f>Operations!CP122/Operations!CK122-1</f>
        <v>6.1164623467600654E-2</v>
      </c>
      <c r="CQ113" s="1041">
        <v>0.02</v>
      </c>
      <c r="CR113" s="675">
        <v>0.02</v>
      </c>
      <c r="CS113" s="675">
        <v>0.02</v>
      </c>
      <c r="CT113" s="1022">
        <v>0.02</v>
      </c>
      <c r="CU113" s="552">
        <f>Operations!CU122/Operations!CP122-1</f>
        <v>2.0000000000000018E-2</v>
      </c>
      <c r="CV113" s="1041">
        <v>0.02</v>
      </c>
      <c r="CW113" s="675">
        <v>0.02</v>
      </c>
      <c r="CX113" s="675">
        <v>0.02</v>
      </c>
      <c r="CY113" s="1022">
        <v>0.02</v>
      </c>
      <c r="CZ113" s="552">
        <f>Operations!CZ122/Operations!CU122-1</f>
        <v>2.0000000000000018E-2</v>
      </c>
    </row>
    <row r="114" spans="1:113" ht="13.5" customHeight="1">
      <c r="A114" s="819"/>
      <c r="B114" s="453" t="s">
        <v>690</v>
      </c>
      <c r="C114" s="66"/>
      <c r="D114" s="542"/>
      <c r="E114" s="542"/>
      <c r="F114" s="542"/>
      <c r="G114" s="542"/>
      <c r="H114" s="496"/>
      <c r="I114" s="496"/>
      <c r="J114" s="496"/>
      <c r="K114" s="496"/>
      <c r="L114" s="496"/>
      <c r="M114" s="496"/>
      <c r="N114" s="496"/>
      <c r="O114" s="496"/>
      <c r="P114" s="496"/>
      <c r="Q114" s="496"/>
      <c r="R114" s="496"/>
      <c r="S114" s="496"/>
      <c r="T114" s="496"/>
      <c r="U114" s="496"/>
      <c r="V114" s="496"/>
      <c r="W114" s="496"/>
      <c r="X114" s="496"/>
      <c r="Y114" s="496"/>
      <c r="Z114" s="496"/>
      <c r="AA114" s="496"/>
      <c r="AB114" s="496"/>
      <c r="AC114" s="496"/>
      <c r="AD114" s="496"/>
      <c r="AE114" s="496"/>
      <c r="AF114" s="496"/>
      <c r="AG114" s="496"/>
      <c r="AH114" s="496"/>
      <c r="AI114" s="496"/>
      <c r="AJ114" s="496"/>
      <c r="AK114" s="496"/>
      <c r="AL114" s="496"/>
      <c r="AM114" s="496"/>
      <c r="AN114" s="551"/>
      <c r="AO114" s="538"/>
      <c r="AP114" s="538"/>
      <c r="AQ114" s="538"/>
      <c r="AR114" s="538"/>
      <c r="AS114" s="861"/>
      <c r="AT114" s="589"/>
      <c r="AU114" s="589"/>
      <c r="AV114" s="862"/>
      <c r="AW114" s="538"/>
      <c r="AX114" s="861"/>
      <c r="AY114" s="589"/>
      <c r="AZ114" s="589"/>
      <c r="BA114" s="881"/>
      <c r="BB114" s="538"/>
      <c r="BC114" s="861"/>
      <c r="BD114" s="589"/>
      <c r="BE114" s="590"/>
      <c r="BF114" s="953"/>
      <c r="BG114" s="552"/>
      <c r="BH114" s="983"/>
      <c r="BI114" s="589"/>
      <c r="BJ114" s="589"/>
      <c r="BK114" s="862"/>
      <c r="BL114" s="538"/>
      <c r="BM114" s="861"/>
      <c r="BN114" s="589"/>
      <c r="BO114" s="589"/>
      <c r="BP114" s="862"/>
      <c r="BQ114" s="538"/>
      <c r="BR114" s="861"/>
      <c r="BS114" s="589"/>
      <c r="BT114" s="589"/>
      <c r="BU114" s="862"/>
      <c r="BV114" s="538"/>
      <c r="BW114" s="861"/>
      <c r="BX114" s="589"/>
      <c r="BY114" s="589"/>
      <c r="BZ114" s="862"/>
      <c r="CA114" s="538"/>
      <c r="CB114" s="861"/>
      <c r="CC114" s="589"/>
      <c r="CD114" s="589"/>
      <c r="CE114" s="862"/>
      <c r="CF114" s="552"/>
      <c r="CG114" s="861"/>
      <c r="CH114" s="589"/>
      <c r="CI114" s="589"/>
      <c r="CJ114" s="862"/>
      <c r="CK114" s="552"/>
      <c r="CL114" s="861">
        <f>Operations!CL123/Operations!CG123-1</f>
        <v>5.8823529411764719E-2</v>
      </c>
      <c r="CM114" s="675">
        <v>0.05</v>
      </c>
      <c r="CN114" s="675">
        <v>0.05</v>
      </c>
      <c r="CO114" s="1022">
        <v>0.05</v>
      </c>
      <c r="CP114" s="552">
        <f>Operations!CP123/Operations!CK123-1</f>
        <v>5.1861702127659504E-2</v>
      </c>
      <c r="CQ114" s="1041">
        <v>0.02</v>
      </c>
      <c r="CR114" s="675">
        <v>0.02</v>
      </c>
      <c r="CS114" s="675">
        <v>0.02</v>
      </c>
      <c r="CT114" s="1022">
        <v>0.02</v>
      </c>
      <c r="CU114" s="552">
        <f>Operations!CU123/Operations!CP123-1</f>
        <v>2.000000000000024E-2</v>
      </c>
      <c r="CV114" s="1041">
        <v>0.02</v>
      </c>
      <c r="CW114" s="675">
        <v>0.02</v>
      </c>
      <c r="CX114" s="675">
        <v>0.02</v>
      </c>
      <c r="CY114" s="1022">
        <v>0.02</v>
      </c>
      <c r="CZ114" s="552">
        <f>Operations!CZ123/Operations!CU123-1</f>
        <v>1.9999999999999796E-2</v>
      </c>
    </row>
    <row r="115" spans="1:113" ht="13.5" customHeight="1">
      <c r="A115" s="819"/>
      <c r="B115" s="497" t="s">
        <v>642</v>
      </c>
      <c r="C115" s="199"/>
      <c r="D115" s="542"/>
      <c r="E115" s="542"/>
      <c r="F115" s="542"/>
      <c r="G115" s="542"/>
      <c r="H115" s="530"/>
      <c r="I115" s="538"/>
      <c r="J115" s="538"/>
      <c r="K115" s="538"/>
      <c r="L115" s="538"/>
      <c r="M115" s="538"/>
      <c r="N115" s="538"/>
      <c r="O115" s="538"/>
      <c r="P115" s="538"/>
      <c r="Q115" s="538"/>
      <c r="R115" s="538"/>
      <c r="S115" s="538"/>
      <c r="T115" s="538"/>
      <c r="U115" s="538"/>
      <c r="V115" s="538"/>
      <c r="W115" s="538"/>
      <c r="X115" s="538"/>
      <c r="Y115" s="538"/>
      <c r="Z115" s="538"/>
      <c r="AA115" s="538"/>
      <c r="AB115" s="538"/>
      <c r="AC115" s="538"/>
      <c r="AD115" s="538"/>
      <c r="AE115" s="538"/>
      <c r="AF115" s="538"/>
      <c r="AG115" s="538"/>
      <c r="AH115" s="538"/>
      <c r="AI115" s="538"/>
      <c r="AJ115" s="538"/>
      <c r="AK115" s="538"/>
      <c r="AL115" s="538"/>
      <c r="AM115" s="538"/>
      <c r="AN115" s="538"/>
      <c r="AO115" s="538"/>
      <c r="AP115" s="538"/>
      <c r="AQ115" s="538"/>
      <c r="AR115" s="538"/>
      <c r="AS115" s="861"/>
      <c r="AT115" s="589"/>
      <c r="AU115" s="589"/>
      <c r="AV115" s="862"/>
      <c r="AW115" s="538"/>
      <c r="AX115" s="941"/>
      <c r="AY115" s="589"/>
      <c r="AZ115" s="589"/>
      <c r="BA115" s="881"/>
      <c r="BB115" s="538"/>
      <c r="BC115" s="861"/>
      <c r="BD115" s="589"/>
      <c r="BE115" s="590"/>
      <c r="BF115" s="953"/>
      <c r="BG115" s="552"/>
      <c r="BH115" s="983"/>
      <c r="BI115" s="589"/>
      <c r="BJ115" s="589"/>
      <c r="BK115" s="862"/>
      <c r="BL115" s="538"/>
      <c r="BM115" s="861"/>
      <c r="BN115" s="589"/>
      <c r="BO115" s="589"/>
      <c r="BP115" s="862"/>
      <c r="BQ115" s="538"/>
      <c r="BR115" s="861"/>
      <c r="BS115" s="589"/>
      <c r="BT115" s="589"/>
      <c r="BU115" s="862"/>
      <c r="BV115" s="538"/>
      <c r="BW115" s="861"/>
      <c r="BX115" s="589"/>
      <c r="BY115" s="589"/>
      <c r="BZ115" s="862"/>
      <c r="CA115" s="538"/>
      <c r="CB115" s="861"/>
      <c r="CC115" s="589"/>
      <c r="CD115" s="589"/>
      <c r="CE115" s="862"/>
      <c r="CF115" s="552"/>
      <c r="CG115" s="861"/>
      <c r="CH115" s="589"/>
      <c r="CI115" s="589"/>
      <c r="CJ115" s="862">
        <f>Operations!CJ124/Operations!CE124-1</f>
        <v>1.7439024390243905</v>
      </c>
      <c r="CK115" s="552">
        <f>Operations!CK124/Operations!CF124-1</f>
        <v>10.182926829268293</v>
      </c>
      <c r="CL115" s="861">
        <f>Operations!CL124/Operations!CG124-1</f>
        <v>0.27354260089686089</v>
      </c>
      <c r="CM115" s="675">
        <v>0.15</v>
      </c>
      <c r="CN115" s="675">
        <v>0.15</v>
      </c>
      <c r="CO115" s="1022">
        <v>0.15</v>
      </c>
      <c r="CP115" s="552">
        <f>Operations!CP124/Operations!CK124-1</f>
        <v>0.18004362050163558</v>
      </c>
      <c r="CQ115" s="1041">
        <v>0.02</v>
      </c>
      <c r="CR115" s="675">
        <v>0.02</v>
      </c>
      <c r="CS115" s="675">
        <v>0.02</v>
      </c>
      <c r="CT115" s="1022">
        <v>0.02</v>
      </c>
      <c r="CU115" s="552">
        <f>Operations!CU124/Operations!CP124-1</f>
        <v>2.0000000000000018E-2</v>
      </c>
      <c r="CV115" s="1041">
        <v>0.02</v>
      </c>
      <c r="CW115" s="675">
        <v>0.02</v>
      </c>
      <c r="CX115" s="675">
        <v>0.02</v>
      </c>
      <c r="CY115" s="1022">
        <v>0.02</v>
      </c>
      <c r="CZ115" s="552">
        <f>Operations!CZ124/Operations!CU124-1</f>
        <v>2.0000000000000018E-2</v>
      </c>
    </row>
    <row r="116" spans="1:113" ht="13.5" customHeight="1">
      <c r="A116" s="819"/>
      <c r="B116" s="199" t="s">
        <v>304</v>
      </c>
      <c r="C116" s="199"/>
      <c r="D116" s="542"/>
      <c r="E116" s="542"/>
      <c r="F116" s="542"/>
      <c r="G116" s="542"/>
      <c r="H116" s="496"/>
      <c r="I116" s="538">
        <f>Operations!Q125/Operations!H125-1</f>
        <v>-0.84536082474226804</v>
      </c>
      <c r="J116" s="538"/>
      <c r="K116" s="538"/>
      <c r="L116" s="538"/>
      <c r="M116" s="538"/>
      <c r="N116" s="538">
        <f>Operations!R125/Operations!I125-1</f>
        <v>-0.73809523809523814</v>
      </c>
      <c r="O116" s="538"/>
      <c r="P116" s="538"/>
      <c r="Q116" s="538"/>
      <c r="R116" s="538"/>
      <c r="S116" s="538">
        <f>Operations!S125/Operations!N125-1</f>
        <v>6.3636363636363713E-2</v>
      </c>
      <c r="T116" s="538">
        <f>Operations!T125/Operations!O125-1</f>
        <v>0.3214285714285714</v>
      </c>
      <c r="U116" s="538">
        <f>Operations!U125/Operations!P125-1</f>
        <v>0.65384615384615374</v>
      </c>
      <c r="V116" s="538">
        <f>Operations!V125/Operations!Q125-1</f>
        <v>0.5</v>
      </c>
      <c r="W116" s="538">
        <f>Operations!W125/Operations!R125-1</f>
        <v>0.21212121212121215</v>
      </c>
      <c r="X116" s="538">
        <f>Operations!X125/Operations!S125-1</f>
        <v>0.41025641025641035</v>
      </c>
      <c r="Y116" s="538">
        <f>Operations!Y125/Operations!T125-1</f>
        <v>-5.4054054054054057E-2</v>
      </c>
      <c r="Z116" s="538">
        <f>Operations!Z125/Operations!U125-1</f>
        <v>0</v>
      </c>
      <c r="AA116" s="538">
        <f>Operations!AA125/Operations!V125-1</f>
        <v>-2.2222222222222254E-2</v>
      </c>
      <c r="AB116" s="538">
        <f>Operations!AB125/Operations!W125-1</f>
        <v>0.17500000000000004</v>
      </c>
      <c r="AC116" s="538">
        <f>Operations!AC125/Operations!X125-1</f>
        <v>2.4242424242424176E-2</v>
      </c>
      <c r="AD116" s="538">
        <f>Operations!AD125/Operations!Y125-1</f>
        <v>8.5714285714285632E-2</v>
      </c>
      <c r="AE116" s="538">
        <f>Operations!AE125/Operations!Z125-1</f>
        <v>-2.3255813953488413E-2</v>
      </c>
      <c r="AF116" s="538">
        <f>Operations!AF125/Operations!AA125-1</f>
        <v>0.11363636363636354</v>
      </c>
      <c r="AG116" s="538">
        <f>Operations!AG125/Operations!AB125-1</f>
        <v>-4.2553191489361653E-2</v>
      </c>
      <c r="AH116" s="538">
        <f>Operations!AH125/Operations!AC125-1</f>
        <v>2.9585798816567976E-2</v>
      </c>
      <c r="AI116" s="551">
        <f>Operations!AI125/Operations!AD125-1</f>
        <v>0.76315789473684204</v>
      </c>
      <c r="AJ116" s="551">
        <f>Operations!AJ125/Operations!AE125-1</f>
        <v>3.3095238095238093</v>
      </c>
      <c r="AK116" s="551">
        <f>Operations!AK125/Operations!AF125-1</f>
        <v>2.4489795918367347</v>
      </c>
      <c r="AL116" s="551">
        <f>Operations!AL125/Operations!AG125-1</f>
        <v>4.2444444444444445</v>
      </c>
      <c r="AM116" s="538">
        <f>Operations!AM125/Operations!AH125-1</f>
        <v>2.7528735632183907</v>
      </c>
      <c r="AN116" s="551">
        <f>Operations!AN125/Operations!AI125-1</f>
        <v>9.3283582089552244</v>
      </c>
      <c r="AO116" s="551">
        <f>Operations!AO125/Operations!AJ125-1</f>
        <v>8.3149171270718227</v>
      </c>
      <c r="AP116" s="551">
        <f>Operations!AP125/Operations!AK125-1</f>
        <v>7.2130177514792901</v>
      </c>
      <c r="AQ116" s="551">
        <f>Operations!AQ125/Operations!AL125-1</f>
        <v>2.4449152542372881</v>
      </c>
      <c r="AR116" s="538">
        <f>Operations!AR125/Operations!AM125-1</f>
        <v>6.0122511485451762</v>
      </c>
      <c r="AS116" s="861">
        <f>Operations!AS125/Operations!AN125-1</f>
        <v>0.23121387283237005</v>
      </c>
      <c r="AT116" s="589">
        <f>Operations!AT125/Operations!AO125-1</f>
        <v>-0.36061684460260968</v>
      </c>
      <c r="AU116" s="589">
        <f>Operations!AU125/Operations!AP125-1</f>
        <v>-0.35951008645533145</v>
      </c>
      <c r="AV116" s="862">
        <f>Operations!AV125/Operations!AQ125-1</f>
        <v>1.3530135301353052E-2</v>
      </c>
      <c r="AW116" s="538">
        <f>Operations!AW125/Operations!AR125-1</f>
        <v>-0.20441144354662588</v>
      </c>
      <c r="AX116" s="861">
        <f>Operations!AX125/Operations!AS125-1</f>
        <v>0.17253521126760574</v>
      </c>
      <c r="AY116" s="589">
        <f>Operations!AY125/Operations!AT125-1</f>
        <v>1.7625231910946226E-2</v>
      </c>
      <c r="AZ116" s="589">
        <f>Operations!AZ125/Operations!AU125-1</f>
        <v>0.20809898762654666</v>
      </c>
      <c r="BA116" s="862">
        <f>Operations!BA125/Operations!AV125-1</f>
        <v>0.21723300970873782</v>
      </c>
      <c r="BB116" s="538">
        <f>Operations!BB125/Operations!AW125-1</f>
        <v>0.14548449080428227</v>
      </c>
      <c r="BC116" s="861">
        <f>Operations!BC125/Operations!AX125-1</f>
        <v>6.7067067067066999E-2</v>
      </c>
      <c r="BD116" s="589">
        <f>Operations!BD125/Operations!AY125-1</f>
        <v>-9.4804010938924321E-2</v>
      </c>
      <c r="BE116" s="590">
        <f>Operations!BE125/Operations!AZ125-1</f>
        <v>-7.2625698324022325E-2</v>
      </c>
      <c r="BF116" s="953">
        <f>Operations!BF125/Operations!BA125-1</f>
        <v>2.193419740777669E-2</v>
      </c>
      <c r="BG116" s="552">
        <f>Operations!BG125/Operations!BB125-1</f>
        <v>-2.2286125089863384E-2</v>
      </c>
      <c r="BH116" s="861">
        <f>Operations!BH125/Operations!BC125-1</f>
        <v>-0.23639774859287055</v>
      </c>
      <c r="BI116" s="589">
        <f>Operations!BI125/Operations!BD125-1</f>
        <v>-0.12286002014098696</v>
      </c>
      <c r="BJ116" s="589">
        <f>Operations!BJ125/Operations!BE125-1</f>
        <v>-0.1606425702811245</v>
      </c>
      <c r="BK116" s="862">
        <f>Operations!BK125/Operations!BF125-1</f>
        <v>-0.19317073170731702</v>
      </c>
      <c r="BL116" s="538">
        <f>Operations!BL125/Operations!BG125-1</f>
        <v>-0.17941176470588238</v>
      </c>
      <c r="BM116" s="861">
        <f>Operations!BM125/Operations!BH125-1</f>
        <v>8.3538083538083452E-2</v>
      </c>
      <c r="BN116" s="589">
        <f>Operations!BN125/Operations!BI125-1</f>
        <v>0.13318025258323773</v>
      </c>
      <c r="BO116" s="589">
        <f>Operations!BO125/Operations!BJ125-1</f>
        <v>0.1148325358851674</v>
      </c>
      <c r="BP116" s="862">
        <f>Operations!BP125/Operations!BK125-1</f>
        <v>0.18621523579201926</v>
      </c>
      <c r="BQ116" s="538">
        <f>Operations!BQ125/Operations!BL125-1</f>
        <v>0.12962962962962954</v>
      </c>
      <c r="BR116" s="861">
        <f>Operations!BR125/Operations!BM125-1</f>
        <v>0.17120181405895685</v>
      </c>
      <c r="BS116" s="589">
        <f>Operations!BS125/Operations!BN125-1</f>
        <v>8.6119554204660664E-2</v>
      </c>
      <c r="BT116" s="589">
        <f>Operations!BT125/Operations!BO125-1</f>
        <v>0.31008583690987135</v>
      </c>
      <c r="BU116" s="862">
        <f>Operations!BU125/Operations!BP125-1</f>
        <v>-8.256880733944949E-2</v>
      </c>
      <c r="BV116" s="538">
        <f>Operations!BV125/Operations!BQ125-1</f>
        <v>0.11739820200951878</v>
      </c>
      <c r="BW116" s="861">
        <f>Operations!BW125/Operations!BR125-1</f>
        <v>-0.12197483059051306</v>
      </c>
      <c r="BX116" s="589">
        <f>Operations!BX125/Operations!BS125-1</f>
        <v>-0.20988805970149249</v>
      </c>
      <c r="BY116" s="589">
        <f>Operations!BY125/Operations!BT125-1</f>
        <v>-0.38083538083538082</v>
      </c>
      <c r="BZ116" s="862">
        <f>Operations!BZ125/Operations!BU125-1</f>
        <v>-0.22555555555555551</v>
      </c>
      <c r="CA116" s="538">
        <f>Operations!CA125/Operations!BV125-1</f>
        <v>-0.24112636062470416</v>
      </c>
      <c r="CB116" s="861">
        <f>Operations!CB125/Operations!BW125-1</f>
        <v>-0.24035281146637266</v>
      </c>
      <c r="CC116" s="589">
        <f>Operations!CC125/Operations!BX125-1</f>
        <v>-0.10507674144037782</v>
      </c>
      <c r="CD116" s="590">
        <f>Operations!CD125/Operations!BY125-1</f>
        <v>7.9365079365079083E-3</v>
      </c>
      <c r="CE116" s="953">
        <f>Operations!CE125/Operations!BZ125-1</f>
        <v>0.18507890961262552</v>
      </c>
      <c r="CF116" s="552">
        <f>Operations!CF125/Operations!CA125-1</f>
        <v>-5.3632678515746823E-2</v>
      </c>
      <c r="CG116" s="861">
        <f>Operations!CG125/Operations!CB125-1</f>
        <v>0.16981132075471694</v>
      </c>
      <c r="CH116" s="986">
        <f>Operations!CH125/Operations!CC125-1</f>
        <v>6.4643799472295482E-2</v>
      </c>
      <c r="CI116" s="986">
        <f>Operations!CI125/Operations!CD125-1</f>
        <v>9.9737532808398921E-2</v>
      </c>
      <c r="CJ116" s="963">
        <f>Operations!CJ125/Operations!CE125-1</f>
        <v>4.7215496368038679E-2</v>
      </c>
      <c r="CK116" s="552">
        <f>Operations!CK125/Operations!CF125-1</f>
        <v>9.2586490939044586E-2</v>
      </c>
      <c r="CL116" s="861">
        <f>Operations!CL125/Operations!CG125-1</f>
        <v>0.10794044665012414</v>
      </c>
      <c r="CM116" s="675">
        <v>0.03</v>
      </c>
      <c r="CN116" s="675">
        <v>0.03</v>
      </c>
      <c r="CO116" s="1022">
        <v>0.03</v>
      </c>
      <c r="CP116" s="552">
        <f>Operations!CP125/Operations!CK125-1</f>
        <v>4.894451145958989E-2</v>
      </c>
      <c r="CQ116" s="1041">
        <v>0.03</v>
      </c>
      <c r="CR116" s="675">
        <v>0.03</v>
      </c>
      <c r="CS116" s="675">
        <v>0.03</v>
      </c>
      <c r="CT116" s="1022">
        <v>0.03</v>
      </c>
      <c r="CU116" s="552">
        <f>Operations!CU125/Operations!CP125-1</f>
        <v>3.0000000000000027E-2</v>
      </c>
      <c r="CV116" s="1041">
        <v>0.03</v>
      </c>
      <c r="CW116" s="675">
        <v>0.03</v>
      </c>
      <c r="CX116" s="675">
        <v>0.03</v>
      </c>
      <c r="CY116" s="1022">
        <v>0.03</v>
      </c>
      <c r="CZ116" s="552">
        <f>Operations!CZ125/Operations!CU125-1</f>
        <v>3.0000000000000027E-2</v>
      </c>
    </row>
    <row r="117" spans="1:113" ht="6.2" customHeight="1">
      <c r="A117" s="819"/>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c r="AA117" s="66"/>
      <c r="AB117" s="66"/>
      <c r="AC117" s="66"/>
      <c r="AD117" s="66"/>
      <c r="AE117" s="66"/>
      <c r="AF117" s="66"/>
      <c r="AG117" s="66"/>
      <c r="AH117" s="66"/>
      <c r="AI117" s="66"/>
      <c r="AJ117" s="66"/>
      <c r="AK117" s="66"/>
      <c r="AL117" s="66"/>
      <c r="AM117" s="66"/>
      <c r="AN117" s="66"/>
      <c r="AO117" s="66"/>
      <c r="AP117" s="66"/>
      <c r="AQ117" s="66"/>
      <c r="AR117" s="66"/>
      <c r="AS117" s="859"/>
      <c r="AT117" s="20"/>
      <c r="AU117" s="20"/>
      <c r="AV117" s="860"/>
      <c r="AW117" s="66"/>
      <c r="AX117" s="859"/>
      <c r="AY117" s="20"/>
      <c r="AZ117" s="20"/>
      <c r="BA117" s="860"/>
      <c r="BB117" s="66"/>
      <c r="BC117" s="859"/>
      <c r="BD117" s="20"/>
      <c r="BE117" s="20"/>
      <c r="BF117" s="860"/>
      <c r="BG117" s="66"/>
      <c r="BH117" s="859"/>
      <c r="BI117" s="20"/>
      <c r="BJ117" s="20"/>
      <c r="BK117" s="860"/>
      <c r="BL117" s="66"/>
      <c r="BM117" s="859"/>
      <c r="BN117" s="20"/>
      <c r="BO117" s="20"/>
      <c r="BP117" s="860"/>
      <c r="BQ117" s="66"/>
      <c r="BR117" s="859"/>
      <c r="BS117" s="20"/>
      <c r="BT117" s="20"/>
      <c r="BU117" s="860"/>
      <c r="BV117" s="66"/>
      <c r="BW117" s="859"/>
      <c r="BX117" s="20"/>
      <c r="BY117" s="20"/>
      <c r="BZ117" s="860"/>
      <c r="CA117" s="66"/>
      <c r="CB117" s="859"/>
      <c r="CC117" s="20"/>
      <c r="CD117" s="20"/>
      <c r="CE117" s="944"/>
      <c r="CF117" s="453"/>
      <c r="CG117" s="981"/>
      <c r="CH117" s="495"/>
      <c r="CI117" s="20"/>
      <c r="CJ117" s="944"/>
      <c r="CK117" s="453"/>
      <c r="CL117" s="859"/>
      <c r="CM117" s="20"/>
      <c r="CN117" s="20"/>
      <c r="CO117" s="860"/>
      <c r="CP117" s="66"/>
      <c r="CQ117" s="859"/>
      <c r="CR117" s="20"/>
      <c r="CS117" s="20"/>
      <c r="CT117" s="860"/>
      <c r="CU117" s="66"/>
      <c r="CV117" s="859"/>
      <c r="CW117" s="20"/>
      <c r="CX117" s="20"/>
      <c r="CY117" s="860"/>
      <c r="CZ117" s="66"/>
    </row>
    <row r="118" spans="1:113" ht="13.5" customHeight="1">
      <c r="A118" s="820" t="s">
        <v>531</v>
      </c>
      <c r="B118" s="66"/>
      <c r="C118" s="66"/>
      <c r="D118" s="66"/>
      <c r="E118" s="66"/>
      <c r="F118" s="66"/>
      <c r="G118" s="66"/>
      <c r="H118" s="66"/>
      <c r="I118" s="20"/>
      <c r="J118" s="20"/>
      <c r="K118" s="20"/>
      <c r="L118" s="20"/>
      <c r="M118" s="20"/>
      <c r="N118" s="20"/>
      <c r="O118" s="20"/>
      <c r="P118" s="20"/>
      <c r="Q118" s="20"/>
      <c r="R118" s="20"/>
      <c r="S118" s="99"/>
      <c r="T118" s="20"/>
      <c r="U118" s="99"/>
      <c r="V118" s="99"/>
      <c r="W118" s="99"/>
      <c r="X118" s="20"/>
      <c r="Y118" s="143"/>
      <c r="Z118" s="143"/>
      <c r="AA118" s="143"/>
      <c r="AB118" s="143"/>
      <c r="AC118" s="20"/>
      <c r="AD118" s="20"/>
      <c r="AE118" s="20"/>
      <c r="AF118" s="20"/>
      <c r="AG118" s="20"/>
      <c r="AH118" s="20"/>
      <c r="AI118" s="20"/>
      <c r="AJ118" s="20"/>
      <c r="AK118" s="20"/>
      <c r="AL118" s="20"/>
      <c r="AM118" s="20"/>
      <c r="AN118" s="20"/>
      <c r="AO118" s="20"/>
      <c r="AP118" s="20"/>
      <c r="AQ118" s="20"/>
      <c r="AR118" s="20"/>
      <c r="AS118" s="859"/>
      <c r="AT118" s="20"/>
      <c r="AU118" s="20"/>
      <c r="AV118" s="860"/>
      <c r="AW118" s="20"/>
      <c r="AX118" s="859"/>
      <c r="AY118" s="20"/>
      <c r="AZ118" s="20"/>
      <c r="BA118" s="860"/>
      <c r="BB118" s="20"/>
      <c r="BC118" s="859"/>
      <c r="BD118" s="20"/>
      <c r="BE118" s="20"/>
      <c r="BF118" s="954"/>
      <c r="BG118" s="369"/>
      <c r="BH118" s="859"/>
      <c r="BI118" s="20"/>
      <c r="BJ118" s="20"/>
      <c r="BK118" s="860"/>
      <c r="BL118" s="20"/>
      <c r="BM118" s="859"/>
      <c r="BN118" s="20"/>
      <c r="BO118" s="20"/>
      <c r="BP118" s="860"/>
      <c r="BQ118" s="20"/>
      <c r="BR118" s="859"/>
      <c r="BS118" s="20"/>
      <c r="BT118" s="20"/>
      <c r="BU118" s="860"/>
      <c r="BV118" s="20"/>
      <c r="BW118" s="859"/>
      <c r="BX118" s="20"/>
      <c r="BY118" s="20"/>
      <c r="BZ118" s="860"/>
      <c r="CA118" s="20"/>
      <c r="CB118" s="840"/>
      <c r="CC118" s="20"/>
      <c r="CD118" s="20"/>
      <c r="CE118" s="944"/>
      <c r="CF118" s="495"/>
      <c r="CG118" s="981"/>
      <c r="CH118" s="495"/>
      <c r="CI118" s="20"/>
      <c r="CJ118" s="944"/>
      <c r="CK118" s="495"/>
      <c r="CL118" s="859"/>
      <c r="CM118" s="20"/>
      <c r="CN118" s="20"/>
      <c r="CO118" s="860"/>
      <c r="CP118" s="20"/>
      <c r="CQ118" s="859"/>
      <c r="CR118" s="20"/>
      <c r="CS118" s="20"/>
      <c r="CT118" s="860"/>
      <c r="CU118" s="20"/>
      <c r="CV118" s="859"/>
      <c r="CW118" s="20"/>
      <c r="CX118" s="20"/>
      <c r="CY118" s="860"/>
      <c r="CZ118" s="20"/>
    </row>
    <row r="119" spans="1:113" ht="13.5" customHeight="1">
      <c r="A119" s="820"/>
      <c r="B119" s="199" t="s">
        <v>466</v>
      </c>
      <c r="C119" s="20"/>
      <c r="D119" s="99"/>
      <c r="E119" s="99"/>
      <c r="F119" s="99"/>
      <c r="G119" s="99"/>
      <c r="H119" s="99">
        <v>613</v>
      </c>
      <c r="I119" s="99">
        <v>532</v>
      </c>
      <c r="J119" s="99">
        <v>94</v>
      </c>
      <c r="K119" s="99">
        <v>116</v>
      </c>
      <c r="L119" s="99">
        <v>133</v>
      </c>
      <c r="M119" s="99">
        <v>119</v>
      </c>
      <c r="N119" s="99">
        <v>462</v>
      </c>
      <c r="O119" s="99">
        <v>107</v>
      </c>
      <c r="P119" s="99">
        <v>128</v>
      </c>
      <c r="Q119" s="99">
        <v>143</v>
      </c>
      <c r="R119" s="99">
        <v>125</v>
      </c>
      <c r="S119" s="99">
        <v>503</v>
      </c>
      <c r="T119" s="99">
        <v>116</v>
      </c>
      <c r="U119" s="99">
        <v>136</v>
      </c>
      <c r="V119" s="99">
        <v>144</v>
      </c>
      <c r="W119" s="99">
        <v>126</v>
      </c>
      <c r="X119" s="99">
        <v>522</v>
      </c>
      <c r="Y119" s="99">
        <v>123</v>
      </c>
      <c r="Z119" s="99">
        <v>139</v>
      </c>
      <c r="AA119" s="99">
        <v>151</v>
      </c>
      <c r="AB119" s="99">
        <v>141</v>
      </c>
      <c r="AC119" s="99">
        <f>SUM(Y119:AB119)</f>
        <v>554</v>
      </c>
      <c r="AD119" s="509">
        <v>139</v>
      </c>
      <c r="AE119" s="509">
        <v>142</v>
      </c>
      <c r="AF119" s="509">
        <v>152</v>
      </c>
      <c r="AG119" s="509">
        <v>137</v>
      </c>
      <c r="AH119" s="598">
        <f>SUM(AD119:AG119)</f>
        <v>570</v>
      </c>
      <c r="AI119" s="509">
        <v>121</v>
      </c>
      <c r="AJ119" s="509">
        <v>144</v>
      </c>
      <c r="AK119" s="509">
        <v>144</v>
      </c>
      <c r="AL119" s="509">
        <v>133</v>
      </c>
      <c r="AM119" s="598">
        <f>SUM(AI119:AL119)</f>
        <v>542</v>
      </c>
      <c r="AN119" s="509">
        <v>132</v>
      </c>
      <c r="AO119" s="509">
        <v>140</v>
      </c>
      <c r="AP119" s="509">
        <v>119</v>
      </c>
      <c r="AQ119" s="509">
        <v>94</v>
      </c>
      <c r="AR119" s="598">
        <f>SUM(AN119:AQ119)</f>
        <v>485</v>
      </c>
      <c r="AS119" s="850">
        <v>60</v>
      </c>
      <c r="AT119" s="509">
        <v>65</v>
      </c>
      <c r="AU119" s="509">
        <v>69</v>
      </c>
      <c r="AV119" s="851">
        <v>70</v>
      </c>
      <c r="AW119" s="598">
        <f>SUM(AS119:AV119)</f>
        <v>264</v>
      </c>
      <c r="AX119" s="850">
        <v>59</v>
      </c>
      <c r="AY119" s="509">
        <v>72</v>
      </c>
      <c r="AZ119" s="509">
        <v>71</v>
      </c>
      <c r="BA119" s="851">
        <v>74</v>
      </c>
      <c r="BB119" s="598">
        <f>SUM(AX119:BA119)</f>
        <v>276</v>
      </c>
      <c r="BC119" s="850">
        <v>67</v>
      </c>
      <c r="BD119" s="509">
        <v>70</v>
      </c>
      <c r="BE119" s="509">
        <v>82</v>
      </c>
      <c r="BF119" s="950">
        <v>69</v>
      </c>
      <c r="BG119" s="600">
        <f>SUM(BC119:BF119)</f>
        <v>288</v>
      </c>
      <c r="BH119" s="850">
        <v>64</v>
      </c>
      <c r="BI119" s="509">
        <v>75</v>
      </c>
      <c r="BJ119" s="509">
        <v>78</v>
      </c>
      <c r="BK119" s="851">
        <v>74</v>
      </c>
      <c r="BL119" s="600">
        <f>SUM(BH119:BK119)</f>
        <v>291</v>
      </c>
      <c r="BM119" s="850">
        <v>71</v>
      </c>
      <c r="BN119" s="509">
        <v>91</v>
      </c>
      <c r="BO119" s="509">
        <v>86</v>
      </c>
      <c r="BP119" s="851">
        <v>94</v>
      </c>
      <c r="BQ119" s="598">
        <f>SUM(BM119:BP119)</f>
        <v>342</v>
      </c>
      <c r="BR119" s="1003">
        <v>92</v>
      </c>
      <c r="BS119" s="510">
        <v>97</v>
      </c>
      <c r="BT119" s="510">
        <v>128</v>
      </c>
      <c r="BU119" s="950">
        <v>104</v>
      </c>
      <c r="BV119" s="598">
        <f>SUM(BR119:BU119)</f>
        <v>421</v>
      </c>
      <c r="BW119" s="850">
        <v>89</v>
      </c>
      <c r="BX119" s="509">
        <v>97</v>
      </c>
      <c r="BY119" s="509">
        <v>124</v>
      </c>
      <c r="BZ119" s="851">
        <v>117</v>
      </c>
      <c r="CA119" s="598">
        <f>SUM(BW119:BZ119)</f>
        <v>427</v>
      </c>
      <c r="CB119" s="850">
        <v>98</v>
      </c>
      <c r="CC119" s="509">
        <v>95</v>
      </c>
      <c r="CD119" s="509">
        <v>129</v>
      </c>
      <c r="CE119" s="851">
        <v>123</v>
      </c>
      <c r="CF119" s="598">
        <f t="shared" ref="CF119:CF125" si="172">SUM(CB119:CE119)</f>
        <v>445</v>
      </c>
      <c r="CG119" s="850">
        <v>101</v>
      </c>
      <c r="CH119" s="509">
        <v>104</v>
      </c>
      <c r="CI119" s="509">
        <v>127</v>
      </c>
      <c r="CJ119" s="851">
        <v>140</v>
      </c>
      <c r="CK119" s="598">
        <f t="shared" ref="CK119:CK125" si="173">SUM(CG119:CJ119)</f>
        <v>472</v>
      </c>
      <c r="CL119" s="850">
        <v>105</v>
      </c>
      <c r="CM119" s="598">
        <f>CH119*(1+Operations!CM110)</f>
        <v>107.12</v>
      </c>
      <c r="CN119" s="598">
        <f>CI119*(1+Operations!CN110)</f>
        <v>130.81</v>
      </c>
      <c r="CO119" s="839">
        <f>CJ119*(1+Operations!CO110)</f>
        <v>144.20000000000002</v>
      </c>
      <c r="CP119" s="598">
        <f t="shared" ref="CP119:CP125" si="174">SUM(CL119:CO119)</f>
        <v>487.13</v>
      </c>
      <c r="CQ119" s="838">
        <f>CL119*(1+Operations!CQ110)</f>
        <v>107.10000000000001</v>
      </c>
      <c r="CR119" s="598">
        <f>CM119*(1+Operations!CR110)</f>
        <v>109.2624</v>
      </c>
      <c r="CS119" s="598">
        <f>CN119*(1+Operations!CS110)</f>
        <v>133.42619999999999</v>
      </c>
      <c r="CT119" s="839">
        <f>CO119*(1+Operations!CT110)</f>
        <v>147.08400000000003</v>
      </c>
      <c r="CU119" s="598">
        <f t="shared" ref="CU119:CU125" si="175">SUM(CQ119:CT119)</f>
        <v>496.87260000000003</v>
      </c>
      <c r="CV119" s="838">
        <f>CQ119*(1+Operations!CV110)</f>
        <v>109.242</v>
      </c>
      <c r="CW119" s="598">
        <f>CR119*(1+Operations!CW110)</f>
        <v>111.447648</v>
      </c>
      <c r="CX119" s="598">
        <f>CS119*(1+Operations!CX110)</f>
        <v>136.09472399999999</v>
      </c>
      <c r="CY119" s="839">
        <f>CT119*(1+Operations!CY110)</f>
        <v>150.02568000000002</v>
      </c>
      <c r="CZ119" s="598">
        <f t="shared" ref="CZ119:CZ125" si="176">SUM(CV119:CY119)</f>
        <v>506.81005199999998</v>
      </c>
    </row>
    <row r="120" spans="1:113" ht="13.5" customHeight="1">
      <c r="A120" s="819"/>
      <c r="B120" s="199" t="s">
        <v>467</v>
      </c>
      <c r="C120" s="66"/>
      <c r="D120" s="99"/>
      <c r="E120" s="99"/>
      <c r="F120" s="99"/>
      <c r="G120" s="99"/>
      <c r="H120" s="99">
        <v>353</v>
      </c>
      <c r="I120" s="99">
        <v>344</v>
      </c>
      <c r="J120" s="99">
        <v>61</v>
      </c>
      <c r="K120" s="99">
        <v>76</v>
      </c>
      <c r="L120" s="99">
        <v>98</v>
      </c>
      <c r="M120" s="99">
        <v>95</v>
      </c>
      <c r="N120" s="99">
        <v>330</v>
      </c>
      <c r="O120" s="99">
        <v>80</v>
      </c>
      <c r="P120" s="99">
        <v>92</v>
      </c>
      <c r="Q120" s="99">
        <v>94</v>
      </c>
      <c r="R120" s="99">
        <v>87</v>
      </c>
      <c r="S120" s="99">
        <v>353</v>
      </c>
      <c r="T120" s="99">
        <v>74</v>
      </c>
      <c r="U120" s="99">
        <v>94</v>
      </c>
      <c r="V120" s="99">
        <v>103</v>
      </c>
      <c r="W120" s="99">
        <v>93</v>
      </c>
      <c r="X120" s="99">
        <v>364</v>
      </c>
      <c r="Y120" s="99">
        <v>80</v>
      </c>
      <c r="Z120" s="99">
        <v>101</v>
      </c>
      <c r="AA120" s="99">
        <v>104</v>
      </c>
      <c r="AB120" s="99">
        <v>95</v>
      </c>
      <c r="AC120" s="99">
        <f>SUM(Y120:AB120)</f>
        <v>380</v>
      </c>
      <c r="AD120" s="509">
        <v>85</v>
      </c>
      <c r="AE120" s="509">
        <v>94</v>
      </c>
      <c r="AF120" s="509">
        <v>105</v>
      </c>
      <c r="AG120" s="509">
        <v>114</v>
      </c>
      <c r="AH120" s="598">
        <f>SUM(AD120:AG120)</f>
        <v>398</v>
      </c>
      <c r="AI120" s="509">
        <v>106</v>
      </c>
      <c r="AJ120" s="509">
        <v>126</v>
      </c>
      <c r="AK120" s="509">
        <v>123</v>
      </c>
      <c r="AL120" s="509">
        <v>123</v>
      </c>
      <c r="AM120" s="598">
        <f>SUM(AI120:AL120)</f>
        <v>478</v>
      </c>
      <c r="AN120" s="509">
        <v>116</v>
      </c>
      <c r="AO120" s="509">
        <v>139</v>
      </c>
      <c r="AP120" s="509">
        <v>133</v>
      </c>
      <c r="AQ120" s="509">
        <v>110</v>
      </c>
      <c r="AR120" s="598">
        <f>SUM(AN120:AQ120)</f>
        <v>498</v>
      </c>
      <c r="AS120" s="850">
        <v>75</v>
      </c>
      <c r="AT120" s="509">
        <v>73</v>
      </c>
      <c r="AU120" s="509">
        <v>84</v>
      </c>
      <c r="AV120" s="851">
        <v>78</v>
      </c>
      <c r="AW120" s="598">
        <f>SUM(AS120:AV120)</f>
        <v>310</v>
      </c>
      <c r="AX120" s="850">
        <v>68</v>
      </c>
      <c r="AY120" s="509">
        <v>81</v>
      </c>
      <c r="AZ120" s="509">
        <v>81</v>
      </c>
      <c r="BA120" s="851">
        <v>76</v>
      </c>
      <c r="BB120" s="598">
        <f>SUM(AX120:BA120)</f>
        <v>306</v>
      </c>
      <c r="BC120" s="850">
        <v>72</v>
      </c>
      <c r="BD120" s="509">
        <v>79</v>
      </c>
      <c r="BE120" s="509">
        <v>83</v>
      </c>
      <c r="BF120" s="950">
        <v>78</v>
      </c>
      <c r="BG120" s="600">
        <f>SUM(BC120:BF120)</f>
        <v>312</v>
      </c>
      <c r="BH120" s="850">
        <v>65</v>
      </c>
      <c r="BI120" s="509">
        <v>76</v>
      </c>
      <c r="BJ120" s="509">
        <v>80</v>
      </c>
      <c r="BK120" s="851">
        <v>87</v>
      </c>
      <c r="BL120" s="600">
        <f>SUM(BH120:BK120)</f>
        <v>308</v>
      </c>
      <c r="BM120" s="850">
        <v>69</v>
      </c>
      <c r="BN120" s="509">
        <v>83</v>
      </c>
      <c r="BO120" s="509">
        <v>90</v>
      </c>
      <c r="BP120" s="851">
        <v>92</v>
      </c>
      <c r="BQ120" s="598">
        <f>SUM(BM120:BP120)</f>
        <v>334</v>
      </c>
      <c r="BR120" s="1003">
        <v>87</v>
      </c>
      <c r="BS120" s="510">
        <v>101</v>
      </c>
      <c r="BT120" s="510">
        <v>113</v>
      </c>
      <c r="BU120" s="950">
        <v>95</v>
      </c>
      <c r="BV120" s="598">
        <f>SUM(BR120:BU120)</f>
        <v>396</v>
      </c>
      <c r="BW120" s="850">
        <v>82</v>
      </c>
      <c r="BX120" s="509">
        <v>92</v>
      </c>
      <c r="BY120" s="509">
        <v>117</v>
      </c>
      <c r="BZ120" s="851">
        <v>110</v>
      </c>
      <c r="CA120" s="598">
        <f>SUM(BW120:BZ120)</f>
        <v>401</v>
      </c>
      <c r="CB120" s="850">
        <v>101</v>
      </c>
      <c r="CC120" s="509">
        <v>108</v>
      </c>
      <c r="CD120" s="509">
        <v>123</v>
      </c>
      <c r="CE120" s="851">
        <v>110</v>
      </c>
      <c r="CF120" s="598">
        <f t="shared" si="172"/>
        <v>442</v>
      </c>
      <c r="CG120" s="850">
        <v>106</v>
      </c>
      <c r="CH120" s="509">
        <v>104</v>
      </c>
      <c r="CI120" s="509">
        <v>119</v>
      </c>
      <c r="CJ120" s="851">
        <v>128</v>
      </c>
      <c r="CK120" s="598">
        <f t="shared" si="173"/>
        <v>457</v>
      </c>
      <c r="CL120" s="850">
        <v>106</v>
      </c>
      <c r="CM120" s="598">
        <f>CH120*(1+Operations!CM111)</f>
        <v>107.12</v>
      </c>
      <c r="CN120" s="598">
        <f>CI120*(1+Operations!CN111)</f>
        <v>122.57000000000001</v>
      </c>
      <c r="CO120" s="839">
        <f>CJ120*(1+Operations!CO111)</f>
        <v>131.84</v>
      </c>
      <c r="CP120" s="598">
        <f t="shared" si="174"/>
        <v>467.53</v>
      </c>
      <c r="CQ120" s="838">
        <f>CL120*(1+Operations!CQ111)</f>
        <v>108.12</v>
      </c>
      <c r="CR120" s="598">
        <f>CM120*(1+Operations!CR111)</f>
        <v>109.2624</v>
      </c>
      <c r="CS120" s="598">
        <f>CN120*(1+Operations!CS111)</f>
        <v>125.02140000000001</v>
      </c>
      <c r="CT120" s="839">
        <f>CO120*(1+Operations!CT111)</f>
        <v>134.4768</v>
      </c>
      <c r="CU120" s="598">
        <f t="shared" si="175"/>
        <v>476.88060000000007</v>
      </c>
      <c r="CV120" s="838">
        <f>CQ120*(1+Operations!CV111)</f>
        <v>110.28240000000001</v>
      </c>
      <c r="CW120" s="598">
        <f>CR120*(1+Operations!CW111)</f>
        <v>111.447648</v>
      </c>
      <c r="CX120" s="598">
        <f>CS120*(1+Operations!CX111)</f>
        <v>127.52182800000001</v>
      </c>
      <c r="CY120" s="839">
        <f>CT120*(1+Operations!CY111)</f>
        <v>137.166336</v>
      </c>
      <c r="CZ120" s="598">
        <f t="shared" si="176"/>
        <v>486.41821200000004</v>
      </c>
    </row>
    <row r="121" spans="1:113" ht="13.5" customHeight="1">
      <c r="A121" s="819"/>
      <c r="B121" s="199" t="s">
        <v>468</v>
      </c>
      <c r="C121" s="66"/>
      <c r="D121" s="99"/>
      <c r="E121" s="99"/>
      <c r="F121" s="99"/>
      <c r="G121" s="99"/>
      <c r="H121" s="99">
        <v>250</v>
      </c>
      <c r="I121" s="99">
        <v>203</v>
      </c>
      <c r="J121" s="102">
        <v>51</v>
      </c>
      <c r="K121" s="102">
        <v>62</v>
      </c>
      <c r="L121" s="102">
        <v>56</v>
      </c>
      <c r="M121" s="102">
        <v>57</v>
      </c>
      <c r="N121" s="99">
        <v>226</v>
      </c>
      <c r="O121" s="102">
        <v>69</v>
      </c>
      <c r="P121" s="102">
        <v>59</v>
      </c>
      <c r="Q121" s="102">
        <v>54</v>
      </c>
      <c r="R121" s="102">
        <v>55</v>
      </c>
      <c r="S121" s="102">
        <v>237</v>
      </c>
      <c r="T121" s="102">
        <v>74</v>
      </c>
      <c r="U121" s="102">
        <v>71</v>
      </c>
      <c r="V121" s="102">
        <v>66</v>
      </c>
      <c r="W121" s="102">
        <v>60</v>
      </c>
      <c r="X121" s="102">
        <v>271</v>
      </c>
      <c r="Y121" s="102">
        <v>89</v>
      </c>
      <c r="Z121" s="102">
        <v>87</v>
      </c>
      <c r="AA121" s="102">
        <v>85</v>
      </c>
      <c r="AB121" s="102">
        <v>81</v>
      </c>
      <c r="AC121" s="102">
        <f>SUM(Y121:AB121)</f>
        <v>342</v>
      </c>
      <c r="AD121" s="500">
        <v>96</v>
      </c>
      <c r="AE121" s="500">
        <v>91</v>
      </c>
      <c r="AF121" s="500">
        <v>74</v>
      </c>
      <c r="AG121" s="500">
        <v>66</v>
      </c>
      <c r="AH121" s="549">
        <f>SUM(AD121:AG121)</f>
        <v>327</v>
      </c>
      <c r="AI121" s="500">
        <v>90</v>
      </c>
      <c r="AJ121" s="500">
        <v>116</v>
      </c>
      <c r="AK121" s="500">
        <v>116</v>
      </c>
      <c r="AL121" s="500">
        <v>127</v>
      </c>
      <c r="AM121" s="549">
        <f>SUM(AI121:AL121)</f>
        <v>449</v>
      </c>
      <c r="AN121" s="500">
        <v>136</v>
      </c>
      <c r="AO121" s="500">
        <v>143</v>
      </c>
      <c r="AP121" s="500">
        <v>115</v>
      </c>
      <c r="AQ121" s="500">
        <v>91</v>
      </c>
      <c r="AR121" s="549">
        <f>SUM(AN121:AQ121)</f>
        <v>485</v>
      </c>
      <c r="AS121" s="850">
        <v>80</v>
      </c>
      <c r="AT121" s="509">
        <v>76</v>
      </c>
      <c r="AU121" s="509">
        <v>87</v>
      </c>
      <c r="AV121" s="851">
        <v>87</v>
      </c>
      <c r="AW121" s="549">
        <f>SUM(AS121:AV121)</f>
        <v>330</v>
      </c>
      <c r="AX121" s="850">
        <v>111</v>
      </c>
      <c r="AY121" s="509">
        <v>117</v>
      </c>
      <c r="AZ121" s="509">
        <v>123</v>
      </c>
      <c r="BA121" s="851">
        <v>111</v>
      </c>
      <c r="BB121" s="549">
        <f>SUM(AX121:BA121)</f>
        <v>462</v>
      </c>
      <c r="BC121" s="850">
        <v>134</v>
      </c>
      <c r="BD121" s="509">
        <v>129</v>
      </c>
      <c r="BE121" s="509">
        <v>118</v>
      </c>
      <c r="BF121" s="950">
        <v>113</v>
      </c>
      <c r="BG121" s="499">
        <f>SUM(BC121:BF121)</f>
        <v>494</v>
      </c>
      <c r="BH121" s="850">
        <v>138</v>
      </c>
      <c r="BI121" s="509">
        <v>132</v>
      </c>
      <c r="BJ121" s="509">
        <v>118</v>
      </c>
      <c r="BK121" s="851">
        <v>104</v>
      </c>
      <c r="BL121" s="549">
        <f>SUM(BH121:BK121)</f>
        <v>492</v>
      </c>
      <c r="BM121" s="850">
        <v>122</v>
      </c>
      <c r="BN121" s="509">
        <v>124</v>
      </c>
      <c r="BO121" s="509">
        <v>113</v>
      </c>
      <c r="BP121" s="851">
        <v>115</v>
      </c>
      <c r="BQ121" s="549">
        <f>SUM(BM121:BP121)</f>
        <v>474</v>
      </c>
      <c r="BR121" s="1003">
        <v>138</v>
      </c>
      <c r="BS121" s="510">
        <v>133</v>
      </c>
      <c r="BT121" s="510">
        <v>129</v>
      </c>
      <c r="BU121" s="950">
        <v>104</v>
      </c>
      <c r="BV121" s="549">
        <f>SUM(BR121:BU121)</f>
        <v>504</v>
      </c>
      <c r="BW121" s="850">
        <v>130</v>
      </c>
      <c r="BX121" s="509">
        <v>117</v>
      </c>
      <c r="BY121" s="509">
        <v>107</v>
      </c>
      <c r="BZ121" s="851">
        <v>95</v>
      </c>
      <c r="CA121" s="549">
        <f>SUM(BW121:BZ121)</f>
        <v>449</v>
      </c>
      <c r="CB121" s="850">
        <v>119</v>
      </c>
      <c r="CC121" s="509">
        <v>110</v>
      </c>
      <c r="CD121" s="509">
        <v>99</v>
      </c>
      <c r="CE121" s="851">
        <v>98</v>
      </c>
      <c r="CF121" s="549">
        <f t="shared" si="172"/>
        <v>426</v>
      </c>
      <c r="CG121" s="850">
        <v>122</v>
      </c>
      <c r="CH121" s="509">
        <v>120</v>
      </c>
      <c r="CI121" s="509">
        <v>119</v>
      </c>
      <c r="CJ121" s="851">
        <v>126</v>
      </c>
      <c r="CK121" s="549">
        <f t="shared" si="173"/>
        <v>487</v>
      </c>
      <c r="CL121" s="850">
        <v>147</v>
      </c>
      <c r="CM121" s="598">
        <f>CH121*(1+Operations!CM112)</f>
        <v>123.60000000000001</v>
      </c>
      <c r="CN121" s="598">
        <f>CI121*(1+Operations!CN112)</f>
        <v>122.57000000000001</v>
      </c>
      <c r="CO121" s="839">
        <f>CJ121*(1+Operations!CO112)</f>
        <v>129.78</v>
      </c>
      <c r="CP121" s="549">
        <f t="shared" si="174"/>
        <v>522.95000000000005</v>
      </c>
      <c r="CQ121" s="838">
        <f>CL121*(1+Operations!CQ112)</f>
        <v>149.94</v>
      </c>
      <c r="CR121" s="598">
        <f>CM121*(1+Operations!CR112)</f>
        <v>126.07200000000002</v>
      </c>
      <c r="CS121" s="598">
        <f>CN121*(1+Operations!CS112)</f>
        <v>125.02140000000001</v>
      </c>
      <c r="CT121" s="839">
        <f>CO121*(1+Operations!CT112)</f>
        <v>132.37559999999999</v>
      </c>
      <c r="CU121" s="549">
        <f t="shared" si="175"/>
        <v>533.40899999999999</v>
      </c>
      <c r="CV121" s="838">
        <f>CQ121*(1+Operations!CV112)</f>
        <v>152.93879999999999</v>
      </c>
      <c r="CW121" s="598">
        <f>CR121*(1+Operations!CW112)</f>
        <v>128.59344000000002</v>
      </c>
      <c r="CX121" s="598">
        <f>CS121*(1+Operations!CX112)</f>
        <v>127.52182800000001</v>
      </c>
      <c r="CY121" s="839">
        <f>CT121*(1+Operations!CY112)</f>
        <v>135.023112</v>
      </c>
      <c r="CZ121" s="549">
        <f t="shared" si="176"/>
        <v>544.07718</v>
      </c>
    </row>
    <row r="122" spans="1:113" ht="13.5" customHeight="1">
      <c r="A122" s="819"/>
      <c r="B122" s="199" t="s">
        <v>228</v>
      </c>
      <c r="C122" s="66"/>
      <c r="D122" s="99"/>
      <c r="E122" s="99"/>
      <c r="F122" s="99"/>
      <c r="G122" s="99"/>
      <c r="H122" s="99"/>
      <c r="I122" s="99"/>
      <c r="J122" s="102"/>
      <c r="K122" s="102"/>
      <c r="L122" s="102"/>
      <c r="M122" s="102"/>
      <c r="N122" s="99"/>
      <c r="O122" s="102"/>
      <c r="P122" s="102"/>
      <c r="Q122" s="102"/>
      <c r="R122" s="102"/>
      <c r="S122" s="102"/>
      <c r="T122" s="102"/>
      <c r="U122" s="102"/>
      <c r="V122" s="102"/>
      <c r="W122" s="102"/>
      <c r="X122" s="102"/>
      <c r="Y122" s="102"/>
      <c r="Z122" s="102"/>
      <c r="AA122" s="102"/>
      <c r="AB122" s="102"/>
      <c r="AC122" s="102"/>
      <c r="AD122" s="102"/>
      <c r="AE122" s="210"/>
      <c r="AF122" s="210"/>
      <c r="AG122" s="210"/>
      <c r="AH122" s="102"/>
      <c r="AI122" s="500">
        <v>40</v>
      </c>
      <c r="AJ122" s="500">
        <v>164</v>
      </c>
      <c r="AK122" s="500">
        <v>181</v>
      </c>
      <c r="AL122" s="500">
        <v>198</v>
      </c>
      <c r="AM122" s="549">
        <f>SUM(AI122:AL122)</f>
        <v>583</v>
      </c>
      <c r="AN122" s="500">
        <v>179</v>
      </c>
      <c r="AO122" s="500">
        <v>232</v>
      </c>
      <c r="AP122" s="500">
        <v>258</v>
      </c>
      <c r="AQ122" s="500">
        <v>286</v>
      </c>
      <c r="AR122" s="549">
        <f>SUM(AN122:AQ122)</f>
        <v>955</v>
      </c>
      <c r="AS122" s="850">
        <v>208</v>
      </c>
      <c r="AT122" s="509">
        <v>255</v>
      </c>
      <c r="AU122" s="509">
        <v>280</v>
      </c>
      <c r="AV122" s="851">
        <v>211</v>
      </c>
      <c r="AW122" s="549">
        <f>SUM(AS122:AV122)</f>
        <v>954</v>
      </c>
      <c r="AX122" s="850">
        <v>194</v>
      </c>
      <c r="AY122" s="509">
        <v>266</v>
      </c>
      <c r="AZ122" s="509">
        <v>291</v>
      </c>
      <c r="BA122" s="851">
        <v>230</v>
      </c>
      <c r="BB122" s="549">
        <f>SUM(AX122:BA122)</f>
        <v>981</v>
      </c>
      <c r="BC122" s="850">
        <v>221</v>
      </c>
      <c r="BD122" s="509">
        <v>275</v>
      </c>
      <c r="BE122" s="509">
        <v>312</v>
      </c>
      <c r="BF122" s="950">
        <v>266</v>
      </c>
      <c r="BG122" s="499">
        <f>SUM(BC122:BF122)</f>
        <v>1074</v>
      </c>
      <c r="BH122" s="850">
        <v>250</v>
      </c>
      <c r="BI122" s="509">
        <v>322</v>
      </c>
      <c r="BJ122" s="509">
        <v>343</v>
      </c>
      <c r="BK122" s="851">
        <v>265</v>
      </c>
      <c r="BL122" s="549">
        <f>SUM(BH122:BK122)</f>
        <v>1180</v>
      </c>
      <c r="BM122" s="850">
        <v>228</v>
      </c>
      <c r="BN122" s="509">
        <v>280</v>
      </c>
      <c r="BO122" s="509">
        <v>305</v>
      </c>
      <c r="BP122" s="851">
        <v>252</v>
      </c>
      <c r="BQ122" s="549">
        <f>SUM(BM122:BP122)</f>
        <v>1065</v>
      </c>
      <c r="BR122" s="1003">
        <v>239</v>
      </c>
      <c r="BS122" s="510">
        <v>321</v>
      </c>
      <c r="BT122" s="510">
        <v>342</v>
      </c>
      <c r="BU122" s="950">
        <v>283</v>
      </c>
      <c r="BV122" s="549">
        <f>SUM(BR122:BU122)</f>
        <v>1185</v>
      </c>
      <c r="BW122" s="850">
        <v>262</v>
      </c>
      <c r="BX122" s="509">
        <v>324</v>
      </c>
      <c r="BY122" s="509">
        <v>339</v>
      </c>
      <c r="BZ122" s="851">
        <v>265</v>
      </c>
      <c r="CA122" s="549">
        <f>SUM(BW122:BZ122)</f>
        <v>1190</v>
      </c>
      <c r="CB122" s="850">
        <v>242</v>
      </c>
      <c r="CC122" s="509">
        <v>304</v>
      </c>
      <c r="CD122" s="509">
        <v>311</v>
      </c>
      <c r="CE122" s="851">
        <v>258</v>
      </c>
      <c r="CF122" s="549">
        <f t="shared" si="172"/>
        <v>1115</v>
      </c>
      <c r="CG122" s="850">
        <v>247</v>
      </c>
      <c r="CH122" s="509">
        <v>291</v>
      </c>
      <c r="CI122" s="509">
        <v>319</v>
      </c>
      <c r="CJ122" s="851">
        <v>285</v>
      </c>
      <c r="CK122" s="549">
        <f t="shared" si="173"/>
        <v>1142</v>
      </c>
      <c r="CL122" s="850">
        <v>290</v>
      </c>
      <c r="CM122" s="598">
        <f>CH122*(1+Operations!CM113)</f>
        <v>299.73</v>
      </c>
      <c r="CN122" s="598">
        <f>CI122*(1+Operations!CN113)</f>
        <v>328.57</v>
      </c>
      <c r="CO122" s="839">
        <f>CJ122*(1+Operations!CO113)</f>
        <v>293.55</v>
      </c>
      <c r="CP122" s="549">
        <f t="shared" si="174"/>
        <v>1211.8499999999999</v>
      </c>
      <c r="CQ122" s="838">
        <f>CL122*(1+Operations!CQ113)</f>
        <v>295.8</v>
      </c>
      <c r="CR122" s="598">
        <f>CM122*(1+Operations!CR113)</f>
        <v>305.72460000000001</v>
      </c>
      <c r="CS122" s="598">
        <f>CN122*(1+Operations!CS113)</f>
        <v>335.14139999999998</v>
      </c>
      <c r="CT122" s="839">
        <f>CO122*(1+Operations!CT113)</f>
        <v>299.42099999999999</v>
      </c>
      <c r="CU122" s="549">
        <f t="shared" si="175"/>
        <v>1236.087</v>
      </c>
      <c r="CV122" s="838">
        <f>CQ122*(1+Operations!CV113)</f>
        <v>301.71600000000001</v>
      </c>
      <c r="CW122" s="598">
        <f>CR122*(1+Operations!CW113)</f>
        <v>311.83909199999999</v>
      </c>
      <c r="CX122" s="598">
        <f>CS122*(1+Operations!CX113)</f>
        <v>341.84422799999999</v>
      </c>
      <c r="CY122" s="839">
        <f>CT122*(1+Operations!CY113)</f>
        <v>305.40942000000001</v>
      </c>
      <c r="CZ122" s="549">
        <f t="shared" si="176"/>
        <v>1260.8087399999999</v>
      </c>
    </row>
    <row r="123" spans="1:113" ht="13.5" customHeight="1">
      <c r="A123" s="819"/>
      <c r="B123" s="497" t="s">
        <v>690</v>
      </c>
      <c r="C123" s="66"/>
      <c r="D123" s="99"/>
      <c r="E123" s="99"/>
      <c r="F123" s="99"/>
      <c r="G123" s="99"/>
      <c r="H123" s="99"/>
      <c r="I123" s="99"/>
      <c r="J123" s="102"/>
      <c r="K123" s="102"/>
      <c r="L123" s="102"/>
      <c r="M123" s="102"/>
      <c r="N123" s="99"/>
      <c r="O123" s="102"/>
      <c r="P123" s="102"/>
      <c r="Q123" s="102"/>
      <c r="R123" s="102"/>
      <c r="S123" s="102"/>
      <c r="T123" s="102"/>
      <c r="U123" s="102"/>
      <c r="V123" s="102"/>
      <c r="W123" s="102"/>
      <c r="X123" s="102"/>
      <c r="Y123" s="102"/>
      <c r="Z123" s="102"/>
      <c r="AA123" s="102"/>
      <c r="AB123" s="102"/>
      <c r="AC123" s="102"/>
      <c r="AD123" s="102"/>
      <c r="AE123" s="210"/>
      <c r="AF123" s="210"/>
      <c r="AG123" s="210"/>
      <c r="AH123" s="102"/>
      <c r="AI123" s="500"/>
      <c r="AJ123" s="500"/>
      <c r="AK123" s="500"/>
      <c r="AL123" s="500"/>
      <c r="AM123" s="549"/>
      <c r="AN123" s="500"/>
      <c r="AO123" s="500"/>
      <c r="AP123" s="500"/>
      <c r="AQ123" s="500"/>
      <c r="AR123" s="549"/>
      <c r="AS123" s="850"/>
      <c r="AT123" s="509"/>
      <c r="AU123" s="509"/>
      <c r="AV123" s="851"/>
      <c r="AW123" s="549"/>
      <c r="AX123" s="850"/>
      <c r="AY123" s="509"/>
      <c r="AZ123" s="509"/>
      <c r="BA123" s="851"/>
      <c r="BB123" s="549"/>
      <c r="BC123" s="850"/>
      <c r="BD123" s="509"/>
      <c r="BE123" s="509"/>
      <c r="BF123" s="950"/>
      <c r="BG123" s="499"/>
      <c r="BH123" s="850"/>
      <c r="BI123" s="509"/>
      <c r="BJ123" s="509"/>
      <c r="BK123" s="851"/>
      <c r="BL123" s="549"/>
      <c r="BM123" s="850"/>
      <c r="BN123" s="509"/>
      <c r="BO123" s="509"/>
      <c r="BP123" s="851"/>
      <c r="BQ123" s="549"/>
      <c r="BR123" s="1003"/>
      <c r="BS123" s="510"/>
      <c r="BT123" s="510"/>
      <c r="BU123" s="950"/>
      <c r="BV123" s="549"/>
      <c r="BW123" s="850"/>
      <c r="BX123" s="509"/>
      <c r="BY123" s="509"/>
      <c r="BZ123" s="851"/>
      <c r="CA123" s="549"/>
      <c r="CB123" s="850"/>
      <c r="CC123" s="509"/>
      <c r="CD123" s="509"/>
      <c r="CE123" s="851"/>
      <c r="CF123" s="549">
        <f t="shared" si="172"/>
        <v>0</v>
      </c>
      <c r="CG123" s="850">
        <v>119</v>
      </c>
      <c r="CH123" s="509">
        <v>145</v>
      </c>
      <c r="CI123" s="509">
        <v>156</v>
      </c>
      <c r="CJ123" s="851">
        <v>144</v>
      </c>
      <c r="CK123" s="549">
        <f t="shared" si="173"/>
        <v>564</v>
      </c>
      <c r="CL123" s="850">
        <v>126</v>
      </c>
      <c r="CM123" s="598">
        <f>CH123*(1+Operations!CM114)</f>
        <v>152.25</v>
      </c>
      <c r="CN123" s="598">
        <f>CI123*(1+Operations!CN114)</f>
        <v>163.80000000000001</v>
      </c>
      <c r="CO123" s="839">
        <f>CJ123*(1+Operations!CO114)</f>
        <v>151.20000000000002</v>
      </c>
      <c r="CP123" s="549">
        <f t="shared" si="174"/>
        <v>593.25</v>
      </c>
      <c r="CQ123" s="838">
        <f>CL123*(1+Operations!CQ114)</f>
        <v>128.52000000000001</v>
      </c>
      <c r="CR123" s="598">
        <f>CM123*(1+Operations!CR114)</f>
        <v>155.29500000000002</v>
      </c>
      <c r="CS123" s="598">
        <f>CN123*(1+Operations!CS114)</f>
        <v>167.07600000000002</v>
      </c>
      <c r="CT123" s="839">
        <f>CO123*(1+Operations!CT114)</f>
        <v>154.22400000000002</v>
      </c>
      <c r="CU123" s="549">
        <f t="shared" si="175"/>
        <v>605.11500000000012</v>
      </c>
      <c r="CV123" s="838">
        <f>CQ123*(1+Operations!CV114)</f>
        <v>131.09040000000002</v>
      </c>
      <c r="CW123" s="598">
        <f>CR123*(1+Operations!CW114)</f>
        <v>158.40090000000001</v>
      </c>
      <c r="CX123" s="598">
        <f>CS123*(1+Operations!CX114)</f>
        <v>170.41752000000002</v>
      </c>
      <c r="CY123" s="839">
        <f>CT123*(1+Operations!CY114)</f>
        <v>157.30848000000003</v>
      </c>
      <c r="CZ123" s="549">
        <f t="shared" si="176"/>
        <v>617.21730000000002</v>
      </c>
    </row>
    <row r="124" spans="1:113" ht="13.5" customHeight="1">
      <c r="A124" s="819"/>
      <c r="B124" s="453" t="s">
        <v>642</v>
      </c>
      <c r="C124" s="79"/>
      <c r="D124" s="79"/>
      <c r="E124" s="79"/>
      <c r="F124" s="79"/>
      <c r="G124" s="79"/>
      <c r="H124" s="500"/>
      <c r="I124" s="500"/>
      <c r="J124" s="500"/>
      <c r="K124" s="500"/>
      <c r="L124" s="500"/>
      <c r="M124" s="500"/>
      <c r="N124" s="549"/>
      <c r="O124" s="500"/>
      <c r="P124" s="500"/>
      <c r="Q124" s="500"/>
      <c r="R124" s="500"/>
      <c r="S124" s="549"/>
      <c r="T124" s="500"/>
      <c r="U124" s="500"/>
      <c r="V124" s="500"/>
      <c r="W124" s="500"/>
      <c r="X124" s="549"/>
      <c r="Y124" s="500"/>
      <c r="Z124" s="500"/>
      <c r="AA124" s="500"/>
      <c r="AB124" s="500"/>
      <c r="AC124" s="549"/>
      <c r="AD124" s="500"/>
      <c r="AE124" s="500"/>
      <c r="AF124" s="500"/>
      <c r="AG124" s="500"/>
      <c r="AH124" s="549"/>
      <c r="AI124" s="500"/>
      <c r="AJ124" s="500"/>
      <c r="AK124" s="500"/>
      <c r="AL124" s="500"/>
      <c r="AM124" s="549"/>
      <c r="AN124" s="500"/>
      <c r="AO124" s="500"/>
      <c r="AP124" s="500"/>
      <c r="AQ124" s="500"/>
      <c r="AR124" s="549"/>
      <c r="AS124" s="850"/>
      <c r="AT124" s="509"/>
      <c r="AU124" s="509"/>
      <c r="AV124" s="851"/>
      <c r="AW124" s="549"/>
      <c r="AX124" s="850"/>
      <c r="AY124" s="509"/>
      <c r="AZ124" s="509"/>
      <c r="BA124" s="851"/>
      <c r="BB124" s="549"/>
      <c r="BC124" s="850"/>
      <c r="BD124" s="509"/>
      <c r="BE124" s="509"/>
      <c r="BF124" s="950"/>
      <c r="BG124" s="499"/>
      <c r="BH124" s="850"/>
      <c r="BI124" s="509"/>
      <c r="BJ124" s="509"/>
      <c r="BK124" s="851"/>
      <c r="BL124" s="499"/>
      <c r="BM124" s="850"/>
      <c r="BN124" s="509"/>
      <c r="BO124" s="509"/>
      <c r="BP124" s="851"/>
      <c r="BQ124" s="549"/>
      <c r="BR124" s="850"/>
      <c r="BS124" s="509"/>
      <c r="BT124" s="509"/>
      <c r="BU124" s="851"/>
      <c r="BV124" s="549"/>
      <c r="BW124" s="850"/>
      <c r="BX124" s="509"/>
      <c r="BY124" s="509"/>
      <c r="BZ124" s="851"/>
      <c r="CA124" s="549"/>
      <c r="CB124" s="1003"/>
      <c r="CC124" s="510"/>
      <c r="CD124" s="509"/>
      <c r="CE124" s="851">
        <v>82</v>
      </c>
      <c r="CF124" s="549">
        <f t="shared" si="172"/>
        <v>82</v>
      </c>
      <c r="CG124" s="1003">
        <v>223</v>
      </c>
      <c r="CH124" s="510">
        <v>227</v>
      </c>
      <c r="CI124" s="510">
        <v>242</v>
      </c>
      <c r="CJ124" s="950">
        <v>225</v>
      </c>
      <c r="CK124" s="499">
        <f t="shared" si="173"/>
        <v>917</v>
      </c>
      <c r="CL124" s="1003">
        <v>284</v>
      </c>
      <c r="CM124" s="600">
        <f>(1+Operations!CM115)*Operations!CH124</f>
        <v>261.04999999999995</v>
      </c>
      <c r="CN124" s="600">
        <f>(1+Operations!CN115)*Operations!CI124</f>
        <v>278.29999999999995</v>
      </c>
      <c r="CO124" s="910">
        <f>(1+Operations!CO115)*Operations!CJ124</f>
        <v>258.75</v>
      </c>
      <c r="CP124" s="499">
        <f t="shared" si="174"/>
        <v>1082.0999999999999</v>
      </c>
      <c r="CQ124" s="909">
        <f>(1+Operations!CQ115)*Operations!CL124</f>
        <v>289.68</v>
      </c>
      <c r="CR124" s="600">
        <f>(1+Operations!CR115)*Operations!CM124</f>
        <v>266.27099999999996</v>
      </c>
      <c r="CS124" s="600">
        <f>(1+Operations!CS115)*Operations!CN124</f>
        <v>283.86599999999999</v>
      </c>
      <c r="CT124" s="910">
        <f>(1+Operations!CT115)*Operations!CO124</f>
        <v>263.92500000000001</v>
      </c>
      <c r="CU124" s="499">
        <f t="shared" si="175"/>
        <v>1103.742</v>
      </c>
      <c r="CV124" s="909">
        <f>(1+Operations!CV115)*Operations!CQ124</f>
        <v>295.47360000000003</v>
      </c>
      <c r="CW124" s="600">
        <f>(1+Operations!CW115)*Operations!CR124</f>
        <v>271.59641999999997</v>
      </c>
      <c r="CX124" s="600">
        <f>(1+Operations!CX115)*Operations!CS124</f>
        <v>289.54331999999999</v>
      </c>
      <c r="CY124" s="910">
        <f>(1+Operations!CY115)*Operations!CT124</f>
        <v>269.20350000000002</v>
      </c>
      <c r="CZ124" s="499">
        <f t="shared" si="176"/>
        <v>1125.81684</v>
      </c>
    </row>
    <row r="125" spans="1:113" ht="13.5" customHeight="1">
      <c r="A125" s="821"/>
      <c r="B125" s="217" t="s">
        <v>304</v>
      </c>
      <c r="C125" s="77"/>
      <c r="D125" s="211"/>
      <c r="E125" s="211"/>
      <c r="F125" s="211"/>
      <c r="G125" s="211"/>
      <c r="H125" s="211">
        <v>194</v>
      </c>
      <c r="I125" s="211">
        <v>126</v>
      </c>
      <c r="J125" s="211">
        <v>24</v>
      </c>
      <c r="K125" s="211">
        <v>28</v>
      </c>
      <c r="L125" s="211">
        <v>30</v>
      </c>
      <c r="M125" s="211">
        <v>28</v>
      </c>
      <c r="N125" s="211">
        <v>110</v>
      </c>
      <c r="O125" s="211">
        <v>28</v>
      </c>
      <c r="P125" s="211">
        <v>26</v>
      </c>
      <c r="Q125" s="211">
        <v>30</v>
      </c>
      <c r="R125" s="211">
        <v>33</v>
      </c>
      <c r="S125" s="211">
        <v>117</v>
      </c>
      <c r="T125" s="211">
        <v>37</v>
      </c>
      <c r="U125" s="211">
        <v>43</v>
      </c>
      <c r="V125" s="211">
        <v>45</v>
      </c>
      <c r="W125" s="211">
        <v>40</v>
      </c>
      <c r="X125" s="211">
        <v>165</v>
      </c>
      <c r="Y125" s="211">
        <v>35</v>
      </c>
      <c r="Z125" s="211">
        <v>43</v>
      </c>
      <c r="AA125" s="211">
        <v>44</v>
      </c>
      <c r="AB125" s="211">
        <v>47</v>
      </c>
      <c r="AC125" s="211">
        <f>SUM(Y125:AB125)</f>
        <v>169</v>
      </c>
      <c r="AD125" s="505">
        <v>38</v>
      </c>
      <c r="AE125" s="505">
        <v>42</v>
      </c>
      <c r="AF125" s="505">
        <v>49</v>
      </c>
      <c r="AG125" s="505">
        <v>45</v>
      </c>
      <c r="AH125" s="619">
        <f>SUM(AD125:AG125)</f>
        <v>174</v>
      </c>
      <c r="AI125" s="505">
        <v>67</v>
      </c>
      <c r="AJ125" s="505">
        <v>181</v>
      </c>
      <c r="AK125" s="505">
        <v>169</v>
      </c>
      <c r="AL125" s="505">
        <v>236</v>
      </c>
      <c r="AM125" s="619">
        <f>SUM(AI125:AL125)</f>
        <v>653</v>
      </c>
      <c r="AN125" s="505">
        <v>692</v>
      </c>
      <c r="AO125" s="505">
        <v>1686</v>
      </c>
      <c r="AP125" s="505">
        <v>1388</v>
      </c>
      <c r="AQ125" s="505">
        <v>813</v>
      </c>
      <c r="AR125" s="619">
        <f>SUM(AN125:AQ125)</f>
        <v>4579</v>
      </c>
      <c r="AS125" s="852">
        <v>852</v>
      </c>
      <c r="AT125" s="505">
        <v>1078</v>
      </c>
      <c r="AU125" s="505">
        <v>889</v>
      </c>
      <c r="AV125" s="853">
        <v>824</v>
      </c>
      <c r="AW125" s="619">
        <f>SUM(AS125:AV125)</f>
        <v>3643</v>
      </c>
      <c r="AX125" s="852">
        <v>999</v>
      </c>
      <c r="AY125" s="505">
        <v>1097</v>
      </c>
      <c r="AZ125" s="505">
        <v>1074</v>
      </c>
      <c r="BA125" s="853">
        <v>1003</v>
      </c>
      <c r="BB125" s="619">
        <f>SUM(AX125:BA125)</f>
        <v>4173</v>
      </c>
      <c r="BC125" s="852">
        <v>1066</v>
      </c>
      <c r="BD125" s="505">
        <v>993</v>
      </c>
      <c r="BE125" s="505">
        <v>996</v>
      </c>
      <c r="BF125" s="951">
        <v>1025</v>
      </c>
      <c r="BG125" s="620">
        <f>SUM(BC125:BF125)</f>
        <v>4080</v>
      </c>
      <c r="BH125" s="852">
        <v>814</v>
      </c>
      <c r="BI125" s="505">
        <v>871</v>
      </c>
      <c r="BJ125" s="505">
        <v>836</v>
      </c>
      <c r="BK125" s="853">
        <v>827</v>
      </c>
      <c r="BL125" s="619">
        <f>SUM(BH125:BK125)</f>
        <v>3348</v>
      </c>
      <c r="BM125" s="852">
        <v>882</v>
      </c>
      <c r="BN125" s="511">
        <v>987</v>
      </c>
      <c r="BO125" s="505">
        <v>932</v>
      </c>
      <c r="BP125" s="853">
        <v>981</v>
      </c>
      <c r="BQ125" s="619">
        <f>SUM(BM125:BP125)</f>
        <v>3782</v>
      </c>
      <c r="BR125" s="1004">
        <v>1033</v>
      </c>
      <c r="BS125" s="511">
        <v>1072</v>
      </c>
      <c r="BT125" s="511">
        <v>1221</v>
      </c>
      <c r="BU125" s="951">
        <v>900</v>
      </c>
      <c r="BV125" s="619">
        <f>SUM(BR125:BU125)</f>
        <v>4226</v>
      </c>
      <c r="BW125" s="852">
        <v>907</v>
      </c>
      <c r="BX125" s="505">
        <v>847</v>
      </c>
      <c r="BY125" s="505">
        <v>756</v>
      </c>
      <c r="BZ125" s="853">
        <v>697</v>
      </c>
      <c r="CA125" s="619">
        <f>SUM(BW125:BZ125)</f>
        <v>3207</v>
      </c>
      <c r="CB125" s="852">
        <v>689</v>
      </c>
      <c r="CC125" s="505">
        <v>758</v>
      </c>
      <c r="CD125" s="505">
        <v>762</v>
      </c>
      <c r="CE125" s="853">
        <v>826</v>
      </c>
      <c r="CF125" s="619">
        <f t="shared" si="172"/>
        <v>3035</v>
      </c>
      <c r="CG125" s="852">
        <v>806</v>
      </c>
      <c r="CH125" s="505">
        <v>807</v>
      </c>
      <c r="CI125" s="505">
        <v>838</v>
      </c>
      <c r="CJ125" s="853">
        <v>865</v>
      </c>
      <c r="CK125" s="619">
        <f t="shared" si="173"/>
        <v>3316</v>
      </c>
      <c r="CL125" s="852">
        <v>893</v>
      </c>
      <c r="CM125" s="619">
        <f>CH125*(1+Operations!CM116)</f>
        <v>831.21</v>
      </c>
      <c r="CN125" s="619">
        <f>CI125*(1+Operations!CN116)</f>
        <v>863.14</v>
      </c>
      <c r="CO125" s="1023">
        <f>CJ125*(1+Operations!CO116)</f>
        <v>890.95</v>
      </c>
      <c r="CP125" s="619">
        <f t="shared" si="174"/>
        <v>3478.3</v>
      </c>
      <c r="CQ125" s="1042">
        <f>CL125*(1+Operations!CQ116)</f>
        <v>919.79000000000008</v>
      </c>
      <c r="CR125" s="619">
        <f>CM125*(1+Operations!CR116)</f>
        <v>856.14630000000011</v>
      </c>
      <c r="CS125" s="619">
        <f>CN125*(1+Operations!CS116)</f>
        <v>889.03420000000006</v>
      </c>
      <c r="CT125" s="1023">
        <f>CO125*(1+Operations!CT116)</f>
        <v>917.6785000000001</v>
      </c>
      <c r="CU125" s="619">
        <f t="shared" si="175"/>
        <v>3582.6490000000003</v>
      </c>
      <c r="CV125" s="1042">
        <f>CQ125*(1+Operations!CV116)</f>
        <v>947.38370000000009</v>
      </c>
      <c r="CW125" s="619">
        <f>CR125*(1+Operations!CW116)</f>
        <v>881.83068900000012</v>
      </c>
      <c r="CX125" s="619">
        <f>CS125*(1+Operations!CX116)</f>
        <v>915.70522600000004</v>
      </c>
      <c r="CY125" s="1023">
        <f>CT125*(1+Operations!CY116)</f>
        <v>945.20885500000009</v>
      </c>
      <c r="CZ125" s="619">
        <f t="shared" si="176"/>
        <v>3690.1284700000006</v>
      </c>
    </row>
    <row r="126" spans="1:113" ht="13.5" customHeight="1">
      <c r="A126" s="819"/>
      <c r="B126" s="66"/>
      <c r="C126" s="79" t="s">
        <v>123</v>
      </c>
      <c r="D126" s="176"/>
      <c r="E126" s="176"/>
      <c r="F126" s="176"/>
      <c r="G126" s="176"/>
      <c r="H126" s="176">
        <f t="shared" ref="H126:AC126" si="177">H119+H120+H121+H125</f>
        <v>1410</v>
      </c>
      <c r="I126" s="176">
        <f t="shared" si="177"/>
        <v>1205</v>
      </c>
      <c r="J126" s="176">
        <f t="shared" si="177"/>
        <v>230</v>
      </c>
      <c r="K126" s="176">
        <f t="shared" si="177"/>
        <v>282</v>
      </c>
      <c r="L126" s="176">
        <f t="shared" si="177"/>
        <v>317</v>
      </c>
      <c r="M126" s="176">
        <f t="shared" si="177"/>
        <v>299</v>
      </c>
      <c r="N126" s="176">
        <f t="shared" si="177"/>
        <v>1128</v>
      </c>
      <c r="O126" s="176">
        <f t="shared" si="177"/>
        <v>284</v>
      </c>
      <c r="P126" s="176">
        <f t="shared" si="177"/>
        <v>305</v>
      </c>
      <c r="Q126" s="176">
        <f t="shared" si="177"/>
        <v>321</v>
      </c>
      <c r="R126" s="176">
        <f t="shared" si="177"/>
        <v>300</v>
      </c>
      <c r="S126" s="176">
        <f t="shared" si="177"/>
        <v>1210</v>
      </c>
      <c r="T126" s="176">
        <f t="shared" si="177"/>
        <v>301</v>
      </c>
      <c r="U126" s="176">
        <f t="shared" si="177"/>
        <v>344</v>
      </c>
      <c r="V126" s="176">
        <f t="shared" si="177"/>
        <v>358</v>
      </c>
      <c r="W126" s="176">
        <f t="shared" si="177"/>
        <v>319</v>
      </c>
      <c r="X126" s="176">
        <f t="shared" si="177"/>
        <v>1322</v>
      </c>
      <c r="Y126" s="176">
        <f t="shared" si="177"/>
        <v>327</v>
      </c>
      <c r="Z126" s="176">
        <f t="shared" si="177"/>
        <v>370</v>
      </c>
      <c r="AA126" s="176">
        <f t="shared" si="177"/>
        <v>384</v>
      </c>
      <c r="AB126" s="176">
        <f t="shared" si="177"/>
        <v>364</v>
      </c>
      <c r="AC126" s="176">
        <f t="shared" si="177"/>
        <v>1445</v>
      </c>
      <c r="AD126" s="176">
        <f>SUM(AD119:AD125)</f>
        <v>358</v>
      </c>
      <c r="AE126" s="176">
        <f>SUM(AE119:AE125)</f>
        <v>369</v>
      </c>
      <c r="AF126" s="176">
        <f>SUM(AF119:AF125)</f>
        <v>380</v>
      </c>
      <c r="AG126" s="176">
        <f>SUM(AG119:AG125)</f>
        <v>362</v>
      </c>
      <c r="AH126" s="176">
        <f>AH119+AH120+AH121+AH125</f>
        <v>1469</v>
      </c>
      <c r="AI126" s="176">
        <f t="shared" ref="AI126:BN126" si="178">SUM(AI119:AI125)</f>
        <v>424</v>
      </c>
      <c r="AJ126" s="176">
        <f t="shared" si="178"/>
        <v>731</v>
      </c>
      <c r="AK126" s="176">
        <f t="shared" si="178"/>
        <v>733</v>
      </c>
      <c r="AL126" s="176">
        <f t="shared" si="178"/>
        <v>817</v>
      </c>
      <c r="AM126" s="176">
        <f t="shared" si="178"/>
        <v>2705</v>
      </c>
      <c r="AN126" s="176">
        <f t="shared" si="178"/>
        <v>1255</v>
      </c>
      <c r="AO126" s="176">
        <f t="shared" si="178"/>
        <v>2340</v>
      </c>
      <c r="AP126" s="176">
        <f t="shared" si="178"/>
        <v>2013</v>
      </c>
      <c r="AQ126" s="176">
        <f t="shared" si="178"/>
        <v>1394</v>
      </c>
      <c r="AR126" s="176">
        <f t="shared" si="178"/>
        <v>7002</v>
      </c>
      <c r="AS126" s="865">
        <f t="shared" si="178"/>
        <v>1275</v>
      </c>
      <c r="AT126" s="174">
        <f t="shared" si="178"/>
        <v>1547</v>
      </c>
      <c r="AU126" s="174">
        <f t="shared" si="178"/>
        <v>1409</v>
      </c>
      <c r="AV126" s="866">
        <f t="shared" si="178"/>
        <v>1270</v>
      </c>
      <c r="AW126" s="176">
        <f t="shared" si="178"/>
        <v>5501</v>
      </c>
      <c r="AX126" s="865">
        <f t="shared" si="178"/>
        <v>1431</v>
      </c>
      <c r="AY126" s="174">
        <f t="shared" si="178"/>
        <v>1633</v>
      </c>
      <c r="AZ126" s="174">
        <f t="shared" si="178"/>
        <v>1640</v>
      </c>
      <c r="BA126" s="866">
        <f t="shared" si="178"/>
        <v>1494</v>
      </c>
      <c r="BB126" s="176">
        <f t="shared" si="178"/>
        <v>6198</v>
      </c>
      <c r="BC126" s="865">
        <f t="shared" si="178"/>
        <v>1560</v>
      </c>
      <c r="BD126" s="174">
        <f t="shared" si="178"/>
        <v>1546</v>
      </c>
      <c r="BE126" s="174">
        <f t="shared" si="178"/>
        <v>1591</v>
      </c>
      <c r="BF126" s="913">
        <f t="shared" si="178"/>
        <v>1551</v>
      </c>
      <c r="BG126" s="366">
        <f t="shared" si="178"/>
        <v>6248</v>
      </c>
      <c r="BH126" s="865">
        <f t="shared" si="178"/>
        <v>1331</v>
      </c>
      <c r="BI126" s="174">
        <f t="shared" si="178"/>
        <v>1476</v>
      </c>
      <c r="BJ126" s="174">
        <f t="shared" si="178"/>
        <v>1455</v>
      </c>
      <c r="BK126" s="866">
        <f t="shared" si="178"/>
        <v>1357</v>
      </c>
      <c r="BL126" s="176">
        <f t="shared" si="178"/>
        <v>5619</v>
      </c>
      <c r="BM126" s="865">
        <f t="shared" si="178"/>
        <v>1372</v>
      </c>
      <c r="BN126" s="174">
        <f t="shared" si="178"/>
        <v>1565</v>
      </c>
      <c r="BO126" s="174">
        <f t="shared" ref="BO126:CT126" si="179">SUM(BO119:BO125)</f>
        <v>1526</v>
      </c>
      <c r="BP126" s="866">
        <f t="shared" si="179"/>
        <v>1534</v>
      </c>
      <c r="BQ126" s="176">
        <f t="shared" si="179"/>
        <v>5997</v>
      </c>
      <c r="BR126" s="865">
        <f t="shared" si="179"/>
        <v>1589</v>
      </c>
      <c r="BS126" s="174">
        <f t="shared" si="179"/>
        <v>1724</v>
      </c>
      <c r="BT126" s="174">
        <f t="shared" si="179"/>
        <v>1933</v>
      </c>
      <c r="BU126" s="866">
        <f t="shared" si="179"/>
        <v>1486</v>
      </c>
      <c r="BV126" s="176">
        <f t="shared" si="179"/>
        <v>6732</v>
      </c>
      <c r="BW126" s="865">
        <f t="shared" si="179"/>
        <v>1470</v>
      </c>
      <c r="BX126" s="174">
        <f t="shared" si="179"/>
        <v>1477</v>
      </c>
      <c r="BY126" s="174">
        <f t="shared" si="179"/>
        <v>1443</v>
      </c>
      <c r="BZ126" s="866">
        <f t="shared" si="179"/>
        <v>1284</v>
      </c>
      <c r="CA126" s="176">
        <f t="shared" si="179"/>
        <v>5674</v>
      </c>
      <c r="CB126" s="865">
        <f t="shared" si="179"/>
        <v>1249</v>
      </c>
      <c r="CC126" s="174">
        <f t="shared" si="179"/>
        <v>1375</v>
      </c>
      <c r="CD126" s="174">
        <f t="shared" si="179"/>
        <v>1424</v>
      </c>
      <c r="CE126" s="866">
        <f t="shared" si="179"/>
        <v>1497</v>
      </c>
      <c r="CF126" s="176">
        <f t="shared" si="179"/>
        <v>5545</v>
      </c>
      <c r="CG126" s="865">
        <f t="shared" si="179"/>
        <v>1724</v>
      </c>
      <c r="CH126" s="174">
        <f t="shared" si="179"/>
        <v>1798</v>
      </c>
      <c r="CI126" s="174">
        <f t="shared" si="179"/>
        <v>1920</v>
      </c>
      <c r="CJ126" s="866">
        <f t="shared" si="179"/>
        <v>1913</v>
      </c>
      <c r="CK126" s="176">
        <f t="shared" si="179"/>
        <v>7355</v>
      </c>
      <c r="CL126" s="865">
        <f t="shared" ref="CL126" si="180">SUM(CL119:CL125)</f>
        <v>1951</v>
      </c>
      <c r="CM126" s="174">
        <f t="shared" si="179"/>
        <v>1882.08</v>
      </c>
      <c r="CN126" s="174">
        <f t="shared" si="179"/>
        <v>2009.7599999999998</v>
      </c>
      <c r="CO126" s="866">
        <f t="shared" si="179"/>
        <v>2000.2700000000002</v>
      </c>
      <c r="CP126" s="176">
        <f t="shared" si="179"/>
        <v>7843.11</v>
      </c>
      <c r="CQ126" s="865">
        <f t="shared" si="179"/>
        <v>1998.9500000000003</v>
      </c>
      <c r="CR126" s="174">
        <f t="shared" si="179"/>
        <v>1928.0337000000002</v>
      </c>
      <c r="CS126" s="174">
        <f t="shared" si="179"/>
        <v>2058.5866000000001</v>
      </c>
      <c r="CT126" s="866">
        <f t="shared" si="179"/>
        <v>2049.1849000000002</v>
      </c>
      <c r="CU126" s="176">
        <f t="shared" ref="CU126:CZ126" si="181">SUM(CU119:CU125)</f>
        <v>8034.7552000000005</v>
      </c>
      <c r="CV126" s="865">
        <f t="shared" si="181"/>
        <v>2048.1269000000002</v>
      </c>
      <c r="CW126" s="174">
        <f t="shared" si="181"/>
        <v>1975.155837</v>
      </c>
      <c r="CX126" s="174">
        <f t="shared" si="181"/>
        <v>2108.648674</v>
      </c>
      <c r="CY126" s="866">
        <f t="shared" si="181"/>
        <v>2099.3453829999999</v>
      </c>
      <c r="CZ126" s="176">
        <f t="shared" si="181"/>
        <v>8231.2767940000012</v>
      </c>
    </row>
    <row r="127" spans="1:113" ht="6.2" customHeight="1">
      <c r="A127" s="819"/>
      <c r="B127" s="66"/>
      <c r="C127" s="79"/>
      <c r="D127" s="176"/>
      <c r="E127" s="176"/>
      <c r="F127" s="176"/>
      <c r="G127" s="176"/>
      <c r="H127" s="176"/>
      <c r="I127" s="176"/>
      <c r="J127" s="176"/>
      <c r="K127" s="176"/>
      <c r="L127" s="176"/>
      <c r="M127" s="176"/>
      <c r="N127" s="176"/>
      <c r="O127" s="176"/>
      <c r="P127" s="176"/>
      <c r="Q127" s="176"/>
      <c r="R127" s="176"/>
      <c r="S127" s="176"/>
      <c r="T127" s="176"/>
      <c r="U127" s="176"/>
      <c r="V127" s="176"/>
      <c r="W127" s="176"/>
      <c r="X127" s="176"/>
      <c r="Y127" s="176"/>
      <c r="Z127" s="176"/>
      <c r="AA127" s="176"/>
      <c r="AB127" s="176"/>
      <c r="AC127" s="176"/>
      <c r="AD127" s="176"/>
      <c r="AE127" s="176"/>
      <c r="AF127" s="176"/>
      <c r="AG127" s="176"/>
      <c r="AH127" s="176"/>
      <c r="AI127" s="176"/>
      <c r="AJ127" s="176"/>
      <c r="AK127" s="176"/>
      <c r="AL127" s="176"/>
      <c r="AM127" s="176"/>
      <c r="AN127" s="176"/>
      <c r="AO127" s="176"/>
      <c r="AP127" s="176"/>
      <c r="AQ127" s="176"/>
      <c r="AR127" s="176"/>
      <c r="AS127" s="865"/>
      <c r="AT127" s="174"/>
      <c r="AU127" s="174"/>
      <c r="AV127" s="866"/>
      <c r="AW127" s="176"/>
      <c r="AX127" s="865"/>
      <c r="AY127" s="174"/>
      <c r="AZ127" s="174"/>
      <c r="BA127" s="866"/>
      <c r="BB127" s="176"/>
      <c r="BC127" s="865"/>
      <c r="BD127" s="174"/>
      <c r="BE127" s="174"/>
      <c r="BF127" s="913"/>
      <c r="BG127" s="366"/>
      <c r="BH127" s="865"/>
      <c r="BI127" s="174"/>
      <c r="BJ127" s="174"/>
      <c r="BK127" s="866"/>
      <c r="BL127" s="176"/>
      <c r="BM127" s="865"/>
      <c r="BN127" s="174"/>
      <c r="BO127" s="174"/>
      <c r="BP127" s="866"/>
      <c r="BQ127" s="176"/>
      <c r="BR127" s="865"/>
      <c r="BS127" s="174"/>
      <c r="BT127" s="174"/>
      <c r="BU127" s="866"/>
      <c r="BV127" s="176"/>
      <c r="BW127" s="865"/>
      <c r="BX127" s="174"/>
      <c r="BY127" s="174"/>
      <c r="BZ127" s="866"/>
      <c r="CA127" s="176"/>
      <c r="CB127" s="865"/>
      <c r="CC127" s="174"/>
      <c r="CD127" s="174"/>
      <c r="CE127" s="866"/>
      <c r="CF127" s="176"/>
      <c r="CG127" s="865"/>
      <c r="CH127" s="174"/>
      <c r="CI127" s="174"/>
      <c r="CJ127" s="866"/>
      <c r="CK127" s="176"/>
      <c r="CL127" s="865"/>
      <c r="CM127" s="174"/>
      <c r="CN127" s="174"/>
      <c r="CO127" s="866"/>
      <c r="CP127" s="176"/>
      <c r="CQ127" s="865"/>
      <c r="CR127" s="174"/>
      <c r="CS127" s="174"/>
      <c r="CT127" s="866"/>
      <c r="CU127" s="176"/>
      <c r="CV127" s="865"/>
      <c r="CW127" s="174"/>
      <c r="CX127" s="174"/>
      <c r="CY127" s="866"/>
      <c r="CZ127" s="176"/>
    </row>
    <row r="128" spans="1:113" s="396" customFormat="1" ht="13.5" customHeight="1">
      <c r="A128" s="826"/>
      <c r="B128" s="362" t="s">
        <v>341</v>
      </c>
      <c r="C128" s="374"/>
      <c r="D128" s="374"/>
      <c r="E128" s="374"/>
      <c r="F128" s="374"/>
      <c r="G128" s="374"/>
      <c r="H128" s="374"/>
      <c r="I128" s="374"/>
      <c r="J128" s="368"/>
      <c r="K128" s="368"/>
      <c r="L128" s="368"/>
      <c r="M128" s="368"/>
      <c r="N128" s="374"/>
      <c r="O128" s="368"/>
      <c r="P128" s="368"/>
      <c r="Q128" s="368"/>
      <c r="R128" s="368"/>
      <c r="S128" s="368"/>
      <c r="T128" s="368"/>
      <c r="U128" s="368"/>
      <c r="V128" s="368"/>
      <c r="W128" s="368"/>
      <c r="X128" s="368"/>
      <c r="Y128" s="368"/>
      <c r="Z128" s="368"/>
      <c r="AA128" s="368"/>
      <c r="AB128" s="368"/>
      <c r="AC128" s="362"/>
      <c r="AD128" s="499">
        <f t="shared" ref="AD128:AL128" si="182">AD125-AD129</f>
        <v>0</v>
      </c>
      <c r="AE128" s="499">
        <f t="shared" si="182"/>
        <v>0</v>
      </c>
      <c r="AF128" s="499">
        <f t="shared" si="182"/>
        <v>7.1054273576010019E-14</v>
      </c>
      <c r="AG128" s="499">
        <f t="shared" si="182"/>
        <v>0</v>
      </c>
      <c r="AH128" s="499">
        <f t="shared" si="182"/>
        <v>-3.694822225952521E-13</v>
      </c>
      <c r="AI128" s="499">
        <f t="shared" si="182"/>
        <v>18.952301255230118</v>
      </c>
      <c r="AJ128" s="499">
        <f t="shared" si="182"/>
        <v>131.03285256410265</v>
      </c>
      <c r="AK128" s="499">
        <f t="shared" si="182"/>
        <v>88.366314199395745</v>
      </c>
      <c r="AL128" s="499">
        <f t="shared" si="182"/>
        <v>107.6965466568698</v>
      </c>
      <c r="AM128" s="499">
        <f>SUM(AI128:AL128)</f>
        <v>346.04801467559832</v>
      </c>
      <c r="AN128" s="499">
        <f>AN125-AN129</f>
        <v>585.68253968253964</v>
      </c>
      <c r="AO128" s="499">
        <f>AO125-AO129</f>
        <v>1559.4762900976291</v>
      </c>
      <c r="AP128" s="499">
        <f>AP125-AP129</f>
        <v>1248.4061728395061</v>
      </c>
      <c r="AQ128" s="499">
        <f>AQ125-AQ129</f>
        <v>716.55624227441263</v>
      </c>
      <c r="AR128" s="499">
        <f>SUM(AN128:AQ128)</f>
        <v>4110.1212448940869</v>
      </c>
      <c r="AS128" s="909">
        <f>AS125-AS129</f>
        <v>789.40340136054419</v>
      </c>
      <c r="AT128" s="600">
        <f>AT125-AT129</f>
        <v>1012.7936874518861</v>
      </c>
      <c r="AU128" s="600">
        <f>AU125-AU129</f>
        <v>820.63126079447318</v>
      </c>
      <c r="AV128" s="910">
        <f>AV125-AV129</f>
        <v>746.77671589921806</v>
      </c>
      <c r="AW128" s="499">
        <f>SUM(AS128:AV128)</f>
        <v>3369.6050655061217</v>
      </c>
      <c r="AX128" s="909">
        <f>AX125-AX129</f>
        <v>934.94783377542001</v>
      </c>
      <c r="AY128" s="600">
        <f>AY125-AY129</f>
        <v>1004.6413969335605</v>
      </c>
      <c r="AZ128" s="600">
        <f>AZ125-AZ129</f>
        <v>976.98747913188652</v>
      </c>
      <c r="BA128" s="910">
        <f>BA125-BA129</f>
        <v>909.98734177215192</v>
      </c>
      <c r="BB128" s="499">
        <f>SUM(AX128:BA128)</f>
        <v>3826.5640516130188</v>
      </c>
      <c r="BC128" s="909">
        <f>BC125-BC129</f>
        <v>985.32260596546314</v>
      </c>
      <c r="BD128" s="600">
        <f>BD125-BD129</f>
        <v>902.82218956649535</v>
      </c>
      <c r="BE128" s="600">
        <f>BE125-BE129</f>
        <v>897.13758146270811</v>
      </c>
      <c r="BF128" s="910">
        <f>BF125-BF129</f>
        <v>930.38207885304678</v>
      </c>
      <c r="BG128" s="499">
        <f>SUM(BC128:BF128)</f>
        <v>3715.6644558477137</v>
      </c>
      <c r="BH128" s="909">
        <f>BH125-BH129</f>
        <v>723.7577505407354</v>
      </c>
      <c r="BI128" s="600">
        <f>BI125-BI129</f>
        <v>765.28745519713266</v>
      </c>
      <c r="BJ128" s="600">
        <f>BJ125-BJ129</f>
        <v>720.96207148067106</v>
      </c>
      <c r="BK128" s="910">
        <f>BK125-BK129</f>
        <v>724.37605633802821</v>
      </c>
      <c r="BL128" s="499">
        <f>SUM(BH128:BK128)</f>
        <v>2934.3833335565673</v>
      </c>
      <c r="BM128" s="909">
        <f>BM125-BM129</f>
        <v>800.00942028985514</v>
      </c>
      <c r="BN128" s="600">
        <f>BN125-BN129</f>
        <v>882.97379912663746</v>
      </c>
      <c r="BO128" s="600">
        <f>BO125-BO129</f>
        <v>821.72461650840023</v>
      </c>
      <c r="BP128" s="910">
        <f>BP125-BP129</f>
        <v>868.73947750362856</v>
      </c>
      <c r="BQ128" s="499">
        <f>SUM(BM128:BP128)</f>
        <v>3373.4473134285213</v>
      </c>
      <c r="BR128" s="909">
        <f>BR125-BR129</f>
        <v>940.50667655786356</v>
      </c>
      <c r="BS128" s="600">
        <f>BS125-BS129</f>
        <v>966.19239209948796</v>
      </c>
      <c r="BT128" s="600">
        <f>BT125-BT129</f>
        <v>1109.0151515151515</v>
      </c>
      <c r="BU128" s="910">
        <f>BU125-BU129</f>
        <v>801.46787709497198</v>
      </c>
      <c r="BV128" s="499">
        <f>SUM(BR128:BU128)</f>
        <v>3817.182097267475</v>
      </c>
      <c r="BW128" s="909">
        <f>BW125-BW129</f>
        <v>813.74358974358972</v>
      </c>
      <c r="BX128" s="600">
        <f>BX125-BX129</f>
        <v>741.02463768115945</v>
      </c>
      <c r="BY128" s="600">
        <f>BY125-BY129</f>
        <v>642.81717246484095</v>
      </c>
      <c r="BZ128" s="910">
        <f>BZ125-BZ129</f>
        <v>589.9122165325532</v>
      </c>
      <c r="CA128" s="499">
        <f>SUM(BW128:BZ128)</f>
        <v>2787.4976164221434</v>
      </c>
      <c r="CB128" s="909">
        <f>CB125-CB129</f>
        <v>597.24862313139261</v>
      </c>
      <c r="CC128" s="600">
        <f>CC125-CC129</f>
        <v>656.43424124513615</v>
      </c>
      <c r="CD128" s="600">
        <f>CD125-CD129</f>
        <v>645.24557351809085</v>
      </c>
      <c r="CE128" s="910">
        <f>CE125-CE129</f>
        <v>723.81600598354544</v>
      </c>
      <c r="CF128" s="499">
        <f>SUM(CB128:CE128)</f>
        <v>2622.7444438781649</v>
      </c>
      <c r="CG128" s="909">
        <f>CG125-CG129</f>
        <v>665.86761032472941</v>
      </c>
      <c r="CH128" s="600">
        <f>CH125-CH129</f>
        <v>646.56385542168675</v>
      </c>
      <c r="CI128" s="600">
        <f>CD128*(1+Operations!CI116)</f>
        <v>709.60077507632559</v>
      </c>
      <c r="CJ128" s="910">
        <f>CE128*(1+Operations!CJ116)</f>
        <v>757.99133798518983</v>
      </c>
      <c r="CK128" s="499">
        <f>SUM(CG128:CJ128)</f>
        <v>2780.0235788079317</v>
      </c>
      <c r="CL128" s="909">
        <f>CG128*(1+Operations!CL116)</f>
        <v>737.7416575930315</v>
      </c>
      <c r="CM128" s="600">
        <f>CH128*(1+Operations!CM116)</f>
        <v>665.96077108433735</v>
      </c>
      <c r="CN128" s="600">
        <f>CI128*(1+Operations!CN116)</f>
        <v>730.88879832861539</v>
      </c>
      <c r="CO128" s="910">
        <f>CJ128*(1+Operations!CO116)</f>
        <v>780.73107812474552</v>
      </c>
      <c r="CP128" s="499">
        <f>SUM(CL128:CO128)</f>
        <v>2915.32230513073</v>
      </c>
      <c r="CQ128" s="909">
        <f>CL128*(1+Operations!CQ116)</f>
        <v>759.87390732082247</v>
      </c>
      <c r="CR128" s="600">
        <f>CM128*(1+Operations!CR116)</f>
        <v>685.93959421686748</v>
      </c>
      <c r="CS128" s="600">
        <f>CN128*(1+Operations!CS116)</f>
        <v>752.81546227847389</v>
      </c>
      <c r="CT128" s="910">
        <f>CO128*(1+Operations!CT116)</f>
        <v>804.15301046848788</v>
      </c>
      <c r="CU128" s="499">
        <f>SUM(CQ128:CT128)</f>
        <v>3002.7819742846518</v>
      </c>
      <c r="CV128" s="909">
        <f>CQ128*(1+Operations!CV116)</f>
        <v>782.6701245404472</v>
      </c>
      <c r="CW128" s="600">
        <f>CR128*(1+Operations!CW116)</f>
        <v>706.51778204337347</v>
      </c>
      <c r="CX128" s="600">
        <f>CS128*(1+Operations!CX116)</f>
        <v>775.39992614682808</v>
      </c>
      <c r="CY128" s="910">
        <f>CT128*(1+Operations!CY116)</f>
        <v>828.27760078254255</v>
      </c>
      <c r="CZ128" s="499">
        <f>SUM(CV128:CY128)</f>
        <v>3092.8654335131914</v>
      </c>
      <c r="DD128"/>
      <c r="DE128"/>
      <c r="DF128"/>
      <c r="DG128"/>
      <c r="DH128"/>
      <c r="DI128"/>
    </row>
    <row r="129" spans="1:113" s="396" customFormat="1" ht="13.5" customHeight="1">
      <c r="A129" s="826"/>
      <c r="B129" s="688" t="s">
        <v>669</v>
      </c>
      <c r="C129" s="374"/>
      <c r="D129" s="374"/>
      <c r="E129" s="374"/>
      <c r="F129" s="374"/>
      <c r="G129" s="374"/>
      <c r="H129" s="374"/>
      <c r="I129" s="374"/>
      <c r="J129" s="368"/>
      <c r="K129" s="368"/>
      <c r="L129" s="368"/>
      <c r="M129" s="368"/>
      <c r="N129" s="374"/>
      <c r="O129" s="368"/>
      <c r="P129" s="368"/>
      <c r="Q129" s="368"/>
      <c r="R129" s="368"/>
      <c r="S129" s="368"/>
      <c r="T129" s="368"/>
      <c r="U129" s="368"/>
      <c r="V129" s="368"/>
      <c r="W129" s="368"/>
      <c r="X129" s="368"/>
      <c r="Y129" s="368"/>
      <c r="Z129" s="368"/>
      <c r="AA129" s="368"/>
      <c r="AB129" s="368"/>
      <c r="AC129" s="362"/>
      <c r="AD129" s="499">
        <f t="shared" ref="AD129:AL129" si="183">(AD132/AD134-(SUM(AD119:AD122)/1000))*1000</f>
        <v>37.999999999999979</v>
      </c>
      <c r="AE129" s="499">
        <f t="shared" si="183"/>
        <v>42.000000000000036</v>
      </c>
      <c r="AF129" s="499">
        <f t="shared" si="183"/>
        <v>48.999999999999929</v>
      </c>
      <c r="AG129" s="499">
        <f t="shared" si="183"/>
        <v>44.999999999999986</v>
      </c>
      <c r="AH129" s="499">
        <f t="shared" si="183"/>
        <v>174.00000000000037</v>
      </c>
      <c r="AI129" s="499">
        <f t="shared" si="183"/>
        <v>48.047698744769882</v>
      </c>
      <c r="AJ129" s="499">
        <f t="shared" si="183"/>
        <v>49.96714743589736</v>
      </c>
      <c r="AK129" s="499">
        <f t="shared" si="183"/>
        <v>80.633685800604255</v>
      </c>
      <c r="AL129" s="499">
        <f t="shared" si="183"/>
        <v>128.3034533431302</v>
      </c>
      <c r="AM129" s="499">
        <f>SUM(AI129:AL129)</f>
        <v>306.95198532440168</v>
      </c>
      <c r="AN129" s="499">
        <f>(AN132/AN134-(SUM(AN119:AN122)/1000))*1000</f>
        <v>106.31746031746036</v>
      </c>
      <c r="AO129" s="499">
        <f>(AO132/AO134-(SUM(AO119:AO122)/1000))*1000</f>
        <v>126.52370990237094</v>
      </c>
      <c r="AP129" s="499">
        <f>(AP132/AP134-(SUM(AP119:AP122)/1000))*1000</f>
        <v>139.59382716049384</v>
      </c>
      <c r="AQ129" s="499">
        <f>(AQ132/AQ134-(SUM(AQ119:AQ122)/1000))*1000</f>
        <v>96.443757725587332</v>
      </c>
      <c r="AR129" s="499">
        <f>SUM(AN129:AQ129)</f>
        <v>468.87875510591249</v>
      </c>
      <c r="AS129" s="909">
        <f>(AS132/AS134-(SUM(AS119:AS122)/1000))*1000</f>
        <v>62.59659863945577</v>
      </c>
      <c r="AT129" s="600">
        <f>(AT132/AT134-(SUM(AT119:AT122)/1000))*1000</f>
        <v>65.206312548113928</v>
      </c>
      <c r="AU129" s="600">
        <f>(AU132/AU134-(SUM(AU119:AU122)/1000))*1000</f>
        <v>68.368739205526779</v>
      </c>
      <c r="AV129" s="910">
        <f>(AV132/AV134-(SUM(AV119:AV122)/1000))*1000</f>
        <v>77.223284100781882</v>
      </c>
      <c r="AW129" s="499">
        <f>SUM(AS129:AV129)</f>
        <v>273.39493449387834</v>
      </c>
      <c r="AX129" s="909">
        <f>(AX132/AX134-(SUM(AX119:AX122)/1000))*1000</f>
        <v>64.052166224579992</v>
      </c>
      <c r="AY129" s="600">
        <f>(AY132/AY134-(SUM(AY119:AY122)/1000))*1000</f>
        <v>92.3586030664395</v>
      </c>
      <c r="AZ129" s="600">
        <f>(AZ132/AZ134-(SUM(AZ119:AZ122)/1000))*1000</f>
        <v>97.012520868113512</v>
      </c>
      <c r="BA129" s="910">
        <f>(BA132/BA134-(SUM(BA119:BA122)/1000))*1000</f>
        <v>93.012658227848107</v>
      </c>
      <c r="BB129" s="499">
        <f>SUM(AX129:BA129)</f>
        <v>346.43594838698112</v>
      </c>
      <c r="BC129" s="909">
        <f>(BC132/BC134-(SUM(BC119:BC122)/1000))*1000</f>
        <v>80.677394034536889</v>
      </c>
      <c r="BD129" s="600">
        <f>(BD132/BD134-(SUM(BD119:BD122)/1000))*1000</f>
        <v>90.177810433504703</v>
      </c>
      <c r="BE129" s="600">
        <f>(BE132/BE134-(SUM(BE119:BE122)/1000))*1000</f>
        <v>98.86241853729183</v>
      </c>
      <c r="BF129" s="910">
        <f>(BF132/BF134-(SUM(BF119:BF122)/1000))*1000</f>
        <v>94.617921146953222</v>
      </c>
      <c r="BG129" s="499">
        <f>SUM(BC129:BF129)</f>
        <v>364.33554415228662</v>
      </c>
      <c r="BH129" s="909">
        <f>(BH132/BH134-(SUM(BH119:BH122)/1000))*1000</f>
        <v>90.242249459264627</v>
      </c>
      <c r="BI129" s="600">
        <f>(BI132/BI134-(SUM(BI119:BI122)/1000))*1000</f>
        <v>105.7125448028674</v>
      </c>
      <c r="BJ129" s="600">
        <f>(BJ132/BJ134-(SUM(BJ119:BJ122)/1000))*1000</f>
        <v>115.03792851932893</v>
      </c>
      <c r="BK129" s="910">
        <f>(BK132/BK134-(SUM(BK119:BK122)/1000))*1000</f>
        <v>102.62394366197181</v>
      </c>
      <c r="BL129" s="499">
        <f>SUM(BH129:BK129)</f>
        <v>413.61666644343273</v>
      </c>
      <c r="BM129" s="909">
        <f>(BM132/BM134-(SUM(BM119:BM122)/1000))*1000</f>
        <v>81.9905797101449</v>
      </c>
      <c r="BN129" s="600">
        <f>(BN132/BN134-(SUM(BN119:BN122)/1000))*1000</f>
        <v>104.02620087336257</v>
      </c>
      <c r="BO129" s="600">
        <f>(BO132/BO134-(SUM(BO119:BO122)/1000))*1000</f>
        <v>110.27538349159971</v>
      </c>
      <c r="BP129" s="910">
        <f>(BP132/BP134-(SUM(BP119:BP122)/1000))*1000</f>
        <v>112.26052249637142</v>
      </c>
      <c r="BQ129" s="499">
        <f>SUM(BM129:BP129)</f>
        <v>408.5526865714786</v>
      </c>
      <c r="BR129" s="909">
        <f>(BR132/BR134-(SUM(BR119:BR122)/1000))*1000</f>
        <v>92.493323442136457</v>
      </c>
      <c r="BS129" s="600">
        <f>(BS132/BS134-(SUM(BS119:BS122)/1000))*1000</f>
        <v>105.80760790051202</v>
      </c>
      <c r="BT129" s="600">
        <f>(BT132/BT134-(SUM(BT119:BT122)/1000))*1000</f>
        <v>111.98484848484847</v>
      </c>
      <c r="BU129" s="910">
        <f>(BU132/BU134-(SUM(BU119:BU122)/1000))*1000</f>
        <v>98.53212290502799</v>
      </c>
      <c r="BV129" s="499">
        <f>SUM(BR129:BU129)</f>
        <v>408.817902732525</v>
      </c>
      <c r="BW129" s="909">
        <f>(BW132/BW134-(SUM(BW119:BW122)/1000))*1000</f>
        <v>93.256410256410291</v>
      </c>
      <c r="BX129" s="600">
        <f>(BX132/BX134-(SUM(BX119:BX122)/1000))*1000</f>
        <v>105.97536231884052</v>
      </c>
      <c r="BY129" s="600">
        <f>(BY132/BY134-(SUM(BY119:BY122)/1000))*1000</f>
        <v>113.18282753515906</v>
      </c>
      <c r="BZ129" s="910">
        <f>(BZ132/BZ134-(SUM(BZ119:BZ122)/1000))*1000</f>
        <v>107.08778346744685</v>
      </c>
      <c r="CA129" s="499">
        <f>SUM(BW129:BZ129)</f>
        <v>419.50238357785673</v>
      </c>
      <c r="CB129" s="909">
        <f>(CB132/CB134-(SUM(CB119:CB122)/1000))*1000</f>
        <v>91.751376868607352</v>
      </c>
      <c r="CC129" s="600">
        <f>(CC132/CC134-(SUM(CC119:CC122)/1000))*1000</f>
        <v>101.56575875486385</v>
      </c>
      <c r="CD129" s="600">
        <f>(CD132/CD134-(SUM(CD119:CD122)/1000))*1000</f>
        <v>116.75442648190915</v>
      </c>
      <c r="CE129" s="910">
        <f>(CE132/CE134-(SUM(CE119:CE122)/1000))*1000</f>
        <v>102.18399401645462</v>
      </c>
      <c r="CF129" s="499">
        <f>SUM(CB129:CE129)</f>
        <v>412.25555612183496</v>
      </c>
      <c r="CG129" s="909">
        <f>(CG132/CG134-(SUM(CG119:CG122)/1000))*1000</f>
        <v>140.13238967527064</v>
      </c>
      <c r="CH129" s="600">
        <f>(CH132/CH134-(SUM(CH119:CH122)/1000))*1000</f>
        <v>160.43614457831325</v>
      </c>
      <c r="CI129" s="600">
        <f>(CI132/CI134-(SUM(CI119:CI122)/1000))*1000</f>
        <v>178.64370546318287</v>
      </c>
      <c r="CJ129" s="910">
        <f>(CJ132/CJ134-(SUM(CJ119:CJ122)/1000))*1000</f>
        <v>156.09582689335389</v>
      </c>
      <c r="CK129" s="499">
        <f>SUM(CG129:CJ129)</f>
        <v>635.3080666101207</v>
      </c>
      <c r="CL129" s="909">
        <f>CG129*(1+Operations!CL116)</f>
        <v>155.25834240696861</v>
      </c>
      <c r="CM129" s="600">
        <f>CH129*(1+Operations!CM116)</f>
        <v>165.24922891566266</v>
      </c>
      <c r="CN129" s="600">
        <f>CI129*(1+Operations!CN116)</f>
        <v>184.00301662707835</v>
      </c>
      <c r="CO129" s="910">
        <f>CJ129*(1+Operations!CO116)</f>
        <v>160.7787017001545</v>
      </c>
      <c r="CP129" s="499">
        <f>SUM(CL129:CO129)</f>
        <v>665.28928964986414</v>
      </c>
      <c r="CQ129" s="909">
        <f>CL129*(1+Operations!CQ116)</f>
        <v>159.91609267917767</v>
      </c>
      <c r="CR129" s="600">
        <f>CM129*(1+Operations!CR116)</f>
        <v>170.20670578313255</v>
      </c>
      <c r="CS129" s="600">
        <f>CN129*(1+Operations!CS116)</f>
        <v>189.5231071258907</v>
      </c>
      <c r="CT129" s="910">
        <f>CO129*(1+Operations!CT116)</f>
        <v>165.60206275115914</v>
      </c>
      <c r="CU129" s="499">
        <f>SUM(CQ129:CT129)</f>
        <v>685.24796833936011</v>
      </c>
      <c r="CV129" s="909">
        <f>CQ129*(1+Operations!CV116)</f>
        <v>164.713575459553</v>
      </c>
      <c r="CW129" s="600">
        <f>CR129*(1+Operations!CW116)</f>
        <v>175.31290695662653</v>
      </c>
      <c r="CX129" s="600">
        <f>CS129*(1+Operations!CX116)</f>
        <v>195.20880033966742</v>
      </c>
      <c r="CY129" s="910">
        <f>CT129*(1+Operations!CY116)</f>
        <v>170.57012463369392</v>
      </c>
      <c r="CZ129" s="499">
        <f>SUM(CV129:CY129)</f>
        <v>705.80540738954085</v>
      </c>
      <c r="DD129"/>
      <c r="DE129"/>
      <c r="DF129"/>
      <c r="DG129"/>
      <c r="DH129"/>
      <c r="DI129"/>
    </row>
    <row r="130" spans="1:113" s="396" customFormat="1" ht="13.5" customHeight="1">
      <c r="A130" s="827"/>
      <c r="B130" s="411" t="s">
        <v>668</v>
      </c>
      <c r="D130" s="366"/>
      <c r="E130" s="366"/>
      <c r="F130" s="366"/>
      <c r="G130" s="366"/>
      <c r="H130" s="366">
        <f>H126</f>
        <v>1410</v>
      </c>
      <c r="I130" s="366">
        <f>I126</f>
        <v>1205</v>
      </c>
      <c r="J130" s="366">
        <f t="shared" ref="J130:AO130" si="184">J126-J128</f>
        <v>230</v>
      </c>
      <c r="K130" s="366">
        <f t="shared" si="184"/>
        <v>282</v>
      </c>
      <c r="L130" s="366">
        <f t="shared" si="184"/>
        <v>317</v>
      </c>
      <c r="M130" s="366">
        <f t="shared" si="184"/>
        <v>299</v>
      </c>
      <c r="N130" s="366">
        <f t="shared" si="184"/>
        <v>1128</v>
      </c>
      <c r="O130" s="366">
        <f t="shared" si="184"/>
        <v>284</v>
      </c>
      <c r="P130" s="366">
        <f t="shared" si="184"/>
        <v>305</v>
      </c>
      <c r="Q130" s="366">
        <f t="shared" si="184"/>
        <v>321</v>
      </c>
      <c r="R130" s="366">
        <f t="shared" si="184"/>
        <v>300</v>
      </c>
      <c r="S130" s="366">
        <f t="shared" si="184"/>
        <v>1210</v>
      </c>
      <c r="T130" s="366">
        <f t="shared" si="184"/>
        <v>301</v>
      </c>
      <c r="U130" s="366">
        <f t="shared" si="184"/>
        <v>344</v>
      </c>
      <c r="V130" s="366">
        <f t="shared" si="184"/>
        <v>358</v>
      </c>
      <c r="W130" s="366">
        <f t="shared" si="184"/>
        <v>319</v>
      </c>
      <c r="X130" s="366">
        <f t="shared" si="184"/>
        <v>1322</v>
      </c>
      <c r="Y130" s="366">
        <f t="shared" si="184"/>
        <v>327</v>
      </c>
      <c r="Z130" s="366">
        <f t="shared" si="184"/>
        <v>370</v>
      </c>
      <c r="AA130" s="366">
        <f t="shared" si="184"/>
        <v>384</v>
      </c>
      <c r="AB130" s="366">
        <f t="shared" si="184"/>
        <v>364</v>
      </c>
      <c r="AC130" s="366">
        <f t="shared" si="184"/>
        <v>1445</v>
      </c>
      <c r="AD130" s="366">
        <f t="shared" si="184"/>
        <v>358</v>
      </c>
      <c r="AE130" s="366">
        <f t="shared" si="184"/>
        <v>369</v>
      </c>
      <c r="AF130" s="366">
        <f t="shared" si="184"/>
        <v>379.99999999999994</v>
      </c>
      <c r="AG130" s="366">
        <f t="shared" si="184"/>
        <v>362</v>
      </c>
      <c r="AH130" s="366">
        <f t="shared" si="184"/>
        <v>1469.0000000000005</v>
      </c>
      <c r="AI130" s="366">
        <f t="shared" si="184"/>
        <v>405.04769874476989</v>
      </c>
      <c r="AJ130" s="366">
        <f t="shared" si="184"/>
        <v>599.96714743589735</v>
      </c>
      <c r="AK130" s="366">
        <f t="shared" si="184"/>
        <v>644.63368580060421</v>
      </c>
      <c r="AL130" s="366">
        <f t="shared" si="184"/>
        <v>709.30345334313017</v>
      </c>
      <c r="AM130" s="366">
        <f t="shared" si="184"/>
        <v>2358.9519853244019</v>
      </c>
      <c r="AN130" s="366">
        <f t="shared" si="184"/>
        <v>669.31746031746036</v>
      </c>
      <c r="AO130" s="366">
        <f t="shared" si="184"/>
        <v>780.52370990237091</v>
      </c>
      <c r="AP130" s="366">
        <f t="shared" ref="AP130:BU130" si="185">AP126-AP128</f>
        <v>764.5938271604939</v>
      </c>
      <c r="AQ130" s="366">
        <f t="shared" si="185"/>
        <v>677.44375772558737</v>
      </c>
      <c r="AR130" s="366">
        <f t="shared" si="185"/>
        <v>2891.8787551059131</v>
      </c>
      <c r="AS130" s="911">
        <f t="shared" si="185"/>
        <v>485.59659863945581</v>
      </c>
      <c r="AT130" s="912">
        <f t="shared" si="185"/>
        <v>534.20631254811394</v>
      </c>
      <c r="AU130" s="912">
        <f t="shared" si="185"/>
        <v>588.36873920552682</v>
      </c>
      <c r="AV130" s="913">
        <f t="shared" si="185"/>
        <v>523.22328410078194</v>
      </c>
      <c r="AW130" s="366">
        <f t="shared" si="185"/>
        <v>2131.3949344938783</v>
      </c>
      <c r="AX130" s="911">
        <f t="shared" si="185"/>
        <v>496.05216622457999</v>
      </c>
      <c r="AY130" s="912">
        <f t="shared" si="185"/>
        <v>628.35860306643951</v>
      </c>
      <c r="AZ130" s="912">
        <f t="shared" si="185"/>
        <v>663.01252086811348</v>
      </c>
      <c r="BA130" s="913">
        <f t="shared" si="185"/>
        <v>584.01265822784808</v>
      </c>
      <c r="BB130" s="366">
        <f t="shared" si="185"/>
        <v>2371.4359483869812</v>
      </c>
      <c r="BC130" s="911">
        <f t="shared" si="185"/>
        <v>574.67739403453686</v>
      </c>
      <c r="BD130" s="912">
        <f t="shared" si="185"/>
        <v>643.17781043350465</v>
      </c>
      <c r="BE130" s="912">
        <f t="shared" si="185"/>
        <v>693.86241853729189</v>
      </c>
      <c r="BF130" s="913">
        <f t="shared" si="185"/>
        <v>620.61792114695322</v>
      </c>
      <c r="BG130" s="366">
        <f t="shared" si="185"/>
        <v>2532.3355441522863</v>
      </c>
      <c r="BH130" s="911">
        <f t="shared" si="185"/>
        <v>607.2422494592646</v>
      </c>
      <c r="BI130" s="912">
        <f t="shared" si="185"/>
        <v>710.71254480286734</v>
      </c>
      <c r="BJ130" s="912">
        <f t="shared" si="185"/>
        <v>734.03792851932894</v>
      </c>
      <c r="BK130" s="913">
        <f t="shared" si="185"/>
        <v>632.62394366197179</v>
      </c>
      <c r="BL130" s="366">
        <f t="shared" si="185"/>
        <v>2684.6166664434327</v>
      </c>
      <c r="BM130" s="911">
        <f t="shared" si="185"/>
        <v>571.99057971014486</v>
      </c>
      <c r="BN130" s="912">
        <f t="shared" si="185"/>
        <v>682.02620087336254</v>
      </c>
      <c r="BO130" s="912">
        <f t="shared" si="185"/>
        <v>704.27538349159977</v>
      </c>
      <c r="BP130" s="913">
        <f t="shared" si="185"/>
        <v>665.26052249637144</v>
      </c>
      <c r="BQ130" s="366">
        <f t="shared" si="185"/>
        <v>2623.5526865714787</v>
      </c>
      <c r="BR130" s="911">
        <f t="shared" si="185"/>
        <v>648.49332344213644</v>
      </c>
      <c r="BS130" s="912">
        <f t="shared" si="185"/>
        <v>757.80760790051204</v>
      </c>
      <c r="BT130" s="912">
        <f t="shared" si="185"/>
        <v>823.9848484848485</v>
      </c>
      <c r="BU130" s="913">
        <f t="shared" si="185"/>
        <v>684.53212290502802</v>
      </c>
      <c r="BV130" s="366">
        <f t="shared" ref="BV130:CZ130" si="186">BV126-BV128</f>
        <v>2914.817902732525</v>
      </c>
      <c r="BW130" s="911">
        <f t="shared" si="186"/>
        <v>656.25641025641028</v>
      </c>
      <c r="BX130" s="912">
        <f t="shared" si="186"/>
        <v>735.97536231884055</v>
      </c>
      <c r="BY130" s="912">
        <f t="shared" si="186"/>
        <v>800.18282753515905</v>
      </c>
      <c r="BZ130" s="913">
        <f t="shared" si="186"/>
        <v>694.0877834674468</v>
      </c>
      <c r="CA130" s="366">
        <f t="shared" si="186"/>
        <v>2886.5023835778566</v>
      </c>
      <c r="CB130" s="911">
        <f t="shared" si="186"/>
        <v>651.75137686860739</v>
      </c>
      <c r="CC130" s="912">
        <f t="shared" si="186"/>
        <v>718.56575875486385</v>
      </c>
      <c r="CD130" s="912">
        <f t="shared" si="186"/>
        <v>778.75442648190915</v>
      </c>
      <c r="CE130" s="913">
        <f t="shared" si="186"/>
        <v>773.18399401645456</v>
      </c>
      <c r="CF130" s="366">
        <f t="shared" si="186"/>
        <v>2922.2555561218351</v>
      </c>
      <c r="CG130" s="911">
        <f t="shared" si="186"/>
        <v>1058.1323896752706</v>
      </c>
      <c r="CH130" s="912">
        <f t="shared" si="186"/>
        <v>1151.4361445783134</v>
      </c>
      <c r="CI130" s="912">
        <f t="shared" si="186"/>
        <v>1210.3992249236744</v>
      </c>
      <c r="CJ130" s="913">
        <f t="shared" si="186"/>
        <v>1155.0086620148102</v>
      </c>
      <c r="CK130" s="366">
        <f t="shared" si="186"/>
        <v>4574.9764211920683</v>
      </c>
      <c r="CL130" s="911">
        <f t="shared" si="186"/>
        <v>1213.2583424069685</v>
      </c>
      <c r="CM130" s="912">
        <f t="shared" si="186"/>
        <v>1216.1192289156625</v>
      </c>
      <c r="CN130" s="912">
        <f t="shared" si="186"/>
        <v>1278.8712016713844</v>
      </c>
      <c r="CO130" s="913">
        <f t="shared" si="186"/>
        <v>1219.5389218752548</v>
      </c>
      <c r="CP130" s="366">
        <f t="shared" si="186"/>
        <v>4927.7876948692701</v>
      </c>
      <c r="CQ130" s="911">
        <f t="shared" si="186"/>
        <v>1239.0760926791777</v>
      </c>
      <c r="CR130" s="912">
        <f t="shared" si="186"/>
        <v>1242.0941057831328</v>
      </c>
      <c r="CS130" s="912">
        <f t="shared" si="186"/>
        <v>1305.7711377215262</v>
      </c>
      <c r="CT130" s="913">
        <f t="shared" si="186"/>
        <v>1245.0318895315122</v>
      </c>
      <c r="CU130" s="366">
        <f t="shared" si="186"/>
        <v>5031.9732257153482</v>
      </c>
      <c r="CV130" s="911">
        <f t="shared" si="186"/>
        <v>1265.456775459553</v>
      </c>
      <c r="CW130" s="912">
        <f t="shared" si="186"/>
        <v>1268.6380549566265</v>
      </c>
      <c r="CX130" s="912">
        <f t="shared" si="186"/>
        <v>1333.2487478531721</v>
      </c>
      <c r="CY130" s="913">
        <f t="shared" si="186"/>
        <v>1271.0677822174573</v>
      </c>
      <c r="CZ130" s="366">
        <f t="shared" si="186"/>
        <v>5138.4113604868098</v>
      </c>
      <c r="DD130"/>
      <c r="DE130"/>
      <c r="DF130"/>
      <c r="DG130"/>
      <c r="DH130"/>
      <c r="DI130"/>
    </row>
    <row r="131" spans="1:113" ht="13.5" customHeight="1">
      <c r="A131" s="819"/>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c r="AJ131" s="66"/>
      <c r="AK131" s="66"/>
      <c r="AL131" s="66"/>
      <c r="AM131" s="66"/>
      <c r="AN131" s="66"/>
      <c r="AO131" s="66"/>
      <c r="AP131" s="66"/>
      <c r="AQ131" s="66"/>
      <c r="AR131" s="66"/>
      <c r="AS131" s="859"/>
      <c r="AT131" s="20"/>
      <c r="AU131" s="20"/>
      <c r="AV131" s="860"/>
      <c r="AW131" s="66"/>
      <c r="AX131" s="859"/>
      <c r="AY131" s="20"/>
      <c r="AZ131" s="20"/>
      <c r="BA131" s="860"/>
      <c r="BB131" s="66"/>
      <c r="BC131" s="859"/>
      <c r="BD131" s="20"/>
      <c r="BE131" s="20"/>
      <c r="BF131" s="860"/>
      <c r="BG131" s="66"/>
      <c r="BH131" s="859"/>
      <c r="BI131" s="20"/>
      <c r="BJ131" s="20"/>
      <c r="BK131" s="860"/>
      <c r="BL131" s="66"/>
      <c r="BM131" s="859"/>
      <c r="BN131" s="20"/>
      <c r="BO131" s="20"/>
      <c r="BP131" s="860"/>
      <c r="BQ131" s="66"/>
      <c r="BR131" s="859"/>
      <c r="BS131" s="20"/>
      <c r="BT131" s="20"/>
      <c r="BU131" s="860"/>
      <c r="BV131" s="66"/>
      <c r="BW131" s="859"/>
      <c r="BX131" s="20"/>
      <c r="BY131" s="20"/>
      <c r="BZ131" s="860"/>
      <c r="CA131" s="66"/>
      <c r="CB131" s="859"/>
      <c r="CC131" s="20"/>
      <c r="CD131" s="20"/>
      <c r="CE131" s="944"/>
      <c r="CF131" s="453"/>
      <c r="CG131" s="981"/>
      <c r="CH131" s="495"/>
      <c r="CI131" s="20"/>
      <c r="CJ131" s="944"/>
      <c r="CK131" s="453"/>
      <c r="CL131" s="859"/>
      <c r="CM131" s="20"/>
      <c r="CN131" s="20"/>
      <c r="CO131" s="860"/>
      <c r="CP131" s="66"/>
      <c r="CQ131" s="859"/>
      <c r="CR131" s="20"/>
      <c r="CS131" s="20"/>
      <c r="CT131" s="860"/>
      <c r="CU131" s="66"/>
      <c r="CV131" s="859"/>
      <c r="CW131" s="20"/>
      <c r="CX131" s="20"/>
      <c r="CY131" s="860"/>
      <c r="CZ131" s="66"/>
    </row>
    <row r="132" spans="1:113" s="6" customFormat="1" ht="13.5" customHeight="1">
      <c r="A132" s="823"/>
      <c r="B132" s="79" t="s">
        <v>104</v>
      </c>
      <c r="C132" s="453"/>
      <c r="D132" s="176"/>
      <c r="E132" s="176"/>
      <c r="F132" s="176"/>
      <c r="G132" s="176"/>
      <c r="H132" s="176">
        <v>1142.3386049999999</v>
      </c>
      <c r="I132" s="176">
        <v>884.06112299999995</v>
      </c>
      <c r="J132" s="176">
        <v>153.59823499999999</v>
      </c>
      <c r="K132" s="176">
        <v>182.22760500000001</v>
      </c>
      <c r="L132" s="176">
        <v>206.17192</v>
      </c>
      <c r="M132" s="176">
        <v>197.18934899999999</v>
      </c>
      <c r="N132" s="176">
        <v>739.18710899999996</v>
      </c>
      <c r="O132" s="176">
        <v>182.39150100000001</v>
      </c>
      <c r="P132" s="176">
        <v>200.15815900000001</v>
      </c>
      <c r="Q132" s="176">
        <v>220.15172999999999</v>
      </c>
      <c r="R132" s="176">
        <v>216.99461000000008</v>
      </c>
      <c r="S132" s="176">
        <f>SUM(O132:R132)</f>
        <v>819.69600000000003</v>
      </c>
      <c r="T132" s="176">
        <v>222.34700000000001</v>
      </c>
      <c r="U132" s="176">
        <v>300.74799999999999</v>
      </c>
      <c r="V132" s="176">
        <v>371.10899999999998</v>
      </c>
      <c r="W132" s="176">
        <v>373.1939999999999</v>
      </c>
      <c r="X132" s="176">
        <f>SUM(T132:W132)</f>
        <v>1267.3979999999999</v>
      </c>
      <c r="Y132" s="176">
        <v>371.70299999999997</v>
      </c>
      <c r="Z132" s="176">
        <v>428.32600000000002</v>
      </c>
      <c r="AA132" s="176">
        <v>419.96899999999999</v>
      </c>
      <c r="AB132" s="176">
        <v>417.32</v>
      </c>
      <c r="AC132" s="176">
        <f>SUM(Y132:AB132)</f>
        <v>1637.318</v>
      </c>
      <c r="AD132" s="512">
        <v>395.67099999999999</v>
      </c>
      <c r="AE132" s="512">
        <v>418.28199999999998</v>
      </c>
      <c r="AF132" s="512">
        <v>461.79</v>
      </c>
      <c r="AG132" s="176">
        <f>AH132-SUM(AD132:AF132)</f>
        <v>450.404</v>
      </c>
      <c r="AH132" s="512">
        <v>1726.1469999999999</v>
      </c>
      <c r="AI132" s="512">
        <v>484.03199999999998</v>
      </c>
      <c r="AJ132" s="512">
        <f>748.759</f>
        <v>748.75900000000001</v>
      </c>
      <c r="AK132" s="512">
        <v>853.495</v>
      </c>
      <c r="AL132" s="176">
        <f>AM132-SUM(AI132:AK132)</f>
        <v>965.36200000000008</v>
      </c>
      <c r="AM132" s="512">
        <v>3051.6480000000001</v>
      </c>
      <c r="AN132" s="512">
        <v>885.50699999999995</v>
      </c>
      <c r="AO132" s="512">
        <v>1119.271</v>
      </c>
      <c r="AP132" s="512">
        <v>1238.6420000000001</v>
      </c>
      <c r="AQ132" s="176">
        <f>AR132-SUM(AN132:AP132)</f>
        <v>1096.1040000000003</v>
      </c>
      <c r="AR132" s="512">
        <v>4339.5240000000003</v>
      </c>
      <c r="AS132" s="896">
        <v>713.827</v>
      </c>
      <c r="AT132" s="897">
        <v>693.93399999999997</v>
      </c>
      <c r="AU132" s="897">
        <v>681.33100000000002</v>
      </c>
      <c r="AV132" s="866">
        <f>AW132-SUM(AS132:AU132)</f>
        <v>602.23</v>
      </c>
      <c r="AW132" s="512">
        <v>2691.3220000000001</v>
      </c>
      <c r="AX132" s="896">
        <v>561.03499999999997</v>
      </c>
      <c r="AY132" s="897">
        <v>737.69299999999998</v>
      </c>
      <c r="AZ132" s="897">
        <v>794.28899999999999</v>
      </c>
      <c r="BA132" s="866">
        <f>BB132-SUM(AX132:AZ132)</f>
        <v>738.19200000000001</v>
      </c>
      <c r="BB132" s="512">
        <v>2831.2089999999998</v>
      </c>
      <c r="BC132" s="973">
        <v>732.13900000000001</v>
      </c>
      <c r="BD132" s="897">
        <v>875.36500000000001</v>
      </c>
      <c r="BE132" s="897">
        <v>958.22400000000005</v>
      </c>
      <c r="BF132" s="913">
        <f>BG132-SUM(BC132:BE132)</f>
        <v>865.76199999999972</v>
      </c>
      <c r="BG132" s="507">
        <v>3431.49</v>
      </c>
      <c r="BH132" s="896">
        <v>842.245</v>
      </c>
      <c r="BI132" s="897">
        <v>991.44399999999996</v>
      </c>
      <c r="BJ132" s="987">
        <v>1006.366</v>
      </c>
      <c r="BK132" s="913">
        <f>BL132-SUM(BH132:BJ132)</f>
        <v>898.32600000000002</v>
      </c>
      <c r="BL132" s="507">
        <v>3738.3809999999999</v>
      </c>
      <c r="BM132" s="973">
        <v>789.34699999999998</v>
      </c>
      <c r="BN132" s="987">
        <v>937.10400000000004</v>
      </c>
      <c r="BO132" s="987">
        <v>964.15300000000002</v>
      </c>
      <c r="BP132" s="913">
        <f>BQ132-SUM(BM132:BO132)</f>
        <v>916.72899999999981</v>
      </c>
      <c r="BQ132" s="507">
        <v>3607.3330000000001</v>
      </c>
      <c r="BR132" s="973">
        <v>874.16899999999998</v>
      </c>
      <c r="BS132" s="987">
        <v>1035.923</v>
      </c>
      <c r="BT132" s="987">
        <v>1142.0429999999999</v>
      </c>
      <c r="BU132" s="913">
        <f>BV132-SUM(BR132:BT132)</f>
        <v>980.25</v>
      </c>
      <c r="BV132" s="507">
        <v>4032.3850000000002</v>
      </c>
      <c r="BW132" s="973">
        <v>921.38400000000001</v>
      </c>
      <c r="BX132" s="987">
        <v>1015.646</v>
      </c>
      <c r="BY132" s="987">
        <v>1081.047</v>
      </c>
      <c r="BZ132" s="913">
        <f>CA132-SUM(BW132:BY132)</f>
        <v>948.81799999999976</v>
      </c>
      <c r="CA132" s="507">
        <v>3966.895</v>
      </c>
      <c r="CB132" s="973">
        <v>828.37599999999998</v>
      </c>
      <c r="CC132" s="987">
        <v>923.35699999999997</v>
      </c>
      <c r="CD132" s="987">
        <v>1011.602</v>
      </c>
      <c r="CE132" s="913">
        <f>CF132-SUM(CB132:CD132)</f>
        <v>924.11299999999983</v>
      </c>
      <c r="CF132" s="507">
        <v>3687.4479999999999</v>
      </c>
      <c r="CG132" s="973">
        <v>860.07500000000005</v>
      </c>
      <c r="CH132" s="987">
        <v>970.39800000000002</v>
      </c>
      <c r="CI132" s="987">
        <v>1089.519</v>
      </c>
      <c r="CJ132" s="913">
        <f>CK132-SUM(CG132:CI132)</f>
        <v>1080.614</v>
      </c>
      <c r="CK132" s="507">
        <v>4000.6060000000002</v>
      </c>
      <c r="CL132" s="1296">
        <f>(CL134*SUM(CL119:CL124)+CL137*CL125)/1000</f>
        <v>1539.4624280423122</v>
      </c>
      <c r="CM132" s="174">
        <f>(CM134*SUM(CM119:CM124)+CM137*CM125)/1000</f>
        <v>1541.5589372056684</v>
      </c>
      <c r="CN132" s="174">
        <f t="shared" ref="CN132:CO132" si="187">(CN134*SUM(CN119:CN124)+CN137*CN125)/1000</f>
        <v>1710.6324746297821</v>
      </c>
      <c r="CO132" s="866">
        <f t="shared" si="187"/>
        <v>1682.1793354188499</v>
      </c>
      <c r="CP132" s="176">
        <f>SUM(CL132:CO132)</f>
        <v>6473.8331752966133</v>
      </c>
      <c r="CQ132" s="865">
        <f t="shared" ref="CQ132:CT132" si="188">(CQ134*SUM(CQ119:CQ124)+CQ137*CQ125)/1000</f>
        <v>1640.6943460622285</v>
      </c>
      <c r="CR132" s="174">
        <f t="shared" si="188"/>
        <v>1618.9662270373647</v>
      </c>
      <c r="CS132" s="174">
        <f t="shared" si="188"/>
        <v>1751.9832429517064</v>
      </c>
      <c r="CT132" s="866">
        <f t="shared" si="188"/>
        <v>1706.2666994149863</v>
      </c>
      <c r="CU132" s="176">
        <f>SUM(CQ132:CT132)</f>
        <v>6717.9105154662866</v>
      </c>
      <c r="CV132" s="865">
        <f t="shared" ref="CV132:CY132" si="189">(CV134*SUM(CV119:CV124)+CV137*CV125)/1000</f>
        <v>1673.2629372420101</v>
      </c>
      <c r="CW132" s="174">
        <f t="shared" si="189"/>
        <v>1658.0428263779174</v>
      </c>
      <c r="CX132" s="174">
        <f t="shared" si="189"/>
        <v>1818.4943337768457</v>
      </c>
      <c r="CY132" s="866">
        <f t="shared" si="189"/>
        <v>1775.5932882833031</v>
      </c>
      <c r="CZ132" s="176">
        <f>SUM(CV132:CY132)</f>
        <v>6925.3933856800759</v>
      </c>
      <c r="DD132"/>
      <c r="DE132"/>
      <c r="DF132"/>
      <c r="DG132"/>
      <c r="DH132"/>
      <c r="DI132"/>
    </row>
    <row r="133" spans="1:113" s="6" customFormat="1" ht="13.5" customHeight="1">
      <c r="A133" s="823"/>
      <c r="B133" s="453"/>
      <c r="C133" s="453" t="s">
        <v>667</v>
      </c>
      <c r="D133" s="453"/>
      <c r="E133" s="453"/>
      <c r="F133" s="453"/>
      <c r="G133" s="453"/>
      <c r="H133" s="800">
        <f t="shared" ref="H133:AM133" si="190">+H132/H126*1000</f>
        <v>810.16922340425526</v>
      </c>
      <c r="I133" s="800">
        <f t="shared" si="190"/>
        <v>733.66068298755181</v>
      </c>
      <c r="J133" s="800">
        <f t="shared" si="190"/>
        <v>667.81841304347824</v>
      </c>
      <c r="K133" s="800">
        <f t="shared" si="190"/>
        <v>646.19718085106388</v>
      </c>
      <c r="L133" s="800">
        <f t="shared" si="190"/>
        <v>650.38460567823347</v>
      </c>
      <c r="M133" s="800">
        <f t="shared" si="190"/>
        <v>659.49615050167222</v>
      </c>
      <c r="N133" s="800">
        <f t="shared" si="190"/>
        <v>655.30772074468075</v>
      </c>
      <c r="O133" s="800">
        <f t="shared" si="190"/>
        <v>642.22359507042256</v>
      </c>
      <c r="P133" s="800">
        <f t="shared" si="190"/>
        <v>656.25625901639353</v>
      </c>
      <c r="Q133" s="800">
        <f t="shared" si="190"/>
        <v>685.83093457943926</v>
      </c>
      <c r="R133" s="800">
        <f t="shared" si="190"/>
        <v>723.31536666666693</v>
      </c>
      <c r="S133" s="800">
        <f t="shared" si="190"/>
        <v>677.4347107438017</v>
      </c>
      <c r="T133" s="800">
        <f t="shared" si="190"/>
        <v>738.69435215946839</v>
      </c>
      <c r="U133" s="800">
        <f t="shared" si="190"/>
        <v>874.26744186046517</v>
      </c>
      <c r="V133" s="800">
        <f t="shared" si="190"/>
        <v>1036.6173184357542</v>
      </c>
      <c r="W133" s="800">
        <f t="shared" si="190"/>
        <v>1169.8871473354229</v>
      </c>
      <c r="X133" s="800">
        <f t="shared" si="190"/>
        <v>958.69742813918299</v>
      </c>
      <c r="Y133" s="800">
        <f t="shared" si="190"/>
        <v>1136.7064220183486</v>
      </c>
      <c r="Z133" s="800">
        <f t="shared" si="190"/>
        <v>1157.6378378378379</v>
      </c>
      <c r="AA133" s="800">
        <f t="shared" si="190"/>
        <v>1093.6692708333333</v>
      </c>
      <c r="AB133" s="800">
        <f t="shared" si="190"/>
        <v>1146.4835164835165</v>
      </c>
      <c r="AC133" s="800">
        <f t="shared" si="190"/>
        <v>1133.0920415224914</v>
      </c>
      <c r="AD133" s="800">
        <f t="shared" si="190"/>
        <v>1105.2262569832403</v>
      </c>
      <c r="AE133" s="800">
        <f t="shared" si="190"/>
        <v>1133.5555555555554</v>
      </c>
      <c r="AF133" s="800">
        <f t="shared" si="190"/>
        <v>1215.2368421052633</v>
      </c>
      <c r="AG133" s="800">
        <f t="shared" si="190"/>
        <v>1244.2099447513813</v>
      </c>
      <c r="AH133" s="800">
        <f t="shared" si="190"/>
        <v>1175.0490129339685</v>
      </c>
      <c r="AI133" s="800">
        <f t="shared" si="190"/>
        <v>1141.5849056603772</v>
      </c>
      <c r="AJ133" s="800">
        <f t="shared" si="190"/>
        <v>1024.2941176470588</v>
      </c>
      <c r="AK133" s="800">
        <f t="shared" si="190"/>
        <v>1164.3860845839017</v>
      </c>
      <c r="AL133" s="800">
        <f t="shared" si="190"/>
        <v>1181.5936352509179</v>
      </c>
      <c r="AM133" s="800">
        <f t="shared" si="190"/>
        <v>1128.1508317929761</v>
      </c>
      <c r="AN133" s="800">
        <f t="shared" ref="AN133:BS133" si="191">+AN132/AN126*1000</f>
        <v>705.58326693227093</v>
      </c>
      <c r="AO133" s="800">
        <f t="shared" si="191"/>
        <v>478.32094017094016</v>
      </c>
      <c r="AP133" s="800">
        <f t="shared" si="191"/>
        <v>615.32141082960754</v>
      </c>
      <c r="AQ133" s="800">
        <f t="shared" si="191"/>
        <v>786.30129124820678</v>
      </c>
      <c r="AR133" s="800">
        <f t="shared" si="191"/>
        <v>619.7549271636675</v>
      </c>
      <c r="AS133" s="914">
        <f t="shared" si="191"/>
        <v>559.86431372549021</v>
      </c>
      <c r="AT133" s="915">
        <f t="shared" si="191"/>
        <v>448.56755009696184</v>
      </c>
      <c r="AU133" s="915">
        <f t="shared" si="191"/>
        <v>483.55642299503194</v>
      </c>
      <c r="AV133" s="916">
        <f t="shared" si="191"/>
        <v>474.1968503937008</v>
      </c>
      <c r="AW133" s="800">
        <f t="shared" si="191"/>
        <v>489.24231957825856</v>
      </c>
      <c r="AX133" s="914">
        <f t="shared" si="191"/>
        <v>392.05800139762403</v>
      </c>
      <c r="AY133" s="915">
        <f t="shared" si="191"/>
        <v>451.74096754439682</v>
      </c>
      <c r="AZ133" s="915">
        <f t="shared" si="191"/>
        <v>484.32256097560975</v>
      </c>
      <c r="BA133" s="916">
        <f t="shared" si="191"/>
        <v>494.10441767068272</v>
      </c>
      <c r="BB133" s="800">
        <f t="shared" si="191"/>
        <v>456.79396579541788</v>
      </c>
      <c r="BC133" s="914">
        <f t="shared" si="191"/>
        <v>469.3198717948718</v>
      </c>
      <c r="BD133" s="915">
        <f t="shared" si="191"/>
        <v>566.21280724450196</v>
      </c>
      <c r="BE133" s="915">
        <f t="shared" si="191"/>
        <v>602.2778126964173</v>
      </c>
      <c r="BF133" s="916">
        <f t="shared" si="191"/>
        <v>558.19600257898117</v>
      </c>
      <c r="BG133" s="800">
        <f t="shared" si="191"/>
        <v>549.21414852752878</v>
      </c>
      <c r="BH133" s="914">
        <f t="shared" si="191"/>
        <v>632.7911344853494</v>
      </c>
      <c r="BI133" s="915">
        <f t="shared" si="191"/>
        <v>671.71002710027096</v>
      </c>
      <c r="BJ133" s="915">
        <f t="shared" si="191"/>
        <v>691.66048109965641</v>
      </c>
      <c r="BK133" s="916">
        <f t="shared" si="191"/>
        <v>661.99410464259404</v>
      </c>
      <c r="BL133" s="800">
        <f t="shared" si="191"/>
        <v>665.31073144687673</v>
      </c>
      <c r="BM133" s="914">
        <f t="shared" si="191"/>
        <v>575.32580174927114</v>
      </c>
      <c r="BN133" s="915">
        <f t="shared" si="191"/>
        <v>598.788498402556</v>
      </c>
      <c r="BO133" s="915">
        <f t="shared" si="191"/>
        <v>631.81716906946258</v>
      </c>
      <c r="BP133" s="916">
        <f t="shared" si="191"/>
        <v>597.60691003911325</v>
      </c>
      <c r="BQ133" s="800">
        <f t="shared" si="191"/>
        <v>601.522928130732</v>
      </c>
      <c r="BR133" s="914">
        <f t="shared" si="191"/>
        <v>550.13782252989301</v>
      </c>
      <c r="BS133" s="915">
        <f t="shared" si="191"/>
        <v>600.88341067285376</v>
      </c>
      <c r="BT133" s="915">
        <f t="shared" ref="BT133:CL133" si="192">+BT132/BT126*1000</f>
        <v>590.81376099327463</v>
      </c>
      <c r="BU133" s="916">
        <f t="shared" si="192"/>
        <v>659.65679676985201</v>
      </c>
      <c r="BV133" s="800">
        <f t="shared" si="192"/>
        <v>598.98767082590621</v>
      </c>
      <c r="BW133" s="914">
        <f t="shared" si="192"/>
        <v>626.7918367346939</v>
      </c>
      <c r="BX133" s="915">
        <f t="shared" si="192"/>
        <v>687.64116452268104</v>
      </c>
      <c r="BY133" s="915">
        <f t="shared" si="192"/>
        <v>749.16632016632025</v>
      </c>
      <c r="BZ133" s="916">
        <f t="shared" si="192"/>
        <v>738.95482866043596</v>
      </c>
      <c r="CA133" s="800">
        <f t="shared" si="192"/>
        <v>699.13553048995414</v>
      </c>
      <c r="CB133" s="914">
        <f t="shared" si="192"/>
        <v>663.23138510808644</v>
      </c>
      <c r="CC133" s="915">
        <f t="shared" si="192"/>
        <v>671.53236363636358</v>
      </c>
      <c r="CD133" s="915">
        <f t="shared" si="192"/>
        <v>710.3946629213483</v>
      </c>
      <c r="CE133" s="916">
        <f t="shared" si="192"/>
        <v>617.3099532398129</v>
      </c>
      <c r="CF133" s="800">
        <f t="shared" si="192"/>
        <v>665.00414788097385</v>
      </c>
      <c r="CG133" s="914">
        <f t="shared" si="192"/>
        <v>498.88341067285387</v>
      </c>
      <c r="CH133" s="915">
        <f t="shared" si="192"/>
        <v>539.70967741935488</v>
      </c>
      <c r="CI133" s="915">
        <f t="shared" si="192"/>
        <v>567.45781250000005</v>
      </c>
      <c r="CJ133" s="916">
        <f t="shared" si="192"/>
        <v>564.87924725561948</v>
      </c>
      <c r="CK133" s="549">
        <f t="shared" ref="CK133:CK135" si="193">AVERAGE(CG133:CJ133)</f>
        <v>542.73253696195707</v>
      </c>
      <c r="CL133" s="914">
        <f t="shared" si="192"/>
        <v>789.06326398888382</v>
      </c>
      <c r="CM133" s="495"/>
      <c r="CN133" s="495"/>
      <c r="CO133" s="944"/>
      <c r="CP133" s="549"/>
      <c r="CQ133" s="981"/>
      <c r="CR133" s="495"/>
      <c r="CS133" s="495"/>
      <c r="CT133" s="944"/>
      <c r="CU133" s="453"/>
      <c r="CV133" s="981"/>
      <c r="CW133" s="495"/>
      <c r="CX133" s="495"/>
      <c r="CY133" s="944"/>
      <c r="CZ133" s="453"/>
      <c r="DD133"/>
      <c r="DE133"/>
      <c r="DF133"/>
      <c r="DG133"/>
      <c r="DH133"/>
      <c r="DI133"/>
    </row>
    <row r="134" spans="1:113" s="801" customFormat="1" ht="13.5" customHeight="1">
      <c r="A134" s="820"/>
      <c r="B134" s="1306" t="s">
        <v>665</v>
      </c>
      <c r="C134" s="79"/>
      <c r="D134" s="79"/>
      <c r="E134" s="79"/>
      <c r="F134" s="79"/>
      <c r="G134" s="79"/>
      <c r="H134" s="79"/>
      <c r="I134" s="213"/>
      <c r="J134" s="213"/>
      <c r="K134" s="213"/>
      <c r="L134" s="213"/>
      <c r="M134" s="213"/>
      <c r="N134" s="213"/>
      <c r="O134" s="213"/>
      <c r="P134" s="213"/>
      <c r="Q134" s="213"/>
      <c r="R134" s="213"/>
      <c r="S134" s="213"/>
      <c r="T134" s="213"/>
      <c r="U134" s="213"/>
      <c r="V134" s="213"/>
      <c r="W134" s="213"/>
      <c r="X134" s="213"/>
      <c r="Y134" s="176">
        <v>1136.7064220183486</v>
      </c>
      <c r="Z134" s="176">
        <v>1157.6378378378379</v>
      </c>
      <c r="AA134" s="176">
        <v>1093.6692708333333</v>
      </c>
      <c r="AB134" s="176">
        <v>1146.4835164835165</v>
      </c>
      <c r="AC134" s="176">
        <v>1133.0920415224914</v>
      </c>
      <c r="AD134" s="176">
        <v>1105.2262569832403</v>
      </c>
      <c r="AE134" s="176">
        <v>1133.5555555555554</v>
      </c>
      <c r="AF134" s="176">
        <v>1215.2368421052633</v>
      </c>
      <c r="AG134" s="176">
        <v>1244.2099447513813</v>
      </c>
      <c r="AH134" s="176">
        <v>1175.0490129339685</v>
      </c>
      <c r="AI134" s="512">
        <v>1195</v>
      </c>
      <c r="AJ134" s="512">
        <f>1248</f>
        <v>1248</v>
      </c>
      <c r="AK134" s="512">
        <v>1324</v>
      </c>
      <c r="AL134" s="512">
        <v>1361</v>
      </c>
      <c r="AM134" s="512">
        <v>1294</v>
      </c>
      <c r="AN134" s="512">
        <v>1323</v>
      </c>
      <c r="AO134" s="512">
        <v>1434</v>
      </c>
      <c r="AP134" s="512">
        <v>1620</v>
      </c>
      <c r="AQ134" s="512">
        <v>1618</v>
      </c>
      <c r="AR134" s="176">
        <f>AR132/AR130*1000</f>
        <v>1500.589882040566</v>
      </c>
      <c r="AS134" s="896">
        <v>1470</v>
      </c>
      <c r="AT134" s="897">
        <v>1299</v>
      </c>
      <c r="AU134" s="897">
        <v>1158</v>
      </c>
      <c r="AV134" s="917">
        <v>1151</v>
      </c>
      <c r="AW134" s="176">
        <f>AW132/AW130*1000</f>
        <v>1262.7045117000253</v>
      </c>
      <c r="AX134" s="896">
        <v>1131</v>
      </c>
      <c r="AY134" s="897">
        <v>1174</v>
      </c>
      <c r="AZ134" s="897">
        <v>1198</v>
      </c>
      <c r="BA134" s="917">
        <v>1264</v>
      </c>
      <c r="BB134" s="176">
        <f>BB132/BB130*1000</f>
        <v>1193.8795993734304</v>
      </c>
      <c r="BC134" s="896">
        <v>1274</v>
      </c>
      <c r="BD134" s="897">
        <v>1361</v>
      </c>
      <c r="BE134" s="897">
        <v>1381</v>
      </c>
      <c r="BF134" s="974">
        <v>1395</v>
      </c>
      <c r="BG134" s="176">
        <f>BG132/BG130*1000</f>
        <v>1355.0692395105605</v>
      </c>
      <c r="BH134" s="896">
        <v>1387</v>
      </c>
      <c r="BI134" s="897">
        <v>1395</v>
      </c>
      <c r="BJ134" s="897">
        <v>1371</v>
      </c>
      <c r="BK134" s="917">
        <v>1420</v>
      </c>
      <c r="BL134" s="512">
        <v>1417</v>
      </c>
      <c r="BM134" s="973">
        <v>1380</v>
      </c>
      <c r="BN134" s="987">
        <v>1374</v>
      </c>
      <c r="BO134" s="987">
        <v>1369</v>
      </c>
      <c r="BP134" s="917">
        <v>1378</v>
      </c>
      <c r="BQ134" s="176">
        <f>AVERAGE(BM134:BP134)</f>
        <v>1375.25</v>
      </c>
      <c r="BR134" s="973">
        <v>1348</v>
      </c>
      <c r="BS134" s="987">
        <v>1367</v>
      </c>
      <c r="BT134" s="987">
        <v>1386</v>
      </c>
      <c r="BU134" s="974">
        <v>1432</v>
      </c>
      <c r="BV134" s="512">
        <v>1383</v>
      </c>
      <c r="BW134" s="896">
        <v>1404</v>
      </c>
      <c r="BX134" s="897">
        <v>1380</v>
      </c>
      <c r="BY134" s="987">
        <v>1351</v>
      </c>
      <c r="BZ134" s="917">
        <v>1367</v>
      </c>
      <c r="CA134" s="512">
        <v>1374</v>
      </c>
      <c r="CB134" s="896">
        <v>1271</v>
      </c>
      <c r="CC134" s="987">
        <v>1285</v>
      </c>
      <c r="CD134" s="987">
        <v>1299</v>
      </c>
      <c r="CE134" s="974">
        <v>1337</v>
      </c>
      <c r="CF134" s="512">
        <v>1298</v>
      </c>
      <c r="CG134" s="973">
        <v>1201</v>
      </c>
      <c r="CH134" s="987">
        <v>1245</v>
      </c>
      <c r="CI134" s="987">
        <v>1263</v>
      </c>
      <c r="CJ134" s="1152">
        <v>1294</v>
      </c>
      <c r="CK134" s="176">
        <f t="shared" si="193"/>
        <v>1250.75</v>
      </c>
      <c r="CL134" s="1317">
        <v>1270</v>
      </c>
      <c r="CM134" s="1052">
        <f t="shared" ref="CM134:CO134" si="194">+CM136+CM135</f>
        <v>1300.8095688636363</v>
      </c>
      <c r="CN134" s="1052">
        <f t="shared" si="194"/>
        <v>1340.4090444684091</v>
      </c>
      <c r="CO134" s="1030">
        <f t="shared" si="194"/>
        <v>1361.5487268903196</v>
      </c>
      <c r="CP134" s="176">
        <f t="shared" ref="CP134:CP135" si="195">AVERAGE(CL134:CO134)</f>
        <v>1318.1918350555914</v>
      </c>
      <c r="CQ134" s="1051">
        <f t="shared" ref="CQ134" si="196">+CQ136+CQ135</f>
        <v>1361.5085934407455</v>
      </c>
      <c r="CR134" s="1052">
        <f t="shared" ref="CR134" si="197">+CR136+CR135</f>
        <v>1365.6339817260159</v>
      </c>
      <c r="CS134" s="1052">
        <f t="shared" ref="CS134" si="198">+CS136+CS135</f>
        <v>1364.0257399635777</v>
      </c>
      <c r="CT134" s="1030">
        <f t="shared" ref="CT134" si="199">+CT136+CT135</f>
        <v>1369.2484053440512</v>
      </c>
      <c r="CU134" s="176">
        <f t="shared" ref="CU134:CU135" si="200">AVERAGE(CQ134:CT134)</f>
        <v>1365.1041801185975</v>
      </c>
      <c r="CV134" s="1051">
        <f t="shared" ref="CV134" si="201">+CV136+CV135</f>
        <v>1378.4081760745785</v>
      </c>
      <c r="CW134" s="1052">
        <f t="shared" ref="CW134" si="202">+CW136+CW135</f>
        <v>1387.7938697856089</v>
      </c>
      <c r="CX134" s="1052">
        <f t="shared" ref="CX134" si="203">+CX136+CX135</f>
        <v>1405.6625494783959</v>
      </c>
      <c r="CY134" s="1030">
        <f t="shared" ref="CY134" si="204">+CY136+CY135</f>
        <v>1416.0289363351767</v>
      </c>
      <c r="CZ134" s="176">
        <f t="shared" ref="CZ134:CZ135" si="205">AVERAGE(CV134:CY134)</f>
        <v>1396.9733829184399</v>
      </c>
      <c r="DD134"/>
      <c r="DE134"/>
      <c r="DF134"/>
      <c r="DG134"/>
      <c r="DH134"/>
      <c r="DI134"/>
    </row>
    <row r="135" spans="1:113" s="6" customFormat="1" ht="13.5" customHeight="1">
      <c r="A135" s="820"/>
      <c r="B135" s="79"/>
      <c r="C135" s="453" t="s">
        <v>672</v>
      </c>
      <c r="D135" s="79"/>
      <c r="E135" s="79"/>
      <c r="F135" s="79"/>
      <c r="G135" s="79"/>
      <c r="H135" s="79"/>
      <c r="I135" s="213"/>
      <c r="J135" s="213"/>
      <c r="K135" s="213"/>
      <c r="L135" s="213"/>
      <c r="M135" s="213"/>
      <c r="N135" s="213"/>
      <c r="O135" s="213"/>
      <c r="P135" s="213"/>
      <c r="Q135" s="213"/>
      <c r="R135" s="213"/>
      <c r="S135" s="213"/>
      <c r="T135" s="213"/>
      <c r="U135" s="213"/>
      <c r="V135" s="213"/>
      <c r="W135" s="213"/>
      <c r="X135" s="213"/>
      <c r="Y135" s="176"/>
      <c r="Z135" s="176"/>
      <c r="AA135" s="176"/>
      <c r="AB135" s="176"/>
      <c r="AC135" s="176"/>
      <c r="AD135" s="176"/>
      <c r="AE135" s="176"/>
      <c r="AF135" s="176"/>
      <c r="AG135" s="176"/>
      <c r="AH135" s="176"/>
      <c r="AI135" s="512"/>
      <c r="AJ135" s="512"/>
      <c r="AK135" s="512"/>
      <c r="AL135" s="512"/>
      <c r="AM135" s="512"/>
      <c r="AN135" s="512"/>
      <c r="AO135" s="512"/>
      <c r="AP135" s="512"/>
      <c r="AQ135" s="512"/>
      <c r="AR135" s="176"/>
      <c r="AS135" s="896"/>
      <c r="AT135" s="897"/>
      <c r="AU135" s="897"/>
      <c r="AV135" s="917"/>
      <c r="AW135" s="176"/>
      <c r="AX135" s="896"/>
      <c r="AY135" s="897"/>
      <c r="AZ135" s="897"/>
      <c r="BA135" s="917"/>
      <c r="BB135" s="176"/>
      <c r="BC135" s="896"/>
      <c r="BD135" s="897"/>
      <c r="BE135" s="897"/>
      <c r="BF135" s="974"/>
      <c r="BG135" s="176"/>
      <c r="BH135" s="896"/>
      <c r="BI135" s="897"/>
      <c r="BJ135" s="897"/>
      <c r="BK135" s="917"/>
      <c r="BL135" s="512"/>
      <c r="BM135" s="909">
        <f t="shared" ref="BM135" si="206">+BM134-BM136</f>
        <v>-43.704253109026013</v>
      </c>
      <c r="BN135" s="600">
        <f t="shared" ref="BN135" si="207">+BN134-BN136</f>
        <v>-13.593753333333325</v>
      </c>
      <c r="BO135" s="600">
        <f>+BO134-BO136</f>
        <v>-6.5165333333332001</v>
      </c>
      <c r="BP135" s="910">
        <f>+BP134-BP136</f>
        <v>-6.9388099999998758</v>
      </c>
      <c r="BQ135" s="549">
        <f t="shared" ref="BQ135" si="208">AVERAGE(BM135:BP135)</f>
        <v>-17.688337443923103</v>
      </c>
      <c r="BR135" s="909">
        <f t="shared" ref="BR135" si="209">+BR134-BR136</f>
        <v>-56.095745729563987</v>
      </c>
      <c r="BS135" s="600">
        <f t="shared" ref="BS135" si="210">+BS134-BS136</f>
        <v>-6.2382399999999052</v>
      </c>
      <c r="BT135" s="600">
        <f>+BT134-BT136</f>
        <v>8.0423366666668699</v>
      </c>
      <c r="BU135" s="910">
        <f>+BU134-BU136</f>
        <v>29.454470000000128</v>
      </c>
      <c r="BV135" s="549">
        <f t="shared" ref="BV135" si="211">AVERAGE(BR135:BU135)</f>
        <v>-6.2092947657242235</v>
      </c>
      <c r="BW135" s="909">
        <f t="shared" ref="BW135" si="212">+BW134-BW136</f>
        <v>-10.785283333333609</v>
      </c>
      <c r="BX135" s="600">
        <f t="shared" ref="BX135" si="213">+BX134-BX136</f>
        <v>25.311573333333399</v>
      </c>
      <c r="BY135" s="600">
        <f>+BY134-BY136</f>
        <v>36.843783333333249</v>
      </c>
      <c r="BZ135" s="910">
        <f>+BZ134-BZ136</f>
        <v>72.433796666666922</v>
      </c>
      <c r="CA135" s="549">
        <f t="shared" ref="CA135" si="214">AVERAGE(BW135:BZ135)</f>
        <v>30.95096749999999</v>
      </c>
      <c r="CB135" s="909">
        <f t="shared" ref="CB135" si="215">+CB134-CB136</f>
        <v>-9.9223033333332751</v>
      </c>
      <c r="CC135" s="600">
        <f t="shared" ref="CC135" si="216">+CC134-CC136</f>
        <v>68.918949999999995</v>
      </c>
      <c r="CD135" s="600">
        <f>+CD134-CD136</f>
        <v>25.81268</v>
      </c>
      <c r="CE135" s="910">
        <f>+CE134-CE136</f>
        <v>51.282826666666551</v>
      </c>
      <c r="CF135" s="549">
        <f t="shared" ref="CF135" si="217">AVERAGE(CB135:CE135)</f>
        <v>34.023038333333318</v>
      </c>
      <c r="CG135" s="909">
        <f t="shared" ref="CG135:CH135" si="218">+CG134-CG136</f>
        <v>-113.1554433333331</v>
      </c>
      <c r="CH135" s="600">
        <f t="shared" si="218"/>
        <v>19.798553333333302</v>
      </c>
      <c r="CI135" s="600">
        <f>+CI134-CI136</f>
        <v>-6.3382200000000921</v>
      </c>
      <c r="CJ135" s="910">
        <f>+CJ134-CJ136</f>
        <v>17.319115000000238</v>
      </c>
      <c r="CK135" s="555">
        <f t="shared" si="193"/>
        <v>-20.593998749999912</v>
      </c>
      <c r="CL135" s="909">
        <f>+CL134-CL136</f>
        <v>-37.774211130952381</v>
      </c>
      <c r="CM135" s="797">
        <v>10</v>
      </c>
      <c r="CN135" s="797">
        <v>10</v>
      </c>
      <c r="CO135" s="1029">
        <v>10</v>
      </c>
      <c r="CP135" s="555">
        <f t="shared" si="195"/>
        <v>-1.9435527827380952</v>
      </c>
      <c r="CQ135" s="1028">
        <v>0</v>
      </c>
      <c r="CR135" s="797">
        <v>0</v>
      </c>
      <c r="CS135" s="797">
        <v>0</v>
      </c>
      <c r="CT135" s="1029">
        <v>0</v>
      </c>
      <c r="CU135" s="555">
        <f t="shared" si="200"/>
        <v>0</v>
      </c>
      <c r="CV135" s="1028">
        <v>0</v>
      </c>
      <c r="CW135" s="797">
        <v>0</v>
      </c>
      <c r="CX135" s="797">
        <v>0</v>
      </c>
      <c r="CY135" s="1029">
        <v>0</v>
      </c>
      <c r="CZ135" s="549">
        <f t="shared" si="205"/>
        <v>0</v>
      </c>
      <c r="DD135"/>
      <c r="DE135"/>
      <c r="DF135"/>
      <c r="DG135"/>
      <c r="DH135"/>
      <c r="DI135"/>
    </row>
    <row r="136" spans="1:113" s="6" customFormat="1" ht="13.5" customHeight="1">
      <c r="A136" s="823"/>
      <c r="B136" s="453"/>
      <c r="C136" s="453" t="s">
        <v>673</v>
      </c>
      <c r="D136" s="453"/>
      <c r="E136" s="453"/>
      <c r="F136" s="453"/>
      <c r="G136" s="453"/>
      <c r="H136" s="453"/>
      <c r="I136" s="208"/>
      <c r="J136" s="208"/>
      <c r="K136" s="208"/>
      <c r="L136" s="208"/>
      <c r="M136" s="208"/>
      <c r="N136" s="208"/>
      <c r="O136" s="208"/>
      <c r="P136" s="208"/>
      <c r="Q136" s="208"/>
      <c r="R136" s="208"/>
      <c r="S136" s="208"/>
      <c r="T136" s="208"/>
      <c r="U136" s="208"/>
      <c r="V136" s="208"/>
      <c r="W136" s="208"/>
      <c r="X136" s="208"/>
      <c r="Y136" s="549"/>
      <c r="Z136" s="549"/>
      <c r="AA136" s="549"/>
      <c r="AB136" s="549"/>
      <c r="AC136" s="549"/>
      <c r="AD136" s="549"/>
      <c r="AE136" s="549"/>
      <c r="AF136" s="549"/>
      <c r="AG136" s="549"/>
      <c r="AH136" s="549"/>
      <c r="AI136" s="500"/>
      <c r="AJ136" s="500"/>
      <c r="AK136" s="500"/>
      <c r="AL136" s="500"/>
      <c r="AM136" s="500"/>
      <c r="AN136" s="500"/>
      <c r="AO136" s="500"/>
      <c r="AP136" s="500"/>
      <c r="AQ136" s="500"/>
      <c r="AR136" s="549"/>
      <c r="AS136" s="850"/>
      <c r="AT136" s="509"/>
      <c r="AU136" s="509"/>
      <c r="AV136" s="851"/>
      <c r="AW136" s="549"/>
      <c r="AX136" s="850"/>
      <c r="AY136" s="509"/>
      <c r="AZ136" s="509"/>
      <c r="BA136" s="851"/>
      <c r="BB136" s="549"/>
      <c r="BC136" s="850"/>
      <c r="BD136" s="509"/>
      <c r="BE136" s="509"/>
      <c r="BF136" s="950"/>
      <c r="BG136" s="549"/>
      <c r="BH136" s="850"/>
      <c r="BI136" s="509"/>
      <c r="BJ136" s="509"/>
      <c r="BK136" s="851"/>
      <c r="BL136" s="500"/>
      <c r="BM136" s="838">
        <f>0.987*BK134+0.207*BK6-0.497*BK8+BK13*0.603</f>
        <v>1423.704253109026</v>
      </c>
      <c r="BN136" s="598">
        <f>0.987*BM134+0.207*BM6-0.497*BM8+BM13*0.603</f>
        <v>1387.5937533333333</v>
      </c>
      <c r="BO136" s="598">
        <f>0.987*BN134+0.207*BN6-0.497*BN8+BN13*0.603</f>
        <v>1375.5165333333332</v>
      </c>
      <c r="BP136" s="839">
        <f>0.987*BO134+0.207*BO6-0.497*BO8+BO13*0.603</f>
        <v>1384.9388099999999</v>
      </c>
      <c r="BQ136" s="549">
        <f>AVERAGE(BM136:BP136)</f>
        <v>1392.938337443923</v>
      </c>
      <c r="BR136" s="838">
        <f>0.987*BP134+0.207*BP6-0.497*BP8+BP13*0.603</f>
        <v>1404.095745729564</v>
      </c>
      <c r="BS136" s="598">
        <f>0.987*BR134+0.207*BR6-0.497*BR8+BR13*0.603</f>
        <v>1373.2382399999999</v>
      </c>
      <c r="BT136" s="598">
        <f>0.987*BS134+0.207*BS6-0.497*BS8+BS13*0.603</f>
        <v>1377.9576633333331</v>
      </c>
      <c r="BU136" s="839">
        <f>0.987*BT134+0.207*BT6-0.497*BT8+BT13*0.603</f>
        <v>1402.5455299999999</v>
      </c>
      <c r="BV136" s="549">
        <f>AVERAGE(BR136:BU136)</f>
        <v>1389.4592947657243</v>
      </c>
      <c r="BW136" s="838">
        <f>0.987*BU134+0.207*BU6-0.497*BU8+BU13*0.603</f>
        <v>1414.7852833333336</v>
      </c>
      <c r="BX136" s="598">
        <f>0.987*BW134+0.207*BW6-0.497*BW8+BW13*0.603</f>
        <v>1354.6884266666666</v>
      </c>
      <c r="BY136" s="598">
        <f>0.987*BX134+0.207*BX6-0.497*BX8+BX13*0.603</f>
        <v>1314.1562166666668</v>
      </c>
      <c r="BZ136" s="839">
        <f>0.987*BY134+0.207*BY6-0.497*BY8+BY13*0.603</f>
        <v>1294.5662033333331</v>
      </c>
      <c r="CA136" s="549">
        <f>AVERAGE(BW136:BZ136)</f>
        <v>1344.5490325000001</v>
      </c>
      <c r="CB136" s="838">
        <f>0.987*BZ134+0.207*BZ6-0.497*BZ8+BZ13*0.603</f>
        <v>1280.9223033333333</v>
      </c>
      <c r="CC136" s="598">
        <f>0.987*CB134+0.207*CB6-0.497*CB8+CB13*0.603</f>
        <v>1216.08105</v>
      </c>
      <c r="CD136" s="598">
        <f>0.987*CC134+0.207*CC6-0.497*CC8+CC13*0.603</f>
        <v>1273.18732</v>
      </c>
      <c r="CE136" s="839">
        <f>0.987*CD134+0.207*CD6-0.497*CD8+CD13*0.603</f>
        <v>1285.7171733333334</v>
      </c>
      <c r="CF136" s="549">
        <f>AVERAGE(CB136:CE136)</f>
        <v>1263.9769616666667</v>
      </c>
      <c r="CG136" s="838">
        <f>0.987*CE134+0.207*CE6-0.497*CE8+CE13*0.603</f>
        <v>1314.1554433333331</v>
      </c>
      <c r="CH136" s="598">
        <f>0.987*CG134+0.207*CG6-0.497*CG8+CG13*0.603</f>
        <v>1225.2014466666667</v>
      </c>
      <c r="CI136" s="598">
        <f>0.987*CH134+0.207*CH6-0.497*CH8+CH13*0.603</f>
        <v>1269.3382200000001</v>
      </c>
      <c r="CJ136" s="839">
        <f>0.987*CI134+0.207*CI6-0.497*CI8+CI13*0.603</f>
        <v>1276.6808849999998</v>
      </c>
      <c r="CK136" s="549">
        <f>AVERAGE(CG136:CJ136)</f>
        <v>1271.3439987500001</v>
      </c>
      <c r="CL136" s="838">
        <f>0.987*CJ134+0.207*CK6-0.497*CK8+CK13*0.603</f>
        <v>1307.7742111309524</v>
      </c>
      <c r="CM136" s="598">
        <f>0.987*CL134+0.207*CL6-0.497*CL8+CL13*0.603</f>
        <v>1290.8095688636363</v>
      </c>
      <c r="CN136" s="598">
        <f>0.987*CM134+0.207*CM6-0.497*CM8+CM13*0.603</f>
        <v>1330.4090444684091</v>
      </c>
      <c r="CO136" s="839">
        <f>0.987*CN134+0.207*CN6-0.497*CN8+CN13*0.603</f>
        <v>1351.5487268903196</v>
      </c>
      <c r="CP136" s="549">
        <f>AVERAGE(CL136:CO136)</f>
        <v>1320.1353878383293</v>
      </c>
      <c r="CQ136" s="838">
        <f>0.987*CO134+0.207*CO6-0.497*CO8+CO13*0.603</f>
        <v>1361.5085934407455</v>
      </c>
      <c r="CR136" s="598">
        <f>0.987*CQ134+0.207*CQ6-0.497*CQ8+CQ13*0.603</f>
        <v>1365.6339817260159</v>
      </c>
      <c r="CS136" s="598">
        <f>0.987*CR134+0.207*CR6-0.497*CR8+CR13*0.603</f>
        <v>1364.0257399635777</v>
      </c>
      <c r="CT136" s="839">
        <f>0.987*CS134+0.207*CS6-0.497*CS8+CS13*0.603</f>
        <v>1369.2484053440512</v>
      </c>
      <c r="CU136" s="549">
        <f>AVERAGE(CQ136:CT136)</f>
        <v>1365.1041801185975</v>
      </c>
      <c r="CV136" s="838">
        <f>0.987*CT134+0.207*CT6-0.497*CT8+CT13*0.603</f>
        <v>1378.4081760745785</v>
      </c>
      <c r="CW136" s="598">
        <f>0.987*CV134+0.207*CV6-0.497*CV8+CV13*0.603</f>
        <v>1387.7938697856089</v>
      </c>
      <c r="CX136" s="598">
        <f>0.987*CW134+0.207*CW6-0.497*CW8+CW13*0.603</f>
        <v>1405.6625494783959</v>
      </c>
      <c r="CY136" s="839">
        <f>0.987*CX134+0.207*CX6-0.497*CX8+CX13*0.603</f>
        <v>1416.0289363351767</v>
      </c>
      <c r="CZ136" s="549">
        <f>AVERAGE(CV136:CY136)</f>
        <v>1396.9733829184399</v>
      </c>
      <c r="DD136"/>
      <c r="DE136"/>
      <c r="DF136"/>
      <c r="DG136"/>
      <c r="DH136"/>
      <c r="DI136"/>
    </row>
    <row r="137" spans="1:113" s="6" customFormat="1" ht="13.5" customHeight="1">
      <c r="A137" s="820"/>
      <c r="B137" s="79"/>
      <c r="C137" s="79" t="s">
        <v>666</v>
      </c>
      <c r="D137" s="79"/>
      <c r="E137" s="79"/>
      <c r="F137" s="79"/>
      <c r="G137" s="79"/>
      <c r="H137" s="79"/>
      <c r="I137" s="213"/>
      <c r="J137" s="213"/>
      <c r="K137" s="213"/>
      <c r="L137" s="213"/>
      <c r="M137" s="213"/>
      <c r="N137" s="213"/>
      <c r="O137" s="213"/>
      <c r="P137" s="213"/>
      <c r="Q137" s="213"/>
      <c r="R137" s="213"/>
      <c r="S137" s="213"/>
      <c r="T137" s="213"/>
      <c r="U137" s="213"/>
      <c r="V137" s="213"/>
      <c r="W137" s="213"/>
      <c r="X137" s="213"/>
      <c r="Y137" s="800"/>
      <c r="Z137" s="800"/>
      <c r="AA137" s="800"/>
      <c r="AB137" s="800"/>
      <c r="AC137" s="800"/>
      <c r="AD137" s="800"/>
      <c r="AE137" s="800"/>
      <c r="AF137" s="800"/>
      <c r="AG137" s="800"/>
      <c r="AH137" s="800"/>
      <c r="AI137" s="800">
        <f t="shared" ref="AI137:BN137" si="219">(AI132-AI134*SUM(AI119:AI122)/1000)/AI125*1000</f>
        <v>856.97014925373094</v>
      </c>
      <c r="AJ137" s="800">
        <f t="shared" si="219"/>
        <v>344.52486187845329</v>
      </c>
      <c r="AK137" s="800">
        <f t="shared" si="219"/>
        <v>631.71005917159778</v>
      </c>
      <c r="AL137" s="800">
        <f t="shared" si="219"/>
        <v>739.91949152542418</v>
      </c>
      <c r="AM137" s="800">
        <f t="shared" si="219"/>
        <v>606.98315467075054</v>
      </c>
      <c r="AN137" s="800">
        <f t="shared" si="219"/>
        <v>203.26300578034667</v>
      </c>
      <c r="AO137" s="800">
        <f t="shared" si="219"/>
        <v>107.61269276393828</v>
      </c>
      <c r="AP137" s="800">
        <f t="shared" si="219"/>
        <v>162.92651296829973</v>
      </c>
      <c r="AQ137" s="800">
        <f t="shared" si="219"/>
        <v>191.9384993849942</v>
      </c>
      <c r="AR137" s="800">
        <f t="shared" si="219"/>
        <v>153.65684992699468</v>
      </c>
      <c r="AS137" s="914">
        <f t="shared" si="219"/>
        <v>108.00117370892025</v>
      </c>
      <c r="AT137" s="915">
        <f t="shared" si="219"/>
        <v>78.574211502782902</v>
      </c>
      <c r="AU137" s="915">
        <f t="shared" si="219"/>
        <v>89.056242969628855</v>
      </c>
      <c r="AV137" s="916">
        <f t="shared" si="219"/>
        <v>107.86893203883497</v>
      </c>
      <c r="AW137" s="800">
        <f t="shared" si="219"/>
        <v>94.761739572152834</v>
      </c>
      <c r="AX137" s="914">
        <f t="shared" si="219"/>
        <v>72.515515515515489</v>
      </c>
      <c r="AY137" s="915">
        <f t="shared" si="219"/>
        <v>98.841385597082933</v>
      </c>
      <c r="AZ137" s="915">
        <f t="shared" si="219"/>
        <v>108.21322160148976</v>
      </c>
      <c r="BA137" s="916">
        <f t="shared" si="219"/>
        <v>117.2163509471585</v>
      </c>
      <c r="BB137" s="800">
        <f t="shared" si="219"/>
        <v>99.114021391996928</v>
      </c>
      <c r="BC137" s="914">
        <f t="shared" si="219"/>
        <v>96.419324577861175</v>
      </c>
      <c r="BD137" s="915">
        <f t="shared" si="219"/>
        <v>123.5971802618328</v>
      </c>
      <c r="BE137" s="915">
        <f t="shared" si="219"/>
        <v>137.07730923694777</v>
      </c>
      <c r="BF137" s="916">
        <f t="shared" si="219"/>
        <v>128.77268292682899</v>
      </c>
      <c r="BG137" s="800">
        <f t="shared" si="219"/>
        <v>121.0048746914472</v>
      </c>
      <c r="BH137" s="914">
        <f t="shared" si="219"/>
        <v>153.76658476658483</v>
      </c>
      <c r="BI137" s="915">
        <f t="shared" si="219"/>
        <v>169.30998851894367</v>
      </c>
      <c r="BJ137" s="915">
        <f t="shared" si="219"/>
        <v>188.65669856459328</v>
      </c>
      <c r="BK137" s="916">
        <f t="shared" si="219"/>
        <v>176.21039903264813</v>
      </c>
      <c r="BL137" s="800">
        <f t="shared" si="219"/>
        <v>155.42831541218632</v>
      </c>
      <c r="BM137" s="914">
        <f t="shared" si="219"/>
        <v>128.28458049886615</v>
      </c>
      <c r="BN137" s="915">
        <f t="shared" si="219"/>
        <v>144.81458966565353</v>
      </c>
      <c r="BO137" s="915">
        <f t="shared" ref="BO137:CI137" si="220">(BO132-BO134*SUM(BO119:BO122)/1000)/BO125*1000</f>
        <v>161.98175965665234</v>
      </c>
      <c r="BP137" s="916">
        <f t="shared" si="220"/>
        <v>157.69113149847078</v>
      </c>
      <c r="BQ137" s="800">
        <f t="shared" si="220"/>
        <v>148.375</v>
      </c>
      <c r="BR137" s="914">
        <f t="shared" si="220"/>
        <v>120.69796708615675</v>
      </c>
      <c r="BS137" s="915">
        <f t="shared" si="220"/>
        <v>134.92444029850748</v>
      </c>
      <c r="BT137" s="915">
        <f t="shared" si="220"/>
        <v>127.11793611793604</v>
      </c>
      <c r="BU137" s="916">
        <f t="shared" si="220"/>
        <v>156.77555555555551</v>
      </c>
      <c r="BV137" s="800">
        <f t="shared" si="220"/>
        <v>134.07169900615247</v>
      </c>
      <c r="BW137" s="914">
        <f t="shared" si="220"/>
        <v>144.35722160970232</v>
      </c>
      <c r="BX137" s="915">
        <f t="shared" si="220"/>
        <v>172.6635182998819</v>
      </c>
      <c r="BY137" s="915">
        <f t="shared" si="220"/>
        <v>202.26190476190487</v>
      </c>
      <c r="BZ137" s="916">
        <f t="shared" si="220"/>
        <v>210.02725968436124</v>
      </c>
      <c r="CA137" s="800">
        <f t="shared" si="220"/>
        <v>179.99282818833802</v>
      </c>
      <c r="CB137" s="914">
        <f t="shared" si="220"/>
        <v>169.25399129172712</v>
      </c>
      <c r="CC137" s="915">
        <f t="shared" si="220"/>
        <v>172.17941952506587</v>
      </c>
      <c r="CD137" s="915">
        <f t="shared" si="220"/>
        <v>199.03412073490813</v>
      </c>
      <c r="CE137" s="916">
        <f t="shared" si="220"/>
        <v>165.39951573849851</v>
      </c>
      <c r="CF137" s="800">
        <f t="shared" si="220"/>
        <v>176.57462932454695</v>
      </c>
      <c r="CG137" s="914">
        <f t="shared" si="220"/>
        <v>208.80769230769241</v>
      </c>
      <c r="CH137" s="915">
        <f t="shared" si="220"/>
        <v>247.51301115241642</v>
      </c>
      <c r="CI137" s="915">
        <f t="shared" si="220"/>
        <v>269.24463007159898</v>
      </c>
      <c r="CJ137" s="916">
        <f t="shared" ref="CJ137" si="221">(CJ132-CJ134*SUM(CJ119:CJ122)/1000)/CJ125*1000</f>
        <v>233.51213872832378</v>
      </c>
      <c r="CK137" s="176">
        <f t="shared" ref="CK137" si="222">AVERAGE(CG137:CJ137)</f>
        <v>239.76936806500788</v>
      </c>
      <c r="CL137" s="1296">
        <f>+CJ137*0.845+CL13*0.066</f>
        <v>219.26363722543357</v>
      </c>
      <c r="CM137" s="174">
        <f>+CL137*0.845+CM13*0.066</f>
        <v>210.02777345549137</v>
      </c>
      <c r="CN137" s="174">
        <f>+CM137*0.845+CN13*0.066</f>
        <v>201.23346856989019</v>
      </c>
      <c r="CO137" s="866">
        <f>+CN137*0.845+CO13*0.066</f>
        <v>192.81228094155722</v>
      </c>
      <c r="CP137" s="176">
        <f t="shared" ref="CP137" si="223">AVERAGE(CL137:CO137)</f>
        <v>205.8342900480931</v>
      </c>
      <c r="CQ137" s="865">
        <f>+CO137*0.845+CQ13*0.066</f>
        <v>186.35637739561585</v>
      </c>
      <c r="CR137" s="174">
        <f>+CQ137*0.845+CR13*0.066</f>
        <v>181.23113889929539</v>
      </c>
      <c r="CS137" s="174">
        <f>+CR137*0.845+CS13*0.066</f>
        <v>176.24031236990459</v>
      </c>
      <c r="CT137" s="866">
        <f>+CS137*0.845+CT13*0.066</f>
        <v>171.03306395256936</v>
      </c>
      <c r="CU137" s="176">
        <f t="shared" ref="CU137" si="224">AVERAGE(CQ137:CT137)</f>
        <v>178.71522315434629</v>
      </c>
      <c r="CV137" s="865">
        <f>+CT137*0.845+CV13*0.066</f>
        <v>164.65293903992111</v>
      </c>
      <c r="CW137" s="174">
        <f>+CV137*0.845+CW13*0.066</f>
        <v>159.59173348873335</v>
      </c>
      <c r="CX137" s="174">
        <f>+CW137*0.845+CX13*0.066</f>
        <v>154.6550147979797</v>
      </c>
      <c r="CY137" s="866">
        <f>+CX137*0.845+CY13*0.066</f>
        <v>149.49348750429286</v>
      </c>
      <c r="CZ137" s="176">
        <f t="shared" ref="CZ137" si="225">AVERAGE(CV137:CY137)</f>
        <v>157.09829370773176</v>
      </c>
      <c r="DD137"/>
      <c r="DE137"/>
      <c r="DF137"/>
      <c r="DG137"/>
      <c r="DH137"/>
      <c r="DI137"/>
    </row>
    <row r="138" spans="1:113" ht="6.2" customHeight="1">
      <c r="A138" s="820"/>
      <c r="B138" s="79"/>
      <c r="C138" s="79"/>
      <c r="D138" s="79"/>
      <c r="E138" s="79"/>
      <c r="F138" s="79"/>
      <c r="G138" s="79"/>
      <c r="H138" s="79"/>
      <c r="I138" s="213"/>
      <c r="J138" s="213"/>
      <c r="K138" s="213"/>
      <c r="L138" s="213"/>
      <c r="M138" s="213"/>
      <c r="N138" s="213"/>
      <c r="O138" s="213"/>
      <c r="P138" s="213"/>
      <c r="Q138" s="213"/>
      <c r="R138" s="213"/>
      <c r="S138" s="213"/>
      <c r="T138" s="213"/>
      <c r="U138" s="213"/>
      <c r="V138" s="213"/>
      <c r="W138" s="213"/>
      <c r="X138" s="213"/>
      <c r="Y138" s="200"/>
      <c r="Z138" s="200"/>
      <c r="AA138" s="200"/>
      <c r="AB138" s="200"/>
      <c r="AC138" s="200"/>
      <c r="AD138" s="200"/>
      <c r="AE138" s="200"/>
      <c r="AF138" s="200"/>
      <c r="AG138" s="200"/>
      <c r="AH138" s="200"/>
      <c r="AI138" s="200"/>
      <c r="AJ138" s="200"/>
      <c r="AK138" s="200"/>
      <c r="AL138" s="200"/>
      <c r="AM138" s="200"/>
      <c r="AN138" s="200"/>
      <c r="AO138" s="200"/>
      <c r="AP138" s="200"/>
      <c r="AQ138" s="200"/>
      <c r="AR138" s="200"/>
      <c r="AS138" s="918"/>
      <c r="AT138" s="919"/>
      <c r="AU138" s="919"/>
      <c r="AV138" s="920"/>
      <c r="AW138" s="200"/>
      <c r="AX138" s="918"/>
      <c r="AY138" s="919"/>
      <c r="AZ138" s="919"/>
      <c r="BA138" s="920"/>
      <c r="BB138" s="200"/>
      <c r="BC138" s="918"/>
      <c r="BD138" s="919"/>
      <c r="BE138" s="919"/>
      <c r="BF138" s="920"/>
      <c r="BG138" s="200"/>
      <c r="BH138" s="918"/>
      <c r="BI138" s="919"/>
      <c r="BJ138" s="919"/>
      <c r="BK138" s="920"/>
      <c r="BL138" s="200"/>
      <c r="BM138" s="918"/>
      <c r="BN138" s="919"/>
      <c r="BO138" s="919"/>
      <c r="BP138" s="920"/>
      <c r="BQ138" s="200"/>
      <c r="BR138" s="918"/>
      <c r="BS138" s="919"/>
      <c r="BT138" s="919"/>
      <c r="BU138" s="920"/>
      <c r="BV138" s="200"/>
      <c r="BW138" s="918"/>
      <c r="BX138" s="919"/>
      <c r="BY138" s="919"/>
      <c r="BZ138" s="920"/>
      <c r="CA138" s="200"/>
      <c r="CB138" s="918"/>
      <c r="CC138" s="919"/>
      <c r="CD138" s="919"/>
      <c r="CE138" s="920"/>
      <c r="CF138" s="200"/>
      <c r="CG138" s="918"/>
      <c r="CH138" s="919"/>
      <c r="CI138" s="919"/>
      <c r="CJ138" s="866"/>
      <c r="CK138" s="176"/>
      <c r="CL138" s="865"/>
      <c r="CM138" s="174"/>
      <c r="CN138" s="174"/>
      <c r="CO138" s="866"/>
      <c r="CP138" s="176"/>
      <c r="CQ138" s="865"/>
      <c r="CR138" s="174"/>
      <c r="CS138" s="174"/>
      <c r="CT138" s="866"/>
      <c r="CU138" s="176"/>
      <c r="CV138" s="865"/>
      <c r="CW138" s="174"/>
      <c r="CX138" s="174"/>
      <c r="CY138" s="866"/>
      <c r="CZ138" s="176"/>
    </row>
    <row r="139" spans="1:113" ht="13.5" customHeight="1">
      <c r="A139" s="820" t="s">
        <v>587</v>
      </c>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c r="AA139" s="66"/>
      <c r="AB139" s="66"/>
      <c r="AC139" s="66"/>
      <c r="AD139" s="66"/>
      <c r="AE139" s="66"/>
      <c r="AF139" s="66"/>
      <c r="AG139" s="66"/>
      <c r="AH139" s="66"/>
      <c r="AI139" s="66"/>
      <c r="AJ139" s="66"/>
      <c r="AK139" s="66"/>
      <c r="AL139" s="66"/>
      <c r="AM139" s="66"/>
      <c r="AN139" s="66"/>
      <c r="AO139" s="66"/>
      <c r="AP139" s="66"/>
      <c r="AQ139" s="66"/>
      <c r="AR139" s="66"/>
      <c r="AS139" s="859"/>
      <c r="AT139" s="20"/>
      <c r="AU139" s="20"/>
      <c r="AV139" s="860"/>
      <c r="AW139" s="66"/>
      <c r="AX139" s="859"/>
      <c r="AY139" s="20"/>
      <c r="AZ139" s="20"/>
      <c r="BA139" s="860"/>
      <c r="BB139" s="66"/>
      <c r="BC139" s="859"/>
      <c r="BD139" s="20"/>
      <c r="BE139" s="20"/>
      <c r="BF139" s="954"/>
      <c r="BG139" s="362"/>
      <c r="BH139" s="859"/>
      <c r="BI139" s="20"/>
      <c r="BJ139" s="20"/>
      <c r="BK139" s="860"/>
      <c r="BL139" s="66"/>
      <c r="BM139" s="859"/>
      <c r="BN139" s="20"/>
      <c r="BO139" s="20"/>
      <c r="BP139" s="860"/>
      <c r="BQ139" s="66"/>
      <c r="BR139" s="859"/>
      <c r="BS139" s="20"/>
      <c r="BT139" s="20"/>
      <c r="BU139" s="860"/>
      <c r="BV139" s="66"/>
      <c r="BW139" s="859"/>
      <c r="BX139" s="20"/>
      <c r="BY139" s="20"/>
      <c r="BZ139" s="860"/>
      <c r="CA139" s="66"/>
      <c r="CB139" s="859"/>
      <c r="CC139" s="20"/>
      <c r="CD139" s="20"/>
      <c r="CE139" s="944"/>
      <c r="CF139" s="453"/>
      <c r="CG139" s="981"/>
      <c r="CH139" s="495"/>
      <c r="CI139" s="20"/>
      <c r="CJ139" s="944"/>
      <c r="CK139" s="453"/>
      <c r="CL139" s="859"/>
      <c r="CM139" s="20"/>
      <c r="CN139" s="20"/>
      <c r="CO139" s="860"/>
      <c r="CP139" s="66"/>
      <c r="CQ139" s="859"/>
      <c r="CR139" s="20"/>
      <c r="CS139" s="20"/>
      <c r="CT139" s="860"/>
      <c r="CU139" s="66"/>
      <c r="CV139" s="859"/>
      <c r="CW139" s="20"/>
      <c r="CX139" s="20"/>
      <c r="CY139" s="860"/>
      <c r="CZ139" s="66"/>
    </row>
    <row r="140" spans="1:113" ht="13.5" customHeight="1">
      <c r="A140" s="820"/>
      <c r="B140" s="199" t="s">
        <v>466</v>
      </c>
      <c r="C140" s="66"/>
      <c r="D140" s="66"/>
      <c r="E140" s="66"/>
      <c r="F140" s="66"/>
      <c r="G140" s="66"/>
      <c r="H140" s="66"/>
      <c r="I140" s="66"/>
      <c r="J140" s="66"/>
      <c r="K140" s="66"/>
      <c r="L140" s="66"/>
      <c r="M140" s="66"/>
      <c r="N140" s="66"/>
      <c r="O140" s="66"/>
      <c r="P140" s="66"/>
      <c r="Q140" s="66"/>
      <c r="R140" s="66"/>
      <c r="S140" s="66"/>
      <c r="T140" s="102">
        <f>Operations!T11</f>
        <v>442.33333333333331</v>
      </c>
      <c r="U140" s="102">
        <f>Operations!U11</f>
        <v>525.33333333333337</v>
      </c>
      <c r="V140" s="102">
        <f>Operations!V11</f>
        <v>558</v>
      </c>
      <c r="W140" s="102">
        <f>Operations!W11</f>
        <v>578.66666666666663</v>
      </c>
      <c r="X140" s="102">
        <f>Operations!X11</f>
        <v>526.08333333333337</v>
      </c>
      <c r="Y140" s="102">
        <f>Operations!Y11</f>
        <v>583</v>
      </c>
      <c r="Z140" s="102">
        <f>Operations!Z11</f>
        <v>583</v>
      </c>
      <c r="AA140" s="102">
        <f>Operations!AA11</f>
        <v>540</v>
      </c>
      <c r="AB140" s="102">
        <f>Operations!AB11</f>
        <v>620</v>
      </c>
      <c r="AC140" s="102">
        <f>Operations!AC11</f>
        <v>581.5</v>
      </c>
      <c r="AD140" s="549">
        <f>Operations!AD11</f>
        <v>620</v>
      </c>
      <c r="AE140" s="549">
        <f>Operations!AE11</f>
        <v>640.66666666666663</v>
      </c>
      <c r="AF140" s="549">
        <f>Operations!AF11</f>
        <v>670</v>
      </c>
      <c r="AG140" s="549">
        <f>Operations!AG11</f>
        <v>670</v>
      </c>
      <c r="AH140" s="549">
        <f>Operations!AH11</f>
        <v>650.16666666666663</v>
      </c>
      <c r="AI140" s="549">
        <f>Operations!AI11</f>
        <v>695</v>
      </c>
      <c r="AJ140" s="549">
        <f>Operations!AJ11</f>
        <v>770</v>
      </c>
      <c r="AK140" s="549">
        <f>Operations!AK11</f>
        <v>770</v>
      </c>
      <c r="AL140" s="549">
        <f>Operations!AL11</f>
        <v>787</v>
      </c>
      <c r="AM140" s="549">
        <f>Operations!AM11</f>
        <v>755.5</v>
      </c>
      <c r="AN140" s="549">
        <f>Operations!AN11</f>
        <v>855.33333333333337</v>
      </c>
      <c r="AO140" s="549">
        <f>Operations!AO11</f>
        <v>987</v>
      </c>
      <c r="AP140" s="549">
        <f>Operations!AP11</f>
        <v>1133</v>
      </c>
      <c r="AQ140" s="549">
        <f>Operations!AQ11</f>
        <v>991.66666666666663</v>
      </c>
      <c r="AR140" s="549">
        <f>Operations!AR11</f>
        <v>991.75</v>
      </c>
      <c r="AS140" s="838">
        <f>Operations!AS11</f>
        <v>894</v>
      </c>
      <c r="AT140" s="598">
        <f>Operations!AT11</f>
        <v>716.66666666666663</v>
      </c>
      <c r="AU140" s="598">
        <f>Operations!AU11</f>
        <v>741.66666666666663</v>
      </c>
      <c r="AV140" s="839">
        <f>Operations!AV11</f>
        <v>735</v>
      </c>
      <c r="AW140" s="549">
        <f>Operations!AW11</f>
        <v>771.83333333333326</v>
      </c>
      <c r="AX140" s="838">
        <f>Operations!AX11</f>
        <v>735</v>
      </c>
      <c r="AY140" s="598">
        <f>Operations!AY11</f>
        <v>769.66666666666663</v>
      </c>
      <c r="AZ140" s="598">
        <f>Operations!AZ11</f>
        <v>734.66666666666663</v>
      </c>
      <c r="BA140" s="839">
        <f>Operations!BA11</f>
        <v>758.66666666666663</v>
      </c>
      <c r="BB140" s="549">
        <f>Operations!BB11</f>
        <v>749.49999999999989</v>
      </c>
      <c r="BC140" s="838">
        <f>Operations!BC11</f>
        <v>875</v>
      </c>
      <c r="BD140" s="598">
        <f>Operations!BD11</f>
        <v>895</v>
      </c>
      <c r="BE140" s="598">
        <f>Operations!BE11</f>
        <v>831.33200278206175</v>
      </c>
      <c r="BF140" s="910">
        <f>Operations!BF11</f>
        <v>820.33333333333337</v>
      </c>
      <c r="BG140" s="499">
        <f>Operations!BG11</f>
        <v>855.41633402884884</v>
      </c>
      <c r="BH140" s="838">
        <f>Operations!BH11</f>
        <v>837.66666666666663</v>
      </c>
      <c r="BI140" s="598">
        <f>Operations!BI11</f>
        <v>819</v>
      </c>
      <c r="BJ140" s="598">
        <f>Operations!BJ11</f>
        <v>769.66666666666663</v>
      </c>
      <c r="BK140" s="910">
        <f>Operations!BK11</f>
        <v>757.66499387763997</v>
      </c>
      <c r="BL140" s="499">
        <f>Operations!BL11</f>
        <v>795.99958180274325</v>
      </c>
      <c r="BM140" s="838">
        <f>Operations!BM11</f>
        <v>766.99496851300648</v>
      </c>
      <c r="BN140" s="598">
        <f>Operations!BN11</f>
        <v>769.66161768645463</v>
      </c>
      <c r="BO140" s="598">
        <f>Operations!BO11</f>
        <v>762.32833245947234</v>
      </c>
      <c r="BP140" s="839">
        <f>Operations!BP11</f>
        <v>758.66168984598119</v>
      </c>
      <c r="BQ140" s="549">
        <f>Operations!BQ11</f>
        <v>764.41165212622866</v>
      </c>
      <c r="BR140" s="838">
        <f>Operations!BR11</f>
        <v>791.33333333333337</v>
      </c>
      <c r="BS140" s="598">
        <f>Operations!BS11</f>
        <v>794</v>
      </c>
      <c r="BT140" s="598">
        <f>Operations!BT11</f>
        <v>799</v>
      </c>
      <c r="BU140" s="839">
        <f>Operations!BU11</f>
        <v>796</v>
      </c>
      <c r="BV140" s="549">
        <f>Operations!BV11</f>
        <v>795.08333333333337</v>
      </c>
      <c r="BW140" s="838">
        <f>Operations!BW11</f>
        <v>751.33333333333337</v>
      </c>
      <c r="BX140" s="598">
        <f>Operations!BX11</f>
        <v>702</v>
      </c>
      <c r="BY140" s="598">
        <f>Operations!BY11</f>
        <v>685</v>
      </c>
      <c r="BZ140" s="839">
        <f>Operations!BZ11</f>
        <v>644</v>
      </c>
      <c r="CA140" s="549">
        <f>Operations!CA11</f>
        <v>695.58333333333337</v>
      </c>
      <c r="CB140" s="838">
        <f>Operations!CB11</f>
        <v>615.66666666666663</v>
      </c>
      <c r="CC140" s="598">
        <f>Operations!CC11</f>
        <v>642.06666666666661</v>
      </c>
      <c r="CD140" s="598">
        <f>Operations!CD11</f>
        <v>668.66666666666663</v>
      </c>
      <c r="CE140" s="839">
        <f>Operations!CE11</f>
        <v>650.33333333333337</v>
      </c>
      <c r="CF140" s="549">
        <f>Operations!CF11</f>
        <v>644.18333333333328</v>
      </c>
      <c r="CG140" s="838">
        <f>Operations!CG11</f>
        <v>703</v>
      </c>
      <c r="CH140" s="598">
        <f>Operations!CH11</f>
        <v>712.19999999999993</v>
      </c>
      <c r="CI140" s="598">
        <f>Operations!CI11</f>
        <v>700</v>
      </c>
      <c r="CJ140" s="839">
        <f>Operations!CJ11</f>
        <v>620</v>
      </c>
      <c r="CK140" s="549">
        <f>Operations!CK11</f>
        <v>683.8</v>
      </c>
      <c r="CL140" s="838">
        <f>Operations!CL11</f>
        <v>690</v>
      </c>
      <c r="CM140" s="598">
        <f>Operations!CM11</f>
        <v>835</v>
      </c>
      <c r="CN140" s="598">
        <f>Operations!CN11</f>
        <v>830</v>
      </c>
      <c r="CO140" s="839">
        <f>Operations!CO11</f>
        <v>815</v>
      </c>
      <c r="CP140" s="549">
        <f>Operations!CP11</f>
        <v>792.5</v>
      </c>
      <c r="CQ140" s="838">
        <f>Operations!CQ11</f>
        <v>825</v>
      </c>
      <c r="CR140" s="598">
        <f>Operations!CR11</f>
        <v>830</v>
      </c>
      <c r="CS140" s="598">
        <f>Operations!CS11</f>
        <v>800</v>
      </c>
      <c r="CT140" s="839">
        <f>Operations!CT11</f>
        <v>755</v>
      </c>
      <c r="CU140" s="549">
        <f>Operations!CU11</f>
        <v>802.5</v>
      </c>
      <c r="CV140" s="838">
        <f>Operations!CV11</f>
        <v>695</v>
      </c>
      <c r="CW140" s="598">
        <f>Operations!CW11</f>
        <v>705</v>
      </c>
      <c r="CX140" s="598">
        <f>Operations!CX11</f>
        <v>695</v>
      </c>
      <c r="CY140" s="839">
        <f>Operations!CY11</f>
        <v>680</v>
      </c>
      <c r="CZ140" s="549">
        <f>Operations!CZ11</f>
        <v>693.75</v>
      </c>
    </row>
    <row r="141" spans="1:113" ht="13.5" customHeight="1">
      <c r="A141" s="820"/>
      <c r="B141" s="199" t="s">
        <v>467</v>
      </c>
      <c r="C141" s="66"/>
      <c r="D141" s="66"/>
      <c r="E141" s="66"/>
      <c r="F141" s="66"/>
      <c r="G141" s="66"/>
      <c r="H141" s="66"/>
      <c r="I141" s="66"/>
      <c r="J141" s="66"/>
      <c r="K141" s="66"/>
      <c r="L141" s="66"/>
      <c r="M141" s="66"/>
      <c r="N141" s="66"/>
      <c r="O141" s="66"/>
      <c r="P141" s="66"/>
      <c r="Q141" s="66"/>
      <c r="R141" s="66"/>
      <c r="S141" s="66"/>
      <c r="T141" s="102">
        <f>Operations!T6</f>
        <v>462.33333333333331</v>
      </c>
      <c r="U141" s="102">
        <f>Operations!U6</f>
        <v>610</v>
      </c>
      <c r="V141" s="102">
        <f>Operations!V6</f>
        <v>703.33333333333337</v>
      </c>
      <c r="W141" s="102">
        <f>Operations!W6</f>
        <v>658.33333333333337</v>
      </c>
      <c r="X141" s="102">
        <f>Operations!X6</f>
        <v>608.5</v>
      </c>
      <c r="Y141" s="102">
        <f>Operations!Y6</f>
        <v>631.66666666666663</v>
      </c>
      <c r="Z141" s="102">
        <f>Operations!Z6</f>
        <v>532.5</v>
      </c>
      <c r="AA141" s="102">
        <f>Operations!AA6</f>
        <v>461.66666666666669</v>
      </c>
      <c r="AB141" s="102">
        <f>Operations!AB6</f>
        <v>550</v>
      </c>
      <c r="AC141" s="102">
        <f>Operations!AC6</f>
        <v>543.95833333333326</v>
      </c>
      <c r="AD141" s="549">
        <f>Operations!AD6</f>
        <v>550</v>
      </c>
      <c r="AE141" s="549">
        <f>Operations!AE6</f>
        <v>591.66666666666663</v>
      </c>
      <c r="AF141" s="549">
        <f>Operations!AF6</f>
        <v>621.66666666666663</v>
      </c>
      <c r="AG141" s="549">
        <f>Operations!AG6</f>
        <v>563.33333333333337</v>
      </c>
      <c r="AH141" s="549">
        <f>Operations!AH6</f>
        <v>581.66666666666663</v>
      </c>
      <c r="AI141" s="549">
        <f>Operations!AI6</f>
        <v>518.33333333333337</v>
      </c>
      <c r="AJ141" s="549">
        <f>Operations!AJ6</f>
        <v>553.33333333333337</v>
      </c>
      <c r="AK141" s="549">
        <f>Operations!AK6</f>
        <v>516.66666666666663</v>
      </c>
      <c r="AL141" s="549">
        <f>Operations!AL6</f>
        <v>535</v>
      </c>
      <c r="AM141" s="549">
        <f>Operations!AM6</f>
        <v>530.83333333333337</v>
      </c>
      <c r="AN141" s="549">
        <f>Operations!AN6</f>
        <v>691.66666666666663</v>
      </c>
      <c r="AO141" s="549">
        <f>Operations!AO6</f>
        <v>976.66666666666663</v>
      </c>
      <c r="AP141" s="549">
        <f>Operations!AP6</f>
        <v>1051.6666666666667</v>
      </c>
      <c r="AQ141" s="549">
        <f>Operations!AQ6</f>
        <v>714</v>
      </c>
      <c r="AR141" s="549">
        <f>Operations!AR6</f>
        <v>858.5</v>
      </c>
      <c r="AS141" s="838">
        <f>Operations!AS6</f>
        <v>508.66666666666669</v>
      </c>
      <c r="AT141" s="598">
        <f>Operations!AT6</f>
        <v>399</v>
      </c>
      <c r="AU141" s="598">
        <f>Operations!AU6</f>
        <v>491.33333333333331</v>
      </c>
      <c r="AV141" s="839">
        <f>Operations!AV6</f>
        <v>528</v>
      </c>
      <c r="AW141" s="549">
        <f>Operations!AW6</f>
        <v>481.75</v>
      </c>
      <c r="AX141" s="838">
        <f>Operations!AX6</f>
        <v>592</v>
      </c>
      <c r="AY141" s="598">
        <f>Operations!AY6</f>
        <v>682</v>
      </c>
      <c r="AZ141" s="598">
        <f>Operations!AZ6</f>
        <v>582.66666666666663</v>
      </c>
      <c r="BA141" s="839">
        <f>Operations!BA6</f>
        <v>557</v>
      </c>
      <c r="BB141" s="549">
        <f>Operations!BB6</f>
        <v>603.41666666666663</v>
      </c>
      <c r="BC141" s="838">
        <f>Operations!BC6</f>
        <v>795.66666666666663</v>
      </c>
      <c r="BD141" s="598">
        <f>Operations!BD6</f>
        <v>813</v>
      </c>
      <c r="BE141" s="598">
        <f>Operations!BE6</f>
        <v>687.66781577912843</v>
      </c>
      <c r="BF141" s="910">
        <f>Operations!BF6</f>
        <v>657.66666666666663</v>
      </c>
      <c r="BG141" s="499">
        <f>Operations!BG6</f>
        <v>738.50028727811537</v>
      </c>
      <c r="BH141" s="838">
        <f>Operations!BH6</f>
        <v>720.66666666666663</v>
      </c>
      <c r="BI141" s="598">
        <f>Operations!BI6</f>
        <v>660</v>
      </c>
      <c r="BJ141" s="598">
        <f>Operations!BJ6</f>
        <v>625.66666666666663</v>
      </c>
      <c r="BK141" s="910">
        <f>Operations!BK6</f>
        <v>619.99869456856368</v>
      </c>
      <c r="BL141" s="499">
        <f>Operations!BL6</f>
        <v>656.58300697547418</v>
      </c>
      <c r="BM141" s="838">
        <f>Operations!BM6</f>
        <v>616.66666666666663</v>
      </c>
      <c r="BN141" s="598">
        <f>Operations!BN6</f>
        <v>592.33333333333337</v>
      </c>
      <c r="BO141" s="598">
        <f>Operations!BO6</f>
        <v>643.66666666666663</v>
      </c>
      <c r="BP141" s="839">
        <f>Operations!BP6</f>
        <v>658.99708081915003</v>
      </c>
      <c r="BQ141" s="549">
        <f>Operations!BQ6</f>
        <v>627.91593687145416</v>
      </c>
      <c r="BR141" s="838">
        <f>Operations!BR6</f>
        <v>654.66666666666663</v>
      </c>
      <c r="BS141" s="598">
        <f>Operations!BS6</f>
        <v>671</v>
      </c>
      <c r="BT141" s="598">
        <f>Operations!BT6</f>
        <v>667.66666666666663</v>
      </c>
      <c r="BU141" s="839">
        <f>Operations!BU6</f>
        <v>634.33333333333337</v>
      </c>
      <c r="BV141" s="549">
        <f>Operations!BV6</f>
        <v>656.91666666666663</v>
      </c>
      <c r="BW141" s="838">
        <f>Operations!BW6</f>
        <v>536.33333333333337</v>
      </c>
      <c r="BX141" s="600">
        <f>Operations!BX6</f>
        <v>453.66666666666669</v>
      </c>
      <c r="BY141" s="598">
        <f>Operations!BY6</f>
        <v>459</v>
      </c>
      <c r="BZ141" s="839">
        <f>Operations!BZ6</f>
        <v>387</v>
      </c>
      <c r="CA141" s="549">
        <f>Operations!CA6</f>
        <v>459</v>
      </c>
      <c r="CB141" s="838">
        <f>Operations!CB6</f>
        <v>398.33333333333331</v>
      </c>
      <c r="CC141" s="598">
        <f>Operations!CC6</f>
        <v>561.66666666666663</v>
      </c>
      <c r="CD141" s="598">
        <f>Operations!CD6</f>
        <v>592</v>
      </c>
      <c r="CE141" s="839">
        <f>Operations!CE6</f>
        <v>521</v>
      </c>
      <c r="CF141" s="549">
        <f>Operations!CF6</f>
        <v>518.25</v>
      </c>
      <c r="CG141" s="838">
        <f>Operations!CG6</f>
        <v>622.66666666666663</v>
      </c>
      <c r="CH141" s="598">
        <f>Operations!CH6</f>
        <v>623.59420289855063</v>
      </c>
      <c r="CI141" s="598">
        <f>Operations!CI6</f>
        <v>621.41847826086962</v>
      </c>
      <c r="CJ141" s="839">
        <f>Operations!CJ6</f>
        <v>618.09489302967552</v>
      </c>
      <c r="CK141" s="549">
        <f>Operations!CK6</f>
        <v>621.4435602139406</v>
      </c>
      <c r="CL141" s="838">
        <f>Operations!CL6</f>
        <v>741.07743412384718</v>
      </c>
      <c r="CM141" s="598">
        <f>Operations!CM6</f>
        <v>885</v>
      </c>
      <c r="CN141" s="598">
        <f>Operations!CN6</f>
        <v>830</v>
      </c>
      <c r="CO141" s="839">
        <f>Operations!CO6</f>
        <v>785</v>
      </c>
      <c r="CP141" s="549">
        <f>Operations!CP6</f>
        <v>810.26935853096177</v>
      </c>
      <c r="CQ141" s="838">
        <f>Operations!CQ6</f>
        <v>800</v>
      </c>
      <c r="CR141" s="598">
        <f>Operations!CR6</f>
        <v>770</v>
      </c>
      <c r="CS141" s="598">
        <f>Operations!CS6</f>
        <v>760</v>
      </c>
      <c r="CT141" s="839">
        <f>Operations!CT6</f>
        <v>715</v>
      </c>
      <c r="CU141" s="549">
        <f>Operations!CU6</f>
        <v>761.25</v>
      </c>
      <c r="CV141" s="838">
        <f>Operations!CV6</f>
        <v>660</v>
      </c>
      <c r="CW141" s="598">
        <f>Operations!CW6</f>
        <v>675</v>
      </c>
      <c r="CX141" s="598">
        <f>Operations!CX6</f>
        <v>645</v>
      </c>
      <c r="CY141" s="839">
        <f>Operations!CY6</f>
        <v>645</v>
      </c>
      <c r="CZ141" s="549">
        <f>Operations!CZ6</f>
        <v>656.25</v>
      </c>
    </row>
    <row r="142" spans="1:113" ht="13.5" customHeight="1">
      <c r="A142" s="820"/>
      <c r="B142" s="199" t="s">
        <v>468</v>
      </c>
      <c r="C142" s="66"/>
      <c r="D142" s="66"/>
      <c r="E142" s="66"/>
      <c r="F142" s="66"/>
      <c r="G142" s="66"/>
      <c r="H142" s="66"/>
      <c r="I142" s="66"/>
      <c r="J142" s="66"/>
      <c r="K142" s="66"/>
      <c r="L142" s="66"/>
      <c r="M142" s="66"/>
      <c r="N142" s="66"/>
      <c r="O142" s="66"/>
      <c r="P142" s="66"/>
      <c r="Q142" s="66"/>
      <c r="R142" s="66"/>
      <c r="S142" s="66"/>
      <c r="T142" s="102">
        <f>Operations!T6</f>
        <v>462.33333333333331</v>
      </c>
      <c r="U142" s="102">
        <f>Operations!U6</f>
        <v>610</v>
      </c>
      <c r="V142" s="102">
        <f>Operations!V6</f>
        <v>703.33333333333337</v>
      </c>
      <c r="W142" s="102">
        <f>Operations!W6</f>
        <v>658.33333333333337</v>
      </c>
      <c r="X142" s="102">
        <f>Operations!X6</f>
        <v>608.5</v>
      </c>
      <c r="Y142" s="102">
        <f>Operations!Y6</f>
        <v>631.66666666666663</v>
      </c>
      <c r="Z142" s="102">
        <f>Operations!Z6</f>
        <v>532.5</v>
      </c>
      <c r="AA142" s="102">
        <f>Operations!AA6</f>
        <v>461.66666666666669</v>
      </c>
      <c r="AB142" s="102">
        <f>Operations!AB6</f>
        <v>550</v>
      </c>
      <c r="AC142" s="102">
        <f>Operations!AC6</f>
        <v>543.95833333333326</v>
      </c>
      <c r="AD142" s="549">
        <f>Operations!AD6</f>
        <v>550</v>
      </c>
      <c r="AE142" s="549">
        <f>Operations!AE6</f>
        <v>591.66666666666663</v>
      </c>
      <c r="AF142" s="549">
        <f>Operations!AF6</f>
        <v>621.66666666666663</v>
      </c>
      <c r="AG142" s="549">
        <f>Operations!AG6</f>
        <v>563.33333333333337</v>
      </c>
      <c r="AH142" s="549">
        <f>Operations!AH6</f>
        <v>581.66666666666663</v>
      </c>
      <c r="AI142" s="549">
        <f>Operations!AI6</f>
        <v>518.33333333333337</v>
      </c>
      <c r="AJ142" s="549">
        <f>Operations!AJ6</f>
        <v>553.33333333333337</v>
      </c>
      <c r="AK142" s="549">
        <f>Operations!AK6</f>
        <v>516.66666666666663</v>
      </c>
      <c r="AL142" s="549">
        <f>Operations!AL6</f>
        <v>535</v>
      </c>
      <c r="AM142" s="549">
        <f>Operations!AM6</f>
        <v>530.83333333333337</v>
      </c>
      <c r="AN142" s="549">
        <f>Operations!AN6</f>
        <v>691.66666666666663</v>
      </c>
      <c r="AO142" s="549">
        <f>Operations!AO6</f>
        <v>976.66666666666663</v>
      </c>
      <c r="AP142" s="549">
        <f>Operations!AP6</f>
        <v>1051.6666666666667</v>
      </c>
      <c r="AQ142" s="549">
        <f>Operations!AQ6</f>
        <v>714</v>
      </c>
      <c r="AR142" s="549">
        <f>Operations!AR6</f>
        <v>858.5</v>
      </c>
      <c r="AS142" s="838">
        <f>Operations!AS6</f>
        <v>508.66666666666669</v>
      </c>
      <c r="AT142" s="598">
        <f>Operations!AT6</f>
        <v>399</v>
      </c>
      <c r="AU142" s="598">
        <f>Operations!AU6</f>
        <v>491.33333333333331</v>
      </c>
      <c r="AV142" s="839">
        <f>Operations!AV6</f>
        <v>528</v>
      </c>
      <c r="AW142" s="549">
        <f>Operations!AW6</f>
        <v>481.75</v>
      </c>
      <c r="AX142" s="838">
        <f>Operations!AX6</f>
        <v>592</v>
      </c>
      <c r="AY142" s="598">
        <f>Operations!AY6</f>
        <v>682</v>
      </c>
      <c r="AZ142" s="598">
        <f>Operations!AZ6</f>
        <v>582.66666666666663</v>
      </c>
      <c r="BA142" s="839">
        <f>Operations!BA6</f>
        <v>557</v>
      </c>
      <c r="BB142" s="549">
        <f>Operations!BB6</f>
        <v>603.41666666666663</v>
      </c>
      <c r="BC142" s="838">
        <f>Operations!BC6</f>
        <v>795.66666666666663</v>
      </c>
      <c r="BD142" s="598">
        <f>Operations!BD6</f>
        <v>813</v>
      </c>
      <c r="BE142" s="598">
        <f>Operations!BE6</f>
        <v>687.66781577912843</v>
      </c>
      <c r="BF142" s="910">
        <f>Operations!BF6</f>
        <v>657.66666666666663</v>
      </c>
      <c r="BG142" s="499">
        <f>Operations!BG6</f>
        <v>738.50028727811537</v>
      </c>
      <c r="BH142" s="838">
        <f>Operations!BH6</f>
        <v>720.66666666666663</v>
      </c>
      <c r="BI142" s="598">
        <f>Operations!BI6</f>
        <v>660</v>
      </c>
      <c r="BJ142" s="598">
        <f>Operations!BJ6</f>
        <v>625.66666666666663</v>
      </c>
      <c r="BK142" s="910">
        <f>Operations!BK6</f>
        <v>619.99869456856368</v>
      </c>
      <c r="BL142" s="499">
        <f>Operations!BL6</f>
        <v>656.58300697547418</v>
      </c>
      <c r="BM142" s="838">
        <f>Operations!BM6</f>
        <v>616.66666666666663</v>
      </c>
      <c r="BN142" s="598">
        <f>Operations!BN6</f>
        <v>592.33333333333337</v>
      </c>
      <c r="BO142" s="598">
        <f>Operations!BO6</f>
        <v>643.66666666666663</v>
      </c>
      <c r="BP142" s="839">
        <f>Operations!BP6</f>
        <v>658.99708081915003</v>
      </c>
      <c r="BQ142" s="549">
        <f>Operations!BQ6</f>
        <v>627.91593687145416</v>
      </c>
      <c r="BR142" s="838">
        <f>Operations!BR6</f>
        <v>654.66666666666663</v>
      </c>
      <c r="BS142" s="598">
        <f>Operations!BS6</f>
        <v>671</v>
      </c>
      <c r="BT142" s="598">
        <f>Operations!BT6</f>
        <v>667.66666666666663</v>
      </c>
      <c r="BU142" s="839">
        <f>Operations!BU6</f>
        <v>634.33333333333337</v>
      </c>
      <c r="BV142" s="549">
        <f>Operations!BV6</f>
        <v>656.91666666666663</v>
      </c>
      <c r="BW142" s="838">
        <f>Operations!BW6</f>
        <v>536.33333333333337</v>
      </c>
      <c r="BX142" s="600">
        <f>Operations!BX6</f>
        <v>453.66666666666669</v>
      </c>
      <c r="BY142" s="598">
        <f>Operations!BY6</f>
        <v>459</v>
      </c>
      <c r="BZ142" s="839">
        <f>Operations!BZ6</f>
        <v>387</v>
      </c>
      <c r="CA142" s="549">
        <f>Operations!CA6</f>
        <v>459</v>
      </c>
      <c r="CB142" s="838">
        <f>Operations!CB6</f>
        <v>398.33333333333331</v>
      </c>
      <c r="CC142" s="598">
        <f>Operations!CC6</f>
        <v>561.66666666666663</v>
      </c>
      <c r="CD142" s="598">
        <f>Operations!CD6</f>
        <v>592</v>
      </c>
      <c r="CE142" s="839">
        <f>Operations!CE6</f>
        <v>521</v>
      </c>
      <c r="CF142" s="549">
        <f>Operations!CF6</f>
        <v>518.25</v>
      </c>
      <c r="CG142" s="838">
        <f>Operations!CG6</f>
        <v>622.66666666666663</v>
      </c>
      <c r="CH142" s="598">
        <f>Operations!CH6</f>
        <v>623.59420289855063</v>
      </c>
      <c r="CI142" s="598">
        <f>Operations!CI6</f>
        <v>621.41847826086962</v>
      </c>
      <c r="CJ142" s="839">
        <f>Operations!CJ6</f>
        <v>618.09489302967552</v>
      </c>
      <c r="CK142" s="549">
        <f>Operations!CK6</f>
        <v>621.4435602139406</v>
      </c>
      <c r="CL142" s="838">
        <f>Operations!CL6</f>
        <v>741.07743412384718</v>
      </c>
      <c r="CM142" s="598">
        <f>Operations!CM6</f>
        <v>885</v>
      </c>
      <c r="CN142" s="598">
        <f>Operations!CN6</f>
        <v>830</v>
      </c>
      <c r="CO142" s="839">
        <f>Operations!CO6</f>
        <v>785</v>
      </c>
      <c r="CP142" s="549">
        <f>Operations!CP6</f>
        <v>810.26935853096177</v>
      </c>
      <c r="CQ142" s="838">
        <f>Operations!CQ6</f>
        <v>800</v>
      </c>
      <c r="CR142" s="598">
        <f>Operations!CR6</f>
        <v>770</v>
      </c>
      <c r="CS142" s="598">
        <f>Operations!CS6</f>
        <v>760</v>
      </c>
      <c r="CT142" s="839">
        <f>Operations!CT6</f>
        <v>715</v>
      </c>
      <c r="CU142" s="549">
        <f>Operations!CU6</f>
        <v>761.25</v>
      </c>
      <c r="CV142" s="838">
        <f>Operations!CV6</f>
        <v>660</v>
      </c>
      <c r="CW142" s="598">
        <f>Operations!CW6</f>
        <v>675</v>
      </c>
      <c r="CX142" s="598">
        <f>Operations!CX6</f>
        <v>645</v>
      </c>
      <c r="CY142" s="839">
        <f>Operations!CY6</f>
        <v>645</v>
      </c>
      <c r="CZ142" s="549">
        <f>Operations!CZ6</f>
        <v>656.25</v>
      </c>
    </row>
    <row r="143" spans="1:113" ht="13.5" customHeight="1">
      <c r="A143" s="820"/>
      <c r="B143" s="199" t="s">
        <v>228</v>
      </c>
      <c r="C143" s="66"/>
      <c r="D143" s="66"/>
      <c r="E143" s="66"/>
      <c r="F143" s="66"/>
      <c r="G143" s="66"/>
      <c r="H143" s="66"/>
      <c r="I143" s="66"/>
      <c r="J143" s="66"/>
      <c r="K143" s="66"/>
      <c r="L143" s="66"/>
      <c r="M143" s="66"/>
      <c r="N143" s="66"/>
      <c r="O143" s="66"/>
      <c r="P143" s="66"/>
      <c r="Q143" s="66"/>
      <c r="R143" s="66"/>
      <c r="S143" s="66"/>
      <c r="T143" s="102">
        <f>Operations!T8</f>
        <v>424.33333333333331</v>
      </c>
      <c r="U143" s="102">
        <f>Operations!U8</f>
        <v>520</v>
      </c>
      <c r="V143" s="102">
        <f>Operations!V8</f>
        <v>546.66666666666663</v>
      </c>
      <c r="W143" s="102">
        <f>Operations!W8</f>
        <v>520</v>
      </c>
      <c r="X143" s="102">
        <f>Operations!X8</f>
        <v>502.75</v>
      </c>
      <c r="Y143" s="102">
        <f>Operations!Y8</f>
        <v>483.33333333333331</v>
      </c>
      <c r="Z143" s="102">
        <f>Operations!Z8</f>
        <v>480</v>
      </c>
      <c r="AA143" s="102">
        <f>Operations!AA8</f>
        <v>473.33333333333331</v>
      </c>
      <c r="AB143" s="102">
        <f>Operations!AB8</f>
        <v>506.66666666666669</v>
      </c>
      <c r="AC143" s="102">
        <f>Operations!AC8</f>
        <v>485.83333333333331</v>
      </c>
      <c r="AD143" s="549">
        <f>Operations!AD8</f>
        <v>500</v>
      </c>
      <c r="AE143" s="549">
        <f>Operations!AE8</f>
        <v>516.66666666666663</v>
      </c>
      <c r="AF143" s="549">
        <f>Operations!AF8</f>
        <v>550</v>
      </c>
      <c r="AG143" s="549">
        <f>Operations!AG8</f>
        <v>533.33333333333337</v>
      </c>
      <c r="AH143" s="549">
        <f>Operations!AH8</f>
        <v>525</v>
      </c>
      <c r="AI143" s="549">
        <f>Operations!AI8</f>
        <v>535</v>
      </c>
      <c r="AJ143" s="549">
        <f>Operations!AJ8</f>
        <v>645.06666666666672</v>
      </c>
      <c r="AK143" s="549">
        <f>Operations!AK8</f>
        <v>601.4666666666667</v>
      </c>
      <c r="AL143" s="549">
        <f>Operations!AL8</f>
        <v>575.4666666666667</v>
      </c>
      <c r="AM143" s="549">
        <f>Operations!AM8</f>
        <v>589.25</v>
      </c>
      <c r="AN143" s="549">
        <f>Operations!AN8</f>
        <v>652.66666666666663</v>
      </c>
      <c r="AO143" s="549">
        <f>Operations!AO8</f>
        <v>848.13333333333333</v>
      </c>
      <c r="AP143" s="549">
        <f>Operations!AP8</f>
        <v>1007.4666666666667</v>
      </c>
      <c r="AQ143" s="549">
        <f>Operations!AQ8</f>
        <v>766.73333333333323</v>
      </c>
      <c r="AR143" s="549">
        <f>Operations!AR8</f>
        <v>818.74999999999989</v>
      </c>
      <c r="AS143" s="838">
        <f>Operations!AS8</f>
        <v>618.86666666666667</v>
      </c>
      <c r="AT143" s="598">
        <f>Operations!AT8</f>
        <v>495.06666666666666</v>
      </c>
      <c r="AU143" s="598">
        <f>Operations!AU8</f>
        <v>536.26666666666677</v>
      </c>
      <c r="AV143" s="839">
        <f>Operations!AV8</f>
        <v>494.4666666666667</v>
      </c>
      <c r="AW143" s="549">
        <f>Operations!AW8</f>
        <v>536.16666666666674</v>
      </c>
      <c r="AX143" s="838">
        <f>Operations!AX8</f>
        <v>522</v>
      </c>
      <c r="AY143" s="598">
        <f>Operations!AY8</f>
        <v>616.86666666666667</v>
      </c>
      <c r="AZ143" s="598">
        <f>Operations!AZ8</f>
        <v>599.93333333333339</v>
      </c>
      <c r="BA143" s="839">
        <f>Operations!BA8</f>
        <v>645.5333333333333</v>
      </c>
      <c r="BB143" s="549">
        <f>Operations!BB8</f>
        <v>596.08333333333337</v>
      </c>
      <c r="BC143" s="838">
        <f>Operations!BC8</f>
        <v>761.66666666666663</v>
      </c>
      <c r="BD143" s="598">
        <f>Operations!BD8</f>
        <v>754.79999999999984</v>
      </c>
      <c r="BE143" s="598">
        <f>Operations!BE8</f>
        <v>750.26666666666677</v>
      </c>
      <c r="BF143" s="910">
        <f>Operations!BF8</f>
        <v>782.06666666666661</v>
      </c>
      <c r="BG143" s="499">
        <f>Operations!BG8</f>
        <v>762.19999999999993</v>
      </c>
      <c r="BH143" s="838">
        <f>Operations!BH8</f>
        <v>767.13333333333333</v>
      </c>
      <c r="BI143" s="598">
        <f>Operations!BI8</f>
        <v>740.86666666666679</v>
      </c>
      <c r="BJ143" s="598">
        <f>Operations!BJ8</f>
        <v>690.33333333333337</v>
      </c>
      <c r="BK143" s="910">
        <f>Operations!BK8</f>
        <v>661.73333333333323</v>
      </c>
      <c r="BL143" s="499">
        <f>Operations!BL8</f>
        <v>715.01666666666665</v>
      </c>
      <c r="BM143" s="838">
        <f>Operations!BM8</f>
        <v>678.73333333333335</v>
      </c>
      <c r="BN143" s="598">
        <f>Operations!BN8</f>
        <v>662.53333333333342</v>
      </c>
      <c r="BO143" s="598">
        <f>Operations!BO8</f>
        <v>645</v>
      </c>
      <c r="BP143" s="839">
        <f>Operations!BP8</f>
        <v>651.80000000000007</v>
      </c>
      <c r="BQ143" s="549">
        <f>Operations!BQ8</f>
        <v>659.51666666666677</v>
      </c>
      <c r="BR143" s="838">
        <f>Operations!BR8</f>
        <v>687</v>
      </c>
      <c r="BS143" s="598">
        <f>Operations!BS8</f>
        <v>687.13333333333333</v>
      </c>
      <c r="BT143" s="598">
        <f>Operations!BT8</f>
        <v>662.6</v>
      </c>
      <c r="BU143" s="839">
        <f>Operations!BU8</f>
        <v>671.93333333333328</v>
      </c>
      <c r="BV143" s="549">
        <f>Operations!BV8</f>
        <v>677.16666666666663</v>
      </c>
      <c r="BW143" s="838">
        <f>Operations!BW8</f>
        <v>622.66666666666663</v>
      </c>
      <c r="BX143" s="598">
        <f>Operations!BX8</f>
        <v>587.66666666666663</v>
      </c>
      <c r="BY143" s="598">
        <f>Operations!BY8</f>
        <v>565.53333333333342</v>
      </c>
      <c r="BZ143" s="839">
        <f>Operations!BZ8</f>
        <v>507.13333333333338</v>
      </c>
      <c r="CA143" s="549">
        <f>Operations!CA8</f>
        <v>570.75</v>
      </c>
      <c r="CB143" s="838">
        <f>Operations!CB8</f>
        <v>478.8</v>
      </c>
      <c r="CC143" s="598">
        <f>Operations!CC8</f>
        <v>540.4</v>
      </c>
      <c r="CD143" s="598">
        <f>Operations!CD8</f>
        <v>524.5333333333333</v>
      </c>
      <c r="CE143" s="839">
        <f>Operations!CE8</f>
        <v>503.93333333333334</v>
      </c>
      <c r="CF143" s="549">
        <f>Operations!CF8</f>
        <v>511.91666666666669</v>
      </c>
      <c r="CG143" s="838">
        <f>Operations!CG8</f>
        <v>545.06666666666672</v>
      </c>
      <c r="CH143" s="598">
        <f>Operations!CH8</f>
        <v>532.80000000000007</v>
      </c>
      <c r="CI143" s="598">
        <f>Operations!CI8</f>
        <v>549</v>
      </c>
      <c r="CJ143" s="839">
        <f>Operations!CJ8</f>
        <v>564.4</v>
      </c>
      <c r="CK143" s="549">
        <f>Operations!CK8</f>
        <v>547.81666666666672</v>
      </c>
      <c r="CL143" s="838">
        <f>Operations!CL8</f>
        <v>637</v>
      </c>
      <c r="CM143" s="598">
        <f>Operations!CM8</f>
        <v>730</v>
      </c>
      <c r="CN143" s="598">
        <f>Operations!CN8</f>
        <v>725</v>
      </c>
      <c r="CO143" s="839">
        <f>Operations!CO8</f>
        <v>710</v>
      </c>
      <c r="CP143" s="549">
        <f>Operations!CP8</f>
        <v>700.5</v>
      </c>
      <c r="CQ143" s="838">
        <f>Operations!CQ8</f>
        <v>720</v>
      </c>
      <c r="CR143" s="598">
        <f>Operations!CR8</f>
        <v>725</v>
      </c>
      <c r="CS143" s="598">
        <f>Operations!CS8</f>
        <v>695</v>
      </c>
      <c r="CT143" s="839">
        <f>Operations!CT8</f>
        <v>650</v>
      </c>
      <c r="CU143" s="549">
        <f>Operations!CU8</f>
        <v>697.5</v>
      </c>
      <c r="CV143" s="838">
        <f>Operations!CV8</f>
        <v>590</v>
      </c>
      <c r="CW143" s="598">
        <f>Operations!CW8</f>
        <v>585</v>
      </c>
      <c r="CX143" s="598">
        <f>Operations!CX8</f>
        <v>575</v>
      </c>
      <c r="CY143" s="839">
        <f>Operations!CY8</f>
        <v>560</v>
      </c>
      <c r="CZ143" s="549">
        <f>Operations!CZ8</f>
        <v>577.5</v>
      </c>
    </row>
    <row r="144" spans="1:113" ht="13.5" customHeight="1">
      <c r="A144" s="820"/>
      <c r="B144" s="497" t="s">
        <v>690</v>
      </c>
      <c r="C144" s="66"/>
      <c r="D144" s="66"/>
      <c r="E144" s="66"/>
      <c r="F144" s="66"/>
      <c r="G144" s="66"/>
      <c r="H144" s="66"/>
      <c r="I144" s="66"/>
      <c r="J144" s="66"/>
      <c r="K144" s="66"/>
      <c r="L144" s="66"/>
      <c r="M144" s="66"/>
      <c r="N144" s="66"/>
      <c r="O144" s="66"/>
      <c r="P144" s="66"/>
      <c r="Q144" s="66"/>
      <c r="R144" s="66"/>
      <c r="S144" s="66"/>
      <c r="T144" s="102"/>
      <c r="U144" s="102"/>
      <c r="V144" s="102"/>
      <c r="W144" s="102"/>
      <c r="X144" s="102"/>
      <c r="Y144" s="102"/>
      <c r="Z144" s="102"/>
      <c r="AA144" s="102"/>
      <c r="AB144" s="102"/>
      <c r="AC144" s="102"/>
      <c r="AD144" s="549"/>
      <c r="AE144" s="549"/>
      <c r="AF144" s="549"/>
      <c r="AG144" s="549"/>
      <c r="AH144" s="549"/>
      <c r="AI144" s="549"/>
      <c r="AJ144" s="549"/>
      <c r="AK144" s="549"/>
      <c r="AL144" s="549"/>
      <c r="AM144" s="549"/>
      <c r="AN144" s="549"/>
      <c r="AO144" s="549"/>
      <c r="AP144" s="549"/>
      <c r="AQ144" s="549"/>
      <c r="AR144" s="549"/>
      <c r="AS144" s="838"/>
      <c r="AT144" s="598"/>
      <c r="AU144" s="598"/>
      <c r="AV144" s="839"/>
      <c r="AW144" s="549"/>
      <c r="AX144" s="838"/>
      <c r="AY144" s="598"/>
      <c r="AZ144" s="598"/>
      <c r="BA144" s="839"/>
      <c r="BB144" s="549"/>
      <c r="BC144" s="838"/>
      <c r="BD144" s="598"/>
      <c r="BE144" s="598"/>
      <c r="BF144" s="910"/>
      <c r="BG144" s="499"/>
      <c r="BH144" s="838"/>
      <c r="BI144" s="598"/>
      <c r="BJ144" s="598"/>
      <c r="BK144" s="910"/>
      <c r="BL144" s="499"/>
      <c r="BM144" s="838"/>
      <c r="BN144" s="598"/>
      <c r="BO144" s="598"/>
      <c r="BP144" s="839"/>
      <c r="BQ144" s="549"/>
      <c r="BR144" s="838"/>
      <c r="BS144" s="598"/>
      <c r="BT144" s="598"/>
      <c r="BU144" s="839"/>
      <c r="BV144" s="549"/>
      <c r="BW144" s="838"/>
      <c r="BX144" s="598"/>
      <c r="BY144" s="598"/>
      <c r="BZ144" s="839"/>
      <c r="CA144" s="549"/>
      <c r="CB144" s="838"/>
      <c r="CC144" s="598"/>
      <c r="CD144" s="598"/>
      <c r="CE144" s="839"/>
      <c r="CF144" s="549"/>
      <c r="CG144" s="838">
        <f t="shared" ref="CG144:CK144" si="226">+CG142</f>
        <v>622.66666666666663</v>
      </c>
      <c r="CH144" s="598">
        <f t="shared" si="226"/>
        <v>623.59420289855063</v>
      </c>
      <c r="CI144" s="598">
        <f t="shared" si="226"/>
        <v>621.41847826086962</v>
      </c>
      <c r="CJ144" s="839">
        <f t="shared" si="226"/>
        <v>618.09489302967552</v>
      </c>
      <c r="CK144" s="549">
        <f t="shared" si="226"/>
        <v>621.4435602139406</v>
      </c>
      <c r="CL144" s="838">
        <f>+CL142</f>
        <v>741.07743412384718</v>
      </c>
      <c r="CM144" s="598">
        <f t="shared" ref="CM144:CZ144" si="227">+CM142</f>
        <v>885</v>
      </c>
      <c r="CN144" s="598">
        <f t="shared" si="227"/>
        <v>830</v>
      </c>
      <c r="CO144" s="839">
        <f t="shared" si="227"/>
        <v>785</v>
      </c>
      <c r="CP144" s="549">
        <f t="shared" si="227"/>
        <v>810.26935853096177</v>
      </c>
      <c r="CQ144" s="838">
        <f t="shared" si="227"/>
        <v>800</v>
      </c>
      <c r="CR144" s="598">
        <f t="shared" si="227"/>
        <v>770</v>
      </c>
      <c r="CS144" s="598">
        <f t="shared" si="227"/>
        <v>760</v>
      </c>
      <c r="CT144" s="839">
        <f t="shared" si="227"/>
        <v>715</v>
      </c>
      <c r="CU144" s="549">
        <f t="shared" si="227"/>
        <v>761.25</v>
      </c>
      <c r="CV144" s="838">
        <f t="shared" si="227"/>
        <v>660</v>
      </c>
      <c r="CW144" s="598">
        <f t="shared" si="227"/>
        <v>675</v>
      </c>
      <c r="CX144" s="598">
        <f t="shared" si="227"/>
        <v>645</v>
      </c>
      <c r="CY144" s="839">
        <f t="shared" si="227"/>
        <v>645</v>
      </c>
      <c r="CZ144" s="549">
        <f t="shared" si="227"/>
        <v>656.25</v>
      </c>
    </row>
    <row r="145" spans="1:104" ht="13.5" customHeight="1">
      <c r="A145" s="820"/>
      <c r="B145" s="453" t="s">
        <v>642</v>
      </c>
      <c r="C145" s="66"/>
      <c r="D145" s="66"/>
      <c r="E145" s="66"/>
      <c r="F145" s="66"/>
      <c r="G145" s="66"/>
      <c r="H145" s="66"/>
      <c r="I145" s="66"/>
      <c r="J145" s="66"/>
      <c r="K145" s="66"/>
      <c r="L145" s="66"/>
      <c r="M145" s="66"/>
      <c r="N145" s="66"/>
      <c r="O145" s="66"/>
      <c r="P145" s="66"/>
      <c r="Q145" s="66"/>
      <c r="R145" s="66"/>
      <c r="S145" s="66"/>
      <c r="T145" s="102"/>
      <c r="U145" s="102"/>
      <c r="V145" s="102"/>
      <c r="W145" s="102"/>
      <c r="X145" s="102"/>
      <c r="Y145" s="102"/>
      <c r="Z145" s="102"/>
      <c r="AA145" s="102"/>
      <c r="AB145" s="102"/>
      <c r="AC145" s="102"/>
      <c r="AD145" s="549"/>
      <c r="AE145" s="549"/>
      <c r="AF145" s="549"/>
      <c r="AG145" s="549"/>
      <c r="AH145" s="549"/>
      <c r="AI145" s="549"/>
      <c r="AJ145" s="549"/>
      <c r="AK145" s="549"/>
      <c r="AL145" s="549"/>
      <c r="AM145" s="549"/>
      <c r="AN145" s="549"/>
      <c r="AO145" s="549"/>
      <c r="AP145" s="549"/>
      <c r="AQ145" s="549"/>
      <c r="AR145" s="549"/>
      <c r="AS145" s="838"/>
      <c r="AT145" s="598"/>
      <c r="AU145" s="598"/>
      <c r="AV145" s="839"/>
      <c r="AW145" s="549"/>
      <c r="AX145" s="838"/>
      <c r="AY145" s="598"/>
      <c r="AZ145" s="598"/>
      <c r="BA145" s="839"/>
      <c r="BB145" s="549"/>
      <c r="BC145" s="838"/>
      <c r="BD145" s="598"/>
      <c r="BE145" s="598"/>
      <c r="BF145" s="910"/>
      <c r="BG145" s="499"/>
      <c r="BH145" s="838"/>
      <c r="BI145" s="598"/>
      <c r="BJ145" s="598"/>
      <c r="BK145" s="910"/>
      <c r="BL145" s="499"/>
      <c r="BM145" s="838"/>
      <c r="BN145" s="598"/>
      <c r="BO145" s="598"/>
      <c r="BP145" s="839"/>
      <c r="BQ145" s="549"/>
      <c r="BR145" s="838"/>
      <c r="BS145" s="598"/>
      <c r="BT145" s="598"/>
      <c r="BU145" s="839"/>
      <c r="BV145" s="549"/>
      <c r="BW145" s="838"/>
      <c r="BX145" s="598"/>
      <c r="BY145" s="598"/>
      <c r="BZ145" s="839"/>
      <c r="CA145" s="549"/>
      <c r="CB145" s="838"/>
      <c r="CC145" s="598"/>
      <c r="CD145" s="598"/>
      <c r="CE145" s="839"/>
      <c r="CF145" s="549"/>
      <c r="CG145" s="838">
        <f t="shared" ref="CG145:CK145" si="228">+CG7</f>
        <v>908.79333333333341</v>
      </c>
      <c r="CH145" s="598">
        <f t="shared" si="228"/>
        <v>925.30333333333328</v>
      </c>
      <c r="CI145" s="598">
        <f t="shared" si="228"/>
        <v>886.70666666666659</v>
      </c>
      <c r="CJ145" s="839">
        <f t="shared" si="228"/>
        <v>892.08333333333337</v>
      </c>
      <c r="CK145" s="549">
        <f t="shared" si="228"/>
        <v>903.22166666666669</v>
      </c>
      <c r="CL145" s="838">
        <f>+CL7</f>
        <v>920</v>
      </c>
      <c r="CM145" s="598">
        <f t="shared" ref="CM145:CZ145" si="229">+CM7</f>
        <v>1080</v>
      </c>
      <c r="CN145" s="598">
        <f t="shared" si="229"/>
        <v>1075</v>
      </c>
      <c r="CO145" s="839">
        <f t="shared" si="229"/>
        <v>1060</v>
      </c>
      <c r="CP145" s="549">
        <f t="shared" si="229"/>
        <v>1033.75</v>
      </c>
      <c r="CQ145" s="838">
        <f t="shared" si="229"/>
        <v>1070</v>
      </c>
      <c r="CR145" s="598">
        <f t="shared" si="229"/>
        <v>1075</v>
      </c>
      <c r="CS145" s="598">
        <f t="shared" si="229"/>
        <v>1045</v>
      </c>
      <c r="CT145" s="839">
        <f t="shared" si="229"/>
        <v>1000</v>
      </c>
      <c r="CU145" s="549">
        <f t="shared" si="229"/>
        <v>1047.5</v>
      </c>
      <c r="CV145" s="838">
        <f t="shared" si="229"/>
        <v>940</v>
      </c>
      <c r="CW145" s="598">
        <f t="shared" si="229"/>
        <v>935</v>
      </c>
      <c r="CX145" s="598">
        <f t="shared" si="229"/>
        <v>925</v>
      </c>
      <c r="CY145" s="839">
        <f t="shared" si="229"/>
        <v>910</v>
      </c>
      <c r="CZ145" s="549">
        <f t="shared" si="229"/>
        <v>927.5</v>
      </c>
    </row>
    <row r="146" spans="1:104" ht="13.5" customHeight="1">
      <c r="A146" s="819"/>
      <c r="B146" s="66"/>
      <c r="C146" s="79" t="s">
        <v>586</v>
      </c>
      <c r="D146" s="176"/>
      <c r="E146" s="176"/>
      <c r="F146" s="176"/>
      <c r="G146" s="176"/>
      <c r="H146" s="176"/>
      <c r="I146" s="176"/>
      <c r="J146" s="176"/>
      <c r="K146" s="176"/>
      <c r="L146" s="176"/>
      <c r="M146" s="176"/>
      <c r="N146" s="176"/>
      <c r="O146" s="176"/>
      <c r="P146" s="176"/>
      <c r="Q146" s="176"/>
      <c r="R146" s="176"/>
      <c r="S146" s="176"/>
      <c r="T146" s="176">
        <f t="shared" ref="T146:AY146" si="230">(T140*T119+T141*T120+T142*T121+T143*T122)/(T126-T125)</f>
        <v>453.54545454545456</v>
      </c>
      <c r="U146" s="176">
        <f t="shared" si="230"/>
        <v>571.74529346622376</v>
      </c>
      <c r="V146" s="176">
        <f t="shared" si="230"/>
        <v>636.47071352502667</v>
      </c>
      <c r="W146" s="176">
        <f t="shared" si="230"/>
        <v>622.35483870967744</v>
      </c>
      <c r="X146" s="176">
        <f t="shared" si="230"/>
        <v>571.31633535004323</v>
      </c>
      <c r="Y146" s="176">
        <f t="shared" si="230"/>
        <v>611.16666666666663</v>
      </c>
      <c r="Z146" s="176">
        <f t="shared" si="230"/>
        <v>553.96636085626915</v>
      </c>
      <c r="AA146" s="176">
        <f t="shared" si="230"/>
        <v>496.45588235294116</v>
      </c>
      <c r="AB146" s="176">
        <f t="shared" si="230"/>
        <v>581.1356466876972</v>
      </c>
      <c r="AC146" s="176">
        <f t="shared" si="230"/>
        <v>560.2577716823406</v>
      </c>
      <c r="AD146" s="176">
        <f t="shared" si="230"/>
        <v>580.40625</v>
      </c>
      <c r="AE146" s="176">
        <f t="shared" si="230"/>
        <v>612.94495412844026</v>
      </c>
      <c r="AF146" s="176">
        <f t="shared" si="230"/>
        <v>643.86203423967766</v>
      </c>
      <c r="AG146" s="176">
        <f t="shared" si="230"/>
        <v>609.43217665615146</v>
      </c>
      <c r="AH146" s="176">
        <f t="shared" si="230"/>
        <v>611.81724581724575</v>
      </c>
      <c r="AI146" s="176">
        <f t="shared" si="230"/>
        <v>580.07936507936506</v>
      </c>
      <c r="AJ146" s="176">
        <f t="shared" si="230"/>
        <v>637.41381818181821</v>
      </c>
      <c r="AK146" s="176">
        <f t="shared" si="230"/>
        <v>608.5617021276596</v>
      </c>
      <c r="AL146" s="176">
        <f t="shared" si="230"/>
        <v>606.47745266781419</v>
      </c>
      <c r="AM146" s="176">
        <f t="shared" si="230"/>
        <v>606.7720516569201</v>
      </c>
      <c r="AN146" s="176">
        <f t="shared" si="230"/>
        <v>717.64002368265244</v>
      </c>
      <c r="AO146" s="176">
        <f t="shared" si="230"/>
        <v>933.28277268093768</v>
      </c>
      <c r="AP146" s="176">
        <f t="shared" si="230"/>
        <v>1048.9067733333334</v>
      </c>
      <c r="AQ146" s="176">
        <f t="shared" si="230"/>
        <v>784.88192771084334</v>
      </c>
      <c r="AR146" s="176">
        <f t="shared" si="230"/>
        <v>869.50495253817587</v>
      </c>
      <c r="AS146" s="865">
        <f t="shared" si="230"/>
        <v>617.51205673758864</v>
      </c>
      <c r="AT146" s="174">
        <f t="shared" si="230"/>
        <v>495.25870646766163</v>
      </c>
      <c r="AU146" s="174">
        <f t="shared" si="230"/>
        <v>548.74551282051289</v>
      </c>
      <c r="AV146" s="866">
        <f t="shared" si="230"/>
        <v>544.62436472346792</v>
      </c>
      <c r="AW146" s="176">
        <f t="shared" si="230"/>
        <v>550.90796555435952</v>
      </c>
      <c r="AX146" s="865">
        <f t="shared" si="230"/>
        <v>580.09490740740739</v>
      </c>
      <c r="AY146" s="174">
        <f t="shared" si="230"/>
        <v>661.45248756218905</v>
      </c>
      <c r="AZ146" s="174">
        <f t="shared" ref="AZ146:CE146" si="231">(AZ140*AZ119+AZ141*AZ120+AZ142*AZ121+AZ143*AZ122)/(AZ126-AZ125)</f>
        <v>610.61118963486456</v>
      </c>
      <c r="BA146" s="866">
        <f t="shared" si="231"/>
        <v>628.8655804480652</v>
      </c>
      <c r="BB146" s="176">
        <f t="shared" si="231"/>
        <v>619.77469135802471</v>
      </c>
      <c r="BC146" s="865">
        <f t="shared" si="231"/>
        <v>791.21592442645067</v>
      </c>
      <c r="BD146" s="174">
        <f t="shared" si="231"/>
        <v>794.43761301989139</v>
      </c>
      <c r="BE146" s="174">
        <f t="shared" si="231"/>
        <v>740.29185747854444</v>
      </c>
      <c r="BF146" s="913">
        <f t="shared" si="231"/>
        <v>741.9145754119138</v>
      </c>
      <c r="BG146" s="366">
        <f t="shared" si="231"/>
        <v>765.77211058416492</v>
      </c>
      <c r="BH146" s="865">
        <f t="shared" si="231"/>
        <v>757.61960025789824</v>
      </c>
      <c r="BI146" s="174">
        <f t="shared" si="231"/>
        <v>722.75052341597802</v>
      </c>
      <c r="BJ146" s="174">
        <f t="shared" si="231"/>
        <v>679.64512654819612</v>
      </c>
      <c r="BK146" s="913">
        <f t="shared" si="231"/>
        <v>660.0873463073101</v>
      </c>
      <c r="BL146" s="366">
        <f t="shared" si="231"/>
        <v>704.80931332084742</v>
      </c>
      <c r="BM146" s="865">
        <f t="shared" si="231"/>
        <v>667.32893081174848</v>
      </c>
      <c r="BN146" s="174">
        <f t="shared" si="231"/>
        <v>654.25872066228499</v>
      </c>
      <c r="BO146" s="174">
        <f t="shared" si="231"/>
        <v>661.531262499744</v>
      </c>
      <c r="BP146" s="866">
        <f t="shared" si="231"/>
        <v>672.65857970178354</v>
      </c>
      <c r="BQ146" s="176">
        <f t="shared" si="231"/>
        <v>664.18515215318519</v>
      </c>
      <c r="BR146" s="865">
        <f t="shared" si="231"/>
        <v>691.17925659472428</v>
      </c>
      <c r="BS146" s="174">
        <f t="shared" si="231"/>
        <v>697.24202453987732</v>
      </c>
      <c r="BT146" s="174">
        <f t="shared" si="231"/>
        <v>688.84344569288385</v>
      </c>
      <c r="BU146" s="866">
        <f t="shared" si="231"/>
        <v>681.18339021615475</v>
      </c>
      <c r="BV146" s="176">
        <f t="shared" si="231"/>
        <v>689.70374434690086</v>
      </c>
      <c r="BW146" s="865">
        <f t="shared" si="231"/>
        <v>610.49733570159856</v>
      </c>
      <c r="BX146" s="174">
        <f t="shared" si="231"/>
        <v>560.81640211640217</v>
      </c>
      <c r="BY146" s="174">
        <f t="shared" si="231"/>
        <v>552.36069868995639</v>
      </c>
      <c r="BZ146" s="866">
        <f t="shared" si="231"/>
        <v>492.45883021010798</v>
      </c>
      <c r="CA146" s="176">
        <f t="shared" si="231"/>
        <v>553.853499527091</v>
      </c>
      <c r="CB146" s="865">
        <f t="shared" si="231"/>
        <v>471.13976190476188</v>
      </c>
      <c r="CC146" s="174">
        <f t="shared" si="231"/>
        <v>563.56769313884377</v>
      </c>
      <c r="CD146" s="174">
        <f t="shared" si="231"/>
        <v>575.24451158106751</v>
      </c>
      <c r="CE146" s="866">
        <f t="shared" si="231"/>
        <v>474.47660208643816</v>
      </c>
      <c r="CF146" s="176">
        <f t="shared" ref="CF146" si="232">(CF140*CF119+CF141*CF120+CF142*CF121+CF143*CF122)/(CF126-CF125)</f>
        <v>520.83253652058431</v>
      </c>
      <c r="CG146" s="865">
        <f>(CG140*CG119+CG141*CG120+CG142*CG121+CG143*CG122)/(CG126-CG125)</f>
        <v>378.65192447349312</v>
      </c>
      <c r="CH146" s="174">
        <f t="shared" ref="CH146:CI146" si="233">(CH140*CH119+CH141*CH120+CH142*CH121+CH143*CH122)/(CH126-CH125)</f>
        <v>372.14803375305286</v>
      </c>
      <c r="CI146" s="174">
        <f t="shared" si="233"/>
        <v>380.71034919231698</v>
      </c>
      <c r="CJ146" s="866">
        <f t="shared" ref="CJ146:CK146" si="234">(CJ140*CJ119+CJ141*CJ120+CJ142*CJ121+CJ143*CJ122+CJ123*CJ144+CJ124*CJ145)/(CJ126-CJ125)</f>
        <v>662.57110441394173</v>
      </c>
      <c r="CK146" s="176">
        <f t="shared" si="234"/>
        <v>671.88694985622419</v>
      </c>
      <c r="CL146" s="865">
        <f>(CL140*CL119+CL141*CL120+CL142*CL121+CL143*CL122+CL123*CL144+CL124*CL145)/(CL126-CL125)</f>
        <v>755.50883509729488</v>
      </c>
      <c r="CM146" s="174">
        <f t="shared" ref="CM146:CZ146" si="235">(CM140*CM119+CM141*CM120+CM142*CM121+CM143*CM122+CM123*CM144+CM124*CM145)/(CM126-CM125)</f>
        <v>884.13462178956502</v>
      </c>
      <c r="CN146" s="174">
        <f t="shared" si="235"/>
        <v>859.37647171687229</v>
      </c>
      <c r="CO146" s="866">
        <f t="shared" si="235"/>
        <v>833.19709371506849</v>
      </c>
      <c r="CP146" s="176">
        <f t="shared" si="235"/>
        <v>833.21386639653053</v>
      </c>
      <c r="CQ146" s="865">
        <f t="shared" si="235"/>
        <v>853.02930056710761</v>
      </c>
      <c r="CR146" s="174">
        <f t="shared" si="235"/>
        <v>839.04717043973085</v>
      </c>
      <c r="CS146" s="174">
        <f t="shared" si="235"/>
        <v>815.11054228951173</v>
      </c>
      <c r="CT146" s="866">
        <f t="shared" si="235"/>
        <v>769.47571485234187</v>
      </c>
      <c r="CU146" s="176">
        <f t="shared" si="235"/>
        <v>819.11959798937414</v>
      </c>
      <c r="CV146" s="865">
        <f t="shared" si="235"/>
        <v>719.44706994328908</v>
      </c>
      <c r="CW146" s="174">
        <f t="shared" si="235"/>
        <v>716.97560116855561</v>
      </c>
      <c r="CX146" s="174">
        <f t="shared" si="235"/>
        <v>698.60503043728522</v>
      </c>
      <c r="CY146" s="866">
        <f t="shared" si="235"/>
        <v>688.86831572494896</v>
      </c>
      <c r="CZ146" s="176">
        <f t="shared" si="235"/>
        <v>705.81775037172292</v>
      </c>
    </row>
    <row r="147" spans="1:104" ht="6.2" customHeight="1">
      <c r="A147" s="819"/>
      <c r="B147" s="66"/>
      <c r="C147" s="79"/>
      <c r="D147" s="176"/>
      <c r="E147" s="176"/>
      <c r="F147" s="176"/>
      <c r="G147" s="176"/>
      <c r="H147" s="176"/>
      <c r="I147" s="176"/>
      <c r="J147" s="176"/>
      <c r="K147" s="176"/>
      <c r="L147" s="176"/>
      <c r="M147" s="176"/>
      <c r="N147" s="176"/>
      <c r="O147" s="176"/>
      <c r="P147" s="176"/>
      <c r="Q147" s="176"/>
      <c r="R147" s="176"/>
      <c r="S147" s="176"/>
      <c r="T147" s="176"/>
      <c r="U147" s="176"/>
      <c r="V147" s="176"/>
      <c r="W147" s="176"/>
      <c r="X147" s="176"/>
      <c r="Y147" s="176"/>
      <c r="Z147" s="176"/>
      <c r="AA147" s="176"/>
      <c r="AB147" s="176"/>
      <c r="AC147" s="176"/>
      <c r="AD147" s="176"/>
      <c r="AE147" s="176"/>
      <c r="AF147" s="176"/>
      <c r="AG147" s="176"/>
      <c r="AH147" s="176"/>
      <c r="AI147" s="176"/>
      <c r="AJ147" s="176"/>
      <c r="AK147" s="176"/>
      <c r="AL147" s="176"/>
      <c r="AM147" s="176"/>
      <c r="AN147" s="176"/>
      <c r="AO147" s="176"/>
      <c r="AP147" s="176"/>
      <c r="AQ147" s="176"/>
      <c r="AR147" s="176"/>
      <c r="AS147" s="865"/>
      <c r="AT147" s="174"/>
      <c r="AU147" s="174"/>
      <c r="AV147" s="866"/>
      <c r="AW147" s="176"/>
      <c r="AX147" s="865"/>
      <c r="AY147" s="174"/>
      <c r="AZ147" s="174"/>
      <c r="BA147" s="866"/>
      <c r="BB147" s="176"/>
      <c r="BC147" s="865"/>
      <c r="BD147" s="174"/>
      <c r="BE147" s="174"/>
      <c r="BF147" s="866"/>
      <c r="BG147" s="366"/>
      <c r="BH147" s="865"/>
      <c r="BI147" s="174"/>
      <c r="BJ147" s="174"/>
      <c r="BK147" s="866"/>
      <c r="BL147" s="366"/>
      <c r="BM147" s="865"/>
      <c r="BN147" s="174"/>
      <c r="BO147" s="174"/>
      <c r="BP147" s="866"/>
      <c r="BQ147" s="176"/>
      <c r="BR147" s="865"/>
      <c r="BS147" s="174"/>
      <c r="BT147" s="174"/>
      <c r="BU147" s="866"/>
      <c r="BV147" s="176"/>
      <c r="BW147" s="865"/>
      <c r="BX147" s="174"/>
      <c r="BY147" s="174"/>
      <c r="BZ147" s="866"/>
      <c r="CA147" s="176"/>
      <c r="CB147" s="865"/>
      <c r="CC147" s="174"/>
      <c r="CD147" s="174"/>
      <c r="CE147" s="866"/>
      <c r="CF147" s="176"/>
      <c r="CG147" s="865"/>
      <c r="CH147" s="174"/>
      <c r="CI147" s="174"/>
      <c r="CJ147" s="866"/>
      <c r="CK147" s="176"/>
      <c r="CL147" s="865"/>
      <c r="CM147" s="174"/>
      <c r="CN147" s="174"/>
      <c r="CO147" s="866"/>
      <c r="CP147" s="176"/>
      <c r="CQ147" s="865"/>
      <c r="CR147" s="174"/>
      <c r="CS147" s="174"/>
      <c r="CT147" s="866"/>
      <c r="CU147" s="176"/>
      <c r="CV147" s="865"/>
      <c r="CW147" s="174"/>
      <c r="CX147" s="174"/>
      <c r="CY147" s="866"/>
      <c r="CZ147" s="176"/>
    </row>
    <row r="148" spans="1:104" ht="13.5" customHeight="1">
      <c r="A148" s="824"/>
      <c r="B148" s="79" t="s">
        <v>670</v>
      </c>
      <c r="C148" s="205"/>
      <c r="D148" s="206"/>
      <c r="E148" s="206"/>
      <c r="F148" s="206"/>
      <c r="G148" s="206"/>
      <c r="H148" s="206">
        <v>171.78725499999999</v>
      </c>
      <c r="I148" s="206">
        <v>98.405118000000002</v>
      </c>
      <c r="J148" s="207">
        <v>-3.12629</v>
      </c>
      <c r="K148" s="207">
        <v>1.8481449999999999</v>
      </c>
      <c r="L148" s="207">
        <v>-2.7087059999999998</v>
      </c>
      <c r="M148" s="207">
        <v>3.5793619999999997</v>
      </c>
      <c r="N148" s="206">
        <v>-0.40748899999999999</v>
      </c>
      <c r="O148" s="206">
        <v>-9.1476539999999993</v>
      </c>
      <c r="P148" s="206">
        <v>-3.0990340000000001</v>
      </c>
      <c r="Q148" s="206">
        <v>-3.472486</v>
      </c>
      <c r="R148" s="206">
        <f>S148-O148-P148-Q148</f>
        <v>1.3911739999999999</v>
      </c>
      <c r="S148" s="206">
        <v>-14.327999999999999</v>
      </c>
      <c r="T148" s="206">
        <v>5.8360000000000003</v>
      </c>
      <c r="U148" s="206">
        <v>31.532</v>
      </c>
      <c r="V148" s="206">
        <v>56.182000000000002</v>
      </c>
      <c r="W148" s="206">
        <f>X148-T148-U148-V148</f>
        <v>56.06</v>
      </c>
      <c r="X148" s="206">
        <v>149.61000000000001</v>
      </c>
      <c r="Y148" s="206">
        <v>46.615000000000002</v>
      </c>
      <c r="Z148" s="206">
        <v>45.756</v>
      </c>
      <c r="AA148" s="206">
        <v>44.213000000000001</v>
      </c>
      <c r="AB148" s="206">
        <f>AC148-Y148-Z148-AA148</f>
        <v>44.17199999999999</v>
      </c>
      <c r="AC148" s="206">
        <v>180.756</v>
      </c>
      <c r="AD148" s="501">
        <v>41.768000000000001</v>
      </c>
      <c r="AE148" s="501">
        <v>47.701999999999998</v>
      </c>
      <c r="AF148" s="501">
        <v>53.003</v>
      </c>
      <c r="AG148" s="206">
        <f>AH148-SUM(AD148:AF148)</f>
        <v>49.040999999999997</v>
      </c>
      <c r="AH148" s="501">
        <v>191.51400000000001</v>
      </c>
      <c r="AI148" s="501">
        <v>51.094999999999999</v>
      </c>
      <c r="AJ148" s="501">
        <f>69.632</f>
        <v>69.632000000000005</v>
      </c>
      <c r="AK148" s="501">
        <v>86.872</v>
      </c>
      <c r="AL148" s="206">
        <f>AM148-SUM(AI148:AK148)</f>
        <v>94.562999999999988</v>
      </c>
      <c r="AM148" s="501">
        <v>302.16199999999998</v>
      </c>
      <c r="AN148" s="501">
        <v>50.186</v>
      </c>
      <c r="AO148" s="501">
        <v>100.26300000000001</v>
      </c>
      <c r="AP148" s="501">
        <v>100.03400000000001</v>
      </c>
      <c r="AQ148" s="206">
        <f>AR148-SUM(AN148:AP148)</f>
        <v>45.40100000000001</v>
      </c>
      <c r="AR148" s="501">
        <v>295.88400000000001</v>
      </c>
      <c r="AS148" s="901">
        <v>-33.576000000000001</v>
      </c>
      <c r="AT148" s="902">
        <v>-17.649000000000001</v>
      </c>
      <c r="AU148" s="902">
        <v>-19.722999999999999</v>
      </c>
      <c r="AV148" s="903">
        <f>AW148-SUM(AS148:AU148)</f>
        <v>-41.85199999999999</v>
      </c>
      <c r="AW148" s="501">
        <v>-112.8</v>
      </c>
      <c r="AX148" s="901">
        <v>-67.695999999999998</v>
      </c>
      <c r="AY148" s="902">
        <v>-35.295000000000002</v>
      </c>
      <c r="AZ148" s="902">
        <v>-40.826000000000001</v>
      </c>
      <c r="BA148" s="903">
        <f>BB148-SUM(AX148:AZ148)</f>
        <v>-29.615999999999985</v>
      </c>
      <c r="BB148" s="501">
        <v>-173.43299999999999</v>
      </c>
      <c r="BC148" s="901">
        <v>-35.895000000000003</v>
      </c>
      <c r="BD148" s="902">
        <v>-10.01</v>
      </c>
      <c r="BE148" s="902">
        <v>-10.526999999999999</v>
      </c>
      <c r="BF148" s="903">
        <f>BG148-SUM(BC148:BE148)</f>
        <v>-3.8499999999999943</v>
      </c>
      <c r="BG148" s="502">
        <v>-60.281999999999996</v>
      </c>
      <c r="BH148" s="901">
        <v>-33.043999999999997</v>
      </c>
      <c r="BI148" s="902">
        <v>9.202</v>
      </c>
      <c r="BJ148" s="989">
        <f>-10.252+28.2+17.6</f>
        <v>35.548000000000002</v>
      </c>
      <c r="BK148" s="903">
        <f>BL148-SUM(BH148:BJ148)</f>
        <v>16.953999999999997</v>
      </c>
      <c r="BL148" s="502">
        <f>-17.14+28.2+17.6</f>
        <v>28.66</v>
      </c>
      <c r="BM148" s="995">
        <v>-11.923999999999999</v>
      </c>
      <c r="BN148" s="989">
        <v>32.073</v>
      </c>
      <c r="BO148" s="989">
        <v>24.908999999999999</v>
      </c>
      <c r="BP148" s="903">
        <f>BQ148-SUM(BM148:BO148)</f>
        <v>37.071000000000005</v>
      </c>
      <c r="BQ148" s="502">
        <v>82.129000000000005</v>
      </c>
      <c r="BR148" s="995">
        <v>1.72</v>
      </c>
      <c r="BS148" s="989">
        <v>42.612000000000002</v>
      </c>
      <c r="BT148" s="989">
        <v>63.89</v>
      </c>
      <c r="BU148" s="1002">
        <f>BV148-SUM(BR148:BT148)</f>
        <v>58.100999999999999</v>
      </c>
      <c r="BV148" s="502">
        <v>166.32300000000001</v>
      </c>
      <c r="BW148" s="901">
        <v>32.457999999999998</v>
      </c>
      <c r="BX148" s="902">
        <v>70.635999999999996</v>
      </c>
      <c r="BY148" s="989">
        <v>96.167000000000002</v>
      </c>
      <c r="BZ148" s="1002">
        <f>CA148-SUM(BW148:BY148)</f>
        <v>76.787000000000006</v>
      </c>
      <c r="CA148" s="502">
        <v>276.048</v>
      </c>
      <c r="CB148" s="995">
        <v>42.366999999999997</v>
      </c>
      <c r="CC148" s="902">
        <v>82.945999999999998</v>
      </c>
      <c r="CD148" s="989">
        <v>72.578000000000003</v>
      </c>
      <c r="CE148" s="1002">
        <f>CF148-SUM(CB148:CD148)</f>
        <v>52.079000000000008</v>
      </c>
      <c r="CF148" s="502">
        <v>249.97</v>
      </c>
      <c r="CG148" s="995">
        <v>66.918999999999997</v>
      </c>
      <c r="CH148" s="1318">
        <f>45.809+35</f>
        <v>80.808999999999997</v>
      </c>
      <c r="CI148" s="1318">
        <f>59.225+35</f>
        <v>94.224999999999994</v>
      </c>
      <c r="CJ148" s="1319">
        <f>74.849+35</f>
        <v>109.849</v>
      </c>
      <c r="CK148" s="206">
        <f>SUM(CG148:CJ148)</f>
        <v>351.80200000000002</v>
      </c>
      <c r="CL148" s="995">
        <v>85.813999999999993</v>
      </c>
      <c r="CM148" s="161">
        <f t="shared" ref="CM148:CO148" si="236">+CM150-CM149</f>
        <v>99.013477107956462</v>
      </c>
      <c r="CN148" s="161">
        <f t="shared" si="236"/>
        <v>93.709280041473633</v>
      </c>
      <c r="CO148" s="903">
        <f t="shared" si="236"/>
        <v>93.599990161355265</v>
      </c>
      <c r="CP148" s="206">
        <f>SUM(CL148:CO148)</f>
        <v>372.13674731078532</v>
      </c>
      <c r="CQ148" s="1047">
        <f t="shared" ref="CQ148:CT148" si="237">+CQ150-CQ149</f>
        <v>86.744473157593688</v>
      </c>
      <c r="CR148" s="161">
        <f t="shared" si="237"/>
        <v>75.557683465215831</v>
      </c>
      <c r="CS148" s="161">
        <f t="shared" si="237"/>
        <v>80.018936524658059</v>
      </c>
      <c r="CT148" s="903">
        <f t="shared" si="237"/>
        <v>84.61822655041415</v>
      </c>
      <c r="CU148" s="206">
        <f>SUM(CQ148:CT148)</f>
        <v>326.93931969788173</v>
      </c>
      <c r="CV148" s="1047">
        <f t="shared" ref="CV148:CY148" si="238">+CV150-CV149</f>
        <v>92.788094897969955</v>
      </c>
      <c r="CW148" s="161">
        <f t="shared" si="238"/>
        <v>105.54305424731689</v>
      </c>
      <c r="CX148" s="161">
        <f t="shared" si="238"/>
        <v>126.9981856333051</v>
      </c>
      <c r="CY148" s="903">
        <f t="shared" si="238"/>
        <v>139.63543278750703</v>
      </c>
      <c r="CZ148" s="206">
        <f>SUM(CV148:CY148)</f>
        <v>464.964767566099</v>
      </c>
    </row>
    <row r="149" spans="1:104" ht="13.5" customHeight="1">
      <c r="A149" s="819"/>
      <c r="B149" s="79"/>
      <c r="C149" s="66" t="s">
        <v>579</v>
      </c>
      <c r="D149" s="209"/>
      <c r="E149" s="209"/>
      <c r="F149" s="209"/>
      <c r="G149" s="209"/>
      <c r="H149" s="209">
        <v>25.595011</v>
      </c>
      <c r="I149" s="209">
        <v>53.482337999999999</v>
      </c>
      <c r="J149" s="209">
        <f>K149</f>
        <v>1.5173795000000001</v>
      </c>
      <c r="K149" s="209">
        <f>L149</f>
        <v>1.5173795000000001</v>
      </c>
      <c r="L149" s="209">
        <f>M149</f>
        <v>1.5173795000000001</v>
      </c>
      <c r="M149" s="209">
        <f>N149/4</f>
        <v>1.5173795000000001</v>
      </c>
      <c r="N149" s="209">
        <v>6.0695180000000004</v>
      </c>
      <c r="O149" s="209">
        <f>P149</f>
        <v>4.4939999999999998</v>
      </c>
      <c r="P149" s="209">
        <f>Q149</f>
        <v>4.4939999999999998</v>
      </c>
      <c r="Q149" s="209">
        <f>R149</f>
        <v>4.4939999999999998</v>
      </c>
      <c r="R149" s="209">
        <f>S149/4</f>
        <v>4.4939999999999998</v>
      </c>
      <c r="S149" s="209">
        <v>17.975999999999999</v>
      </c>
      <c r="T149" s="209">
        <f>U149</f>
        <v>4.3205</v>
      </c>
      <c r="U149" s="209">
        <f>V149</f>
        <v>4.3205</v>
      </c>
      <c r="V149" s="209">
        <f>W149</f>
        <v>4.3205</v>
      </c>
      <c r="W149" s="209">
        <f>X149/4</f>
        <v>4.3205</v>
      </c>
      <c r="X149" s="209">
        <v>17.282</v>
      </c>
      <c r="Y149" s="209">
        <f>Z149</f>
        <v>4.7917500000000004</v>
      </c>
      <c r="Z149" s="209">
        <f>AA149</f>
        <v>4.7917500000000004</v>
      </c>
      <c r="AA149" s="209">
        <f>AB149</f>
        <v>4.7917500000000004</v>
      </c>
      <c r="AB149" s="209">
        <f>AC149/4</f>
        <v>4.7917500000000004</v>
      </c>
      <c r="AC149" s="209">
        <v>19.167000000000002</v>
      </c>
      <c r="AD149" s="550">
        <f>AE149</f>
        <v>4.8427499999999997</v>
      </c>
      <c r="AE149" s="550">
        <f>AF149</f>
        <v>4.8427499999999997</v>
      </c>
      <c r="AF149" s="550">
        <f>AH149/4</f>
        <v>4.8427499999999997</v>
      </c>
      <c r="AG149" s="550">
        <f>AH149-SUM(AD149:AF149)</f>
        <v>4.8427499999999988</v>
      </c>
      <c r="AH149" s="630">
        <f>18.438+0.933</f>
        <v>19.370999999999999</v>
      </c>
      <c r="AI149" s="550">
        <f>AJ149</f>
        <v>13.76825</v>
      </c>
      <c r="AJ149" s="550">
        <f>AK149</f>
        <v>13.76825</v>
      </c>
      <c r="AK149" s="550">
        <f>AM149/4</f>
        <v>13.76825</v>
      </c>
      <c r="AL149" s="550">
        <f>AM149-SUM(AI149:AK149)</f>
        <v>13.768250000000002</v>
      </c>
      <c r="AM149" s="630">
        <f>31.089+23.984</f>
        <v>55.073</v>
      </c>
      <c r="AN149" s="550">
        <f>AR149/4</f>
        <v>23.845749999999999</v>
      </c>
      <c r="AO149" s="550">
        <f t="shared" ref="AO149:AQ149" si="239">+AN149</f>
        <v>23.845749999999999</v>
      </c>
      <c r="AP149" s="577">
        <f t="shared" si="239"/>
        <v>23.845749999999999</v>
      </c>
      <c r="AQ149" s="550">
        <f t="shared" si="239"/>
        <v>23.845749999999999</v>
      </c>
      <c r="AR149" s="630">
        <f>51.403+43.98</f>
        <v>95.382999999999996</v>
      </c>
      <c r="AS149" s="889">
        <f>AW149/4</f>
        <v>24.673249999999999</v>
      </c>
      <c r="AT149" s="550">
        <f t="shared" ref="AT149:AV149" si="240">+AS149</f>
        <v>24.673249999999999</v>
      </c>
      <c r="AU149" s="577">
        <f t="shared" si="240"/>
        <v>24.673249999999999</v>
      </c>
      <c r="AV149" s="890">
        <f t="shared" si="240"/>
        <v>24.673249999999999</v>
      </c>
      <c r="AW149" s="630">
        <f>57.988+40.705</f>
        <v>98.692999999999998</v>
      </c>
      <c r="AX149" s="889">
        <f>BB149/4</f>
        <v>24.793500000000002</v>
      </c>
      <c r="AY149" s="550">
        <f t="shared" ref="AY149:BA149" si="241">+AX149</f>
        <v>24.793500000000002</v>
      </c>
      <c r="AZ149" s="577">
        <f t="shared" si="241"/>
        <v>24.793500000000002</v>
      </c>
      <c r="BA149" s="890">
        <f t="shared" si="241"/>
        <v>24.793500000000002</v>
      </c>
      <c r="BB149" s="630">
        <f>58.429+40.745</f>
        <v>99.174000000000007</v>
      </c>
      <c r="BC149" s="889">
        <f>BG149/4</f>
        <v>23.00375</v>
      </c>
      <c r="BD149" s="550">
        <f t="shared" ref="BD149:BF149" si="242">+BC149</f>
        <v>23.00375</v>
      </c>
      <c r="BE149" s="577">
        <f t="shared" si="242"/>
        <v>23.00375</v>
      </c>
      <c r="BF149" s="890">
        <f t="shared" si="242"/>
        <v>23.00375</v>
      </c>
      <c r="BG149" s="631">
        <f>53.272+38.743</f>
        <v>92.015000000000001</v>
      </c>
      <c r="BH149" s="889">
        <f>BL149/4</f>
        <v>20.774999999999999</v>
      </c>
      <c r="BI149" s="550">
        <f t="shared" ref="BI149:BK149" si="243">+BH149</f>
        <v>20.774999999999999</v>
      </c>
      <c r="BJ149" s="577">
        <f t="shared" si="243"/>
        <v>20.774999999999999</v>
      </c>
      <c r="BK149" s="890">
        <f t="shared" si="243"/>
        <v>20.774999999999999</v>
      </c>
      <c r="BL149" s="631">
        <f>47.948+35.152</f>
        <v>83.1</v>
      </c>
      <c r="BM149" s="889">
        <f>BQ149/4</f>
        <v>18.454750000000001</v>
      </c>
      <c r="BN149" s="550">
        <f t="shared" ref="BN149:BP149" si="244">+BM149</f>
        <v>18.454750000000001</v>
      </c>
      <c r="BO149" s="577">
        <f t="shared" si="244"/>
        <v>18.454750000000001</v>
      </c>
      <c r="BP149" s="890">
        <f t="shared" si="244"/>
        <v>18.454750000000001</v>
      </c>
      <c r="BQ149" s="631">
        <f>42.737+31.082</f>
        <v>73.819000000000003</v>
      </c>
      <c r="BR149" s="889">
        <f>BV149/4</f>
        <v>17.605249999999998</v>
      </c>
      <c r="BS149" s="550">
        <f t="shared" ref="BS149:BU149" si="245">+BR149</f>
        <v>17.605249999999998</v>
      </c>
      <c r="BT149" s="577">
        <f t="shared" si="245"/>
        <v>17.605249999999998</v>
      </c>
      <c r="BU149" s="890">
        <f t="shared" si="245"/>
        <v>17.605249999999998</v>
      </c>
      <c r="BV149" s="631">
        <f>42.777+27.644</f>
        <v>70.420999999999992</v>
      </c>
      <c r="BW149" s="889">
        <f>CA149/4</f>
        <v>15.861000000000001</v>
      </c>
      <c r="BX149" s="550">
        <f t="shared" ref="BX149:BZ149" si="246">+BW149</f>
        <v>15.861000000000001</v>
      </c>
      <c r="BY149" s="577">
        <f t="shared" si="246"/>
        <v>15.861000000000001</v>
      </c>
      <c r="BZ149" s="890">
        <f t="shared" si="246"/>
        <v>15.861000000000001</v>
      </c>
      <c r="CA149" s="630">
        <f>39.512+23.932</f>
        <v>63.444000000000003</v>
      </c>
      <c r="CB149" s="889">
        <f>CF149/4</f>
        <v>14.725999999999999</v>
      </c>
      <c r="CC149" s="550">
        <f t="shared" ref="CC149:CE149" si="247">+CB149</f>
        <v>14.725999999999999</v>
      </c>
      <c r="CD149" s="577">
        <f t="shared" si="247"/>
        <v>14.725999999999999</v>
      </c>
      <c r="CE149" s="890">
        <f t="shared" si="247"/>
        <v>14.725999999999999</v>
      </c>
      <c r="CF149" s="630">
        <f>36.906+21.998</f>
        <v>58.903999999999996</v>
      </c>
      <c r="CG149" s="889">
        <f>CK149/4</f>
        <v>15.08925</v>
      </c>
      <c r="CH149" s="550">
        <f t="shared" ref="CH149" si="248">+CG149</f>
        <v>15.08925</v>
      </c>
      <c r="CI149" s="577">
        <f t="shared" ref="CI149" si="249">+CH149</f>
        <v>15.08925</v>
      </c>
      <c r="CJ149" s="890">
        <f t="shared" ref="CJ149" si="250">+CI149</f>
        <v>15.08925</v>
      </c>
      <c r="CK149" s="630">
        <f>39.532+20.825</f>
        <v>60.356999999999999</v>
      </c>
      <c r="CL149" s="1028">
        <v>16</v>
      </c>
      <c r="CM149" s="797">
        <v>16</v>
      </c>
      <c r="CN149" s="797">
        <v>16</v>
      </c>
      <c r="CO149" s="1029">
        <v>16</v>
      </c>
      <c r="CP149" s="799">
        <f t="shared" ref="CP149:CP150" si="251">SUM(CL149:CO149)</f>
        <v>64</v>
      </c>
      <c r="CQ149" s="1028">
        <v>16</v>
      </c>
      <c r="CR149" s="797">
        <v>16</v>
      </c>
      <c r="CS149" s="797">
        <v>16</v>
      </c>
      <c r="CT149" s="1029">
        <v>16</v>
      </c>
      <c r="CU149" s="799">
        <f t="shared" ref="CU149:CU150" si="252">SUM(CQ149:CT149)</f>
        <v>64</v>
      </c>
      <c r="CV149" s="1028">
        <v>16</v>
      </c>
      <c r="CW149" s="797">
        <v>16</v>
      </c>
      <c r="CX149" s="797">
        <v>16</v>
      </c>
      <c r="CY149" s="1029">
        <v>16</v>
      </c>
      <c r="CZ149" s="799">
        <f t="shared" ref="CZ149:CZ150" si="253">SUM(CV149:CY149)</f>
        <v>64</v>
      </c>
    </row>
    <row r="150" spans="1:104" ht="13.5" customHeight="1">
      <c r="A150" s="819"/>
      <c r="B150" s="79"/>
      <c r="C150" s="453" t="s">
        <v>62</v>
      </c>
      <c r="D150" s="209"/>
      <c r="E150" s="209"/>
      <c r="F150" s="209"/>
      <c r="G150" s="209"/>
      <c r="H150" s="209">
        <f t="shared" ref="H150:AM150" si="254">H148+H149</f>
        <v>197.38226599999999</v>
      </c>
      <c r="I150" s="209">
        <f t="shared" si="254"/>
        <v>151.88745599999999</v>
      </c>
      <c r="J150" s="209">
        <f t="shared" si="254"/>
        <v>-1.6089104999999999</v>
      </c>
      <c r="K150" s="209">
        <f t="shared" si="254"/>
        <v>3.3655245000000003</v>
      </c>
      <c r="L150" s="209">
        <f t="shared" si="254"/>
        <v>-1.1913264999999997</v>
      </c>
      <c r="M150" s="209">
        <f t="shared" si="254"/>
        <v>5.0967415000000003</v>
      </c>
      <c r="N150" s="209">
        <f t="shared" si="254"/>
        <v>5.6620290000000004</v>
      </c>
      <c r="O150" s="209">
        <f t="shared" si="254"/>
        <v>-4.6536539999999995</v>
      </c>
      <c r="P150" s="209">
        <f t="shared" si="254"/>
        <v>1.3949659999999997</v>
      </c>
      <c r="Q150" s="209">
        <f t="shared" si="254"/>
        <v>1.0215139999999998</v>
      </c>
      <c r="R150" s="209">
        <f t="shared" si="254"/>
        <v>5.8851739999999992</v>
      </c>
      <c r="S150" s="209">
        <f t="shared" si="254"/>
        <v>3.6479999999999997</v>
      </c>
      <c r="T150" s="209">
        <f t="shared" si="254"/>
        <v>10.156500000000001</v>
      </c>
      <c r="U150" s="209">
        <f t="shared" si="254"/>
        <v>35.852499999999999</v>
      </c>
      <c r="V150" s="209">
        <f t="shared" si="254"/>
        <v>60.502500000000005</v>
      </c>
      <c r="W150" s="209">
        <f t="shared" si="254"/>
        <v>60.380500000000005</v>
      </c>
      <c r="X150" s="209">
        <f t="shared" si="254"/>
        <v>166.89200000000002</v>
      </c>
      <c r="Y150" s="209">
        <f t="shared" si="254"/>
        <v>51.406750000000002</v>
      </c>
      <c r="Z150" s="209">
        <f t="shared" si="254"/>
        <v>50.547750000000001</v>
      </c>
      <c r="AA150" s="209">
        <f t="shared" si="254"/>
        <v>49.004750000000001</v>
      </c>
      <c r="AB150" s="209">
        <f t="shared" si="254"/>
        <v>48.96374999999999</v>
      </c>
      <c r="AC150" s="209">
        <f t="shared" si="254"/>
        <v>199.923</v>
      </c>
      <c r="AD150" s="616">
        <f t="shared" si="254"/>
        <v>46.610750000000003</v>
      </c>
      <c r="AE150" s="616">
        <f t="shared" si="254"/>
        <v>52.544750000000001</v>
      </c>
      <c r="AF150" s="616">
        <f t="shared" si="254"/>
        <v>57.845750000000002</v>
      </c>
      <c r="AG150" s="616">
        <f t="shared" si="254"/>
        <v>53.883749999999992</v>
      </c>
      <c r="AH150" s="616">
        <f t="shared" si="254"/>
        <v>210.88500000000002</v>
      </c>
      <c r="AI150" s="616">
        <f t="shared" si="254"/>
        <v>64.863249999999994</v>
      </c>
      <c r="AJ150" s="616">
        <f t="shared" si="254"/>
        <v>83.40025</v>
      </c>
      <c r="AK150" s="616">
        <f t="shared" si="254"/>
        <v>100.64024999999999</v>
      </c>
      <c r="AL150" s="616">
        <f t="shared" si="254"/>
        <v>108.33124999999998</v>
      </c>
      <c r="AM150" s="616">
        <f t="shared" si="254"/>
        <v>357.23499999999996</v>
      </c>
      <c r="AN150" s="616">
        <f t="shared" ref="AN150:BS150" si="255">AN148+AN149</f>
        <v>74.031750000000002</v>
      </c>
      <c r="AO150" s="616">
        <f t="shared" si="255"/>
        <v>124.10875</v>
      </c>
      <c r="AP150" s="616">
        <f t="shared" si="255"/>
        <v>123.87975</v>
      </c>
      <c r="AQ150" s="616">
        <f t="shared" si="255"/>
        <v>69.246750000000006</v>
      </c>
      <c r="AR150" s="616">
        <f t="shared" si="255"/>
        <v>391.267</v>
      </c>
      <c r="AS150" s="904">
        <f t="shared" si="255"/>
        <v>-8.9027500000000011</v>
      </c>
      <c r="AT150" s="905">
        <f t="shared" si="255"/>
        <v>7.0242499999999986</v>
      </c>
      <c r="AU150" s="905">
        <f t="shared" si="255"/>
        <v>4.9502500000000005</v>
      </c>
      <c r="AV150" s="906">
        <f t="shared" si="255"/>
        <v>-17.17874999999999</v>
      </c>
      <c r="AW150" s="616">
        <f t="shared" si="255"/>
        <v>-14.106999999999999</v>
      </c>
      <c r="AX150" s="904">
        <f t="shared" si="255"/>
        <v>-42.902499999999996</v>
      </c>
      <c r="AY150" s="905">
        <f t="shared" si="255"/>
        <v>-10.5015</v>
      </c>
      <c r="AZ150" s="905">
        <f t="shared" si="255"/>
        <v>-16.032499999999999</v>
      </c>
      <c r="BA150" s="906">
        <f t="shared" si="255"/>
        <v>-4.8224999999999838</v>
      </c>
      <c r="BB150" s="616">
        <f t="shared" si="255"/>
        <v>-74.258999999999986</v>
      </c>
      <c r="BC150" s="904">
        <f t="shared" si="255"/>
        <v>-12.891250000000003</v>
      </c>
      <c r="BD150" s="905">
        <f t="shared" si="255"/>
        <v>12.99375</v>
      </c>
      <c r="BE150" s="905">
        <f t="shared" si="255"/>
        <v>12.476750000000001</v>
      </c>
      <c r="BF150" s="972">
        <f t="shared" si="255"/>
        <v>19.153750000000006</v>
      </c>
      <c r="BG150" s="618">
        <f t="shared" si="255"/>
        <v>31.733000000000004</v>
      </c>
      <c r="BH150" s="904">
        <f t="shared" si="255"/>
        <v>-12.268999999999998</v>
      </c>
      <c r="BI150" s="905">
        <f t="shared" si="255"/>
        <v>29.976999999999997</v>
      </c>
      <c r="BJ150" s="905">
        <f t="shared" si="255"/>
        <v>56.323</v>
      </c>
      <c r="BK150" s="972">
        <f t="shared" si="255"/>
        <v>37.728999999999999</v>
      </c>
      <c r="BL150" s="618">
        <f t="shared" si="255"/>
        <v>111.75999999999999</v>
      </c>
      <c r="BM150" s="904">
        <f t="shared" si="255"/>
        <v>6.5307500000000012</v>
      </c>
      <c r="BN150" s="905">
        <f t="shared" si="255"/>
        <v>50.527749999999997</v>
      </c>
      <c r="BO150" s="905">
        <f t="shared" si="255"/>
        <v>43.363749999999996</v>
      </c>
      <c r="BP150" s="906">
        <f t="shared" si="255"/>
        <v>55.525750000000002</v>
      </c>
      <c r="BQ150" s="616">
        <f t="shared" si="255"/>
        <v>155.94800000000001</v>
      </c>
      <c r="BR150" s="904">
        <f t="shared" si="255"/>
        <v>19.325249999999997</v>
      </c>
      <c r="BS150" s="905">
        <f t="shared" si="255"/>
        <v>60.21725</v>
      </c>
      <c r="BT150" s="905">
        <f t="shared" ref="BT150:CJ150" si="256">BT148+BT149</f>
        <v>81.495249999999999</v>
      </c>
      <c r="BU150" s="906">
        <f t="shared" si="256"/>
        <v>75.706249999999997</v>
      </c>
      <c r="BV150" s="616">
        <f t="shared" si="256"/>
        <v>236.744</v>
      </c>
      <c r="BW150" s="904">
        <f t="shared" si="256"/>
        <v>48.319000000000003</v>
      </c>
      <c r="BX150" s="905">
        <f t="shared" si="256"/>
        <v>86.497</v>
      </c>
      <c r="BY150" s="991">
        <f t="shared" si="256"/>
        <v>112.02800000000001</v>
      </c>
      <c r="BZ150" s="906">
        <f t="shared" si="256"/>
        <v>92.64800000000001</v>
      </c>
      <c r="CA150" s="616">
        <f t="shared" si="256"/>
        <v>339.49200000000002</v>
      </c>
      <c r="CB150" s="904">
        <f t="shared" si="256"/>
        <v>57.092999999999996</v>
      </c>
      <c r="CC150" s="905">
        <f t="shared" si="256"/>
        <v>97.671999999999997</v>
      </c>
      <c r="CD150" s="991">
        <f t="shared" si="256"/>
        <v>87.304000000000002</v>
      </c>
      <c r="CE150" s="906">
        <f t="shared" si="256"/>
        <v>66.805000000000007</v>
      </c>
      <c r="CF150" s="616">
        <f t="shared" si="256"/>
        <v>308.87400000000002</v>
      </c>
      <c r="CG150" s="904">
        <f t="shared" si="256"/>
        <v>82.008250000000004</v>
      </c>
      <c r="CH150" s="905">
        <f t="shared" si="256"/>
        <v>95.89824999999999</v>
      </c>
      <c r="CI150" s="905">
        <f t="shared" si="256"/>
        <v>109.31424999999999</v>
      </c>
      <c r="CJ150" s="906">
        <f t="shared" si="256"/>
        <v>124.93825000000001</v>
      </c>
      <c r="CK150" s="616">
        <f>CK148+CK149</f>
        <v>412.15899999999999</v>
      </c>
      <c r="CL150" s="904">
        <f t="shared" ref="CL150" si="257">CL148+CL149</f>
        <v>101.81399999999999</v>
      </c>
      <c r="CM150" s="905">
        <f t="shared" ref="CM150:CO150" si="258">CM151*CM126/1000</f>
        <v>115.01347710795646</v>
      </c>
      <c r="CN150" s="905">
        <f t="shared" si="258"/>
        <v>109.70928004147363</v>
      </c>
      <c r="CO150" s="906">
        <f t="shared" si="258"/>
        <v>109.59999016135527</v>
      </c>
      <c r="CP150" s="799">
        <f t="shared" si="251"/>
        <v>436.13674731078532</v>
      </c>
      <c r="CQ150" s="904">
        <f t="shared" ref="CQ150:CT150" si="259">CQ151*CQ126/1000</f>
        <v>102.74447315759369</v>
      </c>
      <c r="CR150" s="905">
        <f t="shared" si="259"/>
        <v>91.557683465215831</v>
      </c>
      <c r="CS150" s="905">
        <f t="shared" si="259"/>
        <v>96.018936524658059</v>
      </c>
      <c r="CT150" s="906">
        <f t="shared" si="259"/>
        <v>100.61822655041415</v>
      </c>
      <c r="CU150" s="799">
        <f t="shared" si="252"/>
        <v>390.93931969788173</v>
      </c>
      <c r="CV150" s="904">
        <f t="shared" ref="CV150:CY150" si="260">CV151*CV126/1000</f>
        <v>108.78809489796996</v>
      </c>
      <c r="CW150" s="905">
        <f t="shared" si="260"/>
        <v>121.54305424731689</v>
      </c>
      <c r="CX150" s="905">
        <f t="shared" si="260"/>
        <v>142.9981856333051</v>
      </c>
      <c r="CY150" s="906">
        <f t="shared" si="260"/>
        <v>155.63543278750703</v>
      </c>
      <c r="CZ150" s="799">
        <f t="shared" si="253"/>
        <v>528.964767566099</v>
      </c>
    </row>
    <row r="151" spans="1:104" ht="13.5" customHeight="1">
      <c r="A151" s="819"/>
      <c r="B151" s="66"/>
      <c r="C151" s="453" t="s">
        <v>664</v>
      </c>
      <c r="D151" s="201"/>
      <c r="E151" s="201"/>
      <c r="F151" s="201"/>
      <c r="G151" s="201"/>
      <c r="H151" s="201">
        <f t="shared" ref="H151:AM151" si="261">H150/H126*1000</f>
        <v>139.98742269503543</v>
      </c>
      <c r="I151" s="201">
        <f t="shared" si="261"/>
        <v>126.0476813278008</v>
      </c>
      <c r="J151" s="201">
        <f t="shared" si="261"/>
        <v>-6.9952630434782606</v>
      </c>
      <c r="K151" s="201">
        <f t="shared" si="261"/>
        <v>11.934484042553192</v>
      </c>
      <c r="L151" s="201">
        <f t="shared" si="261"/>
        <v>-3.7581277602523651</v>
      </c>
      <c r="M151" s="201">
        <f t="shared" si="261"/>
        <v>17.045958193979931</v>
      </c>
      <c r="N151" s="201">
        <f t="shared" si="261"/>
        <v>5.0195292553191493</v>
      </c>
      <c r="O151" s="201">
        <f t="shared" si="261"/>
        <v>-16.386105633802813</v>
      </c>
      <c r="P151" s="201">
        <f t="shared" si="261"/>
        <v>4.5736590163934423</v>
      </c>
      <c r="Q151" s="201">
        <f t="shared" si="261"/>
        <v>3.1822866043613702</v>
      </c>
      <c r="R151" s="201">
        <f t="shared" si="261"/>
        <v>19.617246666666663</v>
      </c>
      <c r="S151" s="201">
        <f t="shared" si="261"/>
        <v>3.0148760330578508</v>
      </c>
      <c r="T151" s="201">
        <f t="shared" si="261"/>
        <v>33.742524916943523</v>
      </c>
      <c r="U151" s="201">
        <f t="shared" si="261"/>
        <v>104.22238372093024</v>
      </c>
      <c r="V151" s="201">
        <f t="shared" si="261"/>
        <v>169.0013966480447</v>
      </c>
      <c r="W151" s="201">
        <f t="shared" si="261"/>
        <v>189.2805642633229</v>
      </c>
      <c r="X151" s="201">
        <f t="shared" si="261"/>
        <v>126.24205748865359</v>
      </c>
      <c r="Y151" s="201">
        <f t="shared" si="261"/>
        <v>157.20718654434251</v>
      </c>
      <c r="Z151" s="201">
        <f t="shared" si="261"/>
        <v>136.61554054054054</v>
      </c>
      <c r="AA151" s="201">
        <f t="shared" si="261"/>
        <v>127.61653645833334</v>
      </c>
      <c r="AB151" s="201">
        <f t="shared" si="261"/>
        <v>134.51579670329667</v>
      </c>
      <c r="AC151" s="201">
        <f t="shared" si="261"/>
        <v>138.35501730103806</v>
      </c>
      <c r="AD151" s="615">
        <f t="shared" si="261"/>
        <v>130.19762569832403</v>
      </c>
      <c r="AE151" s="615">
        <f t="shared" si="261"/>
        <v>142.39769647696477</v>
      </c>
      <c r="AF151" s="615">
        <f t="shared" si="261"/>
        <v>152.22565789473686</v>
      </c>
      <c r="AG151" s="615">
        <f t="shared" si="261"/>
        <v>148.85013812154693</v>
      </c>
      <c r="AH151" s="615">
        <f t="shared" si="261"/>
        <v>143.55684138869981</v>
      </c>
      <c r="AI151" s="615">
        <f t="shared" si="261"/>
        <v>152.97936320754715</v>
      </c>
      <c r="AJ151" s="615">
        <f t="shared" si="261"/>
        <v>114.09062927496579</v>
      </c>
      <c r="AK151" s="615">
        <f t="shared" si="261"/>
        <v>137.29911323328787</v>
      </c>
      <c r="AL151" s="615">
        <f t="shared" si="261"/>
        <v>132.59638922888615</v>
      </c>
      <c r="AM151" s="615">
        <f t="shared" si="261"/>
        <v>132.06469500924212</v>
      </c>
      <c r="AN151" s="615">
        <f t="shared" ref="AN151:BS151" si="262">AN150/AN126*1000</f>
        <v>58.989442231075699</v>
      </c>
      <c r="AO151" s="615">
        <f t="shared" si="262"/>
        <v>53.037927350427353</v>
      </c>
      <c r="AP151" s="615">
        <f t="shared" si="262"/>
        <v>61.539865871833086</v>
      </c>
      <c r="AQ151" s="615">
        <f t="shared" si="262"/>
        <v>49.674856527977049</v>
      </c>
      <c r="AR151" s="615">
        <f t="shared" si="262"/>
        <v>55.879320194230218</v>
      </c>
      <c r="AS151" s="898">
        <f t="shared" si="262"/>
        <v>-6.9825490196078439</v>
      </c>
      <c r="AT151" s="899">
        <f t="shared" si="262"/>
        <v>4.5405623787976719</v>
      </c>
      <c r="AU151" s="899">
        <f t="shared" si="262"/>
        <v>3.5133073101490422</v>
      </c>
      <c r="AV151" s="900">
        <f t="shared" si="262"/>
        <v>-13.526574803149598</v>
      </c>
      <c r="AW151" s="615">
        <f t="shared" si="262"/>
        <v>-2.5644428285766225</v>
      </c>
      <c r="AX151" s="898">
        <f t="shared" si="262"/>
        <v>-29.98078266946191</v>
      </c>
      <c r="AY151" s="899">
        <f t="shared" si="262"/>
        <v>-6.4308022045315365</v>
      </c>
      <c r="AZ151" s="899">
        <f t="shared" si="262"/>
        <v>-9.775914634146341</v>
      </c>
      <c r="BA151" s="900">
        <f t="shared" si="262"/>
        <v>-3.2279116465863344</v>
      </c>
      <c r="BB151" s="615">
        <f t="shared" si="262"/>
        <v>-11.981122942884801</v>
      </c>
      <c r="BC151" s="898">
        <f t="shared" si="262"/>
        <v>-8.2636217948717974</v>
      </c>
      <c r="BD151" s="899">
        <f t="shared" si="262"/>
        <v>8.4047542043984489</v>
      </c>
      <c r="BE151" s="899">
        <f t="shared" si="262"/>
        <v>7.8420804525455701</v>
      </c>
      <c r="BF151" s="971">
        <f t="shared" si="262"/>
        <v>12.349290780141848</v>
      </c>
      <c r="BG151" s="617">
        <f t="shared" si="262"/>
        <v>5.0789052496798979</v>
      </c>
      <c r="BH151" s="898">
        <f t="shared" si="262"/>
        <v>-9.2178812922614579</v>
      </c>
      <c r="BI151" s="899">
        <f t="shared" si="262"/>
        <v>20.30962059620596</v>
      </c>
      <c r="BJ151" s="899">
        <f t="shared" si="262"/>
        <v>38.709965635738826</v>
      </c>
      <c r="BK151" s="971">
        <f t="shared" si="262"/>
        <v>27.803242446573321</v>
      </c>
      <c r="BL151" s="617">
        <f t="shared" si="262"/>
        <v>19.889660081865099</v>
      </c>
      <c r="BM151" s="898">
        <f t="shared" si="262"/>
        <v>4.7600218658892137</v>
      </c>
      <c r="BN151" s="899">
        <f t="shared" si="262"/>
        <v>32.286102236421726</v>
      </c>
      <c r="BO151" s="899">
        <f t="shared" si="262"/>
        <v>28.416612057667102</v>
      </c>
      <c r="BP151" s="900">
        <f t="shared" si="262"/>
        <v>36.196707953063886</v>
      </c>
      <c r="BQ151" s="615">
        <f t="shared" si="262"/>
        <v>26.004335501083876</v>
      </c>
      <c r="BR151" s="898">
        <f t="shared" si="262"/>
        <v>12.16189427312775</v>
      </c>
      <c r="BS151" s="899">
        <f t="shared" si="262"/>
        <v>34.928799303944317</v>
      </c>
      <c r="BT151" s="899">
        <f t="shared" ref="BT151:CJ151" si="263">BT150/BT126*1000</f>
        <v>42.15998448008277</v>
      </c>
      <c r="BU151" s="900">
        <f t="shared" si="263"/>
        <v>50.94633243606998</v>
      </c>
      <c r="BV151" s="615">
        <f t="shared" si="263"/>
        <v>35.166963755199049</v>
      </c>
      <c r="BW151" s="898">
        <f t="shared" si="263"/>
        <v>32.870068027210891</v>
      </c>
      <c r="BX151" s="899">
        <f t="shared" si="263"/>
        <v>58.562626946513198</v>
      </c>
      <c r="BY151" s="988">
        <f t="shared" si="263"/>
        <v>77.635481635481639</v>
      </c>
      <c r="BZ151" s="900">
        <f t="shared" si="263"/>
        <v>72.155763239875398</v>
      </c>
      <c r="CA151" s="615">
        <f t="shared" si="263"/>
        <v>59.83292210081072</v>
      </c>
      <c r="CB151" s="898">
        <f t="shared" si="263"/>
        <v>45.710968775020014</v>
      </c>
      <c r="CC151" s="899">
        <f t="shared" si="263"/>
        <v>71.034181818181821</v>
      </c>
      <c r="CD151" s="899">
        <f t="shared" si="263"/>
        <v>61.308988764044948</v>
      </c>
      <c r="CE151" s="900">
        <f t="shared" si="263"/>
        <v>44.625918503674022</v>
      </c>
      <c r="CF151" s="615">
        <f t="shared" si="263"/>
        <v>55.70315599639315</v>
      </c>
      <c r="CG151" s="898">
        <f t="shared" si="263"/>
        <v>47.568590487238978</v>
      </c>
      <c r="CH151" s="899">
        <f t="shared" si="263"/>
        <v>53.336067853170178</v>
      </c>
      <c r="CI151" s="899">
        <f t="shared" si="263"/>
        <v>56.934505208333327</v>
      </c>
      <c r="CJ151" s="900">
        <f t="shared" si="263"/>
        <v>65.310115002613699</v>
      </c>
      <c r="CK151" s="549">
        <f t="shared" ref="CK151:CK152" si="264">AVERAGE(CG151:CJ151)</f>
        <v>55.787319637839047</v>
      </c>
      <c r="CL151" s="898">
        <f t="shared" ref="CL151" si="265">CL150/CL126*1000</f>
        <v>52.185545873910812</v>
      </c>
      <c r="CM151" s="1054">
        <f t="shared" ref="CM151" si="266">+CM153+CM152</f>
        <v>61.109770630343277</v>
      </c>
      <c r="CN151" s="1054">
        <f t="shared" ref="CN151" si="267">+CN153+CN152</f>
        <v>54.588249363841271</v>
      </c>
      <c r="CO151" s="1031">
        <f t="shared" ref="CO151" si="268">+CO153+CO152</f>
        <v>54.792598079936838</v>
      </c>
      <c r="CP151" s="549">
        <f t="shared" ref="CP151" si="269">AVERAGE(CL151:CO151)</f>
        <v>55.669040987008046</v>
      </c>
      <c r="CQ151" s="1053">
        <f t="shared" ref="CQ151" si="270">+CQ153+CQ152</f>
        <v>51.399221169911044</v>
      </c>
      <c r="CR151" s="1054">
        <f t="shared" ref="CR151" si="271">+CR153+CR152</f>
        <v>47.487594986133189</v>
      </c>
      <c r="CS151" s="1054">
        <f t="shared" ref="CS151" si="272">+CS153+CS152</f>
        <v>46.643136861309628</v>
      </c>
      <c r="CT151" s="1031">
        <f t="shared" ref="CT151" si="273">+CT153+CT152</f>
        <v>49.101585001145651</v>
      </c>
      <c r="CU151" s="549">
        <f t="shared" ref="CU151" si="274">AVERAGE(CQ151:CT151)</f>
        <v>48.657884504624882</v>
      </c>
      <c r="CV151" s="1053">
        <f t="shared" ref="CV151" si="275">+CV153+CV152</f>
        <v>53.11589574746074</v>
      </c>
      <c r="CW151" s="1054">
        <f t="shared" ref="CW151" si="276">+CW153+CW152</f>
        <v>61.535931479677416</v>
      </c>
      <c r="CX151" s="1054">
        <f t="shared" ref="CX151" si="277">+CX153+CX152</f>
        <v>67.815083373772637</v>
      </c>
      <c r="CY151" s="1031">
        <f t="shared" ref="CY151" si="278">+CY153+CY152</f>
        <v>74.135220458627614</v>
      </c>
      <c r="CZ151" s="549">
        <f t="shared" ref="CZ151" si="279">AVERAGE(CV151:CY151)</f>
        <v>64.150532764884602</v>
      </c>
    </row>
    <row r="152" spans="1:104" s="360" customFormat="1" ht="13.5" customHeight="1">
      <c r="A152" s="823"/>
      <c r="B152" s="453"/>
      <c r="C152" s="453" t="s">
        <v>672</v>
      </c>
      <c r="D152" s="615"/>
      <c r="E152" s="615"/>
      <c r="F152" s="615"/>
      <c r="G152" s="615"/>
      <c r="H152" s="615"/>
      <c r="I152" s="615"/>
      <c r="J152" s="615"/>
      <c r="K152" s="615"/>
      <c r="L152" s="615"/>
      <c r="M152" s="615"/>
      <c r="N152" s="615"/>
      <c r="O152" s="615"/>
      <c r="P152" s="615"/>
      <c r="Q152" s="615"/>
      <c r="R152" s="615"/>
      <c r="S152" s="615"/>
      <c r="T152" s="615"/>
      <c r="U152" s="615"/>
      <c r="V152" s="615"/>
      <c r="W152" s="615"/>
      <c r="X152" s="615"/>
      <c r="Y152" s="615"/>
      <c r="Z152" s="615"/>
      <c r="AA152" s="615"/>
      <c r="AB152" s="615"/>
      <c r="AC152" s="615"/>
      <c r="AD152" s="615"/>
      <c r="AE152" s="615"/>
      <c r="AF152" s="615"/>
      <c r="AG152" s="615"/>
      <c r="AH152" s="615"/>
      <c r="AI152" s="615"/>
      <c r="AJ152" s="615"/>
      <c r="AK152" s="615"/>
      <c r="AL152" s="615"/>
      <c r="AM152" s="615"/>
      <c r="AN152" s="615"/>
      <c r="AO152" s="615"/>
      <c r="AP152" s="615"/>
      <c r="AQ152" s="615"/>
      <c r="AR152" s="615"/>
      <c r="AS152" s="898"/>
      <c r="AT152" s="899"/>
      <c r="AU152" s="899"/>
      <c r="AV152" s="900"/>
      <c r="AW152" s="615"/>
      <c r="AX152" s="898"/>
      <c r="AY152" s="899"/>
      <c r="AZ152" s="899"/>
      <c r="BA152" s="900"/>
      <c r="BB152" s="615"/>
      <c r="BC152" s="898"/>
      <c r="BD152" s="899"/>
      <c r="BE152" s="899"/>
      <c r="BF152" s="971"/>
      <c r="BG152" s="617"/>
      <c r="BH152" s="898"/>
      <c r="BI152" s="899"/>
      <c r="BJ152" s="899"/>
      <c r="BK152" s="971"/>
      <c r="BL152" s="617"/>
      <c r="BM152" s="909">
        <f t="shared" ref="BM152" si="280">+BM151-BM153</f>
        <v>-25.713423068756072</v>
      </c>
      <c r="BN152" s="600">
        <f t="shared" ref="BN152" si="281">+BN151-BN153</f>
        <v>18.26921290270144</v>
      </c>
      <c r="BO152" s="600">
        <f>+BO151-BO153</f>
        <v>-2.376520908885162</v>
      </c>
      <c r="BP152" s="910">
        <f>+BP151-BP153</f>
        <v>7.8885779763581425</v>
      </c>
      <c r="BQ152" s="549">
        <f t="shared" ref="BQ152" si="282">AVERAGE(BM152:BP152)</f>
        <v>-0.48303827464541271</v>
      </c>
      <c r="BR152" s="909">
        <f t="shared" ref="BR152" si="283">+BR151-BR153</f>
        <v>-20.634379893768774</v>
      </c>
      <c r="BS152" s="600">
        <f t="shared" ref="BS152" si="284">+BS151-BS153</f>
        <v>20.088438633857379</v>
      </c>
      <c r="BT152" s="600">
        <f>+BT151-BT153</f>
        <v>14.402770922632484</v>
      </c>
      <c r="BU152" s="910">
        <f>+BU151-BU153</f>
        <v>16.542403195918865</v>
      </c>
      <c r="BV152" s="549">
        <f t="shared" ref="BV152" si="285">AVERAGE(BR152:BU152)</f>
        <v>7.5998082146599888</v>
      </c>
      <c r="BW152" s="909">
        <f t="shared" ref="BW152" si="286">+BW151-BW153</f>
        <v>-8.2543194750103055</v>
      </c>
      <c r="BX152" s="600">
        <f t="shared" ref="BX152" si="287">+BX151-BX153</f>
        <v>23.885220119131212</v>
      </c>
      <c r="BY152" s="600">
        <f>+BY151-BY153</f>
        <v>24.961182514855501</v>
      </c>
      <c r="BZ152" s="910">
        <f>+BZ151-BZ153</f>
        <v>8.6077804173160146</v>
      </c>
      <c r="CA152" s="549">
        <f t="shared" ref="CA152" si="288">AVERAGE(BW152:BZ152)</f>
        <v>12.299965894073106</v>
      </c>
      <c r="CB152" s="909">
        <f t="shared" ref="CB152" si="289">+CB151-CB153</f>
        <v>-20.393786137288679</v>
      </c>
      <c r="CC152" s="600">
        <f t="shared" ref="CC152" si="290">+CC151-CC153</f>
        <v>21.983405813093952</v>
      </c>
      <c r="CD152" s="600">
        <f>+CD151-CD153</f>
        <v>4.1530463074996007</v>
      </c>
      <c r="CE152" s="910">
        <f>+CE151-CE153</f>
        <v>-6.3303822339441425</v>
      </c>
      <c r="CF152" s="549">
        <f t="shared" ref="CF152" si="291">AVERAGE(CB152:CE152)</f>
        <v>-0.14692906265981698</v>
      </c>
      <c r="CG152" s="898">
        <f t="shared" ref="CG152:CH152" si="292">+CG151-CG153</f>
        <v>-6.4640017327317594</v>
      </c>
      <c r="CH152" s="899">
        <f t="shared" si="292"/>
        <v>-7.5295655459598052</v>
      </c>
      <c r="CI152" s="899">
        <f>+CI151-CI153</f>
        <v>-10.707106125082241</v>
      </c>
      <c r="CJ152" s="900">
        <f>+CJ151-CJ153</f>
        <v>-3.9390316128980629</v>
      </c>
      <c r="CK152" s="549">
        <f t="shared" si="264"/>
        <v>-7.1599262541679671</v>
      </c>
      <c r="CL152" s="898">
        <f t="shared" ref="CL152" si="293">+CL151-CL153</f>
        <v>7.1530333189299142</v>
      </c>
      <c r="CM152" s="797">
        <v>35</v>
      </c>
      <c r="CN152" s="797">
        <v>35</v>
      </c>
      <c r="CO152" s="1029">
        <v>35</v>
      </c>
      <c r="CP152" s="555">
        <f t="shared" ref="CP152" si="294">AVERAGE(CL152:CO152)</f>
        <v>28.038258329732479</v>
      </c>
      <c r="CQ152" s="1028">
        <v>28</v>
      </c>
      <c r="CR152" s="797">
        <v>28</v>
      </c>
      <c r="CS152" s="797">
        <v>28</v>
      </c>
      <c r="CT152" s="1029">
        <v>28</v>
      </c>
      <c r="CU152" s="555">
        <f t="shared" ref="CU152" si="295">AVERAGE(CQ152:CT152)</f>
        <v>28</v>
      </c>
      <c r="CV152" s="1028">
        <v>25</v>
      </c>
      <c r="CW152" s="797">
        <v>25</v>
      </c>
      <c r="CX152" s="797">
        <v>25</v>
      </c>
      <c r="CY152" s="1029">
        <v>25</v>
      </c>
      <c r="CZ152" s="549">
        <f t="shared" ref="CZ152" si="296">AVERAGE(CV152:CY152)</f>
        <v>25</v>
      </c>
    </row>
    <row r="153" spans="1:104" ht="13.5" customHeight="1">
      <c r="A153" s="819"/>
      <c r="B153" s="66"/>
      <c r="C153" s="453" t="s">
        <v>674</v>
      </c>
      <c r="D153" s="201"/>
      <c r="E153" s="201"/>
      <c r="F153" s="201"/>
      <c r="G153" s="201"/>
      <c r="H153" s="201"/>
      <c r="I153" s="201"/>
      <c r="J153" s="201"/>
      <c r="K153" s="201"/>
      <c r="L153" s="201"/>
      <c r="M153" s="201"/>
      <c r="N153" s="201"/>
      <c r="O153" s="201"/>
      <c r="P153" s="201"/>
      <c r="Q153" s="201"/>
      <c r="R153" s="201"/>
      <c r="S153" s="201"/>
      <c r="T153" s="201"/>
      <c r="U153" s="201"/>
      <c r="V153" s="201"/>
      <c r="W153" s="201"/>
      <c r="X153" s="201"/>
      <c r="Y153" s="201"/>
      <c r="Z153" s="201"/>
      <c r="AA153" s="201"/>
      <c r="AB153" s="201"/>
      <c r="AC153" s="201"/>
      <c r="AD153" s="615"/>
      <c r="AE153" s="615"/>
      <c r="AF153" s="615"/>
      <c r="AG153" s="615"/>
      <c r="AH153" s="615"/>
      <c r="AI153" s="615"/>
      <c r="AJ153" s="615"/>
      <c r="AK153" s="615"/>
      <c r="AL153" s="615"/>
      <c r="AM153" s="615"/>
      <c r="AN153" s="615"/>
      <c r="AO153" s="615"/>
      <c r="AP153" s="615"/>
      <c r="AQ153" s="615"/>
      <c r="AR153" s="615"/>
      <c r="AS153" s="898"/>
      <c r="AT153" s="899"/>
      <c r="AU153" s="899"/>
      <c r="AV153" s="900"/>
      <c r="AW153" s="615"/>
      <c r="AX153" s="898"/>
      <c r="AY153" s="899"/>
      <c r="AZ153" s="899"/>
      <c r="BA153" s="900"/>
      <c r="BB153" s="615"/>
      <c r="BC153" s="898"/>
      <c r="BD153" s="899"/>
      <c r="BE153" s="899"/>
      <c r="BF153" s="971"/>
      <c r="BG153" s="617"/>
      <c r="BH153" s="898"/>
      <c r="BI153" s="899"/>
      <c r="BJ153" s="899"/>
      <c r="BK153" s="971"/>
      <c r="BL153" s="617"/>
      <c r="BM153" s="898">
        <f>+BK151*0.584+BM136*0.061-BK146*0.11</f>
        <v>30.473444934645286</v>
      </c>
      <c r="BN153" s="899">
        <f>+BM151*0.584+BN136*0.061-BM146*0.11</f>
        <v>14.016889333720286</v>
      </c>
      <c r="BO153" s="899">
        <f t="shared" ref="BO153:BP153" si="297">+BN151*0.584+BO136*0.061-BN146*0.11</f>
        <v>30.793132966552264</v>
      </c>
      <c r="BP153" s="900">
        <f t="shared" si="297"/>
        <v>28.308129976705743</v>
      </c>
      <c r="BQ153" s="615">
        <f>AVERAGE(BM153:BP153)</f>
        <v>25.897899302905895</v>
      </c>
      <c r="BR153" s="898">
        <f>+BP151*0.584+BR136*0.061-BP146*0.11</f>
        <v>32.796274166896524</v>
      </c>
      <c r="BS153" s="899">
        <f>+BR151*0.584+BS136*0.061-BR146*0.11</f>
        <v>14.840360670086937</v>
      </c>
      <c r="BT153" s="899">
        <f t="shared" ref="BT153:BU153" si="298">+BS151*0.584+BT136*0.061-BS146*0.11</f>
        <v>27.757213557450285</v>
      </c>
      <c r="BU153" s="900">
        <f t="shared" si="298"/>
        <v>34.403929240151115</v>
      </c>
      <c r="BV153" s="615">
        <f>AVERAGE(BR153:BU153)</f>
        <v>27.449444408646215</v>
      </c>
      <c r="BW153" s="898">
        <f>+BU151*0.584+BW136*0.061-BU146*0.11</f>
        <v>41.124387502221197</v>
      </c>
      <c r="BX153" s="899">
        <f>+BW151*0.584+BX136*0.061-BW146*0.11</f>
        <v>34.677406827381986</v>
      </c>
      <c r="BY153" s="899">
        <f t="shared" ref="BY153:BZ153" si="299">+BX151*0.584+BY136*0.061-BX146*0.11</f>
        <v>52.674299120626138</v>
      </c>
      <c r="BZ153" s="900">
        <f t="shared" si="299"/>
        <v>63.547982822559383</v>
      </c>
      <c r="CA153" s="615">
        <f>AVERAGE(BW153:BZ153)</f>
        <v>48.006019068197176</v>
      </c>
      <c r="CB153" s="898">
        <f>+BZ151*0.584+CB136*0.061-BZ146*0.11</f>
        <v>66.104754912308692</v>
      </c>
      <c r="CC153" s="899">
        <f>+CB151*0.584+CC136*0.061-CB146*0.11</f>
        <v>49.050776005087869</v>
      </c>
      <c r="CD153" s="899">
        <f t="shared" ref="CD153:CE153" si="300">+CC151*0.584+CD136*0.061-CC146*0.11</f>
        <v>57.155942456545347</v>
      </c>
      <c r="CE153" s="900">
        <f t="shared" si="300"/>
        <v>50.956300737618164</v>
      </c>
      <c r="CF153" s="615">
        <f>AVERAGE(CB153:CE153)</f>
        <v>55.816943527890018</v>
      </c>
      <c r="CG153" s="898">
        <f>+CE151*0.584+CG136*0.061-CE146*0.11</f>
        <v>54.032592219970738</v>
      </c>
      <c r="CH153" s="899">
        <f>+CG151*0.584+CH136*0.061-CG146*0.11</f>
        <v>60.865633399129983</v>
      </c>
      <c r="CI153" s="899">
        <f t="shared" ref="CI153:CJ153" si="301">+CH151*0.584+CI136*0.061-CH146*0.11</f>
        <v>67.641611333415568</v>
      </c>
      <c r="CJ153" s="900">
        <f t="shared" si="301"/>
        <v>69.249146615511762</v>
      </c>
      <c r="CK153" s="615">
        <f>AVERAGE(CG153:CJ153)</f>
        <v>62.947245892007011</v>
      </c>
      <c r="CL153" s="898">
        <f>+CJ151*0.584+CL136*0.061-CJ146*0.11</f>
        <v>45.032512554980897</v>
      </c>
      <c r="CM153" s="899">
        <f>+CL151*0.584+CM136*0.061-CL146*0.11</f>
        <v>26.109770630343277</v>
      </c>
      <c r="CN153" s="899">
        <f t="shared" ref="CN153:CO153" si="302">+CM151*0.584+CN136*0.061-CM146*0.11</f>
        <v>19.588249363841271</v>
      </c>
      <c r="CO153" s="900">
        <f t="shared" si="302"/>
        <v>19.792598079936838</v>
      </c>
      <c r="CP153" s="615">
        <f>AVERAGE(CL153:CO153)</f>
        <v>27.630782657275571</v>
      </c>
      <c r="CQ153" s="898">
        <f>+CO151*0.584+CQ136*0.061-CO146*0.11</f>
        <v>23.399221169911044</v>
      </c>
      <c r="CR153" s="899">
        <f>+CQ151*0.584+CR136*0.061-CQ146*0.11</f>
        <v>19.487594986133189</v>
      </c>
      <c r="CS153" s="899">
        <f t="shared" ref="CS153:CT153" si="303">+CR151*0.584+CS136*0.061-CR146*0.11</f>
        <v>18.643136861309628</v>
      </c>
      <c r="CT153" s="900">
        <f t="shared" si="303"/>
        <v>21.101585001145651</v>
      </c>
      <c r="CU153" s="615">
        <f>AVERAGE(CQ153:CT153)</f>
        <v>20.657884504624878</v>
      </c>
      <c r="CV153" s="898">
        <f>+CT151*0.584+CV136*0.061-CT146*0.11</f>
        <v>28.11589574746074</v>
      </c>
      <c r="CW153" s="899">
        <f>+CV151*0.584+CW136*0.061-CV146*0.11</f>
        <v>36.535931479677416</v>
      </c>
      <c r="CX153" s="899">
        <f t="shared" ref="CX153:CY153" si="304">+CW151*0.584+CX136*0.061-CW146*0.11</f>
        <v>42.815083373772637</v>
      </c>
      <c r="CY153" s="900">
        <f t="shared" si="304"/>
        <v>49.135220458627614</v>
      </c>
      <c r="CZ153" s="615">
        <f>AVERAGE(CV153:CY153)</f>
        <v>39.150532764884602</v>
      </c>
    </row>
    <row r="154" spans="1:104" ht="13.5" customHeight="1">
      <c r="A154" s="819"/>
      <c r="B154" s="66"/>
      <c r="C154" s="453" t="s">
        <v>683</v>
      </c>
      <c r="D154" s="201"/>
      <c r="E154" s="201"/>
      <c r="F154" s="201"/>
      <c r="G154" s="201"/>
      <c r="H154" s="201"/>
      <c r="I154" s="201"/>
      <c r="J154" s="201"/>
      <c r="K154" s="201"/>
      <c r="L154" s="201"/>
      <c r="M154" s="201"/>
      <c r="N154" s="201"/>
      <c r="O154" s="201"/>
      <c r="P154" s="201"/>
      <c r="Q154" s="201"/>
      <c r="R154" s="201"/>
      <c r="S154" s="201">
        <f t="shared" ref="S154:AX154" si="305">S150/S130*1000</f>
        <v>3.0148760330578508</v>
      </c>
      <c r="T154" s="201">
        <f t="shared" si="305"/>
        <v>33.742524916943523</v>
      </c>
      <c r="U154" s="201">
        <f t="shared" si="305"/>
        <v>104.22238372093024</v>
      </c>
      <c r="V154" s="201">
        <f t="shared" si="305"/>
        <v>169.0013966480447</v>
      </c>
      <c r="W154" s="201">
        <f t="shared" si="305"/>
        <v>189.2805642633229</v>
      </c>
      <c r="X154" s="201">
        <f t="shared" si="305"/>
        <v>126.24205748865359</v>
      </c>
      <c r="Y154" s="201">
        <f t="shared" si="305"/>
        <v>157.20718654434251</v>
      </c>
      <c r="Z154" s="201">
        <f t="shared" si="305"/>
        <v>136.61554054054054</v>
      </c>
      <c r="AA154" s="201">
        <f t="shared" si="305"/>
        <v>127.61653645833334</v>
      </c>
      <c r="AB154" s="201">
        <f t="shared" si="305"/>
        <v>134.51579670329667</v>
      </c>
      <c r="AC154" s="201">
        <f t="shared" si="305"/>
        <v>138.35501730103806</v>
      </c>
      <c r="AD154" s="615">
        <f t="shared" si="305"/>
        <v>130.19762569832403</v>
      </c>
      <c r="AE154" s="615">
        <f t="shared" si="305"/>
        <v>142.39769647696477</v>
      </c>
      <c r="AF154" s="615">
        <f t="shared" si="305"/>
        <v>152.22565789473688</v>
      </c>
      <c r="AG154" s="615">
        <f t="shared" si="305"/>
        <v>148.85013812154693</v>
      </c>
      <c r="AH154" s="615">
        <f t="shared" si="305"/>
        <v>143.55684138869975</v>
      </c>
      <c r="AI154" s="615">
        <f t="shared" si="305"/>
        <v>160.13731271899377</v>
      </c>
      <c r="AJ154" s="615">
        <f t="shared" si="305"/>
        <v>139.00802795024836</v>
      </c>
      <c r="AK154" s="615">
        <f t="shared" si="305"/>
        <v>156.12006045729618</v>
      </c>
      <c r="AL154" s="615">
        <f t="shared" si="305"/>
        <v>152.72906044571877</v>
      </c>
      <c r="AM154" s="615">
        <f t="shared" si="305"/>
        <v>151.43801239806635</v>
      </c>
      <c r="AN154" s="615">
        <f t="shared" si="305"/>
        <v>110.60782721085209</v>
      </c>
      <c r="AO154" s="615">
        <f t="shared" si="305"/>
        <v>159.00702108783307</v>
      </c>
      <c r="AP154" s="615">
        <f t="shared" si="305"/>
        <v>162.02033759552799</v>
      </c>
      <c r="AQ154" s="615">
        <f t="shared" si="305"/>
        <v>102.21771063694683</v>
      </c>
      <c r="AR154" s="615">
        <f t="shared" si="305"/>
        <v>135.29854919027201</v>
      </c>
      <c r="AS154" s="898">
        <f t="shared" si="305"/>
        <v>-18.333633359343374</v>
      </c>
      <c r="AT154" s="899">
        <f t="shared" si="305"/>
        <v>13.148946081327617</v>
      </c>
      <c r="AU154" s="899">
        <f t="shared" si="305"/>
        <v>8.4135163378739559</v>
      </c>
      <c r="AV154" s="900">
        <f t="shared" si="305"/>
        <v>-32.83254113876756</v>
      </c>
      <c r="AW154" s="615">
        <f t="shared" si="305"/>
        <v>-6.618670135551322</v>
      </c>
      <c r="AX154" s="898">
        <f t="shared" si="305"/>
        <v>-86.487879544056966</v>
      </c>
      <c r="AY154" s="899">
        <f t="shared" ref="AY154:CJ154" si="306">AY150/AY130*1000</f>
        <v>-16.71259046785045</v>
      </c>
      <c r="AZ154" s="899">
        <f t="shared" si="306"/>
        <v>-24.181292955083098</v>
      </c>
      <c r="BA154" s="900">
        <f t="shared" si="306"/>
        <v>-8.2575264971714404</v>
      </c>
      <c r="BB154" s="615">
        <f t="shared" si="306"/>
        <v>-31.313938734255068</v>
      </c>
      <c r="BC154" s="898">
        <f t="shared" si="306"/>
        <v>-22.432150862063086</v>
      </c>
      <c r="BD154" s="899">
        <f t="shared" si="306"/>
        <v>20.202422703672188</v>
      </c>
      <c r="BE154" s="899">
        <f t="shared" si="306"/>
        <v>17.981590682345672</v>
      </c>
      <c r="BF154" s="971">
        <f t="shared" si="306"/>
        <v>30.862386256269062</v>
      </c>
      <c r="BG154" s="617">
        <f t="shared" si="306"/>
        <v>12.531119769368008</v>
      </c>
      <c r="BH154" s="898">
        <f t="shared" si="306"/>
        <v>-20.204457135394094</v>
      </c>
      <c r="BI154" s="899">
        <f t="shared" si="306"/>
        <v>42.178796785294978</v>
      </c>
      <c r="BJ154" s="899">
        <f t="shared" si="306"/>
        <v>76.730367480618384</v>
      </c>
      <c r="BK154" s="971">
        <f t="shared" si="306"/>
        <v>59.638906143204139</v>
      </c>
      <c r="BL154" s="617">
        <f t="shared" si="306"/>
        <v>41.62977954988974</v>
      </c>
      <c r="BM154" s="898">
        <f t="shared" si="306"/>
        <v>11.417583141508111</v>
      </c>
      <c r="BN154" s="899">
        <f t="shared" si="306"/>
        <v>74.084763804230889</v>
      </c>
      <c r="BO154" s="899">
        <f t="shared" si="306"/>
        <v>61.572150633768693</v>
      </c>
      <c r="BP154" s="900">
        <f t="shared" si="306"/>
        <v>83.464670038801017</v>
      </c>
      <c r="BQ154" s="615">
        <f t="shared" si="306"/>
        <v>59.441535440935468</v>
      </c>
      <c r="BR154" s="898">
        <f t="shared" si="306"/>
        <v>29.800229703867327</v>
      </c>
      <c r="BS154" s="899">
        <f t="shared" si="306"/>
        <v>79.462451118471165</v>
      </c>
      <c r="BT154" s="899">
        <f t="shared" si="306"/>
        <v>98.903821047018369</v>
      </c>
      <c r="BU154" s="900">
        <f t="shared" si="306"/>
        <v>110.59561336393774</v>
      </c>
      <c r="BV154" s="615">
        <f t="shared" si="306"/>
        <v>81.220854235203504</v>
      </c>
      <c r="BW154" s="898">
        <f t="shared" si="306"/>
        <v>73.628233179651488</v>
      </c>
      <c r="BX154" s="899">
        <f t="shared" si="306"/>
        <v>117.52703205644487</v>
      </c>
      <c r="BY154" s="988">
        <f t="shared" si="306"/>
        <v>140.00300449471672</v>
      </c>
      <c r="BZ154" s="900">
        <f t="shared" si="306"/>
        <v>133.48167509469684</v>
      </c>
      <c r="CA154" s="615">
        <f t="shared" si="306"/>
        <v>117.61362191539068</v>
      </c>
      <c r="CB154" s="898">
        <f t="shared" si="306"/>
        <v>87.599354640887711</v>
      </c>
      <c r="CC154" s="899">
        <f t="shared" si="306"/>
        <v>135.92632102209654</v>
      </c>
      <c r="CD154" s="899">
        <f t="shared" si="306"/>
        <v>112.10722794142362</v>
      </c>
      <c r="CE154" s="900">
        <f t="shared" si="306"/>
        <v>86.402461143780869</v>
      </c>
      <c r="CF154" s="615">
        <f t="shared" si="306"/>
        <v>105.69712130513011</v>
      </c>
      <c r="CG154" s="898">
        <f t="shared" si="306"/>
        <v>77.502825544511921</v>
      </c>
      <c r="CH154" s="899">
        <f t="shared" si="306"/>
        <v>83.285773554659855</v>
      </c>
      <c r="CI154" s="899">
        <f t="shared" si="306"/>
        <v>90.31255783139909</v>
      </c>
      <c r="CJ154" s="900">
        <f t="shared" si="306"/>
        <v>108.1708337858318</v>
      </c>
      <c r="CK154" s="615">
        <f>AVERAGE(CG154:CJ154)</f>
        <v>89.817997679100671</v>
      </c>
      <c r="CL154" s="898">
        <f t="shared" ref="CL154" si="307">CL150/CL130*1000</f>
        <v>83.917823963206743</v>
      </c>
      <c r="CM154" s="899">
        <f>+CL154*0.572+0.112*CM136-0.2*CL146</f>
        <v>41.469900000222538</v>
      </c>
      <c r="CN154" s="899">
        <f>+CM154*0.572+0.112*CN136-0.2*CM146</f>
        <v>-4.1003285773238929</v>
      </c>
      <c r="CO154" s="900">
        <f>+CN154*0.572+0.112*CO136-0.2*CN146</f>
        <v>-22.847224877887925</v>
      </c>
      <c r="CP154" s="615">
        <f>AVERAGE(CL154:CO154)</f>
        <v>24.610042627054366</v>
      </c>
      <c r="CQ154" s="898">
        <f>+CO154*0.572+0.112*CQ136-0.2*CO146</f>
        <v>-27.219068907802125</v>
      </c>
      <c r="CR154" s="899">
        <f>+CQ154*0.572+0.112*CR136-0.2*CQ146</f>
        <v>-33.224161575370545</v>
      </c>
      <c r="CS154" s="899">
        <f>+CR154*0.572+0.112*CS136-0.2*CR146</f>
        <v>-34.04277163313742</v>
      </c>
      <c r="CT154" s="900">
        <f>+CS154*0.572+0.112*CT136-0.2*CS146</f>
        <v>-29.138752433523223</v>
      </c>
      <c r="CU154" s="615">
        <f>AVERAGE(CQ154:CT154)</f>
        <v>-30.906188637458328</v>
      </c>
      <c r="CV154" s="898">
        <f>+CT154*0.572+0.112*CV136-0.2*CT146</f>
        <v>-16.18079364209089</v>
      </c>
      <c r="CW154" s="899">
        <f>+CV154*0.572+0.112*CW136-0.2*CV146</f>
        <v>2.288085464054376</v>
      </c>
      <c r="CX154" s="899">
        <f>+CW154*0.572+0.112*CX136-0.2*CW146</f>
        <v>15.347870193308324</v>
      </c>
      <c r="CY154" s="900">
        <f>+CX154*0.572+0.112*CY136-0.2*CX146</f>
        <v>27.653216532655108</v>
      </c>
      <c r="CZ154" s="615">
        <f>AVERAGE(CV154:CY154)</f>
        <v>7.2770946369817295</v>
      </c>
    </row>
    <row r="155" spans="1:104" ht="6.2" customHeight="1">
      <c r="A155" s="820"/>
      <c r="B155" s="66"/>
      <c r="C155" s="66"/>
      <c r="D155" s="101"/>
      <c r="E155" s="101"/>
      <c r="F155" s="101"/>
      <c r="G155" s="101"/>
      <c r="H155" s="101"/>
      <c r="I155" s="101"/>
      <c r="J155" s="220"/>
      <c r="K155" s="220"/>
      <c r="L155" s="220"/>
      <c r="M155" s="220"/>
      <c r="N155" s="101"/>
      <c r="O155" s="220"/>
      <c r="P155" s="220"/>
      <c r="Q155" s="220"/>
      <c r="R155" s="220"/>
      <c r="AS155" s="907"/>
      <c r="AT155" s="536"/>
      <c r="AU155" s="536"/>
      <c r="AV155" s="908"/>
      <c r="AX155" s="907"/>
      <c r="AY155" s="536"/>
      <c r="AZ155" s="536"/>
      <c r="BA155" s="908"/>
      <c r="BC155" s="907"/>
      <c r="BD155" s="536"/>
      <c r="BE155" s="536"/>
      <c r="BF155" s="908"/>
      <c r="BH155" s="907"/>
      <c r="BI155" s="536"/>
      <c r="BJ155" s="536"/>
      <c r="BK155" s="908"/>
      <c r="BM155" s="907"/>
      <c r="BN155" s="536"/>
      <c r="BO155" s="536"/>
      <c r="BP155" s="908"/>
      <c r="BR155" s="907"/>
      <c r="BS155" s="536"/>
      <c r="BT155" s="536"/>
      <c r="BU155" s="908"/>
      <c r="BW155" s="907"/>
      <c r="BX155" s="536"/>
      <c r="BY155" s="536"/>
      <c r="BZ155" s="908"/>
      <c r="CB155" s="907"/>
      <c r="CC155" s="536"/>
      <c r="CD155" s="536"/>
      <c r="CE155" s="908"/>
      <c r="CG155" s="907"/>
      <c r="CH155" s="536"/>
      <c r="CI155" s="536"/>
      <c r="CJ155" s="878"/>
      <c r="CK155" s="553"/>
      <c r="CL155" s="907"/>
      <c r="CM155" s="143"/>
      <c r="CN155" s="143"/>
      <c r="CO155" s="1032"/>
      <c r="CP155" s="22"/>
      <c r="CQ155" s="1061"/>
      <c r="CR155" s="143"/>
      <c r="CS155" s="143"/>
      <c r="CT155" s="1032"/>
      <c r="CU155" s="22"/>
      <c r="CV155" s="1061"/>
      <c r="CW155" s="143"/>
      <c r="CX155" s="143"/>
      <c r="CY155" s="1032"/>
      <c r="CZ155" s="22"/>
    </row>
    <row r="156" spans="1:104" ht="13.5" customHeight="1">
      <c r="A156" s="820"/>
      <c r="B156" s="66" t="s">
        <v>127</v>
      </c>
      <c r="C156" s="66"/>
      <c r="D156" s="101"/>
      <c r="E156" s="101"/>
      <c r="F156" s="101"/>
      <c r="G156" s="101"/>
      <c r="H156" s="101">
        <v>25.595011</v>
      </c>
      <c r="I156" s="101">
        <v>53.482337999999999</v>
      </c>
      <c r="J156" s="220">
        <f>N156/4</f>
        <v>1.5173795000000001</v>
      </c>
      <c r="K156" s="220">
        <f>N156/4</f>
        <v>1.5173795000000001</v>
      </c>
      <c r="L156" s="220">
        <f>N156/4</f>
        <v>1.5173795000000001</v>
      </c>
      <c r="M156" s="220">
        <f>N156/4</f>
        <v>1.5173795000000001</v>
      </c>
      <c r="N156" s="101">
        <v>6.0695180000000004</v>
      </c>
      <c r="O156" s="220">
        <f>S156/4</f>
        <v>3.5684999999999998</v>
      </c>
      <c r="P156" s="220">
        <f>S156/4</f>
        <v>3.5684999999999998</v>
      </c>
      <c r="Q156" s="220">
        <f>S156/4</f>
        <v>3.5684999999999998</v>
      </c>
      <c r="R156" s="220">
        <f>S156/4</f>
        <v>3.5684999999999998</v>
      </c>
      <c r="S156" s="101">
        <v>14.273999999999999</v>
      </c>
      <c r="T156" s="220">
        <f>X156/4</f>
        <v>1.81325</v>
      </c>
      <c r="U156" s="220">
        <f>X156/4</f>
        <v>1.81325</v>
      </c>
      <c r="V156" s="220">
        <f>X156/4</f>
        <v>1.81325</v>
      </c>
      <c r="W156" s="220">
        <f>X156/4</f>
        <v>1.81325</v>
      </c>
      <c r="X156" s="101">
        <v>7.2530000000000001</v>
      </c>
      <c r="Y156" s="220">
        <f>AC156/4</f>
        <v>4.5945</v>
      </c>
      <c r="Z156" s="220">
        <f>AC156/4</f>
        <v>4.5945</v>
      </c>
      <c r="AA156" s="220">
        <f>AC156/4</f>
        <v>4.5945</v>
      </c>
      <c r="AB156" s="220">
        <f>AC156/4</f>
        <v>4.5945</v>
      </c>
      <c r="AC156" s="101">
        <v>18.378</v>
      </c>
      <c r="AD156" s="629">
        <f>AH156/4</f>
        <v>4.5097500000000004</v>
      </c>
      <c r="AE156" s="629">
        <f>AH156/4</f>
        <v>4.5097500000000004</v>
      </c>
      <c r="AF156" s="629">
        <f>AH156/4</f>
        <v>4.5097500000000004</v>
      </c>
      <c r="AG156" s="629">
        <f>AH156/4</f>
        <v>4.5097500000000004</v>
      </c>
      <c r="AH156" s="530">
        <v>18.039000000000001</v>
      </c>
      <c r="AI156" s="629">
        <f>AM156/4</f>
        <v>22.585999999999999</v>
      </c>
      <c r="AJ156" s="629">
        <f>AM156/4</f>
        <v>22.585999999999999</v>
      </c>
      <c r="AK156" s="629">
        <f>AM156/4</f>
        <v>22.585999999999999</v>
      </c>
      <c r="AL156" s="629">
        <f>AM156/4</f>
        <v>22.585999999999999</v>
      </c>
      <c r="AM156" s="530">
        <v>90.343999999999994</v>
      </c>
      <c r="AN156" s="629">
        <f>AR156/4</f>
        <v>20.972249999999999</v>
      </c>
      <c r="AO156" s="629">
        <f>AR156/4</f>
        <v>20.972249999999999</v>
      </c>
      <c r="AP156" s="629">
        <f>AR156/4</f>
        <v>20.972249999999999</v>
      </c>
      <c r="AQ156" s="629">
        <f>AR156/4</f>
        <v>20.972249999999999</v>
      </c>
      <c r="AR156" s="530">
        <v>83.888999999999996</v>
      </c>
      <c r="AS156" s="921">
        <f>AW156/4</f>
        <v>9.4002499999999998</v>
      </c>
      <c r="AT156" s="587">
        <f>AW156/4</f>
        <v>9.4002499999999998</v>
      </c>
      <c r="AU156" s="587">
        <f>AW156/4</f>
        <v>9.4002499999999998</v>
      </c>
      <c r="AV156" s="922">
        <f>AW156/4</f>
        <v>9.4002499999999998</v>
      </c>
      <c r="AW156" s="530">
        <v>37.600999999999999</v>
      </c>
      <c r="AX156" s="921">
        <f>BB156/4</f>
        <v>5.3302500000000004</v>
      </c>
      <c r="AY156" s="587">
        <f>BB156/4</f>
        <v>5.3302500000000004</v>
      </c>
      <c r="AZ156" s="587">
        <f>BB156/4</f>
        <v>5.3302500000000004</v>
      </c>
      <c r="BA156" s="922">
        <f>BB156/4</f>
        <v>5.3302500000000004</v>
      </c>
      <c r="BB156" s="530">
        <v>21.321000000000002</v>
      </c>
      <c r="BC156" s="921">
        <f>BG156/4</f>
        <v>5.2294999999999998</v>
      </c>
      <c r="BD156" s="587">
        <f>BG156/4</f>
        <v>5.2294999999999998</v>
      </c>
      <c r="BE156" s="587">
        <f>BG156/4</f>
        <v>5.2294999999999998</v>
      </c>
      <c r="BF156" s="922">
        <f>BG156/4</f>
        <v>5.2294999999999998</v>
      </c>
      <c r="BG156" s="530">
        <v>20.917999999999999</v>
      </c>
      <c r="BH156" s="921">
        <f>BL156/4</f>
        <v>7.9245000000000001</v>
      </c>
      <c r="BI156" s="587">
        <f>BL156/4</f>
        <v>7.9245000000000001</v>
      </c>
      <c r="BJ156" s="587">
        <f>BL156/4</f>
        <v>7.9245000000000001</v>
      </c>
      <c r="BK156" s="922">
        <f>BL156/4</f>
        <v>7.9245000000000001</v>
      </c>
      <c r="BL156" s="530">
        <v>31.698</v>
      </c>
      <c r="BM156" s="921">
        <f>BQ156/4</f>
        <v>5.6180000000000003</v>
      </c>
      <c r="BN156" s="587">
        <f>BQ156/4</f>
        <v>5.6180000000000003</v>
      </c>
      <c r="BO156" s="587">
        <f>BQ156/4</f>
        <v>5.6180000000000003</v>
      </c>
      <c r="BP156" s="922">
        <f>BQ156/4</f>
        <v>5.6180000000000003</v>
      </c>
      <c r="BQ156" s="530">
        <v>22.472000000000001</v>
      </c>
      <c r="BR156" s="921">
        <f>BV156/4</f>
        <v>6.8155000000000001</v>
      </c>
      <c r="BS156" s="587">
        <f>BV156/4</f>
        <v>6.8155000000000001</v>
      </c>
      <c r="BT156" s="587">
        <f>BV156/4</f>
        <v>6.8155000000000001</v>
      </c>
      <c r="BU156" s="922">
        <f>BV156/4</f>
        <v>6.8155000000000001</v>
      </c>
      <c r="BV156" s="530">
        <v>27.262</v>
      </c>
      <c r="BW156" s="921">
        <f>CA156/4</f>
        <v>10.322749999999999</v>
      </c>
      <c r="BX156" s="587">
        <f>CA156/4</f>
        <v>10.322749999999999</v>
      </c>
      <c r="BY156" s="587">
        <f>CA156/4</f>
        <v>10.322749999999999</v>
      </c>
      <c r="BZ156" s="922">
        <f>CA156/4</f>
        <v>10.322749999999999</v>
      </c>
      <c r="CA156" s="530">
        <v>41.290999999999997</v>
      </c>
      <c r="CB156" s="921">
        <f>CF156/4</f>
        <v>7.6745000000000001</v>
      </c>
      <c r="CC156" s="587">
        <f>CF156/4</f>
        <v>7.6745000000000001</v>
      </c>
      <c r="CD156" s="587">
        <f>CF156/4</f>
        <v>7.6745000000000001</v>
      </c>
      <c r="CE156" s="922">
        <f>CF156/4</f>
        <v>7.6745000000000001</v>
      </c>
      <c r="CF156" s="530">
        <v>30.698</v>
      </c>
      <c r="CG156" s="921">
        <f>CK156/4</f>
        <v>17.12425</v>
      </c>
      <c r="CH156" s="587">
        <f>CK156/4</f>
        <v>17.12425</v>
      </c>
      <c r="CI156" s="587">
        <f>CK156/4</f>
        <v>17.12425</v>
      </c>
      <c r="CJ156" s="922">
        <f>CK156/4</f>
        <v>17.12425</v>
      </c>
      <c r="CK156" s="530">
        <v>68.497</v>
      </c>
      <c r="CL156" s="1033"/>
      <c r="CM156" s="1057"/>
      <c r="CN156" s="1057"/>
      <c r="CO156" s="1058"/>
      <c r="CP156" s="364"/>
      <c r="CQ156" s="1062"/>
      <c r="CR156" s="1057"/>
      <c r="CS156" s="1057"/>
      <c r="CT156" s="1058"/>
      <c r="CU156" s="364"/>
      <c r="CV156" s="1062"/>
      <c r="CW156" s="1057"/>
      <c r="CX156" s="1057"/>
      <c r="CY156" s="1058"/>
      <c r="CZ156" s="364"/>
    </row>
    <row r="157" spans="1:104" ht="13.5" customHeight="1">
      <c r="A157" s="820"/>
      <c r="B157" s="66"/>
      <c r="C157" s="66" t="s">
        <v>145</v>
      </c>
      <c r="D157" s="101"/>
      <c r="E157" s="101"/>
      <c r="F157" s="101"/>
      <c r="G157" s="101"/>
      <c r="H157" s="101">
        <f t="shared" ref="H157:AM157" si="308">H156/H126*1000</f>
        <v>18.152490070921985</v>
      </c>
      <c r="I157" s="101">
        <f t="shared" si="308"/>
        <v>44.383682987551865</v>
      </c>
      <c r="J157" s="101">
        <f t="shared" si="308"/>
        <v>6.597302173913044</v>
      </c>
      <c r="K157" s="101">
        <f t="shared" si="308"/>
        <v>5.3807783687943269</v>
      </c>
      <c r="L157" s="101">
        <f t="shared" si="308"/>
        <v>4.7866861198738171</v>
      </c>
      <c r="M157" s="101">
        <f t="shared" si="308"/>
        <v>5.0748478260869572</v>
      </c>
      <c r="N157" s="101">
        <f t="shared" si="308"/>
        <v>5.3807783687943269</v>
      </c>
      <c r="O157" s="101">
        <f t="shared" si="308"/>
        <v>12.565140845070422</v>
      </c>
      <c r="P157" s="101">
        <f t="shared" si="308"/>
        <v>11.7</v>
      </c>
      <c r="Q157" s="101">
        <f t="shared" si="308"/>
        <v>11.116822429906541</v>
      </c>
      <c r="R157" s="101">
        <f t="shared" si="308"/>
        <v>11.895</v>
      </c>
      <c r="S157" s="101">
        <f t="shared" si="308"/>
        <v>11.796694214876032</v>
      </c>
      <c r="T157" s="101">
        <f t="shared" si="308"/>
        <v>6.0240863787375423</v>
      </c>
      <c r="U157" s="101">
        <f t="shared" si="308"/>
        <v>5.2710755813953485</v>
      </c>
      <c r="V157" s="101">
        <f t="shared" si="308"/>
        <v>5.0649441340782122</v>
      </c>
      <c r="W157" s="101">
        <f t="shared" si="308"/>
        <v>5.6841692789968645</v>
      </c>
      <c r="X157" s="101">
        <f t="shared" si="308"/>
        <v>5.4863842662632374</v>
      </c>
      <c r="Y157" s="101">
        <f t="shared" si="308"/>
        <v>14.05045871559633</v>
      </c>
      <c r="Z157" s="101">
        <f t="shared" si="308"/>
        <v>12.417567567567568</v>
      </c>
      <c r="AA157" s="101">
        <f t="shared" si="308"/>
        <v>11.96484375</v>
      </c>
      <c r="AB157" s="101">
        <f t="shared" si="308"/>
        <v>12.622252747252748</v>
      </c>
      <c r="AC157" s="101">
        <f t="shared" si="308"/>
        <v>12.71833910034602</v>
      </c>
      <c r="AD157" s="555">
        <f t="shared" si="308"/>
        <v>12.597067039106147</v>
      </c>
      <c r="AE157" s="555">
        <f t="shared" si="308"/>
        <v>12.221544715447155</v>
      </c>
      <c r="AF157" s="555">
        <f t="shared" si="308"/>
        <v>11.867763157894737</v>
      </c>
      <c r="AG157" s="555">
        <f t="shared" si="308"/>
        <v>12.457872928176796</v>
      </c>
      <c r="AH157" s="555">
        <f t="shared" si="308"/>
        <v>12.279782164737917</v>
      </c>
      <c r="AI157" s="555">
        <f t="shared" si="308"/>
        <v>53.268867924528301</v>
      </c>
      <c r="AJ157" s="555">
        <f t="shared" si="308"/>
        <v>30.897400820793433</v>
      </c>
      <c r="AK157" s="555">
        <f t="shared" si="308"/>
        <v>30.813096862210092</v>
      </c>
      <c r="AL157" s="555">
        <f t="shared" si="308"/>
        <v>27.645042839657279</v>
      </c>
      <c r="AM157" s="555">
        <f t="shared" si="308"/>
        <v>33.398890942698706</v>
      </c>
      <c r="AN157" s="555">
        <f t="shared" ref="AN157:BS157" si="309">AN156/AN126*1000</f>
        <v>16.710956175298801</v>
      </c>
      <c r="AO157" s="555">
        <f t="shared" si="309"/>
        <v>8.9625000000000004</v>
      </c>
      <c r="AP157" s="555">
        <f t="shared" si="309"/>
        <v>10.418405365126675</v>
      </c>
      <c r="AQ157" s="555">
        <f t="shared" si="309"/>
        <v>15.044655667144905</v>
      </c>
      <c r="AR157" s="555">
        <f t="shared" si="309"/>
        <v>11.980719794344473</v>
      </c>
      <c r="AS157" s="923">
        <f t="shared" si="309"/>
        <v>7.372745098039216</v>
      </c>
      <c r="AT157" s="574">
        <f t="shared" si="309"/>
        <v>6.0764382676147379</v>
      </c>
      <c r="AU157" s="574">
        <f t="shared" si="309"/>
        <v>6.671575585521647</v>
      </c>
      <c r="AV157" s="924">
        <f t="shared" si="309"/>
        <v>7.4017716535433067</v>
      </c>
      <c r="AW157" s="555">
        <f t="shared" si="309"/>
        <v>6.8353026722414105</v>
      </c>
      <c r="AX157" s="923">
        <f t="shared" si="309"/>
        <v>3.7248427672955975</v>
      </c>
      <c r="AY157" s="574">
        <f t="shared" si="309"/>
        <v>3.2640845070422535</v>
      </c>
      <c r="AZ157" s="574">
        <f t="shared" si="309"/>
        <v>3.2501524390243901</v>
      </c>
      <c r="BA157" s="924">
        <f t="shared" si="309"/>
        <v>3.5677710843373496</v>
      </c>
      <c r="BB157" s="555">
        <f t="shared" si="309"/>
        <v>3.4399806389157797</v>
      </c>
      <c r="BC157" s="975">
        <f t="shared" si="309"/>
        <v>3.3522435897435896</v>
      </c>
      <c r="BD157" s="573">
        <f t="shared" si="309"/>
        <v>3.3826002587322122</v>
      </c>
      <c r="BE157" s="573">
        <f t="shared" si="309"/>
        <v>3.2869264613450659</v>
      </c>
      <c r="BF157" s="976">
        <f t="shared" si="309"/>
        <v>3.3716956802063183</v>
      </c>
      <c r="BG157" s="556">
        <f t="shared" si="309"/>
        <v>3.3479513444302174</v>
      </c>
      <c r="BH157" s="975">
        <f t="shared" si="309"/>
        <v>5.9537941397445531</v>
      </c>
      <c r="BI157" s="573">
        <f t="shared" si="309"/>
        <v>5.3689024390243905</v>
      </c>
      <c r="BJ157" s="573">
        <f t="shared" si="309"/>
        <v>5.4463917525773198</v>
      </c>
      <c r="BK157" s="976">
        <f t="shared" si="309"/>
        <v>5.8397199705232135</v>
      </c>
      <c r="BL157" s="555">
        <f t="shared" si="309"/>
        <v>5.6412172984516822</v>
      </c>
      <c r="BM157" s="975">
        <f t="shared" si="309"/>
        <v>4.0947521865889218</v>
      </c>
      <c r="BN157" s="573">
        <f t="shared" si="309"/>
        <v>3.5897763578274762</v>
      </c>
      <c r="BO157" s="573">
        <f t="shared" si="309"/>
        <v>3.6815203145478375</v>
      </c>
      <c r="BP157" s="976">
        <f t="shared" si="309"/>
        <v>3.6623207301173406</v>
      </c>
      <c r="BQ157" s="555">
        <f t="shared" si="309"/>
        <v>3.7472069368017347</v>
      </c>
      <c r="BR157" s="975">
        <f t="shared" si="309"/>
        <v>4.2891755821271245</v>
      </c>
      <c r="BS157" s="573">
        <f t="shared" si="309"/>
        <v>3.9533062645011601</v>
      </c>
      <c r="BT157" s="573">
        <f t="shared" ref="BT157:CY157" si="310">BT156/BT126*1000</f>
        <v>3.5258665287118469</v>
      </c>
      <c r="BU157" s="976">
        <f t="shared" si="310"/>
        <v>4.5864737550471064</v>
      </c>
      <c r="BV157" s="555">
        <f t="shared" si="310"/>
        <v>4.0496137849079021</v>
      </c>
      <c r="BW157" s="975">
        <f t="shared" si="310"/>
        <v>7.0222789115646256</v>
      </c>
      <c r="BX157" s="573">
        <f t="shared" si="310"/>
        <v>6.9889979688557888</v>
      </c>
      <c r="BY157" s="573">
        <f t="shared" si="310"/>
        <v>7.153672903672903</v>
      </c>
      <c r="BZ157" s="976">
        <f t="shared" si="310"/>
        <v>8.03952492211838</v>
      </c>
      <c r="CA157" s="555">
        <f t="shared" si="310"/>
        <v>7.2772294677476195</v>
      </c>
      <c r="CB157" s="975">
        <f t="shared" si="310"/>
        <v>6.1445156124899922</v>
      </c>
      <c r="CC157" s="573">
        <f t="shared" si="310"/>
        <v>5.5814545454545454</v>
      </c>
      <c r="CD157" s="573">
        <f t="shared" si="310"/>
        <v>5.3893960674157304</v>
      </c>
      <c r="CE157" s="976">
        <f t="shared" si="310"/>
        <v>5.1265865063460261</v>
      </c>
      <c r="CF157" s="556">
        <f t="shared" si="310"/>
        <v>5.536158701532913</v>
      </c>
      <c r="CG157" s="975">
        <f t="shared" ref="CG157:CK157" si="311">CG156/CG126*1000</f>
        <v>9.9328596287703022</v>
      </c>
      <c r="CH157" s="573">
        <f t="shared" si="311"/>
        <v>9.5240545050055623</v>
      </c>
      <c r="CI157" s="573">
        <f t="shared" si="311"/>
        <v>8.9188802083333343</v>
      </c>
      <c r="CJ157" s="976">
        <f t="shared" si="311"/>
        <v>8.9515159435441713</v>
      </c>
      <c r="CK157" s="556">
        <f t="shared" si="311"/>
        <v>9.3129843643779733</v>
      </c>
      <c r="CL157" s="975">
        <f t="shared" ref="CL157" si="312">CL156/CL126*1000</f>
        <v>0</v>
      </c>
      <c r="CM157" s="573">
        <f t="shared" si="310"/>
        <v>0</v>
      </c>
      <c r="CN157" s="573">
        <f t="shared" si="310"/>
        <v>0</v>
      </c>
      <c r="CO157" s="976">
        <f t="shared" si="310"/>
        <v>0</v>
      </c>
      <c r="CP157" s="556">
        <f t="shared" si="310"/>
        <v>0</v>
      </c>
      <c r="CQ157" s="975">
        <f t="shared" si="310"/>
        <v>0</v>
      </c>
      <c r="CR157" s="573">
        <f t="shared" si="310"/>
        <v>0</v>
      </c>
      <c r="CS157" s="573">
        <f t="shared" si="310"/>
        <v>0</v>
      </c>
      <c r="CT157" s="976">
        <f t="shared" si="310"/>
        <v>0</v>
      </c>
      <c r="CU157" s="556">
        <f t="shared" si="310"/>
        <v>0</v>
      </c>
      <c r="CV157" s="975">
        <f t="shared" si="310"/>
        <v>0</v>
      </c>
      <c r="CW157" s="573">
        <f t="shared" si="310"/>
        <v>0</v>
      </c>
      <c r="CX157" s="573">
        <f t="shared" si="310"/>
        <v>0</v>
      </c>
      <c r="CY157" s="976">
        <f t="shared" si="310"/>
        <v>0</v>
      </c>
      <c r="CZ157" s="556">
        <f t="shared" ref="CZ157" si="313">CZ156/CZ126*1000</f>
        <v>0</v>
      </c>
    </row>
    <row r="158" spans="1:104" ht="13.5" customHeight="1">
      <c r="A158" s="819"/>
      <c r="B158" s="1315" t="s">
        <v>691</v>
      </c>
      <c r="C158" s="66"/>
      <c r="D158" s="66"/>
      <c r="E158" s="66"/>
      <c r="F158" s="66"/>
      <c r="G158" s="66"/>
      <c r="H158" s="210"/>
      <c r="I158" s="210"/>
      <c r="J158" s="210"/>
      <c r="K158" s="210"/>
      <c r="L158" s="210"/>
      <c r="M158" s="210"/>
      <c r="N158" s="210"/>
      <c r="O158" s="210"/>
      <c r="P158" s="210"/>
      <c r="Q158" s="210"/>
      <c r="R158" s="210"/>
      <c r="S158" s="549"/>
      <c r="T158" s="210"/>
      <c r="U158" s="210"/>
      <c r="V158" s="210"/>
      <c r="W158" s="210"/>
      <c r="X158" s="549"/>
      <c r="Y158" s="500"/>
      <c r="Z158" s="500"/>
      <c r="AA158" s="500"/>
      <c r="AB158" s="500"/>
      <c r="AC158" s="549"/>
      <c r="AD158" s="500"/>
      <c r="AE158" s="500"/>
      <c r="AF158" s="500"/>
      <c r="AG158" s="500"/>
      <c r="AH158" s="549"/>
      <c r="AI158" s="500"/>
      <c r="AJ158" s="500"/>
      <c r="AK158" s="500"/>
      <c r="AL158" s="500"/>
      <c r="AM158" s="549"/>
      <c r="AN158" s="500"/>
      <c r="AO158" s="500"/>
      <c r="AP158" s="500"/>
      <c r="AQ158" s="500"/>
      <c r="AR158" s="549"/>
      <c r="AS158" s="850"/>
      <c r="AT158" s="509"/>
      <c r="AU158" s="509"/>
      <c r="AV158" s="851"/>
      <c r="AW158" s="549"/>
      <c r="AX158" s="850"/>
      <c r="AY158" s="509"/>
      <c r="AZ158" s="509"/>
      <c r="BA158" s="851"/>
      <c r="BB158" s="549"/>
      <c r="BC158" s="850"/>
      <c r="BD158" s="509"/>
      <c r="BE158" s="509"/>
      <c r="BF158" s="950"/>
      <c r="BG158" s="504"/>
      <c r="BH158" s="850"/>
      <c r="BI158" s="509"/>
      <c r="BJ158" s="509"/>
      <c r="BK158" s="851"/>
      <c r="BL158" s="500"/>
      <c r="BM158" s="850"/>
      <c r="BN158" s="509"/>
      <c r="BO158" s="509"/>
      <c r="BP158" s="851"/>
      <c r="BQ158" s="549"/>
      <c r="BR158" s="850"/>
      <c r="BS158" s="509"/>
      <c r="BT158" s="509"/>
      <c r="BU158" s="851"/>
      <c r="BV158" s="549"/>
      <c r="BW158" s="850"/>
      <c r="BX158" s="509"/>
      <c r="BY158" s="509"/>
      <c r="BZ158" s="851"/>
      <c r="CA158" s="549"/>
      <c r="CB158" s="1003"/>
      <c r="CC158" s="510"/>
      <c r="CD158" s="510"/>
      <c r="CE158" s="950">
        <v>737</v>
      </c>
      <c r="CF158" s="549">
        <f>AVERAGE(CB158:CE158)</f>
        <v>737</v>
      </c>
      <c r="CG158" s="850">
        <v>955</v>
      </c>
      <c r="CH158" s="509">
        <v>1005</v>
      </c>
      <c r="CI158" s="509">
        <v>1009</v>
      </c>
      <c r="CJ158" s="1292">
        <v>1031</v>
      </c>
      <c r="CK158" s="539">
        <f>AVERAGE(CG158:CJ158)</f>
        <v>1000</v>
      </c>
      <c r="CL158" s="1312"/>
      <c r="CM158" s="945"/>
      <c r="CN158" s="945"/>
      <c r="CO158" s="946"/>
      <c r="CP158" s="539"/>
      <c r="CQ158" s="982"/>
      <c r="CR158" s="945"/>
      <c r="CS158" s="945"/>
      <c r="CT158" s="946"/>
      <c r="CU158" s="539"/>
      <c r="CV158" s="982"/>
      <c r="CW158" s="945"/>
      <c r="CX158" s="945"/>
      <c r="CY158" s="946"/>
      <c r="CZ158" s="539"/>
    </row>
    <row r="159" spans="1:104" ht="13.5" customHeight="1">
      <c r="A159" s="819"/>
      <c r="B159" s="1315" t="s">
        <v>692</v>
      </c>
      <c r="C159" s="82"/>
      <c r="D159" s="82"/>
      <c r="E159" s="82"/>
      <c r="F159" s="82"/>
      <c r="G159" s="82"/>
      <c r="H159" s="542"/>
      <c r="I159" s="542"/>
      <c r="J159" s="549"/>
      <c r="K159" s="549"/>
      <c r="L159" s="549"/>
      <c r="M159" s="549"/>
      <c r="N159" s="530"/>
      <c r="O159" s="549"/>
      <c r="P159" s="549"/>
      <c r="Q159" s="549"/>
      <c r="R159" s="549"/>
      <c r="S159" s="530"/>
      <c r="T159" s="549"/>
      <c r="U159" s="549"/>
      <c r="V159" s="549"/>
      <c r="W159" s="549"/>
      <c r="X159" s="530"/>
      <c r="Y159" s="549"/>
      <c r="Z159" s="549"/>
      <c r="AA159" s="549"/>
      <c r="AB159" s="549"/>
      <c r="AC159" s="530"/>
      <c r="AD159" s="549"/>
      <c r="AE159" s="549"/>
      <c r="AF159" s="549"/>
      <c r="AG159" s="549"/>
      <c r="AH159" s="530"/>
      <c r="AI159" s="549"/>
      <c r="AJ159" s="549"/>
      <c r="AK159" s="549"/>
      <c r="AL159" s="549"/>
      <c r="AM159" s="530"/>
      <c r="AN159" s="549"/>
      <c r="AO159" s="549"/>
      <c r="AP159" s="549"/>
      <c r="AQ159" s="549"/>
      <c r="AR159" s="530"/>
      <c r="AS159" s="838"/>
      <c r="AT159" s="598"/>
      <c r="AU159" s="598"/>
      <c r="AV159" s="839"/>
      <c r="AW159" s="555"/>
      <c r="AX159" s="838"/>
      <c r="AY159" s="598"/>
      <c r="AZ159" s="598"/>
      <c r="BA159" s="839"/>
      <c r="BB159" s="500"/>
      <c r="BC159" s="838"/>
      <c r="BD159" s="598"/>
      <c r="BE159" s="598"/>
      <c r="BF159" s="910"/>
      <c r="BG159" s="549"/>
      <c r="BH159" s="838"/>
      <c r="BI159" s="598"/>
      <c r="BJ159" s="598"/>
      <c r="BK159" s="839"/>
      <c r="BL159" s="555"/>
      <c r="BM159" s="838"/>
      <c r="BN159" s="598"/>
      <c r="BO159" s="598"/>
      <c r="BP159" s="839"/>
      <c r="BQ159" s="206"/>
      <c r="BR159" s="838"/>
      <c r="BS159" s="598"/>
      <c r="BT159" s="598"/>
      <c r="BU159" s="903"/>
      <c r="BV159" s="399"/>
      <c r="BW159" s="838"/>
      <c r="BX159" s="598"/>
      <c r="BY159" s="598"/>
      <c r="BZ159" s="839"/>
      <c r="CA159" s="770"/>
      <c r="CB159" s="838"/>
      <c r="CC159" s="598"/>
      <c r="CD159" s="598"/>
      <c r="CE159" s="839">
        <f>CF159/365*CE$106</f>
        <v>315.0684931506849</v>
      </c>
      <c r="CF159" s="2">
        <v>1250</v>
      </c>
      <c r="CG159" s="838">
        <f>CK159/365*CG$106</f>
        <v>308.21917808219177</v>
      </c>
      <c r="CH159" s="598">
        <f>CK159/365*CH$106</f>
        <v>311.64383561643837</v>
      </c>
      <c r="CI159" s="598">
        <f>CK159/365*CI$106</f>
        <v>315.0684931506849</v>
      </c>
      <c r="CJ159" s="839">
        <f>CK159/365*CJ$106</f>
        <v>315.0684931506849</v>
      </c>
      <c r="CK159" s="788">
        <v>1250</v>
      </c>
      <c r="CL159" s="838">
        <f>CP159*90/365</f>
        <v>308.21917808219177</v>
      </c>
      <c r="CM159" s="598">
        <f>CP159*91/365</f>
        <v>311.64383561643837</v>
      </c>
      <c r="CN159" s="598">
        <f>CP159*92/365</f>
        <v>315.06849315068496</v>
      </c>
      <c r="CO159" s="839">
        <f>CP159*92/365</f>
        <v>315.06849315068496</v>
      </c>
      <c r="CP159" s="788">
        <v>1250</v>
      </c>
      <c r="CQ159" s="838">
        <f>CU159*90/365</f>
        <v>308.21917808219177</v>
      </c>
      <c r="CR159" s="598">
        <f>CU159*91/365</f>
        <v>311.64383561643837</v>
      </c>
      <c r="CS159" s="598">
        <f>CU159*92/365</f>
        <v>315.06849315068496</v>
      </c>
      <c r="CT159" s="839">
        <f>CU159*92/365</f>
        <v>315.06849315068496</v>
      </c>
      <c r="CU159" s="788">
        <v>1250</v>
      </c>
      <c r="CV159" s="838">
        <f>CZ159*90/365</f>
        <v>308.21917808219177</v>
      </c>
      <c r="CW159" s="598">
        <f>CZ159*91/365</f>
        <v>311.64383561643837</v>
      </c>
      <c r="CX159" s="598">
        <f>CZ159*92/365</f>
        <v>315.06849315068496</v>
      </c>
      <c r="CY159" s="839">
        <f>CZ159*92/365</f>
        <v>315.06849315068496</v>
      </c>
      <c r="CZ159" s="788">
        <v>1250</v>
      </c>
    </row>
    <row r="160" spans="1:104" ht="13.5" customHeight="1">
      <c r="A160" s="819"/>
      <c r="B160" s="1315" t="s">
        <v>693</v>
      </c>
      <c r="C160" s="1316"/>
      <c r="D160" s="66"/>
      <c r="E160" s="66"/>
      <c r="F160" s="66"/>
      <c r="G160" s="66"/>
      <c r="H160" s="66"/>
      <c r="I160" s="66"/>
      <c r="J160" s="66"/>
      <c r="K160" s="66"/>
      <c r="L160" s="66"/>
      <c r="M160" s="66"/>
      <c r="N160" s="66"/>
      <c r="O160" s="66"/>
      <c r="P160" s="66"/>
      <c r="Q160" s="66"/>
      <c r="R160" s="66"/>
      <c r="S160" s="549"/>
      <c r="T160" s="66"/>
      <c r="U160" s="66"/>
      <c r="V160" s="66"/>
      <c r="W160" s="66"/>
      <c r="X160" s="549"/>
      <c r="Y160" s="550"/>
      <c r="Z160" s="550"/>
      <c r="AA160" s="550"/>
      <c r="AB160" s="550"/>
      <c r="AC160" s="550"/>
      <c r="AD160" s="550"/>
      <c r="AE160" s="550"/>
      <c r="AF160" s="550"/>
      <c r="AG160" s="550"/>
      <c r="AH160" s="550"/>
      <c r="AI160" s="550"/>
      <c r="AJ160" s="550"/>
      <c r="AK160" s="550"/>
      <c r="AL160" s="550"/>
      <c r="AM160" s="550"/>
      <c r="AN160" s="550"/>
      <c r="AO160" s="550"/>
      <c r="AP160" s="550"/>
      <c r="AQ160" s="550"/>
      <c r="AR160" s="550"/>
      <c r="AS160" s="889"/>
      <c r="AT160" s="550"/>
      <c r="AU160" s="550"/>
      <c r="AV160" s="890"/>
      <c r="AW160" s="550"/>
      <c r="AX160" s="889"/>
      <c r="AY160" s="550"/>
      <c r="AZ160" s="550"/>
      <c r="BA160" s="890"/>
      <c r="BB160" s="550"/>
      <c r="BC160" s="889"/>
      <c r="BD160" s="550"/>
      <c r="BE160" s="550"/>
      <c r="BF160" s="970"/>
      <c r="BG160" s="577"/>
      <c r="BH160" s="889"/>
      <c r="BI160" s="550"/>
      <c r="BJ160" s="550"/>
      <c r="BK160" s="970"/>
      <c r="BL160" s="577"/>
      <c r="BM160" s="990"/>
      <c r="BN160" s="577"/>
      <c r="BO160" s="577"/>
      <c r="BP160" s="970"/>
      <c r="BQ160" s="577"/>
      <c r="BR160" s="990"/>
      <c r="BS160" s="577"/>
      <c r="BT160" s="577"/>
      <c r="BU160" s="970"/>
      <c r="BV160" s="577"/>
      <c r="BW160" s="990"/>
      <c r="BX160" s="577"/>
      <c r="BY160" s="577"/>
      <c r="BZ160" s="970"/>
      <c r="CA160" s="577"/>
      <c r="CB160" s="990"/>
      <c r="CC160" s="577"/>
      <c r="CD160" s="577"/>
      <c r="CE160" s="970">
        <f t="shared" ref="CE160:CZ160" si="314">CE124*CE158/1000</f>
        <v>60.433999999999997</v>
      </c>
      <c r="CF160" s="577">
        <f t="shared" si="314"/>
        <v>60.433999999999997</v>
      </c>
      <c r="CG160" s="990">
        <f t="shared" si="314"/>
        <v>212.965</v>
      </c>
      <c r="CH160" s="577">
        <f t="shared" si="314"/>
        <v>228.13499999999999</v>
      </c>
      <c r="CI160" s="577">
        <f t="shared" si="314"/>
        <v>244.178</v>
      </c>
      <c r="CJ160" s="970">
        <f t="shared" si="314"/>
        <v>231.97499999999999</v>
      </c>
      <c r="CK160" s="577">
        <f t="shared" si="314"/>
        <v>917</v>
      </c>
      <c r="CL160" s="990">
        <f t="shared" si="314"/>
        <v>0</v>
      </c>
      <c r="CM160" s="577">
        <f t="shared" si="314"/>
        <v>0</v>
      </c>
      <c r="CN160" s="577">
        <f t="shared" si="314"/>
        <v>0</v>
      </c>
      <c r="CO160" s="970">
        <f t="shared" si="314"/>
        <v>0</v>
      </c>
      <c r="CP160" s="577">
        <f t="shared" si="314"/>
        <v>0</v>
      </c>
      <c r="CQ160" s="990">
        <f t="shared" si="314"/>
        <v>0</v>
      </c>
      <c r="CR160" s="577">
        <f t="shared" si="314"/>
        <v>0</v>
      </c>
      <c r="CS160" s="577">
        <f t="shared" si="314"/>
        <v>0</v>
      </c>
      <c r="CT160" s="970">
        <f t="shared" si="314"/>
        <v>0</v>
      </c>
      <c r="CU160" s="577">
        <f t="shared" si="314"/>
        <v>0</v>
      </c>
      <c r="CV160" s="990">
        <f t="shared" si="314"/>
        <v>0</v>
      </c>
      <c r="CW160" s="577">
        <f t="shared" si="314"/>
        <v>0</v>
      </c>
      <c r="CX160" s="577">
        <f t="shared" si="314"/>
        <v>0</v>
      </c>
      <c r="CY160" s="970">
        <f t="shared" si="314"/>
        <v>0</v>
      </c>
      <c r="CZ160" s="577">
        <f t="shared" si="314"/>
        <v>0</v>
      </c>
    </row>
    <row r="161" spans="1:104" ht="6.2" customHeight="1">
      <c r="AS161" s="907"/>
      <c r="AT161" s="536"/>
      <c r="AU161" s="536"/>
      <c r="AV161" s="908"/>
      <c r="AX161" s="907"/>
      <c r="AY161" s="536"/>
      <c r="AZ161" s="536"/>
      <c r="BA161" s="908"/>
      <c r="BC161" s="907"/>
      <c r="BD161" s="536"/>
      <c r="BE161" s="536"/>
      <c r="BF161" s="908"/>
      <c r="BH161" s="907"/>
      <c r="BI161" s="536"/>
      <c r="BJ161" s="536"/>
      <c r="BK161" s="908"/>
      <c r="BM161" s="907"/>
      <c r="BN161" s="536"/>
      <c r="BO161" s="536"/>
      <c r="BP161" s="908"/>
      <c r="BR161" s="907"/>
      <c r="BS161" s="536"/>
      <c r="BT161" s="536"/>
      <c r="BU161" s="908"/>
      <c r="BW161" s="907"/>
      <c r="BX161" s="536"/>
      <c r="BY161" s="536"/>
      <c r="BZ161" s="908"/>
      <c r="CB161" s="907"/>
      <c r="CC161" s="536"/>
      <c r="CD161" s="536"/>
      <c r="CE161" s="908"/>
      <c r="CG161" s="907"/>
      <c r="CH161" s="536"/>
      <c r="CI161" s="536"/>
      <c r="CJ161" s="908"/>
      <c r="CL161" s="907"/>
      <c r="CM161" s="536"/>
      <c r="CN161" s="536"/>
      <c r="CO161" s="908"/>
      <c r="CQ161" s="907"/>
      <c r="CR161" s="536"/>
      <c r="CS161" s="536"/>
      <c r="CT161" s="908"/>
      <c r="CV161" s="907"/>
      <c r="CW161" s="536"/>
      <c r="CX161" s="536"/>
      <c r="CY161" s="908"/>
    </row>
    <row r="162" spans="1:104" ht="13.5" customHeight="1">
      <c r="A162" s="817" t="s">
        <v>628</v>
      </c>
      <c r="B162" s="743"/>
      <c r="C162" s="743"/>
      <c r="D162" s="744"/>
      <c r="E162" s="744"/>
      <c r="F162" s="744"/>
      <c r="G162" s="744"/>
      <c r="H162" s="744"/>
      <c r="I162" s="744"/>
      <c r="J162" s="744"/>
      <c r="K162" s="744"/>
      <c r="L162" s="744"/>
      <c r="M162" s="744"/>
      <c r="N162" s="744"/>
      <c r="O162" s="744"/>
      <c r="P162" s="744"/>
      <c r="Q162" s="744"/>
      <c r="R162" s="744"/>
      <c r="S162" s="744"/>
      <c r="T162" s="744"/>
      <c r="U162" s="744"/>
      <c r="V162" s="744"/>
      <c r="W162" s="744"/>
      <c r="X162" s="744"/>
      <c r="Y162" s="744"/>
      <c r="Z162" s="744"/>
      <c r="AA162" s="744"/>
      <c r="AB162" s="744"/>
      <c r="AC162" s="744"/>
      <c r="AD162" s="744"/>
      <c r="AE162" s="744"/>
      <c r="AF162" s="744"/>
      <c r="AG162" s="744"/>
      <c r="AH162" s="744"/>
      <c r="AI162" s="744"/>
      <c r="AJ162" s="744"/>
      <c r="AK162" s="744"/>
      <c r="AL162" s="744"/>
      <c r="AM162" s="744"/>
      <c r="AN162" s="744"/>
      <c r="AO162" s="744"/>
      <c r="AP162" s="744"/>
      <c r="AQ162" s="744"/>
      <c r="AR162" s="743"/>
      <c r="AS162" s="845"/>
      <c r="AT162" s="744"/>
      <c r="AU162" s="744"/>
      <c r="AV162" s="846"/>
      <c r="AW162" s="743"/>
      <c r="AX162" s="845"/>
      <c r="AY162" s="744"/>
      <c r="AZ162" s="744"/>
      <c r="BA162" s="846"/>
      <c r="BB162" s="743"/>
      <c r="BC162" s="845"/>
      <c r="BD162" s="744"/>
      <c r="BE162" s="744"/>
      <c r="BF162" s="846"/>
      <c r="BG162" s="743"/>
      <c r="BH162" s="845"/>
      <c r="BI162" s="744"/>
      <c r="BJ162" s="744"/>
      <c r="BK162" s="846"/>
      <c r="BL162" s="743"/>
      <c r="BM162" s="845"/>
      <c r="BN162" s="744"/>
      <c r="BO162" s="744"/>
      <c r="BP162" s="846"/>
      <c r="BQ162" s="743"/>
      <c r="BR162" s="845"/>
      <c r="BS162" s="744"/>
      <c r="BT162" s="744"/>
      <c r="BU162" s="846"/>
      <c r="BV162" s="743"/>
      <c r="BW162" s="845"/>
      <c r="BX162" s="744"/>
      <c r="BY162" s="744"/>
      <c r="BZ162" s="846"/>
      <c r="CA162" s="743"/>
      <c r="CB162" s="845"/>
      <c r="CC162" s="744"/>
      <c r="CD162" s="744"/>
      <c r="CE162" s="846"/>
      <c r="CF162" s="743"/>
      <c r="CG162" s="845"/>
      <c r="CH162" s="744"/>
      <c r="CI162" s="744"/>
      <c r="CJ162" s="846"/>
      <c r="CK162" s="743"/>
      <c r="CL162" s="845"/>
      <c r="CM162" s="744"/>
      <c r="CN162" s="744"/>
      <c r="CO162" s="846"/>
      <c r="CP162" s="743"/>
      <c r="CQ162" s="845"/>
      <c r="CR162" s="744"/>
      <c r="CS162" s="744"/>
      <c r="CT162" s="846"/>
      <c r="CU162" s="743"/>
      <c r="CV162" s="845"/>
      <c r="CW162" s="744"/>
      <c r="CX162" s="744"/>
      <c r="CY162" s="846"/>
      <c r="CZ162" s="743"/>
    </row>
    <row r="163" spans="1:104" ht="13.5" customHeight="1">
      <c r="A163" s="820" t="s">
        <v>40</v>
      </c>
      <c r="B163" s="221"/>
      <c r="C163" s="66"/>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c r="AA163" s="102"/>
      <c r="AB163" s="102"/>
      <c r="AC163" s="102"/>
      <c r="AD163" s="102"/>
      <c r="AE163" s="102"/>
      <c r="AF163" s="102"/>
      <c r="AG163" s="102"/>
      <c r="AH163" s="102"/>
      <c r="AI163" s="102"/>
      <c r="AJ163" s="102"/>
      <c r="AK163" s="102"/>
      <c r="AL163" s="102"/>
      <c r="AM163" s="102"/>
      <c r="AN163" s="549">
        <f>Operations!AN128</f>
        <v>585.68253968253964</v>
      </c>
      <c r="AO163" s="549">
        <f>Operations!AO128</f>
        <v>1559.4762900976291</v>
      </c>
      <c r="AP163" s="549">
        <f>Operations!AP128</f>
        <v>1248.4061728395061</v>
      </c>
      <c r="AQ163" s="549">
        <f>Operations!AQ128</f>
        <v>716.55624227441263</v>
      </c>
      <c r="AR163" s="549">
        <f>Operations!AR128</f>
        <v>4110.1212448940869</v>
      </c>
      <c r="AS163" s="838">
        <f>Operations!AS128</f>
        <v>789.40340136054419</v>
      </c>
      <c r="AT163" s="598">
        <f>Operations!AT128</f>
        <v>1012.7936874518861</v>
      </c>
      <c r="AU163" s="598">
        <f>Operations!AU128</f>
        <v>820.63126079447318</v>
      </c>
      <c r="AV163" s="839">
        <f>Operations!AV128</f>
        <v>746.77671589921806</v>
      </c>
      <c r="AW163" s="549">
        <f>Operations!AW128</f>
        <v>3369.6050655061217</v>
      </c>
      <c r="AX163" s="838">
        <f>Operations!AX128</f>
        <v>934.94783377542001</v>
      </c>
      <c r="AY163" s="598">
        <f>Operations!AY128</f>
        <v>1004.6413969335605</v>
      </c>
      <c r="AZ163" s="598">
        <f>Operations!AZ128</f>
        <v>976.98747913188652</v>
      </c>
      <c r="BA163" s="839">
        <f>Operations!BA128</f>
        <v>909.98734177215192</v>
      </c>
      <c r="BB163" s="549">
        <f>Operations!BB128</f>
        <v>3826.5640516130188</v>
      </c>
      <c r="BC163" s="838">
        <f>Operations!BC128</f>
        <v>985.32260596546314</v>
      </c>
      <c r="BD163" s="598">
        <f>Operations!BD128</f>
        <v>902.82218956649535</v>
      </c>
      <c r="BE163" s="598">
        <f>Operations!BE128</f>
        <v>897.13758146270811</v>
      </c>
      <c r="BF163" s="910">
        <f>Operations!BF128</f>
        <v>930.38207885304678</v>
      </c>
      <c r="BG163" s="499">
        <f>Operations!BG128</f>
        <v>3715.6644558477137</v>
      </c>
      <c r="BH163" s="838">
        <f>Operations!BH128</f>
        <v>723.7577505407354</v>
      </c>
      <c r="BI163" s="598">
        <f>Operations!BI128</f>
        <v>765.28745519713266</v>
      </c>
      <c r="BJ163" s="598">
        <f>Operations!BJ128</f>
        <v>720.96207148067106</v>
      </c>
      <c r="BK163" s="910">
        <f>Operations!BK128</f>
        <v>724.37605633802821</v>
      </c>
      <c r="BL163" s="499">
        <f>Operations!BL128</f>
        <v>2934.3833335565673</v>
      </c>
      <c r="BM163" s="838">
        <f>Operations!BM128</f>
        <v>800.00942028985514</v>
      </c>
      <c r="BN163" s="598">
        <f>Operations!BN128</f>
        <v>882.97379912663746</v>
      </c>
      <c r="BO163" s="598">
        <f>Operations!BO128</f>
        <v>821.72461650840023</v>
      </c>
      <c r="BP163" s="839">
        <f>Operations!BP128</f>
        <v>868.73947750362856</v>
      </c>
      <c r="BQ163" s="549">
        <f>Operations!BQ128</f>
        <v>3373.4473134285213</v>
      </c>
      <c r="BR163" s="838">
        <f>Operations!BR128</f>
        <v>940.50667655786356</v>
      </c>
      <c r="BS163" s="598">
        <f>Operations!BS128</f>
        <v>966.19239209948796</v>
      </c>
      <c r="BT163" s="598">
        <f>Operations!BT128</f>
        <v>1109.0151515151515</v>
      </c>
      <c r="BU163" s="839">
        <f>Operations!BU128</f>
        <v>801.46787709497198</v>
      </c>
      <c r="BV163" s="549">
        <f>Operations!BV128</f>
        <v>3817.182097267475</v>
      </c>
      <c r="BW163" s="838">
        <f>Operations!BW128</f>
        <v>813.74358974358972</v>
      </c>
      <c r="BX163" s="598">
        <f>Operations!BX128</f>
        <v>741.02463768115945</v>
      </c>
      <c r="BY163" s="598">
        <f>Operations!BY128</f>
        <v>642.81717246484095</v>
      </c>
      <c r="BZ163" s="839">
        <f>Operations!BZ128</f>
        <v>589.9122165325532</v>
      </c>
      <c r="CA163" s="549">
        <f>Operations!CA128</f>
        <v>2787.4976164221434</v>
      </c>
      <c r="CB163" s="838">
        <f>Operations!CB128</f>
        <v>597.24862313139261</v>
      </c>
      <c r="CC163" s="598">
        <f>Operations!CC128</f>
        <v>656.43424124513615</v>
      </c>
      <c r="CD163" s="598">
        <f>Operations!CD128</f>
        <v>645.24557351809085</v>
      </c>
      <c r="CE163" s="839">
        <f>Operations!CE128</f>
        <v>723.81600598354544</v>
      </c>
      <c r="CF163" s="549">
        <f>Operations!CF128</f>
        <v>2622.7444438781649</v>
      </c>
      <c r="CG163" s="838">
        <f>Operations!CG128</f>
        <v>665.86761032472941</v>
      </c>
      <c r="CH163" s="598">
        <f>Operations!CH128</f>
        <v>646.56385542168675</v>
      </c>
      <c r="CI163" s="598">
        <f>Operations!CI128</f>
        <v>709.60077507632559</v>
      </c>
      <c r="CJ163" s="839">
        <f>Operations!CJ128</f>
        <v>757.99133798518983</v>
      </c>
      <c r="CK163" s="549">
        <f>Operations!CK128</f>
        <v>2780.0235788079317</v>
      </c>
      <c r="CL163" s="838">
        <f>Operations!CL128</f>
        <v>737.7416575930315</v>
      </c>
      <c r="CM163" s="598">
        <f>Operations!CM128</f>
        <v>665.96077108433735</v>
      </c>
      <c r="CN163" s="598">
        <f>Operations!CN128</f>
        <v>730.88879832861539</v>
      </c>
      <c r="CO163" s="839">
        <f>Operations!CO128</f>
        <v>780.73107812474552</v>
      </c>
      <c r="CP163" s="549">
        <f>Operations!CP128</f>
        <v>2915.32230513073</v>
      </c>
      <c r="CQ163" s="838">
        <f>Operations!CQ128</f>
        <v>759.87390732082247</v>
      </c>
      <c r="CR163" s="598">
        <f>Operations!CR128</f>
        <v>685.93959421686748</v>
      </c>
      <c r="CS163" s="598">
        <f>Operations!CS128</f>
        <v>752.81546227847389</v>
      </c>
      <c r="CT163" s="839">
        <f>Operations!CT128</f>
        <v>804.15301046848788</v>
      </c>
      <c r="CU163" s="549">
        <f>Operations!CU128</f>
        <v>3002.7819742846518</v>
      </c>
      <c r="CV163" s="838">
        <f>Operations!CV128</f>
        <v>782.6701245404472</v>
      </c>
      <c r="CW163" s="598">
        <f>Operations!CW128</f>
        <v>706.51778204337347</v>
      </c>
      <c r="CX163" s="598">
        <f>Operations!CX128</f>
        <v>775.39992614682808</v>
      </c>
      <c r="CY163" s="839">
        <f>Operations!CY128</f>
        <v>828.27760078254255</v>
      </c>
      <c r="CZ163" s="549">
        <f>Operations!CZ128</f>
        <v>3092.8654335131914</v>
      </c>
    </row>
    <row r="164" spans="1:104" ht="6.2" customHeight="1">
      <c r="A164" s="820"/>
      <c r="B164" s="221"/>
      <c r="C164" s="66"/>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c r="AA164" s="102"/>
      <c r="AB164" s="102"/>
      <c r="AC164" s="102"/>
      <c r="AD164" s="102"/>
      <c r="AE164" s="102"/>
      <c r="AF164" s="102"/>
      <c r="AG164" s="102"/>
      <c r="AH164" s="102"/>
      <c r="AI164" s="102"/>
      <c r="AJ164" s="102"/>
      <c r="AK164" s="102"/>
      <c r="AL164" s="102"/>
      <c r="AM164" s="102"/>
      <c r="AN164" s="549"/>
      <c r="AO164" s="549"/>
      <c r="AP164" s="549"/>
      <c r="AQ164" s="549"/>
      <c r="AR164" s="549"/>
      <c r="AS164" s="838"/>
      <c r="AT164" s="598"/>
      <c r="AU164" s="598"/>
      <c r="AV164" s="839"/>
      <c r="AW164" s="549"/>
      <c r="AX164" s="838"/>
      <c r="AY164" s="598"/>
      <c r="AZ164" s="598"/>
      <c r="BA164" s="839"/>
      <c r="BB164" s="549"/>
      <c r="BC164" s="838"/>
      <c r="BD164" s="598"/>
      <c r="BE164" s="598"/>
      <c r="BF164" s="910"/>
      <c r="BG164" s="499"/>
      <c r="BH164" s="838"/>
      <c r="BI164" s="598"/>
      <c r="BJ164" s="598"/>
      <c r="BK164" s="910"/>
      <c r="BL164" s="499"/>
      <c r="BM164" s="838"/>
      <c r="BN164" s="598"/>
      <c r="BO164" s="598"/>
      <c r="BP164" s="839"/>
      <c r="BQ164" s="549"/>
      <c r="BR164" s="838"/>
      <c r="BS164" s="598"/>
      <c r="BT164" s="598"/>
      <c r="BU164" s="839"/>
      <c r="BV164" s="549"/>
      <c r="BW164" s="838"/>
      <c r="BX164" s="598"/>
      <c r="BY164" s="598"/>
      <c r="BZ164" s="839"/>
      <c r="CA164" s="549"/>
      <c r="CB164" s="838"/>
      <c r="CC164" s="598"/>
      <c r="CD164" s="598"/>
      <c r="CE164" s="839"/>
      <c r="CF164" s="549"/>
      <c r="CG164" s="838"/>
      <c r="CH164" s="598"/>
      <c r="CI164" s="598"/>
      <c r="CJ164" s="839"/>
      <c r="CK164" s="549"/>
      <c r="CL164" s="838"/>
      <c r="CM164" s="598"/>
      <c r="CN164" s="598"/>
      <c r="CO164" s="839"/>
      <c r="CP164" s="549"/>
      <c r="CQ164" s="838"/>
      <c r="CR164" s="598"/>
      <c r="CS164" s="598"/>
      <c r="CT164" s="839"/>
      <c r="CU164" s="549"/>
      <c r="CV164" s="838"/>
      <c r="CW164" s="598"/>
      <c r="CX164" s="598"/>
      <c r="CY164" s="839"/>
      <c r="CZ164" s="549"/>
    </row>
    <row r="165" spans="1:104" ht="13.5" customHeight="1">
      <c r="A165" s="820"/>
      <c r="B165" s="820" t="s">
        <v>104</v>
      </c>
      <c r="C165" s="66"/>
      <c r="D165" s="176"/>
      <c r="E165" s="176"/>
      <c r="F165" s="176"/>
      <c r="G165" s="176"/>
      <c r="H165" s="176"/>
      <c r="I165" s="176"/>
      <c r="J165" s="176"/>
      <c r="K165" s="176"/>
      <c r="L165" s="176"/>
      <c r="M165" s="176"/>
      <c r="N165" s="176"/>
      <c r="O165" s="176"/>
      <c r="P165" s="176"/>
      <c r="Q165" s="176"/>
      <c r="R165" s="176"/>
      <c r="S165" s="176"/>
      <c r="T165" s="176"/>
      <c r="U165" s="176"/>
      <c r="V165" s="176"/>
      <c r="W165" s="176"/>
      <c r="X165" s="176"/>
      <c r="Y165" s="176"/>
      <c r="Z165" s="176"/>
      <c r="AA165" s="176"/>
      <c r="AB165" s="176"/>
      <c r="AC165" s="176"/>
      <c r="AD165" s="176"/>
      <c r="AE165" s="176"/>
      <c r="AF165" s="176"/>
      <c r="AG165" s="176"/>
      <c r="AH165" s="176"/>
      <c r="AI165" s="176"/>
      <c r="AJ165" s="176"/>
      <c r="AK165" s="176"/>
      <c r="AL165" s="176"/>
      <c r="AM165" s="176"/>
      <c r="AN165" s="512">
        <v>235.22900000000001</v>
      </c>
      <c r="AO165" s="512">
        <v>927.029</v>
      </c>
      <c r="AP165" s="512">
        <v>897.53899999999999</v>
      </c>
      <c r="AQ165" s="176">
        <f>AR165-SUM(AN165:AP165)</f>
        <v>343.27799999999979</v>
      </c>
      <c r="AR165" s="512">
        <v>2403.0749999999998</v>
      </c>
      <c r="AS165" s="896">
        <v>236.93100000000001</v>
      </c>
      <c r="AT165" s="897">
        <v>277.86900000000003</v>
      </c>
      <c r="AU165" s="897">
        <v>289.072</v>
      </c>
      <c r="AV165" s="866">
        <f>AW165-SUM(AS165:AU165)</f>
        <v>273.09199999999987</v>
      </c>
      <c r="AW165" s="512">
        <v>1076.9639999999999</v>
      </c>
      <c r="AX165" s="896">
        <v>396.745</v>
      </c>
      <c r="AY165" s="897">
        <v>504.08</v>
      </c>
      <c r="AZ165" s="897">
        <v>463.51499999999999</v>
      </c>
      <c r="BA165" s="866">
        <f>BB165-SUM(AX165:AZ165)</f>
        <v>449.98899999999981</v>
      </c>
      <c r="BB165" s="512">
        <v>1814.329</v>
      </c>
      <c r="BC165" s="896">
        <v>527.46299999999997</v>
      </c>
      <c r="BD165" s="897">
        <v>555.54499999999996</v>
      </c>
      <c r="BE165" s="897">
        <v>535.64800000000002</v>
      </c>
      <c r="BF165" s="913">
        <f>BG165-SUM(BC165:BE165)</f>
        <v>509.73500000000013</v>
      </c>
      <c r="BG165" s="507">
        <v>2128.3910000000001</v>
      </c>
      <c r="BH165" s="973">
        <v>482.20800000000003</v>
      </c>
      <c r="BI165" s="987">
        <v>497.60399999999998</v>
      </c>
      <c r="BJ165" s="987">
        <v>475.322</v>
      </c>
      <c r="BK165" s="913">
        <f>BL165-SUM(BH165:BJ165)</f>
        <v>453.96100000000001</v>
      </c>
      <c r="BL165" s="507">
        <v>1909.095</v>
      </c>
      <c r="BM165" s="973">
        <v>493.27100000000002</v>
      </c>
      <c r="BN165" s="987">
        <v>531.05100000000004</v>
      </c>
      <c r="BO165" s="987">
        <v>540.899</v>
      </c>
      <c r="BP165" s="913">
        <f>BQ165-SUM(BM165:BO165)</f>
        <v>567.54399999999987</v>
      </c>
      <c r="BQ165" s="507">
        <v>2132.7649999999999</v>
      </c>
      <c r="BR165" s="973">
        <v>626.51099999999997</v>
      </c>
      <c r="BS165" s="987">
        <v>581.01199999999994</v>
      </c>
      <c r="BT165" s="987">
        <v>661.79499999999996</v>
      </c>
      <c r="BU165" s="913">
        <f>BV165-SUM(BR165:BT165)</f>
        <v>479.79600000000028</v>
      </c>
      <c r="BV165" s="507">
        <v>2349.114</v>
      </c>
      <c r="BW165" s="973">
        <v>424.71699999999998</v>
      </c>
      <c r="BX165" s="987">
        <v>373.31900000000002</v>
      </c>
      <c r="BY165" s="987">
        <v>328.02600000000001</v>
      </c>
      <c r="BZ165" s="913">
        <f>CA165-SUM(BW165:BY165)</f>
        <v>261.98799999999983</v>
      </c>
      <c r="CA165" s="507">
        <v>1388.05</v>
      </c>
      <c r="CB165" s="973">
        <v>252.61099999999999</v>
      </c>
      <c r="CC165" s="987">
        <v>306.09300000000002</v>
      </c>
      <c r="CD165" s="987">
        <v>317.99200000000002</v>
      </c>
      <c r="CE165" s="913">
        <f>CF165-SUM(CB165:CD165)</f>
        <v>331.93000000000006</v>
      </c>
      <c r="CF165" s="507">
        <v>1208.626</v>
      </c>
      <c r="CG165" s="973">
        <v>412.315</v>
      </c>
      <c r="CH165" s="987">
        <v>404.012</v>
      </c>
      <c r="CI165" s="987">
        <v>441.11</v>
      </c>
      <c r="CJ165" s="913">
        <f>CK165-SUM(CG165:CI165)</f>
        <v>485.50300000000016</v>
      </c>
      <c r="CK165" s="507">
        <v>1742.94</v>
      </c>
      <c r="CL165" s="1296">
        <f>+CL166*CL163/1000</f>
        <v>460.00209253090338</v>
      </c>
      <c r="CM165" s="174">
        <f>+CM166*CM163/1000</f>
        <v>424.73319626255841</v>
      </c>
      <c r="CN165" s="174">
        <f>+CN166*CN163/1000</f>
        <v>466.45843143639655</v>
      </c>
      <c r="CO165" s="866">
        <f>+CO166*CO163/1000</f>
        <v>491.46483459288083</v>
      </c>
      <c r="CP165" s="176">
        <f>SUM(CL165:CO165)</f>
        <v>1842.6585548227392</v>
      </c>
      <c r="CQ165" s="865">
        <f>+CQ166*CQ163/1000</f>
        <v>478.51116995852328</v>
      </c>
      <c r="CR165" s="174">
        <f>+CR166*CR163/1000</f>
        <v>434.1157894423888</v>
      </c>
      <c r="CS165" s="174">
        <f>+CS166*CS163/1000</f>
        <v>473.4945448775909</v>
      </c>
      <c r="CT165" s="866">
        <f>+CT166*CT163/1000</f>
        <v>496.46380525274327</v>
      </c>
      <c r="CU165" s="176">
        <f>SUM(CQ165:CT165)</f>
        <v>1882.5853095312461</v>
      </c>
      <c r="CV165" s="865">
        <f>+CV166*CV163/1000</f>
        <v>463.10757087524388</v>
      </c>
      <c r="CW165" s="174">
        <f>+CW166*CW163/1000</f>
        <v>408.16012879478893</v>
      </c>
      <c r="CX165" s="174">
        <f>+CX166*CX163/1000</f>
        <v>436.11741026115277</v>
      </c>
      <c r="CY165" s="866">
        <f>+CY166*CY163/1000</f>
        <v>450.03348574210878</v>
      </c>
      <c r="CZ165" s="176">
        <f>SUM(CV165:CY165)</f>
        <v>1757.4185956732942</v>
      </c>
    </row>
    <row r="166" spans="1:104" ht="13.5" customHeight="1">
      <c r="A166" s="819"/>
      <c r="B166" s="1307" t="s">
        <v>41</v>
      </c>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c r="AA166" s="66"/>
      <c r="AB166" s="66"/>
      <c r="AC166" s="66"/>
      <c r="AD166" s="66"/>
      <c r="AE166" s="66"/>
      <c r="AF166" s="66"/>
      <c r="AG166" s="66"/>
      <c r="AH166" s="66"/>
      <c r="AI166" s="66"/>
      <c r="AJ166" s="66"/>
      <c r="AK166" s="66"/>
      <c r="AL166" s="66"/>
      <c r="AM166" s="66"/>
      <c r="AN166" s="200">
        <f t="shared" ref="AN166:CJ166" si="315">+AN165/AN163*1000</f>
        <v>401.63225649086678</v>
      </c>
      <c r="AO166" s="200">
        <f t="shared" si="315"/>
        <v>594.44892229939865</v>
      </c>
      <c r="AP166" s="200">
        <f t="shared" si="315"/>
        <v>718.94790295576877</v>
      </c>
      <c r="AQ166" s="200">
        <f t="shared" si="315"/>
        <v>479.06637294848645</v>
      </c>
      <c r="AR166" s="200">
        <f t="shared" si="315"/>
        <v>584.67253319723523</v>
      </c>
      <c r="AS166" s="918">
        <f t="shared" si="315"/>
        <v>300.13931988593816</v>
      </c>
      <c r="AT166" s="919">
        <f t="shared" si="315"/>
        <v>274.35893750394303</v>
      </c>
      <c r="AU166" s="919">
        <f t="shared" si="315"/>
        <v>352.25565221600544</v>
      </c>
      <c r="AV166" s="920">
        <f t="shared" si="315"/>
        <v>365.69431556413878</v>
      </c>
      <c r="AW166" s="200">
        <f t="shared" si="315"/>
        <v>319.6113428913776</v>
      </c>
      <c r="AX166" s="918">
        <f t="shared" si="315"/>
        <v>424.34987885677106</v>
      </c>
      <c r="AY166" s="919">
        <f t="shared" si="315"/>
        <v>501.75117364125111</v>
      </c>
      <c r="AZ166" s="919">
        <f t="shared" si="315"/>
        <v>474.43289694138309</v>
      </c>
      <c r="BA166" s="920">
        <f t="shared" si="315"/>
        <v>494.50028516184653</v>
      </c>
      <c r="BB166" s="200">
        <f t="shared" si="315"/>
        <v>474.14050190410438</v>
      </c>
      <c r="BC166" s="918">
        <f t="shared" si="315"/>
        <v>535.32010410252201</v>
      </c>
      <c r="BD166" s="919">
        <f t="shared" si="315"/>
        <v>615.34265154332752</v>
      </c>
      <c r="BE166" s="919">
        <f t="shared" si="315"/>
        <v>597.06338366370801</v>
      </c>
      <c r="BF166" s="920">
        <f t="shared" si="315"/>
        <v>547.8770621080638</v>
      </c>
      <c r="BG166" s="200">
        <f t="shared" si="315"/>
        <v>572.81571715937321</v>
      </c>
      <c r="BH166" s="918">
        <f t="shared" si="315"/>
        <v>666.25607758912679</v>
      </c>
      <c r="BI166" s="919">
        <f t="shared" si="315"/>
        <v>650.21842004690996</v>
      </c>
      <c r="BJ166" s="919">
        <f t="shared" si="315"/>
        <v>659.28849630579123</v>
      </c>
      <c r="BK166" s="920">
        <f t="shared" si="315"/>
        <v>626.69244245168738</v>
      </c>
      <c r="BL166" s="200">
        <f t="shared" si="315"/>
        <v>650.59495743731452</v>
      </c>
      <c r="BM166" s="918">
        <f t="shared" si="315"/>
        <v>616.58148952956174</v>
      </c>
      <c r="BN166" s="919">
        <f t="shared" si="315"/>
        <v>601.4346071483327</v>
      </c>
      <c r="BO166" s="919">
        <f t="shared" si="315"/>
        <v>658.24850458824073</v>
      </c>
      <c r="BP166" s="920">
        <f t="shared" si="315"/>
        <v>653.29597042242085</v>
      </c>
      <c r="BQ166" s="200">
        <f t="shared" si="315"/>
        <v>632.22122708429549</v>
      </c>
      <c r="BR166" s="918">
        <f t="shared" si="315"/>
        <v>666.14200155702417</v>
      </c>
      <c r="BS166" s="919">
        <f t="shared" si="315"/>
        <v>601.34193225998172</v>
      </c>
      <c r="BT166" s="919">
        <f t="shared" si="315"/>
        <v>596.74117084500301</v>
      </c>
      <c r="BU166" s="920">
        <f t="shared" si="315"/>
        <v>598.64657550479171</v>
      </c>
      <c r="BV166" s="200">
        <f t="shared" si="315"/>
        <v>615.40527544693509</v>
      </c>
      <c r="BW166" s="918">
        <f t="shared" si="315"/>
        <v>521.92976430552051</v>
      </c>
      <c r="BX166" s="919">
        <f t="shared" si="315"/>
        <v>503.78756793863568</v>
      </c>
      <c r="BY166" s="919">
        <f t="shared" si="315"/>
        <v>510.29439481556705</v>
      </c>
      <c r="BZ166" s="920">
        <f t="shared" si="315"/>
        <v>444.11353529842097</v>
      </c>
      <c r="CA166" s="200">
        <f t="shared" si="315"/>
        <v>497.95558275009881</v>
      </c>
      <c r="CB166" s="918">
        <f t="shared" si="315"/>
        <v>422.95786079095984</v>
      </c>
      <c r="CC166" s="919">
        <f t="shared" si="315"/>
        <v>466.29651649401677</v>
      </c>
      <c r="CD166" s="919">
        <f t="shared" si="315"/>
        <v>492.82321809075449</v>
      </c>
      <c r="CE166" s="920">
        <f t="shared" si="315"/>
        <v>458.5833930944404</v>
      </c>
      <c r="CF166" s="200">
        <f t="shared" si="315"/>
        <v>460.82492056025285</v>
      </c>
      <c r="CG166" s="918">
        <f t="shared" si="315"/>
        <v>619.21468112696277</v>
      </c>
      <c r="CH166" s="919">
        <f t="shared" si="315"/>
        <v>624.86016904935821</v>
      </c>
      <c r="CI166" s="919">
        <f t="shared" si="315"/>
        <v>621.63122630827684</v>
      </c>
      <c r="CJ166" s="920">
        <f t="shared" si="315"/>
        <v>640.5125964770408</v>
      </c>
      <c r="CK166" s="800">
        <f>AVERAGE(CG166:CJ166)</f>
        <v>626.55466824040968</v>
      </c>
      <c r="CL166" s="1314">
        <f>+CJ166*0.662+CL13*0.6</f>
        <v>623.52733886780106</v>
      </c>
      <c r="CM166" s="919">
        <f>+CL166*0.662+CM13*0.6</f>
        <v>637.7750983304843</v>
      </c>
      <c r="CN166" s="919">
        <f>+CM166*0.662+CN13*0.6</f>
        <v>638.20711509478065</v>
      </c>
      <c r="CO166" s="920">
        <f>+CN166*0.662+CO13*0.6</f>
        <v>629.49311019274478</v>
      </c>
      <c r="CP166" s="200">
        <f>AVERAGE(CL166:CO166)</f>
        <v>632.25066562145275</v>
      </c>
      <c r="CQ166" s="918">
        <f>+CO166*0.662+CQ13*0.6</f>
        <v>629.72443894759704</v>
      </c>
      <c r="CR166" s="919">
        <f>+CQ166*0.662+CR13*0.6</f>
        <v>632.87757858330929</v>
      </c>
      <c r="CS166" s="919">
        <f>+CR166*0.662+CS13*0.6</f>
        <v>628.96495702215077</v>
      </c>
      <c r="CT166" s="920">
        <f>+CS166*0.662+CT13*0.6</f>
        <v>617.37480154866375</v>
      </c>
      <c r="CU166" s="200">
        <f>AVERAGE(CQ166:CT166)</f>
        <v>627.2354440254303</v>
      </c>
      <c r="CV166" s="918">
        <f>+CT166*0.662+CV13*0.6</f>
        <v>591.70211862521546</v>
      </c>
      <c r="CW166" s="919">
        <f>+CV166*0.662+CW13*0.6</f>
        <v>577.70680252989268</v>
      </c>
      <c r="CX166" s="919">
        <f>+CW166*0.662+CX13*0.6</f>
        <v>562.44190327478896</v>
      </c>
      <c r="CY166" s="920">
        <f>+CX166*0.662+CY13*0.6</f>
        <v>543.33653996791031</v>
      </c>
      <c r="CZ166" s="200">
        <f>AVERAGE(CV166:CY166)</f>
        <v>568.79684109945185</v>
      </c>
    </row>
    <row r="167" spans="1:104" ht="6.2" customHeight="1">
      <c r="A167" s="819"/>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c r="AA167" s="66"/>
      <c r="AB167" s="66"/>
      <c r="AC167" s="66"/>
      <c r="AD167" s="66"/>
      <c r="AE167" s="66"/>
      <c r="AF167" s="66"/>
      <c r="AG167" s="66"/>
      <c r="AH167" s="66"/>
      <c r="AI167" s="66"/>
      <c r="AJ167" s="66"/>
      <c r="AK167" s="66"/>
      <c r="AL167" s="66"/>
      <c r="AM167" s="66"/>
      <c r="AN167" s="66"/>
      <c r="AO167" s="66"/>
      <c r="AP167" s="66"/>
      <c r="AQ167" s="66"/>
      <c r="AR167" s="66"/>
      <c r="AS167" s="859"/>
      <c r="AT167" s="20"/>
      <c r="AU167" s="20"/>
      <c r="AV167" s="860"/>
      <c r="AW167" s="66"/>
      <c r="AX167" s="859"/>
      <c r="AY167" s="20"/>
      <c r="AZ167" s="20"/>
      <c r="BA167" s="860"/>
      <c r="BB167" s="66"/>
      <c r="BC167" s="859"/>
      <c r="BD167" s="20"/>
      <c r="BE167" s="20"/>
      <c r="BF167" s="860"/>
      <c r="BG167" s="66"/>
      <c r="BH167" s="859"/>
      <c r="BI167" s="20"/>
      <c r="BJ167" s="20"/>
      <c r="BK167" s="860"/>
      <c r="BL167" s="66"/>
      <c r="BM167" s="859"/>
      <c r="BN167" s="20"/>
      <c r="BO167" s="20"/>
      <c r="BP167" s="860"/>
      <c r="BQ167" s="66"/>
      <c r="BR167" s="859"/>
      <c r="BS167" s="20"/>
      <c r="BT167" s="20"/>
      <c r="BU167" s="860"/>
      <c r="BV167" s="66"/>
      <c r="BW167" s="859"/>
      <c r="BX167" s="20"/>
      <c r="BY167" s="20"/>
      <c r="BZ167" s="860"/>
      <c r="CA167" s="66"/>
      <c r="CB167" s="859"/>
      <c r="CC167" s="20"/>
      <c r="CD167" s="20"/>
      <c r="CE167" s="860"/>
      <c r="CF167" s="453"/>
      <c r="CG167" s="981"/>
      <c r="CH167" s="495"/>
      <c r="CI167" s="20"/>
      <c r="CJ167" s="944"/>
      <c r="CK167" s="453"/>
      <c r="CL167" s="859"/>
      <c r="CM167" s="20"/>
      <c r="CN167" s="20"/>
      <c r="CO167" s="860"/>
      <c r="CP167" s="66"/>
      <c r="CQ167" s="859"/>
      <c r="CR167" s="20"/>
      <c r="CS167" s="20"/>
      <c r="CT167" s="860"/>
      <c r="CU167" s="66"/>
      <c r="CV167" s="859"/>
      <c r="CW167" s="20"/>
      <c r="CX167" s="20"/>
      <c r="CY167" s="860"/>
      <c r="CZ167" s="66"/>
    </row>
    <row r="168" spans="1:104" ht="13.5" customHeight="1">
      <c r="A168" s="820"/>
      <c r="B168" s="820" t="s">
        <v>670</v>
      </c>
      <c r="C168" s="205"/>
      <c r="D168" s="206"/>
      <c r="E168" s="206"/>
      <c r="F168" s="206"/>
      <c r="G168" s="206"/>
      <c r="H168" s="206"/>
      <c r="I168" s="206"/>
      <c r="J168" s="206"/>
      <c r="K168" s="206"/>
      <c r="L168" s="206"/>
      <c r="M168" s="206"/>
      <c r="N168" s="206"/>
      <c r="O168" s="206"/>
      <c r="P168" s="206"/>
      <c r="Q168" s="206"/>
      <c r="R168" s="206"/>
      <c r="S168" s="206"/>
      <c r="T168" s="206"/>
      <c r="U168" s="206"/>
      <c r="V168" s="206"/>
      <c r="W168" s="206"/>
      <c r="X168" s="206"/>
      <c r="Y168" s="206"/>
      <c r="Z168" s="206"/>
      <c r="AA168" s="206"/>
      <c r="AB168" s="206"/>
      <c r="AC168" s="206"/>
      <c r="AD168" s="206"/>
      <c r="AE168" s="206"/>
      <c r="AF168" s="206"/>
      <c r="AG168" s="206"/>
      <c r="AH168" s="206"/>
      <c r="AI168" s="206"/>
      <c r="AJ168" s="206"/>
      <c r="AK168" s="206"/>
      <c r="AL168" s="206"/>
      <c r="AM168" s="206"/>
      <c r="AN168" s="501">
        <v>16.756</v>
      </c>
      <c r="AO168" s="512">
        <v>115.624</v>
      </c>
      <c r="AP168" s="512">
        <v>135.505</v>
      </c>
      <c r="AQ168" s="176">
        <f>AR168-SUM(AN168:AP168)</f>
        <v>-106.15899999999999</v>
      </c>
      <c r="AR168" s="501">
        <v>161.726</v>
      </c>
      <c r="AS168" s="896">
        <v>-31.536999999999999</v>
      </c>
      <c r="AT168" s="897">
        <v>-31.620999999999999</v>
      </c>
      <c r="AU168" s="897">
        <v>2.8849999999999998</v>
      </c>
      <c r="AV168" s="866">
        <f>AW168-SUM(AS168:AU168)</f>
        <v>-16.692</v>
      </c>
      <c r="AW168" s="512">
        <v>-76.965000000000003</v>
      </c>
      <c r="AX168" s="896">
        <v>32.783999999999999</v>
      </c>
      <c r="AY168" s="897">
        <v>53.768999999999998</v>
      </c>
      <c r="AZ168" s="897">
        <v>7.444</v>
      </c>
      <c r="BA168" s="866">
        <f>BB168-SUM(AX168:AZ168)</f>
        <v>12.319999999999993</v>
      </c>
      <c r="BB168" s="501">
        <v>106.31699999999999</v>
      </c>
      <c r="BC168" s="896">
        <v>57.357999999999997</v>
      </c>
      <c r="BD168" s="897">
        <v>51.921999999999997</v>
      </c>
      <c r="BE168" s="897">
        <v>22.481000000000002</v>
      </c>
      <c r="BF168" s="913">
        <f>BG168-SUM(BC168:BE168)</f>
        <v>18.268000000000001</v>
      </c>
      <c r="BG168" s="502">
        <v>150.029</v>
      </c>
      <c r="BH168" s="896">
        <v>14.571999999999999</v>
      </c>
      <c r="BI168" s="987">
        <v>15.116</v>
      </c>
      <c r="BJ168" s="987">
        <v>14.535</v>
      </c>
      <c r="BK168" s="913">
        <f>BL168-SUM(BH168:BJ168)</f>
        <v>11.041000000000004</v>
      </c>
      <c r="BL168" s="507">
        <v>55.264000000000003</v>
      </c>
      <c r="BM168" s="973">
        <v>1.536</v>
      </c>
      <c r="BN168" s="987">
        <v>12.218</v>
      </c>
      <c r="BO168" s="987">
        <f>-0.493+14</f>
        <v>13.507</v>
      </c>
      <c r="BP168" s="913">
        <f>BQ168-SUM(BM168:BO168)</f>
        <v>0.42500000000000071</v>
      </c>
      <c r="BQ168" s="507">
        <f>13.686+14</f>
        <v>27.686</v>
      </c>
      <c r="BR168" s="973">
        <v>8.359</v>
      </c>
      <c r="BS168" s="987">
        <v>-9.6349999999999998</v>
      </c>
      <c r="BT168" s="987">
        <v>-19.321000000000002</v>
      </c>
      <c r="BU168" s="913">
        <f>BV168-SUM(BR168:BT168)</f>
        <v>-8.4559999999999995</v>
      </c>
      <c r="BV168" s="507">
        <v>-29.053000000000001</v>
      </c>
      <c r="BW168" s="973">
        <v>-41.497</v>
      </c>
      <c r="BX168" s="987">
        <v>-38.103999999999999</v>
      </c>
      <c r="BY168" s="987">
        <v>-43.116999999999997</v>
      </c>
      <c r="BZ168" s="913">
        <f>CA168-SUM(BW168:BY168)</f>
        <v>-77.087000000000018</v>
      </c>
      <c r="CA168" s="507">
        <f>-283.938+84.133</f>
        <v>-199.80500000000001</v>
      </c>
      <c r="CB168" s="973">
        <v>-63.372</v>
      </c>
      <c r="CC168" s="987">
        <v>-27.181000000000001</v>
      </c>
      <c r="CD168" s="987">
        <v>14.313000000000001</v>
      </c>
      <c r="CE168" s="913">
        <f>CF168-SUM(CB168:CD168)</f>
        <v>-18.881</v>
      </c>
      <c r="CF168" s="507">
        <v>-95.120999999999995</v>
      </c>
      <c r="CG168" s="973">
        <v>26.390999999999998</v>
      </c>
      <c r="CH168" s="987">
        <v>66.227000000000004</v>
      </c>
      <c r="CI168" s="987">
        <v>9.9570000000000007</v>
      </c>
      <c r="CJ168" s="974">
        <v>26.721</v>
      </c>
      <c r="CK168" s="366">
        <f>SUM(CG168:CJ168)</f>
        <v>129.29599999999999</v>
      </c>
      <c r="CL168" s="973">
        <v>74.546999999999997</v>
      </c>
      <c r="CM168" s="912">
        <f t="shared" ref="CM168" si="316">+CM170-CM169</f>
        <v>35.234507951807231</v>
      </c>
      <c r="CN168" s="912">
        <f t="shared" ref="CN168" si="317">+CN170-CN169</f>
        <v>44.324431766006143</v>
      </c>
      <c r="CO168" s="913">
        <f t="shared" ref="CO168" si="318">+CO170-CO169</f>
        <v>59.10966171871182</v>
      </c>
      <c r="CP168" s="366">
        <f>SUM(CL168:CO168)</f>
        <v>213.21560143652522</v>
      </c>
      <c r="CQ168" s="911">
        <f t="shared" ref="CQ168" si="319">+CQ170-CQ169</f>
        <v>55.98108609812337</v>
      </c>
      <c r="CR168" s="912">
        <f t="shared" ref="CR168" si="320">+CR170-CR169</f>
        <v>44.890939132530121</v>
      </c>
      <c r="CS168" s="912">
        <f t="shared" ref="CS168" si="321">+CS170-CS169</f>
        <v>54.922319341771086</v>
      </c>
      <c r="CT168" s="913">
        <f t="shared" ref="CT168" si="322">+CT170-CT169</f>
        <v>62.622951570273187</v>
      </c>
      <c r="CU168" s="366">
        <f>SUM(CQ168:CT168)</f>
        <v>218.41729614269775</v>
      </c>
      <c r="CV168" s="911">
        <f t="shared" ref="CV168" si="323">+CV170-CV169</f>
        <v>67.227219926471562</v>
      </c>
      <c r="CW168" s="912">
        <f t="shared" ref="CW168" si="324">+CW170-CW169</f>
        <v>55.042845126939767</v>
      </c>
      <c r="CX168" s="912">
        <f t="shared" ref="CX168" si="325">+CX170-CX169</f>
        <v>66.063988183492484</v>
      </c>
      <c r="CY168" s="913">
        <f t="shared" ref="CY168" si="326">+CY170-CY169</f>
        <v>74.524416125206812</v>
      </c>
      <c r="CZ168" s="366">
        <f>SUM(CV168:CY168)</f>
        <v>262.85846936211061</v>
      </c>
    </row>
    <row r="169" spans="1:104" ht="13.5" customHeight="1">
      <c r="A169" s="819"/>
      <c r="B169" s="79"/>
      <c r="C169" s="66" t="s">
        <v>579</v>
      </c>
      <c r="D169" s="209"/>
      <c r="E169" s="209"/>
      <c r="F169" s="209"/>
      <c r="G169" s="209"/>
      <c r="H169" s="209"/>
      <c r="I169" s="209"/>
      <c r="J169" s="209"/>
      <c r="K169" s="209"/>
      <c r="L169" s="209"/>
      <c r="M169" s="209"/>
      <c r="N169" s="209"/>
      <c r="O169" s="209"/>
      <c r="P169" s="209"/>
      <c r="Q169" s="209"/>
      <c r="R169" s="209"/>
      <c r="S169" s="209"/>
      <c r="T169" s="209"/>
      <c r="U169" s="209"/>
      <c r="V169" s="209"/>
      <c r="W169" s="209"/>
      <c r="X169" s="209"/>
      <c r="Y169" s="209"/>
      <c r="Z169" s="209"/>
      <c r="AA169" s="209"/>
      <c r="AB169" s="209"/>
      <c r="AC169" s="209"/>
      <c r="AD169" s="209"/>
      <c r="AE169" s="209"/>
      <c r="AF169" s="209"/>
      <c r="AG169" s="209"/>
      <c r="AH169" s="209"/>
      <c r="AI169" s="209"/>
      <c r="AJ169" s="209"/>
      <c r="AK169" s="209"/>
      <c r="AL169" s="209"/>
      <c r="AM169" s="209"/>
      <c r="AN169" s="550">
        <f>AO169</f>
        <v>22.900749999999999</v>
      </c>
      <c r="AO169" s="550">
        <f>AP169</f>
        <v>22.900749999999999</v>
      </c>
      <c r="AP169" s="550">
        <f>AQ169</f>
        <v>22.900749999999999</v>
      </c>
      <c r="AQ169" s="550">
        <f>AR169/4</f>
        <v>22.900749999999999</v>
      </c>
      <c r="AR169" s="630">
        <f>66.845+24.758</f>
        <v>91.602999999999994</v>
      </c>
      <c r="AS169" s="889">
        <f>AT169</f>
        <v>26.527749999999997</v>
      </c>
      <c r="AT169" s="550">
        <f>AU169</f>
        <v>26.527749999999997</v>
      </c>
      <c r="AU169" s="550">
        <f>AV169</f>
        <v>26.527749999999997</v>
      </c>
      <c r="AV169" s="890">
        <f>AW169/4</f>
        <v>26.527749999999997</v>
      </c>
      <c r="AW169" s="630">
        <f>75.699+30.412</f>
        <v>106.11099999999999</v>
      </c>
      <c r="AX169" s="889">
        <f>AY169</f>
        <v>26.721250000000001</v>
      </c>
      <c r="AY169" s="550">
        <f>AZ169</f>
        <v>26.721250000000001</v>
      </c>
      <c r="AZ169" s="550">
        <f>BA169</f>
        <v>26.721250000000001</v>
      </c>
      <c r="BA169" s="890">
        <f>BB169/4</f>
        <v>26.721250000000001</v>
      </c>
      <c r="BB169" s="630">
        <f>78.308+28.577</f>
        <v>106.88500000000001</v>
      </c>
      <c r="BC169" s="889">
        <f>BD169</f>
        <v>30.116250000000001</v>
      </c>
      <c r="BD169" s="550">
        <f>BE169</f>
        <v>30.116250000000001</v>
      </c>
      <c r="BE169" s="550">
        <f>BF169</f>
        <v>30.116250000000001</v>
      </c>
      <c r="BF169" s="890">
        <f>BG169/4</f>
        <v>30.116250000000001</v>
      </c>
      <c r="BG169" s="631">
        <f>92.25+28.215</f>
        <v>120.465</v>
      </c>
      <c r="BH169" s="889">
        <f>BI169</f>
        <v>35.512</v>
      </c>
      <c r="BI169" s="550">
        <f>BJ169</f>
        <v>35.512</v>
      </c>
      <c r="BJ169" s="550">
        <f>BK169</f>
        <v>35.512</v>
      </c>
      <c r="BK169" s="890">
        <f>BL169/4</f>
        <v>35.512</v>
      </c>
      <c r="BL169" s="532">
        <f>112.939+29.109</f>
        <v>142.048</v>
      </c>
      <c r="BM169" s="889">
        <f>BN169</f>
        <v>45.856999999999999</v>
      </c>
      <c r="BN169" s="550">
        <f>BO169</f>
        <v>45.856999999999999</v>
      </c>
      <c r="BO169" s="550">
        <f>BP169</f>
        <v>45.856999999999999</v>
      </c>
      <c r="BP169" s="890">
        <f>BQ169/4</f>
        <v>45.856999999999999</v>
      </c>
      <c r="BQ169" s="532">
        <f>154.065+29.363</f>
        <v>183.428</v>
      </c>
      <c r="BR169" s="990">
        <f>BS169</f>
        <v>66.238250000000008</v>
      </c>
      <c r="BS169" s="577">
        <f>BT169</f>
        <v>66.238250000000008</v>
      </c>
      <c r="BT169" s="577">
        <f>BU169</f>
        <v>66.238250000000008</v>
      </c>
      <c r="BU169" s="970">
        <f>BV169/4</f>
        <v>66.238250000000008</v>
      </c>
      <c r="BV169" s="532">
        <f>235.443+29.51</f>
        <v>264.95300000000003</v>
      </c>
      <c r="BW169" s="990">
        <f>BX169</f>
        <v>57.561000000000007</v>
      </c>
      <c r="BX169" s="577">
        <f>BY169</f>
        <v>57.561000000000007</v>
      </c>
      <c r="BY169" s="577">
        <f>BZ169</f>
        <v>57.561000000000007</v>
      </c>
      <c r="BZ169" s="970">
        <f>CA169/4</f>
        <v>57.561000000000007</v>
      </c>
      <c r="CA169" s="532">
        <f>198.705+31.539</f>
        <v>230.24400000000003</v>
      </c>
      <c r="CB169" s="990">
        <f>CC169</f>
        <v>55.21275</v>
      </c>
      <c r="CC169" s="577">
        <f>CD169</f>
        <v>55.21275</v>
      </c>
      <c r="CD169" s="577">
        <f>CE169</f>
        <v>55.21275</v>
      </c>
      <c r="CE169" s="970">
        <f>CF169/4</f>
        <v>55.21275</v>
      </c>
      <c r="CF169" s="532">
        <f>191.466+29.385</f>
        <v>220.851</v>
      </c>
      <c r="CG169" s="990">
        <f>CH169</f>
        <v>50.406000000000006</v>
      </c>
      <c r="CH169" s="577">
        <f>CI169</f>
        <v>50.406000000000006</v>
      </c>
      <c r="CI169" s="577">
        <f>CJ169</f>
        <v>50.406000000000006</v>
      </c>
      <c r="CJ169" s="970">
        <f>CK169/4</f>
        <v>50.406000000000006</v>
      </c>
      <c r="CK169" s="532">
        <f>172.699+28.925</f>
        <v>201.62400000000002</v>
      </c>
      <c r="CL169" s="1028">
        <v>58</v>
      </c>
      <c r="CM169" s="797">
        <v>58</v>
      </c>
      <c r="CN169" s="797">
        <v>58</v>
      </c>
      <c r="CO169" s="1029">
        <v>58</v>
      </c>
      <c r="CP169" s="577">
        <f>SUM(CL169:CO169)</f>
        <v>232</v>
      </c>
      <c r="CQ169" s="1028">
        <v>58</v>
      </c>
      <c r="CR169" s="797">
        <v>58</v>
      </c>
      <c r="CS169" s="797">
        <v>58</v>
      </c>
      <c r="CT169" s="1029">
        <v>58</v>
      </c>
      <c r="CU169" s="577">
        <f>SUM(CQ169:CT169)</f>
        <v>232</v>
      </c>
      <c r="CV169" s="1028">
        <v>58</v>
      </c>
      <c r="CW169" s="797">
        <v>58</v>
      </c>
      <c r="CX169" s="797">
        <v>58</v>
      </c>
      <c r="CY169" s="1029">
        <v>58</v>
      </c>
      <c r="CZ169" s="577">
        <f>SUM(CV169:CY169)</f>
        <v>232</v>
      </c>
    </row>
    <row r="170" spans="1:104" ht="13.5" customHeight="1">
      <c r="A170" s="819"/>
      <c r="B170" s="79"/>
      <c r="C170" s="453" t="s">
        <v>62</v>
      </c>
      <c r="D170" s="209"/>
      <c r="E170" s="209"/>
      <c r="F170" s="209"/>
      <c r="G170" s="209"/>
      <c r="H170" s="209"/>
      <c r="I170" s="209"/>
      <c r="J170" s="209"/>
      <c r="K170" s="209"/>
      <c r="L170" s="209"/>
      <c r="M170" s="209"/>
      <c r="N170" s="209"/>
      <c r="O170" s="209"/>
      <c r="P170" s="209"/>
      <c r="Q170" s="209"/>
      <c r="R170" s="209"/>
      <c r="S170" s="209"/>
      <c r="T170" s="209"/>
      <c r="U170" s="209"/>
      <c r="V170" s="209"/>
      <c r="W170" s="209"/>
      <c r="X170" s="209"/>
      <c r="Y170" s="209"/>
      <c r="Z170" s="209"/>
      <c r="AA170" s="209"/>
      <c r="AB170" s="209"/>
      <c r="AC170" s="209"/>
      <c r="AD170" s="209"/>
      <c r="AE170" s="209"/>
      <c r="AF170" s="209"/>
      <c r="AG170" s="209"/>
      <c r="AH170" s="209"/>
      <c r="AI170" s="209"/>
      <c r="AJ170" s="209"/>
      <c r="AK170" s="209"/>
      <c r="AL170" s="209"/>
      <c r="AM170" s="209"/>
      <c r="AN170" s="616">
        <f t="shared" ref="AN170:CJ170" si="327">AN168+AN169</f>
        <v>39.656750000000002</v>
      </c>
      <c r="AO170" s="616">
        <f t="shared" si="327"/>
        <v>138.52474999999998</v>
      </c>
      <c r="AP170" s="616">
        <f t="shared" si="327"/>
        <v>158.40574999999998</v>
      </c>
      <c r="AQ170" s="616">
        <f t="shared" si="327"/>
        <v>-83.25824999999999</v>
      </c>
      <c r="AR170" s="616">
        <f t="shared" si="327"/>
        <v>253.32900000000001</v>
      </c>
      <c r="AS170" s="904">
        <f t="shared" si="327"/>
        <v>-5.0092500000000015</v>
      </c>
      <c r="AT170" s="905">
        <f t="shared" si="327"/>
        <v>-5.0932500000000012</v>
      </c>
      <c r="AU170" s="905">
        <f t="shared" si="327"/>
        <v>29.412749999999996</v>
      </c>
      <c r="AV170" s="906">
        <f t="shared" si="327"/>
        <v>9.8357499999999973</v>
      </c>
      <c r="AW170" s="616">
        <f t="shared" si="327"/>
        <v>29.145999999999987</v>
      </c>
      <c r="AX170" s="904">
        <f t="shared" si="327"/>
        <v>59.505250000000004</v>
      </c>
      <c r="AY170" s="905">
        <f t="shared" si="327"/>
        <v>80.490250000000003</v>
      </c>
      <c r="AZ170" s="905">
        <f t="shared" si="327"/>
        <v>34.16525</v>
      </c>
      <c r="BA170" s="906">
        <f t="shared" si="327"/>
        <v>39.041249999999991</v>
      </c>
      <c r="BB170" s="616">
        <f t="shared" si="327"/>
        <v>213.202</v>
      </c>
      <c r="BC170" s="904">
        <f t="shared" si="327"/>
        <v>87.474249999999998</v>
      </c>
      <c r="BD170" s="905">
        <f t="shared" si="327"/>
        <v>82.038250000000005</v>
      </c>
      <c r="BE170" s="905">
        <f t="shared" si="327"/>
        <v>52.597250000000003</v>
      </c>
      <c r="BF170" s="972">
        <f t="shared" si="327"/>
        <v>48.384250000000002</v>
      </c>
      <c r="BG170" s="618">
        <f t="shared" si="327"/>
        <v>270.49400000000003</v>
      </c>
      <c r="BH170" s="904">
        <f t="shared" si="327"/>
        <v>50.084000000000003</v>
      </c>
      <c r="BI170" s="991">
        <f t="shared" si="327"/>
        <v>50.628</v>
      </c>
      <c r="BJ170" s="991">
        <f t="shared" si="327"/>
        <v>50.046999999999997</v>
      </c>
      <c r="BK170" s="972">
        <f t="shared" si="327"/>
        <v>46.553000000000004</v>
      </c>
      <c r="BL170" s="618">
        <f t="shared" si="327"/>
        <v>197.31200000000001</v>
      </c>
      <c r="BM170" s="996">
        <f t="shared" si="327"/>
        <v>47.393000000000001</v>
      </c>
      <c r="BN170" s="991">
        <f t="shared" si="327"/>
        <v>58.075000000000003</v>
      </c>
      <c r="BO170" s="991">
        <f t="shared" si="327"/>
        <v>59.363999999999997</v>
      </c>
      <c r="BP170" s="972">
        <f t="shared" si="327"/>
        <v>46.281999999999996</v>
      </c>
      <c r="BQ170" s="618">
        <f t="shared" si="327"/>
        <v>211.114</v>
      </c>
      <c r="BR170" s="996">
        <f t="shared" si="327"/>
        <v>74.597250000000003</v>
      </c>
      <c r="BS170" s="991">
        <f t="shared" si="327"/>
        <v>56.60325000000001</v>
      </c>
      <c r="BT170" s="991">
        <f t="shared" si="327"/>
        <v>46.91725000000001</v>
      </c>
      <c r="BU170" s="972">
        <f t="shared" si="327"/>
        <v>57.782250000000005</v>
      </c>
      <c r="BV170" s="618">
        <f t="shared" si="327"/>
        <v>235.90000000000003</v>
      </c>
      <c r="BW170" s="996">
        <f t="shared" si="327"/>
        <v>16.064000000000007</v>
      </c>
      <c r="BX170" s="991">
        <f t="shared" si="327"/>
        <v>19.457000000000008</v>
      </c>
      <c r="BY170" s="991">
        <f t="shared" si="327"/>
        <v>14.44400000000001</v>
      </c>
      <c r="BZ170" s="972">
        <f t="shared" si="327"/>
        <v>-19.52600000000001</v>
      </c>
      <c r="CA170" s="618">
        <f t="shared" si="327"/>
        <v>30.439000000000021</v>
      </c>
      <c r="CB170" s="996">
        <f t="shared" si="327"/>
        <v>-8.1592500000000001</v>
      </c>
      <c r="CC170" s="991">
        <f t="shared" si="327"/>
        <v>28.031749999999999</v>
      </c>
      <c r="CD170" s="991">
        <f t="shared" si="327"/>
        <v>69.525750000000002</v>
      </c>
      <c r="CE170" s="972">
        <f t="shared" si="327"/>
        <v>36.33175</v>
      </c>
      <c r="CF170" s="618">
        <f t="shared" si="327"/>
        <v>125.73</v>
      </c>
      <c r="CG170" s="996">
        <f t="shared" si="327"/>
        <v>76.796999999999997</v>
      </c>
      <c r="CH170" s="991">
        <f t="shared" si="327"/>
        <v>116.63300000000001</v>
      </c>
      <c r="CI170" s="991">
        <f t="shared" si="327"/>
        <v>60.363000000000007</v>
      </c>
      <c r="CJ170" s="972">
        <f t="shared" si="327"/>
        <v>77.12700000000001</v>
      </c>
      <c r="CK170" s="577">
        <f>SUM(CG170:CJ170)</f>
        <v>330.92</v>
      </c>
      <c r="CL170" s="996">
        <f t="shared" ref="CL170" si="328">CL168+CL169</f>
        <v>132.547</v>
      </c>
      <c r="CM170" s="991">
        <f>+CM171*CM163/1000</f>
        <v>93.234507951807231</v>
      </c>
      <c r="CN170" s="991">
        <f>+CN171*CN163/1000</f>
        <v>102.32443176600614</v>
      </c>
      <c r="CO170" s="972">
        <f>+CO171*CO163/1000</f>
        <v>117.10966171871182</v>
      </c>
      <c r="CP170" s="577">
        <f>SUM(CL170:CO170)</f>
        <v>445.21560143652522</v>
      </c>
      <c r="CQ170" s="996">
        <f>+CQ171*CQ163/1000</f>
        <v>113.98108609812337</v>
      </c>
      <c r="CR170" s="991">
        <f>+CR171*CR163/1000</f>
        <v>102.89093913253012</v>
      </c>
      <c r="CS170" s="991">
        <f>+CS171*CS163/1000</f>
        <v>112.92231934177109</v>
      </c>
      <c r="CT170" s="972">
        <f>+CT171*CT163/1000</f>
        <v>120.62295157027319</v>
      </c>
      <c r="CU170" s="577">
        <f>SUM(CQ170:CT170)</f>
        <v>450.41729614269775</v>
      </c>
      <c r="CV170" s="996">
        <f>+CV171*CV163/1000</f>
        <v>125.22721992647156</v>
      </c>
      <c r="CW170" s="991">
        <f>+CW171*CW163/1000</f>
        <v>113.04284512693977</v>
      </c>
      <c r="CX170" s="991">
        <f>+CX171*CX163/1000</f>
        <v>124.06398818349248</v>
      </c>
      <c r="CY170" s="972">
        <f>+CY171*CY163/1000</f>
        <v>132.52441612520681</v>
      </c>
      <c r="CZ170" s="577">
        <f>SUM(CV170:CY170)</f>
        <v>494.85846936211061</v>
      </c>
    </row>
    <row r="171" spans="1:104" ht="13.5" customHeight="1">
      <c r="A171" s="819"/>
      <c r="B171" s="79"/>
      <c r="C171" s="453" t="s">
        <v>460</v>
      </c>
      <c r="D171" s="209"/>
      <c r="E171" s="209"/>
      <c r="F171" s="209"/>
      <c r="G171" s="209"/>
      <c r="H171" s="209"/>
      <c r="I171" s="209"/>
      <c r="J171" s="209"/>
      <c r="K171" s="209"/>
      <c r="L171" s="209"/>
      <c r="M171" s="209"/>
      <c r="N171" s="209"/>
      <c r="O171" s="209"/>
      <c r="P171" s="209"/>
      <c r="Q171" s="209"/>
      <c r="R171" s="209"/>
      <c r="S171" s="209"/>
      <c r="T171" s="209"/>
      <c r="U171" s="209"/>
      <c r="V171" s="209"/>
      <c r="W171" s="209"/>
      <c r="X171" s="209"/>
      <c r="Y171" s="209"/>
      <c r="Z171" s="209"/>
      <c r="AA171" s="209"/>
      <c r="AB171" s="209"/>
      <c r="AC171" s="209"/>
      <c r="AD171" s="209"/>
      <c r="AE171" s="209"/>
      <c r="AF171" s="209"/>
      <c r="AG171" s="209"/>
      <c r="AH171" s="209"/>
      <c r="AI171" s="209"/>
      <c r="AJ171" s="209"/>
      <c r="AK171" s="209"/>
      <c r="AL171" s="209"/>
      <c r="AM171" s="209"/>
      <c r="AN171" s="616">
        <f t="shared" ref="AN171:CJ171" si="329">AN170/(AN163)*1000</f>
        <v>67.710316277305026</v>
      </c>
      <c r="AO171" s="616">
        <f t="shared" si="329"/>
        <v>88.827737157406744</v>
      </c>
      <c r="AP171" s="616">
        <f t="shared" si="329"/>
        <v>126.88638797716395</v>
      </c>
      <c r="AQ171" s="616">
        <f t="shared" si="329"/>
        <v>-116.19220528416719</v>
      </c>
      <c r="AR171" s="616">
        <f t="shared" si="329"/>
        <v>61.63540803442357</v>
      </c>
      <c r="AS171" s="904">
        <f t="shared" si="329"/>
        <v>-6.3456149180083496</v>
      </c>
      <c r="AT171" s="905">
        <f t="shared" si="329"/>
        <v>-5.0289116757967181</v>
      </c>
      <c r="AU171" s="905">
        <f t="shared" si="329"/>
        <v>35.841615357821965</v>
      </c>
      <c r="AV171" s="906">
        <f t="shared" si="329"/>
        <v>13.170938234404446</v>
      </c>
      <c r="AW171" s="616">
        <f t="shared" si="329"/>
        <v>8.6496783549980201</v>
      </c>
      <c r="AX171" s="904">
        <f t="shared" si="329"/>
        <v>63.645529568972208</v>
      </c>
      <c r="AY171" s="905">
        <f t="shared" si="329"/>
        <v>80.118388756105603</v>
      </c>
      <c r="AZ171" s="905">
        <f t="shared" si="329"/>
        <v>34.969997804227674</v>
      </c>
      <c r="BA171" s="906">
        <f t="shared" si="329"/>
        <v>42.903069315194244</v>
      </c>
      <c r="BB171" s="616">
        <f t="shared" si="329"/>
        <v>55.7163024385097</v>
      </c>
      <c r="BC171" s="904">
        <f t="shared" si="329"/>
        <v>88.777268957803742</v>
      </c>
      <c r="BD171" s="905">
        <f t="shared" si="329"/>
        <v>90.86866821404999</v>
      </c>
      <c r="BE171" s="905">
        <f t="shared" si="329"/>
        <v>58.627852724934975</v>
      </c>
      <c r="BF171" s="906">
        <f t="shared" si="329"/>
        <v>52.00470978508848</v>
      </c>
      <c r="BG171" s="616">
        <f t="shared" si="329"/>
        <v>72.798284994302037</v>
      </c>
      <c r="BH171" s="904">
        <f t="shared" si="329"/>
        <v>69.199949793395845</v>
      </c>
      <c r="BI171" s="905">
        <f t="shared" si="329"/>
        <v>66.15553365755693</v>
      </c>
      <c r="BJ171" s="905">
        <f t="shared" si="329"/>
        <v>69.416966550287867</v>
      </c>
      <c r="BK171" s="906">
        <f t="shared" si="329"/>
        <v>64.266342865253634</v>
      </c>
      <c r="BL171" s="616">
        <f t="shared" si="329"/>
        <v>67.241385180869159</v>
      </c>
      <c r="BM171" s="904">
        <f t="shared" si="329"/>
        <v>59.240552421031268</v>
      </c>
      <c r="BN171" s="905">
        <f t="shared" si="329"/>
        <v>65.77205355067484</v>
      </c>
      <c r="BO171" s="905">
        <f t="shared" si="329"/>
        <v>72.243180753479521</v>
      </c>
      <c r="BP171" s="906">
        <f t="shared" si="329"/>
        <v>53.274889881825004</v>
      </c>
      <c r="BQ171" s="616">
        <f t="shared" si="329"/>
        <v>62.581087055851903</v>
      </c>
      <c r="BR171" s="904">
        <f t="shared" si="329"/>
        <v>79.31602386175139</v>
      </c>
      <c r="BS171" s="905">
        <f t="shared" si="329"/>
        <v>58.583829124346515</v>
      </c>
      <c r="BT171" s="905">
        <f t="shared" si="329"/>
        <v>42.305328232802793</v>
      </c>
      <c r="BU171" s="906">
        <f t="shared" si="329"/>
        <v>72.095528281731688</v>
      </c>
      <c r="BV171" s="616">
        <f t="shared" si="329"/>
        <v>61.799514403273754</v>
      </c>
      <c r="BW171" s="904">
        <f t="shared" si="329"/>
        <v>19.740862112427536</v>
      </c>
      <c r="BX171" s="905">
        <f t="shared" si="329"/>
        <v>26.256886762747243</v>
      </c>
      <c r="BY171" s="905">
        <f t="shared" si="329"/>
        <v>22.469841533037183</v>
      </c>
      <c r="BZ171" s="906">
        <f t="shared" si="329"/>
        <v>-33.099840031745643</v>
      </c>
      <c r="CA171" s="616">
        <f t="shared" si="329"/>
        <v>10.919829965296834</v>
      </c>
      <c r="CB171" s="904">
        <f t="shared" si="329"/>
        <v>-13.661396081954623</v>
      </c>
      <c r="CC171" s="905">
        <f t="shared" si="329"/>
        <v>42.703058796611337</v>
      </c>
      <c r="CD171" s="905">
        <f t="shared" si="329"/>
        <v>107.75083604359</v>
      </c>
      <c r="CE171" s="906">
        <f t="shared" si="329"/>
        <v>50.194731395351226</v>
      </c>
      <c r="CF171" s="616">
        <f t="shared" si="329"/>
        <v>47.938334325126711</v>
      </c>
      <c r="CG171" s="904">
        <f t="shared" si="329"/>
        <v>115.33373723126094</v>
      </c>
      <c r="CH171" s="905">
        <f t="shared" si="329"/>
        <v>180.38898868532075</v>
      </c>
      <c r="CI171" s="905">
        <f t="shared" si="329"/>
        <v>85.066141582930598</v>
      </c>
      <c r="CJ171" s="906">
        <f t="shared" si="329"/>
        <v>101.7518223955047</v>
      </c>
      <c r="CK171" s="800">
        <f>AVERAGE(CG171:CJ171)</f>
        <v>120.63517247375424</v>
      </c>
      <c r="CL171" s="904">
        <f t="shared" ref="CL171" si="330">CL170/(CL163)*1000</f>
        <v>179.66587440981723</v>
      </c>
      <c r="CM171" s="1060">
        <v>140</v>
      </c>
      <c r="CN171" s="1060">
        <v>140</v>
      </c>
      <c r="CO171" s="1034">
        <v>150</v>
      </c>
      <c r="CP171" s="200">
        <f>AVERAGE(CL171:CO171)</f>
        <v>152.4164686024543</v>
      </c>
      <c r="CQ171" s="1059">
        <v>150</v>
      </c>
      <c r="CR171" s="1060">
        <v>150</v>
      </c>
      <c r="CS171" s="1060">
        <v>150</v>
      </c>
      <c r="CT171" s="1034">
        <v>150</v>
      </c>
      <c r="CU171" s="200">
        <f>AVERAGE(CQ171:CT171)</f>
        <v>150</v>
      </c>
      <c r="CV171" s="1059">
        <v>160</v>
      </c>
      <c r="CW171" s="1060">
        <v>160</v>
      </c>
      <c r="CX171" s="1060">
        <v>160</v>
      </c>
      <c r="CY171" s="1034">
        <v>160</v>
      </c>
      <c r="CZ171" s="200">
        <f>AVERAGE(CV171:CY171)</f>
        <v>160</v>
      </c>
    </row>
    <row r="172" spans="1:104" ht="6.2" customHeight="1">
      <c r="A172" s="819"/>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c r="AA172" s="66"/>
      <c r="AB172" s="66"/>
      <c r="AC172" s="66"/>
      <c r="AD172" s="66"/>
      <c r="AE172" s="66"/>
      <c r="AF172" s="66"/>
      <c r="AG172" s="66"/>
      <c r="AH172" s="66"/>
      <c r="AI172" s="66"/>
      <c r="AJ172" s="66"/>
      <c r="AK172" s="66"/>
      <c r="AL172" s="66"/>
      <c r="AM172" s="66"/>
      <c r="AN172" s="66"/>
      <c r="AO172" s="66"/>
      <c r="AP172" s="66"/>
      <c r="AQ172" s="66"/>
      <c r="AR172" s="66"/>
      <c r="AS172" s="859"/>
      <c r="AT172" s="20"/>
      <c r="AU172" s="20"/>
      <c r="AV172" s="860"/>
      <c r="AW172" s="66"/>
      <c r="AX172" s="859"/>
      <c r="AY172" s="20"/>
      <c r="AZ172" s="20"/>
      <c r="BA172" s="860"/>
      <c r="BB172" s="66"/>
      <c r="BC172" s="859"/>
      <c r="BD172" s="20"/>
      <c r="BE172" s="20"/>
      <c r="BF172" s="954"/>
      <c r="BG172" s="362"/>
      <c r="BH172" s="859"/>
      <c r="BI172" s="369"/>
      <c r="BJ172" s="369"/>
      <c r="BK172" s="954"/>
      <c r="BL172" s="362"/>
      <c r="BM172" s="997"/>
      <c r="BN172" s="369"/>
      <c r="BO172" s="369"/>
      <c r="BP172" s="954"/>
      <c r="BQ172" s="362"/>
      <c r="BR172" s="997"/>
      <c r="BS172" s="369"/>
      <c r="BT172" s="369"/>
      <c r="BU172" s="954"/>
      <c r="BV172" s="362"/>
      <c r="BW172" s="997"/>
      <c r="BX172" s="369"/>
      <c r="BY172" s="369"/>
      <c r="BZ172" s="954"/>
      <c r="CA172" s="362"/>
      <c r="CB172" s="997"/>
      <c r="CC172" s="369"/>
      <c r="CD172" s="369"/>
      <c r="CE172" s="1019"/>
      <c r="CF172" s="688"/>
      <c r="CG172" s="1035"/>
      <c r="CH172" s="1036"/>
      <c r="CI172" s="369"/>
      <c r="CJ172" s="1019"/>
      <c r="CK172" s="688"/>
      <c r="CL172" s="997"/>
      <c r="CM172" s="369"/>
      <c r="CN172" s="369"/>
      <c r="CO172" s="954"/>
      <c r="CP172" s="362"/>
      <c r="CQ172" s="997"/>
      <c r="CR172" s="369"/>
      <c r="CS172" s="369"/>
      <c r="CT172" s="954"/>
      <c r="CU172" s="362"/>
      <c r="CV172" s="997"/>
      <c r="CW172" s="369"/>
      <c r="CX172" s="369"/>
      <c r="CY172" s="954"/>
      <c r="CZ172" s="362"/>
    </row>
    <row r="173" spans="1:104" ht="13.5" customHeight="1">
      <c r="A173" s="820"/>
      <c r="B173" s="66" t="s">
        <v>71</v>
      </c>
      <c r="C173" s="66"/>
      <c r="D173" s="220"/>
      <c r="E173" s="220"/>
      <c r="F173" s="220"/>
      <c r="G173" s="220"/>
      <c r="H173" s="220"/>
      <c r="I173" s="220"/>
      <c r="J173" s="220"/>
      <c r="K173" s="220"/>
      <c r="L173" s="220"/>
      <c r="M173" s="220"/>
      <c r="N173" s="220"/>
      <c r="O173" s="220"/>
      <c r="P173" s="220"/>
      <c r="Q173" s="220"/>
      <c r="R173" s="220"/>
      <c r="S173" s="220"/>
      <c r="T173" s="220"/>
      <c r="U173" s="220"/>
      <c r="V173" s="220"/>
      <c r="W173" s="220"/>
      <c r="X173" s="220"/>
      <c r="Y173" s="220"/>
      <c r="Z173" s="220"/>
      <c r="AA173" s="220"/>
      <c r="AB173" s="220"/>
      <c r="AC173" s="220"/>
      <c r="AD173" s="220"/>
      <c r="AE173" s="220"/>
      <c r="AF173" s="220"/>
      <c r="AG173" s="220"/>
      <c r="AH173" s="220"/>
      <c r="AI173" s="220"/>
      <c r="AJ173" s="220"/>
      <c r="AK173" s="220"/>
      <c r="AL173" s="220"/>
      <c r="AM173" s="220"/>
      <c r="AN173" s="555">
        <f>AO173</f>
        <v>39.488</v>
      </c>
      <c r="AO173" s="555">
        <f>AP173</f>
        <v>39.488</v>
      </c>
      <c r="AP173" s="555">
        <f>AQ173</f>
        <v>39.488</v>
      </c>
      <c r="AQ173" s="555">
        <f>AR173/4</f>
        <v>39.488</v>
      </c>
      <c r="AR173" s="530">
        <v>157.952</v>
      </c>
      <c r="AS173" s="923">
        <f>AT173</f>
        <v>28.25</v>
      </c>
      <c r="AT173" s="574">
        <f>AU173</f>
        <v>28.25</v>
      </c>
      <c r="AU173" s="574">
        <f>AV173</f>
        <v>28.25</v>
      </c>
      <c r="AV173" s="924">
        <f>AW173/4</f>
        <v>28.25</v>
      </c>
      <c r="AW173" s="530">
        <v>113</v>
      </c>
      <c r="AX173" s="923">
        <f>AY173</f>
        <v>31.384</v>
      </c>
      <c r="AY173" s="574">
        <f>AZ173</f>
        <v>31.384</v>
      </c>
      <c r="AZ173" s="574">
        <f>BA173</f>
        <v>31.384</v>
      </c>
      <c r="BA173" s="924">
        <f>BB173/4</f>
        <v>31.384</v>
      </c>
      <c r="BB173" s="530">
        <v>125.536</v>
      </c>
      <c r="BC173" s="923">
        <f>BD173</f>
        <v>61.334249999999997</v>
      </c>
      <c r="BD173" s="574">
        <f>BE173</f>
        <v>61.334249999999997</v>
      </c>
      <c r="BE173" s="574">
        <f>BF173</f>
        <v>61.334249999999997</v>
      </c>
      <c r="BF173" s="924">
        <f>BG173/4</f>
        <v>61.334249999999997</v>
      </c>
      <c r="BG173" s="504">
        <v>245.33699999999999</v>
      </c>
      <c r="BH173" s="923">
        <f>BI173</f>
        <v>151.078</v>
      </c>
      <c r="BI173" s="574">
        <f>BJ173</f>
        <v>151.078</v>
      </c>
      <c r="BJ173" s="574">
        <f>BK173</f>
        <v>151.078</v>
      </c>
      <c r="BK173" s="924">
        <f>BL173/4</f>
        <v>151.078</v>
      </c>
      <c r="BL173" s="504">
        <v>604.31200000000001</v>
      </c>
      <c r="BM173" s="923">
        <f>BN173</f>
        <v>152.68625</v>
      </c>
      <c r="BN173" s="574">
        <f>BO173</f>
        <v>152.68625</v>
      </c>
      <c r="BO173" s="574">
        <f>BP173</f>
        <v>152.68625</v>
      </c>
      <c r="BP173" s="924">
        <f>BQ173/4</f>
        <v>152.68625</v>
      </c>
      <c r="BQ173" s="504">
        <v>610.745</v>
      </c>
      <c r="BR173" s="923">
        <f>BS173</f>
        <v>49.313000000000002</v>
      </c>
      <c r="BS173" s="574">
        <f>BT173</f>
        <v>49.313000000000002</v>
      </c>
      <c r="BT173" s="574">
        <f>BU173</f>
        <v>49.313000000000002</v>
      </c>
      <c r="BU173" s="924">
        <f>BV173/4</f>
        <v>49.313000000000002</v>
      </c>
      <c r="BV173" s="504">
        <v>197.25200000000001</v>
      </c>
      <c r="BW173" s="923">
        <f>BX173</f>
        <v>18.65175</v>
      </c>
      <c r="BX173" s="574">
        <f>BY173</f>
        <v>18.65175</v>
      </c>
      <c r="BY173" s="574">
        <f>BZ173</f>
        <v>18.65175</v>
      </c>
      <c r="BZ173" s="924">
        <f>CA173/4</f>
        <v>18.65175</v>
      </c>
      <c r="CA173" s="504">
        <v>74.606999999999999</v>
      </c>
      <c r="CB173" s="923">
        <f>CC173</f>
        <v>48.527999999999999</v>
      </c>
      <c r="CC173" s="574">
        <f>CD173</f>
        <v>48.527999999999999</v>
      </c>
      <c r="CD173" s="574">
        <f>CE173</f>
        <v>48.527999999999999</v>
      </c>
      <c r="CE173" s="924">
        <f>CF173/4</f>
        <v>48.527999999999999</v>
      </c>
      <c r="CF173" s="504">
        <v>194.11199999999999</v>
      </c>
      <c r="CG173" s="923">
        <f>CH173</f>
        <v>14.759</v>
      </c>
      <c r="CH173" s="574">
        <f>CI173</f>
        <v>14.759</v>
      </c>
      <c r="CI173" s="574">
        <f>CJ173</f>
        <v>14.759</v>
      </c>
      <c r="CJ173" s="924">
        <f>CK173/4</f>
        <v>14.759</v>
      </c>
      <c r="CK173" s="504">
        <v>59.036000000000001</v>
      </c>
      <c r="CL173" s="1033"/>
      <c r="CM173" s="1057"/>
      <c r="CN173" s="1057"/>
      <c r="CO173" s="1058"/>
      <c r="CP173" s="364"/>
      <c r="CQ173" s="1056"/>
      <c r="CR173" s="1057"/>
      <c r="CS173" s="1057"/>
      <c r="CT173" s="1058"/>
      <c r="CU173" s="364"/>
      <c r="CV173" s="1056"/>
      <c r="CW173" s="1057"/>
      <c r="CX173" s="1057"/>
      <c r="CY173" s="1058"/>
      <c r="CZ173" s="364"/>
    </row>
    <row r="174" spans="1:104" ht="6.2" customHeight="1">
      <c r="AS174" s="907"/>
      <c r="AT174" s="536"/>
      <c r="AU174" s="536"/>
      <c r="AV174" s="908"/>
      <c r="AX174" s="907"/>
      <c r="AY174" s="536"/>
      <c r="AZ174" s="536"/>
      <c r="BA174" s="908"/>
      <c r="BC174" s="907"/>
      <c r="BD174" s="536"/>
      <c r="BE174" s="536"/>
      <c r="BF174" s="908"/>
      <c r="BH174" s="907"/>
      <c r="BI174" s="536"/>
      <c r="BJ174" s="536"/>
      <c r="BK174" s="908"/>
      <c r="BM174" s="907"/>
      <c r="BN174" s="536"/>
      <c r="BO174" s="536"/>
      <c r="BP174" s="908"/>
      <c r="BR174" s="907"/>
      <c r="BS174" s="536"/>
      <c r="BT174" s="536"/>
      <c r="BU174" s="908"/>
      <c r="BW174" s="907"/>
      <c r="BX174" s="536"/>
      <c r="BY174" s="536"/>
      <c r="BZ174" s="908"/>
      <c r="CB174" s="907"/>
      <c r="CC174" s="536"/>
      <c r="CD174" s="536"/>
      <c r="CE174" s="908"/>
      <c r="CG174" s="907"/>
      <c r="CH174" s="536"/>
      <c r="CI174" s="536"/>
      <c r="CJ174" s="908"/>
      <c r="CL174" s="907"/>
      <c r="CM174" s="536"/>
      <c r="CN174" s="536"/>
      <c r="CO174" s="908"/>
      <c r="CQ174" s="907"/>
      <c r="CR174" s="536"/>
      <c r="CS174" s="536"/>
      <c r="CT174" s="908"/>
      <c r="CV174" s="907"/>
      <c r="CW174" s="536"/>
      <c r="CX174" s="536"/>
      <c r="CY174" s="908"/>
    </row>
    <row r="175" spans="1:104" ht="13.5" customHeight="1">
      <c r="A175" s="817" t="s">
        <v>299</v>
      </c>
      <c r="B175" s="743"/>
      <c r="C175" s="743"/>
      <c r="D175" s="744"/>
      <c r="E175" s="744">
        <v>1997</v>
      </c>
      <c r="F175" s="744">
        <v>1998</v>
      </c>
      <c r="G175" s="744">
        <v>1999</v>
      </c>
      <c r="H175" s="744">
        <v>2000</v>
      </c>
      <c r="I175" s="744">
        <v>2001</v>
      </c>
      <c r="J175" s="744"/>
      <c r="K175" s="744"/>
      <c r="L175" s="744"/>
      <c r="M175" s="744"/>
      <c r="N175" s="744">
        <v>2002</v>
      </c>
      <c r="O175" s="744"/>
      <c r="P175" s="744"/>
      <c r="Q175" s="744"/>
      <c r="R175" s="744"/>
      <c r="S175" s="744">
        <v>2003</v>
      </c>
      <c r="T175" s="744" t="s">
        <v>271</v>
      </c>
      <c r="U175" s="744" t="s">
        <v>272</v>
      </c>
      <c r="V175" s="744" t="s">
        <v>273</v>
      </c>
      <c r="W175" s="744" t="s">
        <v>117</v>
      </c>
      <c r="X175" s="744">
        <v>2004</v>
      </c>
      <c r="Y175" s="744" t="str">
        <f t="shared" ref="Y175:BD175" si="331">Y4</f>
        <v>1Q</v>
      </c>
      <c r="Z175" s="744" t="str">
        <f t="shared" si="331"/>
        <v>2Q</v>
      </c>
      <c r="AA175" s="744" t="str">
        <f t="shared" si="331"/>
        <v>3Q</v>
      </c>
      <c r="AB175" s="744" t="str">
        <f t="shared" si="331"/>
        <v>4Q</v>
      </c>
      <c r="AC175" s="744">
        <f t="shared" si="331"/>
        <v>2005</v>
      </c>
      <c r="AD175" s="744" t="str">
        <f t="shared" si="331"/>
        <v>1Q</v>
      </c>
      <c r="AE175" s="744" t="str">
        <f t="shared" si="331"/>
        <v>2Q</v>
      </c>
      <c r="AF175" s="744" t="str">
        <f t="shared" si="331"/>
        <v>3Q</v>
      </c>
      <c r="AG175" s="744" t="str">
        <f t="shared" si="331"/>
        <v>4Q</v>
      </c>
      <c r="AH175" s="744">
        <f t="shared" si="331"/>
        <v>2006</v>
      </c>
      <c r="AI175" s="744" t="str">
        <f t="shared" si="331"/>
        <v>1Q</v>
      </c>
      <c r="AJ175" s="744" t="str">
        <f t="shared" si="331"/>
        <v>2Q</v>
      </c>
      <c r="AK175" s="744" t="str">
        <f t="shared" si="331"/>
        <v>3Q</v>
      </c>
      <c r="AL175" s="744" t="str">
        <f t="shared" si="331"/>
        <v>4Q</v>
      </c>
      <c r="AM175" s="744">
        <f t="shared" si="331"/>
        <v>2007</v>
      </c>
      <c r="AN175" s="744" t="str">
        <f t="shared" si="331"/>
        <v>1Q</v>
      </c>
      <c r="AO175" s="744" t="str">
        <f t="shared" si="331"/>
        <v>2Q</v>
      </c>
      <c r="AP175" s="744" t="str">
        <f t="shared" si="331"/>
        <v>3Q</v>
      </c>
      <c r="AQ175" s="744" t="str">
        <f t="shared" si="331"/>
        <v>4Q</v>
      </c>
      <c r="AR175" s="743">
        <f t="shared" si="331"/>
        <v>2008</v>
      </c>
      <c r="AS175" s="845" t="str">
        <f t="shared" si="331"/>
        <v>1Q</v>
      </c>
      <c r="AT175" s="744" t="str">
        <f t="shared" si="331"/>
        <v>2Q</v>
      </c>
      <c r="AU175" s="744" t="str">
        <f t="shared" si="331"/>
        <v>3Q</v>
      </c>
      <c r="AV175" s="846" t="str">
        <f t="shared" si="331"/>
        <v>4Q</v>
      </c>
      <c r="AW175" s="743">
        <f t="shared" si="331"/>
        <v>2009</v>
      </c>
      <c r="AX175" s="845" t="str">
        <f t="shared" si="331"/>
        <v>1Q</v>
      </c>
      <c r="AY175" s="744" t="str">
        <f t="shared" si="331"/>
        <v>2Q</v>
      </c>
      <c r="AZ175" s="744" t="str">
        <f t="shared" si="331"/>
        <v>3Q</v>
      </c>
      <c r="BA175" s="846" t="str">
        <f t="shared" si="331"/>
        <v>4Q</v>
      </c>
      <c r="BB175" s="743">
        <f t="shared" si="331"/>
        <v>2010</v>
      </c>
      <c r="BC175" s="845" t="str">
        <f t="shared" si="331"/>
        <v>1Q</v>
      </c>
      <c r="BD175" s="744" t="str">
        <f t="shared" si="331"/>
        <v>2Q</v>
      </c>
      <c r="BE175" s="744" t="str">
        <f t="shared" ref="BE175:CJ175" si="332">BE4</f>
        <v>3Q</v>
      </c>
      <c r="BF175" s="846" t="str">
        <f t="shared" si="332"/>
        <v>4Q</v>
      </c>
      <c r="BG175" s="743">
        <f t="shared" si="332"/>
        <v>2011</v>
      </c>
      <c r="BH175" s="845" t="str">
        <f t="shared" si="332"/>
        <v>1Q</v>
      </c>
      <c r="BI175" s="744" t="str">
        <f t="shared" si="332"/>
        <v>2Q</v>
      </c>
      <c r="BJ175" s="744" t="str">
        <f t="shared" si="332"/>
        <v>3Q</v>
      </c>
      <c r="BK175" s="846" t="str">
        <f t="shared" si="332"/>
        <v>4Q</v>
      </c>
      <c r="BL175" s="743">
        <f t="shared" si="332"/>
        <v>2012</v>
      </c>
      <c r="BM175" s="845" t="str">
        <f t="shared" si="332"/>
        <v>1Q</v>
      </c>
      <c r="BN175" s="744" t="str">
        <f t="shared" si="332"/>
        <v>2Q</v>
      </c>
      <c r="BO175" s="744" t="str">
        <f t="shared" si="332"/>
        <v>3Q</v>
      </c>
      <c r="BP175" s="846" t="str">
        <f t="shared" si="332"/>
        <v>4Q</v>
      </c>
      <c r="BQ175" s="743">
        <f t="shared" si="332"/>
        <v>2013</v>
      </c>
      <c r="BR175" s="845" t="str">
        <f t="shared" si="332"/>
        <v>1Q</v>
      </c>
      <c r="BS175" s="744" t="str">
        <f t="shared" si="332"/>
        <v>2Q</v>
      </c>
      <c r="BT175" s="744" t="str">
        <f t="shared" si="332"/>
        <v>3Q</v>
      </c>
      <c r="BU175" s="846" t="str">
        <f t="shared" si="332"/>
        <v>4Q</v>
      </c>
      <c r="BV175" s="743">
        <f t="shared" si="332"/>
        <v>2014</v>
      </c>
      <c r="BW175" s="845" t="str">
        <f t="shared" si="332"/>
        <v>1Q</v>
      </c>
      <c r="BX175" s="744" t="str">
        <f t="shared" si="332"/>
        <v>2Q</v>
      </c>
      <c r="BY175" s="744" t="str">
        <f t="shared" si="332"/>
        <v>3Q</v>
      </c>
      <c r="BZ175" s="846" t="str">
        <f t="shared" si="332"/>
        <v>4Q</v>
      </c>
      <c r="CA175" s="743">
        <f t="shared" si="332"/>
        <v>2015</v>
      </c>
      <c r="CB175" s="845" t="str">
        <f t="shared" si="332"/>
        <v>1Q</v>
      </c>
      <c r="CC175" s="744" t="str">
        <f t="shared" si="332"/>
        <v>2Q</v>
      </c>
      <c r="CD175" s="744" t="str">
        <f t="shared" si="332"/>
        <v>3Q</v>
      </c>
      <c r="CE175" s="846" t="str">
        <f t="shared" si="332"/>
        <v>4Q</v>
      </c>
      <c r="CF175" s="743">
        <f t="shared" si="332"/>
        <v>2016</v>
      </c>
      <c r="CG175" s="845" t="str">
        <f t="shared" si="332"/>
        <v>1Q</v>
      </c>
      <c r="CH175" s="744" t="str">
        <f t="shared" si="332"/>
        <v>2Q</v>
      </c>
      <c r="CI175" s="744" t="str">
        <f t="shared" si="332"/>
        <v>3Q</v>
      </c>
      <c r="CJ175" s="846" t="str">
        <f t="shared" si="332"/>
        <v>4Q</v>
      </c>
      <c r="CK175" s="743">
        <f t="shared" ref="CK175:CZ175" si="333">CK4</f>
        <v>2017</v>
      </c>
      <c r="CL175" s="845" t="str">
        <f t="shared" si="333"/>
        <v>1Q</v>
      </c>
      <c r="CM175" s="744" t="str">
        <f t="shared" si="333"/>
        <v>2QE</v>
      </c>
      <c r="CN175" s="744" t="str">
        <f t="shared" si="333"/>
        <v>3QE</v>
      </c>
      <c r="CO175" s="846" t="str">
        <f t="shared" si="333"/>
        <v>4QE</v>
      </c>
      <c r="CP175" s="743" t="str">
        <f t="shared" si="333"/>
        <v>2018E</v>
      </c>
      <c r="CQ175" s="845" t="str">
        <f t="shared" si="333"/>
        <v>1QE</v>
      </c>
      <c r="CR175" s="744" t="str">
        <f t="shared" si="333"/>
        <v>2QE</v>
      </c>
      <c r="CS175" s="744" t="str">
        <f t="shared" si="333"/>
        <v>3QE</v>
      </c>
      <c r="CT175" s="846" t="str">
        <f t="shared" si="333"/>
        <v>4QE</v>
      </c>
      <c r="CU175" s="743" t="str">
        <f t="shared" si="333"/>
        <v>2019E</v>
      </c>
      <c r="CV175" s="845" t="str">
        <f t="shared" si="333"/>
        <v>1QE</v>
      </c>
      <c r="CW175" s="744" t="str">
        <f t="shared" si="333"/>
        <v>2QE</v>
      </c>
      <c r="CX175" s="744" t="str">
        <f t="shared" si="333"/>
        <v>3QE</v>
      </c>
      <c r="CY175" s="846" t="str">
        <f t="shared" si="333"/>
        <v>4QE</v>
      </c>
      <c r="CZ175" s="743" t="str">
        <f t="shared" si="333"/>
        <v>2020E</v>
      </c>
    </row>
    <row r="176" spans="1:104" ht="13.5" customHeight="1">
      <c r="A176" s="819"/>
      <c r="B176" s="66" t="s">
        <v>106</v>
      </c>
      <c r="C176" s="66"/>
      <c r="D176" s="549"/>
      <c r="E176" s="500">
        <v>4339.9517939999996</v>
      </c>
      <c r="F176" s="500">
        <v>4305.4504079999997</v>
      </c>
      <c r="G176" s="500">
        <v>4158.2931399999998</v>
      </c>
      <c r="H176" s="500">
        <v>4756.5211340000005</v>
      </c>
      <c r="I176" s="500">
        <v>4333.7067539999998</v>
      </c>
      <c r="J176" s="500"/>
      <c r="K176" s="500"/>
      <c r="L176" s="500"/>
      <c r="M176" s="500"/>
      <c r="N176" s="500">
        <v>4801.7765369999997</v>
      </c>
      <c r="O176" s="500"/>
      <c r="P176" s="500"/>
      <c r="Q176" s="500"/>
      <c r="R176" s="500"/>
      <c r="S176" s="500">
        <v>6265.8230000000003</v>
      </c>
      <c r="T176" s="549">
        <f>Financials!T15</f>
        <v>2286.4160000000002</v>
      </c>
      <c r="U176" s="549">
        <f>Financials!U15</f>
        <v>2761.8220000000001</v>
      </c>
      <c r="V176" s="549">
        <f>Financials!V15</f>
        <v>3239.5920000000001</v>
      </c>
      <c r="W176" s="549">
        <f>Financials!W15</f>
        <v>3088.998</v>
      </c>
      <c r="X176" s="549">
        <f>Financials!X15</f>
        <v>11376.828</v>
      </c>
      <c r="Y176" s="549">
        <f>Financials!Y15</f>
        <v>3321.703</v>
      </c>
      <c r="Z176" s="549">
        <f>Financials!Z15</f>
        <v>3145.0030000000002</v>
      </c>
      <c r="AA176" s="549">
        <f>Financials!AA15</f>
        <v>3025.9110000000001</v>
      </c>
      <c r="AB176" s="549">
        <f>Financials!AB15</f>
        <v>3208.382000000001</v>
      </c>
      <c r="AC176" s="549">
        <f>Financials!AC15</f>
        <v>12700.999</v>
      </c>
      <c r="AD176" s="549">
        <f>Financials!AD15</f>
        <v>3545.0969999999993</v>
      </c>
      <c r="AE176" s="549">
        <f>Financials!AE15</f>
        <v>3806.3500000000004</v>
      </c>
      <c r="AF176" s="549">
        <f>Financials!AF15</f>
        <v>3931.2330000000002</v>
      </c>
      <c r="AG176" s="549">
        <f>Financials!AG15</f>
        <v>3468.5899999999997</v>
      </c>
      <c r="AH176" s="549">
        <f>Financials!AH15</f>
        <v>14751.27</v>
      </c>
      <c r="AI176" s="549">
        <f>Financials!AI15</f>
        <v>3768.8850000000002</v>
      </c>
      <c r="AJ176" s="549">
        <f>Financials!AJ15</f>
        <v>4186.1099999999997</v>
      </c>
      <c r="AK176" s="549">
        <f>Financials!AK15</f>
        <v>4259.2209999999995</v>
      </c>
      <c r="AL176" s="549">
        <f>Financials!AL15</f>
        <v>4396.76</v>
      </c>
      <c r="AM176" s="549">
        <f>Financials!AM15</f>
        <v>16610.976000000002</v>
      </c>
      <c r="AN176" s="549">
        <f>Financials!AN15</f>
        <v>4974.2690000000002</v>
      </c>
      <c r="AO176" s="549">
        <f>Financials!AO15</f>
        <v>7090.5990000000002</v>
      </c>
      <c r="AP176" s="549">
        <f>Financials!AP15</f>
        <v>7447.52</v>
      </c>
      <c r="AQ176" s="549">
        <f>Financials!AQ15</f>
        <v>4150.9359999999997</v>
      </c>
      <c r="AR176" s="549">
        <f>Financials!AR15</f>
        <v>23663.324000000004</v>
      </c>
      <c r="AS176" s="838">
        <f>Financials!AS15</f>
        <v>2654.319</v>
      </c>
      <c r="AT176" s="598">
        <f>Financials!AT15</f>
        <v>2478.0279999999998</v>
      </c>
      <c r="AU176" s="598">
        <f>Financials!AU15</f>
        <v>3120.0050000000001</v>
      </c>
      <c r="AV176" s="839">
        <f>Financials!AV15</f>
        <v>2937.944</v>
      </c>
      <c r="AW176" s="549">
        <f>Financials!AW15</f>
        <v>11190.295999999998</v>
      </c>
      <c r="AX176" s="838">
        <f>Financials!AX15</f>
        <v>3654.8420000000001</v>
      </c>
      <c r="AY176" s="598">
        <f>Financials!AY15</f>
        <v>4195.9660000000003</v>
      </c>
      <c r="AZ176" s="598">
        <f>Financials!AZ15</f>
        <v>4140.0690000000004</v>
      </c>
      <c r="BA176" s="839">
        <f>Financials!BA15</f>
        <v>3853.75</v>
      </c>
      <c r="BB176" s="549">
        <f>Financials!BB15</f>
        <v>15844.627000000004</v>
      </c>
      <c r="BC176" s="838">
        <f>Financials!BC15</f>
        <v>4833.9340000000002</v>
      </c>
      <c r="BD176" s="598">
        <f>Financials!BD15</f>
        <v>5107.8090000000002</v>
      </c>
      <c r="BE176" s="600">
        <f>Financials!BE15</f>
        <v>5252.1440000000002</v>
      </c>
      <c r="BF176" s="910">
        <f>Financials!BF15</f>
        <v>4829.6769999999997</v>
      </c>
      <c r="BG176" s="499">
        <f>Financials!BG15</f>
        <v>20023.563999999998</v>
      </c>
      <c r="BH176" s="838">
        <f>Financials!BH15</f>
        <v>5072.5940000000001</v>
      </c>
      <c r="BI176" s="598">
        <f>Financials!BI15</f>
        <v>5104.1989999999996</v>
      </c>
      <c r="BJ176" s="598">
        <f>Financials!BJ15</f>
        <v>4801.2060000000001</v>
      </c>
      <c r="BK176" s="839">
        <f>Financials!BK15</f>
        <v>4451.2740000000003</v>
      </c>
      <c r="BL176" s="549">
        <f>Financials!BL15</f>
        <v>19429.273000000001</v>
      </c>
      <c r="BM176" s="838">
        <f>Financials!BM15</f>
        <v>4550.7719999999999</v>
      </c>
      <c r="BN176" s="598">
        <f>Financials!BN15</f>
        <v>4665.5879999999997</v>
      </c>
      <c r="BO176" s="598">
        <f>Financials!BO15</f>
        <v>4940.9359999999997</v>
      </c>
      <c r="BP176" s="910">
        <f>Financials!BP15</f>
        <v>4894.75</v>
      </c>
      <c r="BQ176" s="499">
        <f>Financials!BQ15</f>
        <v>19052.045999999998</v>
      </c>
      <c r="BR176" s="909">
        <f>Financials!BR15</f>
        <v>5108.4440000000004</v>
      </c>
      <c r="BS176" s="600">
        <f>Financials!BS15</f>
        <v>5291.0749999999998</v>
      </c>
      <c r="BT176" s="600">
        <f>Financials!BT15</f>
        <v>5701.8689999999997</v>
      </c>
      <c r="BU176" s="910">
        <f>Financials!BU15</f>
        <v>5003.7529999999997</v>
      </c>
      <c r="BV176" s="499">
        <f>Financials!BV15</f>
        <v>21105.141000000003</v>
      </c>
      <c r="BW176" s="909">
        <f>Financials!BW15</f>
        <v>4399.4399999999996</v>
      </c>
      <c r="BX176" s="600">
        <f>Financials!BX15</f>
        <v>4357.6090000000004</v>
      </c>
      <c r="BY176" s="600">
        <f>Financials!BY15</f>
        <v>4225.5140000000001</v>
      </c>
      <c r="BZ176" s="910">
        <f>Financials!BZ15</f>
        <v>3456.7130000000002</v>
      </c>
      <c r="CA176" s="499">
        <f>Financials!CA15</f>
        <v>16439.276000000002</v>
      </c>
      <c r="CB176" s="909">
        <f>Financials!CB15</f>
        <v>3715.576</v>
      </c>
      <c r="CC176" s="600">
        <f>Financials!CC15</f>
        <v>4245.7719999999999</v>
      </c>
      <c r="CD176" s="600">
        <f>Financials!CD15</f>
        <v>4290.2359999999999</v>
      </c>
      <c r="CE176" s="910">
        <f>Financials!CE15</f>
        <v>3956.538</v>
      </c>
      <c r="CF176" s="499">
        <f>Financials!CF15</f>
        <v>16208.122000000001</v>
      </c>
      <c r="CG176" s="909">
        <f>Financials!CG15</f>
        <v>4815.1790000000001</v>
      </c>
      <c r="CH176" s="600">
        <f>Financials!CH15</f>
        <v>5174.7690000000002</v>
      </c>
      <c r="CI176" s="600">
        <f>Financials!CI15</f>
        <v>5170.1170000000002</v>
      </c>
      <c r="CJ176" s="910">
        <f>Financials!CJ15</f>
        <v>5092.3280000000004</v>
      </c>
      <c r="CK176" s="499">
        <f>Financials!CK15</f>
        <v>20252.393</v>
      </c>
      <c r="CL176" s="909">
        <f>Financials!CL15</f>
        <v>5568.4189999999999</v>
      </c>
      <c r="CM176" s="600">
        <f>Financials!CM15</f>
        <v>6597.9083088509942</v>
      </c>
      <c r="CN176" s="600">
        <f>Financials!CN15</f>
        <v>6737.6566576219666</v>
      </c>
      <c r="CO176" s="910">
        <f>Financials!CO15</f>
        <v>6579.9601327958853</v>
      </c>
      <c r="CP176" s="499">
        <f>Financials!CP15</f>
        <v>25483.944099268847</v>
      </c>
      <c r="CQ176" s="909">
        <f>Financials!CQ15</f>
        <v>6932.6503065409343</v>
      </c>
      <c r="CR176" s="600">
        <f>Financials!CR15</f>
        <v>6844.1371930446439</v>
      </c>
      <c r="CS176" s="600">
        <f>Financials!CS15</f>
        <v>6698.8386500751894</v>
      </c>
      <c r="CT176" s="910">
        <f>Financials!CT15</f>
        <v>6421.8712385779827</v>
      </c>
      <c r="CU176" s="499">
        <f>Financials!CU15</f>
        <v>26897.497388238749</v>
      </c>
      <c r="CV176" s="909">
        <f>Financials!CV15</f>
        <v>6755.8960526036271</v>
      </c>
      <c r="CW176" s="600">
        <f>Financials!CW15</f>
        <v>6648.0391629868345</v>
      </c>
      <c r="CX176" s="600">
        <f>Financials!CX15</f>
        <v>6506.9156987550223</v>
      </c>
      <c r="CY176" s="910">
        <f>Financials!CY15</f>
        <v>6358.5102199140711</v>
      </c>
      <c r="CZ176" s="499">
        <f>Financials!CZ15</f>
        <v>26269.361134259554</v>
      </c>
    </row>
    <row r="177" spans="1:104" ht="13.5" customHeight="1">
      <c r="A177" s="819"/>
      <c r="B177" s="66" t="s">
        <v>75</v>
      </c>
      <c r="C177" s="66"/>
      <c r="D177" s="549"/>
      <c r="E177" s="500">
        <v>569.329702</v>
      </c>
      <c r="F177" s="500">
        <v>524.8394649999999</v>
      </c>
      <c r="G177" s="500">
        <v>471.62312700000001</v>
      </c>
      <c r="H177" s="500">
        <v>644.16367300000002</v>
      </c>
      <c r="I177" s="500">
        <v>268.76289499999996</v>
      </c>
      <c r="J177" s="500"/>
      <c r="K177" s="500"/>
      <c r="L177" s="500"/>
      <c r="M177" s="500"/>
      <c r="N177" s="500">
        <v>293.91085999999996</v>
      </c>
      <c r="O177" s="500"/>
      <c r="P177" s="500"/>
      <c r="Q177" s="500"/>
      <c r="R177" s="500"/>
      <c r="S177" s="500">
        <v>111.10723299999995</v>
      </c>
      <c r="T177" s="549">
        <f>Financials!T41</f>
        <v>192.64800000000002</v>
      </c>
      <c r="U177" s="549">
        <f>Financials!U41</f>
        <v>431.1</v>
      </c>
      <c r="V177" s="549">
        <f>Financials!V41</f>
        <v>674.50099999999998</v>
      </c>
      <c r="W177" s="549">
        <f>Financials!W41</f>
        <v>547.87699999999995</v>
      </c>
      <c r="X177" s="549">
        <f>Financials!X41</f>
        <v>1846.1259999999997</v>
      </c>
      <c r="Y177" s="549">
        <f>Financials!Y41</f>
        <v>576.56399999999996</v>
      </c>
      <c r="Z177" s="549">
        <f>Financials!Z41</f>
        <v>522.29200000000003</v>
      </c>
      <c r="AA177" s="549">
        <f>Financials!AA41</f>
        <v>472.50500000000011</v>
      </c>
      <c r="AB177" s="549">
        <f>Financials!AB41</f>
        <v>550.68200000000002</v>
      </c>
      <c r="AC177" s="549">
        <f>Financials!AC41</f>
        <v>2122.0430000000001</v>
      </c>
      <c r="AD177" s="549">
        <f>Financials!AD41</f>
        <v>622.85500000000002</v>
      </c>
      <c r="AE177" s="549">
        <f>Financials!AE41</f>
        <v>733.77300000000002</v>
      </c>
      <c r="AF177" s="549">
        <f>Financials!AF41</f>
        <v>844.18799999999999</v>
      </c>
      <c r="AG177" s="549">
        <f>Financials!AG41</f>
        <v>674.85799999999995</v>
      </c>
      <c r="AH177" s="549">
        <f>Financials!AH41</f>
        <v>2875.674</v>
      </c>
      <c r="AI177" s="549">
        <f>Financials!AI41</f>
        <v>641.077</v>
      </c>
      <c r="AJ177" s="549">
        <f>Financials!AJ41</f>
        <v>615.28000000000009</v>
      </c>
      <c r="AK177" s="549">
        <f>Financials!AK41</f>
        <v>664.4909999999993</v>
      </c>
      <c r="AL177" s="549">
        <f>Financials!AL41</f>
        <v>631.43700000000001</v>
      </c>
      <c r="AM177" s="549">
        <f>Financials!AM41</f>
        <v>2552.2849999999994</v>
      </c>
      <c r="AN177" s="549">
        <f>Financials!AN41</f>
        <v>732.96300000000019</v>
      </c>
      <c r="AO177" s="549">
        <f>Financials!AO41</f>
        <v>990.77200000000039</v>
      </c>
      <c r="AP177" s="549">
        <f>Financials!AP41</f>
        <v>1241.3580000000002</v>
      </c>
      <c r="AQ177" s="549">
        <f>Financials!AQ41</f>
        <v>377.36399999999998</v>
      </c>
      <c r="AR177" s="549">
        <f>Financials!AR41</f>
        <v>3342.4570000000003</v>
      </c>
      <c r="AS177" s="838">
        <f>Financials!AS41</f>
        <v>-249.38099999999997</v>
      </c>
      <c r="AT177" s="598">
        <f>Financials!AT41</f>
        <v>-168.80100000000002</v>
      </c>
      <c r="AU177" s="598">
        <f>Financials!AU41</f>
        <v>13.241</v>
      </c>
      <c r="AV177" s="839">
        <f>Financials!AV41</f>
        <v>125.715</v>
      </c>
      <c r="AW177" s="549">
        <f>Financials!AW41</f>
        <v>-279.226</v>
      </c>
      <c r="AX177" s="838">
        <f>Financials!AX41</f>
        <v>101.824</v>
      </c>
      <c r="AY177" s="598">
        <f>Financials!AY41</f>
        <v>192.89500000000001</v>
      </c>
      <c r="AZ177" s="598">
        <f>Financials!AZ41</f>
        <v>95.692000000000007</v>
      </c>
      <c r="BA177" s="839">
        <f>Financials!BA41</f>
        <v>39.796999999999997</v>
      </c>
      <c r="BB177" s="549">
        <f>Financials!BB41</f>
        <v>430.20800000000008</v>
      </c>
      <c r="BC177" s="838">
        <f>Financials!BC41</f>
        <v>308.82100000000003</v>
      </c>
      <c r="BD177" s="598">
        <f>Financials!BD41</f>
        <v>520.471</v>
      </c>
      <c r="BE177" s="600">
        <f>Financials!BE41</f>
        <v>324.40799999999996</v>
      </c>
      <c r="BF177" s="910">
        <f>Financials!BF41</f>
        <v>235.20600000000002</v>
      </c>
      <c r="BG177" s="499">
        <f>Financials!BG41</f>
        <v>1388.9060000000002</v>
      </c>
      <c r="BH177" s="838">
        <f>Financials!BH41</f>
        <v>266.73400000000004</v>
      </c>
      <c r="BI177" s="598">
        <f>Financials!BI41</f>
        <v>295.74400000000003</v>
      </c>
      <c r="BJ177" s="598">
        <f>Financials!BJ41</f>
        <v>277.88000000000005</v>
      </c>
      <c r="BK177" s="839">
        <f>Financials!BK41</f>
        <v>271.25700000000001</v>
      </c>
      <c r="BL177" s="549">
        <f>Financials!BL41</f>
        <v>1111.6150000000002</v>
      </c>
      <c r="BM177" s="838">
        <f>Financials!BM41</f>
        <v>185.81900000000002</v>
      </c>
      <c r="BN177" s="598">
        <f>Financials!BN41</f>
        <v>191.56</v>
      </c>
      <c r="BO177" s="598">
        <f>Financials!BO41</f>
        <v>299.66899999999998</v>
      </c>
      <c r="BP177" s="910">
        <f>Financials!BP41</f>
        <v>274.97000000000003</v>
      </c>
      <c r="BQ177" s="499">
        <f>Financials!BQ41</f>
        <v>952.0179999999998</v>
      </c>
      <c r="BR177" s="909">
        <f>Financials!BR41</f>
        <v>257.24200000000002</v>
      </c>
      <c r="BS177" s="600">
        <f>Financials!BS41</f>
        <v>286.25600000000003</v>
      </c>
      <c r="BT177" s="600">
        <f>Financials!BT41</f>
        <v>461.834</v>
      </c>
      <c r="BU177" s="910">
        <f>Financials!BU41</f>
        <v>390.00099999999998</v>
      </c>
      <c r="BV177" s="499">
        <f>Financials!BV41</f>
        <v>1395.3329999999999</v>
      </c>
      <c r="BW177" s="909">
        <f>Financials!BW41</f>
        <v>163.46199999999999</v>
      </c>
      <c r="BX177" s="600">
        <f>Financials!BX41</f>
        <v>258.40800000000002</v>
      </c>
      <c r="BY177" s="600">
        <f>Financials!BY41</f>
        <v>399.61200000000002</v>
      </c>
      <c r="BZ177" s="910">
        <f>Financials!BZ41</f>
        <v>298.42</v>
      </c>
      <c r="CA177" s="499">
        <f>Financials!CA41</f>
        <v>1119.902</v>
      </c>
      <c r="CB177" s="909">
        <f>Financials!CB41</f>
        <v>186.44800000000001</v>
      </c>
      <c r="CC177" s="600">
        <f>Financials!CC41</f>
        <v>411.36799999999999</v>
      </c>
      <c r="CD177" s="600">
        <f>Financials!CD41</f>
        <v>469.28100000000001</v>
      </c>
      <c r="CE177" s="910">
        <f>Financials!CE41</f>
        <v>260.26900000000001</v>
      </c>
      <c r="CF177" s="499">
        <f>Financials!CF41</f>
        <v>1327.3659999999998</v>
      </c>
      <c r="CG177" s="909">
        <f>Financials!CG41</f>
        <v>602.38</v>
      </c>
      <c r="CH177" s="600">
        <f>Financials!CH41</f>
        <v>552.71600000000001</v>
      </c>
      <c r="CI177" s="600">
        <f>Financials!CI41</f>
        <v>420.96500000000003</v>
      </c>
      <c r="CJ177" s="910">
        <f>Financials!CJ41</f>
        <v>364.32599999999996</v>
      </c>
      <c r="CK177" s="499">
        <f>Financials!CK41</f>
        <v>1940.3869999999999</v>
      </c>
      <c r="CL177" s="909">
        <f>Financials!CL41</f>
        <v>574.82600000000002</v>
      </c>
      <c r="CM177" s="600">
        <f>Financials!CM41</f>
        <v>788.59615184840584</v>
      </c>
      <c r="CN177" s="600">
        <f>Financials!CN41</f>
        <v>805.40742906253331</v>
      </c>
      <c r="CO177" s="910">
        <f>Financials!CO41</f>
        <v>741.8100981036805</v>
      </c>
      <c r="CP177" s="499">
        <f>Financials!CP41</f>
        <v>2910.63967901462</v>
      </c>
      <c r="CQ177" s="909">
        <f>Financials!CQ41</f>
        <v>804.19687717936495</v>
      </c>
      <c r="CR177" s="600">
        <f>Financials!CR41</f>
        <v>758.79227446838343</v>
      </c>
      <c r="CS177" s="600">
        <f>Financials!CS41</f>
        <v>680.48707288410742</v>
      </c>
      <c r="CT177" s="910">
        <f>Financials!CT41</f>
        <v>562.91523109697494</v>
      </c>
      <c r="CU177" s="499">
        <f>Financials!CU41</f>
        <v>2806.3914556288305</v>
      </c>
      <c r="CV177" s="909">
        <f>Financials!CV41</f>
        <v>671.75025932684173</v>
      </c>
      <c r="CW177" s="600">
        <f>Financials!CW41</f>
        <v>698.80584104579748</v>
      </c>
      <c r="CX177" s="600">
        <f>Financials!CX41</f>
        <v>644.28096184963431</v>
      </c>
      <c r="CY177" s="910">
        <f>Financials!CY41</f>
        <v>651.33003858647112</v>
      </c>
      <c r="CZ177" s="499">
        <f>Financials!CZ41</f>
        <v>2666.1671008087446</v>
      </c>
    </row>
    <row r="178" spans="1:104" ht="13.5" customHeight="1">
      <c r="A178" s="820"/>
      <c r="B178" s="79" t="s">
        <v>562</v>
      </c>
      <c r="C178" s="79"/>
      <c r="D178" s="145"/>
      <c r="E178" s="803">
        <v>0.83781185885433873</v>
      </c>
      <c r="F178" s="803">
        <v>0.75035309264748373</v>
      </c>
      <c r="G178" s="803">
        <v>0.70052906107414792</v>
      </c>
      <c r="H178" s="803">
        <v>0.95047208359429625</v>
      </c>
      <c r="I178" s="803">
        <v>0.3208628294032066</v>
      </c>
      <c r="J178" s="803"/>
      <c r="K178" s="803"/>
      <c r="L178" s="803"/>
      <c r="M178" s="803"/>
      <c r="N178" s="803">
        <v>0.46198271964329118</v>
      </c>
      <c r="O178" s="803"/>
      <c r="P178" s="803"/>
      <c r="Q178" s="803"/>
      <c r="R178" s="803"/>
      <c r="S178" s="803">
        <v>0.1914213288385212</v>
      </c>
      <c r="T178" s="145">
        <f>Financials!T60</f>
        <v>0.35423244007779159</v>
      </c>
      <c r="U178" s="145">
        <f>Financials!U60</f>
        <v>0.81840097688705371</v>
      </c>
      <c r="V178" s="145">
        <f>Financials!V60</f>
        <v>1.2962291470333083</v>
      </c>
      <c r="W178" s="145">
        <f>Financials!W60</f>
        <v>1.0617750051313311</v>
      </c>
      <c r="X178" s="145">
        <f>Financials!X60</f>
        <v>3.5337080761671062</v>
      </c>
      <c r="Y178" s="145">
        <f>Financials!Y60</f>
        <v>1.0812237202783321</v>
      </c>
      <c r="Z178" s="145">
        <f>Financials!Z60</f>
        <v>1.0127826911126872</v>
      </c>
      <c r="AA178" s="145">
        <f>Financials!AA60</f>
        <v>0.92814940598845075</v>
      </c>
      <c r="AB178" s="145">
        <f>Financials!AB60</f>
        <v>1.0900321543408367</v>
      </c>
      <c r="AC178" s="145">
        <f>Financials!AC60</f>
        <v>4.1128370069056857</v>
      </c>
      <c r="AD178" s="145">
        <f>Financials!AD60</f>
        <v>1.2084889784157986</v>
      </c>
      <c r="AE178" s="145">
        <f>Financials!AE60</f>
        <v>1.4467990605678134</v>
      </c>
      <c r="AF178" s="145">
        <f>Financials!AF60</f>
        <v>1.6828904286415673</v>
      </c>
      <c r="AG178" s="145">
        <f>Financials!AG60</f>
        <v>1.3452612844218121</v>
      </c>
      <c r="AH178" s="145">
        <f>Financials!AH60</f>
        <v>5.6812829488559409</v>
      </c>
      <c r="AI178" s="145">
        <f>Financials!AI60</f>
        <v>1.2555242156042201</v>
      </c>
      <c r="AJ178" s="145">
        <f>Financials!AJ60</f>
        <v>1.136880625061814</v>
      </c>
      <c r="AK178" s="145">
        <f>Financials!AK60</f>
        <v>1.292194739999794</v>
      </c>
      <c r="AL178" s="145">
        <f>Financials!AL60</f>
        <v>1.2584454914837988</v>
      </c>
      <c r="AM178" s="145">
        <f>Financials!AM60</f>
        <v>4.9404597780237252</v>
      </c>
      <c r="AN178" s="145">
        <f>Financials!AN60</f>
        <v>1.4119661889517963</v>
      </c>
      <c r="AO178" s="145">
        <f>Financials!AO60</f>
        <v>1.9368667498215739</v>
      </c>
      <c r="AP178" s="145">
        <f>Financials!AP60</f>
        <v>2.308811696965126</v>
      </c>
      <c r="AQ178" s="145">
        <f>Financials!AQ60</f>
        <v>0.63562344839393903</v>
      </c>
      <c r="AR178" s="145">
        <f>Financials!AR60</f>
        <v>6.2908308613096731</v>
      </c>
      <c r="AS178" s="925">
        <f>Financials!AS60</f>
        <v>-0.60335200862817706</v>
      </c>
      <c r="AT178" s="142">
        <f>Financials!AT60</f>
        <v>-0.4236255845872306</v>
      </c>
      <c r="AU178" s="142">
        <f>Financials!AU60</f>
        <v>-9.3719956976010016E-2</v>
      </c>
      <c r="AV178" s="926">
        <f>Financials!AV60</f>
        <v>0.18656806232976503</v>
      </c>
      <c r="AW178" s="145">
        <f>Financials!AW60</f>
        <v>-0.93211659830601024</v>
      </c>
      <c r="AX178" s="925">
        <f>Financials!AX60</f>
        <v>9.7916693018961012E-2</v>
      </c>
      <c r="AY178" s="142">
        <f>Financials!AY60</f>
        <v>0.28751990697439278</v>
      </c>
      <c r="AZ178" s="142">
        <f>Financials!AZ60</f>
        <v>7.4173812019346155E-2</v>
      </c>
      <c r="BA178" s="926">
        <f>Financials!BA60</f>
        <v>-1.5360589765718597E-2</v>
      </c>
      <c r="BB178" s="145">
        <f>Financials!BB60</f>
        <v>0.44419449622444829</v>
      </c>
      <c r="BC178" s="925">
        <f>Financials!BC60</f>
        <v>0.50443078321351709</v>
      </c>
      <c r="BD178" s="142">
        <f>Financials!BD60</f>
        <v>0.94495965579675867</v>
      </c>
      <c r="BE178" s="679">
        <f>Financials!BE60</f>
        <v>0.5722617703991878</v>
      </c>
      <c r="BF178" s="977">
        <f>Financials!BF60</f>
        <v>0.34982234206083207</v>
      </c>
      <c r="BG178" s="365">
        <f>Financials!BG60</f>
        <v>2.3711659101622797</v>
      </c>
      <c r="BH178" s="925">
        <f>Financials!BH60</f>
        <v>0.41696902564360783</v>
      </c>
      <c r="BI178" s="142">
        <f>Financials!BI60</f>
        <v>0.46479688089548493</v>
      </c>
      <c r="BJ178" s="142">
        <f>Financials!BJ60</f>
        <v>0.44696722340826339</v>
      </c>
      <c r="BK178" s="926">
        <f>Financials!BK60</f>
        <v>0.4541810911670271</v>
      </c>
      <c r="BL178" s="145">
        <f>Financials!BL60</f>
        <v>1.782943690296632</v>
      </c>
      <c r="BM178" s="925">
        <f>Financials!BM60</f>
        <v>0.26592795177548767</v>
      </c>
      <c r="BN178" s="142">
        <f>Financials!BN60</f>
        <v>0.26689298263761546</v>
      </c>
      <c r="BO178" s="142">
        <f>Financials!BO60</f>
        <v>0.49040453672001644</v>
      </c>
      <c r="BP178" s="977">
        <f>Financials!BP60</f>
        <v>0.46673882847596776</v>
      </c>
      <c r="BQ178" s="365">
        <f>Financials!BQ60</f>
        <v>1.4903961730341102</v>
      </c>
      <c r="BR178" s="1005">
        <f>Financials!BR60</f>
        <v>0.40554714668134406</v>
      </c>
      <c r="BS178" s="679">
        <f>Financials!BS60</f>
        <v>0.45953040961807118</v>
      </c>
      <c r="BT178" s="679">
        <f>Financials!BT60</f>
        <v>0.79150082569294233</v>
      </c>
      <c r="BU178" s="977">
        <f>Financials!BU60</f>
        <v>0.65666299473551171</v>
      </c>
      <c r="BV178" s="365">
        <f>Financials!BV60</f>
        <v>2.3137079423834557</v>
      </c>
      <c r="BW178" s="1005">
        <f>Financials!BW60</f>
        <v>0.21155568314075937</v>
      </c>
      <c r="BX178" s="679">
        <f>Financials!BX60</f>
        <v>0.38899871534230512</v>
      </c>
      <c r="BY178" s="679">
        <f>Financials!BY60</f>
        <v>0.70777812402617635</v>
      </c>
      <c r="BZ178" s="977">
        <f>Financials!BZ60</f>
        <v>0.45127491915793283</v>
      </c>
      <c r="CA178" s="365">
        <f>Financials!CA60</f>
        <v>1.7599272828190071</v>
      </c>
      <c r="CB178" s="1005">
        <f>Financials!CB60</f>
        <v>0.22159514428708346</v>
      </c>
      <c r="CC178" s="679">
        <f>Financials!CC60</f>
        <v>0.7315021684846893</v>
      </c>
      <c r="CD178" s="679">
        <f>Financials!CD60</f>
        <v>0.84378866849150691</v>
      </c>
      <c r="CE178" s="977">
        <f>Financials!CE60</f>
        <v>0.42603216020175028</v>
      </c>
      <c r="CF178" s="365">
        <f>Financials!CF60</f>
        <v>2.2233023369249141</v>
      </c>
      <c r="CG178" s="1005">
        <f>Financials!CG60</f>
        <v>1.1323852702509136</v>
      </c>
      <c r="CH178" s="679">
        <f>Financials!CH60</f>
        <v>1.0056720190769117</v>
      </c>
      <c r="CI178" s="679">
        <f>Financials!CI60</f>
        <v>0.7959147407899293</v>
      </c>
      <c r="CJ178" s="977">
        <f>Financials!CJ60</f>
        <v>0.65222663587182428</v>
      </c>
      <c r="CK178" s="365">
        <f>Financials!CK60</f>
        <v>3.5872440382759909</v>
      </c>
      <c r="CL178" s="1005">
        <f>Financials!CL60</f>
        <v>1.1731965775694753</v>
      </c>
      <c r="CM178" s="679">
        <f>Financials!CM60</f>
        <v>1.6981154356404065</v>
      </c>
      <c r="CN178" s="679">
        <f>Financials!CN60</f>
        <v>1.746819218181854</v>
      </c>
      <c r="CO178" s="977">
        <f>Financials!CO60</f>
        <v>1.5997586709281488</v>
      </c>
      <c r="CP178" s="365">
        <f>Financials!CP60</f>
        <v>6.2160938451101924</v>
      </c>
      <c r="CQ178" s="1005">
        <f>Financials!CQ60</f>
        <v>1.7512293076115788</v>
      </c>
      <c r="CR178" s="679">
        <f>Financials!CR60</f>
        <v>1.6427569469085297</v>
      </c>
      <c r="CS178" s="679">
        <f>Financials!CS60</f>
        <v>1.4612073574027646</v>
      </c>
      <c r="CT178" s="977">
        <f>Financials!CT60</f>
        <v>1.183399288915935</v>
      </c>
      <c r="CU178" s="365">
        <f>Financials!CU60</f>
        <v>6.0385929008388066</v>
      </c>
      <c r="CV178" s="1005">
        <f>Financials!CV60</f>
        <v>1.445367904497175</v>
      </c>
      <c r="CW178" s="679">
        <f>Financials!CW60</f>
        <v>1.5033659363820187</v>
      </c>
      <c r="CX178" s="679">
        <f>Financials!CX60</f>
        <v>1.3915151148910951</v>
      </c>
      <c r="CY178" s="977">
        <f>Financials!CY60</f>
        <v>1.4110092594232269</v>
      </c>
      <c r="CZ178" s="365">
        <f>Financials!CZ60</f>
        <v>5.7512582151935154</v>
      </c>
    </row>
    <row r="179" spans="1:104" ht="6.2" customHeight="1">
      <c r="A179" s="819"/>
      <c r="B179" s="66"/>
      <c r="C179" s="66"/>
      <c r="D179" s="542"/>
      <c r="E179" s="542"/>
      <c r="F179" s="542"/>
      <c r="G179" s="542"/>
      <c r="H179" s="542"/>
      <c r="I179" s="542"/>
      <c r="J179" s="542"/>
      <c r="K179" s="542"/>
      <c r="L179" s="542"/>
      <c r="M179" s="542"/>
      <c r="N179" s="542"/>
      <c r="O179" s="542"/>
      <c r="P179" s="542"/>
      <c r="Q179" s="542"/>
      <c r="R179" s="542"/>
      <c r="S179" s="542"/>
      <c r="T179" s="542"/>
      <c r="U179" s="542"/>
      <c r="V179" s="542"/>
      <c r="W179" s="542"/>
      <c r="X179" s="542"/>
      <c r="Y179" s="542"/>
      <c r="Z179" s="542"/>
      <c r="AA179" s="542"/>
      <c r="AB179" s="542"/>
      <c r="AC179" s="542"/>
      <c r="AD179" s="542"/>
      <c r="AE179" s="542"/>
      <c r="AF179" s="542"/>
      <c r="AG179" s="542"/>
      <c r="AH179" s="542"/>
      <c r="AI179" s="542"/>
      <c r="AJ179" s="542"/>
      <c r="AK179" s="542"/>
      <c r="AL179" s="542"/>
      <c r="AM179" s="542"/>
      <c r="AN179" s="542"/>
      <c r="AO179" s="542"/>
      <c r="AP179" s="542"/>
      <c r="AQ179" s="542"/>
      <c r="AR179" s="542"/>
      <c r="AS179" s="842"/>
      <c r="AT179" s="843"/>
      <c r="AU179" s="843"/>
      <c r="AV179" s="844"/>
      <c r="AW179" s="542"/>
      <c r="AX179" s="842"/>
      <c r="AY179" s="843"/>
      <c r="AZ179" s="843"/>
      <c r="BA179" s="844"/>
      <c r="BB179" s="542"/>
      <c r="BC179" s="842"/>
      <c r="BD179" s="843"/>
      <c r="BE179" s="947"/>
      <c r="BF179" s="948"/>
      <c r="BG179" s="543"/>
      <c r="BH179" s="842"/>
      <c r="BI179" s="843"/>
      <c r="BJ179" s="843"/>
      <c r="BK179" s="844"/>
      <c r="BL179" s="542"/>
      <c r="BM179" s="842"/>
      <c r="BN179" s="843"/>
      <c r="BO179" s="843"/>
      <c r="BP179" s="948"/>
      <c r="BQ179" s="543"/>
      <c r="BR179" s="1001"/>
      <c r="BS179" s="947"/>
      <c r="BT179" s="947"/>
      <c r="BU179" s="948"/>
      <c r="BV179" s="543"/>
      <c r="BW179" s="1001"/>
      <c r="BX179" s="947"/>
      <c r="BY179" s="947"/>
      <c r="BZ179" s="948"/>
      <c r="CA179" s="543"/>
      <c r="CB179" s="1001"/>
      <c r="CC179" s="947"/>
      <c r="CD179" s="947"/>
      <c r="CE179" s="948"/>
      <c r="CF179" s="543"/>
      <c r="CG179" s="1001"/>
      <c r="CH179" s="947"/>
      <c r="CI179" s="947"/>
      <c r="CJ179" s="948"/>
      <c r="CK179" s="543"/>
      <c r="CL179" s="1001"/>
      <c r="CM179" s="947"/>
      <c r="CN179" s="947"/>
      <c r="CO179" s="948"/>
      <c r="CP179" s="543"/>
      <c r="CQ179" s="1001"/>
      <c r="CR179" s="947"/>
      <c r="CS179" s="947"/>
      <c r="CT179" s="948"/>
      <c r="CU179" s="543"/>
      <c r="CV179" s="1001"/>
      <c r="CW179" s="947"/>
      <c r="CX179" s="947"/>
      <c r="CY179" s="948"/>
      <c r="CZ179" s="543"/>
    </row>
    <row r="180" spans="1:104" ht="13.5" customHeight="1">
      <c r="A180" s="819"/>
      <c r="B180" s="66" t="s">
        <v>62</v>
      </c>
      <c r="C180" s="66"/>
      <c r="D180" s="549"/>
      <c r="E180" s="500">
        <v>788.09380299999998</v>
      </c>
      <c r="F180" s="500">
        <v>788.87808699999982</v>
      </c>
      <c r="G180" s="500">
        <v>728.26058699999999</v>
      </c>
      <c r="H180" s="500">
        <v>752.88316099999997</v>
      </c>
      <c r="I180" s="500">
        <v>454.75727699999999</v>
      </c>
      <c r="J180" s="500"/>
      <c r="K180" s="500"/>
      <c r="L180" s="500"/>
      <c r="M180" s="500"/>
      <c r="N180" s="500">
        <v>521.5399809999999</v>
      </c>
      <c r="O180" s="549"/>
      <c r="P180" s="549"/>
      <c r="Q180" s="549"/>
      <c r="R180" s="549"/>
      <c r="S180" s="500">
        <v>451.26937799999996</v>
      </c>
      <c r="T180" s="549">
        <f>Financials!T97</f>
        <v>288.94600000000003</v>
      </c>
      <c r="U180" s="549">
        <f>Financials!U97</f>
        <v>528.48099999999999</v>
      </c>
      <c r="V180" s="549">
        <f>Financials!V97</f>
        <v>772.62699999999995</v>
      </c>
      <c r="W180" s="549">
        <f>Financials!W97</f>
        <v>639.37699999999995</v>
      </c>
      <c r="X180" s="549">
        <f>Financials!X97</f>
        <v>2229.4309999999996</v>
      </c>
      <c r="Y180" s="549">
        <f>Financials!Y97</f>
        <v>667.85399999999993</v>
      </c>
      <c r="Z180" s="549">
        <f>Financials!Z97</f>
        <v>616.27300000000002</v>
      </c>
      <c r="AA180" s="549">
        <f>Financials!AA97</f>
        <v>568.73300000000017</v>
      </c>
      <c r="AB180" s="549">
        <f>Financials!AB97</f>
        <v>644.23699999999997</v>
      </c>
      <c r="AC180" s="549">
        <f>Financials!AC97</f>
        <v>2497.0970000000002</v>
      </c>
      <c r="AD180" s="549">
        <f>Financials!AD97</f>
        <v>713.68000000000006</v>
      </c>
      <c r="AE180" s="549">
        <f>Financials!AE97</f>
        <v>825.43600000000004</v>
      </c>
      <c r="AF180" s="549">
        <f>Financials!AF97</f>
        <v>935.37799999999993</v>
      </c>
      <c r="AG180" s="549">
        <f>Financials!AG97</f>
        <v>765.11599999999999</v>
      </c>
      <c r="AH180" s="549">
        <f>Financials!AH97</f>
        <v>3239.61</v>
      </c>
      <c r="AI180" s="549">
        <f>Financials!AI97</f>
        <v>739.47900000000004</v>
      </c>
      <c r="AJ180" s="549">
        <f>Financials!AJ97</f>
        <v>713.02700000000004</v>
      </c>
      <c r="AK180" s="549">
        <f>Financials!AK97</f>
        <v>782.05899999999929</v>
      </c>
      <c r="AL180" s="549">
        <f>Financials!AL97</f>
        <v>745.27600000000007</v>
      </c>
      <c r="AM180" s="549">
        <f>Financials!AM97</f>
        <v>2979.8409999999994</v>
      </c>
      <c r="AN180" s="549">
        <f>Financials!AN97</f>
        <v>856.03600000000017</v>
      </c>
      <c r="AO180" s="549">
        <f>Financials!AO97</f>
        <v>1130.9970000000003</v>
      </c>
      <c r="AP180" s="549">
        <f>Financials!AP97</f>
        <v>1383.4070000000002</v>
      </c>
      <c r="AQ180" s="549">
        <f>Financials!AQ97</f>
        <v>520.92399999999998</v>
      </c>
      <c r="AR180" s="549">
        <f>Financials!AR97</f>
        <v>3891.3640000000005</v>
      </c>
      <c r="AS180" s="838">
        <f>Financials!AS97</f>
        <v>-111.53999999999996</v>
      </c>
      <c r="AT180" s="598">
        <f>Financials!AT97</f>
        <v>-28.166000000000025</v>
      </c>
      <c r="AU180" s="598">
        <f>Financials!AU97</f>
        <v>156.86899999999997</v>
      </c>
      <c r="AV180" s="839">
        <f>Financials!AV97</f>
        <v>270.03399999999999</v>
      </c>
      <c r="AW180" s="549">
        <f>Financials!AW97</f>
        <v>287.197</v>
      </c>
      <c r="AX180" s="838">
        <f>Financials!AX97</f>
        <v>247.928</v>
      </c>
      <c r="AY180" s="598">
        <f>Financials!AY97</f>
        <v>337.90800000000002</v>
      </c>
      <c r="AZ180" s="598">
        <f>Financials!AZ97</f>
        <v>243.06</v>
      </c>
      <c r="BA180" s="839">
        <f>Financials!BA97</f>
        <v>183.91400000000007</v>
      </c>
      <c r="BB180" s="549">
        <f>Financials!BB97</f>
        <v>1012.8100000000002</v>
      </c>
      <c r="BC180" s="838">
        <f>Financials!BC97</f>
        <v>453.48700000000002</v>
      </c>
      <c r="BD180" s="598">
        <f>Financials!BD97</f>
        <v>666.5440000000001</v>
      </c>
      <c r="BE180" s="600">
        <f>Financials!BE97</f>
        <v>477.19099999999992</v>
      </c>
      <c r="BF180" s="910">
        <f>Financials!BF97</f>
        <v>382.084</v>
      </c>
      <c r="BG180" s="499">
        <f>Financials!BG97</f>
        <v>1979.306</v>
      </c>
      <c r="BH180" s="838">
        <f>Financials!BH97</f>
        <v>414.65600000000006</v>
      </c>
      <c r="BI180" s="598">
        <f>Financials!BI97</f>
        <v>441.91200000000003</v>
      </c>
      <c r="BJ180" s="598">
        <f>Financials!BJ97</f>
        <v>431.99799999999999</v>
      </c>
      <c r="BK180" s="839">
        <f>Financials!BK97</f>
        <v>430.07</v>
      </c>
      <c r="BL180" s="549">
        <f>Financials!BL97</f>
        <v>1718.6360000000002</v>
      </c>
      <c r="BM180" s="838">
        <f>Financials!BM97</f>
        <v>335.29200000000003</v>
      </c>
      <c r="BN180" s="598">
        <f>Financials!BN97</f>
        <v>338.05199999999996</v>
      </c>
      <c r="BO180" s="598">
        <f>Financials!BO97</f>
        <v>450.25</v>
      </c>
      <c r="BP180" s="910">
        <f>Financials!BP97</f>
        <v>438.63200000000001</v>
      </c>
      <c r="BQ180" s="499">
        <f>Financials!BQ97</f>
        <v>1562.2259999999997</v>
      </c>
      <c r="BR180" s="909">
        <f>Financials!BR97</f>
        <v>437.154</v>
      </c>
      <c r="BS180" s="600">
        <f>Financials!BS97</f>
        <v>469.03800000000001</v>
      </c>
      <c r="BT180" s="600">
        <f>Financials!BT97</f>
        <v>639.95100000000002</v>
      </c>
      <c r="BU180" s="910">
        <f>Financials!BU97</f>
        <v>573.61299999999994</v>
      </c>
      <c r="BV180" s="499">
        <f>Financials!BV97</f>
        <v>2119.7559999999999</v>
      </c>
      <c r="BW180" s="909">
        <f>Financials!BW97</f>
        <v>340.05099999999999</v>
      </c>
      <c r="BX180" s="600">
        <f>Financials!BX97</f>
        <v>433.23500000000001</v>
      </c>
      <c r="BY180" s="600">
        <f>Financials!BY97</f>
        <v>573.10800000000006</v>
      </c>
      <c r="BZ180" s="910">
        <f>Financials!BZ97</f>
        <v>473.52499999999992</v>
      </c>
      <c r="CA180" s="499">
        <f>Financials!CA97</f>
        <v>1819.9189999999999</v>
      </c>
      <c r="CB180" s="909">
        <f>Financials!CB97</f>
        <v>356.80899999999997</v>
      </c>
      <c r="CC180" s="600">
        <f>Financials!CC97</f>
        <v>582.68200000000002</v>
      </c>
      <c r="CD180" s="600">
        <f>Financials!CD97</f>
        <v>640.78099999999995</v>
      </c>
      <c r="CE180" s="910">
        <f>Financials!CE97</f>
        <v>434.14800000000002</v>
      </c>
      <c r="CF180" s="499">
        <f>Financials!CF97</f>
        <v>2014.4199999999996</v>
      </c>
      <c r="CG180" s="909">
        <f>Financials!CG97</f>
        <v>783.27300000000002</v>
      </c>
      <c r="CH180" s="600">
        <f>Financials!CH97</f>
        <v>735.54399999999998</v>
      </c>
      <c r="CI180" s="600">
        <f>Financials!CI97</f>
        <v>600.46</v>
      </c>
      <c r="CJ180" s="910">
        <f>Financials!CJ97</f>
        <v>548.17099999999982</v>
      </c>
      <c r="CK180" s="499">
        <f>Financials!CK97</f>
        <v>2667.4479999999999</v>
      </c>
      <c r="CL180" s="909">
        <f>Financials!CL97</f>
        <v>748.82600000000002</v>
      </c>
      <c r="CM180" s="600">
        <f>Financials!CM97</f>
        <v>962.59615184840584</v>
      </c>
      <c r="CN180" s="600">
        <f>Financials!CN97</f>
        <v>979.40742906253331</v>
      </c>
      <c r="CO180" s="910">
        <f>Financials!CO97</f>
        <v>915.8100981036805</v>
      </c>
      <c r="CP180" s="499">
        <f>Financials!CP97</f>
        <v>3606.63967901462</v>
      </c>
      <c r="CQ180" s="909">
        <f>Financials!CQ97</f>
        <v>978.19687717936495</v>
      </c>
      <c r="CR180" s="600">
        <f>Financials!CR97</f>
        <v>932.79227446838343</v>
      </c>
      <c r="CS180" s="600">
        <f>Financials!CS97</f>
        <v>854.48707288410742</v>
      </c>
      <c r="CT180" s="910">
        <f>Financials!CT97</f>
        <v>736.91523109697494</v>
      </c>
      <c r="CU180" s="499">
        <f>Financials!CU97</f>
        <v>3502.3914556288305</v>
      </c>
      <c r="CV180" s="909">
        <f>Financials!CV97</f>
        <v>845.75025932684173</v>
      </c>
      <c r="CW180" s="600">
        <f>Financials!CW97</f>
        <v>872.80584104579748</v>
      </c>
      <c r="CX180" s="600">
        <f>Financials!CX97</f>
        <v>818.28096184963431</v>
      </c>
      <c r="CY180" s="910">
        <f>Financials!CY97</f>
        <v>825.33003858647112</v>
      </c>
      <c r="CZ180" s="499">
        <f>Financials!CZ97</f>
        <v>3362.1671008087446</v>
      </c>
    </row>
    <row r="181" spans="1:104" ht="13.5" customHeight="1">
      <c r="A181" s="819"/>
      <c r="B181" s="66" t="s">
        <v>195</v>
      </c>
      <c r="C181" s="66"/>
      <c r="D181" s="549"/>
      <c r="E181" s="500">
        <v>577.32620299999996</v>
      </c>
      <c r="F181" s="500">
        <v>641.89932899999997</v>
      </c>
      <c r="G181" s="500">
        <v>604.83434899999986</v>
      </c>
      <c r="H181" s="500">
        <v>820.75466700000004</v>
      </c>
      <c r="I181" s="500">
        <v>495.11532499999998</v>
      </c>
      <c r="J181" s="500"/>
      <c r="K181" s="500"/>
      <c r="L181" s="500"/>
      <c r="M181" s="500"/>
      <c r="N181" s="500">
        <v>497.21990499999993</v>
      </c>
      <c r="O181" s="549"/>
      <c r="P181" s="549"/>
      <c r="Q181" s="549"/>
      <c r="R181" s="549"/>
      <c r="S181" s="500">
        <v>494.61992700000008</v>
      </c>
      <c r="T181" s="549">
        <f>Financials!T206</f>
        <v>201.45099999999999</v>
      </c>
      <c r="U181" s="549">
        <f>Financials!U206</f>
        <v>170.46300000000002</v>
      </c>
      <c r="V181" s="549">
        <f>Financials!V206</f>
        <v>523.40300000000002</v>
      </c>
      <c r="W181" s="549">
        <f>Financials!W206</f>
        <v>134.4010000000001</v>
      </c>
      <c r="X181" s="549">
        <f>Financials!X206</f>
        <v>1029.7179999999998</v>
      </c>
      <c r="Y181" s="549">
        <f>Financials!Y206</f>
        <v>587.93799999999987</v>
      </c>
      <c r="Z181" s="549">
        <f>Financials!Z206</f>
        <v>361.45400000000006</v>
      </c>
      <c r="AA181" s="549">
        <f>Financials!AA206</f>
        <v>777.93500000000006</v>
      </c>
      <c r="AB181" s="549">
        <f>Financials!AB206</f>
        <v>409.28800000000001</v>
      </c>
      <c r="AC181" s="549">
        <f>Financials!AC206</f>
        <v>2136.6150000000002</v>
      </c>
      <c r="AD181" s="549">
        <f>Financials!AD206</f>
        <v>567.39099999999996</v>
      </c>
      <c r="AE181" s="549">
        <f>Financials!AE206</f>
        <v>373.11800000000005</v>
      </c>
      <c r="AF181" s="549">
        <f>Financials!AF206</f>
        <v>749.9129999999999</v>
      </c>
      <c r="AG181" s="549">
        <f>Financials!AG206</f>
        <v>560.81099999999992</v>
      </c>
      <c r="AH181" s="549">
        <f>Financials!AH206</f>
        <v>2251.2330000000002</v>
      </c>
      <c r="AI181" s="549">
        <f>Financials!AI206</f>
        <v>565.51</v>
      </c>
      <c r="AJ181" s="549">
        <f>Financials!AJ206</f>
        <v>172.05399999999997</v>
      </c>
      <c r="AK181" s="549">
        <f>Financials!AK206</f>
        <v>653.11899999999923</v>
      </c>
      <c r="AL181" s="549">
        <f>Financials!AL206</f>
        <v>544.62300000000016</v>
      </c>
      <c r="AM181" s="549">
        <f>Financials!AM206</f>
        <v>1935.3059999999994</v>
      </c>
      <c r="AN181" s="549">
        <f>Financials!AN206</f>
        <v>667.47900000000016</v>
      </c>
      <c r="AO181" s="549">
        <f>Financials!AO206</f>
        <v>160.76000000000022</v>
      </c>
      <c r="AP181" s="549">
        <f>Financials!AP206</f>
        <v>494.01100000000019</v>
      </c>
      <c r="AQ181" s="549">
        <f>Financials!AQ206</f>
        <v>1176.4780000000003</v>
      </c>
      <c r="AR181" s="549">
        <f>Financials!AR206</f>
        <v>2498.728000000001</v>
      </c>
      <c r="AS181" s="838">
        <f>Financials!AS206</f>
        <v>13.994</v>
      </c>
      <c r="AT181" s="598">
        <f>Financials!AT206</f>
        <v>623.13</v>
      </c>
      <c r="AU181" s="598">
        <f>Financials!AU206</f>
        <v>320.8189999999999</v>
      </c>
      <c r="AV181" s="839">
        <f>Financials!AV206</f>
        <v>224.35400000000004</v>
      </c>
      <c r="AW181" s="549">
        <f>Financials!AW206</f>
        <v>1182.297</v>
      </c>
      <c r="AX181" s="838">
        <f>Financials!AX206</f>
        <v>-3.0369999999999777</v>
      </c>
      <c r="AY181" s="598">
        <f>Financials!AY206</f>
        <v>-290.72200000000004</v>
      </c>
      <c r="AZ181" s="598">
        <f>Financials!AZ206</f>
        <v>510</v>
      </c>
      <c r="BA181" s="839">
        <f>Financials!BA206</f>
        <v>657.16300000000012</v>
      </c>
      <c r="BB181" s="549">
        <f>Financials!BB206</f>
        <v>873.40400000000022</v>
      </c>
      <c r="BC181" s="838">
        <f>Financials!BC206</f>
        <v>47.495000000000061</v>
      </c>
      <c r="BD181" s="598">
        <f>Financials!BD206</f>
        <v>245.22700000000003</v>
      </c>
      <c r="BE181" s="600">
        <f>Financials!BE206</f>
        <v>380.42199999999991</v>
      </c>
      <c r="BF181" s="910">
        <f>Financials!BF206</f>
        <v>359.46799999999996</v>
      </c>
      <c r="BG181" s="499">
        <f>Financials!BG206</f>
        <v>1032.6120000000001</v>
      </c>
      <c r="BH181" s="838">
        <f>Financials!BH206</f>
        <v>207.65100000000007</v>
      </c>
      <c r="BI181" s="598">
        <f>Financials!BI206</f>
        <v>238.83500000000006</v>
      </c>
      <c r="BJ181" s="598">
        <f>Financials!BJ206</f>
        <v>678.19799999999998</v>
      </c>
      <c r="BK181" s="839">
        <f>Financials!BK206</f>
        <v>75.701000000000136</v>
      </c>
      <c r="BL181" s="549">
        <f>Financials!BL206</f>
        <v>1200.3850000000002</v>
      </c>
      <c r="BM181" s="838">
        <f>Financials!BM206</f>
        <v>128.81100000000004</v>
      </c>
      <c r="BN181" s="598">
        <f>Financials!BN206</f>
        <v>356.16299999999995</v>
      </c>
      <c r="BO181" s="598">
        <f>Financials!BO206</f>
        <v>398.66600000000005</v>
      </c>
      <c r="BP181" s="910">
        <f>Financials!BP206</f>
        <v>194.30900000000003</v>
      </c>
      <c r="BQ181" s="499">
        <f>Financials!BQ206</f>
        <v>1077.9490000000003</v>
      </c>
      <c r="BR181" s="909">
        <f>Financials!BR206</f>
        <v>149.214</v>
      </c>
      <c r="BS181" s="600">
        <f>Financials!BS206</f>
        <v>294.11500000000001</v>
      </c>
      <c r="BT181" s="600">
        <f>Financials!BT206</f>
        <v>482.23400000000009</v>
      </c>
      <c r="BU181" s="910">
        <f>Financials!BU206</f>
        <v>417.33499999999998</v>
      </c>
      <c r="BV181" s="499">
        <f>Financials!BV206</f>
        <v>1342.8980000000001</v>
      </c>
      <c r="BW181" s="909">
        <f>Financials!BW206</f>
        <v>563.69399999999996</v>
      </c>
      <c r="BX181" s="600">
        <f>Financials!BX206</f>
        <v>631.01</v>
      </c>
      <c r="BY181" s="600">
        <f>Financials!BY206</f>
        <v>562.59500000000003</v>
      </c>
      <c r="BZ181" s="910">
        <f>Financials!BZ206</f>
        <v>399.74400000000003</v>
      </c>
      <c r="CA181" s="499">
        <f>Financials!CA206</f>
        <v>2157.0430000000001</v>
      </c>
      <c r="CB181" s="909">
        <f>Financials!CB206</f>
        <v>550.85899999999992</v>
      </c>
      <c r="CC181" s="600">
        <f>Financials!CC206</f>
        <v>306.10600000000011</v>
      </c>
      <c r="CD181" s="600">
        <f>Financials!CD206</f>
        <v>314.71499999999992</v>
      </c>
      <c r="CE181" s="910">
        <f>Financials!CE206</f>
        <v>565.85299999999995</v>
      </c>
      <c r="CF181" s="499">
        <f>Financials!CF206</f>
        <v>1737.5329999999999</v>
      </c>
      <c r="CG181" s="909">
        <f>Financials!CG206</f>
        <v>237.24499999999989</v>
      </c>
      <c r="CH181" s="600">
        <f>Financials!CH206</f>
        <v>109.71900000000016</v>
      </c>
      <c r="CI181" s="600">
        <f>Financials!CI206</f>
        <v>415.52900000000011</v>
      </c>
      <c r="CJ181" s="910">
        <f>Financials!CJ206</f>
        <v>288.76999999999987</v>
      </c>
      <c r="CK181" s="499">
        <f>Financials!CK206</f>
        <v>1051.2629999999999</v>
      </c>
      <c r="CL181" s="909">
        <f>Financials!CL206</f>
        <v>184.48400000000015</v>
      </c>
      <c r="CM181" s="600">
        <f>Financials!CM206</f>
        <v>176.84798174884963</v>
      </c>
      <c r="CN181" s="600">
        <f>Financials!CN206</f>
        <v>562.58083958943382</v>
      </c>
      <c r="CO181" s="910">
        <f>Financials!CO206</f>
        <v>770.88806459545799</v>
      </c>
      <c r="CP181" s="499">
        <f>Financials!CP206</f>
        <v>1694.800885933741</v>
      </c>
      <c r="CQ181" s="909">
        <f>Financials!CQ206</f>
        <v>320.75151324377771</v>
      </c>
      <c r="CR181" s="600">
        <f>Financials!CR206</f>
        <v>1057.2710464359313</v>
      </c>
      <c r="CS181" s="600">
        <f>Financials!CS206</f>
        <v>667.48610513982374</v>
      </c>
      <c r="CT181" s="910">
        <f>Financials!CT206</f>
        <v>712.94286701422777</v>
      </c>
      <c r="CU181" s="499">
        <f>Financials!CU206</f>
        <v>2758.4515318337599</v>
      </c>
      <c r="CV181" s="909">
        <f>Financials!CV206</f>
        <v>267.33777976120132</v>
      </c>
      <c r="CW181" s="600">
        <f>Financials!CW206</f>
        <v>1060.6474924578174</v>
      </c>
      <c r="CX181" s="600">
        <f>Financials!CX206</f>
        <v>653.20623142053796</v>
      </c>
      <c r="CY181" s="910">
        <f>Financials!CY206</f>
        <v>734.72427140517163</v>
      </c>
      <c r="CZ181" s="499">
        <f>Financials!CZ206</f>
        <v>2715.9157750447284</v>
      </c>
    </row>
    <row r="182" spans="1:104" ht="13.5" customHeight="1">
      <c r="A182" s="820"/>
      <c r="B182" s="79" t="s">
        <v>428</v>
      </c>
      <c r="C182" s="79"/>
      <c r="D182" s="176"/>
      <c r="E182" s="512">
        <v>270.57678099999998</v>
      </c>
      <c r="F182" s="512">
        <v>138.98906599999998</v>
      </c>
      <c r="G182" s="512">
        <v>230.11658999999986</v>
      </c>
      <c r="H182" s="512">
        <v>405.35006500000003</v>
      </c>
      <c r="I182" s="512">
        <v>233.96966699999996</v>
      </c>
      <c r="J182" s="512"/>
      <c r="K182" s="512"/>
      <c r="L182" s="512"/>
      <c r="M182" s="512"/>
      <c r="N182" s="512">
        <v>253.62180899999993</v>
      </c>
      <c r="O182" s="176"/>
      <c r="P182" s="176"/>
      <c r="Q182" s="176"/>
      <c r="R182" s="176"/>
      <c r="S182" s="512">
        <v>279.21192000000008</v>
      </c>
      <c r="T182" s="176">
        <f>Financials!T237</f>
        <v>135.262</v>
      </c>
      <c r="U182" s="176">
        <f>Financials!U237</f>
        <v>125.12800000000001</v>
      </c>
      <c r="V182" s="176">
        <f>Financials!V237</f>
        <v>436.92</v>
      </c>
      <c r="W182" s="176">
        <f>Financials!W237</f>
        <v>46.483000000000089</v>
      </c>
      <c r="X182" s="176">
        <f>Financials!X237</f>
        <v>743.79299999999989</v>
      </c>
      <c r="Y182" s="176">
        <f>Financials!Y237</f>
        <v>516.67899999999986</v>
      </c>
      <c r="Z182" s="176">
        <f>Financials!Z237</f>
        <v>285.61500000000007</v>
      </c>
      <c r="AA182" s="176">
        <f>Financials!AA237</f>
        <v>702.40400000000011</v>
      </c>
      <c r="AB182" s="176">
        <f>Financials!AB237</f>
        <v>300.45100000000002</v>
      </c>
      <c r="AC182" s="176">
        <f>Financials!AC237</f>
        <v>1805.1490000000003</v>
      </c>
      <c r="AD182" s="176">
        <f>Financials!AD237</f>
        <v>497.52</v>
      </c>
      <c r="AE182" s="176">
        <f>Financials!AE237</f>
        <v>305.67300000000006</v>
      </c>
      <c r="AF182" s="176">
        <f>Financials!AF237</f>
        <v>647.05399999999986</v>
      </c>
      <c r="AG182" s="176">
        <f>Financials!AG237</f>
        <v>462.58199999999994</v>
      </c>
      <c r="AH182" s="176">
        <f>Financials!AH237</f>
        <v>1912.8290000000002</v>
      </c>
      <c r="AI182" s="176">
        <f>Financials!AI237</f>
        <v>474.161</v>
      </c>
      <c r="AJ182" s="176">
        <f>Financials!AJ237</f>
        <v>64.728999999999971</v>
      </c>
      <c r="AK182" s="176">
        <f>Financials!AK237</f>
        <v>521.2069999999992</v>
      </c>
      <c r="AL182" s="176">
        <f>Financials!AL237</f>
        <v>354.85600000000022</v>
      </c>
      <c r="AM182" s="176">
        <f>Financials!AM237</f>
        <v>1414.9529999999995</v>
      </c>
      <c r="AN182" s="176">
        <f>Financials!AN237</f>
        <v>441.24100000000016</v>
      </c>
      <c r="AO182" s="176">
        <f>Financials!AO237</f>
        <v>-114.67099999999976</v>
      </c>
      <c r="AP182" s="176">
        <f>Financials!AP237</f>
        <v>189.52800000000019</v>
      </c>
      <c r="AQ182" s="176">
        <f>Financials!AQ237</f>
        <v>963.65000000000032</v>
      </c>
      <c r="AR182" s="176">
        <f>Financials!AR237</f>
        <v>1479.748000000001</v>
      </c>
      <c r="AS182" s="865">
        <f>Financials!AS237</f>
        <v>-111.97199999999999</v>
      </c>
      <c r="AT182" s="174">
        <f>Financials!AT237</f>
        <v>508.66800000000001</v>
      </c>
      <c r="AU182" s="174">
        <f>Financials!AU237</f>
        <v>245.2229999999999</v>
      </c>
      <c r="AV182" s="866">
        <f>Financials!AV237</f>
        <v>149.87800000000004</v>
      </c>
      <c r="AW182" s="176">
        <f>Financials!AW237</f>
        <v>791.79700000000003</v>
      </c>
      <c r="AX182" s="865">
        <f>Financials!AX237</f>
        <v>-57.252999999999979</v>
      </c>
      <c r="AY182" s="174">
        <f>Financials!AY237</f>
        <v>-399.72500000000002</v>
      </c>
      <c r="AZ182" s="174">
        <f>Financials!AZ237</f>
        <v>434.88900000000001</v>
      </c>
      <c r="BA182" s="866">
        <f>Financials!BA237</f>
        <v>550.19900000000018</v>
      </c>
      <c r="BB182" s="176">
        <f>Financials!BB237</f>
        <v>528.11000000000024</v>
      </c>
      <c r="BC182" s="865">
        <f>Financials!BC237</f>
        <v>-48.54099999999994</v>
      </c>
      <c r="BD182" s="174">
        <f>Financials!BD237</f>
        <v>128.37000000000003</v>
      </c>
      <c r="BE182" s="912">
        <f>Financials!BE237</f>
        <v>275.06299999999987</v>
      </c>
      <c r="BF182" s="913">
        <f>Financials!BF237</f>
        <v>237.21799999999996</v>
      </c>
      <c r="BG182" s="366">
        <f>Financials!BG237</f>
        <v>592.11000000000013</v>
      </c>
      <c r="BH182" s="865">
        <f>Financials!BH237</f>
        <v>40.32200000000006</v>
      </c>
      <c r="BI182" s="174">
        <f>Financials!BI237</f>
        <v>22.716000000000093</v>
      </c>
      <c r="BJ182" s="174">
        <f>Financials!BJ237</f>
        <v>447.86899999999991</v>
      </c>
      <c r="BK182" s="866">
        <f>Financials!BK237</f>
        <v>-258.12999999999977</v>
      </c>
      <c r="BL182" s="176">
        <f>Financials!BL237</f>
        <v>252.77700000000027</v>
      </c>
      <c r="BM182" s="865">
        <f>Financials!BM237</f>
        <v>-201.77399999999994</v>
      </c>
      <c r="BN182" s="174">
        <f>Financials!BN237</f>
        <v>65.441999999999894</v>
      </c>
      <c r="BO182" s="174">
        <f>Financials!BO237</f>
        <v>132.04300000000012</v>
      </c>
      <c r="BP182" s="913">
        <f>Financials!BP237</f>
        <v>-114.714</v>
      </c>
      <c r="BQ182" s="366">
        <f>Financials!BQ237</f>
        <v>-119.0029999999997</v>
      </c>
      <c r="BR182" s="911">
        <f>Financials!BR237</f>
        <v>-108.84399999999999</v>
      </c>
      <c r="BS182" s="912">
        <f>Financials!BS237</f>
        <v>105.375</v>
      </c>
      <c r="BT182" s="912">
        <f>Financials!BT237</f>
        <v>371.78300000000007</v>
      </c>
      <c r="BU182" s="913">
        <f>Financials!BU237</f>
        <v>306.60200000000003</v>
      </c>
      <c r="BV182" s="366">
        <f>Financials!BV237</f>
        <v>674.91600000000017</v>
      </c>
      <c r="BW182" s="911">
        <f>Financials!BW237</f>
        <v>486.17099999999994</v>
      </c>
      <c r="BX182" s="912">
        <f>Financials!BX237</f>
        <v>533.28</v>
      </c>
      <c r="BY182" s="912">
        <f>Financials!BY237</f>
        <v>454.76100000000002</v>
      </c>
      <c r="BZ182" s="913">
        <f>Financials!BZ237</f>
        <v>308.70800000000003</v>
      </c>
      <c r="CA182" s="366">
        <f>Financials!CA237</f>
        <v>1782.92</v>
      </c>
      <c r="CB182" s="911">
        <f>Financials!CB237</f>
        <v>470.16199999999992</v>
      </c>
      <c r="CC182" s="912">
        <f>Financials!CC237</f>
        <v>159.4610000000001</v>
      </c>
      <c r="CD182" s="912">
        <f>Financials!CD237</f>
        <v>214.62099999999995</v>
      </c>
      <c r="CE182" s="913">
        <f>Financials!CE237</f>
        <v>288.4489999999999</v>
      </c>
      <c r="CF182" s="366">
        <f>Financials!CF237</f>
        <v>1132.6929999999998</v>
      </c>
      <c r="CG182" s="911">
        <f>Financials!CG237</f>
        <v>142.70999999999989</v>
      </c>
      <c r="CH182" s="912">
        <f>Financials!CH237</f>
        <v>15.019000000000148</v>
      </c>
      <c r="CI182" s="912">
        <f>Financials!CI237</f>
        <v>312.45200000000011</v>
      </c>
      <c r="CJ182" s="913">
        <f>Financials!CJ237</f>
        <v>132.52699999999987</v>
      </c>
      <c r="CK182" s="366">
        <f>Financials!CK237</f>
        <v>602.70799999999986</v>
      </c>
      <c r="CL182" s="911">
        <f>Financials!CL237</f>
        <v>-44.28199999999984</v>
      </c>
      <c r="CM182" s="912">
        <f>Financials!CM237</f>
        <v>-73.152018251150366</v>
      </c>
      <c r="CN182" s="912">
        <f>Financials!CN237</f>
        <v>312.58083958943382</v>
      </c>
      <c r="CO182" s="913">
        <f>Financials!CO237</f>
        <v>520.88806459545799</v>
      </c>
      <c r="CP182" s="366">
        <f>Financials!CP237</f>
        <v>716.03488593374107</v>
      </c>
      <c r="CQ182" s="911">
        <f>Financials!CQ237</f>
        <v>104.50151324377771</v>
      </c>
      <c r="CR182" s="912">
        <f>Financials!CR237</f>
        <v>841.02104643593134</v>
      </c>
      <c r="CS182" s="912">
        <f>Financials!CS237</f>
        <v>451.23610513982374</v>
      </c>
      <c r="CT182" s="913">
        <f>Financials!CT237</f>
        <v>496.69286701422777</v>
      </c>
      <c r="CU182" s="366">
        <f>Financials!CU237</f>
        <v>1893.4515318337599</v>
      </c>
      <c r="CV182" s="911">
        <f>Financials!CV237</f>
        <v>117.33777976120132</v>
      </c>
      <c r="CW182" s="912">
        <f>Financials!CW237</f>
        <v>910.64749245781741</v>
      </c>
      <c r="CX182" s="912">
        <f>Financials!CX237</f>
        <v>503.20623142053796</v>
      </c>
      <c r="CY182" s="913">
        <f>Financials!CY237</f>
        <v>584.72427140517163</v>
      </c>
      <c r="CZ182" s="366">
        <f>Financials!CZ237</f>
        <v>2115.9157750447284</v>
      </c>
    </row>
    <row r="183" spans="1:104" ht="13.5" customHeight="1">
      <c r="A183" s="819"/>
      <c r="B183" s="66" t="s">
        <v>429</v>
      </c>
      <c r="C183" s="66"/>
      <c r="D183" s="557"/>
      <c r="E183" s="804">
        <v>0.76979950265432917</v>
      </c>
      <c r="F183" s="804">
        <v>0.39547772465212033</v>
      </c>
      <c r="G183" s="804">
        <v>0.65938131968994718</v>
      </c>
      <c r="H183" s="804">
        <v>1.2394142088171085</v>
      </c>
      <c r="I183" s="804">
        <v>0.75272228351448534</v>
      </c>
      <c r="J183" s="804"/>
      <c r="K183" s="804"/>
      <c r="L183" s="804"/>
      <c r="M183" s="804"/>
      <c r="N183" s="804">
        <v>0.8122692305674617</v>
      </c>
      <c r="O183" s="557"/>
      <c r="P183" s="557"/>
      <c r="Q183" s="557"/>
      <c r="R183" s="557"/>
      <c r="S183" s="804">
        <v>0.88610905129877637</v>
      </c>
      <c r="T183" s="557">
        <f>T182/Financials!T73</f>
        <v>0.42941408035759637</v>
      </c>
      <c r="U183" s="557">
        <f>U182/Financials!U73</f>
        <v>0.40006138656913026</v>
      </c>
      <c r="V183" s="557">
        <f>V182/Financials!V73</f>
        <v>1.3757273482959269</v>
      </c>
      <c r="W183" s="557">
        <f>W182/Financials!W73</f>
        <v>0.14592699098375095</v>
      </c>
      <c r="X183" s="557">
        <f>X182/Financials!X73</f>
        <v>2.3480834432988384</v>
      </c>
      <c r="Y183" s="557">
        <f>Y182/Financials!Y73</f>
        <v>1.6175739474541033</v>
      </c>
      <c r="Z183" s="557">
        <f>Z182/Financials!Z73</f>
        <v>0.90384493670886101</v>
      </c>
      <c r="AA183" s="557">
        <f>AA182/Financials!AA73</f>
        <v>2.2537219569793114</v>
      </c>
      <c r="AB183" s="557">
        <f>AB182/Financials!AB73</f>
        <v>0.96956583473709357</v>
      </c>
      <c r="AC183" s="557">
        <f>AC182/Financials!AC73</f>
        <v>5.7441989969960812</v>
      </c>
      <c r="AD183" s="557">
        <f>AD182/Financials!AD73</f>
        <v>1.6016688879874834</v>
      </c>
      <c r="AE183" s="557">
        <f>AE182/Financials!AE73</f>
        <v>0.98526961124022161</v>
      </c>
      <c r="AF183" s="557">
        <f>AF182/Financials!AF73</f>
        <v>2.1226368363212882</v>
      </c>
      <c r="AG183" s="557">
        <f>AG182/Financials!AG73</f>
        <v>1.5381407922431594</v>
      </c>
      <c r="AH183" s="557">
        <f>AH182/Financials!AH73</f>
        <v>6.2384148509071471</v>
      </c>
      <c r="AI183" s="557">
        <f>AI182/Financials!AI73</f>
        <v>1.5751077951327757</v>
      </c>
      <c r="AJ183" s="557">
        <f>AJ182/Financials!AJ73</f>
        <v>0.21483096693682738</v>
      </c>
      <c r="AK183" s="557">
        <f>AK182/Financials!AK73</f>
        <v>1.778280836313014</v>
      </c>
      <c r="AL183" s="557">
        <f>AL182/Financials!AL73</f>
        <v>1.2324983675794337</v>
      </c>
      <c r="AM183" s="557">
        <f>AM182/Financials!AM73</f>
        <v>4.7828804375382372</v>
      </c>
      <c r="AN183" s="557">
        <f>AN182/Financials!AN73</f>
        <v>1.5309810969855109</v>
      </c>
      <c r="AO183" s="557">
        <f>AO182/Financials!AO73</f>
        <v>-0.38446399474287629</v>
      </c>
      <c r="AP183" s="557">
        <f>AP182/Financials!AP73</f>
        <v>0.59842191510926357</v>
      </c>
      <c r="AQ183" s="557">
        <f>AQ182/Financials!AQ73</f>
        <v>3.067630159008071</v>
      </c>
      <c r="AR183" s="557">
        <f>AR182/Financials!AR73</f>
        <v>4.8592003940563204</v>
      </c>
      <c r="AS183" s="927">
        <f>AS182/Financials!AS73</f>
        <v>-0.35623681673713642</v>
      </c>
      <c r="AT183" s="583">
        <f>AT182/Financials!AT73</f>
        <v>1.6160913989426595</v>
      </c>
      <c r="AU183" s="583">
        <f>AU182/Financials!AU73</f>
        <v>0.77805839967256041</v>
      </c>
      <c r="AV183" s="928">
        <f>AV182/Financials!AV73</f>
        <v>0.47538966105673175</v>
      </c>
      <c r="AW183" s="557">
        <f>AW182/Financials!AW73</f>
        <v>2.5146032053531591</v>
      </c>
      <c r="AX183" s="927">
        <f>AX182/Financials!AX73</f>
        <v>-0.18148994645930869</v>
      </c>
      <c r="AY183" s="583">
        <f>AY182/Financials!AY73</f>
        <v>-1.2630659268434492</v>
      </c>
      <c r="AZ183" s="583">
        <f>AZ182/Financials!AZ73</f>
        <v>1.3752604965483219</v>
      </c>
      <c r="BA183" s="928">
        <f>BA182/Financials!BA73</f>
        <v>1.7393251962355654</v>
      </c>
      <c r="BB183" s="557">
        <f>BB182/Financials!BB73</f>
        <v>1.6714351725840457</v>
      </c>
      <c r="BC183" s="927">
        <f>BC182/Financials!BC73</f>
        <v>-0.15332206762583089</v>
      </c>
      <c r="BD183" s="583">
        <f>BD182/Financials!BD73</f>
        <v>0.40519426408805265</v>
      </c>
      <c r="BE183" s="593">
        <f>BE182/Financials!BE73</f>
        <v>0.86692174592718863</v>
      </c>
      <c r="BF183" s="978">
        <f>BF182/Financials!BF73</f>
        <v>0.74739518514901082</v>
      </c>
      <c r="BG183" s="558">
        <f>BG182/Financials!BG73</f>
        <v>1.8677282140170308</v>
      </c>
      <c r="BH183" s="927">
        <f>BH182/Financials!BH73</f>
        <v>0.12692287110979625</v>
      </c>
      <c r="BI183" s="583">
        <f>BI182/Financials!BI73</f>
        <v>7.1439578583222238E-2</v>
      </c>
      <c r="BJ183" s="583">
        <f>BJ182/Financials!BJ73</f>
        <v>1.406345478124617</v>
      </c>
      <c r="BK183" s="928">
        <f>BK182/Financials!BK73</f>
        <v>-0.81032041763850837</v>
      </c>
      <c r="BL183" s="557">
        <f>BL182/Financials!BL73</f>
        <v>0.79447150894176166</v>
      </c>
      <c r="BM183" s="927">
        <f>BM182/Financials!BM73</f>
        <v>-0.63314359589062574</v>
      </c>
      <c r="BN183" s="583">
        <f>BN182/Financials!BN73</f>
        <v>0.20520973462149897</v>
      </c>
      <c r="BO183" s="583">
        <f>BO182/Financials!BO73</f>
        <v>0.41348589752020604</v>
      </c>
      <c r="BP183" s="978">
        <f>BP182/Financials!BP73</f>
        <v>-0.3591985245537182</v>
      </c>
      <c r="BQ183" s="558">
        <f>BQ182/Financials!BQ73</f>
        <v>-0.37296509965203767</v>
      </c>
      <c r="BR183" s="1006">
        <f>BR182/Financials!BR73</f>
        <v>-0.34066446534483025</v>
      </c>
      <c r="BS183" s="593">
        <f>BS182/Financials!BS73</f>
        <v>0.32961309756547691</v>
      </c>
      <c r="BT183" s="593">
        <f>BT182/Financials!BT73</f>
        <v>1.1617383750542931</v>
      </c>
      <c r="BU183" s="978">
        <f>BU182/Financials!BU73</f>
        <v>0.95766139737691214</v>
      </c>
      <c r="BV183" s="558">
        <f>BV182/Financials!BV73</f>
        <v>2.1101378951334171</v>
      </c>
      <c r="BW183" s="1006">
        <f>BW182/Financials!BW73</f>
        <v>1.5177903001732667</v>
      </c>
      <c r="BX183" s="593">
        <f>BX182/Financials!BX73</f>
        <v>1.6638690071324718</v>
      </c>
      <c r="BY183" s="593">
        <f>BY182/Financials!BY73</f>
        <v>1.41750021039901</v>
      </c>
      <c r="BZ183" s="978">
        <f>BZ182/Financials!BZ73</f>
        <v>0.96301218161683289</v>
      </c>
      <c r="CA183" s="558">
        <f>CA182/Financials!CA73</f>
        <v>5.5620435109830337</v>
      </c>
      <c r="CB183" s="1006">
        <f>CB182/Financials!CB73</f>
        <v>1.4727540408470114</v>
      </c>
      <c r="CC183" s="593">
        <f>CC182/Financials!CC73</f>
        <v>0.49931425350701431</v>
      </c>
      <c r="CD183" s="593">
        <f>CD182/Financials!CD73</f>
        <v>0.67124230226717563</v>
      </c>
      <c r="CE183" s="978">
        <f>CE182/Financials!CE73</f>
        <v>0.90162571384810597</v>
      </c>
      <c r="CF183" s="558">
        <f>CF182/Financials!CF73</f>
        <v>3.5445060911306996</v>
      </c>
      <c r="CG183" s="1006">
        <f>CG182/Financials!CG73</f>
        <v>0.44565679024682692</v>
      </c>
      <c r="CH183" s="593">
        <f>CH182/Financials!CH73</f>
        <v>4.6870075115701106E-2</v>
      </c>
      <c r="CI183" s="593">
        <f>CI182/Financials!CI73</f>
        <v>0.97611966410077011</v>
      </c>
      <c r="CJ183" s="978">
        <f>CJ182/Financials!CJ73</f>
        <v>0.41517183045643896</v>
      </c>
      <c r="CK183" s="558">
        <f>CK182/Financials!CK73</f>
        <v>1.8835081162121889</v>
      </c>
      <c r="CL183" s="1006">
        <f>CL182/Financials!CL73</f>
        <v>-0.13863208743319894</v>
      </c>
      <c r="CM183" s="593">
        <f>CM182/Financials!CM73</f>
        <v>-0.23009808617697847</v>
      </c>
      <c r="CN183" s="593">
        <f>CN182/Financials!CN73</f>
        <v>0.98321624863700552</v>
      </c>
      <c r="CO183" s="978">
        <f>CO182/Financials!CO73</f>
        <v>1.6384421051015965</v>
      </c>
      <c r="CP183" s="558">
        <f>CP182/Financials!CP73</f>
        <v>2.2496110060969987</v>
      </c>
      <c r="CQ183" s="1006">
        <f>CQ182/Financials!CQ73</f>
        <v>0.32870724246372091</v>
      </c>
      <c r="CR183" s="593">
        <f>CR182/Financials!CR73</f>
        <v>2.6454134533249785</v>
      </c>
      <c r="CS183" s="593">
        <f>CS182/Financials!CS73</f>
        <v>1.419353377922618</v>
      </c>
      <c r="CT183" s="978">
        <f>CT182/Financials!CT73</f>
        <v>1.5623366360904611</v>
      </c>
      <c r="CU183" s="558">
        <f>CU182/Financials!CU73</f>
        <v>5.9558107098017761</v>
      </c>
      <c r="CV183" s="1006">
        <f>CV182/Financials!CV73</f>
        <v>0.36908344027655915</v>
      </c>
      <c r="CW183" s="593">
        <f>CW182/Financials!CW73</f>
        <v>2.8644219285516854</v>
      </c>
      <c r="CX183" s="593">
        <f>CX182/Financials!CX73</f>
        <v>1.5828242825053522</v>
      </c>
      <c r="CY183" s="978">
        <f>CY182/Financials!CY73</f>
        <v>1.8392375085214048</v>
      </c>
      <c r="CZ183" s="558">
        <f>CZ182/Financials!CZ73</f>
        <v>6.6555671598550017</v>
      </c>
    </row>
    <row r="184" spans="1:104" ht="13.5" customHeight="1">
      <c r="A184" s="820" t="s">
        <v>298</v>
      </c>
      <c r="B184" s="199"/>
      <c r="C184" s="199"/>
      <c r="D184" s="542"/>
      <c r="E184" s="542"/>
      <c r="F184" s="542"/>
      <c r="G184" s="542"/>
      <c r="H184" s="542"/>
      <c r="I184" s="542"/>
      <c r="J184" s="542"/>
      <c r="K184" s="542"/>
      <c r="L184" s="542"/>
      <c r="M184" s="542"/>
      <c r="N184" s="542"/>
      <c r="O184" s="542"/>
      <c r="P184" s="542"/>
      <c r="Q184" s="542"/>
      <c r="R184" s="542"/>
      <c r="S184" s="542"/>
      <c r="T184" s="544"/>
      <c r="U184" s="544"/>
      <c r="V184" s="544"/>
      <c r="W184" s="544"/>
      <c r="X184" s="544"/>
      <c r="Y184" s="544"/>
      <c r="Z184" s="544"/>
      <c r="AA184" s="544"/>
      <c r="AB184" s="544"/>
      <c r="AC184" s="544"/>
      <c r="AD184" s="544"/>
      <c r="AE184" s="544"/>
      <c r="AF184" s="544"/>
      <c r="AG184" s="544"/>
      <c r="AH184" s="544"/>
      <c r="AI184" s="544"/>
      <c r="AJ184" s="544"/>
      <c r="AK184" s="544"/>
      <c r="AL184" s="544"/>
      <c r="AM184" s="544"/>
      <c r="AN184" s="544"/>
      <c r="AO184" s="544"/>
      <c r="AP184" s="544"/>
      <c r="AQ184" s="544"/>
      <c r="AR184" s="544"/>
      <c r="AS184" s="929"/>
      <c r="AT184" s="930"/>
      <c r="AU184" s="930"/>
      <c r="AV184" s="931"/>
      <c r="AW184" s="544"/>
      <c r="AX184" s="929"/>
      <c r="AY184" s="930"/>
      <c r="AZ184" s="930"/>
      <c r="BA184" s="931"/>
      <c r="BB184" s="544"/>
      <c r="BC184" s="929"/>
      <c r="BD184" s="930"/>
      <c r="BE184" s="979"/>
      <c r="BF184" s="980"/>
      <c r="BG184" s="548"/>
      <c r="BH184" s="929"/>
      <c r="BI184" s="930"/>
      <c r="BJ184" s="930"/>
      <c r="BK184" s="931"/>
      <c r="BL184" s="544"/>
      <c r="BM184" s="929"/>
      <c r="BN184" s="930"/>
      <c r="BO184" s="930"/>
      <c r="BP184" s="931"/>
      <c r="BQ184" s="544"/>
      <c r="BR184" s="929"/>
      <c r="BS184" s="930"/>
      <c r="BT184" s="930"/>
      <c r="BU184" s="931"/>
      <c r="BV184" s="544"/>
      <c r="BW184" s="929"/>
      <c r="BX184" s="930"/>
      <c r="BY184" s="930"/>
      <c r="BZ184" s="931"/>
      <c r="CA184" s="544"/>
      <c r="CB184" s="929"/>
      <c r="CC184" s="930"/>
      <c r="CD184" s="930"/>
      <c r="CE184" s="931"/>
      <c r="CF184" s="544"/>
      <c r="CG184" s="929"/>
      <c r="CH184" s="930"/>
      <c r="CI184" s="930"/>
      <c r="CJ184" s="931"/>
      <c r="CK184" s="544"/>
      <c r="CL184" s="929"/>
      <c r="CM184" s="930"/>
      <c r="CN184" s="930"/>
      <c r="CO184" s="931"/>
      <c r="CP184" s="544"/>
      <c r="CQ184" s="929"/>
      <c r="CR184" s="930"/>
      <c r="CS184" s="930"/>
      <c r="CT184" s="931"/>
      <c r="CU184" s="544"/>
      <c r="CV184" s="929"/>
      <c r="CW184" s="930"/>
      <c r="CX184" s="930"/>
      <c r="CY184" s="931"/>
      <c r="CZ184" s="544"/>
    </row>
    <row r="185" spans="1:104" ht="13.5" customHeight="1">
      <c r="A185" s="819"/>
      <c r="B185" s="66" t="s">
        <v>544</v>
      </c>
      <c r="C185" s="66"/>
      <c r="D185" s="549"/>
      <c r="E185" s="500">
        <v>306.74942199999998</v>
      </c>
      <c r="F185" s="500">
        <v>502.91026299999999</v>
      </c>
      <c r="G185" s="500">
        <v>374.717759</v>
      </c>
      <c r="H185" s="500">
        <v>415.40460200000001</v>
      </c>
      <c r="I185" s="500">
        <v>261.14565800000003</v>
      </c>
      <c r="J185" s="500"/>
      <c r="K185" s="500"/>
      <c r="L185" s="500"/>
      <c r="M185" s="500"/>
      <c r="N185" s="500">
        <v>243.598096</v>
      </c>
      <c r="O185" s="549"/>
      <c r="P185" s="549"/>
      <c r="Q185" s="549"/>
      <c r="R185" s="549"/>
      <c r="S185" s="500">
        <v>215.408007</v>
      </c>
      <c r="T185" s="541">
        <v>252</v>
      </c>
      <c r="U185" s="539">
        <f>-Financials!U209</f>
        <v>45.335000000000008</v>
      </c>
      <c r="V185" s="539">
        <f>-Financials!V209</f>
        <v>86.483000000000004</v>
      </c>
      <c r="W185" s="539">
        <f>-Financials!W209</f>
        <v>87.918000000000006</v>
      </c>
      <c r="X185" s="539">
        <f>SUM(T185:W185)</f>
        <v>471.73600000000005</v>
      </c>
      <c r="Y185" s="539">
        <f>-Financials!Y209</f>
        <v>71.259</v>
      </c>
      <c r="Z185" s="539">
        <f>-Financials!Z209</f>
        <v>75.839000000000013</v>
      </c>
      <c r="AA185" s="539">
        <f>-Financials!AA209</f>
        <v>75.530999999999992</v>
      </c>
      <c r="AB185" s="539">
        <f>-Financials!AB209</f>
        <v>108.83699999999999</v>
      </c>
      <c r="AC185" s="539">
        <f>-Financials!AC209</f>
        <v>331.46600000000001</v>
      </c>
      <c r="AD185" s="539">
        <f>-Financials!AD209</f>
        <v>69.870999999999995</v>
      </c>
      <c r="AE185" s="539">
        <f>-Financials!AE209</f>
        <v>67.445000000000007</v>
      </c>
      <c r="AF185" s="539">
        <f>-Financials!AF209</f>
        <v>102.85900000000002</v>
      </c>
      <c r="AG185" s="539">
        <f>-Financials!AG209</f>
        <v>98.228999999999985</v>
      </c>
      <c r="AH185" s="539">
        <f>SUM(AD185:AG185)</f>
        <v>338.404</v>
      </c>
      <c r="AI185" s="539">
        <f>-Financials!AI209</f>
        <v>91.349000000000004</v>
      </c>
      <c r="AJ185" s="539">
        <f>-Financials!AJ209</f>
        <v>107.325</v>
      </c>
      <c r="AK185" s="539">
        <f>-Financials!AK209</f>
        <v>131.91200000000003</v>
      </c>
      <c r="AL185" s="539">
        <f>-Financials!AL209</f>
        <v>189.76699999999994</v>
      </c>
      <c r="AM185" s="539">
        <f>SUM(AI185:AL185)</f>
        <v>520.35299999999995</v>
      </c>
      <c r="AN185" s="539">
        <f>-Financials!AN209</f>
        <v>226.238</v>
      </c>
      <c r="AO185" s="539">
        <f>-Financials!AO209</f>
        <v>275.43099999999998</v>
      </c>
      <c r="AP185" s="539">
        <f>-Financials!AP209</f>
        <v>304.483</v>
      </c>
      <c r="AQ185" s="539">
        <f>-Financials!AQ209</f>
        <v>212.82799999999997</v>
      </c>
      <c r="AR185" s="539">
        <f>SUM(AN185:AQ185)</f>
        <v>1018.98</v>
      </c>
      <c r="AS185" s="835">
        <f>-Financials!AS209</f>
        <v>125.96599999999999</v>
      </c>
      <c r="AT185" s="836">
        <f>-Financials!AT209</f>
        <v>114.462</v>
      </c>
      <c r="AU185" s="836">
        <f>-Financials!AU209</f>
        <v>75.596000000000018</v>
      </c>
      <c r="AV185" s="837">
        <f>-Financials!AV209</f>
        <v>74.475999999999999</v>
      </c>
      <c r="AW185" s="539">
        <f>SUM(AS185:AV185)</f>
        <v>390.5</v>
      </c>
      <c r="AX185" s="835">
        <f>-Financials!AX209</f>
        <v>54.216000000000001</v>
      </c>
      <c r="AY185" s="836">
        <f>-Financials!AY209</f>
        <v>109.00299999999999</v>
      </c>
      <c r="AZ185" s="836">
        <f>-Financials!AZ209</f>
        <v>75.111000000000018</v>
      </c>
      <c r="BA185" s="837">
        <f>-Financials!BA209</f>
        <v>106.96399999999997</v>
      </c>
      <c r="BB185" s="539">
        <f>SUM(AX185:BA185)</f>
        <v>345.29399999999998</v>
      </c>
      <c r="BC185" s="835">
        <f>-Financials!BC209</f>
        <v>96.036000000000001</v>
      </c>
      <c r="BD185" s="836">
        <f>-Financials!BD209</f>
        <v>116.857</v>
      </c>
      <c r="BE185" s="945">
        <f>-Financials!BE209</f>
        <v>105.35900000000001</v>
      </c>
      <c r="BF185" s="946">
        <f>-Financials!BF209</f>
        <v>122.25</v>
      </c>
      <c r="BG185" s="539">
        <f>SUM(BC185:BF185)</f>
        <v>440.50200000000001</v>
      </c>
      <c r="BH185" s="982">
        <f>-Financials!BH209</f>
        <v>167.32900000000001</v>
      </c>
      <c r="BI185" s="945">
        <f>-Financials!BI209</f>
        <v>216.11899999999997</v>
      </c>
      <c r="BJ185" s="945">
        <f>-Financials!BJ209</f>
        <v>230.32900000000006</v>
      </c>
      <c r="BK185" s="946">
        <f>-Financials!BK209</f>
        <v>333.8309999999999</v>
      </c>
      <c r="BL185" s="539">
        <f>SUM(BH185:BK185)</f>
        <v>947.60799999999995</v>
      </c>
      <c r="BM185" s="982">
        <f>-Financials!BM209</f>
        <v>330.58499999999998</v>
      </c>
      <c r="BN185" s="945">
        <f>-Financials!BN209</f>
        <v>290.72100000000006</v>
      </c>
      <c r="BO185" s="945">
        <f>-Financials!BO209</f>
        <v>266.62299999999993</v>
      </c>
      <c r="BP185" s="946">
        <f>-Financials!BP209</f>
        <v>309.02300000000002</v>
      </c>
      <c r="BQ185" s="539">
        <f>SUM(BM185:BP185)</f>
        <v>1196.952</v>
      </c>
      <c r="BR185" s="982">
        <f>-Financials!BR209</f>
        <v>258.05799999999999</v>
      </c>
      <c r="BS185" s="945">
        <f>-Financials!BS209</f>
        <v>188.74</v>
      </c>
      <c r="BT185" s="945">
        <f>-Financials!BT209</f>
        <v>110.45100000000002</v>
      </c>
      <c r="BU185" s="946">
        <f>-Financials!BU209</f>
        <v>110.73299999999995</v>
      </c>
      <c r="BV185" s="539">
        <f>SUM(BR185:BU185)</f>
        <v>667.98199999999997</v>
      </c>
      <c r="BW185" s="982">
        <f>-Financials!BW209</f>
        <v>77.522999999999996</v>
      </c>
      <c r="BX185" s="945">
        <f>-Financials!BX209</f>
        <v>97.72999999999999</v>
      </c>
      <c r="BY185" s="945">
        <f>-Financials!BY209</f>
        <v>107.834</v>
      </c>
      <c r="BZ185" s="946">
        <f>-Financials!BZ209</f>
        <v>91.036000000000001</v>
      </c>
      <c r="CA185" s="539">
        <f>SUM(BW185:BZ185)</f>
        <v>374.12299999999999</v>
      </c>
      <c r="CB185" s="982">
        <f>-Financials!CB209</f>
        <v>80.697000000000003</v>
      </c>
      <c r="CC185" s="945">
        <f>-Financials!CC209</f>
        <v>146.64500000000001</v>
      </c>
      <c r="CD185" s="945">
        <f>-Financials!CD209</f>
        <v>100.09399999999997</v>
      </c>
      <c r="CE185" s="946">
        <f>-Financials!CE209</f>
        <v>277.40400000000005</v>
      </c>
      <c r="CF185" s="769">
        <f>SUM(CB185:CE185)</f>
        <v>604.84</v>
      </c>
      <c r="CG185" s="982">
        <f>-Financials!CG209</f>
        <v>94.534999999999997</v>
      </c>
      <c r="CH185" s="945">
        <f>-Financials!CH209</f>
        <v>94.700000000000017</v>
      </c>
      <c r="CI185" s="945">
        <f>-Financials!CI209</f>
        <v>103.077</v>
      </c>
      <c r="CJ185" s="946">
        <f>-Financials!CJ209</f>
        <v>156.24299999999999</v>
      </c>
      <c r="CK185" s="540">
        <f>SUM(CG185:CJ185)</f>
        <v>448.55500000000001</v>
      </c>
      <c r="CL185" s="982">
        <f>CM185</f>
        <v>250</v>
      </c>
      <c r="CM185" s="945">
        <f>CN185</f>
        <v>250</v>
      </c>
      <c r="CN185" s="945">
        <f>CP185/4</f>
        <v>250</v>
      </c>
      <c r="CO185" s="946">
        <f>CP185-SUM(CL185:CN185)</f>
        <v>250</v>
      </c>
      <c r="CP185" s="674">
        <f>550+(180+250)/2+235</f>
        <v>1000</v>
      </c>
      <c r="CQ185" s="982">
        <f>CR185</f>
        <v>216.25</v>
      </c>
      <c r="CR185" s="945">
        <f>CS185</f>
        <v>216.25</v>
      </c>
      <c r="CS185" s="945">
        <f>CU185/4</f>
        <v>216.25</v>
      </c>
      <c r="CT185" s="946">
        <f>CU185-SUM(CQ185:CS185)</f>
        <v>216.25</v>
      </c>
      <c r="CU185" s="674">
        <f>550+(180+250)/2+100</f>
        <v>865</v>
      </c>
      <c r="CV185" s="982">
        <f>CW185</f>
        <v>150</v>
      </c>
      <c r="CW185" s="945">
        <f>CX185</f>
        <v>150</v>
      </c>
      <c r="CX185" s="945">
        <f>CZ185/4</f>
        <v>150</v>
      </c>
      <c r="CY185" s="946">
        <f>CZ185-SUM(CV185:CX185)</f>
        <v>150</v>
      </c>
      <c r="CZ185" s="674">
        <f>550+50</f>
        <v>600</v>
      </c>
    </row>
    <row r="186" spans="1:104" ht="13.5" customHeight="1">
      <c r="A186" s="819"/>
      <c r="B186" s="66" t="s">
        <v>275</v>
      </c>
      <c r="C186" s="66"/>
      <c r="D186" s="549"/>
      <c r="E186" s="500">
        <v>218.76410100000001</v>
      </c>
      <c r="F186" s="500">
        <v>264.03862199999998</v>
      </c>
      <c r="G186" s="500">
        <v>256.63745999999998</v>
      </c>
      <c r="H186" s="500">
        <v>259.36517300000003</v>
      </c>
      <c r="I186" s="500">
        <v>289.06321300000002</v>
      </c>
      <c r="J186" s="500"/>
      <c r="K186" s="500"/>
      <c r="L186" s="500"/>
      <c r="M186" s="500"/>
      <c r="N186" s="500">
        <v>307.10103199999998</v>
      </c>
      <c r="O186" s="549"/>
      <c r="P186" s="549"/>
      <c r="Q186" s="549"/>
      <c r="R186" s="549"/>
      <c r="S186" s="500">
        <v>364.11192399999999</v>
      </c>
      <c r="T186" s="539">
        <f>Financials!T193</f>
        <v>96.298000000000002</v>
      </c>
      <c r="U186" s="539">
        <f>Financials!U193</f>
        <v>97.381</v>
      </c>
      <c r="V186" s="539">
        <f>Financials!V193</f>
        <v>98.126000000000005</v>
      </c>
      <c r="W186" s="539">
        <f>Financials!W193</f>
        <v>91.5</v>
      </c>
      <c r="X186" s="539">
        <f>SUM(T186:W186)</f>
        <v>383.30500000000001</v>
      </c>
      <c r="Y186" s="539">
        <f>Financials!Y193</f>
        <v>91.29</v>
      </c>
      <c r="Z186" s="539">
        <f>Financials!Z193</f>
        <v>93.98099999999998</v>
      </c>
      <c r="AA186" s="539">
        <f>Financials!AA193</f>
        <v>96.228000000000023</v>
      </c>
      <c r="AB186" s="539">
        <f>Financials!AB193</f>
        <v>93.55499999999995</v>
      </c>
      <c r="AC186" s="539">
        <f>SUM(Y186:AB186)</f>
        <v>375.05399999999997</v>
      </c>
      <c r="AD186" s="539">
        <f>Financials!AD193</f>
        <v>90.825000000000003</v>
      </c>
      <c r="AE186" s="539">
        <f>Financials!AE193</f>
        <v>91.662999999999997</v>
      </c>
      <c r="AF186" s="539">
        <f>Financials!AF193</f>
        <v>91.189999999999984</v>
      </c>
      <c r="AG186" s="539">
        <f>Financials!AG193</f>
        <v>90.257999999999981</v>
      </c>
      <c r="AH186" s="539">
        <f>SUM(AD186:AG186)</f>
        <v>363.93599999999998</v>
      </c>
      <c r="AI186" s="539">
        <f>Financials!AI193</f>
        <v>98.402000000000001</v>
      </c>
      <c r="AJ186" s="539">
        <f>Financials!AJ193</f>
        <v>97.747</v>
      </c>
      <c r="AK186" s="539">
        <f>Financials!AK193</f>
        <v>117.56799999999997</v>
      </c>
      <c r="AL186" s="539">
        <f>Financials!AL193</f>
        <v>113.83900000000004</v>
      </c>
      <c r="AM186" s="539">
        <f>SUM(AI186:AL186)</f>
        <v>427.55600000000004</v>
      </c>
      <c r="AN186" s="539">
        <f>Financials!AN193</f>
        <v>123.07300000000001</v>
      </c>
      <c r="AO186" s="539">
        <f>Financials!AO193</f>
        <v>140.22499999999999</v>
      </c>
      <c r="AP186" s="539">
        <f>Financials!AP193</f>
        <v>142.04899999999995</v>
      </c>
      <c r="AQ186" s="539">
        <f>Financials!AQ193</f>
        <v>143.55999999999995</v>
      </c>
      <c r="AR186" s="539">
        <f>SUM(AN186:AQ186)</f>
        <v>548.90699999999993</v>
      </c>
      <c r="AS186" s="835">
        <f>Financials!AS193</f>
        <v>137.84100000000001</v>
      </c>
      <c r="AT186" s="836">
        <f>Financials!AT193</f>
        <v>140.63499999999999</v>
      </c>
      <c r="AU186" s="836">
        <f>Financials!AU193</f>
        <v>143.62799999999999</v>
      </c>
      <c r="AV186" s="837">
        <f>Financials!AV193</f>
        <v>144.31900000000002</v>
      </c>
      <c r="AW186" s="539">
        <f>SUM(AS186:AV186)</f>
        <v>566.423</v>
      </c>
      <c r="AX186" s="835">
        <f>Financials!AX193</f>
        <v>146.10399999999998</v>
      </c>
      <c r="AY186" s="836">
        <f>Financials!AY193</f>
        <v>145.01300000000003</v>
      </c>
      <c r="AZ186" s="836">
        <f>Financials!AZ193</f>
        <v>147.36799999999999</v>
      </c>
      <c r="BA186" s="837">
        <f>Financials!BA193</f>
        <v>144.11700000000008</v>
      </c>
      <c r="BB186" s="539">
        <f>SUM(AX186:BA186)</f>
        <v>582.60200000000009</v>
      </c>
      <c r="BC186" s="835">
        <f>Financials!BC193</f>
        <v>144.666</v>
      </c>
      <c r="BD186" s="836">
        <f>Financials!BD193</f>
        <v>146.07300000000004</v>
      </c>
      <c r="BE186" s="945">
        <f>Financials!BE193</f>
        <v>152.78299999999996</v>
      </c>
      <c r="BF186" s="946">
        <f>Financials!BF193</f>
        <v>146.87799999999999</v>
      </c>
      <c r="BG186" s="539">
        <f>SUM(BC186:BF186)</f>
        <v>590.4</v>
      </c>
      <c r="BH186" s="982">
        <f>Financials!BH193</f>
        <v>147.922</v>
      </c>
      <c r="BI186" s="945">
        <f>Financials!BI193</f>
        <v>146.16800000000003</v>
      </c>
      <c r="BJ186" s="945">
        <f>Financials!BJ193</f>
        <v>154.11799999999994</v>
      </c>
      <c r="BK186" s="946">
        <f>Financials!BK193</f>
        <v>158.81299999999999</v>
      </c>
      <c r="BL186" s="540">
        <f>Financials!BL193</f>
        <v>607.02099999999996</v>
      </c>
      <c r="BM186" s="982">
        <f>Financials!BM193</f>
        <v>149.47300000000001</v>
      </c>
      <c r="BN186" s="945">
        <f>Financials!BN193</f>
        <v>146.49199999999996</v>
      </c>
      <c r="BO186" s="945">
        <f>Financials!BO193</f>
        <v>150.58100000000002</v>
      </c>
      <c r="BP186" s="946">
        <f>Financials!BP193</f>
        <v>163.66199999999998</v>
      </c>
      <c r="BQ186" s="540">
        <f>Financials!BQ193</f>
        <v>610.20799999999997</v>
      </c>
      <c r="BR186" s="982">
        <f>Financials!BR193</f>
        <v>179.91199999999998</v>
      </c>
      <c r="BS186" s="945">
        <f>Financials!BS193</f>
        <v>182.78199999999998</v>
      </c>
      <c r="BT186" s="945">
        <f>Financials!BT193</f>
        <v>178.11700000000008</v>
      </c>
      <c r="BU186" s="946">
        <f>Financials!BU193</f>
        <v>183.61199999999997</v>
      </c>
      <c r="BV186" s="540">
        <f>Financials!BV193</f>
        <v>724.423</v>
      </c>
      <c r="BW186" s="982">
        <f>Financials!BW193</f>
        <v>176.589</v>
      </c>
      <c r="BX186" s="945">
        <f>Financials!BX193</f>
        <v>174.827</v>
      </c>
      <c r="BY186" s="945">
        <f>Financials!BY193</f>
        <v>173.49600000000004</v>
      </c>
      <c r="BZ186" s="946">
        <f>Financials!BZ193</f>
        <v>175.1049999999999</v>
      </c>
      <c r="CA186" s="540">
        <f>Financials!CA193</f>
        <v>700.01699999999994</v>
      </c>
      <c r="CB186" s="982">
        <f>Financials!CB193</f>
        <v>170.36099999999999</v>
      </c>
      <c r="CC186" s="945">
        <f>Financials!CC193</f>
        <v>171.31400000000002</v>
      </c>
      <c r="CD186" s="945">
        <f>Financials!CD193</f>
        <v>171.49999999999994</v>
      </c>
      <c r="CE186" s="946">
        <f>Financials!CE193</f>
        <v>173.87900000000002</v>
      </c>
      <c r="CF186" s="540">
        <f>Financials!CF193</f>
        <v>687.05399999999997</v>
      </c>
      <c r="CG186" s="982">
        <f>Financials!CG193</f>
        <v>180.893</v>
      </c>
      <c r="CH186" s="945">
        <f>Financials!CH193</f>
        <v>182.828</v>
      </c>
      <c r="CI186" s="945">
        <f>Financials!CI193</f>
        <v>179.49500000000003</v>
      </c>
      <c r="CJ186" s="946">
        <f>Financials!CJ193</f>
        <v>183.84499999999991</v>
      </c>
      <c r="CK186" s="945">
        <f>Financials!CK193</f>
        <v>727.06099999999992</v>
      </c>
      <c r="CL186" s="982">
        <f t="shared" ref="CL186:CY186" si="334">CL169+CL149+CL101</f>
        <v>174</v>
      </c>
      <c r="CM186" s="945">
        <f t="shared" si="334"/>
        <v>174</v>
      </c>
      <c r="CN186" s="945">
        <f t="shared" si="334"/>
        <v>174</v>
      </c>
      <c r="CO186" s="946">
        <f t="shared" si="334"/>
        <v>174</v>
      </c>
      <c r="CP186" s="540">
        <f>SUM(CL186:CO186)</f>
        <v>696</v>
      </c>
      <c r="CQ186" s="982">
        <f t="shared" si="334"/>
        <v>174</v>
      </c>
      <c r="CR186" s="945">
        <f t="shared" si="334"/>
        <v>174</v>
      </c>
      <c r="CS186" s="945">
        <f t="shared" si="334"/>
        <v>174</v>
      </c>
      <c r="CT186" s="946">
        <f t="shared" si="334"/>
        <v>174</v>
      </c>
      <c r="CU186" s="540">
        <f>SUM(CQ186:CT186)</f>
        <v>696</v>
      </c>
      <c r="CV186" s="982">
        <f t="shared" si="334"/>
        <v>174</v>
      </c>
      <c r="CW186" s="945">
        <f t="shared" si="334"/>
        <v>174</v>
      </c>
      <c r="CX186" s="945">
        <f t="shared" si="334"/>
        <v>174</v>
      </c>
      <c r="CY186" s="946">
        <f t="shared" si="334"/>
        <v>174</v>
      </c>
      <c r="CZ186" s="540">
        <f>SUM(CV186:CY186)</f>
        <v>696</v>
      </c>
    </row>
    <row r="187" spans="1:104" ht="6.2" customHeight="1">
      <c r="A187" s="828"/>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932"/>
      <c r="AT187" s="933"/>
      <c r="AU187" s="933"/>
      <c r="AV187" s="934"/>
      <c r="AW187" s="24"/>
      <c r="AX187" s="932"/>
      <c r="AY187" s="933"/>
      <c r="AZ187" s="933"/>
      <c r="BA187" s="934"/>
      <c r="BB187" s="24"/>
      <c r="BC187" s="932"/>
      <c r="BD187" s="933"/>
      <c r="BE187" s="933"/>
      <c r="BF187" s="934"/>
      <c r="BG187" s="24"/>
      <c r="BH187" s="932"/>
      <c r="BI187" s="933"/>
      <c r="BJ187" s="933"/>
      <c r="BK187" s="934"/>
      <c r="BL187" s="24"/>
      <c r="BM187" s="932"/>
      <c r="BN187" s="933"/>
      <c r="BO187" s="933"/>
      <c r="BP187" s="934"/>
      <c r="BQ187" s="24"/>
      <c r="BR187" s="932"/>
      <c r="BS187" s="933"/>
      <c r="BT187" s="933"/>
      <c r="BU187" s="934"/>
      <c r="BV187" s="24"/>
      <c r="BW187" s="932"/>
      <c r="BX187" s="933"/>
      <c r="BY187" s="933"/>
      <c r="BZ187" s="934"/>
      <c r="CA187" s="24"/>
      <c r="CB187" s="932"/>
      <c r="CC187" s="933"/>
      <c r="CD187" s="933"/>
      <c r="CE187" s="934"/>
      <c r="CF187" s="24"/>
      <c r="CG187" s="932"/>
      <c r="CH187" s="933"/>
      <c r="CI187" s="933"/>
      <c r="CJ187" s="934"/>
      <c r="CK187" s="24"/>
      <c r="CL187" s="932"/>
      <c r="CM187" s="933"/>
      <c r="CN187" s="933"/>
      <c r="CO187" s="934"/>
      <c r="CP187" s="24"/>
      <c r="CQ187" s="932"/>
      <c r="CR187" s="933"/>
      <c r="CS187" s="933"/>
      <c r="CT187" s="934"/>
      <c r="CU187" s="24"/>
      <c r="CV187" s="932"/>
      <c r="CW187" s="933"/>
      <c r="CX187" s="933"/>
      <c r="CY187" s="934"/>
      <c r="CZ187" s="24"/>
    </row>
    <row r="188" spans="1:104" ht="13.5" customHeight="1" collapsed="1">
      <c r="A188" s="823"/>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935"/>
      <c r="AT188" s="936"/>
      <c r="AU188" s="936"/>
      <c r="AV188" s="937"/>
      <c r="AW188" s="6"/>
      <c r="AX188" s="935"/>
      <c r="AY188" s="936"/>
      <c r="AZ188" s="495"/>
      <c r="BA188" s="944"/>
      <c r="BB188" s="453"/>
      <c r="BC188" s="981"/>
      <c r="BD188" s="495"/>
      <c r="BE188" s="495"/>
      <c r="BF188" s="944"/>
      <c r="BG188" s="453"/>
      <c r="BH188" s="935"/>
      <c r="BI188" s="936"/>
      <c r="BJ188" s="936"/>
      <c r="BK188" s="937"/>
      <c r="BL188" s="6"/>
      <c r="BM188" s="935"/>
      <c r="BN188" s="936"/>
      <c r="BO188" s="936"/>
      <c r="BP188" s="937"/>
      <c r="BQ188" s="6"/>
      <c r="BR188" s="935"/>
      <c r="BS188" s="936"/>
      <c r="BT188" s="936"/>
      <c r="BU188" s="937"/>
      <c r="BV188" s="6"/>
      <c r="BW188" s="935"/>
      <c r="BX188" s="936"/>
      <c r="BY188" s="936"/>
      <c r="BZ188" s="937"/>
      <c r="CA188" s="6"/>
      <c r="CB188" s="935"/>
      <c r="CC188" s="936"/>
      <c r="CD188" s="936"/>
      <c r="CE188" s="937"/>
      <c r="CF188" s="6"/>
      <c r="CG188" s="935"/>
      <c r="CH188" s="936"/>
      <c r="CI188" s="936"/>
      <c r="CJ188" s="937"/>
      <c r="CK188" s="6"/>
      <c r="CL188" s="935"/>
      <c r="CM188" s="936"/>
      <c r="CN188" s="936"/>
      <c r="CO188" s="937"/>
      <c r="CP188" s="6"/>
      <c r="CQ188" s="935"/>
      <c r="CR188" s="936"/>
      <c r="CS188" s="936"/>
      <c r="CT188" s="937"/>
      <c r="CU188" s="6"/>
      <c r="CV188" s="935"/>
      <c r="CW188" s="936"/>
      <c r="CX188" s="936"/>
      <c r="CY188" s="937"/>
      <c r="CZ188" s="6"/>
    </row>
    <row r="189" spans="1:104" ht="13.5" hidden="1" customHeight="1" outlineLevel="1">
      <c r="A189" s="823"/>
      <c r="B189" s="6"/>
      <c r="C189" s="676" t="s">
        <v>161</v>
      </c>
      <c r="D189" s="676"/>
      <c r="E189" s="676"/>
      <c r="F189" s="676"/>
      <c r="G189" s="676"/>
      <c r="H189" s="677">
        <f t="shared" ref="H189:AQ190" si="335">(H59)/1.1023</f>
        <v>10224.984124104145</v>
      </c>
      <c r="I189" s="677">
        <f t="shared" si="335"/>
        <v>11173.001905107501</v>
      </c>
      <c r="J189" s="677">
        <f t="shared" si="335"/>
        <v>2936.5871359883877</v>
      </c>
      <c r="K189" s="677">
        <f t="shared" si="335"/>
        <v>3190.6014696543589</v>
      </c>
      <c r="L189" s="677">
        <f t="shared" si="335"/>
        <v>2975.5964800870906</v>
      </c>
      <c r="M189" s="677">
        <f t="shared" si="335"/>
        <v>3255.0122471196587</v>
      </c>
      <c r="N189" s="677">
        <f t="shared" si="335"/>
        <v>12357.797332849495</v>
      </c>
      <c r="O189" s="677">
        <f t="shared" si="335"/>
        <v>3862.8322598203754</v>
      </c>
      <c r="P189" s="677">
        <f t="shared" si="335"/>
        <v>3889.1408872357797</v>
      </c>
      <c r="Q189" s="677">
        <f t="shared" si="335"/>
        <v>4055.1573981674678</v>
      </c>
      <c r="R189" s="677">
        <f t="shared" si="335"/>
        <v>4015.2408600199578</v>
      </c>
      <c r="S189" s="677">
        <f t="shared" si="335"/>
        <v>15822.371405243581</v>
      </c>
      <c r="T189" s="677">
        <f t="shared" si="335"/>
        <v>4499.682482082917</v>
      </c>
      <c r="U189" s="677">
        <f t="shared" si="335"/>
        <v>4645.7407239408503</v>
      </c>
      <c r="V189" s="677">
        <f t="shared" si="335"/>
        <v>4601.2882155493062</v>
      </c>
      <c r="W189" s="677">
        <f t="shared" si="335"/>
        <v>4158.5775197314706</v>
      </c>
      <c r="X189" s="677">
        <f t="shared" si="335"/>
        <v>17905.288941304545</v>
      </c>
      <c r="Y189" s="677">
        <f t="shared" si="335"/>
        <v>4633.9472013063596</v>
      </c>
      <c r="Z189" s="677">
        <f t="shared" si="335"/>
        <v>4484.2601832531973</v>
      </c>
      <c r="AA189" s="677">
        <f t="shared" si="335"/>
        <v>4613.0817381837969</v>
      </c>
      <c r="AB189" s="677">
        <f t="shared" si="335"/>
        <v>4713.7802776013787</v>
      </c>
      <c r="AC189" s="677">
        <f t="shared" si="335"/>
        <v>18445.069400344732</v>
      </c>
      <c r="AD189" s="677">
        <f t="shared" si="335"/>
        <v>5253.560736641567</v>
      </c>
      <c r="AE189" s="677">
        <f t="shared" si="335"/>
        <v>5196.4075115667238</v>
      </c>
      <c r="AF189" s="677">
        <f t="shared" si="335"/>
        <v>5260.818289032024</v>
      </c>
      <c r="AG189" s="677">
        <f t="shared" si="335"/>
        <v>4594.0306631588492</v>
      </c>
      <c r="AH189" s="677">
        <f t="shared" si="335"/>
        <v>20304.817200399164</v>
      </c>
      <c r="AI189" s="677">
        <f t="shared" si="335"/>
        <v>5066.6787625873176</v>
      </c>
      <c r="AJ189" s="677">
        <f t="shared" si="335"/>
        <v>5005.8967613172454</v>
      </c>
      <c r="AK189" s="677">
        <f t="shared" si="335"/>
        <v>4898.847863558015</v>
      </c>
      <c r="AL189" s="677">
        <f t="shared" si="335"/>
        <v>5067.5859566361241</v>
      </c>
      <c r="AM189" s="677">
        <f t="shared" si="335"/>
        <v>20039.0093440987</v>
      </c>
      <c r="AN189" s="677">
        <f t="shared" si="335"/>
        <v>5289.8484985938494</v>
      </c>
      <c r="AO189" s="677">
        <f t="shared" si="335"/>
        <v>5482.1736369409418</v>
      </c>
      <c r="AP189" s="677">
        <f t="shared" si="335"/>
        <v>4998.6392089267893</v>
      </c>
      <c r="AQ189" s="677">
        <f t="shared" si="335"/>
        <v>2777.8281774471557</v>
      </c>
      <c r="AR189" s="677">
        <f t="shared" ref="AR189:BS189" si="336">(AR59)/1.1023</f>
        <v>18548.489521908734</v>
      </c>
      <c r="AS189" s="938">
        <f t="shared" si="336"/>
        <v>2611.8116665154676</v>
      </c>
      <c r="AT189" s="939">
        <f t="shared" si="336"/>
        <v>2688.923160664066</v>
      </c>
      <c r="AU189" s="939">
        <f t="shared" si="336"/>
        <v>4021.5912183616074</v>
      </c>
      <c r="AV189" s="940">
        <f t="shared" si="336"/>
        <v>3376.5762496598022</v>
      </c>
      <c r="AW189" s="677">
        <f t="shared" si="336"/>
        <v>12698.902295200944</v>
      </c>
      <c r="AX189" s="938">
        <f t="shared" si="336"/>
        <v>4274.6983579787711</v>
      </c>
      <c r="AY189" s="939">
        <f t="shared" si="336"/>
        <v>4216.6379388551213</v>
      </c>
      <c r="AZ189" s="939">
        <f t="shared" si="336"/>
        <v>4015.2408600199578</v>
      </c>
      <c r="BA189" s="940">
        <f t="shared" si="336"/>
        <v>4056.9717862650818</v>
      </c>
      <c r="BB189" s="677">
        <f t="shared" si="336"/>
        <v>16563.548943118931</v>
      </c>
      <c r="BC189" s="938">
        <f t="shared" si="336"/>
        <v>4734.6457407239404</v>
      </c>
      <c r="BD189" s="939">
        <f t="shared" si="336"/>
        <v>4233.874625782455</v>
      </c>
      <c r="BE189" s="939">
        <f t="shared" si="336"/>
        <v>4454.3227796425654</v>
      </c>
      <c r="BF189" s="940">
        <f t="shared" si="336"/>
        <v>4322.7796425655442</v>
      </c>
      <c r="BG189" s="677">
        <f t="shared" si="336"/>
        <v>17745.622788714507</v>
      </c>
      <c r="BH189" s="938">
        <f t="shared" si="336"/>
        <v>4770.9335026762219</v>
      </c>
      <c r="BI189" s="939">
        <f t="shared" si="336"/>
        <v>4591.3090810124286</v>
      </c>
      <c r="BJ189" s="939">
        <f t="shared" si="336"/>
        <v>4371.7681212011248</v>
      </c>
      <c r="BK189" s="940">
        <f t="shared" si="336"/>
        <v>4287.3990746620702</v>
      </c>
      <c r="BL189" s="677">
        <f t="shared" si="336"/>
        <v>18021.409779551846</v>
      </c>
      <c r="BM189" s="938">
        <f t="shared" si="336"/>
        <v>4370.8609271523173</v>
      </c>
      <c r="BN189" s="939">
        <f t="shared" si="336"/>
        <v>4437.9932867640382</v>
      </c>
      <c r="BO189" s="939">
        <f t="shared" si="336"/>
        <v>4719.2234418942207</v>
      </c>
      <c r="BP189" s="940">
        <f t="shared" si="336"/>
        <v>4525.0839154495143</v>
      </c>
      <c r="BQ189" s="677">
        <f t="shared" si="336"/>
        <v>18053.161571260091</v>
      </c>
      <c r="BR189" s="938">
        <f t="shared" si="336"/>
        <v>4711.9658895037646</v>
      </c>
      <c r="BS189" s="939">
        <f t="shared" si="336"/>
        <v>4829.9011158486801</v>
      </c>
      <c r="BT189" s="939">
        <f t="shared" ref="BT189:CZ190" si="337">(BT59)/1.1023</f>
        <v>4909.7341921436991</v>
      </c>
      <c r="BU189" s="940">
        <f t="shared" si="337"/>
        <v>4721.9450240406422</v>
      </c>
      <c r="BV189" s="677">
        <f t="shared" si="337"/>
        <v>19173.546221536784</v>
      </c>
      <c r="BW189" s="938">
        <f t="shared" si="337"/>
        <v>4316.4292842238956</v>
      </c>
      <c r="BX189" s="939">
        <f t="shared" si="337"/>
        <v>4713.7802776013787</v>
      </c>
      <c r="BY189" s="939">
        <f t="shared" si="337"/>
        <v>4483.3529892043907</v>
      </c>
      <c r="BZ189" s="940">
        <f t="shared" si="337"/>
        <v>3989.839426653361</v>
      </c>
      <c r="CA189" s="677">
        <f t="shared" si="337"/>
        <v>17503.401977683025</v>
      </c>
      <c r="CB189" s="938">
        <f t="shared" si="337"/>
        <v>4889.7759230699448</v>
      </c>
      <c r="CC189" s="939">
        <f t="shared" si="337"/>
        <v>5343.3729474734646</v>
      </c>
      <c r="CD189" s="939">
        <f t="shared" si="337"/>
        <v>4546.8565726208835</v>
      </c>
      <c r="CE189" s="940">
        <f t="shared" si="337"/>
        <v>4526.8983035471283</v>
      </c>
      <c r="CF189" s="677">
        <f t="shared" si="337"/>
        <v>19306.903746711421</v>
      </c>
      <c r="CG189" s="938">
        <f t="shared" si="337"/>
        <v>5353.4609452961986</v>
      </c>
      <c r="CH189" s="939">
        <f t="shared" si="337"/>
        <v>5527.6422026671498</v>
      </c>
      <c r="CI189" s="939">
        <f t="shared" si="337"/>
        <v>5369.1372584595838</v>
      </c>
      <c r="CJ189" s="940">
        <f t="shared" si="337"/>
        <v>5276.8211920529793</v>
      </c>
      <c r="CK189" s="677">
        <f t="shared" si="337"/>
        <v>21527.061598475913</v>
      </c>
      <c r="CL189" s="938">
        <f t="shared" si="337"/>
        <v>5458.8406060056241</v>
      </c>
      <c r="CM189" s="939">
        <f t="shared" si="337"/>
        <v>5493.0998369221024</v>
      </c>
      <c r="CN189" s="939">
        <f t="shared" si="337"/>
        <v>5212.0283131356045</v>
      </c>
      <c r="CO189" s="940">
        <f t="shared" si="337"/>
        <v>5135.3041778239231</v>
      </c>
      <c r="CP189" s="677">
        <f t="shared" si="337"/>
        <v>21299.272933887252</v>
      </c>
      <c r="CQ189" s="938">
        <f t="shared" si="337"/>
        <v>5559.3111332676726</v>
      </c>
      <c r="CR189" s="939">
        <f t="shared" si="337"/>
        <v>5594.2555488024818</v>
      </c>
      <c r="CS189" s="939">
        <f t="shared" si="337"/>
        <v>5307.5625945402535</v>
      </c>
      <c r="CT189" s="940">
        <f t="shared" si="337"/>
        <v>5229.3039765223384</v>
      </c>
      <c r="CU189" s="677">
        <f t="shared" si="337"/>
        <v>21690.433253132749</v>
      </c>
      <c r="CV189" s="938">
        <f t="shared" si="337"/>
        <v>6052.584638070809</v>
      </c>
      <c r="CW189" s="939">
        <f t="shared" si="337"/>
        <v>6068.8924020041604</v>
      </c>
      <c r="CX189" s="939">
        <f t="shared" si="337"/>
        <v>5769.6494295350258</v>
      </c>
      <c r="CY189" s="940">
        <f t="shared" si="337"/>
        <v>5689.9275418678726</v>
      </c>
      <c r="CZ189" s="677">
        <f t="shared" si="337"/>
        <v>23581.054011477867</v>
      </c>
    </row>
    <row r="190" spans="1:104" ht="13.5" hidden="1" customHeight="1" outlineLevel="1">
      <c r="A190" s="823"/>
      <c r="B190" s="6"/>
      <c r="C190" s="676" t="s">
        <v>162</v>
      </c>
      <c r="D190" s="676"/>
      <c r="E190" s="676"/>
      <c r="F190" s="676"/>
      <c r="G190" s="676"/>
      <c r="H190" s="677">
        <f t="shared" si="335"/>
        <v>9960.9906559012961</v>
      </c>
      <c r="I190" s="677">
        <f t="shared" si="335"/>
        <v>11014.24294656627</v>
      </c>
      <c r="J190" s="677">
        <f t="shared" si="335"/>
        <v>2968.3389276966341</v>
      </c>
      <c r="K190" s="677">
        <f t="shared" si="335"/>
        <v>3078.109407602286</v>
      </c>
      <c r="L190" s="677">
        <f t="shared" si="335"/>
        <v>3012.7914360881791</v>
      </c>
      <c r="M190" s="677">
        <f t="shared" si="335"/>
        <v>3131.6338564819011</v>
      </c>
      <c r="N190" s="677">
        <f t="shared" si="335"/>
        <v>12190.873627869001</v>
      </c>
      <c r="O190" s="677">
        <f t="shared" si="335"/>
        <v>3942.6653361153949</v>
      </c>
      <c r="P190" s="677">
        <f t="shared" si="335"/>
        <v>3898.2128277238498</v>
      </c>
      <c r="Q190" s="677">
        <f t="shared" si="335"/>
        <v>4124.1041458768032</v>
      </c>
      <c r="R190" s="677">
        <f t="shared" si="335"/>
        <v>4052.4358160210468</v>
      </c>
      <c r="S190" s="677">
        <f t="shared" si="335"/>
        <v>16017.418125737095</v>
      </c>
      <c r="T190" s="677">
        <f t="shared" si="335"/>
        <v>4667.5133811122196</v>
      </c>
      <c r="U190" s="677">
        <f t="shared" si="335"/>
        <v>4449.7868093985298</v>
      </c>
      <c r="V190" s="677">
        <f t="shared" si="335"/>
        <v>4506.940034473374</v>
      </c>
      <c r="W190" s="677">
        <f t="shared" si="335"/>
        <v>4033.384740996099</v>
      </c>
      <c r="X190" s="677">
        <f t="shared" si="335"/>
        <v>17657.624965980223</v>
      </c>
      <c r="Y190" s="677">
        <f t="shared" si="335"/>
        <v>4574.9795881339014</v>
      </c>
      <c r="Z190" s="677">
        <f t="shared" si="335"/>
        <v>4629.4112310623241</v>
      </c>
      <c r="AA190" s="677">
        <f t="shared" si="335"/>
        <v>4860.7457135081195</v>
      </c>
      <c r="AB190" s="677">
        <f t="shared" si="335"/>
        <v>4685.6572620883608</v>
      </c>
      <c r="AC190" s="677">
        <f t="shared" si="335"/>
        <v>18750.793794792706</v>
      </c>
      <c r="AD190" s="677">
        <f t="shared" si="335"/>
        <v>5190.0571532250742</v>
      </c>
      <c r="AE190" s="677">
        <f t="shared" si="335"/>
        <v>5347.9089177174992</v>
      </c>
      <c r="AF190" s="677">
        <f t="shared" si="335"/>
        <v>5143.7902567359151</v>
      </c>
      <c r="AG190" s="677">
        <f t="shared" si="335"/>
        <v>4590.4018869636211</v>
      </c>
      <c r="AH190" s="677">
        <f t="shared" si="335"/>
        <v>20272.15821464211</v>
      </c>
      <c r="AI190" s="677">
        <f t="shared" si="335"/>
        <v>5134.718316247845</v>
      </c>
      <c r="AJ190" s="677">
        <f t="shared" si="335"/>
        <v>4905.1982218996645</v>
      </c>
      <c r="AK190" s="677">
        <f t="shared" si="335"/>
        <v>5076.6578971241943</v>
      </c>
      <c r="AL190" s="677">
        <f t="shared" si="335"/>
        <v>5156.4909734192142</v>
      </c>
      <c r="AM190" s="677">
        <f t="shared" si="335"/>
        <v>20273.065408690916</v>
      </c>
      <c r="AN190" s="677">
        <f t="shared" si="335"/>
        <v>5398.7117844506938</v>
      </c>
      <c r="AO190" s="677">
        <f t="shared" si="335"/>
        <v>5549.3059965526627</v>
      </c>
      <c r="AP190" s="677">
        <f t="shared" si="335"/>
        <v>4933.3212374126824</v>
      </c>
      <c r="AQ190" s="677">
        <f t="shared" si="335"/>
        <v>3108.0468112129183</v>
      </c>
      <c r="AR190" s="677">
        <f t="shared" ref="AR190:BS190" si="338">(AR60)/1.1023</f>
        <v>18989.385829628958</v>
      </c>
      <c r="AS190" s="938">
        <f t="shared" si="338"/>
        <v>2547.4008890501677</v>
      </c>
      <c r="AT190" s="939">
        <f t="shared" si="338"/>
        <v>2720.6749523723124</v>
      </c>
      <c r="AU190" s="939">
        <f t="shared" si="338"/>
        <v>3911.8207384559555</v>
      </c>
      <c r="AV190" s="940">
        <f t="shared" si="338"/>
        <v>3553.479089177175</v>
      </c>
      <c r="AW190" s="677">
        <f t="shared" si="338"/>
        <v>12733.375669055611</v>
      </c>
      <c r="AX190" s="938">
        <f t="shared" si="338"/>
        <v>4269.255193685929</v>
      </c>
      <c r="AY190" s="939">
        <f t="shared" si="338"/>
        <v>4170.3710423659622</v>
      </c>
      <c r="AZ190" s="939">
        <f t="shared" si="338"/>
        <v>4265.626417490701</v>
      </c>
      <c r="BA190" s="940">
        <f t="shared" si="338"/>
        <v>4144.0624149505575</v>
      </c>
      <c r="BB190" s="677">
        <f t="shared" si="338"/>
        <v>16849.31506849315</v>
      </c>
      <c r="BC190" s="938">
        <f t="shared" si="338"/>
        <v>4717.4090537966067</v>
      </c>
      <c r="BD190" s="939">
        <f t="shared" si="338"/>
        <v>4412.5918533974418</v>
      </c>
      <c r="BE190" s="939">
        <f t="shared" si="338"/>
        <v>4652.0910822824999</v>
      </c>
      <c r="BF190" s="940">
        <f t="shared" si="338"/>
        <v>4475.1882427651271</v>
      </c>
      <c r="BG190" s="677">
        <f t="shared" si="338"/>
        <v>18257.280232241676</v>
      </c>
      <c r="BH190" s="938">
        <f t="shared" si="338"/>
        <v>4749.1608455048536</v>
      </c>
      <c r="BI190" s="939">
        <f t="shared" si="338"/>
        <v>4719.2234418942207</v>
      </c>
      <c r="BJ190" s="939">
        <f t="shared" si="338"/>
        <v>4574.9795881339014</v>
      </c>
      <c r="BK190" s="940">
        <f t="shared" si="338"/>
        <v>4320.0580604191236</v>
      </c>
      <c r="BL190" s="677">
        <f t="shared" si="338"/>
        <v>18363.421935952098</v>
      </c>
      <c r="BM190" s="938">
        <f t="shared" si="338"/>
        <v>4604.0097976957268</v>
      </c>
      <c r="BN190" s="939">
        <f t="shared" si="338"/>
        <v>4558.6500952553752</v>
      </c>
      <c r="BO190" s="939">
        <f t="shared" si="338"/>
        <v>4861.652907556926</v>
      </c>
      <c r="BP190" s="940">
        <f t="shared" si="338"/>
        <v>4709.2443073573431</v>
      </c>
      <c r="BQ190" s="677">
        <f t="shared" si="338"/>
        <v>18733.55710786537</v>
      </c>
      <c r="BR190" s="938">
        <f t="shared" si="338"/>
        <v>4927.8780731198403</v>
      </c>
      <c r="BS190" s="939">
        <f t="shared" si="338"/>
        <v>4968.7018053161564</v>
      </c>
      <c r="BT190" s="939">
        <f t="shared" ref="BT190:CZ190" si="339">(BT60)/1.1023</f>
        <v>5208.2010342012154</v>
      </c>
      <c r="BU190" s="940">
        <f t="shared" si="339"/>
        <v>4823.5507575070305</v>
      </c>
      <c r="BV190" s="677">
        <f t="shared" si="339"/>
        <v>19928.331670144242</v>
      </c>
      <c r="BW190" s="938">
        <f t="shared" si="339"/>
        <v>4433.4573165200036</v>
      </c>
      <c r="BX190" s="939">
        <f t="shared" si="339"/>
        <v>4851.6737730200484</v>
      </c>
      <c r="BY190" s="939">
        <f t="shared" si="339"/>
        <v>4686.5644561371673</v>
      </c>
      <c r="BZ190" s="940">
        <f t="shared" si="339"/>
        <v>4045.1782636305902</v>
      </c>
      <c r="CA190" s="677">
        <f t="shared" si="339"/>
        <v>18016.87380930781</v>
      </c>
      <c r="CB190" s="938">
        <f t="shared" si="339"/>
        <v>5122.9247936133534</v>
      </c>
      <c r="CC190" s="939">
        <f t="shared" si="339"/>
        <v>5379.6607094257461</v>
      </c>
      <c r="CD190" s="939">
        <f t="shared" si="339"/>
        <v>4729.2025764310984</v>
      </c>
      <c r="CE190" s="940">
        <f t="shared" si="339"/>
        <v>4672.9565454050617</v>
      </c>
      <c r="CF190" s="677">
        <f t="shared" si="339"/>
        <v>19904.74462487526</v>
      </c>
      <c r="CG190" s="938">
        <f t="shared" si="339"/>
        <v>5576.5218180168731</v>
      </c>
      <c r="CH190" s="939">
        <f t="shared" si="339"/>
        <v>5757.9606277782814</v>
      </c>
      <c r="CI190" s="939">
        <f t="shared" si="339"/>
        <v>5592.8513108954003</v>
      </c>
      <c r="CJ190" s="940">
        <f t="shared" si="337"/>
        <v>5496.6887417218541</v>
      </c>
      <c r="CK190" s="677">
        <f t="shared" si="337"/>
        <v>22424.022498412411</v>
      </c>
      <c r="CL190" s="938">
        <f t="shared" si="339"/>
        <v>5686.292297922525</v>
      </c>
      <c r="CM190" s="939">
        <f t="shared" si="339"/>
        <v>5721.9789967938568</v>
      </c>
      <c r="CN190" s="939">
        <f t="shared" si="339"/>
        <v>5429.1961595162556</v>
      </c>
      <c r="CO190" s="940">
        <f t="shared" si="339"/>
        <v>5349.2751852332531</v>
      </c>
      <c r="CP190" s="677">
        <f t="shared" si="339"/>
        <v>22186.742639465891</v>
      </c>
      <c r="CQ190" s="938">
        <f t="shared" si="339"/>
        <v>5790.9490971538262</v>
      </c>
      <c r="CR190" s="939">
        <f t="shared" si="339"/>
        <v>5827.3495300025852</v>
      </c>
      <c r="CS190" s="939">
        <f t="shared" si="339"/>
        <v>5528.7110359794315</v>
      </c>
      <c r="CT190" s="940">
        <f t="shared" si="339"/>
        <v>5447.1916422107697</v>
      </c>
      <c r="CU190" s="677">
        <f t="shared" si="339"/>
        <v>22594.201305346614</v>
      </c>
      <c r="CV190" s="938">
        <f t="shared" si="339"/>
        <v>6304.7756646570933</v>
      </c>
      <c r="CW190" s="939">
        <f t="shared" si="339"/>
        <v>6321.7629187543334</v>
      </c>
      <c r="CX190" s="939">
        <f t="shared" si="339"/>
        <v>6010.0514890989853</v>
      </c>
      <c r="CY190" s="940">
        <f t="shared" si="339"/>
        <v>5927.0078561123673</v>
      </c>
      <c r="CZ190" s="677">
        <f t="shared" si="339"/>
        <v>24563.597928622781</v>
      </c>
    </row>
    <row r="191" spans="1:104" ht="13.5" hidden="1" customHeight="1" outlineLevel="1">
      <c r="C191" s="676" t="s">
        <v>163</v>
      </c>
      <c r="D191" s="676"/>
      <c r="E191" s="676"/>
      <c r="F191" s="676"/>
      <c r="G191" s="676"/>
      <c r="H191" s="677">
        <f t="shared" ref="H191:AQ191" si="340">(H58)/1.1023</f>
        <v>11612.083824730109</v>
      </c>
      <c r="I191" s="677">
        <f t="shared" si="340"/>
        <v>12337.83906377574</v>
      </c>
      <c r="J191" s="677">
        <f t="shared" si="340"/>
        <v>4160.6653087753002</v>
      </c>
      <c r="K191" s="677">
        <f t="shared" si="340"/>
        <v>4206.894923317248</v>
      </c>
      <c r="L191" s="677">
        <f t="shared" si="340"/>
        <v>4253.1245378591966</v>
      </c>
      <c r="M191" s="677">
        <f t="shared" si="340"/>
        <v>4253.1245378591966</v>
      </c>
      <c r="N191" s="677">
        <f t="shared" si="340"/>
        <v>16873.809307810941</v>
      </c>
      <c r="O191" s="677">
        <f t="shared" si="340"/>
        <v>4272.5111504090446</v>
      </c>
      <c r="P191" s="677">
        <f t="shared" si="340"/>
        <v>4319.983496524701</v>
      </c>
      <c r="Q191" s="677">
        <f t="shared" si="340"/>
        <v>4367.4558426403573</v>
      </c>
      <c r="R191" s="677">
        <f t="shared" si="340"/>
        <v>4367.4558426403573</v>
      </c>
      <c r="S191" s="677">
        <f t="shared" si="340"/>
        <v>17327.406332214461</v>
      </c>
      <c r="T191" s="677">
        <f t="shared" si="340"/>
        <v>4540.941170330032</v>
      </c>
      <c r="U191" s="677">
        <f t="shared" si="340"/>
        <v>4591.3960722225884</v>
      </c>
      <c r="V191" s="677">
        <f t="shared" si="340"/>
        <v>4641.8509741151438</v>
      </c>
      <c r="W191" s="677">
        <f t="shared" si="340"/>
        <v>4641.8509741151438</v>
      </c>
      <c r="X191" s="677">
        <f t="shared" si="340"/>
        <v>18416.039190782907</v>
      </c>
      <c r="Y191" s="677">
        <f t="shared" si="340"/>
        <v>5541.9614529520459</v>
      </c>
      <c r="Z191" s="677">
        <f t="shared" si="340"/>
        <v>5603.5388024292906</v>
      </c>
      <c r="AA191" s="677">
        <f t="shared" si="340"/>
        <v>5665.1161519065372</v>
      </c>
      <c r="AB191" s="677">
        <f t="shared" si="340"/>
        <v>5665.1161519065372</v>
      </c>
      <c r="AC191" s="677">
        <f t="shared" si="340"/>
        <v>22475.73255919441</v>
      </c>
      <c r="AD191" s="677">
        <f t="shared" si="340"/>
        <v>5650.4519193367787</v>
      </c>
      <c r="AE191" s="677">
        <f t="shared" si="340"/>
        <v>5713.2347184405207</v>
      </c>
      <c r="AF191" s="677">
        <f t="shared" si="340"/>
        <v>5776.0175175442619</v>
      </c>
      <c r="AG191" s="677">
        <f t="shared" si="340"/>
        <v>5776.0175175442619</v>
      </c>
      <c r="AH191" s="677">
        <f t="shared" si="340"/>
        <v>22915.721672865824</v>
      </c>
      <c r="AI191" s="677">
        <f t="shared" si="340"/>
        <v>5672.8210876635276</v>
      </c>
      <c r="AJ191" s="677">
        <f t="shared" si="340"/>
        <v>5735.852433082011</v>
      </c>
      <c r="AK191" s="677">
        <f t="shared" si="340"/>
        <v>5798.8837785004953</v>
      </c>
      <c r="AL191" s="677">
        <f t="shared" si="340"/>
        <v>5798.8837785004953</v>
      </c>
      <c r="AM191" s="677">
        <f t="shared" si="340"/>
        <v>23006.441077746527</v>
      </c>
      <c r="AN191" s="677">
        <f t="shared" si="340"/>
        <v>5862.9590184408935</v>
      </c>
      <c r="AO191" s="677">
        <f t="shared" si="340"/>
        <v>5928.1030075346816</v>
      </c>
      <c r="AP191" s="677">
        <f t="shared" si="340"/>
        <v>5993.2469966284689</v>
      </c>
      <c r="AQ191" s="677">
        <f t="shared" si="340"/>
        <v>5993.2469966284689</v>
      </c>
      <c r="AR191" s="677">
        <f t="shared" ref="AR191:BS191" si="341">(AR58)/1.1023</f>
        <v>23777.556019232514</v>
      </c>
      <c r="AS191" s="938">
        <f t="shared" si="341"/>
        <v>5882.8154856679257</v>
      </c>
      <c r="AT191" s="939">
        <f t="shared" si="341"/>
        <v>5948.1801021753472</v>
      </c>
      <c r="AU191" s="939">
        <f t="shared" si="341"/>
        <v>6013.5447186827687</v>
      </c>
      <c r="AV191" s="940">
        <f t="shared" si="341"/>
        <v>6013.5447186827687</v>
      </c>
      <c r="AW191" s="677">
        <f t="shared" si="341"/>
        <v>23858.085025208809</v>
      </c>
      <c r="AX191" s="938">
        <f t="shared" si="341"/>
        <v>5907.6973550943912</v>
      </c>
      <c r="AY191" s="939">
        <f t="shared" si="341"/>
        <v>5973.338436817663</v>
      </c>
      <c r="AZ191" s="939">
        <f t="shared" si="341"/>
        <v>6038.979518540933</v>
      </c>
      <c r="BA191" s="940">
        <f t="shared" si="341"/>
        <v>6038.979518540933</v>
      </c>
      <c r="BB191" s="677">
        <f t="shared" si="341"/>
        <v>23958.99482899392</v>
      </c>
      <c r="BC191" s="938">
        <f t="shared" si="341"/>
        <v>5907.6973550943912</v>
      </c>
      <c r="BD191" s="939">
        <f t="shared" si="341"/>
        <v>5973.338436817663</v>
      </c>
      <c r="BE191" s="939">
        <f t="shared" si="341"/>
        <v>6038.979518540933</v>
      </c>
      <c r="BF191" s="940">
        <f t="shared" si="341"/>
        <v>6038.979518540933</v>
      </c>
      <c r="BG191" s="677">
        <f t="shared" si="341"/>
        <v>23958.99482899392</v>
      </c>
      <c r="BH191" s="938">
        <f t="shared" si="341"/>
        <v>6019.5431967281356</v>
      </c>
      <c r="BI191" s="939">
        <f t="shared" si="341"/>
        <v>6086.4270100251151</v>
      </c>
      <c r="BJ191" s="939">
        <f t="shared" si="341"/>
        <v>6153.3108233220946</v>
      </c>
      <c r="BK191" s="940">
        <f t="shared" si="341"/>
        <v>6153.3108233220946</v>
      </c>
      <c r="BL191" s="677">
        <f t="shared" si="341"/>
        <v>24412.59185339744</v>
      </c>
      <c r="BM191" s="938">
        <f t="shared" si="341"/>
        <v>6019.5431967281356</v>
      </c>
      <c r="BN191" s="939">
        <f t="shared" si="341"/>
        <v>6086.4270100251151</v>
      </c>
      <c r="BO191" s="939">
        <f t="shared" si="341"/>
        <v>6153.3108233220946</v>
      </c>
      <c r="BP191" s="940">
        <f t="shared" si="341"/>
        <v>6153.3108233220946</v>
      </c>
      <c r="BQ191" s="677">
        <f t="shared" si="341"/>
        <v>24412.59185339744</v>
      </c>
      <c r="BR191" s="938">
        <f t="shared" si="341"/>
        <v>6120.204454198506</v>
      </c>
      <c r="BS191" s="939">
        <f t="shared" si="341"/>
        <v>6188.206725911823</v>
      </c>
      <c r="BT191" s="939">
        <f t="shared" ref="BT191:CZ191" si="342">(BT58)/1.1023</f>
        <v>6256.20899762514</v>
      </c>
      <c r="BU191" s="940">
        <f t="shared" si="342"/>
        <v>6256.20899762514</v>
      </c>
      <c r="BV191" s="677">
        <f t="shared" si="342"/>
        <v>24820.82917536061</v>
      </c>
      <c r="BW191" s="938">
        <f t="shared" si="342"/>
        <v>6444.5573949363652</v>
      </c>
      <c r="BX191" s="939">
        <f t="shared" si="342"/>
        <v>6516.163588213436</v>
      </c>
      <c r="BY191" s="939">
        <f t="shared" si="342"/>
        <v>6587.7697814905068</v>
      </c>
      <c r="BZ191" s="940">
        <f t="shared" si="342"/>
        <v>6587.7697814905068</v>
      </c>
      <c r="CA191" s="677">
        <f t="shared" si="342"/>
        <v>26136.260546130816</v>
      </c>
      <c r="CB191" s="938">
        <f t="shared" si="342"/>
        <v>5972.5679432419629</v>
      </c>
      <c r="CC191" s="939">
        <f t="shared" si="342"/>
        <v>6038.9298092779845</v>
      </c>
      <c r="CD191" s="939">
        <f t="shared" si="342"/>
        <v>6105.2916753140071</v>
      </c>
      <c r="CE191" s="940">
        <f t="shared" si="342"/>
        <v>6105.2916753140071</v>
      </c>
      <c r="CF191" s="677">
        <f t="shared" si="342"/>
        <v>24222.081103147961</v>
      </c>
      <c r="CG191" s="938">
        <f t="shared" si="342"/>
        <v>5972.5679432419629</v>
      </c>
      <c r="CH191" s="939">
        <f t="shared" si="342"/>
        <v>6038.9298092779845</v>
      </c>
      <c r="CI191" s="939">
        <f t="shared" si="342"/>
        <v>6105.2916753140071</v>
      </c>
      <c r="CJ191" s="940">
        <f t="shared" si="342"/>
        <v>6105.2916753140071</v>
      </c>
      <c r="CK191" s="677">
        <f t="shared" si="342"/>
        <v>24222.081103147961</v>
      </c>
      <c r="CL191" s="938">
        <f t="shared" si="342"/>
        <v>5972.5679432419629</v>
      </c>
      <c r="CM191" s="939">
        <f t="shared" si="342"/>
        <v>6038.9298092779845</v>
      </c>
      <c r="CN191" s="939">
        <f t="shared" si="342"/>
        <v>6105.2916753140071</v>
      </c>
      <c r="CO191" s="940">
        <f t="shared" si="342"/>
        <v>6105.2916753140071</v>
      </c>
      <c r="CP191" s="677">
        <f t="shared" si="342"/>
        <v>24222.081103147961</v>
      </c>
      <c r="CQ191" s="938">
        <f t="shared" si="342"/>
        <v>5972.5679432419629</v>
      </c>
      <c r="CR191" s="939">
        <f t="shared" si="342"/>
        <v>6038.9298092779845</v>
      </c>
      <c r="CS191" s="939">
        <f t="shared" si="342"/>
        <v>6105.2916753140071</v>
      </c>
      <c r="CT191" s="940">
        <f t="shared" si="342"/>
        <v>6105.2916753140071</v>
      </c>
      <c r="CU191" s="677">
        <f t="shared" si="342"/>
        <v>24222.081103147961</v>
      </c>
      <c r="CV191" s="938">
        <f t="shared" si="342"/>
        <v>6162.7058740193288</v>
      </c>
      <c r="CW191" s="939">
        <f t="shared" si="342"/>
        <v>6231.1803837306552</v>
      </c>
      <c r="CX191" s="939">
        <f t="shared" si="342"/>
        <v>6299.6548934419807</v>
      </c>
      <c r="CY191" s="940">
        <f t="shared" si="342"/>
        <v>6299.6548934419807</v>
      </c>
      <c r="CZ191" s="677">
        <f t="shared" si="342"/>
        <v>24993.196044633947</v>
      </c>
    </row>
    <row r="192" spans="1:104" ht="13.5" hidden="1" customHeight="1" outlineLevel="1">
      <c r="A192"/>
    </row>
    <row r="193" spans="9:104" ht="13.5" customHeight="1">
      <c r="AS193" s="907"/>
      <c r="AT193" s="536"/>
      <c r="AU193" s="536"/>
      <c r="AV193" s="908"/>
      <c r="AX193" s="907"/>
      <c r="AY193" s="536"/>
      <c r="AZ193" s="536"/>
      <c r="BA193" s="908"/>
      <c r="BC193" s="907"/>
      <c r="BD193" s="536"/>
      <c r="BE193" s="536"/>
      <c r="BF193" s="908"/>
      <c r="BH193" s="907"/>
      <c r="BI193" s="536"/>
      <c r="BJ193" s="536"/>
      <c r="BK193" s="908"/>
      <c r="BM193" s="907"/>
      <c r="BN193" s="536"/>
      <c r="BO193" s="536"/>
      <c r="BP193" s="908"/>
      <c r="BR193" s="907"/>
      <c r="BS193" s="536"/>
      <c r="BT193" s="536"/>
      <c r="BU193" s="908"/>
      <c r="BW193" s="907"/>
      <c r="BX193" s="536"/>
      <c r="BY193" s="536"/>
      <c r="BZ193" s="908"/>
      <c r="CB193" s="907"/>
      <c r="CC193" s="536"/>
      <c r="CD193" s="536"/>
      <c r="CE193" s="908"/>
      <c r="CG193" s="907"/>
      <c r="CH193" s="536"/>
      <c r="CI193" s="536"/>
      <c r="CJ193" s="908"/>
      <c r="CL193" s="907"/>
      <c r="CM193" s="536"/>
      <c r="CN193" s="536"/>
      <c r="CO193" s="908"/>
      <c r="CQ193" s="907"/>
      <c r="CR193" s="536"/>
      <c r="CS193" s="536"/>
      <c r="CT193" s="908"/>
      <c r="CV193" s="907"/>
      <c r="CW193" s="536"/>
      <c r="CX193" s="536"/>
      <c r="CY193" s="908"/>
    </row>
    <row r="194" spans="9:104" ht="13.5" customHeight="1">
      <c r="AS194" s="907"/>
      <c r="AT194" s="536"/>
      <c r="AU194" s="536"/>
      <c r="AV194" s="908"/>
      <c r="AX194" s="907"/>
      <c r="AY194" s="536"/>
      <c r="AZ194" s="536"/>
      <c r="BA194" s="908"/>
      <c r="BC194" s="907"/>
      <c r="BD194" s="536"/>
      <c r="BE194" s="536"/>
      <c r="BF194" s="908"/>
      <c r="BH194" s="907"/>
      <c r="BI194" s="536"/>
      <c r="BJ194" s="536"/>
      <c r="BK194" s="908"/>
      <c r="BM194" s="907"/>
      <c r="BN194" s="536"/>
      <c r="BO194" s="536"/>
      <c r="BP194" s="908"/>
      <c r="BR194" s="907"/>
      <c r="BS194" s="536"/>
      <c r="BT194" s="536"/>
      <c r="BU194" s="908"/>
      <c r="BW194" s="907"/>
      <c r="BX194" s="536"/>
      <c r="BY194" s="536"/>
      <c r="BZ194" s="908"/>
      <c r="CB194" s="907"/>
      <c r="CC194" s="536"/>
      <c r="CD194" s="536"/>
      <c r="CE194" s="908"/>
      <c r="CG194" s="907"/>
      <c r="CH194" s="536"/>
      <c r="CI194" s="536"/>
      <c r="CJ194" s="908"/>
      <c r="CL194" s="907"/>
      <c r="CM194" s="536"/>
      <c r="CN194" s="536"/>
      <c r="CO194" s="908"/>
      <c r="CQ194" s="907"/>
      <c r="CR194" s="536"/>
      <c r="CS194" s="536"/>
      <c r="CT194" s="908"/>
      <c r="CV194" s="907"/>
      <c r="CW194" s="536"/>
      <c r="CX194" s="536"/>
      <c r="CY194" s="908"/>
    </row>
    <row r="195" spans="9:104" ht="13.5" customHeight="1">
      <c r="AS195" s="907"/>
      <c r="AT195" s="536"/>
      <c r="AU195" s="536"/>
      <c r="AV195" s="908"/>
      <c r="AX195" s="907"/>
      <c r="AY195" s="536"/>
      <c r="AZ195" s="536"/>
      <c r="BA195" s="908"/>
      <c r="BC195" s="907"/>
      <c r="BD195" s="536"/>
      <c r="BE195" s="536"/>
      <c r="BF195" s="908"/>
      <c r="BH195" s="907"/>
      <c r="BI195" s="536"/>
      <c r="BJ195" s="536"/>
      <c r="BK195" s="908"/>
      <c r="BM195" s="907"/>
      <c r="BN195" s="536"/>
      <c r="BO195" s="536"/>
      <c r="BP195" s="908"/>
      <c r="BR195" s="907"/>
      <c r="BS195" s="536"/>
      <c r="BT195" s="536"/>
      <c r="BU195" s="908"/>
      <c r="BW195" s="907"/>
      <c r="BX195" s="536"/>
      <c r="BY195" s="536"/>
      <c r="BZ195" s="908"/>
      <c r="CB195" s="907"/>
      <c r="CC195" s="536"/>
      <c r="CD195" s="536"/>
      <c r="CE195" s="908"/>
      <c r="CG195" s="907"/>
      <c r="CH195" s="536"/>
      <c r="CI195" s="536"/>
      <c r="CJ195" s="908"/>
      <c r="CL195" s="907"/>
      <c r="CM195" s="536"/>
      <c r="CN195" s="536"/>
      <c r="CO195" s="908"/>
      <c r="CQ195" s="907"/>
      <c r="CR195" s="536"/>
      <c r="CS195" s="536"/>
      <c r="CT195" s="908"/>
      <c r="CV195" s="907"/>
      <c r="CW195" s="536"/>
      <c r="CX195" s="536"/>
      <c r="CY195" s="908"/>
    </row>
    <row r="196" spans="9:104" ht="13.5" customHeight="1">
      <c r="AS196" s="907"/>
      <c r="AT196" s="536"/>
      <c r="AU196" s="536"/>
      <c r="AV196" s="908"/>
      <c r="AX196" s="907"/>
      <c r="AY196" s="536"/>
      <c r="AZ196" s="536"/>
      <c r="BA196" s="908"/>
      <c r="BC196" s="907"/>
      <c r="BD196" s="536"/>
      <c r="BE196" s="536"/>
      <c r="BF196" s="908"/>
      <c r="BH196" s="907"/>
      <c r="BI196" s="536"/>
      <c r="BJ196" s="536"/>
      <c r="BK196" s="908"/>
      <c r="BM196" s="907"/>
      <c r="BN196" s="536"/>
      <c r="BO196" s="536"/>
      <c r="BP196" s="908"/>
      <c r="BR196" s="907"/>
      <c r="BS196" s="536"/>
      <c r="BT196" s="536"/>
      <c r="BU196" s="908"/>
      <c r="BW196" s="907"/>
      <c r="BX196" s="536"/>
      <c r="BY196" s="536"/>
      <c r="BZ196" s="908"/>
      <c r="CB196" s="907"/>
      <c r="CC196" s="536"/>
      <c r="CD196" s="536"/>
      <c r="CE196" s="908"/>
      <c r="CG196" s="907"/>
      <c r="CH196" s="536"/>
      <c r="CI196" s="536"/>
      <c r="CJ196" s="908"/>
      <c r="CL196" s="907"/>
      <c r="CM196" s="536"/>
      <c r="CN196" s="536"/>
      <c r="CO196" s="908"/>
      <c r="CQ196" s="907"/>
      <c r="CR196" s="536"/>
      <c r="CS196" s="536"/>
      <c r="CT196" s="908"/>
      <c r="CV196" s="907"/>
      <c r="CW196" s="536"/>
      <c r="CX196" s="536"/>
      <c r="CY196" s="908"/>
    </row>
    <row r="197" spans="9:104" ht="13.5" customHeight="1">
      <c r="AS197" s="907"/>
      <c r="AT197" s="536"/>
      <c r="AU197" s="536"/>
      <c r="AV197" s="908"/>
      <c r="AX197" s="907"/>
      <c r="AY197" s="536"/>
      <c r="AZ197" s="536"/>
      <c r="BA197" s="908"/>
      <c r="BC197" s="907"/>
      <c r="BD197" s="536"/>
      <c r="BE197" s="536"/>
      <c r="BF197" s="908"/>
      <c r="BH197" s="907"/>
      <c r="BI197" s="536"/>
      <c r="BJ197" s="536"/>
      <c r="BK197" s="908"/>
      <c r="BM197" s="907"/>
      <c r="BN197" s="536"/>
      <c r="BO197" s="536"/>
      <c r="BP197" s="908"/>
      <c r="BR197" s="907"/>
      <c r="BS197" s="536"/>
      <c r="BT197" s="536"/>
      <c r="BU197" s="908"/>
      <c r="BW197" s="907"/>
      <c r="BX197" s="536"/>
      <c r="BY197" s="536"/>
      <c r="BZ197" s="908"/>
      <c r="CB197" s="907"/>
      <c r="CC197" s="536"/>
      <c r="CD197" s="536"/>
      <c r="CE197" s="908"/>
      <c r="CG197" s="907"/>
      <c r="CH197" s="536"/>
      <c r="CI197" s="536"/>
      <c r="CJ197" s="908"/>
      <c r="CL197" s="907"/>
      <c r="CM197" s="536"/>
      <c r="CN197" s="536"/>
      <c r="CO197" s="908"/>
      <c r="CQ197" s="907"/>
      <c r="CR197" s="536"/>
      <c r="CS197" s="536"/>
      <c r="CT197" s="908"/>
      <c r="CV197" s="907"/>
      <c r="CW197" s="536"/>
      <c r="CX197" s="536"/>
      <c r="CY197" s="908"/>
    </row>
    <row r="198" spans="9:104" ht="13.5" customHeight="1">
      <c r="AS198" s="907"/>
      <c r="AT198" s="536"/>
      <c r="AU198" s="536"/>
      <c r="AV198" s="908"/>
      <c r="AX198" s="907"/>
      <c r="AY198" s="536"/>
      <c r="AZ198" s="536"/>
      <c r="BA198" s="908"/>
      <c r="BC198" s="907"/>
      <c r="BD198" s="536"/>
      <c r="BE198" s="536"/>
      <c r="BF198" s="908"/>
      <c r="BH198" s="907"/>
      <c r="BI198" s="536"/>
      <c r="BJ198" s="536"/>
      <c r="BK198" s="908"/>
      <c r="BM198" s="907"/>
      <c r="BN198" s="536"/>
      <c r="BO198" s="536"/>
      <c r="BP198" s="908"/>
      <c r="BR198" s="907"/>
      <c r="BS198" s="536"/>
      <c r="BT198" s="536"/>
      <c r="BU198" s="908"/>
      <c r="BW198" s="907"/>
      <c r="BX198" s="536"/>
      <c r="BY198" s="536"/>
      <c r="BZ198" s="908"/>
      <c r="CB198" s="907"/>
      <c r="CC198" s="536"/>
      <c r="CD198" s="536"/>
      <c r="CE198" s="908"/>
      <c r="CG198" s="907"/>
      <c r="CH198" s="536"/>
      <c r="CI198" s="536"/>
      <c r="CJ198" s="908"/>
      <c r="CL198" s="907"/>
      <c r="CM198" s="536"/>
      <c r="CN198" s="536"/>
      <c r="CO198" s="908"/>
      <c r="CQ198" s="907"/>
      <c r="CR198" s="536"/>
      <c r="CS198" s="536"/>
      <c r="CT198" s="908"/>
      <c r="CV198" s="907"/>
      <c r="CW198" s="536"/>
      <c r="CX198" s="536"/>
      <c r="CY198" s="908"/>
    </row>
    <row r="199" spans="9:104" ht="13.5" customHeight="1">
      <c r="AS199" s="907"/>
      <c r="AT199" s="536"/>
      <c r="AU199" s="536"/>
      <c r="AV199" s="908"/>
      <c r="AX199" s="907"/>
      <c r="AY199" s="536"/>
      <c r="AZ199" s="536"/>
      <c r="BA199" s="908"/>
      <c r="BC199" s="907"/>
      <c r="BD199" s="536"/>
      <c r="BE199" s="536"/>
      <c r="BF199" s="908"/>
      <c r="BH199" s="907"/>
      <c r="BI199" s="536"/>
      <c r="BJ199" s="536"/>
      <c r="BK199" s="908"/>
      <c r="BM199" s="907"/>
      <c r="BN199" s="536"/>
      <c r="BO199" s="536"/>
      <c r="BP199" s="908"/>
      <c r="BR199" s="907"/>
      <c r="BS199" s="536"/>
      <c r="BT199" s="536"/>
      <c r="BU199" s="908"/>
      <c r="BW199" s="907"/>
      <c r="BX199" s="536"/>
      <c r="BY199" s="536"/>
      <c r="BZ199" s="908"/>
      <c r="CB199" s="907"/>
      <c r="CC199" s="536"/>
      <c r="CD199" s="536"/>
      <c r="CE199" s="908"/>
      <c r="CG199" s="907"/>
      <c r="CH199" s="536"/>
      <c r="CI199" s="536"/>
      <c r="CJ199" s="908"/>
      <c r="CL199" s="907"/>
      <c r="CM199" s="536"/>
      <c r="CN199" s="536"/>
      <c r="CO199" s="908"/>
      <c r="CQ199" s="907"/>
      <c r="CR199" s="536"/>
      <c r="CS199" s="536"/>
      <c r="CT199" s="908"/>
      <c r="CV199" s="907"/>
      <c r="CW199" s="536"/>
      <c r="CX199" s="536"/>
      <c r="CY199" s="908"/>
    </row>
    <row r="200" spans="9:104" ht="13.5" customHeight="1">
      <c r="AS200" s="907"/>
      <c r="AT200" s="536"/>
      <c r="AU200" s="536"/>
      <c r="AV200" s="908"/>
      <c r="AX200" s="907"/>
      <c r="AY200" s="536"/>
      <c r="AZ200" s="536"/>
      <c r="BA200" s="908"/>
      <c r="BC200" s="907"/>
      <c r="BD200" s="536"/>
      <c r="BE200" s="536"/>
      <c r="BF200" s="908"/>
      <c r="BH200" s="907"/>
      <c r="BI200" s="536"/>
      <c r="BJ200" s="536"/>
      <c r="BK200" s="908"/>
      <c r="BM200" s="907"/>
      <c r="BN200" s="536"/>
      <c r="BO200" s="536"/>
      <c r="BP200" s="908"/>
      <c r="BR200" s="907"/>
      <c r="BS200" s="536"/>
      <c r="BT200" s="536"/>
      <c r="BU200" s="908"/>
      <c r="BW200" s="907"/>
      <c r="BX200" s="536"/>
      <c r="BY200" s="536"/>
      <c r="BZ200" s="908"/>
      <c r="CB200" s="907"/>
      <c r="CC200" s="536"/>
      <c r="CD200" s="536"/>
      <c r="CE200" s="908"/>
      <c r="CG200" s="907"/>
      <c r="CH200" s="536"/>
      <c r="CI200" s="536"/>
      <c r="CJ200" s="908"/>
      <c r="CL200" s="907"/>
      <c r="CM200" s="536"/>
      <c r="CN200" s="536"/>
      <c r="CO200" s="908"/>
      <c r="CQ200" s="907"/>
      <c r="CR200" s="536"/>
      <c r="CS200" s="536"/>
      <c r="CT200" s="908"/>
      <c r="CV200" s="907"/>
      <c r="CW200" s="536"/>
      <c r="CX200" s="536"/>
      <c r="CY200" s="908"/>
    </row>
    <row r="201" spans="9:104" ht="13.5" customHeight="1">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s="907">
        <v>0</v>
      </c>
      <c r="AT201" s="536">
        <v>0</v>
      </c>
      <c r="AU201" s="536">
        <v>0</v>
      </c>
      <c r="AV201" s="908">
        <v>0</v>
      </c>
      <c r="AW201">
        <v>0</v>
      </c>
      <c r="AX201" s="907">
        <v>0</v>
      </c>
      <c r="AY201" s="536">
        <v>0</v>
      </c>
      <c r="AZ201" s="536">
        <v>0</v>
      </c>
      <c r="BA201" s="908">
        <v>0</v>
      </c>
      <c r="BB201">
        <v>0</v>
      </c>
      <c r="BC201" s="907">
        <v>0</v>
      </c>
      <c r="BD201" s="536">
        <v>0</v>
      </c>
      <c r="BE201" s="536">
        <v>0</v>
      </c>
      <c r="BF201" s="908">
        <v>0</v>
      </c>
      <c r="BG201">
        <v>0</v>
      </c>
      <c r="BH201" s="907">
        <v>0</v>
      </c>
      <c r="BI201" s="536">
        <v>0</v>
      </c>
      <c r="BJ201" s="536">
        <v>0</v>
      </c>
      <c r="BK201" s="908">
        <v>0</v>
      </c>
      <c r="BL201">
        <v>0</v>
      </c>
      <c r="BM201" s="907">
        <v>0</v>
      </c>
      <c r="BN201" s="536">
        <v>0</v>
      </c>
      <c r="BO201" s="536">
        <v>0</v>
      </c>
      <c r="BP201" s="908">
        <v>0</v>
      </c>
      <c r="BQ201">
        <v>0</v>
      </c>
      <c r="BR201" s="907">
        <v>0</v>
      </c>
      <c r="BS201" s="536">
        <v>0</v>
      </c>
      <c r="BT201" s="536">
        <v>0</v>
      </c>
      <c r="BU201" s="908">
        <v>0</v>
      </c>
      <c r="BV201">
        <v>0</v>
      </c>
      <c r="BW201" s="907">
        <v>0</v>
      </c>
      <c r="BX201" s="536">
        <v>0</v>
      </c>
      <c r="BY201" s="536">
        <v>0</v>
      </c>
      <c r="BZ201" s="908">
        <v>0</v>
      </c>
      <c r="CA201">
        <v>0</v>
      </c>
      <c r="CB201" s="907">
        <v>0</v>
      </c>
      <c r="CC201" s="536">
        <v>0</v>
      </c>
      <c r="CD201" s="536">
        <v>0</v>
      </c>
      <c r="CE201" s="908">
        <v>0</v>
      </c>
      <c r="CF201">
        <v>0</v>
      </c>
      <c r="CG201" s="907">
        <v>0</v>
      </c>
      <c r="CH201" s="536">
        <v>0</v>
      </c>
      <c r="CI201" s="536">
        <v>0</v>
      </c>
      <c r="CJ201" s="908">
        <v>0</v>
      </c>
      <c r="CK201">
        <v>0</v>
      </c>
      <c r="CL201" s="907">
        <v>0</v>
      </c>
      <c r="CM201" s="536">
        <v>0</v>
      </c>
      <c r="CN201" s="536">
        <v>0</v>
      </c>
      <c r="CO201" s="908">
        <v>0</v>
      </c>
      <c r="CP201">
        <v>0</v>
      </c>
      <c r="CQ201" s="907">
        <v>0</v>
      </c>
      <c r="CR201" s="536">
        <v>0</v>
      </c>
      <c r="CS201" s="536">
        <v>0</v>
      </c>
      <c r="CT201" s="908">
        <v>0</v>
      </c>
      <c r="CU201">
        <v>0</v>
      </c>
      <c r="CV201" s="907">
        <v>0</v>
      </c>
      <c r="CW201" s="536">
        <v>0</v>
      </c>
      <c r="CX201" s="536">
        <v>0</v>
      </c>
      <c r="CY201" s="908">
        <v>0</v>
      </c>
      <c r="CZ201">
        <v>0</v>
      </c>
    </row>
    <row r="202" spans="9:104" ht="13.5" customHeight="1">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0</v>
      </c>
      <c r="AR202">
        <v>0</v>
      </c>
      <c r="AS202" s="907">
        <v>0</v>
      </c>
      <c r="AT202" s="536">
        <v>0</v>
      </c>
      <c r="AU202" s="536">
        <v>0</v>
      </c>
      <c r="AV202" s="908">
        <v>0</v>
      </c>
      <c r="AW202">
        <v>0</v>
      </c>
      <c r="AX202" s="907">
        <v>0</v>
      </c>
      <c r="AY202" s="536">
        <v>0</v>
      </c>
      <c r="AZ202" s="536">
        <v>0</v>
      </c>
      <c r="BA202" s="908">
        <v>0</v>
      </c>
      <c r="BB202">
        <v>0</v>
      </c>
      <c r="BC202" s="907">
        <v>0</v>
      </c>
      <c r="BD202" s="536">
        <v>0</v>
      </c>
      <c r="BE202" s="536">
        <v>0</v>
      </c>
      <c r="BF202" s="908">
        <v>0</v>
      </c>
      <c r="BG202">
        <v>0</v>
      </c>
      <c r="BH202" s="907">
        <v>0</v>
      </c>
      <c r="BI202" s="536">
        <v>0</v>
      </c>
      <c r="BJ202" s="536">
        <v>0</v>
      </c>
      <c r="BK202" s="908">
        <v>0</v>
      </c>
      <c r="BL202">
        <v>0</v>
      </c>
      <c r="BM202" s="907">
        <v>0</v>
      </c>
      <c r="BN202" s="536">
        <v>0</v>
      </c>
      <c r="BO202" s="536">
        <v>0</v>
      </c>
      <c r="BP202" s="908">
        <v>0</v>
      </c>
      <c r="BQ202">
        <v>0</v>
      </c>
      <c r="BR202" s="907">
        <v>0</v>
      </c>
      <c r="BS202" s="536">
        <v>0</v>
      </c>
      <c r="BT202" s="536">
        <v>0</v>
      </c>
      <c r="BU202" s="908">
        <v>0</v>
      </c>
      <c r="BV202">
        <v>0</v>
      </c>
      <c r="BW202" s="907">
        <v>0</v>
      </c>
      <c r="BX202" s="536">
        <v>0</v>
      </c>
      <c r="BY202" s="536">
        <v>0</v>
      </c>
      <c r="BZ202" s="908">
        <v>0</v>
      </c>
      <c r="CA202">
        <v>0</v>
      </c>
      <c r="CB202" s="907">
        <v>0</v>
      </c>
      <c r="CC202" s="536">
        <v>0</v>
      </c>
      <c r="CD202" s="536">
        <v>0</v>
      </c>
      <c r="CE202" s="908">
        <v>0</v>
      </c>
      <c r="CF202">
        <v>0</v>
      </c>
      <c r="CG202" s="907">
        <v>0</v>
      </c>
      <c r="CH202" s="536">
        <v>0</v>
      </c>
      <c r="CI202" s="536">
        <v>0</v>
      </c>
      <c r="CJ202" s="908">
        <v>0</v>
      </c>
      <c r="CK202">
        <v>0</v>
      </c>
      <c r="CL202" s="907">
        <v>0</v>
      </c>
      <c r="CM202" s="536">
        <v>0</v>
      </c>
      <c r="CN202" s="536">
        <v>0</v>
      </c>
      <c r="CO202" s="908">
        <v>0</v>
      </c>
      <c r="CP202">
        <v>0</v>
      </c>
      <c r="CQ202" s="907">
        <v>0</v>
      </c>
      <c r="CR202" s="536">
        <v>0</v>
      </c>
      <c r="CS202" s="536">
        <v>0</v>
      </c>
      <c r="CT202" s="908">
        <v>0</v>
      </c>
      <c r="CU202">
        <v>0</v>
      </c>
      <c r="CV202" s="907">
        <v>0</v>
      </c>
      <c r="CW202" s="536">
        <v>0</v>
      </c>
      <c r="CX202" s="536">
        <v>0</v>
      </c>
      <c r="CY202" s="908">
        <v>0</v>
      </c>
      <c r="CZ202">
        <v>0</v>
      </c>
    </row>
    <row r="203" spans="9:104" ht="13.5" customHeight="1">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s="907">
        <v>0</v>
      </c>
      <c r="AT203" s="536">
        <v>0</v>
      </c>
      <c r="AU203" s="536">
        <v>0</v>
      </c>
      <c r="AV203" s="908">
        <v>0</v>
      </c>
      <c r="AW203">
        <v>0</v>
      </c>
      <c r="AX203" s="907">
        <v>0</v>
      </c>
      <c r="AY203" s="536">
        <v>0</v>
      </c>
      <c r="AZ203" s="536">
        <v>0</v>
      </c>
      <c r="BA203" s="908">
        <v>0</v>
      </c>
      <c r="BB203">
        <v>0</v>
      </c>
      <c r="BC203" s="907">
        <v>0</v>
      </c>
      <c r="BD203" s="536">
        <v>0</v>
      </c>
      <c r="BE203" s="536">
        <v>0</v>
      </c>
      <c r="BF203" s="908">
        <v>0</v>
      </c>
      <c r="BG203">
        <v>0</v>
      </c>
      <c r="BH203" s="907">
        <v>0</v>
      </c>
      <c r="BI203" s="536">
        <v>0</v>
      </c>
      <c r="BJ203" s="536">
        <v>0</v>
      </c>
      <c r="BK203" s="908">
        <v>0</v>
      </c>
      <c r="BL203">
        <v>0</v>
      </c>
      <c r="BM203" s="907">
        <v>0</v>
      </c>
      <c r="BN203" s="536">
        <v>0</v>
      </c>
      <c r="BO203" s="536">
        <v>0</v>
      </c>
      <c r="BP203" s="908">
        <v>0</v>
      </c>
      <c r="BQ203">
        <v>0</v>
      </c>
      <c r="BR203" s="907">
        <v>0</v>
      </c>
      <c r="BS203" s="536">
        <v>0</v>
      </c>
      <c r="BT203" s="536">
        <v>0</v>
      </c>
      <c r="BU203" s="908">
        <v>0</v>
      </c>
      <c r="BV203">
        <v>0</v>
      </c>
      <c r="BW203" s="907">
        <v>0</v>
      </c>
      <c r="BX203" s="536">
        <v>0</v>
      </c>
      <c r="BY203" s="536">
        <v>0</v>
      </c>
      <c r="BZ203" s="908">
        <v>0</v>
      </c>
      <c r="CA203">
        <v>0</v>
      </c>
      <c r="CB203" s="907">
        <v>0</v>
      </c>
      <c r="CC203" s="536">
        <v>0</v>
      </c>
      <c r="CD203" s="536">
        <v>0</v>
      </c>
      <c r="CE203" s="908">
        <v>0</v>
      </c>
      <c r="CF203">
        <v>0</v>
      </c>
      <c r="CG203" s="907">
        <v>0</v>
      </c>
      <c r="CH203" s="536">
        <v>0</v>
      </c>
      <c r="CI203" s="536">
        <v>0</v>
      </c>
      <c r="CJ203" s="908">
        <v>0</v>
      </c>
      <c r="CK203">
        <v>0</v>
      </c>
      <c r="CL203" s="907">
        <v>0</v>
      </c>
      <c r="CM203" s="536">
        <v>0</v>
      </c>
      <c r="CN203" s="536">
        <v>0</v>
      </c>
      <c r="CO203" s="908">
        <v>0</v>
      </c>
      <c r="CP203">
        <v>0</v>
      </c>
      <c r="CQ203" s="907">
        <v>0</v>
      </c>
      <c r="CR203" s="536">
        <v>0</v>
      </c>
      <c r="CS203" s="536">
        <v>0</v>
      </c>
      <c r="CT203" s="908">
        <v>0</v>
      </c>
      <c r="CU203">
        <v>0</v>
      </c>
      <c r="CV203" s="907">
        <v>0</v>
      </c>
      <c r="CW203" s="536">
        <v>0</v>
      </c>
      <c r="CX203" s="536">
        <v>0</v>
      </c>
      <c r="CY203" s="908">
        <v>0</v>
      </c>
      <c r="CZ203">
        <v>0</v>
      </c>
    </row>
    <row r="204" spans="9:104">
      <c r="AS204" s="907"/>
      <c r="AT204" s="536"/>
      <c r="AU204" s="536"/>
      <c r="AV204" s="908"/>
      <c r="AX204" s="907"/>
      <c r="AY204" s="536"/>
      <c r="AZ204" s="536"/>
      <c r="BA204" s="908"/>
      <c r="BC204" s="907"/>
      <c r="BD204" s="536"/>
      <c r="BE204" s="536"/>
      <c r="BF204" s="908"/>
      <c r="BH204" s="907"/>
      <c r="BI204" s="536"/>
      <c r="BJ204" s="536"/>
      <c r="BK204" s="908"/>
      <c r="BM204" s="907"/>
      <c r="BN204" s="536"/>
      <c r="BO204" s="536"/>
      <c r="BP204" s="908"/>
      <c r="BR204" s="907"/>
      <c r="BS204" s="536"/>
      <c r="BT204" s="536"/>
      <c r="BU204" s="908"/>
      <c r="BW204" s="907"/>
      <c r="BX204" s="536"/>
      <c r="BY204" s="536"/>
      <c r="BZ204" s="908"/>
      <c r="CB204" s="907"/>
      <c r="CC204" s="536"/>
      <c r="CD204" s="536"/>
      <c r="CE204" s="908"/>
      <c r="CG204" s="907"/>
      <c r="CH204" s="536"/>
      <c r="CI204" s="536"/>
      <c r="CJ204" s="908"/>
      <c r="CL204" s="907"/>
      <c r="CM204" s="536"/>
      <c r="CN204" s="536"/>
      <c r="CO204" s="908"/>
      <c r="CQ204" s="907"/>
      <c r="CR204" s="536"/>
      <c r="CS204" s="536"/>
      <c r="CT204" s="908"/>
      <c r="CV204" s="907"/>
      <c r="CW204" s="536"/>
      <c r="CX204" s="536"/>
      <c r="CY204" s="908"/>
    </row>
  </sheetData>
  <customSheetViews>
    <customSheetView guid="{369D7CB1-F197-472C-B000-1EA674ACAF81}" hiddenColumns="1" showRuler="0" topLeftCell="G10">
      <selection activeCell="AE39" sqref="AE39"/>
      <pageMargins left="0.75" right="0.75" top="1" bottom="1" header="0.5" footer="0.5"/>
      <pageSetup scale="94" orientation="landscape" r:id="rId1"/>
      <headerFooter alignWithMargins="0"/>
    </customSheetView>
    <customSheetView guid="{8CD74A7C-EE7C-4CDA-B006-4B657758A1C4}" showPageBreaks="1" showRuler="0">
      <selection activeCell="A28" sqref="A28:IV28"/>
      <pageMargins left="0.75" right="0.75" top="1" bottom="1" header="0.5" footer="0.5"/>
      <pageSetup scale="94" orientation="landscape" r:id="rId2"/>
      <headerFooter alignWithMargins="0"/>
    </customSheetView>
    <customSheetView guid="{F0E00C01-02B2-4D25-A4C9-B87C65D689F9}" printArea="1" hiddenColumns="1" showRuler="0">
      <selection activeCell="Y17" sqref="Y17"/>
      <pageMargins left="0.75" right="0.75" top="1" bottom="1" header="0.5" footer="0.5"/>
      <pageSetup scale="94" orientation="landscape" r:id="rId3"/>
      <headerFooter alignWithMargins="0"/>
    </customSheetView>
    <customSheetView guid="{BEEBC639-4DDE-40F8-AE77-92CE3209F3B9}" showRuler="0">
      <selection activeCell="A28" sqref="A28:IV28"/>
      <pageMargins left="0.75" right="0.75" top="1" bottom="1" header="0.5" footer="0.5"/>
      <pageSetup scale="94" orientation="landscape" r:id="rId4"/>
      <headerFooter alignWithMargins="0"/>
    </customSheetView>
    <customSheetView guid="{368738C6-094A-4775-ABFA-FF624C412B5C}" showPageBreaks="1" showRuler="0">
      <selection activeCell="A28" sqref="A28:IV28"/>
      <pageMargins left="0.75" right="0.75" top="1" bottom="1" header="0.5" footer="0.5"/>
      <pageSetup scale="94" orientation="landscape" r:id="rId5"/>
      <headerFooter alignWithMargins="0"/>
    </customSheetView>
    <customSheetView guid="{DF927CC8-17A7-49F4-AF19-6FEA0A559180}" hiddenColumns="1" showRuler="0">
      <selection activeCell="B33" sqref="B33"/>
      <pageMargins left="0.75" right="0.75" top="1" bottom="1" header="0.5" footer="0.5"/>
      <pageSetup scale="94" orientation="landscape" r:id="rId6"/>
      <headerFooter alignWithMargins="0"/>
    </customSheetView>
    <customSheetView guid="{08BAB49F-44A8-4F04-A2E3-24B12C6D0857}" showGridLines="0" fitToPage="1" hiddenColumns="1">
      <pane xSplit="5" ySplit="5" topLeftCell="BR6" activePane="bottomRight" state="frozen"/>
      <selection pane="bottomRight"/>
      <pageMargins left="0.75" right="0.75" top="1" bottom="1" header="0.5" footer="0.5"/>
      <pageSetup scale="49" orientation="landscape" r:id="rId7"/>
      <headerFooter alignWithMargins="0"/>
    </customSheetView>
    <customSheetView guid="{4482C16F-8DC0-49F3-9E1F-335117126152}" showGridLines="0" fitToPage="1" hiddenColumns="1">
      <pane xSplit="5" ySplit="5" topLeftCell="BR6" activePane="bottomRight" state="frozen"/>
      <selection pane="bottomRight"/>
      <pageMargins left="0.75" right="0.75" top="1" bottom="1" header="0.5" footer="0.5"/>
      <pageSetup scale="49" orientation="landscape" r:id="rId8"/>
      <headerFooter alignWithMargins="0"/>
    </customSheetView>
  </customSheetViews>
  <phoneticPr fontId="7" type="noConversion"/>
  <pageMargins left="0.75" right="0.75" top="1" bottom="1" header="0.5" footer="0.5"/>
  <pageSetup scale="16" orientation="landscape" r:id="rId9"/>
  <headerFooter alignWithMargins="0"/>
  <legacyDrawing r:id="rId1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pageSetUpPr fitToPage="1"/>
  </sheetPr>
  <dimension ref="A1:DJ267"/>
  <sheetViews>
    <sheetView showGridLines="0" zoomScaleNormal="100" workbookViewId="0">
      <pane xSplit="4" ySplit="8" topLeftCell="BV205" activePane="bottomRight" state="frozen"/>
      <selection pane="topRight"/>
      <selection pane="bottomLeft"/>
      <selection pane="bottomRight" activeCell="CG4" sqref="CG4"/>
    </sheetView>
  </sheetViews>
  <sheetFormatPr defaultRowHeight="12.75" outlineLevelRow="1" outlineLevelCol="1"/>
  <cols>
    <col min="1" max="3" width="1.7109375" customWidth="1"/>
    <col min="4" max="4" width="17.140625" customWidth="1"/>
    <col min="5" max="9" width="1.7109375" hidden="1" customWidth="1" outlineLevel="1"/>
    <col min="10" max="13" width="9.140625" hidden="1" customWidth="1" outlineLevel="1"/>
    <col min="14" max="14" width="9.140625" hidden="1" customWidth="1" outlineLevel="1" collapsed="1"/>
    <col min="15" max="18" width="9.140625" hidden="1" customWidth="1" outlineLevel="1"/>
    <col min="19" max="19" width="9.140625" hidden="1" customWidth="1" outlineLevel="1" collapsed="1"/>
    <col min="20" max="23" width="9.140625" hidden="1" customWidth="1" outlineLevel="1"/>
    <col min="24" max="24" width="9.140625" hidden="1" customWidth="1" outlineLevel="1" collapsed="1"/>
    <col min="25" max="28" width="9.140625" hidden="1" customWidth="1" outlineLevel="1"/>
    <col min="29" max="29" width="9.140625" hidden="1" customWidth="1" outlineLevel="1" collapsed="1"/>
    <col min="30" max="33" width="9.140625" hidden="1" customWidth="1" outlineLevel="1"/>
    <col min="34" max="34" width="9.140625" hidden="1" customWidth="1" outlineLevel="1" collapsed="1"/>
    <col min="35" max="38" width="9.140625" hidden="1" customWidth="1" outlineLevel="1"/>
    <col min="39" max="40" width="9.140625" hidden="1" customWidth="1" outlineLevel="1" collapsed="1"/>
    <col min="41" max="43" width="9.140625" hidden="1" customWidth="1" outlineLevel="1"/>
    <col min="44" max="44" width="9.140625" customWidth="1" collapsed="1"/>
    <col min="45" max="45" width="9.140625" hidden="1" customWidth="1" outlineLevel="1" collapsed="1"/>
    <col min="46" max="48" width="9.140625" hidden="1" customWidth="1" outlineLevel="1"/>
    <col min="49" max="49" width="9.140625" customWidth="1" collapsed="1"/>
    <col min="50" max="53" width="9.140625" hidden="1" customWidth="1" outlineLevel="1"/>
    <col min="54" max="54" width="9.140625" customWidth="1" collapsed="1"/>
    <col min="55" max="58" width="9.140625" hidden="1" customWidth="1" outlineLevel="1"/>
    <col min="59" max="59" width="9.140625" customWidth="1" collapsed="1"/>
    <col min="60" max="63" width="9.140625" hidden="1" customWidth="1" outlineLevel="1"/>
    <col min="64" max="64" width="9.140625" customWidth="1" collapsed="1"/>
    <col min="65" max="68" width="9.140625" hidden="1" customWidth="1" outlineLevel="1"/>
    <col min="69" max="69" width="9.140625" customWidth="1" collapsed="1"/>
    <col min="70" max="73" width="9.140625" hidden="1" customWidth="1" outlineLevel="1"/>
    <col min="74" max="74" width="9.140625" customWidth="1" collapsed="1"/>
    <col min="75" max="78" width="9.140625" hidden="1" customWidth="1" outlineLevel="1"/>
    <col min="79" max="79" width="9.140625" customWidth="1" collapsed="1"/>
    <col min="80" max="83" width="9.140625" hidden="1" customWidth="1" outlineLevel="1"/>
    <col min="84" max="84" width="9.140625" customWidth="1" collapsed="1"/>
    <col min="85" max="88" width="9.140625" customWidth="1" outlineLevel="1"/>
    <col min="89" max="89" width="9.140625" customWidth="1"/>
    <col min="90" max="93" width="9.140625" customWidth="1" outlineLevel="1"/>
    <col min="94" max="94" width="9.140625" customWidth="1"/>
    <col min="95" max="98" width="9.140625" hidden="1" customWidth="1" outlineLevel="1"/>
    <col min="99" max="99" width="9.140625" customWidth="1" collapsed="1"/>
    <col min="100" max="103" width="9.140625" hidden="1" customWidth="1" outlineLevel="1"/>
    <col min="104" max="104" width="9.140625" customWidth="1" collapsed="1"/>
    <col min="108" max="108" width="26" customWidth="1" outlineLevel="1"/>
    <col min="109" max="114" width="9.140625" customWidth="1" outlineLevel="1"/>
    <col min="115" max="115" width="9.140625" customWidth="1"/>
  </cols>
  <sheetData>
    <row r="1" spans="1:107" ht="4.1500000000000004" customHeight="1">
      <c r="A1" s="20"/>
      <c r="B1" s="20"/>
      <c r="C1" s="72"/>
      <c r="D1" s="20"/>
      <c r="E1" s="20"/>
      <c r="F1" s="20"/>
      <c r="G1" s="20"/>
      <c r="H1" s="20"/>
      <c r="I1" s="20"/>
      <c r="J1" s="74"/>
      <c r="K1" s="74"/>
      <c r="L1" s="74"/>
      <c r="M1" s="74"/>
      <c r="N1" s="73"/>
      <c r="O1" s="74"/>
      <c r="P1" s="74"/>
      <c r="Q1" s="74"/>
      <c r="R1" s="74"/>
      <c r="S1" s="73"/>
      <c r="T1" s="20"/>
      <c r="U1" s="20"/>
      <c r="V1" s="74"/>
      <c r="W1" s="74"/>
      <c r="X1" s="73"/>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495"/>
      <c r="CE1" s="495"/>
      <c r="CF1" s="495"/>
      <c r="CG1" s="495"/>
      <c r="CH1" s="495"/>
      <c r="CI1" s="20"/>
      <c r="CJ1" s="495"/>
      <c r="CK1" s="495"/>
      <c r="CL1" s="20"/>
      <c r="CM1" s="20"/>
      <c r="CN1" s="20"/>
      <c r="CO1" s="20"/>
      <c r="CP1" s="20"/>
      <c r="CQ1" s="20"/>
      <c r="CR1" s="20"/>
      <c r="CS1" s="20"/>
      <c r="CT1" s="20"/>
      <c r="CU1" s="20"/>
      <c r="CV1" s="20"/>
      <c r="CW1" s="20"/>
      <c r="CX1" s="20"/>
      <c r="CY1" s="20"/>
      <c r="CZ1" s="20"/>
    </row>
    <row r="2" spans="1:107" hidden="1" outlineLevel="1"/>
    <row r="3" spans="1:107" hidden="1" outlineLevel="1">
      <c r="A3" s="355"/>
      <c r="B3" s="355"/>
      <c r="C3" s="356"/>
      <c r="D3" s="355"/>
      <c r="E3" s="357"/>
      <c r="F3" s="357"/>
      <c r="G3" s="357"/>
      <c r="H3" s="357"/>
      <c r="I3" s="357"/>
      <c r="J3" s="355"/>
      <c r="K3" s="355"/>
      <c r="L3" s="355"/>
      <c r="M3" s="355"/>
      <c r="N3" s="355"/>
      <c r="O3" s="355"/>
      <c r="P3" s="355"/>
      <c r="Q3" s="355"/>
      <c r="R3" s="355"/>
      <c r="S3" s="355"/>
      <c r="T3" s="357"/>
      <c r="U3" s="357"/>
      <c r="V3" s="357"/>
      <c r="W3" s="357"/>
      <c r="X3" s="357"/>
      <c r="Y3" s="357"/>
      <c r="Z3" s="357"/>
      <c r="AA3" s="357"/>
      <c r="AB3" s="357"/>
      <c r="AC3" s="357"/>
      <c r="AD3" s="357"/>
      <c r="AE3" s="357"/>
      <c r="AF3" s="357"/>
      <c r="AG3" s="357"/>
      <c r="AH3" s="357"/>
      <c r="AI3" s="357"/>
      <c r="AJ3" s="357"/>
      <c r="AK3" s="357"/>
      <c r="AL3" s="357"/>
      <c r="AM3" s="357"/>
      <c r="AN3" s="735">
        <v>39508</v>
      </c>
      <c r="AO3" s="735">
        <v>39600</v>
      </c>
      <c r="AP3" s="735">
        <v>39692</v>
      </c>
      <c r="AQ3" s="735">
        <v>39783</v>
      </c>
      <c r="AR3" s="542" t="s">
        <v>454</v>
      </c>
      <c r="AS3" s="735">
        <v>39873</v>
      </c>
      <c r="AT3" s="735">
        <v>39965</v>
      </c>
      <c r="AU3" s="735">
        <v>40057</v>
      </c>
      <c r="AV3" s="735">
        <v>40148</v>
      </c>
      <c r="AW3" s="735" t="s">
        <v>511</v>
      </c>
      <c r="AX3" s="735">
        <v>40238</v>
      </c>
      <c r="AY3" s="735">
        <v>40330</v>
      </c>
      <c r="AZ3" s="735">
        <v>40422</v>
      </c>
      <c r="BA3" s="735">
        <v>40513</v>
      </c>
      <c r="BB3" s="735" t="s">
        <v>157</v>
      </c>
      <c r="BC3" s="735">
        <v>40603</v>
      </c>
      <c r="BD3" s="735">
        <v>40695</v>
      </c>
      <c r="BE3" s="735">
        <v>40787</v>
      </c>
      <c r="BF3" s="735">
        <v>40878</v>
      </c>
      <c r="BG3" s="735" t="s">
        <v>158</v>
      </c>
      <c r="BH3" s="735">
        <v>40969</v>
      </c>
      <c r="BI3" s="735">
        <v>41061</v>
      </c>
      <c r="BJ3" s="735">
        <v>41153</v>
      </c>
      <c r="BK3" s="735">
        <v>41244</v>
      </c>
      <c r="BL3" s="735" t="s">
        <v>159</v>
      </c>
      <c r="BM3" s="735">
        <v>41334</v>
      </c>
      <c r="BN3" s="735">
        <v>41426</v>
      </c>
      <c r="BO3" s="735">
        <v>41518</v>
      </c>
      <c r="BP3" s="735">
        <v>41609</v>
      </c>
      <c r="BQ3" s="735" t="s">
        <v>513</v>
      </c>
      <c r="BR3" s="735">
        <v>41699</v>
      </c>
      <c r="BS3" s="735">
        <v>41791</v>
      </c>
      <c r="BT3" s="735">
        <v>41883</v>
      </c>
      <c r="BU3" s="735">
        <v>41974</v>
      </c>
      <c r="BV3" s="735" t="s">
        <v>340</v>
      </c>
      <c r="BW3" s="735">
        <v>42064</v>
      </c>
      <c r="BX3" s="735">
        <v>42156</v>
      </c>
      <c r="BY3" s="735">
        <v>42248</v>
      </c>
      <c r="BZ3" s="735">
        <v>42339</v>
      </c>
      <c r="CA3" s="735" t="s">
        <v>561</v>
      </c>
      <c r="CB3" s="735">
        <v>42430</v>
      </c>
      <c r="CC3" s="735">
        <v>42522</v>
      </c>
      <c r="CD3" s="735">
        <v>42614</v>
      </c>
      <c r="CE3" s="735">
        <v>42705</v>
      </c>
      <c r="CF3" s="735" t="s">
        <v>215</v>
      </c>
      <c r="CG3" s="735">
        <v>42795</v>
      </c>
      <c r="CH3" s="735">
        <v>42887</v>
      </c>
      <c r="CI3" s="735">
        <v>42979</v>
      </c>
      <c r="CJ3" s="735">
        <v>43070</v>
      </c>
      <c r="CK3" s="735" t="s">
        <v>595</v>
      </c>
      <c r="CL3" s="735">
        <v>43160</v>
      </c>
      <c r="CM3" s="735">
        <v>43252</v>
      </c>
      <c r="CN3" s="735">
        <v>43344</v>
      </c>
      <c r="CO3" s="735">
        <v>43435</v>
      </c>
      <c r="CP3" s="735" t="s">
        <v>625</v>
      </c>
      <c r="CQ3" s="735">
        <v>43525</v>
      </c>
      <c r="CR3" s="735">
        <v>43617</v>
      </c>
      <c r="CS3" s="735">
        <v>43709</v>
      </c>
      <c r="CT3" s="735">
        <v>43800</v>
      </c>
      <c r="CU3" s="735" t="s">
        <v>631</v>
      </c>
      <c r="CV3" s="735">
        <v>43891</v>
      </c>
      <c r="CW3" s="735">
        <v>43983</v>
      </c>
      <c r="CX3" s="735">
        <v>44075</v>
      </c>
      <c r="CY3" s="735">
        <v>44166</v>
      </c>
      <c r="CZ3" s="735" t="s">
        <v>651</v>
      </c>
      <c r="DA3" s="396"/>
      <c r="DB3" s="396"/>
      <c r="DC3" s="396"/>
    </row>
    <row r="4" spans="1:107" ht="15" collapsed="1">
      <c r="A4" s="103" t="s">
        <v>330</v>
      </c>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66"/>
      <c r="AR4" s="66"/>
      <c r="AS4" s="20"/>
      <c r="AT4" s="20"/>
      <c r="AU4" s="20"/>
      <c r="AV4" s="66"/>
      <c r="AW4" s="66"/>
      <c r="AX4" s="20"/>
      <c r="AY4" s="20"/>
      <c r="AZ4" s="20"/>
      <c r="BA4" s="20"/>
      <c r="BB4" s="66"/>
      <c r="BC4" s="20"/>
      <c r="BD4" s="20"/>
      <c r="BE4" s="20"/>
      <c r="BF4" s="66"/>
      <c r="BG4" s="66"/>
      <c r="BH4" s="20"/>
      <c r="BI4" s="20"/>
      <c r="BJ4" s="20"/>
      <c r="BK4" s="66"/>
      <c r="BL4" s="66"/>
      <c r="BM4" s="20"/>
      <c r="BN4" s="20"/>
      <c r="BO4" s="20"/>
      <c r="BP4" s="66"/>
      <c r="BQ4" s="66"/>
      <c r="BR4" s="20"/>
      <c r="BS4" s="20"/>
      <c r="BT4" s="20"/>
      <c r="BU4" s="66"/>
      <c r="BV4" s="66"/>
      <c r="BW4" s="66"/>
      <c r="BX4" s="66"/>
      <c r="BY4" s="66"/>
      <c r="BZ4" s="66"/>
      <c r="CA4" s="66"/>
      <c r="CB4" s="66"/>
      <c r="CC4" s="66"/>
      <c r="CD4" s="453"/>
      <c r="CE4" s="688"/>
      <c r="CF4" s="688"/>
      <c r="CG4" s="453"/>
      <c r="CH4" s="453"/>
      <c r="CI4" s="66"/>
      <c r="CJ4" s="688"/>
      <c r="CK4" s="688"/>
      <c r="CL4" s="66"/>
      <c r="CM4" s="66"/>
      <c r="CN4" s="66"/>
      <c r="CO4" s="362"/>
      <c r="CP4" s="362"/>
      <c r="CQ4" s="362"/>
      <c r="CR4" s="362"/>
      <c r="CS4" s="362"/>
      <c r="CT4" s="362"/>
      <c r="CU4" s="362"/>
      <c r="CV4" s="362"/>
      <c r="CW4" s="362"/>
      <c r="CX4" s="362"/>
      <c r="CY4" s="362"/>
      <c r="CZ4" s="362"/>
      <c r="DA4" s="396"/>
      <c r="DB4" s="396"/>
      <c r="DC4" s="396"/>
    </row>
    <row r="5" spans="1:107" ht="15">
      <c r="A5" s="104" t="s">
        <v>264</v>
      </c>
      <c r="B5" s="69"/>
      <c r="C5" s="105"/>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c r="BC5" s="69"/>
      <c r="BD5" s="69"/>
      <c r="BE5" s="69"/>
      <c r="BF5" s="69"/>
      <c r="BG5" s="69"/>
      <c r="BH5" s="69"/>
      <c r="BI5" s="69"/>
      <c r="BJ5" s="69"/>
      <c r="BK5" s="69"/>
      <c r="BL5" s="69"/>
      <c r="BM5" s="69"/>
      <c r="BN5" s="69"/>
      <c r="BO5" s="69"/>
      <c r="BP5" s="69"/>
      <c r="BQ5" s="69"/>
      <c r="BR5" s="69"/>
      <c r="BS5" s="69"/>
      <c r="BT5" s="69"/>
      <c r="BU5" s="69"/>
      <c r="BV5" s="69"/>
      <c r="BW5" s="69"/>
      <c r="BX5" s="69"/>
      <c r="BY5" s="69"/>
      <c r="BZ5" s="69"/>
      <c r="CA5" s="69"/>
      <c r="CB5" s="69"/>
      <c r="CC5" s="69"/>
      <c r="CD5" s="792"/>
      <c r="CE5" s="692"/>
      <c r="CF5" s="692"/>
      <c r="CG5" s="692"/>
      <c r="CH5" s="692"/>
      <c r="CI5" s="792"/>
      <c r="CJ5" s="692"/>
      <c r="CK5" s="692"/>
      <c r="CL5" s="1300"/>
      <c r="CM5" s="69"/>
      <c r="CN5" s="69"/>
      <c r="CO5" s="69"/>
      <c r="CP5" s="69"/>
      <c r="CQ5" s="69"/>
      <c r="CR5" s="69"/>
      <c r="CS5" s="69"/>
      <c r="CT5" s="69"/>
      <c r="CU5" s="69"/>
      <c r="CV5" s="69"/>
      <c r="CW5" s="69"/>
      <c r="CX5" s="69"/>
      <c r="CY5" s="69"/>
      <c r="CZ5" s="69"/>
    </row>
    <row r="6" spans="1:107" ht="3.95" customHeight="1">
      <c r="A6" s="79"/>
      <c r="B6" s="66"/>
      <c r="C6" s="79"/>
      <c r="D6" s="66"/>
      <c r="E6" s="20"/>
      <c r="F6" s="20"/>
      <c r="G6" s="20"/>
      <c r="H6" s="20"/>
      <c r="I6" s="20"/>
      <c r="J6" s="66"/>
      <c r="K6" s="66"/>
      <c r="L6" s="66"/>
      <c r="M6" s="66"/>
      <c r="N6" s="66"/>
      <c r="O6" s="66"/>
      <c r="P6" s="66"/>
      <c r="Q6" s="66"/>
      <c r="R6" s="66"/>
      <c r="S6" s="66"/>
      <c r="T6" s="20"/>
      <c r="U6" s="20"/>
      <c r="V6" s="20"/>
      <c r="W6" s="20"/>
      <c r="X6" s="20"/>
      <c r="Y6" s="20"/>
      <c r="Z6" s="20"/>
      <c r="AA6" s="20"/>
      <c r="AB6" s="20"/>
      <c r="AC6" s="20"/>
      <c r="AD6" s="20"/>
      <c r="AE6" s="20"/>
      <c r="AF6" s="20"/>
      <c r="AG6" s="20"/>
      <c r="AH6" s="20"/>
      <c r="AI6" s="20"/>
      <c r="AJ6" s="20"/>
      <c r="AK6" s="20"/>
      <c r="AL6" s="20"/>
      <c r="AM6" s="20"/>
      <c r="AN6" s="20"/>
      <c r="AO6" s="20"/>
      <c r="AP6" s="20"/>
      <c r="AQ6" s="66"/>
      <c r="AR6" s="66"/>
      <c r="AS6" s="20"/>
      <c r="AT6" s="20"/>
      <c r="AU6" s="20"/>
      <c r="AV6" s="66"/>
      <c r="AW6" s="66"/>
      <c r="AX6" s="20"/>
      <c r="AY6" s="20"/>
      <c r="AZ6" s="20"/>
      <c r="BA6" s="20"/>
      <c r="BB6" s="66"/>
      <c r="BC6" s="20"/>
      <c r="BD6" s="20"/>
      <c r="BE6" s="20"/>
      <c r="BF6" s="66"/>
      <c r="BG6" s="66"/>
      <c r="BH6" s="20"/>
      <c r="BI6" s="20"/>
      <c r="BJ6" s="20"/>
      <c r="BK6" s="66"/>
      <c r="BL6" s="66"/>
      <c r="BM6" s="20"/>
      <c r="BN6" s="20"/>
      <c r="BO6" s="20"/>
      <c r="BP6" s="66"/>
      <c r="BQ6" s="66"/>
      <c r="BR6" s="20"/>
      <c r="BS6" s="20"/>
      <c r="BT6" s="20"/>
      <c r="BU6" s="66"/>
      <c r="BV6" s="66"/>
      <c r="BW6" s="20"/>
      <c r="BX6" s="20"/>
      <c r="BY6" s="20"/>
      <c r="BZ6" s="66"/>
      <c r="CA6" s="66"/>
      <c r="CB6" s="20"/>
      <c r="CC6" s="20"/>
      <c r="CD6" s="495"/>
      <c r="CE6" s="453"/>
      <c r="CF6" s="453"/>
      <c r="CG6" s="495"/>
      <c r="CH6" s="495"/>
      <c r="CI6" s="20"/>
      <c r="CJ6" s="453"/>
      <c r="CK6" s="453"/>
      <c r="CL6" s="20"/>
      <c r="CM6" s="20"/>
      <c r="CN6" s="20"/>
      <c r="CO6" s="66"/>
      <c r="CP6" s="66"/>
      <c r="CQ6" s="66"/>
      <c r="CR6" s="66"/>
      <c r="CS6" s="66"/>
      <c r="CT6" s="66"/>
      <c r="CU6" s="66"/>
      <c r="CV6" s="66"/>
      <c r="CW6" s="66"/>
      <c r="CX6" s="66"/>
      <c r="CY6" s="66"/>
      <c r="CZ6" s="66"/>
    </row>
    <row r="7" spans="1:107" ht="11.25" customHeight="1">
      <c r="A7" s="745" t="s">
        <v>153</v>
      </c>
      <c r="B7" s="746"/>
      <c r="C7" s="747"/>
      <c r="D7" s="746"/>
      <c r="E7" s="1063"/>
      <c r="F7" s="1063"/>
      <c r="G7" s="1063"/>
      <c r="H7" s="1063"/>
      <c r="I7" s="1063"/>
      <c r="J7" s="1064">
        <v>2002</v>
      </c>
      <c r="K7" s="1064"/>
      <c r="L7" s="1064"/>
      <c r="M7" s="1064"/>
      <c r="N7" s="1064"/>
      <c r="O7" s="1064">
        <v>2003</v>
      </c>
      <c r="P7" s="1064"/>
      <c r="Q7" s="1064"/>
      <c r="R7" s="1064"/>
      <c r="S7" s="1064"/>
      <c r="T7" s="1064">
        <f>X8</f>
        <v>2004</v>
      </c>
      <c r="U7" s="1064"/>
      <c r="V7" s="1064"/>
      <c r="W7" s="1064"/>
      <c r="X7" s="1064"/>
      <c r="Y7" s="1064">
        <f>AC8</f>
        <v>2005</v>
      </c>
      <c r="Z7" s="1064"/>
      <c r="AA7" s="1064"/>
      <c r="AB7" s="1064"/>
      <c r="AC7" s="1064"/>
      <c r="AD7" s="1064">
        <f>AH8</f>
        <v>2006</v>
      </c>
      <c r="AE7" s="1064"/>
      <c r="AF7" s="1064"/>
      <c r="AG7" s="1064"/>
      <c r="AH7" s="1064"/>
      <c r="AI7" s="1064">
        <f>AM8</f>
        <v>2007</v>
      </c>
      <c r="AJ7" s="1064"/>
      <c r="AK7" s="1064"/>
      <c r="AL7" s="1064"/>
      <c r="AM7" s="1064"/>
      <c r="AN7" s="1064">
        <f>AR8</f>
        <v>2008</v>
      </c>
      <c r="AO7" s="1064"/>
      <c r="AP7" s="1064"/>
      <c r="AQ7" s="1064"/>
      <c r="AR7" s="748"/>
      <c r="AS7" s="1065">
        <f>AW8</f>
        <v>2009</v>
      </c>
      <c r="AT7" s="1063"/>
      <c r="AU7" s="1063"/>
      <c r="AV7" s="1066"/>
      <c r="AW7" s="817"/>
      <c r="AX7" s="1065">
        <f>BB8</f>
        <v>2010</v>
      </c>
      <c r="AY7" s="1063"/>
      <c r="AZ7" s="1063"/>
      <c r="BA7" s="1066"/>
      <c r="BB7" s="817"/>
      <c r="BC7" s="1065">
        <f>BG8</f>
        <v>2011</v>
      </c>
      <c r="BD7" s="1063"/>
      <c r="BE7" s="1063"/>
      <c r="BF7" s="1066"/>
      <c r="BG7" s="817"/>
      <c r="BH7" s="1065">
        <f>BL8</f>
        <v>2012</v>
      </c>
      <c r="BI7" s="1063"/>
      <c r="BJ7" s="1063"/>
      <c r="BK7" s="1066"/>
      <c r="BL7" s="817"/>
      <c r="BM7" s="1065">
        <f>BQ8</f>
        <v>2013</v>
      </c>
      <c r="BN7" s="1063"/>
      <c r="BO7" s="1063"/>
      <c r="BP7" s="1066"/>
      <c r="BQ7" s="817"/>
      <c r="BR7" s="1065">
        <f>BV8</f>
        <v>2014</v>
      </c>
      <c r="BS7" s="1063"/>
      <c r="BT7" s="1063"/>
      <c r="BU7" s="1066"/>
      <c r="BV7" s="817"/>
      <c r="BW7" s="1065">
        <f>CA8</f>
        <v>2015</v>
      </c>
      <c r="BX7" s="1063"/>
      <c r="BY7" s="1063"/>
      <c r="BZ7" s="1066"/>
      <c r="CA7" s="817"/>
      <c r="CB7" s="1065">
        <f>CF8</f>
        <v>2016</v>
      </c>
      <c r="CC7" s="1063"/>
      <c r="CD7" s="1063"/>
      <c r="CE7" s="1066"/>
      <c r="CF7" s="817"/>
      <c r="CG7" s="1065">
        <f>CK8</f>
        <v>2017</v>
      </c>
      <c r="CH7" s="1063"/>
      <c r="CI7" s="1063"/>
      <c r="CJ7" s="1066"/>
      <c r="CK7" s="817"/>
      <c r="CL7" s="1065" t="str">
        <f>CP8</f>
        <v>2018E</v>
      </c>
      <c r="CM7" s="1063"/>
      <c r="CN7" s="1063"/>
      <c r="CO7" s="1066"/>
      <c r="CP7" s="817"/>
      <c r="CQ7" s="1065" t="str">
        <f>CU8</f>
        <v>2019E</v>
      </c>
      <c r="CR7" s="1063"/>
      <c r="CS7" s="1063"/>
      <c r="CT7" s="1066"/>
      <c r="CU7" s="817"/>
      <c r="CV7" s="1065" t="str">
        <f>CZ8</f>
        <v>2020E</v>
      </c>
      <c r="CW7" s="1063"/>
      <c r="CX7" s="1063"/>
      <c r="CY7" s="1066"/>
      <c r="CZ7" s="817"/>
    </row>
    <row r="8" spans="1:107" ht="11.25" customHeight="1">
      <c r="A8" s="746"/>
      <c r="B8" s="746"/>
      <c r="C8" s="745"/>
      <c r="D8" s="746"/>
      <c r="E8" s="744"/>
      <c r="F8" s="744"/>
      <c r="G8" s="744"/>
      <c r="H8" s="744"/>
      <c r="I8" s="744"/>
      <c r="J8" s="802" t="s">
        <v>108</v>
      </c>
      <c r="K8" s="802" t="s">
        <v>197</v>
      </c>
      <c r="L8" s="802" t="s">
        <v>351</v>
      </c>
      <c r="M8" s="802" t="s">
        <v>198</v>
      </c>
      <c r="N8" s="802">
        <f>J7</f>
        <v>2002</v>
      </c>
      <c r="O8" s="802" t="s">
        <v>108</v>
      </c>
      <c r="P8" s="802" t="s">
        <v>197</v>
      </c>
      <c r="Q8" s="802" t="s">
        <v>351</v>
      </c>
      <c r="R8" s="802" t="s">
        <v>198</v>
      </c>
      <c r="S8" s="802">
        <f>O7</f>
        <v>2003</v>
      </c>
      <c r="T8" s="802" t="str">
        <f>Operations!T4</f>
        <v>1Q</v>
      </c>
      <c r="U8" s="802" t="str">
        <f>Operations!U4</f>
        <v>2Q</v>
      </c>
      <c r="V8" s="802" t="str">
        <f>Operations!V4</f>
        <v>3Q</v>
      </c>
      <c r="W8" s="802" t="str">
        <f>Operations!W4</f>
        <v>4Q</v>
      </c>
      <c r="X8" s="802">
        <f>Operations!X4</f>
        <v>2004</v>
      </c>
      <c r="Y8" s="802" t="str">
        <f>Operations!Y4</f>
        <v>1Q</v>
      </c>
      <c r="Z8" s="802" t="str">
        <f>Operations!Z4</f>
        <v>2Q</v>
      </c>
      <c r="AA8" s="802" t="str">
        <f>Operations!AA4</f>
        <v>3Q</v>
      </c>
      <c r="AB8" s="802" t="str">
        <f>Operations!AB4</f>
        <v>4Q</v>
      </c>
      <c r="AC8" s="802">
        <f>Operations!AC4</f>
        <v>2005</v>
      </c>
      <c r="AD8" s="802" t="str">
        <f>Operations!AD4</f>
        <v>1Q</v>
      </c>
      <c r="AE8" s="802" t="str">
        <f>Operations!AE4</f>
        <v>2Q</v>
      </c>
      <c r="AF8" s="802" t="str">
        <f>Operations!AF4</f>
        <v>3Q</v>
      </c>
      <c r="AG8" s="802" t="str">
        <f>Operations!AG4</f>
        <v>4Q</v>
      </c>
      <c r="AH8" s="802">
        <f>Operations!AH4</f>
        <v>2006</v>
      </c>
      <c r="AI8" s="802" t="str">
        <f>Operations!AI4</f>
        <v>1Q</v>
      </c>
      <c r="AJ8" s="802" t="str">
        <f>Operations!AJ4</f>
        <v>2Q</v>
      </c>
      <c r="AK8" s="802" t="str">
        <f>Operations!AK4</f>
        <v>3Q</v>
      </c>
      <c r="AL8" s="802" t="str">
        <f>Operations!AL4</f>
        <v>4Q</v>
      </c>
      <c r="AM8" s="802">
        <f>Operations!AM4</f>
        <v>2007</v>
      </c>
      <c r="AN8" s="802" t="str">
        <f>Operations!AN4</f>
        <v>1Q</v>
      </c>
      <c r="AO8" s="802" t="str">
        <f>Operations!AO4</f>
        <v>2Q</v>
      </c>
      <c r="AP8" s="802" t="str">
        <f>Operations!AP4</f>
        <v>3Q</v>
      </c>
      <c r="AQ8" s="802" t="str">
        <f>Operations!AQ4</f>
        <v>4Q</v>
      </c>
      <c r="AR8" s="743">
        <f>Operations!AR4</f>
        <v>2008</v>
      </c>
      <c r="AS8" s="845" t="str">
        <f>Operations!AS4</f>
        <v>1Q</v>
      </c>
      <c r="AT8" s="744" t="str">
        <f>Operations!AT4</f>
        <v>2Q</v>
      </c>
      <c r="AU8" s="744" t="str">
        <f>Operations!AU4</f>
        <v>3Q</v>
      </c>
      <c r="AV8" s="846" t="str">
        <f>Operations!AV4</f>
        <v>4Q</v>
      </c>
      <c r="AW8" s="743">
        <f>Operations!AW4</f>
        <v>2009</v>
      </c>
      <c r="AX8" s="845" t="str">
        <f>Operations!AX4</f>
        <v>1Q</v>
      </c>
      <c r="AY8" s="744" t="str">
        <f>Operations!AY4</f>
        <v>2Q</v>
      </c>
      <c r="AZ8" s="744" t="str">
        <f>Operations!AZ4</f>
        <v>3Q</v>
      </c>
      <c r="BA8" s="846" t="str">
        <f>Operations!BA4</f>
        <v>4Q</v>
      </c>
      <c r="BB8" s="743">
        <f>Operations!BB4</f>
        <v>2010</v>
      </c>
      <c r="BC8" s="845" t="str">
        <f>Operations!BC4</f>
        <v>1Q</v>
      </c>
      <c r="BD8" s="744" t="str">
        <f>Operations!BD4</f>
        <v>2Q</v>
      </c>
      <c r="BE8" s="744" t="str">
        <f>Operations!BE4</f>
        <v>3Q</v>
      </c>
      <c r="BF8" s="846" t="str">
        <f>Operations!BF4</f>
        <v>4Q</v>
      </c>
      <c r="BG8" s="743">
        <f>Operations!BG4</f>
        <v>2011</v>
      </c>
      <c r="BH8" s="845" t="str">
        <f>Operations!BH4</f>
        <v>1Q</v>
      </c>
      <c r="BI8" s="744" t="str">
        <f>Operations!BI4</f>
        <v>2Q</v>
      </c>
      <c r="BJ8" s="744" t="str">
        <f>Operations!BJ4</f>
        <v>3Q</v>
      </c>
      <c r="BK8" s="846" t="str">
        <f>Operations!BK4</f>
        <v>4Q</v>
      </c>
      <c r="BL8" s="743">
        <f>Operations!BL4</f>
        <v>2012</v>
      </c>
      <c r="BM8" s="845" t="str">
        <f>Operations!BM4</f>
        <v>1Q</v>
      </c>
      <c r="BN8" s="744" t="str">
        <f>Operations!BN4</f>
        <v>2Q</v>
      </c>
      <c r="BO8" s="744" t="str">
        <f>Operations!BO4</f>
        <v>3Q</v>
      </c>
      <c r="BP8" s="846" t="str">
        <f>Operations!BP4</f>
        <v>4Q</v>
      </c>
      <c r="BQ8" s="743">
        <f>Operations!BQ4</f>
        <v>2013</v>
      </c>
      <c r="BR8" s="845" t="str">
        <f>Operations!BR4</f>
        <v>1Q</v>
      </c>
      <c r="BS8" s="744" t="str">
        <f>Operations!BS4</f>
        <v>2Q</v>
      </c>
      <c r="BT8" s="744" t="str">
        <f>Operations!BT4</f>
        <v>3Q</v>
      </c>
      <c r="BU8" s="846" t="str">
        <f>Operations!BU4</f>
        <v>4Q</v>
      </c>
      <c r="BV8" s="743">
        <f>Operations!BV4</f>
        <v>2014</v>
      </c>
      <c r="BW8" s="845" t="str">
        <f>Operations!BW4</f>
        <v>1Q</v>
      </c>
      <c r="BX8" s="744" t="str">
        <f>Operations!BX4</f>
        <v>2Q</v>
      </c>
      <c r="BY8" s="744" t="str">
        <f>Operations!BY4</f>
        <v>3Q</v>
      </c>
      <c r="BZ8" s="846" t="str">
        <f>Operations!BZ4</f>
        <v>4Q</v>
      </c>
      <c r="CA8" s="743">
        <f>Operations!CA4</f>
        <v>2015</v>
      </c>
      <c r="CB8" s="845" t="str">
        <f>Operations!CB4</f>
        <v>1Q</v>
      </c>
      <c r="CC8" s="744" t="str">
        <f>Operations!CC4</f>
        <v>2Q</v>
      </c>
      <c r="CD8" s="744" t="str">
        <f>Operations!CD4</f>
        <v>3Q</v>
      </c>
      <c r="CE8" s="846" t="str">
        <f>Operations!CE4</f>
        <v>4Q</v>
      </c>
      <c r="CF8" s="743">
        <f>Operations!CF4</f>
        <v>2016</v>
      </c>
      <c r="CG8" s="845" t="str">
        <f>Operations!CG4</f>
        <v>1Q</v>
      </c>
      <c r="CH8" s="744" t="str">
        <f>Operations!CH4</f>
        <v>2Q</v>
      </c>
      <c r="CI8" s="744" t="str">
        <f>Operations!CI4</f>
        <v>3Q</v>
      </c>
      <c r="CJ8" s="846" t="str">
        <f>Operations!CJ4</f>
        <v>4Q</v>
      </c>
      <c r="CK8" s="743">
        <f>Operations!CK4</f>
        <v>2017</v>
      </c>
      <c r="CL8" s="845" t="str">
        <f>Operations!CL4</f>
        <v>1Q</v>
      </c>
      <c r="CM8" s="744" t="str">
        <f>Operations!CM4</f>
        <v>2QE</v>
      </c>
      <c r="CN8" s="744" t="str">
        <f>Operations!CN4</f>
        <v>3QE</v>
      </c>
      <c r="CO8" s="846" t="str">
        <f>Operations!CO4</f>
        <v>4QE</v>
      </c>
      <c r="CP8" s="743" t="str">
        <f>Operations!CP4</f>
        <v>2018E</v>
      </c>
      <c r="CQ8" s="845" t="str">
        <f>Operations!CQ4</f>
        <v>1QE</v>
      </c>
      <c r="CR8" s="744" t="str">
        <f>Operations!CR4</f>
        <v>2QE</v>
      </c>
      <c r="CS8" s="744" t="str">
        <f>Operations!CS4</f>
        <v>3QE</v>
      </c>
      <c r="CT8" s="846" t="str">
        <f>Operations!CT4</f>
        <v>4QE</v>
      </c>
      <c r="CU8" s="743" t="str">
        <f>Operations!CU4</f>
        <v>2019E</v>
      </c>
      <c r="CV8" s="845" t="str">
        <f>Operations!CV4</f>
        <v>1QE</v>
      </c>
      <c r="CW8" s="744" t="str">
        <f>Operations!CW4</f>
        <v>2QE</v>
      </c>
      <c r="CX8" s="744" t="str">
        <f>Operations!CX4</f>
        <v>3QE</v>
      </c>
      <c r="CY8" s="846" t="str">
        <f>Operations!CY4</f>
        <v>4QE</v>
      </c>
      <c r="CZ8" s="743" t="str">
        <f>Operations!CZ4</f>
        <v>2020E</v>
      </c>
    </row>
    <row r="9" spans="1:107" ht="13.5" customHeight="1">
      <c r="A9" s="79" t="s">
        <v>106</v>
      </c>
      <c r="B9" s="66"/>
      <c r="C9" s="79"/>
      <c r="D9" s="66"/>
      <c r="E9" s="20"/>
      <c r="F9" s="20"/>
      <c r="G9" s="20"/>
      <c r="H9" s="20"/>
      <c r="I9" s="20"/>
      <c r="J9" s="66"/>
      <c r="K9" s="66"/>
      <c r="L9" s="66"/>
      <c r="M9" s="66"/>
      <c r="N9" s="66"/>
      <c r="O9" s="20"/>
      <c r="P9" s="20"/>
      <c r="Q9" s="66"/>
      <c r="R9" s="66"/>
      <c r="S9" s="66"/>
      <c r="T9" s="20"/>
      <c r="U9" s="20"/>
      <c r="V9" s="20"/>
      <c r="W9" s="20"/>
      <c r="X9" s="20"/>
      <c r="Y9" s="20"/>
      <c r="Z9" s="20"/>
      <c r="AA9" s="20"/>
      <c r="AB9" s="20"/>
      <c r="AC9" s="20"/>
      <c r="AD9" s="20"/>
      <c r="AE9" s="20"/>
      <c r="AF9" s="20"/>
      <c r="AG9" s="20"/>
      <c r="AH9" s="20"/>
      <c r="AI9" s="20"/>
      <c r="AJ9" s="20"/>
      <c r="AK9" s="20"/>
      <c r="AL9" s="20"/>
      <c r="AM9" s="20"/>
      <c r="AN9" s="20"/>
      <c r="AO9" s="20"/>
      <c r="AP9" s="20"/>
      <c r="AQ9" s="66"/>
      <c r="AR9" s="66"/>
      <c r="AS9" s="859"/>
      <c r="AT9" s="20"/>
      <c r="AU9" s="20"/>
      <c r="AV9" s="860"/>
      <c r="AW9" s="66"/>
      <c r="AX9" s="859"/>
      <c r="AY9" s="20"/>
      <c r="AZ9" s="20"/>
      <c r="BA9" s="860"/>
      <c r="BB9" s="66"/>
      <c r="BC9" s="859"/>
      <c r="BD9" s="20"/>
      <c r="BE9" s="20"/>
      <c r="BF9" s="860"/>
      <c r="BG9" s="66"/>
      <c r="BH9" s="859"/>
      <c r="BI9" s="20"/>
      <c r="BJ9" s="20"/>
      <c r="BK9" s="860"/>
      <c r="BL9" s="66"/>
      <c r="BM9" s="859"/>
      <c r="BN9" s="20"/>
      <c r="BO9" s="20"/>
      <c r="BP9" s="860"/>
      <c r="BQ9" s="66"/>
      <c r="BR9" s="859"/>
      <c r="BS9" s="20"/>
      <c r="BT9" s="20"/>
      <c r="BU9" s="860"/>
      <c r="BV9" s="66"/>
      <c r="BW9" s="859"/>
      <c r="BX9" s="20"/>
      <c r="BY9" s="20"/>
      <c r="BZ9" s="860"/>
      <c r="CA9" s="66"/>
      <c r="CB9" s="859"/>
      <c r="CC9" s="20"/>
      <c r="CD9" s="495"/>
      <c r="CE9" s="944"/>
      <c r="CF9" s="453"/>
      <c r="CG9" s="981"/>
      <c r="CH9" s="495"/>
      <c r="CI9" s="20"/>
      <c r="CJ9" s="944"/>
      <c r="CK9" s="453"/>
      <c r="CL9" s="859"/>
      <c r="CM9" s="20"/>
      <c r="CN9" s="20"/>
      <c r="CO9" s="860"/>
      <c r="CP9" s="66"/>
      <c r="CQ9" s="859"/>
      <c r="CR9" s="20"/>
      <c r="CS9" s="20"/>
      <c r="CT9" s="860"/>
      <c r="CU9" s="66"/>
      <c r="CV9" s="859"/>
      <c r="CW9" s="20"/>
      <c r="CX9" s="20"/>
      <c r="CY9" s="860"/>
      <c r="CZ9" s="66"/>
    </row>
    <row r="10" spans="1:107" ht="13.5" customHeight="1">
      <c r="A10" s="107"/>
      <c r="B10" s="108" t="s">
        <v>249</v>
      </c>
      <c r="C10" s="107"/>
      <c r="D10" s="107"/>
      <c r="E10" s="107"/>
      <c r="F10" s="107"/>
      <c r="G10" s="107"/>
      <c r="H10" s="107"/>
      <c r="I10" s="107"/>
      <c r="J10" s="107">
        <v>927.03874599999995</v>
      </c>
      <c r="K10" s="107">
        <v>1015.804601</v>
      </c>
      <c r="L10" s="107">
        <v>1022.357503</v>
      </c>
      <c r="M10" s="107">
        <f>N10-J10-K10-L10</f>
        <v>1097.3885780000003</v>
      </c>
      <c r="N10" s="107">
        <v>4062.5894280000002</v>
      </c>
      <c r="O10" s="107">
        <f>Operations!O89</f>
        <v>1297.879486</v>
      </c>
      <c r="P10" s="107">
        <f>Operations!P89</f>
        <v>1320.302725</v>
      </c>
      <c r="Q10" s="107">
        <f>Operations!Q89</f>
        <v>1383.859614</v>
      </c>
      <c r="R10" s="107">
        <f>Operations!R89</f>
        <v>1444.0851750000002</v>
      </c>
      <c r="S10" s="107">
        <f>SUM(O10:R10)</f>
        <v>5446.1270000000004</v>
      </c>
      <c r="T10" s="107">
        <f>Operations!T89</f>
        <v>2064.069</v>
      </c>
      <c r="U10" s="107">
        <f>Operations!U89</f>
        <v>2461.0740000000001</v>
      </c>
      <c r="V10" s="107">
        <f>Operations!V89</f>
        <v>2868.4830000000002</v>
      </c>
      <c r="W10" s="107">
        <f>Operations!W89</f>
        <v>2715.8040000000001</v>
      </c>
      <c r="X10" s="107">
        <f>SUM(T10:W10)</f>
        <v>10109.43</v>
      </c>
      <c r="Y10" s="107">
        <f>Operations!Y89</f>
        <v>2950</v>
      </c>
      <c r="Z10" s="107">
        <f>Operations!Z89</f>
        <v>2716.6770000000001</v>
      </c>
      <c r="AA10" s="107">
        <f>Operations!AA89</f>
        <v>2605.942</v>
      </c>
      <c r="AB10" s="107">
        <f>Operations!AB89</f>
        <v>2791.0620000000008</v>
      </c>
      <c r="AC10" s="107">
        <f>SUM(Y10:AB10)</f>
        <v>11063.681</v>
      </c>
      <c r="AD10" s="107">
        <f>Operations!AD89</f>
        <v>3149.4259999999995</v>
      </c>
      <c r="AE10" s="107">
        <f>Operations!AE89</f>
        <v>3388.0680000000002</v>
      </c>
      <c r="AF10" s="107">
        <f>Operations!AF89</f>
        <v>3469.4430000000002</v>
      </c>
      <c r="AG10" s="107">
        <f>Operations!AG89</f>
        <v>3018.1859999999997</v>
      </c>
      <c r="AH10" s="107">
        <f>SUM(AD10:AG10)</f>
        <v>13025.123</v>
      </c>
      <c r="AI10" s="107">
        <f>Operations!AI89</f>
        <v>3273.2539999999999</v>
      </c>
      <c r="AJ10" s="107">
        <f>Operations!AJ89</f>
        <v>3336.1559999999999</v>
      </c>
      <c r="AK10" s="107">
        <f>Operations!AK89</f>
        <v>3344.116</v>
      </c>
      <c r="AL10" s="107">
        <f>Operations!AL89</f>
        <v>3357.6859999999997</v>
      </c>
      <c r="AM10" s="107">
        <f>SUM(AI10:AL10)</f>
        <v>13311.212</v>
      </c>
      <c r="AN10" s="107">
        <f>Operations!AN89</f>
        <v>3759.453</v>
      </c>
      <c r="AO10" s="107">
        <f>Operations!AO89</f>
        <v>4893.1369999999997</v>
      </c>
      <c r="AP10" s="107">
        <f>Operations!AP89</f>
        <v>5192.0820000000003</v>
      </c>
      <c r="AQ10" s="107">
        <f>Operations!AQ89</f>
        <v>2633.228000000001</v>
      </c>
      <c r="AR10" s="107">
        <f>SUM(AN10:AQ10)</f>
        <v>16477.900000000001</v>
      </c>
      <c r="AS10" s="1067">
        <f>Operations!AS89</f>
        <v>1656.24</v>
      </c>
      <c r="AT10" s="563">
        <f>Operations!AT89</f>
        <v>1429.2840000000001</v>
      </c>
      <c r="AU10" s="563">
        <f>Operations!AU89</f>
        <v>2070.2020000000002</v>
      </c>
      <c r="AV10" s="1068">
        <f>Operations!AV89</f>
        <v>2003.7859999999991</v>
      </c>
      <c r="AW10" s="563">
        <f>SUM(AS10:AV10)</f>
        <v>7159.5119999999997</v>
      </c>
      <c r="AX10" s="1067">
        <f>Operations!AX89</f>
        <v>2612.0160000000001</v>
      </c>
      <c r="AY10" s="563">
        <f>Operations!AY89</f>
        <v>2875.3380000000002</v>
      </c>
      <c r="AZ10" s="563">
        <f>Operations!AZ89</f>
        <v>2798.4189999999999</v>
      </c>
      <c r="BA10" s="1068">
        <f>Operations!BA89</f>
        <v>2574.9869999999992</v>
      </c>
      <c r="BB10" s="563">
        <f>SUM(AX10:BA10)</f>
        <v>10860.76</v>
      </c>
      <c r="BC10" s="1067">
        <f>Operations!BC89</f>
        <v>3448.1970000000001</v>
      </c>
      <c r="BD10" s="563">
        <f>Operations!BD89</f>
        <v>3569.7860000000001</v>
      </c>
      <c r="BE10" s="563">
        <f>Operations!BE89</f>
        <v>3617.8670000000002</v>
      </c>
      <c r="BF10" s="1150">
        <f>Operations!BF89</f>
        <v>3324.3950000000004</v>
      </c>
      <c r="BG10" s="564">
        <f>SUM(BC10:BF10)</f>
        <v>13960.245000000001</v>
      </c>
      <c r="BH10" s="1067">
        <f>Operations!BH89</f>
        <v>3626.1390000000001</v>
      </c>
      <c r="BI10" s="563">
        <f>Operations!BI89</f>
        <v>3476.6610000000001</v>
      </c>
      <c r="BJ10" s="563">
        <f>Operations!BJ89</f>
        <v>3204.8980000000001</v>
      </c>
      <c r="BK10" s="1150">
        <f>Operations!BK89</f>
        <v>3010.2819999999992</v>
      </c>
      <c r="BL10" s="564">
        <f>SUM(BH10:BK10)</f>
        <v>13317.98</v>
      </c>
      <c r="BM10" s="1067">
        <f>Operations!BM89</f>
        <v>3268.154</v>
      </c>
      <c r="BN10" s="563">
        <f>Operations!BN89</f>
        <v>3197.433</v>
      </c>
      <c r="BO10" s="563">
        <f>Operations!BO89</f>
        <v>3435.884</v>
      </c>
      <c r="BP10" s="1068">
        <f>Operations!BP89</f>
        <v>3410.4770000000008</v>
      </c>
      <c r="BQ10" s="563">
        <f>SUM(BM10:BP10)</f>
        <v>13311.948</v>
      </c>
      <c r="BR10" s="1067">
        <f>Operations!BR89</f>
        <v>3607.7640000000001</v>
      </c>
      <c r="BS10" s="563">
        <f>Operations!BS89</f>
        <v>3674.14</v>
      </c>
      <c r="BT10" s="563">
        <f>Operations!BT89</f>
        <v>3898.0309999999999</v>
      </c>
      <c r="BU10" s="1068">
        <f>Operations!BU89</f>
        <v>3543.7069999999985</v>
      </c>
      <c r="BV10" s="563">
        <f>SUM(BR10:BU10)</f>
        <v>14723.642</v>
      </c>
      <c r="BW10" s="1067">
        <f>Operations!BW89</f>
        <v>3053.3389999999999</v>
      </c>
      <c r="BX10" s="563">
        <f>Operations!BX89</f>
        <v>2968.6439999999998</v>
      </c>
      <c r="BY10" s="563">
        <f>Operations!BY89</f>
        <v>2816.4409999999998</v>
      </c>
      <c r="BZ10" s="1203">
        <f>Operations!BZ89</f>
        <v>2245.9070000000011</v>
      </c>
      <c r="CA10" s="563">
        <f>SUM(BW10:BZ10)</f>
        <v>11084.331</v>
      </c>
      <c r="CB10" s="1192">
        <f>Operations!CB89</f>
        <v>2634.5889999999999</v>
      </c>
      <c r="CC10" s="564">
        <f>Operations!CC89</f>
        <v>3016.3220000000001</v>
      </c>
      <c r="CD10" s="563">
        <f>Operations!CD89</f>
        <v>2960.6419999999998</v>
      </c>
      <c r="CE10" s="1068">
        <f>Operations!CE89</f>
        <v>2640.0610000000006</v>
      </c>
      <c r="CF10" s="563">
        <f>SUM(CB10:CE10)</f>
        <v>11251.614000000001</v>
      </c>
      <c r="CG10" s="1067">
        <f>Operations!CG89</f>
        <v>3329.8240000000001</v>
      </c>
      <c r="CH10" s="563">
        <f>Operations!CH89</f>
        <v>3800.3589999999999</v>
      </c>
      <c r="CI10" s="563">
        <f>Operations!CI89</f>
        <v>3639.4879999999998</v>
      </c>
      <c r="CJ10" s="1068">
        <f>Operations!CJ89</f>
        <v>3507.2009999999996</v>
      </c>
      <c r="CK10" s="563">
        <f>SUM(CG10:CJ10)</f>
        <v>14276.871999999999</v>
      </c>
      <c r="CL10" s="1067">
        <f>Operations!CL89</f>
        <v>3985.8975999999998</v>
      </c>
      <c r="CM10" s="563">
        <f>Operations!CM89</f>
        <v>4631.6161753827673</v>
      </c>
      <c r="CN10" s="563">
        <f>Operations!CN89</f>
        <v>4560.5657515557878</v>
      </c>
      <c r="CO10" s="1068">
        <f>Operations!CO89</f>
        <v>4406.3159627841551</v>
      </c>
      <c r="CP10" s="563">
        <f>SUM(CL10:CO10)</f>
        <v>17584.395489722712</v>
      </c>
      <c r="CQ10" s="1067">
        <f>Operations!CQ89</f>
        <v>4813.4447905201823</v>
      </c>
      <c r="CR10" s="563">
        <f>Operations!CR89</f>
        <v>4791.0551765648906</v>
      </c>
      <c r="CS10" s="563">
        <f>Operations!CS89</f>
        <v>4473.3608622458923</v>
      </c>
      <c r="CT10" s="1068">
        <f>Operations!CT89</f>
        <v>4219.1407339102525</v>
      </c>
      <c r="CU10" s="563">
        <f>SUM(CQ10:CT10)</f>
        <v>18297.001563241218</v>
      </c>
      <c r="CV10" s="1067">
        <f>Operations!CV89</f>
        <v>4619.5255444863724</v>
      </c>
      <c r="CW10" s="563">
        <f>Operations!CW89</f>
        <v>4581.8362078141281</v>
      </c>
      <c r="CX10" s="563">
        <f>Operations!CX89</f>
        <v>4252.3039547170238</v>
      </c>
      <c r="CY10" s="1068">
        <f>Operations!CY89</f>
        <v>4132.8834458886595</v>
      </c>
      <c r="CZ10" s="563">
        <f>SUM(CV10:CY10)</f>
        <v>17586.549152906184</v>
      </c>
    </row>
    <row r="11" spans="1:107" ht="13.5" customHeight="1">
      <c r="A11" s="109"/>
      <c r="B11" s="108" t="s">
        <v>254</v>
      </c>
      <c r="C11" s="107"/>
      <c r="D11" s="107"/>
      <c r="E11" s="107"/>
      <c r="F11" s="107"/>
      <c r="G11" s="107"/>
      <c r="H11" s="107"/>
      <c r="I11" s="107"/>
      <c r="J11" s="107">
        <v>153.59823499999999</v>
      </c>
      <c r="K11" s="107">
        <v>182.22760500000001</v>
      </c>
      <c r="L11" s="107">
        <v>206.17192</v>
      </c>
      <c r="M11" s="107">
        <f>N11-J11-K11-L11</f>
        <v>197.18934899999999</v>
      </c>
      <c r="N11" s="107">
        <v>739.18710899999996</v>
      </c>
      <c r="O11" s="107">
        <f>Operations!O132</f>
        <v>182.39150100000001</v>
      </c>
      <c r="P11" s="107">
        <f>Operations!P132</f>
        <v>200.15815900000001</v>
      </c>
      <c r="Q11" s="107">
        <f>Operations!Q132</f>
        <v>220.15172999999999</v>
      </c>
      <c r="R11" s="107">
        <f>Operations!R132</f>
        <v>216.99461000000008</v>
      </c>
      <c r="S11" s="107">
        <f>SUM(O11:R11)</f>
        <v>819.69600000000003</v>
      </c>
      <c r="T11" s="107">
        <f>Operations!T132</f>
        <v>222.34700000000001</v>
      </c>
      <c r="U11" s="107">
        <f>Operations!U132</f>
        <v>300.74799999999999</v>
      </c>
      <c r="V11" s="107">
        <f>Operations!V132</f>
        <v>371.10899999999998</v>
      </c>
      <c r="W11" s="107">
        <f>Operations!W132</f>
        <v>373.1939999999999</v>
      </c>
      <c r="X11" s="107">
        <f>SUM(T11:W11)</f>
        <v>1267.3979999999999</v>
      </c>
      <c r="Y11" s="107">
        <f>Operations!Y132</f>
        <v>371.70299999999997</v>
      </c>
      <c r="Z11" s="107">
        <f>Operations!Z132</f>
        <v>428.32600000000002</v>
      </c>
      <c r="AA11" s="107">
        <f>Operations!AA132</f>
        <v>419.96899999999999</v>
      </c>
      <c r="AB11" s="107">
        <f>Operations!AB132</f>
        <v>417.32</v>
      </c>
      <c r="AC11" s="107">
        <f>SUM(Y11:AB11)</f>
        <v>1637.318</v>
      </c>
      <c r="AD11" s="107">
        <f>Operations!AD132</f>
        <v>395.67099999999999</v>
      </c>
      <c r="AE11" s="107">
        <f>Operations!AE132</f>
        <v>418.28199999999998</v>
      </c>
      <c r="AF11" s="107">
        <f>Operations!AF132</f>
        <v>461.79</v>
      </c>
      <c r="AG11" s="107">
        <f>Operations!AG132</f>
        <v>450.404</v>
      </c>
      <c r="AH11" s="107">
        <f>SUM(AD11:AG11)</f>
        <v>1726.1469999999999</v>
      </c>
      <c r="AI11" s="107">
        <f>Operations!AI132</f>
        <v>484.03199999999998</v>
      </c>
      <c r="AJ11" s="107">
        <f>Operations!AJ132</f>
        <v>748.75900000000001</v>
      </c>
      <c r="AK11" s="107">
        <f>Operations!AK132</f>
        <v>853.495</v>
      </c>
      <c r="AL11" s="107">
        <f>Operations!AL132</f>
        <v>965.36200000000008</v>
      </c>
      <c r="AM11" s="107">
        <f>SUM(AI11:AL11)</f>
        <v>3051.6480000000001</v>
      </c>
      <c r="AN11" s="107">
        <f>Operations!AN132</f>
        <v>885.50699999999995</v>
      </c>
      <c r="AO11" s="107">
        <f>Operations!AO132</f>
        <v>1119.271</v>
      </c>
      <c r="AP11" s="107">
        <f>Operations!AP132</f>
        <v>1238.6420000000001</v>
      </c>
      <c r="AQ11" s="107">
        <f>Operations!AQ132</f>
        <v>1096.1040000000003</v>
      </c>
      <c r="AR11" s="107">
        <f>SUM(AN11:AQ11)</f>
        <v>4339.5240000000003</v>
      </c>
      <c r="AS11" s="1067">
        <f>Operations!AS132</f>
        <v>713.827</v>
      </c>
      <c r="AT11" s="563">
        <f>Operations!AT132</f>
        <v>693.93399999999997</v>
      </c>
      <c r="AU11" s="563">
        <f>Operations!AU132</f>
        <v>681.33100000000002</v>
      </c>
      <c r="AV11" s="1068">
        <f>Operations!AV132</f>
        <v>602.23</v>
      </c>
      <c r="AW11" s="563">
        <f>SUM(AS11:AV11)</f>
        <v>2691.3220000000001</v>
      </c>
      <c r="AX11" s="1067">
        <f>Operations!AX132</f>
        <v>561.03499999999997</v>
      </c>
      <c r="AY11" s="563">
        <f>Operations!AY132</f>
        <v>737.69299999999998</v>
      </c>
      <c r="AZ11" s="563">
        <f>Operations!AZ132</f>
        <v>794.28899999999999</v>
      </c>
      <c r="BA11" s="1068">
        <f>Operations!BA132</f>
        <v>738.19200000000001</v>
      </c>
      <c r="BB11" s="563">
        <f>SUM(AX11:BA11)</f>
        <v>2831.2089999999998</v>
      </c>
      <c r="BC11" s="1067">
        <f>Operations!BC132</f>
        <v>732.13900000000001</v>
      </c>
      <c r="BD11" s="563">
        <f>Operations!BD132</f>
        <v>875.36500000000001</v>
      </c>
      <c r="BE11" s="563">
        <f>Operations!BE132</f>
        <v>958.22400000000005</v>
      </c>
      <c r="BF11" s="1150">
        <f>Operations!BF132</f>
        <v>865.76199999999972</v>
      </c>
      <c r="BG11" s="564">
        <f>SUM(BC11:BF11)</f>
        <v>3431.49</v>
      </c>
      <c r="BH11" s="1067">
        <f>Operations!BH132</f>
        <v>842.245</v>
      </c>
      <c r="BI11" s="563">
        <f>Operations!BI132</f>
        <v>991.44399999999996</v>
      </c>
      <c r="BJ11" s="563">
        <f>Operations!BJ132</f>
        <v>1006.366</v>
      </c>
      <c r="BK11" s="1150">
        <f>Operations!BK132</f>
        <v>898.32600000000002</v>
      </c>
      <c r="BL11" s="564">
        <f>SUM(BH11:BK11)</f>
        <v>3738.3809999999999</v>
      </c>
      <c r="BM11" s="1067">
        <f>Operations!BM132</f>
        <v>789.34699999999998</v>
      </c>
      <c r="BN11" s="563">
        <f>Operations!BN132</f>
        <v>937.10400000000004</v>
      </c>
      <c r="BO11" s="563">
        <f>Operations!BO132</f>
        <v>964.15300000000002</v>
      </c>
      <c r="BP11" s="1068">
        <f>Operations!BP132</f>
        <v>916.72899999999981</v>
      </c>
      <c r="BQ11" s="563">
        <f>SUM(BM11:BP11)</f>
        <v>3607.3330000000001</v>
      </c>
      <c r="BR11" s="1067">
        <f>Operations!BR132</f>
        <v>874.16899999999998</v>
      </c>
      <c r="BS11" s="563">
        <f>Operations!BS132</f>
        <v>1035.923</v>
      </c>
      <c r="BT11" s="563">
        <f>Operations!BT132</f>
        <v>1142.0429999999999</v>
      </c>
      <c r="BU11" s="1068">
        <f>Operations!BU132</f>
        <v>980.25</v>
      </c>
      <c r="BV11" s="563">
        <f>SUM(BR11:BU11)</f>
        <v>4032.3850000000002</v>
      </c>
      <c r="BW11" s="1067">
        <f>Operations!BW132</f>
        <v>921.38400000000001</v>
      </c>
      <c r="BX11" s="563">
        <f>Operations!BX132</f>
        <v>1015.646</v>
      </c>
      <c r="BY11" s="563">
        <f>Operations!BY132</f>
        <v>1081.047</v>
      </c>
      <c r="BZ11" s="1150">
        <f>Operations!BZ132</f>
        <v>948.81799999999976</v>
      </c>
      <c r="CA11" s="563">
        <f>SUM(BW11:BZ11)</f>
        <v>3966.895</v>
      </c>
      <c r="CB11" s="1192">
        <f>Operations!CB132</f>
        <v>828.37599999999998</v>
      </c>
      <c r="CC11" s="564">
        <f>Operations!CC132</f>
        <v>923.35699999999997</v>
      </c>
      <c r="CD11" s="563">
        <f>Operations!CD132</f>
        <v>1011.602</v>
      </c>
      <c r="CE11" s="1068">
        <f>Operations!CE132</f>
        <v>924.11299999999983</v>
      </c>
      <c r="CF11" s="563">
        <f>SUM(CB11:CE11)</f>
        <v>3687.4479999999999</v>
      </c>
      <c r="CG11" s="1067">
        <f>Operations!CG132</f>
        <v>860.07500000000005</v>
      </c>
      <c r="CH11" s="563">
        <f>Operations!CH132</f>
        <v>970.39800000000002</v>
      </c>
      <c r="CI11" s="563">
        <f>Operations!CI132</f>
        <v>1089.519</v>
      </c>
      <c r="CJ11" s="1068">
        <f>Operations!CJ132</f>
        <v>1080.614</v>
      </c>
      <c r="CK11" s="563">
        <f>SUM(CG11:CJ11)</f>
        <v>4000.6060000000002</v>
      </c>
      <c r="CL11" s="1067">
        <f>Operations!CL132</f>
        <v>1539.4624280423122</v>
      </c>
      <c r="CM11" s="563">
        <f>Operations!CM132</f>
        <v>1541.5589372056684</v>
      </c>
      <c r="CN11" s="563">
        <f>Operations!CN132</f>
        <v>1710.6324746297821</v>
      </c>
      <c r="CO11" s="1068">
        <f>Operations!CO132</f>
        <v>1682.1793354188499</v>
      </c>
      <c r="CP11" s="563">
        <f>SUM(CL11:CO11)</f>
        <v>6473.8331752966133</v>
      </c>
      <c r="CQ11" s="1067">
        <f>Operations!CQ132</f>
        <v>1640.6943460622285</v>
      </c>
      <c r="CR11" s="563">
        <f>Operations!CR132</f>
        <v>1618.9662270373647</v>
      </c>
      <c r="CS11" s="563">
        <f>Operations!CS132</f>
        <v>1751.9832429517064</v>
      </c>
      <c r="CT11" s="1068">
        <f>Operations!CT132</f>
        <v>1706.2666994149863</v>
      </c>
      <c r="CU11" s="563">
        <f>SUM(CQ11:CT11)</f>
        <v>6717.9105154662866</v>
      </c>
      <c r="CV11" s="1067">
        <f>Operations!CV132</f>
        <v>1673.2629372420101</v>
      </c>
      <c r="CW11" s="563">
        <f>Operations!CW132</f>
        <v>1658.0428263779174</v>
      </c>
      <c r="CX11" s="563">
        <f>Operations!CX132</f>
        <v>1818.4943337768457</v>
      </c>
      <c r="CY11" s="1068">
        <f>Operations!CY132</f>
        <v>1775.5932882833031</v>
      </c>
      <c r="CZ11" s="563">
        <f>SUM(CV11:CY11)</f>
        <v>6925.3933856800759</v>
      </c>
    </row>
    <row r="12" spans="1:107" ht="13.5" customHeight="1">
      <c r="A12" s="109"/>
      <c r="B12" s="108" t="s">
        <v>491</v>
      </c>
      <c r="C12" s="107"/>
      <c r="D12" s="107"/>
      <c r="E12" s="107"/>
      <c r="F12" s="107"/>
      <c r="G12" s="107"/>
      <c r="H12" s="107"/>
      <c r="I12" s="107"/>
      <c r="J12" s="107"/>
      <c r="K12" s="107"/>
      <c r="L12" s="107"/>
      <c r="M12" s="107"/>
      <c r="N12" s="107"/>
      <c r="O12" s="107"/>
      <c r="P12" s="107"/>
      <c r="Q12" s="107"/>
      <c r="R12" s="107"/>
      <c r="S12" s="107"/>
      <c r="T12" s="107"/>
      <c r="U12" s="107"/>
      <c r="V12" s="107"/>
      <c r="W12" s="107"/>
      <c r="X12" s="107"/>
      <c r="Y12" s="107"/>
      <c r="Z12" s="107"/>
      <c r="AA12" s="107"/>
      <c r="AB12" s="107"/>
      <c r="AC12" s="107"/>
      <c r="AD12" s="107"/>
      <c r="AE12" s="107"/>
      <c r="AF12" s="107"/>
      <c r="AG12" s="107"/>
      <c r="AH12" s="107"/>
      <c r="AI12" s="107"/>
      <c r="AJ12" s="107"/>
      <c r="AK12" s="107"/>
      <c r="AL12" s="107"/>
      <c r="AM12" s="107"/>
      <c r="AN12" s="107">
        <f>Operations!AN165</f>
        <v>235.22900000000001</v>
      </c>
      <c r="AO12" s="107">
        <f>Operations!AO165</f>
        <v>927.029</v>
      </c>
      <c r="AP12" s="107">
        <f>Operations!AP165</f>
        <v>897.53899999999999</v>
      </c>
      <c r="AQ12" s="107">
        <f>Operations!AQ165</f>
        <v>343.27799999999979</v>
      </c>
      <c r="AR12" s="107">
        <f>Operations!AR165</f>
        <v>2403.0749999999998</v>
      </c>
      <c r="AS12" s="1067">
        <f>Operations!AS165</f>
        <v>236.93100000000001</v>
      </c>
      <c r="AT12" s="563">
        <f>Operations!AT165</f>
        <v>277.86900000000003</v>
      </c>
      <c r="AU12" s="563">
        <f>Operations!AU165</f>
        <v>289.072</v>
      </c>
      <c r="AV12" s="1068">
        <f>Operations!AV165</f>
        <v>273.09199999999987</v>
      </c>
      <c r="AW12" s="563">
        <f>Operations!AW165</f>
        <v>1076.9639999999999</v>
      </c>
      <c r="AX12" s="1067">
        <f>Operations!AX165</f>
        <v>396.745</v>
      </c>
      <c r="AY12" s="563">
        <f>Operations!AY165</f>
        <v>504.08</v>
      </c>
      <c r="AZ12" s="563">
        <f>Operations!AZ165</f>
        <v>463.51499999999999</v>
      </c>
      <c r="BA12" s="1068">
        <f>Operations!BA165</f>
        <v>449.98899999999981</v>
      </c>
      <c r="BB12" s="563">
        <f>Operations!BB165</f>
        <v>1814.329</v>
      </c>
      <c r="BC12" s="1067">
        <f>Operations!BC165</f>
        <v>527.46299999999997</v>
      </c>
      <c r="BD12" s="563">
        <f>Operations!BD165</f>
        <v>555.54499999999996</v>
      </c>
      <c r="BE12" s="563">
        <f>Operations!BE165</f>
        <v>535.64800000000002</v>
      </c>
      <c r="BF12" s="1150">
        <f>Operations!BF165</f>
        <v>509.73500000000013</v>
      </c>
      <c r="BG12" s="564">
        <f>Operations!BG165</f>
        <v>2128.3910000000001</v>
      </c>
      <c r="BH12" s="1067">
        <f>Operations!BH165</f>
        <v>482.20800000000003</v>
      </c>
      <c r="BI12" s="563">
        <f>Operations!BI165</f>
        <v>497.60399999999998</v>
      </c>
      <c r="BJ12" s="563">
        <f>Operations!BJ165</f>
        <v>475.322</v>
      </c>
      <c r="BK12" s="1150">
        <f>Operations!BK165</f>
        <v>453.96100000000001</v>
      </c>
      <c r="BL12" s="564">
        <f>Operations!BL165</f>
        <v>1909.095</v>
      </c>
      <c r="BM12" s="1067">
        <f>Operations!BM165</f>
        <v>493.27100000000002</v>
      </c>
      <c r="BN12" s="563">
        <f>Operations!BN165</f>
        <v>531.05100000000004</v>
      </c>
      <c r="BO12" s="563">
        <f>Operations!BO165</f>
        <v>540.899</v>
      </c>
      <c r="BP12" s="1068">
        <f>Operations!BP165</f>
        <v>567.54399999999987</v>
      </c>
      <c r="BQ12" s="563">
        <f>Operations!BQ165</f>
        <v>2132.7649999999999</v>
      </c>
      <c r="BR12" s="1067">
        <f>Operations!BR165</f>
        <v>626.51099999999997</v>
      </c>
      <c r="BS12" s="563">
        <f>Operations!BS165</f>
        <v>581.01199999999994</v>
      </c>
      <c r="BT12" s="563">
        <f>Operations!BT165</f>
        <v>661.79499999999996</v>
      </c>
      <c r="BU12" s="1068">
        <f>Operations!BU165</f>
        <v>479.79600000000028</v>
      </c>
      <c r="BV12" s="563">
        <f>SUM(BR12:BU12)</f>
        <v>2349.114</v>
      </c>
      <c r="BW12" s="1067">
        <f>Operations!BW165</f>
        <v>424.71699999999998</v>
      </c>
      <c r="BX12" s="563">
        <f>Operations!BX165</f>
        <v>373.31900000000002</v>
      </c>
      <c r="BY12" s="563">
        <f>Operations!BY165</f>
        <v>328.02600000000001</v>
      </c>
      <c r="BZ12" s="1150">
        <f>Operations!BZ165</f>
        <v>261.98799999999983</v>
      </c>
      <c r="CA12" s="563">
        <f>SUM(BW12:BZ12)</f>
        <v>1388.05</v>
      </c>
      <c r="CB12" s="1192">
        <f>Operations!CB165</f>
        <v>252.61099999999999</v>
      </c>
      <c r="CC12" s="564">
        <f>Operations!CC165</f>
        <v>306.09300000000002</v>
      </c>
      <c r="CD12" s="563">
        <f>Operations!CD165</f>
        <v>317.99200000000002</v>
      </c>
      <c r="CE12" s="1068">
        <f>Operations!CE165</f>
        <v>331.93000000000006</v>
      </c>
      <c r="CF12" s="563">
        <f>SUM(CB12:CE12)</f>
        <v>1208.626</v>
      </c>
      <c r="CG12" s="1067">
        <f>Operations!CG165</f>
        <v>412.315</v>
      </c>
      <c r="CH12" s="563">
        <f>Operations!CH165</f>
        <v>404.012</v>
      </c>
      <c r="CI12" s="563">
        <f>Operations!CI165</f>
        <v>441.11</v>
      </c>
      <c r="CJ12" s="1068">
        <f>Operations!CJ165</f>
        <v>485.50300000000016</v>
      </c>
      <c r="CK12" s="563">
        <f>Operations!CK165</f>
        <v>1742.94</v>
      </c>
      <c r="CL12" s="1067">
        <f>Operations!CL165</f>
        <v>460.00209253090338</v>
      </c>
      <c r="CM12" s="563">
        <f>Operations!CM165</f>
        <v>424.73319626255841</v>
      </c>
      <c r="CN12" s="563">
        <f>Operations!CN165</f>
        <v>466.45843143639655</v>
      </c>
      <c r="CO12" s="1068">
        <f>Operations!CO165</f>
        <v>491.46483459288083</v>
      </c>
      <c r="CP12" s="563">
        <f>Operations!CP165</f>
        <v>1842.6585548227392</v>
      </c>
      <c r="CQ12" s="1067">
        <f>Operations!CQ165</f>
        <v>478.51116995852328</v>
      </c>
      <c r="CR12" s="563">
        <f>Operations!CR165</f>
        <v>434.1157894423888</v>
      </c>
      <c r="CS12" s="563">
        <f>Operations!CS165</f>
        <v>473.4945448775909</v>
      </c>
      <c r="CT12" s="1068">
        <f>Operations!CT165</f>
        <v>496.46380525274327</v>
      </c>
      <c r="CU12" s="563">
        <f>Operations!CU165</f>
        <v>1882.5853095312461</v>
      </c>
      <c r="CV12" s="1067">
        <f>Operations!CV165</f>
        <v>463.10757087524388</v>
      </c>
      <c r="CW12" s="563">
        <f>Operations!CW165</f>
        <v>408.16012879478893</v>
      </c>
      <c r="CX12" s="563">
        <f>Operations!CX165</f>
        <v>436.11741026115277</v>
      </c>
      <c r="CY12" s="1068">
        <f>Operations!CY165</f>
        <v>450.03348574210878</v>
      </c>
      <c r="CZ12" s="563">
        <f>Operations!CZ165</f>
        <v>1757.4185956732942</v>
      </c>
    </row>
    <row r="13" spans="1:107" ht="13.5" customHeight="1">
      <c r="A13" s="109"/>
      <c r="B13" s="108" t="s">
        <v>152</v>
      </c>
      <c r="C13" s="107"/>
      <c r="D13" s="107"/>
      <c r="E13" s="107"/>
      <c r="F13" s="107"/>
      <c r="G13" s="107"/>
      <c r="H13" s="107"/>
      <c r="I13" s="107"/>
      <c r="J13" s="107"/>
      <c r="K13" s="107"/>
      <c r="L13" s="107"/>
      <c r="M13" s="107"/>
      <c r="N13" s="107"/>
      <c r="O13" s="107"/>
      <c r="P13" s="107"/>
      <c r="Q13" s="107"/>
      <c r="R13" s="107"/>
      <c r="S13" s="107"/>
      <c r="T13" s="107"/>
      <c r="U13" s="107"/>
      <c r="V13" s="107"/>
      <c r="W13" s="107"/>
      <c r="X13" s="107"/>
      <c r="Y13" s="107"/>
      <c r="Z13" s="107"/>
      <c r="AA13" s="107"/>
      <c r="AB13" s="107"/>
      <c r="AC13" s="107"/>
      <c r="AD13" s="107"/>
      <c r="AE13" s="107"/>
      <c r="AF13" s="107"/>
      <c r="AG13" s="107"/>
      <c r="AH13" s="107"/>
      <c r="AI13" s="107">
        <v>11.599</v>
      </c>
      <c r="AJ13" s="107">
        <f>4186.11-AJ11-AJ10</f>
        <v>101.19499999999971</v>
      </c>
      <c r="AK13" s="107">
        <v>61.61</v>
      </c>
      <c r="AL13" s="107">
        <f>4396.76-AL11-AL10</f>
        <v>73.712000000000444</v>
      </c>
      <c r="AM13" s="107">
        <f>SUM(AI13:AL13)</f>
        <v>248.11600000000016</v>
      </c>
      <c r="AN13" s="107">
        <f>4974.269-AN11-AN10-AN12</f>
        <v>94.080000000000183</v>
      </c>
      <c r="AO13" s="107">
        <f>7090.599-AO12-AO11-AO10</f>
        <v>151.16200000000026</v>
      </c>
      <c r="AP13" s="107">
        <f>AP15-SUM(AP10:AP12)</f>
        <v>119.25700000000052</v>
      </c>
      <c r="AQ13" s="107">
        <f>AQ15-SUM(AQ10:AQ12)</f>
        <v>78.325999999998658</v>
      </c>
      <c r="AR13" s="107">
        <f>SUM(AN13:AQ13)</f>
        <v>442.82499999999959</v>
      </c>
      <c r="AS13" s="1067">
        <f>AS15-SUM(AS10:AS12)</f>
        <v>47.320999999999913</v>
      </c>
      <c r="AT13" s="563">
        <f>AT15-SUM(AT10:AT12)</f>
        <v>76.940999999999804</v>
      </c>
      <c r="AU13" s="563">
        <f>AU15-SUM(AU10:AU12)</f>
        <v>79.399999999999636</v>
      </c>
      <c r="AV13" s="1068">
        <f>AV15-SUM(AV10:AV12)</f>
        <v>58.836000000000695</v>
      </c>
      <c r="AW13" s="563">
        <f>SUM(AS13:AV13)</f>
        <v>262.49800000000005</v>
      </c>
      <c r="AX13" s="1067">
        <f>AX15-SUM(AX10:AX12)</f>
        <v>85.046000000000276</v>
      </c>
      <c r="AY13" s="563">
        <f>AY15-SUM(AY10:AY12)</f>
        <v>78.855000000000473</v>
      </c>
      <c r="AZ13" s="563">
        <f>AZ15-SUM(AZ10:AZ12)</f>
        <v>83.846000000000913</v>
      </c>
      <c r="BA13" s="1068">
        <f>BA15-SUM(BA10:BA12)</f>
        <v>90.582000000001244</v>
      </c>
      <c r="BB13" s="563">
        <f>SUM(AX13:BA13)</f>
        <v>338.32900000000291</v>
      </c>
      <c r="BC13" s="1067">
        <f>BC15-SUM(BC10:BC12)</f>
        <v>126.13500000000022</v>
      </c>
      <c r="BD13" s="563">
        <f>BD15-SUM(BD10:BD12)</f>
        <v>107.11300000000028</v>
      </c>
      <c r="BE13" s="563">
        <f>BE15-SUM(BE10:BE12)</f>
        <v>140.40499999999975</v>
      </c>
      <c r="BF13" s="1150">
        <f>BF15-SUM(BF10:BF12)</f>
        <v>129.78499999999985</v>
      </c>
      <c r="BG13" s="564">
        <f>SUM(BC13:BF13)</f>
        <v>503.4380000000001</v>
      </c>
      <c r="BH13" s="1067">
        <f>BH15-SUM(BH10:BH12)</f>
        <v>122.00200000000041</v>
      </c>
      <c r="BI13" s="563">
        <f>BI15-SUM(BI10:BI12)</f>
        <v>138.48999999999978</v>
      </c>
      <c r="BJ13" s="563">
        <f>BJ15-SUM(BJ10:BJ12)</f>
        <v>114.61999999999989</v>
      </c>
      <c r="BK13" s="1150">
        <f>BK15-SUM(BK10:BK12)</f>
        <v>88.705000000000837</v>
      </c>
      <c r="BL13" s="564">
        <f>SUM(BH13:BK13)</f>
        <v>463.81700000000092</v>
      </c>
      <c r="BM13" s="1192">
        <f>BM15-SUM(BM10:BM12)</f>
        <v>0</v>
      </c>
      <c r="BN13" s="564">
        <f>BN15-SUM(BN10:BN12)</f>
        <v>0</v>
      </c>
      <c r="BO13" s="564">
        <f>BO15-SUM(BO10:BO12)</f>
        <v>0</v>
      </c>
      <c r="BP13" s="1150">
        <f>BP15-SUM(BP10:BP12)</f>
        <v>0</v>
      </c>
      <c r="BQ13" s="563">
        <f>SUM(BM13:BP13)</f>
        <v>0</v>
      </c>
      <c r="BR13" s="1192">
        <f>BR15-SUM(BR10:BR12)</f>
        <v>0</v>
      </c>
      <c r="BS13" s="564">
        <f>BS15-SUM(BS10:BS12)</f>
        <v>0</v>
      </c>
      <c r="BT13" s="564">
        <f>BT15-SUM(BT10:BT12)</f>
        <v>0</v>
      </c>
      <c r="BU13" s="1150">
        <f>BU15-SUM(BU10:BU12)</f>
        <v>0</v>
      </c>
      <c r="BV13" s="563">
        <f>SUM(BR13:BU13)</f>
        <v>0</v>
      </c>
      <c r="BW13" s="1192">
        <f>BW15-SUM(BW10:BW12)</f>
        <v>0</v>
      </c>
      <c r="BX13" s="564">
        <f>BX15-SUM(BX10:BX12)</f>
        <v>0</v>
      </c>
      <c r="BY13" s="564">
        <f>BY15-SUM(BY10:BY12)</f>
        <v>0</v>
      </c>
      <c r="BZ13" s="1203">
        <f>BZ15-SUM(BZ10:BZ12)</f>
        <v>0</v>
      </c>
      <c r="CA13" s="563">
        <f>SUM(BW13:BZ13)</f>
        <v>0</v>
      </c>
      <c r="CB13" s="1192">
        <f>CB15-SUM(CB10:CB12)</f>
        <v>0</v>
      </c>
      <c r="CC13" s="564">
        <f>CC15-SUM(CC10:CC12)</f>
        <v>0</v>
      </c>
      <c r="CD13" s="564">
        <f>CD15-SUM(CD10:CD12)</f>
        <v>0</v>
      </c>
      <c r="CE13" s="1150">
        <f>CE15-SUM(CE10:CE12)</f>
        <v>60.433999999999742</v>
      </c>
      <c r="CF13" s="563">
        <f>SUM(CB13:CE13)</f>
        <v>60.433999999999742</v>
      </c>
      <c r="CG13" s="1192">
        <f>CG15-SUM(CG10:CG12)</f>
        <v>212.96500000000015</v>
      </c>
      <c r="CH13" s="564">
        <f>CH15-SUM(CH10:CH12)</f>
        <v>0</v>
      </c>
      <c r="CI13" s="564">
        <f>CI15-SUM(CI10:CI12)</f>
        <v>0</v>
      </c>
      <c r="CJ13" s="1150">
        <f>CJ15-SUM(CJ10:CJ12)</f>
        <v>19.010000000001128</v>
      </c>
      <c r="CK13" s="563">
        <f>SUM(CG13:CJ13)</f>
        <v>231.97500000000127</v>
      </c>
      <c r="CL13" s="1192">
        <f>CL15-SUM(CL10:CL12)</f>
        <v>-416.94312057321622</v>
      </c>
      <c r="CM13" s="518">
        <v>0</v>
      </c>
      <c r="CN13" s="518">
        <v>0</v>
      </c>
      <c r="CO13" s="1097">
        <v>0</v>
      </c>
      <c r="CP13" s="563">
        <f>SUM(CL13:CO13)</f>
        <v>-416.94312057321622</v>
      </c>
      <c r="CQ13" s="1093">
        <v>0</v>
      </c>
      <c r="CR13" s="518">
        <v>0</v>
      </c>
      <c r="CS13" s="518">
        <v>0</v>
      </c>
      <c r="CT13" s="1097">
        <v>0</v>
      </c>
      <c r="CU13" s="563">
        <f>SUM(CQ13:CT13)</f>
        <v>0</v>
      </c>
      <c r="CV13" s="1093">
        <v>0</v>
      </c>
      <c r="CW13" s="518">
        <v>0</v>
      </c>
      <c r="CX13" s="518">
        <v>0</v>
      </c>
      <c r="CY13" s="1097">
        <v>0</v>
      </c>
      <c r="CZ13" s="563">
        <f>SUM(CV13:CY13)</f>
        <v>0</v>
      </c>
    </row>
    <row r="14" spans="1:107" ht="6.2" customHeight="1">
      <c r="A14" s="109"/>
      <c r="B14" s="108"/>
      <c r="C14" s="107"/>
      <c r="D14" s="107"/>
      <c r="E14" s="107"/>
      <c r="F14" s="107"/>
      <c r="G14" s="107"/>
      <c r="H14" s="107"/>
      <c r="I14" s="107"/>
      <c r="J14" s="107"/>
      <c r="K14" s="107"/>
      <c r="L14" s="107"/>
      <c r="M14" s="107"/>
      <c r="N14" s="107"/>
      <c r="O14" s="107"/>
      <c r="P14" s="107"/>
      <c r="Q14" s="107"/>
      <c r="R14" s="107"/>
      <c r="S14" s="107"/>
      <c r="T14" s="107"/>
      <c r="U14" s="107"/>
      <c r="V14" s="107"/>
      <c r="W14" s="107"/>
      <c r="X14" s="107"/>
      <c r="Y14" s="107"/>
      <c r="Z14" s="107"/>
      <c r="AA14" s="107"/>
      <c r="AB14" s="107"/>
      <c r="AC14" s="107"/>
      <c r="AD14" s="107"/>
      <c r="AE14" s="107"/>
      <c r="AF14" s="107"/>
      <c r="AG14" s="107"/>
      <c r="AH14" s="107"/>
      <c r="AI14" s="107"/>
      <c r="AJ14" s="107"/>
      <c r="AK14" s="107"/>
      <c r="AL14" s="107"/>
      <c r="AM14" s="107"/>
      <c r="AN14" s="107"/>
      <c r="AO14" s="107"/>
      <c r="AP14" s="107"/>
      <c r="AQ14" s="107"/>
      <c r="AR14" s="107"/>
      <c r="AS14" s="1069"/>
      <c r="AT14" s="107"/>
      <c r="AU14" s="107"/>
      <c r="AV14" s="1070"/>
      <c r="AW14" s="107"/>
      <c r="AX14" s="1069"/>
      <c r="AY14" s="107"/>
      <c r="AZ14" s="107"/>
      <c r="BA14" s="1070"/>
      <c r="BB14" s="107"/>
      <c r="BC14" s="1069"/>
      <c r="BD14" s="107"/>
      <c r="BE14" s="107"/>
      <c r="BF14" s="1151"/>
      <c r="BG14" s="388"/>
      <c r="BH14" s="1069"/>
      <c r="BI14" s="107"/>
      <c r="BJ14" s="107"/>
      <c r="BK14" s="1070"/>
      <c r="BL14" s="388"/>
      <c r="BM14" s="1069"/>
      <c r="BN14" s="107"/>
      <c r="BO14" s="107"/>
      <c r="BP14" s="1070"/>
      <c r="BQ14" s="107"/>
      <c r="BR14" s="1069"/>
      <c r="BS14" s="107"/>
      <c r="BT14" s="107"/>
      <c r="BU14" s="1070"/>
      <c r="BV14" s="107"/>
      <c r="BW14" s="1069"/>
      <c r="BX14" s="107"/>
      <c r="BY14" s="107"/>
      <c r="BZ14" s="1070"/>
      <c r="CA14" s="107"/>
      <c r="CB14" s="1069"/>
      <c r="CC14" s="107"/>
      <c r="CD14" s="563"/>
      <c r="CE14" s="1068"/>
      <c r="CF14" s="563"/>
      <c r="CG14" s="1067"/>
      <c r="CH14" s="563"/>
      <c r="CI14" s="107"/>
      <c r="CJ14" s="1068"/>
      <c r="CK14" s="563"/>
      <c r="CL14" s="1067"/>
      <c r="CM14" s="107"/>
      <c r="CN14" s="107"/>
      <c r="CO14" s="1070"/>
      <c r="CP14" s="107"/>
      <c r="CQ14" s="1069"/>
      <c r="CR14" s="107"/>
      <c r="CS14" s="107"/>
      <c r="CT14" s="1070"/>
      <c r="CU14" s="107"/>
      <c r="CV14" s="1069"/>
      <c r="CW14" s="107"/>
      <c r="CX14" s="107"/>
      <c r="CY14" s="1070"/>
      <c r="CZ14" s="107"/>
    </row>
    <row r="15" spans="1:107" ht="13.5" customHeight="1">
      <c r="A15" s="66"/>
      <c r="B15" s="66"/>
      <c r="C15" s="79" t="s">
        <v>101</v>
      </c>
      <c r="D15" s="79"/>
      <c r="E15" s="154"/>
      <c r="F15" s="154"/>
      <c r="G15" s="154"/>
      <c r="H15" s="154"/>
      <c r="I15" s="154"/>
      <c r="J15" s="111">
        <f t="shared" ref="J15:AH15" si="0">J11+J10</f>
        <v>1080.6369809999999</v>
      </c>
      <c r="K15" s="111">
        <f t="shared" si="0"/>
        <v>1198.0322060000001</v>
      </c>
      <c r="L15" s="111">
        <f t="shared" si="0"/>
        <v>1228.529423</v>
      </c>
      <c r="M15" s="111">
        <f t="shared" si="0"/>
        <v>1294.5779270000003</v>
      </c>
      <c r="N15" s="111">
        <f t="shared" si="0"/>
        <v>4801.7765369999997</v>
      </c>
      <c r="O15" s="111">
        <f t="shared" si="0"/>
        <v>1480.2709870000001</v>
      </c>
      <c r="P15" s="111">
        <f t="shared" si="0"/>
        <v>1520.4608840000001</v>
      </c>
      <c r="Q15" s="111">
        <f t="shared" si="0"/>
        <v>1604.011344</v>
      </c>
      <c r="R15" s="111">
        <f t="shared" si="0"/>
        <v>1661.0797850000004</v>
      </c>
      <c r="S15" s="111">
        <f t="shared" si="0"/>
        <v>6265.8230000000003</v>
      </c>
      <c r="T15" s="111">
        <f t="shared" si="0"/>
        <v>2286.4160000000002</v>
      </c>
      <c r="U15" s="111">
        <f t="shared" si="0"/>
        <v>2761.8220000000001</v>
      </c>
      <c r="V15" s="111">
        <f t="shared" si="0"/>
        <v>3239.5920000000001</v>
      </c>
      <c r="W15" s="111">
        <f t="shared" si="0"/>
        <v>3088.998</v>
      </c>
      <c r="X15" s="111">
        <f t="shared" si="0"/>
        <v>11376.828</v>
      </c>
      <c r="Y15" s="111">
        <f t="shared" si="0"/>
        <v>3321.703</v>
      </c>
      <c r="Z15" s="111">
        <f t="shared" si="0"/>
        <v>3145.0030000000002</v>
      </c>
      <c r="AA15" s="111">
        <f t="shared" si="0"/>
        <v>3025.9110000000001</v>
      </c>
      <c r="AB15" s="111">
        <f t="shared" si="0"/>
        <v>3208.382000000001</v>
      </c>
      <c r="AC15" s="111">
        <f t="shared" si="0"/>
        <v>12700.999</v>
      </c>
      <c r="AD15" s="111">
        <f t="shared" si="0"/>
        <v>3545.0969999999993</v>
      </c>
      <c r="AE15" s="111">
        <f t="shared" si="0"/>
        <v>3806.3500000000004</v>
      </c>
      <c r="AF15" s="111">
        <f t="shared" si="0"/>
        <v>3931.2330000000002</v>
      </c>
      <c r="AG15" s="111">
        <f t="shared" si="0"/>
        <v>3468.5899999999997</v>
      </c>
      <c r="AH15" s="111">
        <f t="shared" si="0"/>
        <v>14751.27</v>
      </c>
      <c r="AI15" s="111">
        <f>AI11+AI10+AI13</f>
        <v>3768.8850000000002</v>
      </c>
      <c r="AJ15" s="111">
        <f>AJ11+AJ10+AJ13</f>
        <v>4186.1099999999997</v>
      </c>
      <c r="AK15" s="111">
        <f>AK11+AK10+AK13</f>
        <v>4259.2209999999995</v>
      </c>
      <c r="AL15" s="111">
        <f>AL11+AL10+AL13</f>
        <v>4396.76</v>
      </c>
      <c r="AM15" s="111">
        <f>AM11+AM10+AM13</f>
        <v>16610.976000000002</v>
      </c>
      <c r="AN15" s="111">
        <f>SUM(AN10:AN13)</f>
        <v>4974.2690000000002</v>
      </c>
      <c r="AO15" s="111">
        <f>SUM(AO10:AO13)</f>
        <v>7090.5990000000002</v>
      </c>
      <c r="AP15" s="111">
        <v>7447.52</v>
      </c>
      <c r="AQ15" s="111">
        <v>4150.9359999999997</v>
      </c>
      <c r="AR15" s="111">
        <f>SUM(AR10:AR13)</f>
        <v>23663.324000000004</v>
      </c>
      <c r="AS15" s="1071">
        <v>2654.319</v>
      </c>
      <c r="AT15" s="1072">
        <v>2478.0279999999998</v>
      </c>
      <c r="AU15" s="1072">
        <v>3120.0050000000001</v>
      </c>
      <c r="AV15" s="1073">
        <v>2937.944</v>
      </c>
      <c r="AW15" s="111">
        <f>SUM(AW10:AW13)</f>
        <v>11190.295999999998</v>
      </c>
      <c r="AX15" s="1071">
        <v>3654.8420000000001</v>
      </c>
      <c r="AY15" s="1072">
        <v>4195.9660000000003</v>
      </c>
      <c r="AZ15" s="1072">
        <v>4140.0690000000004</v>
      </c>
      <c r="BA15" s="1073">
        <v>3853.75</v>
      </c>
      <c r="BB15" s="111">
        <f>SUM(BB10:BB13)</f>
        <v>15844.627000000004</v>
      </c>
      <c r="BC15" s="1071">
        <v>4833.9340000000002</v>
      </c>
      <c r="BD15" s="1072">
        <v>5107.8090000000002</v>
      </c>
      <c r="BE15" s="1072">
        <v>5252.1440000000002</v>
      </c>
      <c r="BF15" s="1152">
        <v>4829.6769999999997</v>
      </c>
      <c r="BG15" s="371">
        <f>SUM(BG10:BG13)</f>
        <v>20023.563999999998</v>
      </c>
      <c r="BH15" s="1071">
        <v>5072.5940000000001</v>
      </c>
      <c r="BI15" s="1186">
        <v>5104.1989999999996</v>
      </c>
      <c r="BJ15" s="1072">
        <v>4801.2060000000001</v>
      </c>
      <c r="BK15" s="1073">
        <v>4451.2740000000003</v>
      </c>
      <c r="BL15" s="371">
        <f>SUM(BL10:BL13)</f>
        <v>19429.273000000001</v>
      </c>
      <c r="BM15" s="1071">
        <v>4550.7719999999999</v>
      </c>
      <c r="BN15" s="1072">
        <v>4665.5879999999997</v>
      </c>
      <c r="BO15" s="1072">
        <v>4940.9359999999997</v>
      </c>
      <c r="BP15" s="1073">
        <v>4894.75</v>
      </c>
      <c r="BQ15" s="111">
        <f>SUM(BQ10:BQ13)</f>
        <v>19052.045999999998</v>
      </c>
      <c r="BR15" s="1071">
        <v>5108.4440000000004</v>
      </c>
      <c r="BS15" s="1072">
        <v>5291.0749999999998</v>
      </c>
      <c r="BT15" s="1072">
        <v>5701.8689999999997</v>
      </c>
      <c r="BU15" s="1073">
        <v>5003.7529999999997</v>
      </c>
      <c r="BV15" s="111">
        <f>SUM(BV10:BV13)</f>
        <v>21105.141000000003</v>
      </c>
      <c r="BW15" s="1071">
        <v>4399.4399999999996</v>
      </c>
      <c r="BX15" s="1072">
        <v>4357.6090000000004</v>
      </c>
      <c r="BY15" s="1186">
        <v>4225.5140000000001</v>
      </c>
      <c r="BZ15" s="1152">
        <v>3456.7130000000002</v>
      </c>
      <c r="CA15" s="111">
        <f>SUM(CA10:CA13)</f>
        <v>16439.276000000002</v>
      </c>
      <c r="CB15" s="1071">
        <v>3715.576</v>
      </c>
      <c r="CC15" s="1072">
        <v>4245.7719999999999</v>
      </c>
      <c r="CD15" s="1186">
        <v>4290.2359999999999</v>
      </c>
      <c r="CE15" s="1152">
        <v>3956.538</v>
      </c>
      <c r="CF15" s="111">
        <f>SUM(CF10:CF13)</f>
        <v>16208.122000000001</v>
      </c>
      <c r="CG15" s="1071">
        <v>4815.1790000000001</v>
      </c>
      <c r="CH15" s="1072">
        <v>5174.7690000000002</v>
      </c>
      <c r="CI15" s="1072">
        <v>5170.1170000000002</v>
      </c>
      <c r="CJ15" s="1073">
        <v>5092.3280000000004</v>
      </c>
      <c r="CK15" s="111">
        <f t="shared" ref="CK15" si="1">SUM(CK10:CK13)</f>
        <v>20252.393</v>
      </c>
      <c r="CL15" s="1071">
        <v>5568.4189999999999</v>
      </c>
      <c r="CM15" s="112">
        <f t="shared" ref="CM15:CZ15" si="2">SUM(CM10:CM13)</f>
        <v>6597.9083088509942</v>
      </c>
      <c r="CN15" s="112">
        <f t="shared" si="2"/>
        <v>6737.6566576219666</v>
      </c>
      <c r="CO15" s="873">
        <f t="shared" si="2"/>
        <v>6579.9601327958853</v>
      </c>
      <c r="CP15" s="111">
        <f t="shared" si="2"/>
        <v>25483.944099268847</v>
      </c>
      <c r="CQ15" s="872">
        <f t="shared" si="2"/>
        <v>6932.6503065409343</v>
      </c>
      <c r="CR15" s="112">
        <f t="shared" si="2"/>
        <v>6844.1371930446439</v>
      </c>
      <c r="CS15" s="112">
        <f t="shared" si="2"/>
        <v>6698.8386500751894</v>
      </c>
      <c r="CT15" s="873">
        <f t="shared" si="2"/>
        <v>6421.8712385779827</v>
      </c>
      <c r="CU15" s="111">
        <f t="shared" si="2"/>
        <v>26897.497388238749</v>
      </c>
      <c r="CV15" s="872">
        <f t="shared" si="2"/>
        <v>6755.8960526036271</v>
      </c>
      <c r="CW15" s="112">
        <f t="shared" si="2"/>
        <v>6648.0391629868345</v>
      </c>
      <c r="CX15" s="112">
        <f t="shared" si="2"/>
        <v>6506.9156987550223</v>
      </c>
      <c r="CY15" s="873">
        <f t="shared" si="2"/>
        <v>6358.5102199140711</v>
      </c>
      <c r="CZ15" s="111">
        <f t="shared" si="2"/>
        <v>26269.361134259554</v>
      </c>
    </row>
    <row r="16" spans="1:107" ht="13.5" customHeight="1">
      <c r="A16" s="66"/>
      <c r="B16" s="66"/>
      <c r="C16" s="82" t="s">
        <v>265</v>
      </c>
      <c r="D16" s="79"/>
      <c r="E16" s="113"/>
      <c r="F16" s="113"/>
      <c r="G16" s="113"/>
      <c r="H16" s="113"/>
      <c r="I16" s="113"/>
      <c r="J16" s="113"/>
      <c r="K16" s="113"/>
      <c r="L16" s="113"/>
      <c r="M16" s="113"/>
      <c r="N16" s="113"/>
      <c r="O16" s="113">
        <f t="shared" ref="O16:AR16" si="3">O15/J15-1</f>
        <v>0.36981337213740995</v>
      </c>
      <c r="P16" s="113">
        <f t="shared" si="3"/>
        <v>0.26913189510700009</v>
      </c>
      <c r="Q16" s="113">
        <f t="shared" si="3"/>
        <v>0.30563526926615592</v>
      </c>
      <c r="R16" s="113">
        <f t="shared" si="3"/>
        <v>0.28310528887922248</v>
      </c>
      <c r="S16" s="113">
        <f t="shared" si="3"/>
        <v>0.30489683385280797</v>
      </c>
      <c r="T16" s="113">
        <f t="shared" si="3"/>
        <v>0.54459286176633004</v>
      </c>
      <c r="U16" s="113">
        <f t="shared" si="3"/>
        <v>0.81643739017754302</v>
      </c>
      <c r="V16" s="113">
        <f t="shared" si="3"/>
        <v>1.0196814767664137</v>
      </c>
      <c r="W16" s="113">
        <f t="shared" si="3"/>
        <v>0.85963252812687707</v>
      </c>
      <c r="X16" s="113">
        <f t="shared" si="3"/>
        <v>0.81569571946095487</v>
      </c>
      <c r="Y16" s="113">
        <f t="shared" si="3"/>
        <v>0.45279905319067026</v>
      </c>
      <c r="Z16" s="113">
        <f t="shared" si="3"/>
        <v>0.13874210575482415</v>
      </c>
      <c r="AA16" s="113">
        <f t="shared" si="3"/>
        <v>-6.5959231903276683E-2</v>
      </c>
      <c r="AB16" s="113">
        <f t="shared" si="3"/>
        <v>3.8648131206300951E-2</v>
      </c>
      <c r="AC16" s="113">
        <f t="shared" si="3"/>
        <v>0.11639193279532756</v>
      </c>
      <c r="AD16" s="113">
        <f t="shared" si="3"/>
        <v>6.7252851925653667E-2</v>
      </c>
      <c r="AE16" s="113">
        <f t="shared" si="3"/>
        <v>0.21028501403655264</v>
      </c>
      <c r="AF16" s="113">
        <f t="shared" si="3"/>
        <v>0.2991898968608131</v>
      </c>
      <c r="AG16" s="113">
        <f t="shared" si="3"/>
        <v>8.1102561976721832E-2</v>
      </c>
      <c r="AH16" s="113">
        <f t="shared" si="3"/>
        <v>0.16142596342224746</v>
      </c>
      <c r="AI16" s="136">
        <f t="shared" si="3"/>
        <v>6.3126058327882317E-2</v>
      </c>
      <c r="AJ16" s="136">
        <f t="shared" si="3"/>
        <v>9.9770120982042965E-2</v>
      </c>
      <c r="AK16" s="113">
        <f t="shared" si="3"/>
        <v>8.3431330577454776E-2</v>
      </c>
      <c r="AL16" s="136">
        <f t="shared" si="3"/>
        <v>0.26759288356363853</v>
      </c>
      <c r="AM16" s="113">
        <f t="shared" si="3"/>
        <v>0.12607090779302399</v>
      </c>
      <c r="AN16" s="136">
        <f t="shared" si="3"/>
        <v>0.31982509415914784</v>
      </c>
      <c r="AO16" s="136">
        <f t="shared" si="3"/>
        <v>0.6938396267656608</v>
      </c>
      <c r="AP16" s="136">
        <f t="shared" si="3"/>
        <v>0.74856388057816226</v>
      </c>
      <c r="AQ16" s="136">
        <f t="shared" si="3"/>
        <v>-5.5910261192332666E-2</v>
      </c>
      <c r="AR16" s="113">
        <f t="shared" si="3"/>
        <v>0.42455952016305365</v>
      </c>
      <c r="AS16" s="857">
        <f t="shared" ref="AS16:BX16" si="4">AS15/AN15-1</f>
        <v>-0.46639013692263132</v>
      </c>
      <c r="AT16" s="136">
        <f t="shared" si="4"/>
        <v>-0.65051922975759879</v>
      </c>
      <c r="AU16" s="136">
        <f t="shared" si="4"/>
        <v>-0.58106792596730195</v>
      </c>
      <c r="AV16" s="858">
        <f t="shared" si="4"/>
        <v>-0.2922213206852623</v>
      </c>
      <c r="AW16" s="136">
        <f t="shared" si="4"/>
        <v>-0.52710379995642209</v>
      </c>
      <c r="AX16" s="857">
        <f t="shared" si="4"/>
        <v>0.37694150552363914</v>
      </c>
      <c r="AY16" s="136">
        <f t="shared" si="4"/>
        <v>0.69326819551675789</v>
      </c>
      <c r="AZ16" s="136">
        <f t="shared" si="4"/>
        <v>0.326943065796369</v>
      </c>
      <c r="BA16" s="858">
        <f t="shared" si="4"/>
        <v>0.31171662904398456</v>
      </c>
      <c r="BB16" s="136">
        <f t="shared" si="4"/>
        <v>0.41592563771324786</v>
      </c>
      <c r="BC16" s="857">
        <f t="shared" si="4"/>
        <v>0.32261093639615623</v>
      </c>
      <c r="BD16" s="136">
        <f t="shared" si="4"/>
        <v>0.21731420130668355</v>
      </c>
      <c r="BE16" s="136">
        <f t="shared" si="4"/>
        <v>0.26861267288057267</v>
      </c>
      <c r="BF16" s="952">
        <f t="shared" si="4"/>
        <v>0.25324086928316558</v>
      </c>
      <c r="BG16" s="375">
        <f t="shared" si="4"/>
        <v>0.26374473820052646</v>
      </c>
      <c r="BH16" s="857">
        <f t="shared" si="4"/>
        <v>4.9371795312058486E-2</v>
      </c>
      <c r="BI16" s="136">
        <f t="shared" si="4"/>
        <v>-7.067609615004633E-4</v>
      </c>
      <c r="BJ16" s="136">
        <f t="shared" si="4"/>
        <v>-8.5857889654206043E-2</v>
      </c>
      <c r="BK16" s="858">
        <f t="shared" si="4"/>
        <v>-7.8349545942720256E-2</v>
      </c>
      <c r="BL16" s="375">
        <f t="shared" si="4"/>
        <v>-2.9679581517056519E-2</v>
      </c>
      <c r="BM16" s="857">
        <f t="shared" si="4"/>
        <v>-0.10287083886469139</v>
      </c>
      <c r="BN16" s="136">
        <f t="shared" si="4"/>
        <v>-8.593140667125243E-2</v>
      </c>
      <c r="BO16" s="136">
        <f t="shared" si="4"/>
        <v>2.9103104511658096E-2</v>
      </c>
      <c r="BP16" s="858">
        <f t="shared" si="4"/>
        <v>9.962900508932937E-2</v>
      </c>
      <c r="BQ16" s="136">
        <f t="shared" si="4"/>
        <v>-1.9415394492629856E-2</v>
      </c>
      <c r="BR16" s="857">
        <f t="shared" si="4"/>
        <v>0.12254448256251926</v>
      </c>
      <c r="BS16" s="136">
        <f t="shared" si="4"/>
        <v>0.13406391648812543</v>
      </c>
      <c r="BT16" s="136">
        <f t="shared" si="4"/>
        <v>0.15400584018898433</v>
      </c>
      <c r="BU16" s="858">
        <f t="shared" si="4"/>
        <v>2.2269370243628295E-2</v>
      </c>
      <c r="BV16" s="136">
        <f t="shared" si="4"/>
        <v>0.10776244189206796</v>
      </c>
      <c r="BW16" s="857">
        <f t="shared" si="4"/>
        <v>-0.1387905984679485</v>
      </c>
      <c r="BX16" s="136">
        <f t="shared" si="4"/>
        <v>-0.17642274963027349</v>
      </c>
      <c r="BY16" s="136">
        <f t="shared" ref="BY16:CZ16" si="5">BY15/BT15-1</f>
        <v>-0.2589247490603519</v>
      </c>
      <c r="BZ16" s="858">
        <f t="shared" si="5"/>
        <v>-0.30917593254503162</v>
      </c>
      <c r="CA16" s="136">
        <f t="shared" si="5"/>
        <v>-0.22107717735692933</v>
      </c>
      <c r="CB16" s="857">
        <f t="shared" si="5"/>
        <v>-0.15544342007164536</v>
      </c>
      <c r="CC16" s="136">
        <f t="shared" si="5"/>
        <v>-2.5664762487868975E-2</v>
      </c>
      <c r="CD16" s="136">
        <f t="shared" si="5"/>
        <v>1.5316953156468083E-2</v>
      </c>
      <c r="CE16" s="858">
        <f t="shared" si="5"/>
        <v>0.14459545817081132</v>
      </c>
      <c r="CF16" s="136">
        <f t="shared" si="5"/>
        <v>-1.4061081522081631E-2</v>
      </c>
      <c r="CG16" s="857">
        <f t="shared" si="5"/>
        <v>0.2959441550919697</v>
      </c>
      <c r="CH16" s="136">
        <f t="shared" si="5"/>
        <v>0.21880520197504727</v>
      </c>
      <c r="CI16" s="136">
        <f t="shared" si="5"/>
        <v>0.20508918390503461</v>
      </c>
      <c r="CJ16" s="858">
        <f t="shared" si="5"/>
        <v>0.28706662238553005</v>
      </c>
      <c r="CK16" s="136">
        <f t="shared" si="5"/>
        <v>0.24952125853939155</v>
      </c>
      <c r="CL16" s="857">
        <f t="shared" si="5"/>
        <v>0.15643032169728266</v>
      </c>
      <c r="CM16" s="136">
        <f t="shared" si="5"/>
        <v>0.27501504102907659</v>
      </c>
      <c r="CN16" s="136">
        <f t="shared" si="5"/>
        <v>0.30319229866983011</v>
      </c>
      <c r="CO16" s="858">
        <f t="shared" si="5"/>
        <v>0.29213203328534321</v>
      </c>
      <c r="CP16" s="136">
        <f t="shared" si="5"/>
        <v>0.25831767629972657</v>
      </c>
      <c r="CQ16" s="857">
        <f t="shared" si="5"/>
        <v>0.2449943703124593</v>
      </c>
      <c r="CR16" s="136">
        <f t="shared" si="5"/>
        <v>3.7319234015928515E-2</v>
      </c>
      <c r="CS16" s="136">
        <f t="shared" si="5"/>
        <v>-5.7613513895612423E-3</v>
      </c>
      <c r="CT16" s="858">
        <f t="shared" si="5"/>
        <v>-2.4025813382964833E-2</v>
      </c>
      <c r="CU16" s="136">
        <f t="shared" si="5"/>
        <v>5.5468387603724967E-2</v>
      </c>
      <c r="CV16" s="857">
        <f t="shared" si="5"/>
        <v>-2.5495913701364725E-2</v>
      </c>
      <c r="CW16" s="136">
        <f t="shared" si="5"/>
        <v>-2.8651972414739713E-2</v>
      </c>
      <c r="CX16" s="136">
        <f t="shared" si="5"/>
        <v>-2.8650182717568917E-2</v>
      </c>
      <c r="CY16" s="858">
        <f t="shared" si="5"/>
        <v>-9.8664417753012712E-3</v>
      </c>
      <c r="CZ16" s="136">
        <f t="shared" si="5"/>
        <v>-2.3352962727820725E-2</v>
      </c>
    </row>
    <row r="17" spans="1:104" ht="13.5" customHeight="1">
      <c r="A17" s="66"/>
      <c r="B17" s="66"/>
      <c r="C17" s="82" t="s">
        <v>105</v>
      </c>
      <c r="D17" s="79"/>
      <c r="E17" s="20"/>
      <c r="F17" s="20"/>
      <c r="G17" s="20"/>
      <c r="H17" s="20"/>
      <c r="I17" s="20"/>
      <c r="J17" s="113"/>
      <c r="K17" s="113">
        <f>K15/J15-1</f>
        <v>0.10863520966251317</v>
      </c>
      <c r="L17" s="113">
        <f>L15/K15-1</f>
        <v>2.5456091119473445E-2</v>
      </c>
      <c r="M17" s="113">
        <f>M15/L15-1</f>
        <v>5.3762248395088141E-2</v>
      </c>
      <c r="N17" s="20">
        <f>N15/M15-1</f>
        <v>2.7091444530708415</v>
      </c>
      <c r="O17" s="113">
        <f>O15/M15-1</f>
        <v>0.1434390747185974</v>
      </c>
      <c r="P17" s="113">
        <f>P15/O15-1</f>
        <v>2.7150364597397836E-2</v>
      </c>
      <c r="Q17" s="113">
        <f>Q15/P15-1</f>
        <v>5.4950746105481452E-2</v>
      </c>
      <c r="R17" s="113">
        <f>R15/Q15-1</f>
        <v>3.5578576930563433E-2</v>
      </c>
      <c r="S17" s="20"/>
      <c r="T17" s="113">
        <f>T15/R15-1</f>
        <v>0.37646368383201989</v>
      </c>
      <c r="U17" s="113">
        <f>U15/T15-1</f>
        <v>0.20792629162847009</v>
      </c>
      <c r="V17" s="113">
        <f>V15/U15-1</f>
        <v>0.17299087341617225</v>
      </c>
      <c r="W17" s="113">
        <f>W15/V15-1</f>
        <v>-4.6485483357163515E-2</v>
      </c>
      <c r="X17" s="20"/>
      <c r="Y17" s="113">
        <f>Y15/W15-1</f>
        <v>7.5333490018446136E-2</v>
      </c>
      <c r="Z17" s="113">
        <f>Z15/Y15-1</f>
        <v>-5.3195604784654127E-2</v>
      </c>
      <c r="AA17" s="113">
        <f>AA15/Z15-1</f>
        <v>-3.7867054498835206E-2</v>
      </c>
      <c r="AB17" s="113">
        <f>AB15/AA15-1</f>
        <v>6.0302831114332545E-2</v>
      </c>
      <c r="AC17" s="20"/>
      <c r="AD17" s="113">
        <f>AD15/AB15-1</f>
        <v>0.10494853792347625</v>
      </c>
      <c r="AE17" s="113">
        <f>AE15/AD15-1</f>
        <v>7.3694175363890224E-2</v>
      </c>
      <c r="AF17" s="113">
        <f>AF15/AE15-1</f>
        <v>3.2809121599432389E-2</v>
      </c>
      <c r="AG17" s="113">
        <f>AG15/AF15-1</f>
        <v>-0.11768394292579465</v>
      </c>
      <c r="AH17" s="20"/>
      <c r="AI17" s="136">
        <f>AI15/AG15-1</f>
        <v>8.6575524925113889E-2</v>
      </c>
      <c r="AJ17" s="136">
        <f>AJ15/AI15-1</f>
        <v>0.11070250219892608</v>
      </c>
      <c r="AK17" s="113">
        <f>AK15/AJ15-1</f>
        <v>1.7465140667588752E-2</v>
      </c>
      <c r="AL17" s="136">
        <f>AL15/AK15-1</f>
        <v>3.2292055284288024E-2</v>
      </c>
      <c r="AM17" s="20"/>
      <c r="AN17" s="136">
        <f>AN15/AL15-1</f>
        <v>0.13134876590944233</v>
      </c>
      <c r="AO17" s="136">
        <f>AO15/AN15-1</f>
        <v>0.42545547898595748</v>
      </c>
      <c r="AP17" s="136">
        <f>AP15/AO15-1</f>
        <v>5.0337214105606654E-2</v>
      </c>
      <c r="AQ17" s="136">
        <f>AQ15/AP15-1</f>
        <v>-0.44264184587621125</v>
      </c>
      <c r="AR17" s="66"/>
      <c r="AS17" s="857">
        <f>AS15/AQ15-1</f>
        <v>-0.36054928334235936</v>
      </c>
      <c r="AT17" s="136">
        <f>AT15/AS15-1</f>
        <v>-6.6416659037591197E-2</v>
      </c>
      <c r="AU17" s="136">
        <f>AU15/AT15-1</f>
        <v>0.25906769415034869</v>
      </c>
      <c r="AV17" s="858">
        <f>AV15/AU15-1</f>
        <v>-5.835279110129632E-2</v>
      </c>
      <c r="AW17" s="66"/>
      <c r="AX17" s="857">
        <f>AX15/AV15-1</f>
        <v>0.24401350059769689</v>
      </c>
      <c r="AY17" s="136">
        <f>AY15/AX15-1</f>
        <v>0.1480567422613619</v>
      </c>
      <c r="AZ17" s="136">
        <f>AZ15/AY15-1</f>
        <v>-1.3321604607854254E-2</v>
      </c>
      <c r="BA17" s="858">
        <f>BA15/AZ15-1</f>
        <v>-6.9158026110192949E-2</v>
      </c>
      <c r="BB17" s="66"/>
      <c r="BC17" s="857">
        <f>BC15/BA15-1</f>
        <v>0.25434550762244568</v>
      </c>
      <c r="BD17" s="136">
        <f>BD15/BC15-1</f>
        <v>5.6656752036746916E-2</v>
      </c>
      <c r="BE17" s="136">
        <f>BE15/BD15-1</f>
        <v>2.8257712847132632E-2</v>
      </c>
      <c r="BF17" s="952">
        <f>BF15/BE15-1</f>
        <v>-8.0437055800450352E-2</v>
      </c>
      <c r="BG17" s="362"/>
      <c r="BH17" s="857">
        <f>BH15/BF15-1</f>
        <v>5.0296738270489083E-2</v>
      </c>
      <c r="BI17" s="136">
        <f>BI15/BH15-1</f>
        <v>6.2305400353348528E-3</v>
      </c>
      <c r="BJ17" s="136">
        <f>BJ15/BI15-1</f>
        <v>-5.936151784050725E-2</v>
      </c>
      <c r="BK17" s="858">
        <f>BK15/BJ15-1</f>
        <v>-7.288418784780315E-2</v>
      </c>
      <c r="BL17" s="66"/>
      <c r="BM17" s="857">
        <f>BM15/BK15-1</f>
        <v>2.2352701720900425E-2</v>
      </c>
      <c r="BN17" s="136">
        <f>BN15/BM15-1</f>
        <v>2.5230004931031447E-2</v>
      </c>
      <c r="BO17" s="136">
        <f>BO15/BN15-1</f>
        <v>5.9016784165254244E-2</v>
      </c>
      <c r="BP17" s="858">
        <f>BP15/BO15-1</f>
        <v>-9.3476215842503985E-3</v>
      </c>
      <c r="BQ17" s="66"/>
      <c r="BR17" s="857">
        <f>BR15/BP15-1</f>
        <v>4.3657796618826294E-2</v>
      </c>
      <c r="BS17" s="136">
        <f>BS15/BR15-1</f>
        <v>3.5750807878093482E-2</v>
      </c>
      <c r="BT17" s="136">
        <f>BT15/BS15-1</f>
        <v>7.7639043105607097E-2</v>
      </c>
      <c r="BU17" s="858">
        <f>BU15/BT15-1</f>
        <v>-0.12243634499494815</v>
      </c>
      <c r="BV17" s="66"/>
      <c r="BW17" s="857">
        <f>BW15/BU15-1</f>
        <v>-0.1207719485753993</v>
      </c>
      <c r="BX17" s="136">
        <f>BX15/BW15-1</f>
        <v>-9.5082555961666371E-3</v>
      </c>
      <c r="BY17" s="136">
        <f>BY15/BX15-1</f>
        <v>-3.0313642183133038E-2</v>
      </c>
      <c r="BZ17" s="858">
        <f>BZ15/BY15-1</f>
        <v>-0.1819425991725504</v>
      </c>
      <c r="CA17" s="66"/>
      <c r="CB17" s="857">
        <f>CB15/BZ15-1</f>
        <v>7.4887038640465642E-2</v>
      </c>
      <c r="CC17" s="136">
        <f>CC15/CB15-1</f>
        <v>0.14269550669936493</v>
      </c>
      <c r="CD17" s="136">
        <f>CD15/CC15-1</f>
        <v>1.0472535972256614E-2</v>
      </c>
      <c r="CE17" s="858">
        <f>CE15/CD15-1</f>
        <v>-7.7780802734395027E-2</v>
      </c>
      <c r="CF17" s="453"/>
      <c r="CG17" s="857">
        <f>CG15/CE15-1</f>
        <v>0.21701826192494544</v>
      </c>
      <c r="CH17" s="136">
        <f>CH15/CG15-1</f>
        <v>7.467842836164551E-2</v>
      </c>
      <c r="CI17" s="136">
        <f>CI15/CH15-1</f>
        <v>-8.9897732633092975E-4</v>
      </c>
      <c r="CJ17" s="858">
        <f>CJ15/CI15-1</f>
        <v>-1.5045887742965891E-2</v>
      </c>
      <c r="CK17" s="453"/>
      <c r="CL17" s="857">
        <f>CL15/CJ15-1</f>
        <v>9.349181749486668E-2</v>
      </c>
      <c r="CM17" s="136">
        <f>CM15/CL15-1</f>
        <v>0.18488000074186117</v>
      </c>
      <c r="CN17" s="136">
        <f>CN15/CM15-1</f>
        <v>2.1180704888472235E-2</v>
      </c>
      <c r="CO17" s="858">
        <f>CO15/CN15-1</f>
        <v>-2.3405247972629661E-2</v>
      </c>
      <c r="CP17" s="66"/>
      <c r="CQ17" s="857">
        <f>CQ15/CO15-1</f>
        <v>5.3600655114484308E-2</v>
      </c>
      <c r="CR17" s="136">
        <f>CR15/CQ15-1</f>
        <v>-1.2767572224547163E-2</v>
      </c>
      <c r="CS17" s="136">
        <f>CS15/CR15-1</f>
        <v>-2.1229636237729776E-2</v>
      </c>
      <c r="CT17" s="858">
        <f>CT15/CS15-1</f>
        <v>-4.1345586297126036E-2</v>
      </c>
      <c r="CU17" s="66"/>
      <c r="CV17" s="857">
        <f>CV15/CT15-1</f>
        <v>5.2013626810058611E-2</v>
      </c>
      <c r="CW17" s="136">
        <f>CW15/CV15-1</f>
        <v>-1.5964853333589435E-2</v>
      </c>
      <c r="CX17" s="136">
        <f>CX15/CW15-1</f>
        <v>-2.1227832864992968E-2</v>
      </c>
      <c r="CY17" s="858">
        <f>CY15/CX15-1</f>
        <v>-2.28073461700673E-2</v>
      </c>
      <c r="CZ17" s="66"/>
    </row>
    <row r="18" spans="1:104" ht="6.2" customHeight="1">
      <c r="A18" s="66"/>
      <c r="B18" s="66"/>
      <c r="C18" s="82"/>
      <c r="D18" s="79"/>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66"/>
      <c r="AR18" s="66"/>
      <c r="AS18" s="859"/>
      <c r="AT18" s="20"/>
      <c r="AU18" s="20"/>
      <c r="AV18" s="860"/>
      <c r="AW18" s="66"/>
      <c r="AX18" s="859"/>
      <c r="AY18" s="20"/>
      <c r="AZ18" s="20"/>
      <c r="BA18" s="860"/>
      <c r="BB18" s="66"/>
      <c r="BC18" s="859"/>
      <c r="BD18" s="20"/>
      <c r="BE18" s="20"/>
      <c r="BF18" s="954"/>
      <c r="BG18" s="362"/>
      <c r="BH18" s="859"/>
      <c r="BI18" s="20"/>
      <c r="BJ18" s="20"/>
      <c r="BK18" s="860"/>
      <c r="BL18" s="66"/>
      <c r="BM18" s="859"/>
      <c r="BN18" s="20"/>
      <c r="BO18" s="20"/>
      <c r="BP18" s="860"/>
      <c r="BQ18" s="66"/>
      <c r="BR18" s="859"/>
      <c r="BS18" s="20"/>
      <c r="BT18" s="20"/>
      <c r="BU18" s="860"/>
      <c r="BV18" s="66"/>
      <c r="BW18" s="859"/>
      <c r="BX18" s="20"/>
      <c r="BY18" s="20"/>
      <c r="BZ18" s="860"/>
      <c r="CA18" s="66"/>
      <c r="CB18" s="859"/>
      <c r="CC18" s="20"/>
      <c r="CD18" s="495"/>
      <c r="CE18" s="944"/>
      <c r="CF18" s="453"/>
      <c r="CG18" s="981"/>
      <c r="CH18" s="495"/>
      <c r="CI18" s="20"/>
      <c r="CJ18" s="944"/>
      <c r="CK18" s="453"/>
      <c r="CL18" s="859"/>
      <c r="CM18" s="20"/>
      <c r="CN18" s="20"/>
      <c r="CO18" s="860"/>
      <c r="CP18" s="66"/>
      <c r="CQ18" s="859"/>
      <c r="CR18" s="20"/>
      <c r="CS18" s="20"/>
      <c r="CT18" s="860"/>
      <c r="CU18" s="66"/>
      <c r="CV18" s="859"/>
      <c r="CW18" s="20"/>
      <c r="CX18" s="20"/>
      <c r="CY18" s="860"/>
      <c r="CZ18" s="66"/>
    </row>
    <row r="19" spans="1:104" ht="13.5" customHeight="1">
      <c r="A19" s="115"/>
      <c r="B19" s="115" t="s">
        <v>279</v>
      </c>
      <c r="C19" s="82"/>
      <c r="D19" s="72"/>
      <c r="E19" s="75"/>
      <c r="F19" s="75"/>
      <c r="G19" s="75"/>
      <c r="H19" s="75"/>
      <c r="I19" s="75"/>
      <c r="J19" s="94">
        <f t="shared" ref="J19:AL19" si="6">J15-J31-J28-J21</f>
        <v>904.02334599999983</v>
      </c>
      <c r="K19" s="94">
        <f t="shared" si="6"/>
        <v>993.34140400000013</v>
      </c>
      <c r="L19" s="94">
        <f t="shared" si="6"/>
        <v>1030.4329459999999</v>
      </c>
      <c r="M19" s="94">
        <f t="shared" si="6"/>
        <v>1097.3786020000005</v>
      </c>
      <c r="N19" s="94">
        <f t="shared" si="6"/>
        <v>4025.1762979999999</v>
      </c>
      <c r="O19" s="94">
        <f t="shared" si="6"/>
        <v>1314.965195</v>
      </c>
      <c r="P19" s="94">
        <f t="shared" si="6"/>
        <v>1360.066568</v>
      </c>
      <c r="Q19" s="94">
        <f t="shared" si="6"/>
        <v>1441.9925010000002</v>
      </c>
      <c r="R19" s="94">
        <f t="shared" si="6"/>
        <v>1512.9105440000005</v>
      </c>
      <c r="S19" s="94">
        <f t="shared" si="6"/>
        <v>5629.9348080000009</v>
      </c>
      <c r="T19" s="94">
        <f t="shared" si="6"/>
        <v>1920.0710000000001</v>
      </c>
      <c r="U19" s="94">
        <f t="shared" si="6"/>
        <v>2123.3350000000005</v>
      </c>
      <c r="V19" s="94">
        <f t="shared" si="6"/>
        <v>2335.3920000000003</v>
      </c>
      <c r="W19" s="94">
        <f t="shared" si="6"/>
        <v>2353.569</v>
      </c>
      <c r="X19" s="94">
        <f t="shared" si="6"/>
        <v>8732.3669999999984</v>
      </c>
      <c r="Y19" s="94">
        <f t="shared" si="6"/>
        <v>2528.42</v>
      </c>
      <c r="Z19" s="94">
        <f t="shared" si="6"/>
        <v>2426.1110000000003</v>
      </c>
      <c r="AA19" s="94">
        <f t="shared" si="6"/>
        <v>2339.0479999999998</v>
      </c>
      <c r="AB19" s="94">
        <f t="shared" si="6"/>
        <v>2416.7630000000008</v>
      </c>
      <c r="AC19" s="94">
        <f t="shared" si="6"/>
        <v>9710.3420000000006</v>
      </c>
      <c r="AD19" s="94">
        <f t="shared" si="6"/>
        <v>2688.2169999999996</v>
      </c>
      <c r="AE19" s="94">
        <f t="shared" si="6"/>
        <v>2834.3120000000004</v>
      </c>
      <c r="AF19" s="94">
        <f t="shared" si="6"/>
        <v>2835.3910000000001</v>
      </c>
      <c r="AG19" s="94">
        <f t="shared" si="6"/>
        <v>2561.2670000000003</v>
      </c>
      <c r="AH19" s="94">
        <f t="shared" si="6"/>
        <v>10919.187000000002</v>
      </c>
      <c r="AI19" s="116">
        <f t="shared" si="6"/>
        <v>2893.1959999999999</v>
      </c>
      <c r="AJ19" s="116">
        <f t="shared" si="6"/>
        <v>3324.1579999999994</v>
      </c>
      <c r="AK19" s="94">
        <f t="shared" si="6"/>
        <v>3331.6920000000009</v>
      </c>
      <c r="AL19" s="116">
        <f t="shared" si="6"/>
        <v>3504.3250000000003</v>
      </c>
      <c r="AM19" s="107">
        <f>SUM(AI19:AL19)</f>
        <v>13053.371000000001</v>
      </c>
      <c r="AN19" s="116">
        <f t="shared" ref="AN19:BS19" si="7">AN15-AN31-AN28-AN21</f>
        <v>3948.5190000000007</v>
      </c>
      <c r="AO19" s="116">
        <f t="shared" si="7"/>
        <v>5739.4299999999994</v>
      </c>
      <c r="AP19" s="116">
        <f t="shared" si="7"/>
        <v>5848.3580000000002</v>
      </c>
      <c r="AQ19" s="116">
        <f t="shared" si="7"/>
        <v>3484.6689999999999</v>
      </c>
      <c r="AR19" s="94">
        <f t="shared" si="7"/>
        <v>19020.976000000006</v>
      </c>
      <c r="AS19" s="1074">
        <f t="shared" si="7"/>
        <v>2640.4829999999997</v>
      </c>
      <c r="AT19" s="565">
        <f t="shared" si="7"/>
        <v>2399.2689999999993</v>
      </c>
      <c r="AU19" s="565">
        <f t="shared" si="7"/>
        <v>2857.223</v>
      </c>
      <c r="AV19" s="1075">
        <f t="shared" si="7"/>
        <v>2575.3049999999998</v>
      </c>
      <c r="AW19" s="565">
        <f t="shared" si="7"/>
        <v>10472.279999999999</v>
      </c>
      <c r="AX19" s="1074">
        <f t="shared" si="7"/>
        <v>3314.32</v>
      </c>
      <c r="AY19" s="565">
        <f t="shared" si="7"/>
        <v>3750.2880000000005</v>
      </c>
      <c r="AZ19" s="565">
        <f t="shared" si="7"/>
        <v>3808.1430000000005</v>
      </c>
      <c r="BA19" s="1075">
        <f t="shared" si="7"/>
        <v>3567.6909999999998</v>
      </c>
      <c r="BB19" s="565">
        <f t="shared" si="7"/>
        <v>14440.442000000003</v>
      </c>
      <c r="BC19" s="1074">
        <f t="shared" si="7"/>
        <v>4255.0690000000004</v>
      </c>
      <c r="BD19" s="565">
        <f t="shared" si="7"/>
        <v>4294.2509999999993</v>
      </c>
      <c r="BE19" s="565">
        <f t="shared" si="7"/>
        <v>4634.7469999999994</v>
      </c>
      <c r="BF19" s="1153">
        <f t="shared" si="7"/>
        <v>4339.5429999999997</v>
      </c>
      <c r="BG19" s="567">
        <f t="shared" si="7"/>
        <v>17523.609999999997</v>
      </c>
      <c r="BH19" s="1074">
        <f t="shared" si="7"/>
        <v>4550.8190000000004</v>
      </c>
      <c r="BI19" s="565">
        <f t="shared" si="7"/>
        <v>4549.759</v>
      </c>
      <c r="BJ19" s="565">
        <f t="shared" si="7"/>
        <v>4254.8160000000007</v>
      </c>
      <c r="BK19" s="1153">
        <f t="shared" si="7"/>
        <v>3900.3430000000008</v>
      </c>
      <c r="BL19" s="567">
        <f t="shared" si="7"/>
        <v>17255.736999999997</v>
      </c>
      <c r="BM19" s="1074">
        <f t="shared" si="7"/>
        <v>4099.2549999999992</v>
      </c>
      <c r="BN19" s="565">
        <f t="shared" si="7"/>
        <v>4204.3859999999995</v>
      </c>
      <c r="BO19" s="565">
        <f t="shared" si="7"/>
        <v>4365.5599999999995</v>
      </c>
      <c r="BP19" s="1075">
        <f t="shared" si="7"/>
        <v>4338.7149999999992</v>
      </c>
      <c r="BQ19" s="565">
        <f t="shared" si="7"/>
        <v>17007.916000000001</v>
      </c>
      <c r="BR19" s="1074">
        <f t="shared" si="7"/>
        <v>4537.8559999999998</v>
      </c>
      <c r="BS19" s="565">
        <f t="shared" si="7"/>
        <v>4689.2239999999993</v>
      </c>
      <c r="BT19" s="565">
        <f t="shared" ref="BT19:CZ19" si="8">BT15-BT31-BT28-BT21</f>
        <v>4909.3139999999994</v>
      </c>
      <c r="BU19" s="1075">
        <f t="shared" si="8"/>
        <v>4302.7929999999997</v>
      </c>
      <c r="BV19" s="565">
        <f t="shared" si="8"/>
        <v>18439.187000000005</v>
      </c>
      <c r="BW19" s="1074">
        <f t="shared" si="8"/>
        <v>3934.8279999999995</v>
      </c>
      <c r="BX19" s="565">
        <f t="shared" si="8"/>
        <v>3795.7820000000002</v>
      </c>
      <c r="BY19" s="565">
        <f t="shared" si="8"/>
        <v>3528.067</v>
      </c>
      <c r="BZ19" s="1075">
        <f t="shared" si="8"/>
        <v>2893.991</v>
      </c>
      <c r="CA19" s="565">
        <f t="shared" si="8"/>
        <v>14152.668000000001</v>
      </c>
      <c r="CB19" s="1074">
        <f t="shared" si="8"/>
        <v>3249.0220000000004</v>
      </c>
      <c r="CC19" s="565">
        <f t="shared" si="8"/>
        <v>3501.3790000000004</v>
      </c>
      <c r="CD19" s="565">
        <f t="shared" si="8"/>
        <v>3480.232</v>
      </c>
      <c r="CE19" s="1075">
        <f t="shared" si="8"/>
        <v>3366.3080000000004</v>
      </c>
      <c r="CF19" s="565">
        <f t="shared" si="8"/>
        <v>13596.941000000001</v>
      </c>
      <c r="CG19" s="1074">
        <f t="shared" si="8"/>
        <v>3855.48</v>
      </c>
      <c r="CH19" s="565">
        <f t="shared" si="8"/>
        <v>4269.0139999999992</v>
      </c>
      <c r="CI19" s="565">
        <f t="shared" si="8"/>
        <v>4417.1149999999998</v>
      </c>
      <c r="CJ19" s="1075">
        <f t="shared" si="8"/>
        <v>4376.0550000000003</v>
      </c>
      <c r="CK19" s="565">
        <f t="shared" si="8"/>
        <v>16917.664000000001</v>
      </c>
      <c r="CL19" s="1074">
        <f t="shared" si="8"/>
        <v>4636.6329999999998</v>
      </c>
      <c r="CM19" s="565">
        <f t="shared" si="8"/>
        <v>5463.7665409724632</v>
      </c>
      <c r="CN19" s="565">
        <f t="shared" si="8"/>
        <v>5583.0701554612624</v>
      </c>
      <c r="CO19" s="1075">
        <f t="shared" si="8"/>
        <v>5493.0710712395121</v>
      </c>
      <c r="CP19" s="565">
        <f t="shared" si="8"/>
        <v>21176.540767673236</v>
      </c>
      <c r="CQ19" s="1074">
        <f t="shared" si="8"/>
        <v>5774.2045213915044</v>
      </c>
      <c r="CR19" s="565">
        <f t="shared" si="8"/>
        <v>5733.3973515570997</v>
      </c>
      <c r="CS19" s="565">
        <f t="shared" si="8"/>
        <v>5670.1817722891274</v>
      </c>
      <c r="CT19" s="1075">
        <f t="shared" si="8"/>
        <v>5517.98735527798</v>
      </c>
      <c r="CU19" s="565">
        <f t="shared" si="8"/>
        <v>22695.771000515713</v>
      </c>
      <c r="CV19" s="1074">
        <f t="shared" si="8"/>
        <v>5734.4924959090913</v>
      </c>
      <c r="CW19" s="565">
        <f t="shared" si="8"/>
        <v>5602.3843037033794</v>
      </c>
      <c r="CX19" s="565">
        <f t="shared" si="8"/>
        <v>5519.4549287377577</v>
      </c>
      <c r="CY19" s="1075">
        <f t="shared" si="8"/>
        <v>5367.8589156098342</v>
      </c>
      <c r="CZ19" s="565">
        <f t="shared" si="8"/>
        <v>22224.190643960061</v>
      </c>
    </row>
    <row r="20" spans="1:104" ht="13.5" customHeight="1">
      <c r="A20" s="115"/>
      <c r="B20" s="66"/>
      <c r="C20" s="66" t="s">
        <v>390</v>
      </c>
      <c r="D20" s="72"/>
      <c r="E20" s="75"/>
      <c r="F20" s="75"/>
      <c r="G20" s="75"/>
      <c r="H20" s="75"/>
      <c r="I20" s="75"/>
      <c r="J20" s="117">
        <f t="shared" ref="J20:AM20" si="9">J19/J15</f>
        <v>0.83656524984313851</v>
      </c>
      <c r="K20" s="117">
        <f t="shared" si="9"/>
        <v>0.82914415741508041</v>
      </c>
      <c r="L20" s="117">
        <f t="shared" si="9"/>
        <v>0.83875316838870695</v>
      </c>
      <c r="M20" s="117">
        <f t="shared" si="9"/>
        <v>0.84767288172680255</v>
      </c>
      <c r="N20" s="117">
        <f t="shared" si="9"/>
        <v>0.83826814242272185</v>
      </c>
      <c r="O20" s="117">
        <f t="shared" si="9"/>
        <v>0.88832734448506756</v>
      </c>
      <c r="P20" s="117">
        <f t="shared" si="9"/>
        <v>0.89450940981918736</v>
      </c>
      <c r="Q20" s="117">
        <f t="shared" si="9"/>
        <v>0.89899146062398427</v>
      </c>
      <c r="R20" s="117">
        <f t="shared" si="9"/>
        <v>0.91079944362817</v>
      </c>
      <c r="S20" s="117">
        <f t="shared" si="9"/>
        <v>0.89851481728737004</v>
      </c>
      <c r="T20" s="117">
        <f t="shared" si="9"/>
        <v>0.8397732521116017</v>
      </c>
      <c r="U20" s="117">
        <f t="shared" si="9"/>
        <v>0.76881674488797624</v>
      </c>
      <c r="V20" s="117">
        <f t="shared" si="9"/>
        <v>0.7208907788388168</v>
      </c>
      <c r="W20" s="117">
        <f t="shared" si="9"/>
        <v>0.76191988470047567</v>
      </c>
      <c r="X20" s="117">
        <f t="shared" si="9"/>
        <v>0.76755726640149602</v>
      </c>
      <c r="Y20" s="117">
        <f t="shared" si="9"/>
        <v>0.76118183955639629</v>
      </c>
      <c r="Z20" s="117">
        <f t="shared" si="9"/>
        <v>0.77141770611983529</v>
      </c>
      <c r="AA20" s="117">
        <f t="shared" si="9"/>
        <v>0.77300621201350594</v>
      </c>
      <c r="AB20" s="117">
        <f t="shared" si="9"/>
        <v>0.75326535306581321</v>
      </c>
      <c r="AC20" s="117">
        <f t="shared" si="9"/>
        <v>0.76453371896179201</v>
      </c>
      <c r="AD20" s="117">
        <f t="shared" si="9"/>
        <v>0.75829152206554584</v>
      </c>
      <c r="AE20" s="117">
        <f t="shared" si="9"/>
        <v>0.7446272675923129</v>
      </c>
      <c r="AF20" s="117">
        <f t="shared" si="9"/>
        <v>0.72124725245234766</v>
      </c>
      <c r="AG20" s="117">
        <f t="shared" si="9"/>
        <v>0.73841733961062006</v>
      </c>
      <c r="AH20" s="117">
        <f t="shared" si="9"/>
        <v>0.74022013019895927</v>
      </c>
      <c r="AI20" s="155">
        <f t="shared" si="9"/>
        <v>0.76765303266085316</v>
      </c>
      <c r="AJ20" s="155">
        <f t="shared" si="9"/>
        <v>0.7940923673768725</v>
      </c>
      <c r="AK20" s="117">
        <f t="shared" si="9"/>
        <v>0.78223036559971915</v>
      </c>
      <c r="AL20" s="155">
        <f t="shared" si="9"/>
        <v>0.79702439978529649</v>
      </c>
      <c r="AM20" s="117">
        <f t="shared" si="9"/>
        <v>0.78582805730379712</v>
      </c>
      <c r="AN20" s="155">
        <f t="shared" ref="AN20:BS20" si="10">AN19/AN15</f>
        <v>0.79378879590146822</v>
      </c>
      <c r="AO20" s="155">
        <f t="shared" si="10"/>
        <v>0.80944219240151627</v>
      </c>
      <c r="AP20" s="155">
        <f t="shared" si="10"/>
        <v>0.78527590392506497</v>
      </c>
      <c r="AQ20" s="155">
        <f t="shared" si="10"/>
        <v>0.8394899367275237</v>
      </c>
      <c r="AR20" s="117">
        <f t="shared" si="10"/>
        <v>0.80381674189137597</v>
      </c>
      <c r="AS20" s="1076">
        <f t="shared" si="10"/>
        <v>0.99478736353844421</v>
      </c>
      <c r="AT20" s="566">
        <f t="shared" si="10"/>
        <v>0.96821706615098757</v>
      </c>
      <c r="AU20" s="566">
        <f t="shared" si="10"/>
        <v>0.91577513497574514</v>
      </c>
      <c r="AV20" s="1077">
        <f t="shared" si="10"/>
        <v>0.87656708228611568</v>
      </c>
      <c r="AW20" s="566">
        <f t="shared" si="10"/>
        <v>0.93583583490552891</v>
      </c>
      <c r="AX20" s="1076">
        <f t="shared" si="10"/>
        <v>0.90682989852912932</v>
      </c>
      <c r="AY20" s="566">
        <f t="shared" si="10"/>
        <v>0.89378417270302002</v>
      </c>
      <c r="AZ20" s="566">
        <f t="shared" si="10"/>
        <v>0.91982597391492749</v>
      </c>
      <c r="BA20" s="1077">
        <f t="shared" si="10"/>
        <v>0.92577126175802782</v>
      </c>
      <c r="BB20" s="566">
        <f t="shared" si="10"/>
        <v>0.91137784436326574</v>
      </c>
      <c r="BC20" s="1076">
        <f t="shared" si="10"/>
        <v>0.88024970965677241</v>
      </c>
      <c r="BD20" s="566">
        <f t="shared" si="10"/>
        <v>0.8407227051755457</v>
      </c>
      <c r="BE20" s="566">
        <f t="shared" si="10"/>
        <v>0.8824485771905719</v>
      </c>
      <c r="BF20" s="1154">
        <f t="shared" si="10"/>
        <v>0.89851619476830435</v>
      </c>
      <c r="BG20" s="568">
        <f t="shared" si="10"/>
        <v>0.87514939897812394</v>
      </c>
      <c r="BH20" s="1076">
        <f t="shared" si="10"/>
        <v>0.89713842661170995</v>
      </c>
      <c r="BI20" s="566">
        <f t="shared" si="10"/>
        <v>0.89137570850979764</v>
      </c>
      <c r="BJ20" s="566">
        <f t="shared" si="10"/>
        <v>0.88619734291759211</v>
      </c>
      <c r="BK20" s="1154">
        <f t="shared" si="10"/>
        <v>0.87623071507168515</v>
      </c>
      <c r="BL20" s="568">
        <f t="shared" si="10"/>
        <v>0.88813086315684564</v>
      </c>
      <c r="BM20" s="1076">
        <f t="shared" si="10"/>
        <v>0.90078232880047593</v>
      </c>
      <c r="BN20" s="566">
        <f t="shared" si="10"/>
        <v>0.9011481511012116</v>
      </c>
      <c r="BO20" s="566">
        <f t="shared" si="10"/>
        <v>0.88354918987009745</v>
      </c>
      <c r="BP20" s="1077">
        <f t="shared" si="10"/>
        <v>0.88640175698452406</v>
      </c>
      <c r="BQ20" s="566">
        <f t="shared" si="10"/>
        <v>0.89270811124432525</v>
      </c>
      <c r="BR20" s="1076">
        <f t="shared" si="10"/>
        <v>0.88830493199103278</v>
      </c>
      <c r="BS20" s="566">
        <f t="shared" si="10"/>
        <v>0.88625165963438424</v>
      </c>
      <c r="BT20" s="566">
        <f t="shared" ref="BT20:CY20" si="11">BT19/BT15</f>
        <v>0.86100084025080192</v>
      </c>
      <c r="BU20" s="1077">
        <f t="shared" si="11"/>
        <v>0.85991314919021777</v>
      </c>
      <c r="BV20" s="566">
        <f t="shared" si="11"/>
        <v>0.87368224642517212</v>
      </c>
      <c r="BW20" s="1076">
        <f t="shared" si="11"/>
        <v>0.89439292273562088</v>
      </c>
      <c r="BX20" s="566">
        <f t="shared" si="11"/>
        <v>0.87106989176862815</v>
      </c>
      <c r="BY20" s="566">
        <f t="shared" si="11"/>
        <v>0.83494386718396862</v>
      </c>
      <c r="BZ20" s="1077">
        <f t="shared" si="11"/>
        <v>0.83720893230071458</v>
      </c>
      <c r="CA20" s="566">
        <f t="shared" si="11"/>
        <v>0.86090579658130928</v>
      </c>
      <c r="CB20" s="1076">
        <f t="shared" si="11"/>
        <v>0.87443292776140236</v>
      </c>
      <c r="CC20" s="566">
        <f t="shared" si="11"/>
        <v>0.82467428773848439</v>
      </c>
      <c r="CD20" s="566">
        <f t="shared" si="11"/>
        <v>0.81119826508378556</v>
      </c>
      <c r="CE20" s="1077">
        <f t="shared" si="11"/>
        <v>0.85082160211781122</v>
      </c>
      <c r="CF20" s="566">
        <f t="shared" si="11"/>
        <v>0.83889675805747266</v>
      </c>
      <c r="CG20" s="1076">
        <f t="shared" si="11"/>
        <v>0.8006929752767239</v>
      </c>
      <c r="CH20" s="566">
        <f t="shared" si="11"/>
        <v>0.82496706616275994</v>
      </c>
      <c r="CI20" s="566">
        <f t="shared" si="11"/>
        <v>0.85435494012998148</v>
      </c>
      <c r="CJ20" s="1077">
        <f t="shared" si="11"/>
        <v>0.85934272105017584</v>
      </c>
      <c r="CK20" s="566">
        <f t="shared" si="11"/>
        <v>0.83534148285587784</v>
      </c>
      <c r="CL20" s="1076">
        <f t="shared" si="11"/>
        <v>0.83266596856306974</v>
      </c>
      <c r="CM20" s="566">
        <f t="shared" si="11"/>
        <v>0.82810586101096662</v>
      </c>
      <c r="CN20" s="566">
        <f t="shared" si="11"/>
        <v>0.82863678563160692</v>
      </c>
      <c r="CO20" s="1077">
        <f t="shared" si="11"/>
        <v>0.8348182907463082</v>
      </c>
      <c r="CP20" s="566">
        <f t="shared" si="11"/>
        <v>0.83097579735629723</v>
      </c>
      <c r="CQ20" s="1076">
        <f t="shared" si="11"/>
        <v>0.83290001169445405</v>
      </c>
      <c r="CR20" s="566">
        <f t="shared" si="11"/>
        <v>0.83770929626946489</v>
      </c>
      <c r="CS20" s="566">
        <f t="shared" si="11"/>
        <v>0.8464425057058933</v>
      </c>
      <c r="CT20" s="1077">
        <f t="shared" si="11"/>
        <v>0.85924914254429163</v>
      </c>
      <c r="CU20" s="566">
        <f t="shared" si="11"/>
        <v>0.84378745996048354</v>
      </c>
      <c r="CV20" s="1076">
        <f t="shared" si="11"/>
        <v>0.84881301477382831</v>
      </c>
      <c r="CW20" s="566">
        <f t="shared" si="11"/>
        <v>0.84271228949655241</v>
      </c>
      <c r="CX20" s="566">
        <f t="shared" si="11"/>
        <v>0.84824441936350936</v>
      </c>
      <c r="CY20" s="1077">
        <f t="shared" si="11"/>
        <v>0.84420072154611958</v>
      </c>
      <c r="CZ20" s="566">
        <f t="shared" ref="CZ20" si="12">CZ19/CZ15</f>
        <v>0.84601184362173443</v>
      </c>
    </row>
    <row r="21" spans="1:104" ht="13.5" customHeight="1">
      <c r="A21" s="115"/>
      <c r="B21" s="66" t="s">
        <v>576</v>
      </c>
      <c r="C21" s="66"/>
      <c r="D21" s="72"/>
      <c r="E21" s="75"/>
      <c r="F21" s="75"/>
      <c r="G21" s="75"/>
      <c r="H21" s="75"/>
      <c r="I21" s="75"/>
      <c r="J21" s="94">
        <f t="shared" ref="J21:AL21" si="13">J193</f>
        <v>75.715271000000001</v>
      </c>
      <c r="K21" s="94">
        <f t="shared" si="13"/>
        <v>76.304455999999988</v>
      </c>
      <c r="L21" s="94">
        <f t="shared" si="13"/>
        <v>76.166070000000019</v>
      </c>
      <c r="M21" s="94">
        <f t="shared" si="13"/>
        <v>78.915234999999967</v>
      </c>
      <c r="N21" s="94">
        <f t="shared" si="13"/>
        <v>307.10103199999998</v>
      </c>
      <c r="O21" s="94">
        <f t="shared" si="13"/>
        <v>91.459693000000001</v>
      </c>
      <c r="P21" s="94">
        <f t="shared" si="13"/>
        <v>91.578919999999997</v>
      </c>
      <c r="Q21" s="94">
        <f t="shared" si="13"/>
        <v>90.864865999999992</v>
      </c>
      <c r="R21" s="94">
        <f t="shared" si="13"/>
        <v>90.208444999999998</v>
      </c>
      <c r="S21" s="94">
        <f t="shared" si="13"/>
        <v>364.11192399999999</v>
      </c>
      <c r="T21" s="94">
        <f t="shared" si="13"/>
        <v>96.298000000000002</v>
      </c>
      <c r="U21" s="94">
        <f t="shared" si="13"/>
        <v>97.381</v>
      </c>
      <c r="V21" s="94">
        <f t="shared" si="13"/>
        <v>98.126000000000005</v>
      </c>
      <c r="W21" s="94">
        <f t="shared" si="13"/>
        <v>91.5</v>
      </c>
      <c r="X21" s="94">
        <f t="shared" si="13"/>
        <v>383.30500000000001</v>
      </c>
      <c r="Y21" s="94">
        <f t="shared" si="13"/>
        <v>91.29</v>
      </c>
      <c r="Z21" s="94">
        <f t="shared" si="13"/>
        <v>93.98099999999998</v>
      </c>
      <c r="AA21" s="94">
        <f t="shared" si="13"/>
        <v>96.228000000000023</v>
      </c>
      <c r="AB21" s="94">
        <f t="shared" si="13"/>
        <v>93.55499999999995</v>
      </c>
      <c r="AC21" s="94">
        <f t="shared" si="13"/>
        <v>375.05399999999997</v>
      </c>
      <c r="AD21" s="94">
        <f t="shared" si="13"/>
        <v>90.825000000000003</v>
      </c>
      <c r="AE21" s="94">
        <f t="shared" si="13"/>
        <v>91.662999999999997</v>
      </c>
      <c r="AF21" s="94">
        <f t="shared" si="13"/>
        <v>91.189999999999984</v>
      </c>
      <c r="AG21" s="94">
        <f t="shared" si="13"/>
        <v>90.257999999999981</v>
      </c>
      <c r="AH21" s="94">
        <f t="shared" si="13"/>
        <v>363.93599999999998</v>
      </c>
      <c r="AI21" s="94">
        <f t="shared" si="13"/>
        <v>98.402000000000001</v>
      </c>
      <c r="AJ21" s="94">
        <f t="shared" si="13"/>
        <v>97.747</v>
      </c>
      <c r="AK21" s="94">
        <f t="shared" si="13"/>
        <v>117.56799999999997</v>
      </c>
      <c r="AL21" s="94">
        <f t="shared" si="13"/>
        <v>113.83900000000004</v>
      </c>
      <c r="AM21" s="94">
        <f>Operations!AM186</f>
        <v>427.55600000000004</v>
      </c>
      <c r="AN21" s="94">
        <f>AN193</f>
        <v>123.07300000000001</v>
      </c>
      <c r="AO21" s="116">
        <f>AO193</f>
        <v>140.22499999999999</v>
      </c>
      <c r="AP21" s="116">
        <f>AP193</f>
        <v>142.04899999999995</v>
      </c>
      <c r="AQ21" s="116">
        <f>AQ193</f>
        <v>143.55999999999995</v>
      </c>
      <c r="AR21" s="94">
        <f>Operations!AR186</f>
        <v>548.90699999999993</v>
      </c>
      <c r="AS21" s="1074">
        <f>AS193</f>
        <v>137.84100000000001</v>
      </c>
      <c r="AT21" s="565">
        <f>AT193</f>
        <v>140.63499999999999</v>
      </c>
      <c r="AU21" s="565">
        <f>AU193</f>
        <v>143.62799999999999</v>
      </c>
      <c r="AV21" s="1075">
        <f>AV193</f>
        <v>144.31900000000002</v>
      </c>
      <c r="AW21" s="565">
        <f>Operations!AW186</f>
        <v>566.423</v>
      </c>
      <c r="AX21" s="1074">
        <f>AX193</f>
        <v>146.10399999999998</v>
      </c>
      <c r="AY21" s="565">
        <f>AY193</f>
        <v>145.01300000000003</v>
      </c>
      <c r="AZ21" s="565">
        <f>AZ193</f>
        <v>147.36799999999999</v>
      </c>
      <c r="BA21" s="1075">
        <f>BA193</f>
        <v>144.11700000000008</v>
      </c>
      <c r="BB21" s="565">
        <f>Operations!BB186</f>
        <v>582.60200000000009</v>
      </c>
      <c r="BC21" s="1074">
        <f>BC193</f>
        <v>144.666</v>
      </c>
      <c r="BD21" s="565">
        <f>BD193</f>
        <v>146.07300000000004</v>
      </c>
      <c r="BE21" s="565">
        <f>BE193</f>
        <v>152.78299999999996</v>
      </c>
      <c r="BF21" s="1153">
        <f>Operations!BF186</f>
        <v>146.87799999999999</v>
      </c>
      <c r="BG21" s="567">
        <f>Operations!BG186</f>
        <v>590.4</v>
      </c>
      <c r="BH21" s="1074">
        <f>Operations!BH186</f>
        <v>147.922</v>
      </c>
      <c r="BI21" s="565">
        <f>Operations!BI186</f>
        <v>146.16800000000003</v>
      </c>
      <c r="BJ21" s="565">
        <f>Operations!BJ186</f>
        <v>154.11799999999994</v>
      </c>
      <c r="BK21" s="1153">
        <f>Operations!BK186</f>
        <v>158.81299999999999</v>
      </c>
      <c r="BL21" s="567">
        <f>Operations!BL186</f>
        <v>607.02099999999996</v>
      </c>
      <c r="BM21" s="1074">
        <f>Operations!BM186</f>
        <v>149.47300000000001</v>
      </c>
      <c r="BN21" s="565">
        <f>Operations!BN186</f>
        <v>146.49199999999996</v>
      </c>
      <c r="BO21" s="565">
        <f>Operations!BO186</f>
        <v>150.58100000000002</v>
      </c>
      <c r="BP21" s="1075">
        <f>Operations!BP186</f>
        <v>163.66199999999998</v>
      </c>
      <c r="BQ21" s="565">
        <f>Operations!BQ186</f>
        <v>610.20799999999997</v>
      </c>
      <c r="BR21" s="1074">
        <f>Operations!BR186</f>
        <v>179.91199999999998</v>
      </c>
      <c r="BS21" s="565">
        <f>Operations!BS186</f>
        <v>182.78199999999998</v>
      </c>
      <c r="BT21" s="565">
        <f>Operations!BT186</f>
        <v>178.11700000000008</v>
      </c>
      <c r="BU21" s="1075">
        <f>Operations!BU186</f>
        <v>183.61199999999997</v>
      </c>
      <c r="BV21" s="565">
        <f>Operations!BV186</f>
        <v>724.423</v>
      </c>
      <c r="BW21" s="1074">
        <f>Operations!BW186</f>
        <v>176.589</v>
      </c>
      <c r="BX21" s="565">
        <f>Operations!BX186</f>
        <v>174.827</v>
      </c>
      <c r="BY21" s="565">
        <f>Operations!BY186</f>
        <v>173.49600000000004</v>
      </c>
      <c r="BZ21" s="1075">
        <f>Operations!BZ186</f>
        <v>175.1049999999999</v>
      </c>
      <c r="CA21" s="565">
        <f>Operations!CA186</f>
        <v>700.01699999999994</v>
      </c>
      <c r="CB21" s="1074">
        <f>Operations!CB186</f>
        <v>170.36099999999999</v>
      </c>
      <c r="CC21" s="565">
        <f>Operations!CC186</f>
        <v>171.31400000000002</v>
      </c>
      <c r="CD21" s="565">
        <f>Operations!CD186</f>
        <v>171.49999999999994</v>
      </c>
      <c r="CE21" s="1075">
        <f>Operations!CE186</f>
        <v>173.87900000000002</v>
      </c>
      <c r="CF21" s="565">
        <f>Operations!CF186</f>
        <v>687.05399999999997</v>
      </c>
      <c r="CG21" s="1074">
        <f>Operations!CG186</f>
        <v>180.893</v>
      </c>
      <c r="CH21" s="565">
        <f>Operations!CH186</f>
        <v>182.828</v>
      </c>
      <c r="CI21" s="565">
        <f>Operations!CI186</f>
        <v>179.49500000000003</v>
      </c>
      <c r="CJ21" s="1075">
        <f>Operations!CJ186</f>
        <v>183.84499999999991</v>
      </c>
      <c r="CK21" s="565">
        <f>Operations!CK186</f>
        <v>727.06099999999992</v>
      </c>
      <c r="CL21" s="1074">
        <f>Operations!CL186</f>
        <v>174</v>
      </c>
      <c r="CM21" s="565">
        <f>Operations!CM186</f>
        <v>174</v>
      </c>
      <c r="CN21" s="565">
        <f>Operations!CN186</f>
        <v>174</v>
      </c>
      <c r="CO21" s="1075">
        <f>Operations!CO186</f>
        <v>174</v>
      </c>
      <c r="CP21" s="565">
        <f>Operations!CP186</f>
        <v>696</v>
      </c>
      <c r="CQ21" s="1074">
        <f>Operations!CQ186</f>
        <v>174</v>
      </c>
      <c r="CR21" s="565">
        <f>Operations!CR186</f>
        <v>174</v>
      </c>
      <c r="CS21" s="565">
        <f>Operations!CS186</f>
        <v>174</v>
      </c>
      <c r="CT21" s="1075">
        <f>Operations!CT186</f>
        <v>174</v>
      </c>
      <c r="CU21" s="565">
        <f>Operations!CU186</f>
        <v>696</v>
      </c>
      <c r="CV21" s="1074">
        <f>Operations!CV186</f>
        <v>174</v>
      </c>
      <c r="CW21" s="565">
        <f>Operations!CW186</f>
        <v>174</v>
      </c>
      <c r="CX21" s="565">
        <f>Operations!CX186</f>
        <v>174</v>
      </c>
      <c r="CY21" s="1075">
        <f>Operations!CY186</f>
        <v>174</v>
      </c>
      <c r="CZ21" s="565">
        <f>Operations!CZ186</f>
        <v>696</v>
      </c>
    </row>
    <row r="22" spans="1:104" ht="6.2" customHeight="1">
      <c r="A22" s="115"/>
      <c r="B22" s="66"/>
      <c r="C22" s="66"/>
      <c r="D22" s="72"/>
      <c r="E22" s="75"/>
      <c r="F22" s="75"/>
      <c r="G22" s="75"/>
      <c r="H22" s="75"/>
      <c r="I22" s="75"/>
      <c r="J22" s="75"/>
      <c r="K22" s="75"/>
      <c r="L22" s="75"/>
      <c r="M22" s="75"/>
      <c r="N22" s="75"/>
      <c r="O22" s="75"/>
      <c r="P22" s="75"/>
      <c r="Q22" s="75"/>
      <c r="R22" s="75"/>
      <c r="S22" s="75"/>
      <c r="T22" s="75"/>
      <c r="U22" s="75"/>
      <c r="V22" s="75"/>
      <c r="W22" s="75"/>
      <c r="X22" s="75"/>
      <c r="Y22" s="75"/>
      <c r="Z22" s="75"/>
      <c r="AA22" s="75"/>
      <c r="AB22" s="75"/>
      <c r="AC22" s="75"/>
      <c r="AD22" s="75"/>
      <c r="AE22" s="75"/>
      <c r="AF22" s="75"/>
      <c r="AG22" s="75"/>
      <c r="AH22" s="75"/>
      <c r="AI22" s="92"/>
      <c r="AJ22" s="92"/>
      <c r="AK22" s="75"/>
      <c r="AL22" s="92"/>
      <c r="AM22" s="75"/>
      <c r="AN22" s="92"/>
      <c r="AO22" s="92"/>
      <c r="AP22" s="92"/>
      <c r="AQ22" s="92"/>
      <c r="AR22" s="75"/>
      <c r="AS22" s="891"/>
      <c r="AT22" s="92"/>
      <c r="AU22" s="92"/>
      <c r="AV22" s="892"/>
      <c r="AW22" s="75"/>
      <c r="AX22" s="891"/>
      <c r="AY22" s="75"/>
      <c r="AZ22" s="75"/>
      <c r="BA22" s="892"/>
      <c r="BB22" s="75"/>
      <c r="BC22" s="891"/>
      <c r="BD22" s="75"/>
      <c r="BE22" s="75"/>
      <c r="BF22" s="1155"/>
      <c r="BG22" s="379"/>
      <c r="BH22" s="891"/>
      <c r="BI22" s="75"/>
      <c r="BJ22" s="75"/>
      <c r="BK22" s="1155"/>
      <c r="BL22" s="379"/>
      <c r="BM22" s="891"/>
      <c r="BN22" s="75"/>
      <c r="BO22" s="75"/>
      <c r="BP22" s="892"/>
      <c r="BQ22" s="75"/>
      <c r="BR22" s="891"/>
      <c r="BS22" s="75"/>
      <c r="BT22" s="75"/>
      <c r="BU22" s="892"/>
      <c r="BV22" s="75"/>
      <c r="BW22" s="891"/>
      <c r="BX22" s="75"/>
      <c r="BY22" s="75"/>
      <c r="BZ22" s="892"/>
      <c r="CA22" s="75"/>
      <c r="CB22" s="891"/>
      <c r="CC22" s="75"/>
      <c r="CD22" s="75"/>
      <c r="CE22" s="892"/>
      <c r="CF22" s="75"/>
      <c r="CG22" s="889"/>
      <c r="CH22" s="75"/>
      <c r="CI22" s="75"/>
      <c r="CJ22" s="892"/>
      <c r="CK22" s="75"/>
      <c r="CL22" s="891"/>
      <c r="CM22" s="75"/>
      <c r="CN22" s="75"/>
      <c r="CO22" s="892"/>
      <c r="CP22" s="75"/>
      <c r="CQ22" s="891"/>
      <c r="CR22" s="75"/>
      <c r="CS22" s="75"/>
      <c r="CT22" s="892"/>
      <c r="CU22" s="75"/>
      <c r="CV22" s="891"/>
      <c r="CW22" s="75"/>
      <c r="CX22" s="75"/>
      <c r="CY22" s="892"/>
      <c r="CZ22" s="75"/>
    </row>
    <row r="23" spans="1:104" ht="13.5" customHeight="1">
      <c r="A23" s="66"/>
      <c r="B23" s="66"/>
      <c r="C23" s="66" t="s">
        <v>446</v>
      </c>
      <c r="D23" s="79"/>
      <c r="E23" s="118"/>
      <c r="F23" s="118"/>
      <c r="G23" s="118"/>
      <c r="H23" s="118"/>
      <c r="I23" s="118"/>
      <c r="J23" s="118">
        <f t="shared" ref="J23:AL23" si="14">J19+J21</f>
        <v>979.73861699999986</v>
      </c>
      <c r="K23" s="118">
        <f t="shared" si="14"/>
        <v>1069.6458600000001</v>
      </c>
      <c r="L23" s="118">
        <f t="shared" si="14"/>
        <v>1106.5990159999999</v>
      </c>
      <c r="M23" s="118">
        <f t="shared" si="14"/>
        <v>1176.2938370000004</v>
      </c>
      <c r="N23" s="118">
        <f t="shared" si="14"/>
        <v>4332.2773299999999</v>
      </c>
      <c r="O23" s="118">
        <f t="shared" si="14"/>
        <v>1406.424888</v>
      </c>
      <c r="P23" s="118">
        <f t="shared" si="14"/>
        <v>1451.6454879999999</v>
      </c>
      <c r="Q23" s="118">
        <f t="shared" si="14"/>
        <v>1532.8573670000001</v>
      </c>
      <c r="R23" s="118">
        <f t="shared" si="14"/>
        <v>1603.1189890000005</v>
      </c>
      <c r="S23" s="118">
        <f t="shared" si="14"/>
        <v>5994.0467320000007</v>
      </c>
      <c r="T23" s="118">
        <f t="shared" si="14"/>
        <v>2016.3690000000001</v>
      </c>
      <c r="U23" s="118">
        <f t="shared" si="14"/>
        <v>2220.7160000000003</v>
      </c>
      <c r="V23" s="118">
        <f t="shared" si="14"/>
        <v>2433.5180000000005</v>
      </c>
      <c r="W23" s="118">
        <f t="shared" si="14"/>
        <v>2445.069</v>
      </c>
      <c r="X23" s="118">
        <f t="shared" si="14"/>
        <v>9115.6719999999987</v>
      </c>
      <c r="Y23" s="118">
        <f t="shared" si="14"/>
        <v>2619.71</v>
      </c>
      <c r="Z23" s="118">
        <f t="shared" si="14"/>
        <v>2520.0920000000001</v>
      </c>
      <c r="AA23" s="118">
        <f t="shared" si="14"/>
        <v>2435.2759999999998</v>
      </c>
      <c r="AB23" s="118">
        <f t="shared" si="14"/>
        <v>2510.3180000000007</v>
      </c>
      <c r="AC23" s="118">
        <f t="shared" si="14"/>
        <v>10085.396000000001</v>
      </c>
      <c r="AD23" s="118">
        <f t="shared" si="14"/>
        <v>2779.0419999999995</v>
      </c>
      <c r="AE23" s="118">
        <f t="shared" si="14"/>
        <v>2925.9750000000004</v>
      </c>
      <c r="AF23" s="118">
        <f t="shared" si="14"/>
        <v>2926.5810000000001</v>
      </c>
      <c r="AG23" s="118">
        <f t="shared" si="14"/>
        <v>2651.5250000000001</v>
      </c>
      <c r="AH23" s="118">
        <f t="shared" si="14"/>
        <v>11283.123000000001</v>
      </c>
      <c r="AI23" s="118">
        <f t="shared" si="14"/>
        <v>2991.598</v>
      </c>
      <c r="AJ23" s="118">
        <f t="shared" si="14"/>
        <v>3421.9049999999993</v>
      </c>
      <c r="AK23" s="118">
        <f t="shared" si="14"/>
        <v>3449.2600000000007</v>
      </c>
      <c r="AL23" s="118">
        <f t="shared" si="14"/>
        <v>3618.1640000000002</v>
      </c>
      <c r="AM23" s="107">
        <f>SUM(AI23:AL23)</f>
        <v>13480.927</v>
      </c>
      <c r="AN23" s="118">
        <f>AN19+AN21</f>
        <v>4071.5920000000006</v>
      </c>
      <c r="AO23" s="118">
        <v>5879.6549999999997</v>
      </c>
      <c r="AP23" s="118">
        <v>5990.4070000000002</v>
      </c>
      <c r="AQ23" s="118">
        <f t="shared" ref="AQ23:BV23" si="15">AQ19+AQ21</f>
        <v>3628.2289999999998</v>
      </c>
      <c r="AR23" s="118">
        <f t="shared" si="15"/>
        <v>19569.883000000005</v>
      </c>
      <c r="AS23" s="1078">
        <f t="shared" si="15"/>
        <v>2778.3239999999996</v>
      </c>
      <c r="AT23" s="569">
        <f t="shared" si="15"/>
        <v>2539.9039999999995</v>
      </c>
      <c r="AU23" s="569">
        <f t="shared" si="15"/>
        <v>3000.8510000000001</v>
      </c>
      <c r="AV23" s="1079">
        <f t="shared" si="15"/>
        <v>2719.6239999999998</v>
      </c>
      <c r="AW23" s="569">
        <f t="shared" si="15"/>
        <v>11038.703</v>
      </c>
      <c r="AX23" s="1078">
        <f t="shared" si="15"/>
        <v>3460.424</v>
      </c>
      <c r="AY23" s="569">
        <f t="shared" si="15"/>
        <v>3895.3010000000004</v>
      </c>
      <c r="AZ23" s="569">
        <f t="shared" si="15"/>
        <v>3955.5110000000004</v>
      </c>
      <c r="BA23" s="1079">
        <f t="shared" si="15"/>
        <v>3711.808</v>
      </c>
      <c r="BB23" s="569">
        <f t="shared" si="15"/>
        <v>15023.044000000004</v>
      </c>
      <c r="BC23" s="1078">
        <f t="shared" si="15"/>
        <v>4399.7350000000006</v>
      </c>
      <c r="BD23" s="569">
        <f t="shared" si="15"/>
        <v>4440.3239999999996</v>
      </c>
      <c r="BE23" s="569">
        <f t="shared" si="15"/>
        <v>4787.53</v>
      </c>
      <c r="BF23" s="1156">
        <f t="shared" si="15"/>
        <v>4486.4209999999994</v>
      </c>
      <c r="BG23" s="570">
        <f t="shared" si="15"/>
        <v>18114.009999999998</v>
      </c>
      <c r="BH23" s="1078">
        <f t="shared" si="15"/>
        <v>4698.741</v>
      </c>
      <c r="BI23" s="569">
        <f t="shared" si="15"/>
        <v>4695.9269999999997</v>
      </c>
      <c r="BJ23" s="569">
        <f t="shared" si="15"/>
        <v>4408.9340000000011</v>
      </c>
      <c r="BK23" s="1156">
        <f t="shared" si="15"/>
        <v>4059.1560000000009</v>
      </c>
      <c r="BL23" s="570">
        <f t="shared" si="15"/>
        <v>17862.757999999998</v>
      </c>
      <c r="BM23" s="1078">
        <f t="shared" si="15"/>
        <v>4248.7279999999992</v>
      </c>
      <c r="BN23" s="569">
        <f t="shared" si="15"/>
        <v>4350.8779999999997</v>
      </c>
      <c r="BO23" s="569">
        <f t="shared" si="15"/>
        <v>4516.1409999999996</v>
      </c>
      <c r="BP23" s="1079">
        <f t="shared" si="15"/>
        <v>4502.3769999999995</v>
      </c>
      <c r="BQ23" s="569">
        <f t="shared" si="15"/>
        <v>17618.124</v>
      </c>
      <c r="BR23" s="1078">
        <f t="shared" si="15"/>
        <v>4717.768</v>
      </c>
      <c r="BS23" s="569">
        <f t="shared" si="15"/>
        <v>4872.0059999999994</v>
      </c>
      <c r="BT23" s="569">
        <f t="shared" si="15"/>
        <v>5087.4309999999996</v>
      </c>
      <c r="BU23" s="1079">
        <f t="shared" si="15"/>
        <v>4486.4049999999997</v>
      </c>
      <c r="BV23" s="569">
        <f t="shared" si="15"/>
        <v>19163.610000000004</v>
      </c>
      <c r="BW23" s="1078">
        <f t="shared" ref="BW23:CZ23" si="16">BW19+BW21</f>
        <v>4111.4169999999995</v>
      </c>
      <c r="BX23" s="569">
        <f t="shared" si="16"/>
        <v>3970.6090000000004</v>
      </c>
      <c r="BY23" s="569">
        <f t="shared" si="16"/>
        <v>3701.5630000000001</v>
      </c>
      <c r="BZ23" s="1079">
        <f t="shared" si="16"/>
        <v>3069.096</v>
      </c>
      <c r="CA23" s="569">
        <f t="shared" si="16"/>
        <v>14852.685000000001</v>
      </c>
      <c r="CB23" s="1078">
        <f t="shared" si="16"/>
        <v>3419.3830000000003</v>
      </c>
      <c r="CC23" s="569">
        <f t="shared" si="16"/>
        <v>3672.6930000000002</v>
      </c>
      <c r="CD23" s="569">
        <f t="shared" si="16"/>
        <v>3651.732</v>
      </c>
      <c r="CE23" s="1079">
        <f t="shared" si="16"/>
        <v>3540.1870000000004</v>
      </c>
      <c r="CF23" s="569">
        <f t="shared" si="16"/>
        <v>14283.995000000001</v>
      </c>
      <c r="CG23" s="1078">
        <f t="shared" si="16"/>
        <v>4036.373</v>
      </c>
      <c r="CH23" s="569">
        <f t="shared" si="16"/>
        <v>4451.8419999999996</v>
      </c>
      <c r="CI23" s="569">
        <f t="shared" si="16"/>
        <v>4596.6099999999997</v>
      </c>
      <c r="CJ23" s="1079">
        <f t="shared" si="16"/>
        <v>4559.9000000000005</v>
      </c>
      <c r="CK23" s="569">
        <f t="shared" si="16"/>
        <v>17644.725000000002</v>
      </c>
      <c r="CL23" s="1078">
        <f t="shared" si="16"/>
        <v>4810.6329999999998</v>
      </c>
      <c r="CM23" s="569">
        <f t="shared" si="16"/>
        <v>5637.7665409724632</v>
      </c>
      <c r="CN23" s="569">
        <f t="shared" si="16"/>
        <v>5757.0701554612624</v>
      </c>
      <c r="CO23" s="1079">
        <f t="shared" si="16"/>
        <v>5667.0710712395121</v>
      </c>
      <c r="CP23" s="569">
        <f t="shared" si="16"/>
        <v>21872.540767673236</v>
      </c>
      <c r="CQ23" s="1078">
        <f t="shared" si="16"/>
        <v>5948.2045213915044</v>
      </c>
      <c r="CR23" s="569">
        <f t="shared" si="16"/>
        <v>5907.3973515570997</v>
      </c>
      <c r="CS23" s="569">
        <f t="shared" si="16"/>
        <v>5844.1817722891274</v>
      </c>
      <c r="CT23" s="1079">
        <f t="shared" si="16"/>
        <v>5691.98735527798</v>
      </c>
      <c r="CU23" s="569">
        <f t="shared" si="16"/>
        <v>23391.771000515713</v>
      </c>
      <c r="CV23" s="1078">
        <f t="shared" si="16"/>
        <v>5908.4924959090913</v>
      </c>
      <c r="CW23" s="569">
        <f t="shared" si="16"/>
        <v>5776.3843037033794</v>
      </c>
      <c r="CX23" s="569">
        <f t="shared" si="16"/>
        <v>5693.4549287377577</v>
      </c>
      <c r="CY23" s="1079">
        <f t="shared" si="16"/>
        <v>5541.8589156098342</v>
      </c>
      <c r="CZ23" s="569">
        <f t="shared" si="16"/>
        <v>22920.190643960061</v>
      </c>
    </row>
    <row r="24" spans="1:104" ht="6.2" customHeight="1">
      <c r="A24" s="66"/>
      <c r="B24" s="66"/>
      <c r="C24" s="66"/>
      <c r="D24" s="79"/>
      <c r="E24" s="75"/>
      <c r="F24" s="75"/>
      <c r="G24" s="75"/>
      <c r="H24" s="75"/>
      <c r="I24" s="75"/>
      <c r="J24" s="113"/>
      <c r="K24" s="113"/>
      <c r="L24" s="113"/>
      <c r="M24" s="113"/>
      <c r="N24" s="75"/>
      <c r="O24" s="113"/>
      <c r="P24" s="113"/>
      <c r="Q24" s="113"/>
      <c r="R24" s="113"/>
      <c r="S24" s="75"/>
      <c r="T24" s="113"/>
      <c r="U24" s="113"/>
      <c r="V24" s="113"/>
      <c r="W24" s="113"/>
      <c r="X24" s="75"/>
      <c r="Y24" s="113"/>
      <c r="Z24" s="113"/>
      <c r="AA24" s="113"/>
      <c r="AB24" s="113"/>
      <c r="AC24" s="75"/>
      <c r="AD24" s="113"/>
      <c r="AE24" s="113"/>
      <c r="AF24" s="113"/>
      <c r="AG24" s="113"/>
      <c r="AH24" s="75"/>
      <c r="AI24" s="136"/>
      <c r="AJ24" s="136"/>
      <c r="AK24" s="113"/>
      <c r="AL24" s="136"/>
      <c r="AM24" s="75"/>
      <c r="AN24" s="136"/>
      <c r="AO24" s="136"/>
      <c r="AP24" s="136"/>
      <c r="AQ24" s="136"/>
      <c r="AR24" s="75"/>
      <c r="AS24" s="1080"/>
      <c r="AT24" s="136"/>
      <c r="AU24" s="136"/>
      <c r="AV24" s="1081"/>
      <c r="AW24" s="75"/>
      <c r="AX24" s="1080"/>
      <c r="AY24" s="113"/>
      <c r="AZ24" s="113"/>
      <c r="BA24" s="1081"/>
      <c r="BB24" s="75"/>
      <c r="BC24" s="1080"/>
      <c r="BD24" s="113"/>
      <c r="BE24" s="113"/>
      <c r="BF24" s="1157"/>
      <c r="BG24" s="379"/>
      <c r="BH24" s="1080"/>
      <c r="BI24" s="113"/>
      <c r="BJ24" s="113"/>
      <c r="BK24" s="1157"/>
      <c r="BL24" s="379"/>
      <c r="BM24" s="1080"/>
      <c r="BN24" s="113"/>
      <c r="BO24" s="113"/>
      <c r="BP24" s="1081"/>
      <c r="BQ24" s="75"/>
      <c r="BR24" s="1080"/>
      <c r="BS24" s="113"/>
      <c r="BT24" s="113"/>
      <c r="BU24" s="1081"/>
      <c r="BV24" s="75"/>
      <c r="BW24" s="1080"/>
      <c r="BX24" s="113"/>
      <c r="BY24" s="113"/>
      <c r="BZ24" s="1081"/>
      <c r="CA24" s="75"/>
      <c r="CB24" s="1080"/>
      <c r="CC24" s="113"/>
      <c r="CD24" s="113"/>
      <c r="CE24" s="1081"/>
      <c r="CF24" s="75"/>
      <c r="CG24" s="857"/>
      <c r="CH24" s="113"/>
      <c r="CI24" s="113"/>
      <c r="CJ24" s="1081"/>
      <c r="CK24" s="75"/>
      <c r="CL24" s="1080"/>
      <c r="CM24" s="113"/>
      <c r="CN24" s="113"/>
      <c r="CO24" s="1081"/>
      <c r="CP24" s="75"/>
      <c r="CQ24" s="1080"/>
      <c r="CR24" s="113"/>
      <c r="CS24" s="113"/>
      <c r="CT24" s="1081"/>
      <c r="CU24" s="75"/>
      <c r="CV24" s="1080"/>
      <c r="CW24" s="113"/>
      <c r="CX24" s="113"/>
      <c r="CY24" s="1081"/>
      <c r="CZ24" s="75"/>
    </row>
    <row r="25" spans="1:104" ht="13.5" customHeight="1">
      <c r="A25" s="66"/>
      <c r="B25" s="79" t="s">
        <v>354</v>
      </c>
      <c r="C25" s="66"/>
      <c r="D25" s="79"/>
      <c r="E25" s="156"/>
      <c r="F25" s="156"/>
      <c r="G25" s="156"/>
      <c r="H25" s="156"/>
      <c r="I25" s="156"/>
      <c r="J25" s="111">
        <f t="shared" ref="J25:AM25" si="17">J15-J23</f>
        <v>100.89836400000002</v>
      </c>
      <c r="K25" s="111">
        <f t="shared" si="17"/>
        <v>128.386346</v>
      </c>
      <c r="L25" s="111">
        <f t="shared" si="17"/>
        <v>121.93040700000006</v>
      </c>
      <c r="M25" s="111">
        <f t="shared" si="17"/>
        <v>118.28408999999988</v>
      </c>
      <c r="N25" s="111">
        <f t="shared" si="17"/>
        <v>469.49920699999984</v>
      </c>
      <c r="O25" s="111">
        <f t="shared" si="17"/>
        <v>73.846099000000095</v>
      </c>
      <c r="P25" s="111">
        <f t="shared" si="17"/>
        <v>68.815396000000192</v>
      </c>
      <c r="Q25" s="111">
        <f t="shared" si="17"/>
        <v>71.153976999999941</v>
      </c>
      <c r="R25" s="111">
        <f t="shared" si="17"/>
        <v>57.960795999999846</v>
      </c>
      <c r="S25" s="111">
        <f t="shared" si="17"/>
        <v>271.77626799999962</v>
      </c>
      <c r="T25" s="111">
        <f t="shared" si="17"/>
        <v>270.04700000000003</v>
      </c>
      <c r="U25" s="111">
        <f t="shared" si="17"/>
        <v>541.10599999999977</v>
      </c>
      <c r="V25" s="111">
        <f t="shared" si="17"/>
        <v>806.07399999999961</v>
      </c>
      <c r="W25" s="111">
        <f t="shared" si="17"/>
        <v>643.92900000000009</v>
      </c>
      <c r="X25" s="111">
        <f t="shared" si="17"/>
        <v>2261.1560000000009</v>
      </c>
      <c r="Y25" s="111">
        <f t="shared" si="17"/>
        <v>701.99299999999994</v>
      </c>
      <c r="Z25" s="111">
        <f t="shared" si="17"/>
        <v>624.91100000000006</v>
      </c>
      <c r="AA25" s="111">
        <f t="shared" si="17"/>
        <v>590.63500000000022</v>
      </c>
      <c r="AB25" s="111">
        <f t="shared" si="17"/>
        <v>698.06400000000031</v>
      </c>
      <c r="AC25" s="111">
        <f t="shared" si="17"/>
        <v>2615.6029999999992</v>
      </c>
      <c r="AD25" s="111">
        <f t="shared" si="17"/>
        <v>766.05499999999984</v>
      </c>
      <c r="AE25" s="111">
        <f t="shared" si="17"/>
        <v>880.375</v>
      </c>
      <c r="AF25" s="111">
        <f t="shared" si="17"/>
        <v>1004.652</v>
      </c>
      <c r="AG25" s="111">
        <f t="shared" si="17"/>
        <v>817.0649999999996</v>
      </c>
      <c r="AH25" s="111">
        <f t="shared" si="17"/>
        <v>3468.146999999999</v>
      </c>
      <c r="AI25" s="111">
        <f t="shared" si="17"/>
        <v>777.28700000000026</v>
      </c>
      <c r="AJ25" s="111">
        <f t="shared" si="17"/>
        <v>764.20500000000038</v>
      </c>
      <c r="AK25" s="111">
        <f t="shared" si="17"/>
        <v>809.96099999999888</v>
      </c>
      <c r="AL25" s="111">
        <f t="shared" si="17"/>
        <v>778.596</v>
      </c>
      <c r="AM25" s="111">
        <f t="shared" si="17"/>
        <v>3130.0490000000027</v>
      </c>
      <c r="AN25" s="111">
        <f t="shared" ref="AN25:BS25" si="18">AN15-AN23</f>
        <v>902.67699999999968</v>
      </c>
      <c r="AO25" s="111">
        <f t="shared" si="18"/>
        <v>1210.9440000000004</v>
      </c>
      <c r="AP25" s="111">
        <f t="shared" si="18"/>
        <v>1457.1130000000003</v>
      </c>
      <c r="AQ25" s="111">
        <f t="shared" si="18"/>
        <v>522.70699999999988</v>
      </c>
      <c r="AR25" s="111">
        <f t="shared" si="18"/>
        <v>4093.4409999999989</v>
      </c>
      <c r="AS25" s="872">
        <f t="shared" si="18"/>
        <v>-124.00499999999965</v>
      </c>
      <c r="AT25" s="112">
        <f t="shared" si="18"/>
        <v>-61.875999999999749</v>
      </c>
      <c r="AU25" s="112">
        <f t="shared" si="18"/>
        <v>119.154</v>
      </c>
      <c r="AV25" s="873">
        <f t="shared" si="18"/>
        <v>218.32000000000016</v>
      </c>
      <c r="AW25" s="111">
        <f t="shared" si="18"/>
        <v>151.59299999999894</v>
      </c>
      <c r="AX25" s="872">
        <f t="shared" si="18"/>
        <v>194.41800000000012</v>
      </c>
      <c r="AY25" s="112">
        <f t="shared" si="18"/>
        <v>300.66499999999996</v>
      </c>
      <c r="AZ25" s="112">
        <f t="shared" si="18"/>
        <v>184.55799999999999</v>
      </c>
      <c r="BA25" s="873">
        <f t="shared" si="18"/>
        <v>141.94200000000001</v>
      </c>
      <c r="BB25" s="111">
        <f t="shared" si="18"/>
        <v>821.58300000000054</v>
      </c>
      <c r="BC25" s="872">
        <f t="shared" si="18"/>
        <v>434.19899999999961</v>
      </c>
      <c r="BD25" s="112">
        <f t="shared" si="18"/>
        <v>667.48500000000058</v>
      </c>
      <c r="BE25" s="112">
        <f t="shared" si="18"/>
        <v>464.61400000000049</v>
      </c>
      <c r="BF25" s="960">
        <f t="shared" si="18"/>
        <v>343.25600000000031</v>
      </c>
      <c r="BG25" s="371">
        <f t="shared" si="18"/>
        <v>1909.5540000000001</v>
      </c>
      <c r="BH25" s="872">
        <f t="shared" si="18"/>
        <v>373.85300000000007</v>
      </c>
      <c r="BI25" s="112">
        <f t="shared" si="18"/>
        <v>408.27199999999993</v>
      </c>
      <c r="BJ25" s="112">
        <f t="shared" si="18"/>
        <v>392.27199999999903</v>
      </c>
      <c r="BK25" s="960">
        <f t="shared" si="18"/>
        <v>392.11799999999948</v>
      </c>
      <c r="BL25" s="371">
        <f t="shared" si="18"/>
        <v>1566.5150000000031</v>
      </c>
      <c r="BM25" s="872">
        <f t="shared" si="18"/>
        <v>302.04400000000078</v>
      </c>
      <c r="BN25" s="112">
        <f t="shared" si="18"/>
        <v>314.71000000000004</v>
      </c>
      <c r="BO25" s="112">
        <f t="shared" si="18"/>
        <v>424.79500000000007</v>
      </c>
      <c r="BP25" s="873">
        <f t="shared" si="18"/>
        <v>392.3730000000005</v>
      </c>
      <c r="BQ25" s="111">
        <f t="shared" si="18"/>
        <v>1433.9219999999987</v>
      </c>
      <c r="BR25" s="872">
        <f t="shared" si="18"/>
        <v>390.67600000000039</v>
      </c>
      <c r="BS25" s="112">
        <f t="shared" si="18"/>
        <v>419.06900000000041</v>
      </c>
      <c r="BT25" s="112">
        <f t="shared" ref="BT25:CZ25" si="19">BT15-BT23</f>
        <v>614.4380000000001</v>
      </c>
      <c r="BU25" s="873">
        <f t="shared" si="19"/>
        <v>517.34799999999996</v>
      </c>
      <c r="BV25" s="111">
        <f t="shared" si="19"/>
        <v>1941.530999999999</v>
      </c>
      <c r="BW25" s="872">
        <f t="shared" si="19"/>
        <v>288.02300000000014</v>
      </c>
      <c r="BX25" s="112">
        <f t="shared" si="19"/>
        <v>387</v>
      </c>
      <c r="BY25" s="112">
        <f t="shared" si="19"/>
        <v>523.95100000000002</v>
      </c>
      <c r="BZ25" s="873">
        <f t="shared" si="19"/>
        <v>387.61700000000019</v>
      </c>
      <c r="CA25" s="111">
        <f t="shared" si="19"/>
        <v>1586.5910000000003</v>
      </c>
      <c r="CB25" s="872">
        <f t="shared" si="19"/>
        <v>296.19299999999976</v>
      </c>
      <c r="CC25" s="112">
        <f t="shared" si="19"/>
        <v>573.07899999999972</v>
      </c>
      <c r="CD25" s="112">
        <f t="shared" si="19"/>
        <v>638.50399999999991</v>
      </c>
      <c r="CE25" s="873">
        <f t="shared" si="19"/>
        <v>416.35099999999966</v>
      </c>
      <c r="CF25" s="111">
        <f t="shared" si="19"/>
        <v>1924.1270000000004</v>
      </c>
      <c r="CG25" s="872">
        <f t="shared" si="19"/>
        <v>778.80600000000004</v>
      </c>
      <c r="CH25" s="112">
        <f t="shared" si="19"/>
        <v>722.92700000000059</v>
      </c>
      <c r="CI25" s="112">
        <f t="shared" si="19"/>
        <v>573.50700000000052</v>
      </c>
      <c r="CJ25" s="873">
        <f t="shared" si="19"/>
        <v>532.42799999999988</v>
      </c>
      <c r="CK25" s="111">
        <f t="shared" si="19"/>
        <v>2607.6679999999978</v>
      </c>
      <c r="CL25" s="872">
        <f t="shared" si="19"/>
        <v>757.78600000000006</v>
      </c>
      <c r="CM25" s="112">
        <f t="shared" si="19"/>
        <v>960.14176787853103</v>
      </c>
      <c r="CN25" s="112">
        <f t="shared" si="19"/>
        <v>980.58650216070419</v>
      </c>
      <c r="CO25" s="873">
        <f t="shared" si="19"/>
        <v>912.88906155637324</v>
      </c>
      <c r="CP25" s="111">
        <f t="shared" si="19"/>
        <v>3611.4033315956112</v>
      </c>
      <c r="CQ25" s="872">
        <f t="shared" si="19"/>
        <v>984.44578514942987</v>
      </c>
      <c r="CR25" s="112">
        <f t="shared" si="19"/>
        <v>936.73984148754425</v>
      </c>
      <c r="CS25" s="112">
        <f t="shared" si="19"/>
        <v>854.65687778606207</v>
      </c>
      <c r="CT25" s="873">
        <f t="shared" si="19"/>
        <v>729.88388330000271</v>
      </c>
      <c r="CU25" s="111">
        <f t="shared" si="19"/>
        <v>3505.7263877230362</v>
      </c>
      <c r="CV25" s="872">
        <f t="shared" si="19"/>
        <v>847.40355669453584</v>
      </c>
      <c r="CW25" s="112">
        <f t="shared" si="19"/>
        <v>871.65485928345515</v>
      </c>
      <c r="CX25" s="112">
        <f t="shared" si="19"/>
        <v>813.46077001726462</v>
      </c>
      <c r="CY25" s="873">
        <f t="shared" si="19"/>
        <v>816.65130430423687</v>
      </c>
      <c r="CZ25" s="111">
        <f t="shared" si="19"/>
        <v>3349.1704902994934</v>
      </c>
    </row>
    <row r="26" spans="1:104" ht="13.5" customHeight="1">
      <c r="A26" s="66"/>
      <c r="B26" s="82" t="s">
        <v>390</v>
      </c>
      <c r="C26" s="66"/>
      <c r="D26" s="157"/>
      <c r="E26" s="113"/>
      <c r="F26" s="113"/>
      <c r="G26" s="113"/>
      <c r="H26" s="113"/>
      <c r="I26" s="113"/>
      <c r="J26" s="113">
        <f t="shared" ref="J26:AM26" si="20">J25/J15</f>
        <v>9.3369342132480687E-2</v>
      </c>
      <c r="K26" s="113">
        <f t="shared" si="20"/>
        <v>0.10716435280872574</v>
      </c>
      <c r="L26" s="113">
        <f t="shared" si="20"/>
        <v>9.9249073499805024E-2</v>
      </c>
      <c r="M26" s="113">
        <f t="shared" si="20"/>
        <v>9.1368845036703492E-2</v>
      </c>
      <c r="N26" s="113">
        <f t="shared" si="20"/>
        <v>9.7776146678689113E-2</v>
      </c>
      <c r="O26" s="113">
        <f t="shared" si="20"/>
        <v>4.9886878584076505E-2</v>
      </c>
      <c r="P26" s="113">
        <f t="shared" si="20"/>
        <v>4.5259563546917389E-2</v>
      </c>
      <c r="Q26" s="113">
        <f t="shared" si="20"/>
        <v>4.4360021059801143E-2</v>
      </c>
      <c r="R26" s="113">
        <f t="shared" si="20"/>
        <v>3.4893444928655148E-2</v>
      </c>
      <c r="S26" s="113">
        <f t="shared" si="20"/>
        <v>4.3374392797243012E-2</v>
      </c>
      <c r="T26" s="113">
        <f t="shared" si="20"/>
        <v>0.1181093029439962</v>
      </c>
      <c r="U26" s="113">
        <f t="shared" si="20"/>
        <v>0.19592356060600566</v>
      </c>
      <c r="V26" s="113">
        <f t="shared" si="20"/>
        <v>0.24881960444401627</v>
      </c>
      <c r="W26" s="113">
        <f t="shared" si="20"/>
        <v>0.20845885947482001</v>
      </c>
      <c r="X26" s="113">
        <f t="shared" si="20"/>
        <v>0.19875100511320035</v>
      </c>
      <c r="Y26" s="113">
        <f t="shared" si="20"/>
        <v>0.21133526989017379</v>
      </c>
      <c r="Z26" s="113">
        <f t="shared" si="20"/>
        <v>0.19869965147886981</v>
      </c>
      <c r="AA26" s="113">
        <f t="shared" si="20"/>
        <v>0.19519245609008334</v>
      </c>
      <c r="AB26" s="113">
        <f t="shared" si="20"/>
        <v>0.21757508925059427</v>
      </c>
      <c r="AC26" s="113">
        <f t="shared" si="20"/>
        <v>0.20593679284598002</v>
      </c>
      <c r="AD26" s="113">
        <f t="shared" si="20"/>
        <v>0.21608858657464097</v>
      </c>
      <c r="AE26" s="113">
        <f t="shared" si="20"/>
        <v>0.23129113192428441</v>
      </c>
      <c r="AF26" s="113">
        <f t="shared" si="20"/>
        <v>0.25555646281968025</v>
      </c>
      <c r="AG26" s="113">
        <f t="shared" si="20"/>
        <v>0.23556113579293017</v>
      </c>
      <c r="AH26" s="113">
        <f t="shared" si="20"/>
        <v>0.2351083669406091</v>
      </c>
      <c r="AI26" s="113">
        <f t="shared" si="20"/>
        <v>0.20623791917238127</v>
      </c>
      <c r="AJ26" s="136">
        <f t="shared" si="20"/>
        <v>0.18255731454739613</v>
      </c>
      <c r="AK26" s="113">
        <f t="shared" si="20"/>
        <v>0.19016646471267842</v>
      </c>
      <c r="AL26" s="136">
        <f t="shared" si="20"/>
        <v>0.17708403460730174</v>
      </c>
      <c r="AM26" s="113">
        <f t="shared" si="20"/>
        <v>0.18843257614724157</v>
      </c>
      <c r="AN26" s="113">
        <f t="shared" ref="AN26:BS26" si="21">AN25/AN15</f>
        <v>0.18146927719429723</v>
      </c>
      <c r="AO26" s="136">
        <f t="shared" si="21"/>
        <v>0.17078162225786572</v>
      </c>
      <c r="AP26" s="136">
        <f t="shared" si="21"/>
        <v>0.19565076696672185</v>
      </c>
      <c r="AQ26" s="136">
        <f t="shared" si="21"/>
        <v>0.12592509255743764</v>
      </c>
      <c r="AR26" s="113">
        <f t="shared" si="21"/>
        <v>0.17298672832269879</v>
      </c>
      <c r="AS26" s="857">
        <f t="shared" si="21"/>
        <v>-4.671819777502239E-2</v>
      </c>
      <c r="AT26" s="136">
        <f t="shared" si="21"/>
        <v>-2.4969855062170303E-2</v>
      </c>
      <c r="AU26" s="136">
        <f t="shared" si="21"/>
        <v>3.8190323412943247E-2</v>
      </c>
      <c r="AV26" s="858">
        <f t="shared" si="21"/>
        <v>7.4310470179145743E-2</v>
      </c>
      <c r="AW26" s="136">
        <f t="shared" si="21"/>
        <v>1.3546826643370199E-2</v>
      </c>
      <c r="AX26" s="857">
        <f t="shared" si="21"/>
        <v>5.3194638783290803E-2</v>
      </c>
      <c r="AY26" s="136">
        <f t="shared" si="21"/>
        <v>7.1655728382927775E-2</v>
      </c>
      <c r="AZ26" s="136">
        <f t="shared" si="21"/>
        <v>4.457848407840545E-2</v>
      </c>
      <c r="BA26" s="858">
        <f t="shared" si="21"/>
        <v>3.6832176451508276E-2</v>
      </c>
      <c r="BB26" s="136">
        <f t="shared" si="21"/>
        <v>5.1852467085530027E-2</v>
      </c>
      <c r="BC26" s="857">
        <f t="shared" si="21"/>
        <v>8.9823113017264949E-2</v>
      </c>
      <c r="BD26" s="136">
        <f t="shared" si="21"/>
        <v>0.13067931866677093</v>
      </c>
      <c r="BE26" s="136">
        <f t="shared" si="21"/>
        <v>8.8461778656487799E-2</v>
      </c>
      <c r="BF26" s="952">
        <f t="shared" si="21"/>
        <v>7.1072247688613616E-2</v>
      </c>
      <c r="BG26" s="375">
        <f t="shared" si="21"/>
        <v>9.5365340555757225E-2</v>
      </c>
      <c r="BH26" s="857">
        <f t="shared" si="21"/>
        <v>7.3700556362287242E-2</v>
      </c>
      <c r="BI26" s="136">
        <f t="shared" si="21"/>
        <v>7.9987476977288696E-2</v>
      </c>
      <c r="BJ26" s="136">
        <f t="shared" si="21"/>
        <v>8.1702805503450382E-2</v>
      </c>
      <c r="BK26" s="952">
        <f t="shared" si="21"/>
        <v>8.8091184681059725E-2</v>
      </c>
      <c r="BL26" s="375">
        <f t="shared" si="21"/>
        <v>8.0626537081444224E-2</v>
      </c>
      <c r="BM26" s="857">
        <f t="shared" si="21"/>
        <v>6.637203533818016E-2</v>
      </c>
      <c r="BN26" s="136">
        <f t="shared" si="21"/>
        <v>6.7453448525673518E-2</v>
      </c>
      <c r="BO26" s="136">
        <f t="shared" si="21"/>
        <v>8.5974600763903869E-2</v>
      </c>
      <c r="BP26" s="858">
        <f t="shared" si="21"/>
        <v>8.0162010317176666E-2</v>
      </c>
      <c r="BQ26" s="136">
        <f t="shared" si="21"/>
        <v>7.5263412653947967E-2</v>
      </c>
      <c r="BR26" s="857">
        <f t="shared" si="21"/>
        <v>7.6476516136811987E-2</v>
      </c>
      <c r="BS26" s="136">
        <f t="shared" si="21"/>
        <v>7.9202997500508007E-2</v>
      </c>
      <c r="BT26" s="136">
        <f t="shared" ref="BT26:CK26" si="22">BT25/BT15</f>
        <v>0.10776080614970286</v>
      </c>
      <c r="BU26" s="858">
        <f t="shared" si="22"/>
        <v>0.10339199396932662</v>
      </c>
      <c r="BV26" s="136">
        <f t="shared" si="22"/>
        <v>9.199327310819666E-2</v>
      </c>
      <c r="BW26" s="857">
        <f t="shared" si="22"/>
        <v>6.5468105031549512E-2</v>
      </c>
      <c r="BX26" s="136">
        <f t="shared" si="22"/>
        <v>8.8810170898765806E-2</v>
      </c>
      <c r="BY26" s="136">
        <f t="shared" si="22"/>
        <v>0.12399698592881245</v>
      </c>
      <c r="BZ26" s="858">
        <f t="shared" si="22"/>
        <v>0.11213456251647162</v>
      </c>
      <c r="CA26" s="136">
        <f t="shared" si="22"/>
        <v>9.6512218664617608E-2</v>
      </c>
      <c r="CB26" s="857">
        <f t="shared" si="22"/>
        <v>7.9716576918356596E-2</v>
      </c>
      <c r="CC26" s="136">
        <f t="shared" si="22"/>
        <v>0.13497639534105924</v>
      </c>
      <c r="CD26" s="136">
        <f t="shared" si="22"/>
        <v>0.14882724400242783</v>
      </c>
      <c r="CE26" s="858">
        <f t="shared" si="22"/>
        <v>0.10523113894015416</v>
      </c>
      <c r="CF26" s="136">
        <f t="shared" si="22"/>
        <v>0.11871375351197383</v>
      </c>
      <c r="CG26" s="857">
        <f t="shared" si="22"/>
        <v>0.16173978163636285</v>
      </c>
      <c r="CH26" s="136">
        <f t="shared" si="22"/>
        <v>0.13970227463293541</v>
      </c>
      <c r="CI26" s="136">
        <f t="shared" si="22"/>
        <v>0.11092727688754442</v>
      </c>
      <c r="CJ26" s="858">
        <f t="shared" si="22"/>
        <v>0.10455493047580593</v>
      </c>
      <c r="CK26" s="136">
        <f t="shared" si="22"/>
        <v>0.12875851263601285</v>
      </c>
      <c r="CL26" s="857">
        <f>CL25/$AD$15</f>
        <v>0.21375606929796284</v>
      </c>
      <c r="CM26" s="136">
        <f>CM25/CM15</f>
        <v>0.14552214473646374</v>
      </c>
      <c r="CN26" s="136">
        <f>CN25/CN15</f>
        <v>0.14553821187243443</v>
      </c>
      <c r="CO26" s="858">
        <f>CO25/CO15</f>
        <v>0.13873778003704687</v>
      </c>
      <c r="CP26" s="136">
        <f>CP25/CP15</f>
        <v>0.14171288861441292</v>
      </c>
      <c r="CQ26" s="857">
        <f>CQ25/$AD$15</f>
        <v>0.27769220000170097</v>
      </c>
      <c r="CR26" s="136">
        <f>CR25/CR15</f>
        <v>0.13686748454421785</v>
      </c>
      <c r="CS26" s="136">
        <f>CS25/CS15</f>
        <v>0.12758284270311082</v>
      </c>
      <c r="CT26" s="858">
        <f>CT25/CT15</f>
        <v>0.11365595107472498</v>
      </c>
      <c r="CU26" s="136">
        <f>CU25/CU15</f>
        <v>0.13033652674527099</v>
      </c>
      <c r="CV26" s="857">
        <f>CV25/$AD$15</f>
        <v>0.2390353653777417</v>
      </c>
      <c r="CW26" s="136">
        <f>CW25/CW15</f>
        <v>0.13111457948930577</v>
      </c>
      <c r="CX26" s="136">
        <f>CX25/CX15</f>
        <v>0.12501480081767546</v>
      </c>
      <c r="CY26" s="858">
        <f>CY25/CY15</f>
        <v>0.12843437787464515</v>
      </c>
      <c r="CZ26" s="136">
        <f>CZ25/CZ15</f>
        <v>0.1274934123133899</v>
      </c>
    </row>
    <row r="27" spans="1:104" ht="6.2" customHeight="1">
      <c r="A27" s="66"/>
      <c r="B27" s="66"/>
      <c r="C27" s="66"/>
      <c r="D27" s="79"/>
      <c r="E27" s="75"/>
      <c r="F27" s="75"/>
      <c r="G27" s="75"/>
      <c r="H27" s="75"/>
      <c r="I27" s="75"/>
      <c r="J27" s="113"/>
      <c r="K27" s="113"/>
      <c r="L27" s="113"/>
      <c r="M27" s="113"/>
      <c r="N27" s="75"/>
      <c r="O27" s="113"/>
      <c r="P27" s="113"/>
      <c r="Q27" s="113"/>
      <c r="R27" s="113"/>
      <c r="S27" s="75"/>
      <c r="T27" s="113"/>
      <c r="U27" s="113"/>
      <c r="V27" s="113"/>
      <c r="W27" s="113"/>
      <c r="X27" s="75"/>
      <c r="Y27" s="113"/>
      <c r="Z27" s="113"/>
      <c r="AA27" s="113"/>
      <c r="AB27" s="113"/>
      <c r="AC27" s="75"/>
      <c r="AD27" s="113"/>
      <c r="AE27" s="158">
        <f>SUM(AD28:AE28)</f>
        <v>289.80200000000002</v>
      </c>
      <c r="AF27" s="158">
        <f>SUM(AD28:AF28)</f>
        <v>450.26600000000002</v>
      </c>
      <c r="AG27" s="158">
        <f>SUM(AD28:AG28)</f>
        <v>592.47299999999996</v>
      </c>
      <c r="AH27" s="75"/>
      <c r="AI27" s="92"/>
      <c r="AJ27" s="136"/>
      <c r="AK27" s="113"/>
      <c r="AL27" s="136"/>
      <c r="AM27" s="75"/>
      <c r="AN27" s="92"/>
      <c r="AO27" s="136"/>
      <c r="AP27" s="136"/>
      <c r="AQ27" s="136"/>
      <c r="AR27" s="75"/>
      <c r="AS27" s="891"/>
      <c r="AT27" s="136"/>
      <c r="AU27" s="136"/>
      <c r="AV27" s="1081"/>
      <c r="AW27" s="75"/>
      <c r="AX27" s="891"/>
      <c r="AY27" s="113"/>
      <c r="AZ27" s="113"/>
      <c r="BA27" s="1081"/>
      <c r="BB27" s="75"/>
      <c r="BC27" s="891"/>
      <c r="BD27" s="113"/>
      <c r="BE27" s="113"/>
      <c r="BF27" s="1157"/>
      <c r="BG27" s="379"/>
      <c r="BH27" s="891"/>
      <c r="BI27" s="113"/>
      <c r="BJ27" s="113"/>
      <c r="BK27" s="1081"/>
      <c r="BL27" s="379"/>
      <c r="BM27" s="891"/>
      <c r="BN27" s="113"/>
      <c r="BO27" s="113"/>
      <c r="BP27" s="1081"/>
      <c r="BQ27" s="75"/>
      <c r="BR27" s="891"/>
      <c r="BS27" s="113"/>
      <c r="BT27" s="113"/>
      <c r="BU27" s="1081"/>
      <c r="BV27" s="75"/>
      <c r="BW27" s="891"/>
      <c r="BX27" s="113"/>
      <c r="BY27" s="113"/>
      <c r="BZ27" s="1081"/>
      <c r="CA27" s="75"/>
      <c r="CB27" s="891"/>
      <c r="CC27" s="113"/>
      <c r="CD27" s="113"/>
      <c r="CE27" s="1081"/>
      <c r="CF27" s="75"/>
      <c r="CG27" s="889"/>
      <c r="CH27" s="113"/>
      <c r="CI27" s="113"/>
      <c r="CJ27" s="1081"/>
      <c r="CK27" s="75"/>
      <c r="CL27" s="891"/>
      <c r="CM27" s="113"/>
      <c r="CN27" s="113"/>
      <c r="CO27" s="1081"/>
      <c r="CP27" s="75"/>
      <c r="CQ27" s="891"/>
      <c r="CR27" s="113"/>
      <c r="CS27" s="113"/>
      <c r="CT27" s="1081"/>
      <c r="CU27" s="75"/>
      <c r="CV27" s="891"/>
      <c r="CW27" s="113"/>
      <c r="CX27" s="113"/>
      <c r="CY27" s="1081"/>
      <c r="CZ27" s="75"/>
    </row>
    <row r="28" spans="1:104" ht="13.5" customHeight="1">
      <c r="A28" s="66"/>
      <c r="B28" s="66" t="s">
        <v>269</v>
      </c>
      <c r="C28" s="66"/>
      <c r="D28" s="79"/>
      <c r="E28" s="159"/>
      <c r="F28" s="159"/>
      <c r="G28" s="159"/>
      <c r="H28" s="159"/>
      <c r="I28" s="159"/>
      <c r="J28" s="94">
        <v>37.273774000000003</v>
      </c>
      <c r="K28" s="94">
        <v>41.206519999999998</v>
      </c>
      <c r="L28" s="94">
        <v>47.673315000000002</v>
      </c>
      <c r="M28" s="94">
        <f>+N28-L28-K28-J28</f>
        <v>49.434737999999996</v>
      </c>
      <c r="N28" s="94">
        <v>175.588347</v>
      </c>
      <c r="O28" s="94">
        <f>40.190832</f>
        <v>40.190832</v>
      </c>
      <c r="P28" s="94">
        <f>45.938117-P79</f>
        <v>41.238116999999995</v>
      </c>
      <c r="Q28" s="94">
        <f>44.497217-Q79</f>
        <v>44.497216999999999</v>
      </c>
      <c r="R28" s="94">
        <v>34.742868999999999</v>
      </c>
      <c r="S28" s="94">
        <f>165.369035-S79</f>
        <v>160.66903500000001</v>
      </c>
      <c r="T28" s="94">
        <f>77.399-T79</f>
        <v>77.399000000000001</v>
      </c>
      <c r="U28" s="94">
        <v>110.006</v>
      </c>
      <c r="V28" s="94">
        <v>131.57300000000001</v>
      </c>
      <c r="W28" s="94">
        <f>X28-T28-U28-V28</f>
        <v>96.051999999999964</v>
      </c>
      <c r="X28" s="94">
        <f>415.03</f>
        <v>415.03</v>
      </c>
      <c r="Y28" s="94">
        <f>125.429</f>
        <v>125.429</v>
      </c>
      <c r="Z28" s="94">
        <v>102.619</v>
      </c>
      <c r="AA28" s="94">
        <v>118.13</v>
      </c>
      <c r="AB28" s="94">
        <f>AC28-Y28-Z28-AA28</f>
        <v>147.38199999999995</v>
      </c>
      <c r="AC28" s="94">
        <f>493.56</f>
        <v>493.56</v>
      </c>
      <c r="AD28" s="94">
        <f>289.802-AE28</f>
        <v>143.20000000000002</v>
      </c>
      <c r="AE28" s="94">
        <v>146.602</v>
      </c>
      <c r="AF28" s="94">
        <v>160.464</v>
      </c>
      <c r="AG28" s="94">
        <v>142.20699999999999</v>
      </c>
      <c r="AH28" s="94">
        <f>SUM(AD28:AG28)</f>
        <v>592.47299999999996</v>
      </c>
      <c r="AI28" s="116">
        <v>136.21</v>
      </c>
      <c r="AJ28" s="116">
        <v>148.92500000000001</v>
      </c>
      <c r="AK28" s="94">
        <v>145.47</v>
      </c>
      <c r="AL28" s="116">
        <v>147.15899999999999</v>
      </c>
      <c r="AM28" s="107">
        <f>SUM(AI28:AL28)</f>
        <v>577.76400000000001</v>
      </c>
      <c r="AN28" s="116">
        <v>169.714</v>
      </c>
      <c r="AO28" s="116">
        <v>220.172</v>
      </c>
      <c r="AP28" s="116">
        <v>215.755</v>
      </c>
      <c r="AQ28" s="116">
        <v>145.34299999999999</v>
      </c>
      <c r="AR28" s="94">
        <f>SUM(AN28:AQ28)</f>
        <v>750.98399999999992</v>
      </c>
      <c r="AS28" s="1082">
        <v>125.376</v>
      </c>
      <c r="AT28" s="516">
        <v>106.925</v>
      </c>
      <c r="AU28" s="516">
        <v>105.913</v>
      </c>
      <c r="AV28" s="1083">
        <v>92.605000000000004</v>
      </c>
      <c r="AW28" s="565">
        <f>SUM(AS28:AV28)</f>
        <v>430.81900000000002</v>
      </c>
      <c r="AX28" s="1082">
        <v>92.593999999999994</v>
      </c>
      <c r="AY28" s="516">
        <v>107.77</v>
      </c>
      <c r="AZ28" s="516">
        <v>88.866</v>
      </c>
      <c r="BA28" s="1083">
        <v>102.145</v>
      </c>
      <c r="BB28" s="565">
        <f>SUM(AX28:BA28)</f>
        <v>391.37499999999994</v>
      </c>
      <c r="BC28" s="1082">
        <v>125.378</v>
      </c>
      <c r="BD28" s="516">
        <v>147.01400000000001</v>
      </c>
      <c r="BE28" s="516">
        <v>140.20599999999999</v>
      </c>
      <c r="BF28" s="1158">
        <v>108.05</v>
      </c>
      <c r="BG28" s="567">
        <f>SUM(BC28:BF28)</f>
        <v>520.64799999999991</v>
      </c>
      <c r="BH28" s="1082">
        <v>107.119</v>
      </c>
      <c r="BI28" s="516">
        <v>112.52800000000001</v>
      </c>
      <c r="BJ28" s="516">
        <v>114.392</v>
      </c>
      <c r="BK28" s="1083">
        <v>120.861</v>
      </c>
      <c r="BL28" s="567">
        <f>SUM(BH28:BK28)</f>
        <v>454.9</v>
      </c>
      <c r="BM28" s="1082">
        <v>116.22499999999999</v>
      </c>
      <c r="BN28" s="516">
        <v>123.15</v>
      </c>
      <c r="BO28" s="516">
        <v>125.126</v>
      </c>
      <c r="BP28" s="1083">
        <v>117.40300000000001</v>
      </c>
      <c r="BQ28" s="565">
        <f>SUM(BM28:BP28)</f>
        <v>481.904</v>
      </c>
      <c r="BR28" s="1082">
        <v>133.434</v>
      </c>
      <c r="BS28" s="516">
        <v>132.81299999999999</v>
      </c>
      <c r="BT28" s="516">
        <v>152.60400000000001</v>
      </c>
      <c r="BU28" s="1083">
        <v>127.34699999999999</v>
      </c>
      <c r="BV28" s="565">
        <f>SUM(BR28:BU28)</f>
        <v>546.19799999999998</v>
      </c>
      <c r="BW28" s="1082">
        <v>124.56100000000001</v>
      </c>
      <c r="BX28" s="516">
        <v>128.59200000000001</v>
      </c>
      <c r="BY28" s="516">
        <v>124.339</v>
      </c>
      <c r="BZ28" s="1083">
        <v>89.197000000000003</v>
      </c>
      <c r="CA28" s="565">
        <f>SUM(BW28:BZ28)</f>
        <v>466.68900000000002</v>
      </c>
      <c r="CB28" s="1082">
        <v>109.745</v>
      </c>
      <c r="CC28" s="516">
        <v>161.71100000000001</v>
      </c>
      <c r="CD28" s="516">
        <v>169.22300000000001</v>
      </c>
      <c r="CE28" s="1083">
        <v>156.08199999999999</v>
      </c>
      <c r="CF28" s="565">
        <f>SUM(CB28:CE28)</f>
        <v>596.76099999999997</v>
      </c>
      <c r="CG28" s="1082">
        <v>176.42599999999999</v>
      </c>
      <c r="CH28" s="516">
        <v>170.21100000000001</v>
      </c>
      <c r="CI28" s="516">
        <v>152.542</v>
      </c>
      <c r="CJ28" s="1083">
        <v>168.102</v>
      </c>
      <c r="CK28" s="565">
        <f>SUM(CG28:CJ28)</f>
        <v>667.28099999999995</v>
      </c>
      <c r="CL28" s="1082">
        <v>182.96</v>
      </c>
      <c r="CM28" s="565">
        <f>CM15*CM29</f>
        <v>171.54561603012584</v>
      </c>
      <c r="CN28" s="565">
        <f>CN15*CN29</f>
        <v>175.17907309817113</v>
      </c>
      <c r="CO28" s="1075">
        <f>CO15*CO29</f>
        <v>171.07896345269302</v>
      </c>
      <c r="CP28" s="565">
        <f>SUM(CL28:CO28)</f>
        <v>700.76365258099008</v>
      </c>
      <c r="CQ28" s="1074">
        <f>CQ15*CQ29</f>
        <v>180.24890797006429</v>
      </c>
      <c r="CR28" s="565">
        <f>CR15*CR29</f>
        <v>177.94756701916074</v>
      </c>
      <c r="CS28" s="565">
        <f>CS15*CS29</f>
        <v>174.1698049019549</v>
      </c>
      <c r="CT28" s="1075">
        <f>CT15*CT29</f>
        <v>166.96865220302755</v>
      </c>
      <c r="CU28" s="565">
        <f>SUM(CQ28:CT28)</f>
        <v>699.33493209420749</v>
      </c>
      <c r="CV28" s="1074">
        <f>CV15*CV29</f>
        <v>175.65329736769431</v>
      </c>
      <c r="CW28" s="565">
        <f>CW15*CW29</f>
        <v>172.8490182376577</v>
      </c>
      <c r="CX28" s="565">
        <f>CX15*CX29</f>
        <v>169.17980816763057</v>
      </c>
      <c r="CY28" s="1075">
        <f>CY15*CY29</f>
        <v>165.32126571776584</v>
      </c>
      <c r="CZ28" s="565">
        <f>SUM(CV28:CY28)</f>
        <v>683.00338949074842</v>
      </c>
    </row>
    <row r="29" spans="1:104" ht="13.5" customHeight="1">
      <c r="A29" s="66"/>
      <c r="B29" s="66"/>
      <c r="C29" s="82" t="s">
        <v>240</v>
      </c>
      <c r="D29" s="79"/>
      <c r="E29" s="120"/>
      <c r="F29" s="120"/>
      <c r="G29" s="120"/>
      <c r="H29" s="120"/>
      <c r="I29" s="120"/>
      <c r="J29" s="119">
        <f t="shared" ref="J29:AA29" si="23">J28/J15</f>
        <v>3.4492410175994158E-2</v>
      </c>
      <c r="K29" s="119">
        <f t="shared" si="23"/>
        <v>3.4395168839058736E-2</v>
      </c>
      <c r="L29" s="119">
        <f t="shared" si="23"/>
        <v>3.8805187818444296E-2</v>
      </c>
      <c r="M29" s="119">
        <f t="shared" si="23"/>
        <v>3.8185988629172718E-2</v>
      </c>
      <c r="N29" s="119">
        <f t="shared" si="23"/>
        <v>3.6567371606530889E-2</v>
      </c>
      <c r="O29" s="119">
        <f t="shared" si="23"/>
        <v>2.7150996238501562E-2</v>
      </c>
      <c r="P29" s="119">
        <f t="shared" si="23"/>
        <v>2.7122116349031965E-2</v>
      </c>
      <c r="Q29" s="119">
        <f t="shared" si="23"/>
        <v>2.7741210912533298E-2</v>
      </c>
      <c r="R29" s="119">
        <f t="shared" si="23"/>
        <v>2.091583397362216E-2</v>
      </c>
      <c r="S29" s="119">
        <f t="shared" si="23"/>
        <v>2.5642127937543082E-2</v>
      </c>
      <c r="T29" s="119">
        <f t="shared" si="23"/>
        <v>3.3851670037298547E-2</v>
      </c>
      <c r="U29" s="119">
        <f t="shared" si="23"/>
        <v>3.9830952175773815E-2</v>
      </c>
      <c r="V29" s="119">
        <f t="shared" si="23"/>
        <v>4.0614064981022303E-2</v>
      </c>
      <c r="W29" s="119">
        <f t="shared" si="23"/>
        <v>3.1094872835786869E-2</v>
      </c>
      <c r="X29" s="119">
        <f t="shared" si="23"/>
        <v>3.648029134307032E-2</v>
      </c>
      <c r="Y29" s="119">
        <f t="shared" si="23"/>
        <v>3.7760449986046316E-2</v>
      </c>
      <c r="Z29" s="119">
        <f t="shared" si="23"/>
        <v>3.2629221657340231E-2</v>
      </c>
      <c r="AA29" s="119">
        <f t="shared" si="23"/>
        <v>3.9039482654975637E-2</v>
      </c>
      <c r="AB29" s="119">
        <f>AB28/$AD$15</f>
        <v>4.1573474576295087E-2</v>
      </c>
      <c r="AC29" s="119">
        <f t="shared" ref="AC29:AM29" si="24">AC28/AC15</f>
        <v>3.8859935348392674E-2</v>
      </c>
      <c r="AD29" s="119">
        <f t="shared" si="24"/>
        <v>4.0393817150842427E-2</v>
      </c>
      <c r="AE29" s="119">
        <f t="shared" si="24"/>
        <v>3.8515112903437676E-2</v>
      </c>
      <c r="AF29" s="119">
        <f t="shared" si="24"/>
        <v>4.08177281784112E-2</v>
      </c>
      <c r="AG29" s="119">
        <f t="shared" si="24"/>
        <v>4.0998503714765946E-2</v>
      </c>
      <c r="AH29" s="119">
        <f t="shared" si="24"/>
        <v>4.0164202811012198E-2</v>
      </c>
      <c r="AI29" s="160">
        <f t="shared" si="24"/>
        <v>3.6140662291367344E-2</v>
      </c>
      <c r="AJ29" s="160">
        <f t="shared" si="24"/>
        <v>3.5575988208623288E-2</v>
      </c>
      <c r="AK29" s="160">
        <f t="shared" si="24"/>
        <v>3.4154132880167526E-2</v>
      </c>
      <c r="AL29" s="160">
        <f t="shared" si="24"/>
        <v>3.3469873270317231E-2</v>
      </c>
      <c r="AM29" s="119">
        <f t="shared" si="24"/>
        <v>3.4782062173830119E-2</v>
      </c>
      <c r="AN29" s="160">
        <f t="shared" ref="AN29:CL29" si="25">AN28/AN15</f>
        <v>3.4118380007193014E-2</v>
      </c>
      <c r="AO29" s="160">
        <f t="shared" si="25"/>
        <v>3.1051255331178647E-2</v>
      </c>
      <c r="AP29" s="160">
        <f t="shared" si="25"/>
        <v>2.8970046404709217E-2</v>
      </c>
      <c r="AQ29" s="160">
        <f t="shared" si="25"/>
        <v>3.5014512389494802E-2</v>
      </c>
      <c r="AR29" s="160">
        <f t="shared" si="25"/>
        <v>3.1736200712968295E-2</v>
      </c>
      <c r="AS29" s="1084">
        <f t="shared" si="25"/>
        <v>4.7234714440879191E-2</v>
      </c>
      <c r="AT29" s="160">
        <f t="shared" si="25"/>
        <v>4.3149229952203931E-2</v>
      </c>
      <c r="AU29" s="160">
        <f t="shared" si="25"/>
        <v>3.3946419957660325E-2</v>
      </c>
      <c r="AV29" s="1085">
        <f t="shared" si="25"/>
        <v>3.1520342116800049E-2</v>
      </c>
      <c r="AW29" s="160">
        <f t="shared" si="25"/>
        <v>3.8499339070208694E-2</v>
      </c>
      <c r="AX29" s="1084">
        <f t="shared" si="25"/>
        <v>2.5334610907940751E-2</v>
      </c>
      <c r="AY29" s="160">
        <f t="shared" si="25"/>
        <v>2.5684192865242469E-2</v>
      </c>
      <c r="AZ29" s="160">
        <f t="shared" si="25"/>
        <v>2.1464859643643617E-2</v>
      </c>
      <c r="BA29" s="1085">
        <f t="shared" si="25"/>
        <v>2.6505351929938369E-2</v>
      </c>
      <c r="BB29" s="160">
        <f t="shared" si="25"/>
        <v>2.4700802360320621E-2</v>
      </c>
      <c r="BC29" s="1084">
        <f t="shared" si="25"/>
        <v>2.5937052512508444E-2</v>
      </c>
      <c r="BD29" s="160">
        <f t="shared" si="25"/>
        <v>2.8782203876456618E-2</v>
      </c>
      <c r="BE29" s="160">
        <f t="shared" si="25"/>
        <v>2.6695003031143087E-2</v>
      </c>
      <c r="BF29" s="1085">
        <f t="shared" si="25"/>
        <v>2.2372096519083989E-2</v>
      </c>
      <c r="BG29" s="389">
        <f t="shared" si="25"/>
        <v>2.6001764720805943E-2</v>
      </c>
      <c r="BH29" s="1084">
        <f t="shared" si="25"/>
        <v>2.1117203545168408E-2</v>
      </c>
      <c r="BI29" s="160">
        <f t="shared" si="25"/>
        <v>2.2046162385126446E-2</v>
      </c>
      <c r="BJ29" s="160">
        <f t="shared" si="25"/>
        <v>2.3825680464449973E-2</v>
      </c>
      <c r="BK29" s="1085">
        <f t="shared" si="25"/>
        <v>2.7152001876316757E-2</v>
      </c>
      <c r="BL29" s="389">
        <f t="shared" si="25"/>
        <v>2.3413125133400513E-2</v>
      </c>
      <c r="BM29" s="1084">
        <f t="shared" si="25"/>
        <v>2.5539622727748169E-2</v>
      </c>
      <c r="BN29" s="160">
        <f t="shared" si="25"/>
        <v>2.6395386819410546E-2</v>
      </c>
      <c r="BO29" s="160">
        <f t="shared" si="25"/>
        <v>2.5324351499392019E-2</v>
      </c>
      <c r="BP29" s="1085">
        <f t="shared" si="25"/>
        <v>2.3985494662648758E-2</v>
      </c>
      <c r="BQ29" s="160">
        <f t="shared" si="25"/>
        <v>2.5294081276100219E-2</v>
      </c>
      <c r="BR29" s="1084">
        <f t="shared" si="25"/>
        <v>2.6120282418677778E-2</v>
      </c>
      <c r="BS29" s="160">
        <f t="shared" si="25"/>
        <v>2.5101326290026128E-2</v>
      </c>
      <c r="BT29" s="160">
        <f t="shared" si="25"/>
        <v>2.6763855851476073E-2</v>
      </c>
      <c r="BU29" s="1085">
        <f t="shared" si="25"/>
        <v>2.5450297007066497E-2</v>
      </c>
      <c r="BV29" s="160">
        <f t="shared" si="25"/>
        <v>2.5879855529039104E-2</v>
      </c>
      <c r="BW29" s="1084">
        <f t="shared" si="25"/>
        <v>2.8312921644572948E-2</v>
      </c>
      <c r="BX29" s="160">
        <f t="shared" si="25"/>
        <v>2.9509760972129442E-2</v>
      </c>
      <c r="BY29" s="160">
        <f t="shared" si="25"/>
        <v>2.9425769267360135E-2</v>
      </c>
      <c r="BZ29" s="1085">
        <f t="shared" si="25"/>
        <v>2.5803993562670664E-2</v>
      </c>
      <c r="CA29" s="160">
        <f t="shared" si="25"/>
        <v>2.8388658965273164E-2</v>
      </c>
      <c r="CB29" s="1084">
        <f t="shared" si="25"/>
        <v>2.9536470253871811E-2</v>
      </c>
      <c r="CC29" s="160">
        <f t="shared" si="25"/>
        <v>3.8087537437243454E-2</v>
      </c>
      <c r="CD29" s="160">
        <f t="shared" si="25"/>
        <v>3.9443750879904982E-2</v>
      </c>
      <c r="CE29" s="1085">
        <f t="shared" si="25"/>
        <v>3.9449134571688679E-2</v>
      </c>
      <c r="CF29" s="160">
        <f t="shared" si="25"/>
        <v>3.6818639445088085E-2</v>
      </c>
      <c r="CG29" s="1084">
        <f t="shared" si="25"/>
        <v>3.6639551717599694E-2</v>
      </c>
      <c r="CH29" s="160">
        <f t="shared" si="25"/>
        <v>3.2892482736910575E-2</v>
      </c>
      <c r="CI29" s="160">
        <f t="shared" si="25"/>
        <v>2.9504554732513788E-2</v>
      </c>
      <c r="CJ29" s="1085">
        <f t="shared" si="25"/>
        <v>3.3010835122953587E-2</v>
      </c>
      <c r="CK29" s="160">
        <f>CK28/CK15</f>
        <v>3.2948254559350097E-2</v>
      </c>
      <c r="CL29" s="1084">
        <f t="shared" si="25"/>
        <v>3.2856722886693696E-2</v>
      </c>
      <c r="CM29" s="517">
        <v>2.5999999999999999E-2</v>
      </c>
      <c r="CN29" s="517">
        <v>2.5999999999999999E-2</v>
      </c>
      <c r="CO29" s="1211">
        <v>2.5999999999999999E-2</v>
      </c>
      <c r="CP29" s="160">
        <f>CP28/CP15</f>
        <v>2.7498241632114374E-2</v>
      </c>
      <c r="CQ29" s="1218">
        <v>2.5999999999999999E-2</v>
      </c>
      <c r="CR29" s="517">
        <v>2.5999999999999999E-2</v>
      </c>
      <c r="CS29" s="517">
        <v>2.5999999999999999E-2</v>
      </c>
      <c r="CT29" s="1211">
        <v>2.5999999999999999E-2</v>
      </c>
      <c r="CU29" s="160">
        <f>CU28/CU15</f>
        <v>2.5999999999999999E-2</v>
      </c>
      <c r="CV29" s="1218">
        <v>2.5999999999999999E-2</v>
      </c>
      <c r="CW29" s="517">
        <v>2.5999999999999999E-2</v>
      </c>
      <c r="CX29" s="517">
        <v>2.5999999999999999E-2</v>
      </c>
      <c r="CY29" s="1211">
        <v>2.5999999999999999E-2</v>
      </c>
      <c r="CZ29" s="160">
        <f>CZ28/CZ15</f>
        <v>2.5999999999999999E-2</v>
      </c>
    </row>
    <row r="30" spans="1:104" ht="6.2" customHeight="1">
      <c r="A30" s="66"/>
      <c r="B30" s="66"/>
      <c r="C30" s="66"/>
      <c r="D30" s="79"/>
      <c r="E30" s="75"/>
      <c r="F30" s="75"/>
      <c r="G30" s="75"/>
      <c r="H30" s="75"/>
      <c r="I30" s="75"/>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66"/>
      <c r="AR30" s="66"/>
      <c r="AS30" s="859"/>
      <c r="AT30" s="20"/>
      <c r="AU30" s="20"/>
      <c r="AV30" s="860"/>
      <c r="AW30" s="66"/>
      <c r="AX30" s="859"/>
      <c r="AY30" s="20"/>
      <c r="AZ30" s="20"/>
      <c r="BA30" s="860"/>
      <c r="BB30" s="66"/>
      <c r="BC30" s="859"/>
      <c r="BD30" s="20"/>
      <c r="BE30" s="20"/>
      <c r="BF30" s="954"/>
      <c r="BG30" s="362"/>
      <c r="BH30" s="859"/>
      <c r="BI30" s="20"/>
      <c r="BJ30" s="20"/>
      <c r="BK30" s="860"/>
      <c r="BL30" s="362"/>
      <c r="BM30" s="859"/>
      <c r="BN30" s="20"/>
      <c r="BO30" s="20"/>
      <c r="BP30" s="860"/>
      <c r="BQ30" s="66"/>
      <c r="BR30" s="859"/>
      <c r="BS30" s="20"/>
      <c r="BT30" s="20"/>
      <c r="BU30" s="860"/>
      <c r="BV30" s="66"/>
      <c r="BW30" s="859"/>
      <c r="BX30" s="20"/>
      <c r="BY30" s="20"/>
      <c r="BZ30" s="860"/>
      <c r="CA30" s="66"/>
      <c r="CB30" s="859"/>
      <c r="CC30" s="20"/>
      <c r="CD30" s="495"/>
      <c r="CE30" s="944"/>
      <c r="CF30" s="453"/>
      <c r="CG30" s="981"/>
      <c r="CH30" s="495"/>
      <c r="CI30" s="20"/>
      <c r="CJ30" s="944"/>
      <c r="CK30" s="453"/>
      <c r="CL30" s="859"/>
      <c r="CM30" s="20"/>
      <c r="CN30" s="20"/>
      <c r="CO30" s="860"/>
      <c r="CP30" s="66"/>
      <c r="CQ30" s="859"/>
      <c r="CR30" s="20"/>
      <c r="CS30" s="20"/>
      <c r="CT30" s="860"/>
      <c r="CU30" s="66"/>
      <c r="CV30" s="859"/>
      <c r="CW30" s="20"/>
      <c r="CX30" s="20"/>
      <c r="CY30" s="860"/>
      <c r="CZ30" s="66"/>
    </row>
    <row r="31" spans="1:104" ht="13.5" customHeight="1">
      <c r="A31" s="66"/>
      <c r="B31" s="66"/>
      <c r="C31" s="79" t="s">
        <v>107</v>
      </c>
      <c r="D31" s="79"/>
      <c r="E31" s="121"/>
      <c r="F31" s="121"/>
      <c r="G31" s="121"/>
      <c r="H31" s="121"/>
      <c r="I31" s="121"/>
      <c r="J31" s="111">
        <f t="shared" ref="J31:AW31" si="26">J41</f>
        <v>63.624590000000012</v>
      </c>
      <c r="K31" s="111">
        <f t="shared" si="26"/>
        <v>87.179826000000006</v>
      </c>
      <c r="L31" s="111">
        <f t="shared" si="26"/>
        <v>74.257091999999986</v>
      </c>
      <c r="M31" s="111">
        <f t="shared" si="26"/>
        <v>68.84935200000001</v>
      </c>
      <c r="N31" s="111">
        <f t="shared" si="26"/>
        <v>293.91085999999996</v>
      </c>
      <c r="O31" s="111">
        <f t="shared" si="26"/>
        <v>33.655267000000009</v>
      </c>
      <c r="P31" s="111">
        <f t="shared" si="26"/>
        <v>27.577278999999997</v>
      </c>
      <c r="Q31" s="111">
        <f t="shared" si="26"/>
        <v>26.656759999999942</v>
      </c>
      <c r="R31" s="111">
        <f t="shared" si="26"/>
        <v>23.217927000000003</v>
      </c>
      <c r="S31" s="111">
        <f t="shared" si="26"/>
        <v>111.10723299999995</v>
      </c>
      <c r="T31" s="111">
        <f t="shared" si="26"/>
        <v>192.64800000000002</v>
      </c>
      <c r="U31" s="111">
        <f t="shared" si="26"/>
        <v>431.1</v>
      </c>
      <c r="V31" s="111">
        <f t="shared" si="26"/>
        <v>674.50099999999998</v>
      </c>
      <c r="W31" s="111">
        <f t="shared" si="26"/>
        <v>547.87699999999995</v>
      </c>
      <c r="X31" s="111">
        <f t="shared" si="26"/>
        <v>1846.1259999999997</v>
      </c>
      <c r="Y31" s="111">
        <f t="shared" si="26"/>
        <v>576.56399999999996</v>
      </c>
      <c r="Z31" s="111">
        <f t="shared" si="26"/>
        <v>522.29200000000003</v>
      </c>
      <c r="AA31" s="111">
        <f t="shared" si="26"/>
        <v>472.50500000000011</v>
      </c>
      <c r="AB31" s="111">
        <f t="shared" si="26"/>
        <v>550.68200000000002</v>
      </c>
      <c r="AC31" s="111">
        <f t="shared" si="26"/>
        <v>2122.0430000000001</v>
      </c>
      <c r="AD31" s="111">
        <f t="shared" si="26"/>
        <v>622.85500000000002</v>
      </c>
      <c r="AE31" s="111">
        <f t="shared" si="26"/>
        <v>733.77300000000002</v>
      </c>
      <c r="AF31" s="111">
        <f t="shared" si="26"/>
        <v>844.18799999999999</v>
      </c>
      <c r="AG31" s="111">
        <f t="shared" si="26"/>
        <v>674.85799999999995</v>
      </c>
      <c r="AH31" s="111">
        <f t="shared" si="26"/>
        <v>2875.674</v>
      </c>
      <c r="AI31" s="111">
        <f t="shared" si="26"/>
        <v>641.077</v>
      </c>
      <c r="AJ31" s="111">
        <f t="shared" si="26"/>
        <v>615.28000000000009</v>
      </c>
      <c r="AK31" s="111">
        <f t="shared" si="26"/>
        <v>664.4909999999993</v>
      </c>
      <c r="AL31" s="111">
        <f t="shared" si="26"/>
        <v>631.43700000000001</v>
      </c>
      <c r="AM31" s="111">
        <f t="shared" si="26"/>
        <v>2552.2849999999994</v>
      </c>
      <c r="AN31" s="111">
        <f t="shared" si="26"/>
        <v>732.96300000000019</v>
      </c>
      <c r="AO31" s="111">
        <f>AO25-AO28</f>
        <v>990.77200000000039</v>
      </c>
      <c r="AP31" s="111">
        <f>AP25-AP28</f>
        <v>1241.3580000000002</v>
      </c>
      <c r="AQ31" s="111">
        <f t="shared" si="26"/>
        <v>377.36399999999998</v>
      </c>
      <c r="AR31" s="111">
        <f t="shared" si="26"/>
        <v>3342.4570000000003</v>
      </c>
      <c r="AS31" s="872">
        <f t="shared" si="26"/>
        <v>-249.38099999999997</v>
      </c>
      <c r="AT31" s="112">
        <f t="shared" si="26"/>
        <v>-168.80100000000002</v>
      </c>
      <c r="AU31" s="112">
        <f t="shared" si="26"/>
        <v>13.241</v>
      </c>
      <c r="AV31" s="873">
        <f t="shared" si="26"/>
        <v>125.715</v>
      </c>
      <c r="AW31" s="111">
        <f t="shared" si="26"/>
        <v>-279.226</v>
      </c>
      <c r="AX31" s="872">
        <f t="shared" ref="AX31:CC31" si="27">AX41</f>
        <v>101.824</v>
      </c>
      <c r="AY31" s="112">
        <f t="shared" si="27"/>
        <v>192.89500000000001</v>
      </c>
      <c r="AZ31" s="112">
        <f t="shared" si="27"/>
        <v>95.692000000000007</v>
      </c>
      <c r="BA31" s="873">
        <f t="shared" si="27"/>
        <v>39.796999999999997</v>
      </c>
      <c r="BB31" s="111">
        <f t="shared" si="27"/>
        <v>430.20800000000008</v>
      </c>
      <c r="BC31" s="872">
        <f t="shared" si="27"/>
        <v>308.82100000000003</v>
      </c>
      <c r="BD31" s="112">
        <f t="shared" si="27"/>
        <v>520.471</v>
      </c>
      <c r="BE31" s="112">
        <f t="shared" si="27"/>
        <v>324.40799999999996</v>
      </c>
      <c r="BF31" s="960">
        <f t="shared" si="27"/>
        <v>235.20600000000002</v>
      </c>
      <c r="BG31" s="371">
        <f t="shared" si="27"/>
        <v>1388.9060000000002</v>
      </c>
      <c r="BH31" s="872">
        <f t="shared" si="27"/>
        <v>266.73400000000004</v>
      </c>
      <c r="BI31" s="112">
        <f t="shared" si="27"/>
        <v>295.74400000000003</v>
      </c>
      <c r="BJ31" s="112">
        <f t="shared" si="27"/>
        <v>277.88000000000005</v>
      </c>
      <c r="BK31" s="960">
        <f t="shared" si="27"/>
        <v>271.25700000000001</v>
      </c>
      <c r="BL31" s="371">
        <f t="shared" si="27"/>
        <v>1111.6150000000002</v>
      </c>
      <c r="BM31" s="872">
        <f t="shared" si="27"/>
        <v>185.81900000000002</v>
      </c>
      <c r="BN31" s="112">
        <f t="shared" si="27"/>
        <v>191.56</v>
      </c>
      <c r="BO31" s="112">
        <f t="shared" si="27"/>
        <v>299.66899999999998</v>
      </c>
      <c r="BP31" s="873">
        <f t="shared" si="27"/>
        <v>274.97000000000003</v>
      </c>
      <c r="BQ31" s="111">
        <f t="shared" si="27"/>
        <v>952.0179999999998</v>
      </c>
      <c r="BR31" s="872">
        <f t="shared" si="27"/>
        <v>257.24200000000002</v>
      </c>
      <c r="BS31" s="112">
        <f t="shared" si="27"/>
        <v>286.25600000000003</v>
      </c>
      <c r="BT31" s="112">
        <f t="shared" si="27"/>
        <v>461.834</v>
      </c>
      <c r="BU31" s="873">
        <f t="shared" si="27"/>
        <v>390.00099999999998</v>
      </c>
      <c r="BV31" s="111">
        <f t="shared" si="27"/>
        <v>1395.3329999999999</v>
      </c>
      <c r="BW31" s="872">
        <f t="shared" si="27"/>
        <v>163.46199999999999</v>
      </c>
      <c r="BX31" s="112">
        <f t="shared" si="27"/>
        <v>258.40800000000002</v>
      </c>
      <c r="BY31" s="112">
        <f t="shared" si="27"/>
        <v>399.61200000000002</v>
      </c>
      <c r="BZ31" s="873">
        <f t="shared" si="27"/>
        <v>298.42</v>
      </c>
      <c r="CA31" s="111">
        <f t="shared" si="27"/>
        <v>1119.902</v>
      </c>
      <c r="CB31" s="872">
        <f t="shared" si="27"/>
        <v>186.44800000000001</v>
      </c>
      <c r="CC31" s="112">
        <f t="shared" si="27"/>
        <v>411.36799999999999</v>
      </c>
      <c r="CD31" s="112">
        <f t="shared" ref="CD31:CZ31" si="28">CD41</f>
        <v>469.28100000000001</v>
      </c>
      <c r="CE31" s="873">
        <f t="shared" si="28"/>
        <v>260.26900000000001</v>
      </c>
      <c r="CF31" s="111">
        <f t="shared" si="28"/>
        <v>1327.3659999999998</v>
      </c>
      <c r="CG31" s="872">
        <f t="shared" si="28"/>
        <v>602.38</v>
      </c>
      <c r="CH31" s="112">
        <f t="shared" si="28"/>
        <v>552.71600000000001</v>
      </c>
      <c r="CI31" s="112">
        <f t="shared" si="28"/>
        <v>420.96500000000003</v>
      </c>
      <c r="CJ31" s="873">
        <f t="shared" si="28"/>
        <v>364.32599999999996</v>
      </c>
      <c r="CK31" s="111">
        <f t="shared" si="28"/>
        <v>1940.3869999999999</v>
      </c>
      <c r="CL31" s="872">
        <f t="shared" si="28"/>
        <v>574.82600000000002</v>
      </c>
      <c r="CM31" s="112">
        <f t="shared" si="28"/>
        <v>788.59615184840584</v>
      </c>
      <c r="CN31" s="112">
        <f t="shared" si="28"/>
        <v>805.40742906253331</v>
      </c>
      <c r="CO31" s="873">
        <f t="shared" si="28"/>
        <v>741.8100981036805</v>
      </c>
      <c r="CP31" s="111">
        <f t="shared" si="28"/>
        <v>2910.63967901462</v>
      </c>
      <c r="CQ31" s="872">
        <f t="shared" si="28"/>
        <v>804.19687717936495</v>
      </c>
      <c r="CR31" s="112">
        <f t="shared" si="28"/>
        <v>758.79227446838343</v>
      </c>
      <c r="CS31" s="112">
        <f t="shared" si="28"/>
        <v>680.48707288410742</v>
      </c>
      <c r="CT31" s="873">
        <f t="shared" si="28"/>
        <v>562.91523109697494</v>
      </c>
      <c r="CU31" s="111">
        <f t="shared" si="28"/>
        <v>2806.3914556288305</v>
      </c>
      <c r="CV31" s="872">
        <f t="shared" si="28"/>
        <v>671.75025932684173</v>
      </c>
      <c r="CW31" s="112">
        <f t="shared" si="28"/>
        <v>698.80584104579748</v>
      </c>
      <c r="CX31" s="112">
        <f t="shared" si="28"/>
        <v>644.28096184963431</v>
      </c>
      <c r="CY31" s="873">
        <f t="shared" si="28"/>
        <v>651.33003858647112</v>
      </c>
      <c r="CZ31" s="111">
        <f t="shared" si="28"/>
        <v>2666.1671008087446</v>
      </c>
    </row>
    <row r="32" spans="1:104" ht="13.5" customHeight="1">
      <c r="A32" s="66"/>
      <c r="B32" s="66"/>
      <c r="C32" s="82" t="s">
        <v>390</v>
      </c>
      <c r="D32" s="157"/>
      <c r="E32" s="113"/>
      <c r="F32" s="113"/>
      <c r="G32" s="113"/>
      <c r="H32" s="113"/>
      <c r="I32" s="113"/>
      <c r="J32" s="113">
        <f t="shared" ref="J32:AM32" si="29">J31/J15</f>
        <v>5.8876931956486522E-2</v>
      </c>
      <c r="K32" s="113">
        <f t="shared" si="29"/>
        <v>7.2769183969667001E-2</v>
      </c>
      <c r="L32" s="113">
        <f t="shared" si="29"/>
        <v>6.0443885681360672E-2</v>
      </c>
      <c r="M32" s="113">
        <f t="shared" si="29"/>
        <v>5.3182856407530885E-2</v>
      </c>
      <c r="N32" s="113">
        <f t="shared" si="29"/>
        <v>6.1208775072158252E-2</v>
      </c>
      <c r="O32" s="113">
        <f t="shared" si="29"/>
        <v>2.2735882345574884E-2</v>
      </c>
      <c r="P32" s="113">
        <f t="shared" si="29"/>
        <v>1.8137447197885292E-2</v>
      </c>
      <c r="Q32" s="113">
        <f t="shared" si="29"/>
        <v>1.6618810147267848E-2</v>
      </c>
      <c r="R32" s="113">
        <f t="shared" si="29"/>
        <v>1.3977610955033084E-2</v>
      </c>
      <c r="S32" s="113">
        <f t="shared" si="29"/>
        <v>1.7732264859699986E-2</v>
      </c>
      <c r="T32" s="113">
        <f t="shared" si="29"/>
        <v>8.4257632906697646E-2</v>
      </c>
      <c r="U32" s="113">
        <f t="shared" si="29"/>
        <v>0.15609260843023193</v>
      </c>
      <c r="V32" s="113">
        <f t="shared" si="29"/>
        <v>0.20820553946299408</v>
      </c>
      <c r="W32" s="113">
        <f t="shared" si="29"/>
        <v>0.17736398663903311</v>
      </c>
      <c r="X32" s="113">
        <f t="shared" si="29"/>
        <v>0.16227071377012994</v>
      </c>
      <c r="Y32" s="113">
        <f t="shared" si="29"/>
        <v>0.17357481990412749</v>
      </c>
      <c r="Z32" s="113">
        <f t="shared" si="29"/>
        <v>0.16607042982152959</v>
      </c>
      <c r="AA32" s="113">
        <f t="shared" si="29"/>
        <v>0.15615297343510767</v>
      </c>
      <c r="AB32" s="113">
        <f t="shared" si="29"/>
        <v>0.17163853930111808</v>
      </c>
      <c r="AC32" s="113">
        <f t="shared" si="29"/>
        <v>0.16707685749758741</v>
      </c>
      <c r="AD32" s="113">
        <f t="shared" si="29"/>
        <v>0.17569476942379861</v>
      </c>
      <c r="AE32" s="113">
        <f t="shared" si="29"/>
        <v>0.19277601902084673</v>
      </c>
      <c r="AF32" s="113">
        <f t="shared" si="29"/>
        <v>0.21473873464126902</v>
      </c>
      <c r="AG32" s="113">
        <f t="shared" si="29"/>
        <v>0.19456263207816432</v>
      </c>
      <c r="AH32" s="113">
        <f t="shared" si="29"/>
        <v>0.19494416412959698</v>
      </c>
      <c r="AI32" s="136">
        <f t="shared" si="29"/>
        <v>0.17009725688101388</v>
      </c>
      <c r="AJ32" s="136">
        <f t="shared" si="29"/>
        <v>0.14698132633877278</v>
      </c>
      <c r="AK32" s="113">
        <f t="shared" si="29"/>
        <v>0.15601233183251101</v>
      </c>
      <c r="AL32" s="136">
        <f t="shared" si="29"/>
        <v>0.14361416133698451</v>
      </c>
      <c r="AM32" s="113">
        <f t="shared" si="29"/>
        <v>0.15365051397341126</v>
      </c>
      <c r="AN32" s="136">
        <f t="shared" ref="AN32:BS32" si="30">AN31/AN15</f>
        <v>0.14735089718710431</v>
      </c>
      <c r="AO32" s="136">
        <f t="shared" si="30"/>
        <v>0.13973036692668706</v>
      </c>
      <c r="AP32" s="136">
        <f t="shared" si="30"/>
        <v>0.16668072056201261</v>
      </c>
      <c r="AQ32" s="136">
        <f t="shared" si="30"/>
        <v>9.0910580167942845E-2</v>
      </c>
      <c r="AR32" s="113">
        <f t="shared" si="30"/>
        <v>0.14125052760973056</v>
      </c>
      <c r="AS32" s="857">
        <f t="shared" si="30"/>
        <v>-9.3952912215901699E-2</v>
      </c>
      <c r="AT32" s="136">
        <f t="shared" si="30"/>
        <v>-6.8119085014374345E-2</v>
      </c>
      <c r="AU32" s="136">
        <f t="shared" si="30"/>
        <v>4.2439034552829236E-3</v>
      </c>
      <c r="AV32" s="858">
        <f t="shared" si="30"/>
        <v>4.2790128062345639E-2</v>
      </c>
      <c r="AW32" s="136">
        <f t="shared" si="30"/>
        <v>-2.4952512426838401E-2</v>
      </c>
      <c r="AX32" s="857">
        <f t="shared" si="30"/>
        <v>2.7860027875350014E-2</v>
      </c>
      <c r="AY32" s="136">
        <f t="shared" si="30"/>
        <v>4.5971535517685319E-2</v>
      </c>
      <c r="AZ32" s="136">
        <f t="shared" si="30"/>
        <v>2.3113624434761837E-2</v>
      </c>
      <c r="BA32" s="858">
        <f t="shared" si="30"/>
        <v>1.0326824521569898E-2</v>
      </c>
      <c r="BB32" s="136">
        <f t="shared" si="30"/>
        <v>2.7151664725209371E-2</v>
      </c>
      <c r="BC32" s="857">
        <f t="shared" si="30"/>
        <v>6.3886060504756578E-2</v>
      </c>
      <c r="BD32" s="136">
        <f t="shared" si="30"/>
        <v>0.1018971147903142</v>
      </c>
      <c r="BE32" s="136">
        <f t="shared" si="30"/>
        <v>6.1766775625344612E-2</v>
      </c>
      <c r="BF32" s="952">
        <f t="shared" si="30"/>
        <v>4.8700151169529561E-2</v>
      </c>
      <c r="BG32" s="375">
        <f t="shared" si="30"/>
        <v>6.9363575834951272E-2</v>
      </c>
      <c r="BH32" s="857">
        <f t="shared" si="30"/>
        <v>5.2583352817118824E-2</v>
      </c>
      <c r="BI32" s="136">
        <f t="shared" si="30"/>
        <v>5.7941314592162264E-2</v>
      </c>
      <c r="BJ32" s="136">
        <f t="shared" si="30"/>
        <v>5.7877125039000624E-2</v>
      </c>
      <c r="BK32" s="952">
        <f t="shared" si="30"/>
        <v>6.0939182804743086E-2</v>
      </c>
      <c r="BL32" s="375">
        <f t="shared" si="30"/>
        <v>5.7213411948043559E-2</v>
      </c>
      <c r="BM32" s="857">
        <f t="shared" si="30"/>
        <v>4.0832412610431815E-2</v>
      </c>
      <c r="BN32" s="136">
        <f t="shared" si="30"/>
        <v>4.1058061706262965E-2</v>
      </c>
      <c r="BO32" s="136">
        <f t="shared" si="30"/>
        <v>6.0650249264511825E-2</v>
      </c>
      <c r="BP32" s="858">
        <f t="shared" si="30"/>
        <v>5.6176515654527817E-2</v>
      </c>
      <c r="BQ32" s="136">
        <f t="shared" si="30"/>
        <v>4.9969331377847814E-2</v>
      </c>
      <c r="BR32" s="857">
        <f t="shared" si="30"/>
        <v>5.0356233718134129E-2</v>
      </c>
      <c r="BS32" s="136">
        <f t="shared" si="30"/>
        <v>5.410167121048181E-2</v>
      </c>
      <c r="BT32" s="136">
        <f t="shared" ref="BT32:CY32" si="31">BT31/BT15</f>
        <v>8.0996950298226775E-2</v>
      </c>
      <c r="BU32" s="858">
        <f t="shared" si="31"/>
        <v>7.7941696962260124E-2</v>
      </c>
      <c r="BV32" s="136">
        <f t="shared" si="31"/>
        <v>6.6113417579157591E-2</v>
      </c>
      <c r="BW32" s="857">
        <f t="shared" si="31"/>
        <v>3.7155183386976529E-2</v>
      </c>
      <c r="BX32" s="136">
        <f t="shared" si="31"/>
        <v>5.930040992663637E-2</v>
      </c>
      <c r="BY32" s="136">
        <f t="shared" si="31"/>
        <v>9.4571216661452309E-2</v>
      </c>
      <c r="BZ32" s="858">
        <f t="shared" si="31"/>
        <v>8.633056895380091E-2</v>
      </c>
      <c r="CA32" s="136">
        <f t="shared" si="31"/>
        <v>6.8123559699344416E-2</v>
      </c>
      <c r="CB32" s="857">
        <f t="shared" si="31"/>
        <v>5.0180106664484865E-2</v>
      </c>
      <c r="CC32" s="136">
        <f t="shared" si="31"/>
        <v>9.688885790381585E-2</v>
      </c>
      <c r="CD32" s="136">
        <f t="shared" si="31"/>
        <v>0.10938349312252287</v>
      </c>
      <c r="CE32" s="858">
        <f t="shared" si="31"/>
        <v>6.5782004368465569E-2</v>
      </c>
      <c r="CF32" s="136">
        <f t="shared" si="31"/>
        <v>8.189511406688571E-2</v>
      </c>
      <c r="CG32" s="857">
        <f t="shared" si="31"/>
        <v>0.12510022991876313</v>
      </c>
      <c r="CH32" s="136">
        <f t="shared" si="31"/>
        <v>0.10680979189602473</v>
      </c>
      <c r="CI32" s="136">
        <f t="shared" si="31"/>
        <v>8.1422722155030533E-2</v>
      </c>
      <c r="CJ32" s="858">
        <f t="shared" si="31"/>
        <v>7.154409535285236E-2</v>
      </c>
      <c r="CK32" s="136">
        <f t="shared" si="31"/>
        <v>9.5810258076662838E-2</v>
      </c>
      <c r="CL32" s="857">
        <f t="shared" si="31"/>
        <v>0.10322965998068752</v>
      </c>
      <c r="CM32" s="136">
        <f t="shared" si="31"/>
        <v>0.11952214473646383</v>
      </c>
      <c r="CN32" s="136">
        <f t="shared" si="31"/>
        <v>0.11953821187243446</v>
      </c>
      <c r="CO32" s="858">
        <f t="shared" si="31"/>
        <v>0.11273778003704692</v>
      </c>
      <c r="CP32" s="136">
        <f t="shared" si="31"/>
        <v>0.1142146469822985</v>
      </c>
      <c r="CQ32" s="857">
        <f t="shared" si="31"/>
        <v>0.11600136190637045</v>
      </c>
      <c r="CR32" s="136">
        <f t="shared" si="31"/>
        <v>0.11086748454421783</v>
      </c>
      <c r="CS32" s="136">
        <f t="shared" si="31"/>
        <v>0.10158284270311085</v>
      </c>
      <c r="CT32" s="858">
        <f t="shared" si="31"/>
        <v>8.7655951074724944E-2</v>
      </c>
      <c r="CU32" s="136">
        <f t="shared" si="31"/>
        <v>0.10433652674527105</v>
      </c>
      <c r="CV32" s="857">
        <f t="shared" si="31"/>
        <v>9.9431704409951457E-2</v>
      </c>
      <c r="CW32" s="136">
        <f t="shared" si="31"/>
        <v>0.10511457948930578</v>
      </c>
      <c r="CX32" s="136">
        <f t="shared" si="31"/>
        <v>9.9014800817675497E-2</v>
      </c>
      <c r="CY32" s="858">
        <f t="shared" si="31"/>
        <v>0.10243437787464517</v>
      </c>
      <c r="CZ32" s="136">
        <f t="shared" ref="CZ32" si="32">CZ31/CZ15</f>
        <v>0.1014934123133899</v>
      </c>
    </row>
    <row r="33" spans="1:104" ht="6.2" customHeight="1">
      <c r="A33" s="66"/>
      <c r="B33" s="66"/>
      <c r="C33" s="66"/>
      <c r="D33" s="79"/>
      <c r="E33" s="121"/>
      <c r="F33" s="121"/>
      <c r="G33" s="121"/>
      <c r="H33" s="121"/>
      <c r="I33" s="121"/>
      <c r="J33" s="121"/>
      <c r="K33" s="121"/>
      <c r="L33" s="121"/>
      <c r="M33" s="121"/>
      <c r="N33" s="121"/>
      <c r="O33" s="121"/>
      <c r="P33" s="121"/>
      <c r="Q33" s="121"/>
      <c r="R33" s="121"/>
      <c r="S33" s="121"/>
      <c r="T33" s="121"/>
      <c r="U33" s="121"/>
      <c r="V33" s="121"/>
      <c r="W33" s="121"/>
      <c r="X33" s="121"/>
      <c r="Y33" s="121"/>
      <c r="Z33" s="121"/>
      <c r="AA33" s="121"/>
      <c r="AB33" s="121"/>
      <c r="AC33" s="121"/>
      <c r="AD33" s="121"/>
      <c r="AE33" s="121"/>
      <c r="AF33" s="121"/>
      <c r="AG33" s="121"/>
      <c r="AH33" s="121"/>
      <c r="AI33" s="161"/>
      <c r="AJ33" s="161"/>
      <c r="AK33" s="121"/>
      <c r="AL33" s="161"/>
      <c r="AM33" s="121"/>
      <c r="AN33" s="161"/>
      <c r="AO33" s="161"/>
      <c r="AP33" s="161"/>
      <c r="AQ33" s="161"/>
      <c r="AR33" s="121"/>
      <c r="AS33" s="1086"/>
      <c r="AT33" s="161"/>
      <c r="AU33" s="161"/>
      <c r="AV33" s="903"/>
      <c r="AW33" s="121"/>
      <c r="AX33" s="1086"/>
      <c r="AY33" s="121"/>
      <c r="AZ33" s="121"/>
      <c r="BA33" s="1140"/>
      <c r="BB33" s="121"/>
      <c r="BC33" s="1086"/>
      <c r="BD33" s="121"/>
      <c r="BE33" s="121"/>
      <c r="BF33" s="1159"/>
      <c r="BG33" s="390"/>
      <c r="BH33" s="1187"/>
      <c r="BI33" s="121"/>
      <c r="BJ33" s="121"/>
      <c r="BK33" s="1140"/>
      <c r="BL33" s="121"/>
      <c r="BM33" s="1086"/>
      <c r="BN33" s="121"/>
      <c r="BO33" s="121"/>
      <c r="BP33" s="1140"/>
      <c r="BQ33" s="121"/>
      <c r="BR33" s="1086"/>
      <c r="BS33" s="121"/>
      <c r="BT33" s="121"/>
      <c r="BU33" s="1140"/>
      <c r="BV33" s="121"/>
      <c r="BW33" s="1086"/>
      <c r="BX33" s="121"/>
      <c r="BY33" s="121"/>
      <c r="BZ33" s="1140"/>
      <c r="CA33" s="121"/>
      <c r="CB33" s="1086"/>
      <c r="CC33" s="121"/>
      <c r="CD33" s="121"/>
      <c r="CE33" s="1140"/>
      <c r="CF33" s="121"/>
      <c r="CG33" s="1086"/>
      <c r="CH33" s="121"/>
      <c r="CI33" s="121"/>
      <c r="CJ33" s="1140"/>
      <c r="CK33" s="121"/>
      <c r="CL33" s="1086"/>
      <c r="CM33" s="121"/>
      <c r="CN33" s="121"/>
      <c r="CO33" s="1140"/>
      <c r="CP33" s="121"/>
      <c r="CQ33" s="1086"/>
      <c r="CR33" s="121"/>
      <c r="CS33" s="121"/>
      <c r="CT33" s="1140"/>
      <c r="CU33" s="121"/>
      <c r="CV33" s="1086"/>
      <c r="CW33" s="121"/>
      <c r="CX33" s="121"/>
      <c r="CY33" s="1140"/>
      <c r="CZ33" s="121"/>
    </row>
    <row r="34" spans="1:104" ht="13.5" customHeight="1">
      <c r="A34" s="122" t="s">
        <v>348</v>
      </c>
      <c r="B34" s="70"/>
      <c r="C34" s="123"/>
      <c r="D34" s="122"/>
      <c r="E34" s="124"/>
      <c r="F34" s="124"/>
      <c r="G34" s="124"/>
      <c r="H34" s="124"/>
      <c r="I34" s="124"/>
      <c r="J34" s="124"/>
      <c r="K34" s="124"/>
      <c r="L34" s="124"/>
      <c r="M34" s="124"/>
      <c r="N34" s="124"/>
      <c r="O34" s="124"/>
      <c r="P34" s="124"/>
      <c r="Q34" s="124"/>
      <c r="R34" s="124"/>
      <c r="S34" s="124"/>
      <c r="T34" s="124"/>
      <c r="U34" s="124"/>
      <c r="V34" s="124"/>
      <c r="W34" s="124"/>
      <c r="X34" s="124"/>
      <c r="Y34" s="124"/>
      <c r="Z34" s="124"/>
      <c r="AA34" s="124"/>
      <c r="AB34" s="124"/>
      <c r="AC34" s="124"/>
      <c r="AD34" s="124"/>
      <c r="AE34" s="124"/>
      <c r="AF34" s="124"/>
      <c r="AG34" s="124"/>
      <c r="AH34" s="124"/>
      <c r="AI34" s="162"/>
      <c r="AJ34" s="162"/>
      <c r="AK34" s="124"/>
      <c r="AL34" s="162"/>
      <c r="AM34" s="124"/>
      <c r="AN34" s="162"/>
      <c r="AO34" s="162"/>
      <c r="AP34" s="162"/>
      <c r="AQ34" s="162"/>
      <c r="AR34" s="124"/>
      <c r="AS34" s="1087"/>
      <c r="AT34" s="162"/>
      <c r="AU34" s="162"/>
      <c r="AV34" s="1088"/>
      <c r="AW34" s="124"/>
      <c r="AX34" s="1087"/>
      <c r="AY34" s="124"/>
      <c r="AZ34" s="124"/>
      <c r="BA34" s="1141"/>
      <c r="BB34" s="124"/>
      <c r="BC34" s="1087"/>
      <c r="BD34" s="124"/>
      <c r="BE34" s="124"/>
      <c r="BF34" s="1160"/>
      <c r="BG34" s="391"/>
      <c r="BH34" s="1087"/>
      <c r="BI34" s="124"/>
      <c r="BJ34" s="124"/>
      <c r="BK34" s="1141"/>
      <c r="BL34" s="124"/>
      <c r="BM34" s="1087"/>
      <c r="BN34" s="124"/>
      <c r="BO34" s="456"/>
      <c r="BP34" s="1141"/>
      <c r="BQ34" s="124"/>
      <c r="BR34" s="1087"/>
      <c r="BS34" s="124"/>
      <c r="BT34" s="124"/>
      <c r="BU34" s="1141"/>
      <c r="BV34" s="124"/>
      <c r="BW34" s="1087"/>
      <c r="BX34" s="124"/>
      <c r="BY34" s="124"/>
      <c r="BZ34" s="1141"/>
      <c r="CA34" s="124"/>
      <c r="CB34" s="1087"/>
      <c r="CC34" s="124"/>
      <c r="CD34" s="124"/>
      <c r="CE34" s="1141"/>
      <c r="CF34" s="124"/>
      <c r="CG34" s="1301"/>
      <c r="CH34" s="1302"/>
      <c r="CI34" s="1302"/>
      <c r="CJ34" s="1303"/>
      <c r="CK34" s="124"/>
      <c r="CL34" s="1087"/>
      <c r="CM34" s="124"/>
      <c r="CN34" s="124"/>
      <c r="CO34" s="1141"/>
      <c r="CP34" s="124"/>
      <c r="CQ34" s="1087"/>
      <c r="CR34" s="124"/>
      <c r="CS34" s="124"/>
      <c r="CT34" s="1141"/>
      <c r="CU34" s="124"/>
      <c r="CV34" s="1087"/>
      <c r="CW34" s="124"/>
      <c r="CX34" s="124"/>
      <c r="CY34" s="1141"/>
      <c r="CZ34" s="124"/>
    </row>
    <row r="35" spans="1:104" ht="13.5" customHeight="1">
      <c r="A35" s="66"/>
      <c r="B35" s="20" t="s">
        <v>249</v>
      </c>
      <c r="C35" s="66"/>
      <c r="D35" s="66"/>
      <c r="E35" s="107"/>
      <c r="F35" s="107"/>
      <c r="G35" s="107"/>
      <c r="H35" s="107"/>
      <c r="I35" s="107"/>
      <c r="J35" s="107">
        <f>Operations!J100</f>
        <v>78.276939999999996</v>
      </c>
      <c r="K35" s="107">
        <f>Operations!K100</f>
        <v>103.519656</v>
      </c>
      <c r="L35" s="107">
        <f>Operations!L100</f>
        <v>285.668384</v>
      </c>
      <c r="M35" s="107">
        <f>Operations!M100</f>
        <v>-65.644731999999976</v>
      </c>
      <c r="N35" s="107">
        <f>SUM(J35:M35)</f>
        <v>401.82024799999999</v>
      </c>
      <c r="O35" s="107">
        <f>Operations!O100</f>
        <v>54.568451000000003</v>
      </c>
      <c r="P35" s="107">
        <f>Operations!P100</f>
        <v>55.017481000000004</v>
      </c>
      <c r="Q35" s="107">
        <f>Operations!Q100</f>
        <v>54.420943999999999</v>
      </c>
      <c r="R35" s="107">
        <f>Operations!R100</f>
        <v>45.393123999999993</v>
      </c>
      <c r="S35" s="107">
        <f>SUM(O35:R35)</f>
        <v>209.4</v>
      </c>
      <c r="T35" s="107">
        <f>Operations!T100</f>
        <v>235.267</v>
      </c>
      <c r="U35" s="107">
        <f>Operations!U100</f>
        <v>532.74800000000005</v>
      </c>
      <c r="V35" s="107">
        <f>Operations!V100</f>
        <v>795.43399999999997</v>
      </c>
      <c r="W35" s="107">
        <f>Operations!W100</f>
        <v>627.88599999999997</v>
      </c>
      <c r="X35" s="107">
        <f>SUM(T35:W35)</f>
        <v>2191.335</v>
      </c>
      <c r="Y35" s="107">
        <f>Operations!Y100</f>
        <v>658.13499999999999</v>
      </c>
      <c r="Z35" s="107">
        <f>Operations!Z100</f>
        <v>524.23900000000003</v>
      </c>
      <c r="AA35" s="107">
        <f>Operations!AA100</f>
        <v>488.892</v>
      </c>
      <c r="AB35" s="107">
        <f>Operations!AB100</f>
        <v>536.35500000000002</v>
      </c>
      <c r="AC35" s="107">
        <f>SUM(Y35:AB35)</f>
        <v>2207.6210000000001</v>
      </c>
      <c r="AD35" s="107">
        <f>Operations!AD100</f>
        <v>731.43799999999999</v>
      </c>
      <c r="AE35" s="107">
        <f>Operations!AE100</f>
        <v>836.91300000000001</v>
      </c>
      <c r="AF35" s="107">
        <f>Operations!AF100</f>
        <v>905.59500000000003</v>
      </c>
      <c r="AG35" s="107">
        <f>Operations!AG100</f>
        <v>720.71399999999994</v>
      </c>
      <c r="AH35" s="107">
        <f>SUM(AD35:AG35)</f>
        <v>3194.66</v>
      </c>
      <c r="AI35" s="107">
        <f>Operations!AI100</f>
        <v>735.32899999999995</v>
      </c>
      <c r="AJ35" s="107">
        <f>Operations!AJ100</f>
        <v>667.46500000000003</v>
      </c>
      <c r="AK35" s="107">
        <f>Operations!AK100</f>
        <v>744.51</v>
      </c>
      <c r="AL35" s="107">
        <f>Operations!AL100</f>
        <v>706.84799999999996</v>
      </c>
      <c r="AM35" s="107">
        <f>SUM(AI35:AL35)</f>
        <v>2854.152</v>
      </c>
      <c r="AN35" s="107">
        <f>Operations!AN100</f>
        <v>799.28399999999999</v>
      </c>
      <c r="AO35" s="107">
        <f>Operations!AO100</f>
        <v>1040.5820000000001</v>
      </c>
      <c r="AP35" s="107">
        <f>Operations!AP100</f>
        <v>1223.0350000000001</v>
      </c>
      <c r="AQ35" s="107">
        <f>Operations!AQ100</f>
        <v>541.88000000000011</v>
      </c>
      <c r="AR35" s="107">
        <f>SUM(AN35:AQ35)</f>
        <v>3604.7809999999999</v>
      </c>
      <c r="AS35" s="1067">
        <f>Operations!AS100</f>
        <v>-223.875</v>
      </c>
      <c r="AT35" s="563">
        <f>Operations!AT100</f>
        <v>-205.42599999999999</v>
      </c>
      <c r="AU35" s="563">
        <f>Operations!AU100</f>
        <v>-55.914000000000001</v>
      </c>
      <c r="AV35" s="1068">
        <f>Operations!AV100</f>
        <v>134.84299999999996</v>
      </c>
      <c r="AW35" s="563">
        <f>SUM(AS35:AV35)</f>
        <v>-350.37200000000001</v>
      </c>
      <c r="AX35" s="1067">
        <f>Operations!AX100</f>
        <v>158.5</v>
      </c>
      <c r="AY35" s="563">
        <f>Operations!AY100</f>
        <v>262.14699999999999</v>
      </c>
      <c r="AZ35" s="563">
        <f>Operations!AZ100</f>
        <v>231.803</v>
      </c>
      <c r="BA35" s="1068">
        <f>Operations!BA100</f>
        <v>126.49599999999998</v>
      </c>
      <c r="BB35" s="563">
        <f>SUM(AX35:BA35)</f>
        <v>778.94600000000003</v>
      </c>
      <c r="BC35" s="1067">
        <f>Operations!BC100</f>
        <v>312.57799999999997</v>
      </c>
      <c r="BD35" s="563">
        <f>Operations!BD100</f>
        <v>626.84</v>
      </c>
      <c r="BE35" s="563">
        <f>Operations!BE100</f>
        <v>436.19600000000003</v>
      </c>
      <c r="BF35" s="1150">
        <f>Operations!BF100</f>
        <v>328.31899999999996</v>
      </c>
      <c r="BG35" s="564">
        <f>SUM(BC35:BF35)</f>
        <v>1703.933</v>
      </c>
      <c r="BH35" s="1067">
        <f>Operations!BH100</f>
        <v>390.29199999999997</v>
      </c>
      <c r="BI35" s="563">
        <f>Operations!BI100</f>
        <v>336.096</v>
      </c>
      <c r="BJ35" s="563">
        <f>Operations!BJ100</f>
        <v>217.43</v>
      </c>
      <c r="BK35" s="1150">
        <f>Operations!BK100</f>
        <v>217.63100000000009</v>
      </c>
      <c r="BL35" s="564">
        <f>SUM(BH35:BK35)</f>
        <v>1161.4490000000001</v>
      </c>
      <c r="BM35" s="1067">
        <f>Operations!BM100</f>
        <v>272.25799999999998</v>
      </c>
      <c r="BN35" s="563">
        <f>Operations!BN100</f>
        <v>237.102</v>
      </c>
      <c r="BO35" s="563">
        <f>Operations!BO100</f>
        <v>310.59100000000001</v>
      </c>
      <c r="BP35" s="1068">
        <f>Operations!BP100</f>
        <v>336.7639999999999</v>
      </c>
      <c r="BQ35" s="563">
        <f>SUM(BM35:BP35)</f>
        <v>1156.7149999999999</v>
      </c>
      <c r="BR35" s="1067">
        <f>Operations!BR100</f>
        <v>326.79700000000003</v>
      </c>
      <c r="BS35" s="563">
        <f>Operations!BS100</f>
        <v>368.13799999999998</v>
      </c>
      <c r="BT35" s="563">
        <f>Operations!BT100</f>
        <v>515.20299999999997</v>
      </c>
      <c r="BU35" s="1068">
        <f>Operations!BU100</f>
        <v>405.71400000000017</v>
      </c>
      <c r="BV35" s="563">
        <f>SUM(BR35:BU35)</f>
        <v>1615.8520000000001</v>
      </c>
      <c r="BW35" s="1067">
        <f>Operations!BW100</f>
        <v>217.12799999999999</v>
      </c>
      <c r="BX35" s="563">
        <f>Operations!BX100</f>
        <v>198.5</v>
      </c>
      <c r="BY35" s="563">
        <f>Operations!BY100</f>
        <v>260.77600000000001</v>
      </c>
      <c r="BZ35" s="1068">
        <f>Operations!BZ100</f>
        <v>105.85199999999998</v>
      </c>
      <c r="CA35" s="563">
        <f>SUM(BW35:BZ35)</f>
        <v>782.25599999999997</v>
      </c>
      <c r="CB35" s="1067">
        <f>Operations!CB100</f>
        <v>279.83499999999998</v>
      </c>
      <c r="CC35" s="563">
        <f>Operations!CC100</f>
        <v>530.72699999999998</v>
      </c>
      <c r="CD35" s="563">
        <f>Operations!CD100</f>
        <v>593.149</v>
      </c>
      <c r="CE35" s="1068">
        <f>Operations!CE100</f>
        <v>284.85700000000008</v>
      </c>
      <c r="CF35" s="563">
        <f>SUM(CB35:CE35)</f>
        <v>1688.5679999999998</v>
      </c>
      <c r="CG35" s="1067">
        <f>Operations!CG100</f>
        <v>644.18299999999999</v>
      </c>
      <c r="CH35" s="563">
        <f>Operations!CH100</f>
        <v>582.36599999999999</v>
      </c>
      <c r="CI35" s="563">
        <f>Operations!CI100</f>
        <v>397.71800000000002</v>
      </c>
      <c r="CJ35" s="1068">
        <f>Operations!CJ100</f>
        <v>314.95800000000003</v>
      </c>
      <c r="CK35" s="563">
        <f>SUM(CG35:CJ35)</f>
        <v>1939.2250000000001</v>
      </c>
      <c r="CL35" s="1067">
        <f>Operations!CL100</f>
        <v>560.50300000000004</v>
      </c>
      <c r="CM35" s="563">
        <f>Operations!CM100</f>
        <v>855.35708076946685</v>
      </c>
      <c r="CN35" s="563">
        <f>Operations!CN100</f>
        <v>872.38394412425293</v>
      </c>
      <c r="CO35" s="1068">
        <f>Operations!CO100</f>
        <v>770.06594277596537</v>
      </c>
      <c r="CP35" s="563">
        <f>SUM(CL35:CO35)</f>
        <v>3058.3099676696856</v>
      </c>
      <c r="CQ35" s="1067">
        <f>Operations!CQ100</f>
        <v>864.66838944267704</v>
      </c>
      <c r="CR35" s="563">
        <f>Operations!CR100</f>
        <v>834.43614623612746</v>
      </c>
      <c r="CS35" s="563">
        <f>Operations!CS100</f>
        <v>713.13178695121337</v>
      </c>
      <c r="CT35" s="1068">
        <f>Operations!CT100</f>
        <v>543.36477513240197</v>
      </c>
      <c r="CU35" s="563">
        <f>SUM(CQ35:CT35)</f>
        <v>2955.6010977624196</v>
      </c>
      <c r="CV35" s="1067">
        <f>Operations!CV100</f>
        <v>668.93456797699378</v>
      </c>
      <c r="CW35" s="563">
        <f>Operations!CW100</f>
        <v>703.55547930920375</v>
      </c>
      <c r="CX35" s="563">
        <f>Operations!CX100</f>
        <v>589.82848108867552</v>
      </c>
      <c r="CY35" s="1068">
        <f>Operations!CY100</f>
        <v>571.46430022713366</v>
      </c>
      <c r="CZ35" s="563">
        <f>SUM(CV35:CY35)</f>
        <v>2533.7828286020067</v>
      </c>
    </row>
    <row r="36" spans="1:104" ht="13.5" customHeight="1">
      <c r="A36" s="66"/>
      <c r="B36" s="66" t="s">
        <v>254</v>
      </c>
      <c r="C36" s="66"/>
      <c r="D36" s="66"/>
      <c r="E36" s="107"/>
      <c r="F36" s="107"/>
      <c r="G36" s="107"/>
      <c r="H36" s="107"/>
      <c r="I36" s="107"/>
      <c r="J36" s="107">
        <v>-3.12629</v>
      </c>
      <c r="K36" s="107">
        <v>1.8481449999999999</v>
      </c>
      <c r="L36" s="107">
        <v>-2.7087059999999998</v>
      </c>
      <c r="M36" s="107">
        <v>3.5793619999999997</v>
      </c>
      <c r="N36" s="107">
        <f>SUM(J36:M36)</f>
        <v>-0.40748899999999999</v>
      </c>
      <c r="O36" s="107">
        <f>Operations!O148</f>
        <v>-9.1476539999999993</v>
      </c>
      <c r="P36" s="107">
        <f>Operations!P148</f>
        <v>-3.0990340000000001</v>
      </c>
      <c r="Q36" s="107">
        <f>Operations!Q148</f>
        <v>-3.472486</v>
      </c>
      <c r="R36" s="107">
        <f>Operations!R148</f>
        <v>1.3911739999999999</v>
      </c>
      <c r="S36" s="107">
        <f>SUM(O36:R36)</f>
        <v>-14.327999999999999</v>
      </c>
      <c r="T36" s="107">
        <f>Operations!T148</f>
        <v>5.8360000000000003</v>
      </c>
      <c r="U36" s="107">
        <f>Operations!U148</f>
        <v>31.532</v>
      </c>
      <c r="V36" s="107">
        <f>Operations!V148</f>
        <v>56.182000000000002</v>
      </c>
      <c r="W36" s="107">
        <f>Operations!W148</f>
        <v>56.06</v>
      </c>
      <c r="X36" s="107">
        <f>SUM(T36:W36)</f>
        <v>149.61000000000001</v>
      </c>
      <c r="Y36" s="107">
        <f>Operations!Y148</f>
        <v>46.615000000000002</v>
      </c>
      <c r="Z36" s="107">
        <f>Operations!Z148</f>
        <v>45.756</v>
      </c>
      <c r="AA36" s="107">
        <f>Operations!AA148</f>
        <v>44.213000000000001</v>
      </c>
      <c r="AB36" s="107">
        <f>Operations!AB148</f>
        <v>44.17199999999999</v>
      </c>
      <c r="AC36" s="107">
        <f>SUM(Y36:AB36)</f>
        <v>180.756</v>
      </c>
      <c r="AD36" s="107">
        <f>Operations!AD148</f>
        <v>41.768000000000001</v>
      </c>
      <c r="AE36" s="107">
        <f>Operations!AE148</f>
        <v>47.701999999999998</v>
      </c>
      <c r="AF36" s="107">
        <f>Operations!AF148</f>
        <v>53.003</v>
      </c>
      <c r="AG36" s="107">
        <f>Operations!AG148</f>
        <v>49.040999999999997</v>
      </c>
      <c r="AH36" s="107">
        <f>SUM(AD36:AG36)</f>
        <v>191.51400000000001</v>
      </c>
      <c r="AI36" s="107">
        <f>Operations!AI148</f>
        <v>51.094999999999999</v>
      </c>
      <c r="AJ36" s="107">
        <f>Operations!AJ148</f>
        <v>69.632000000000005</v>
      </c>
      <c r="AK36" s="107">
        <f>Operations!AK148</f>
        <v>86.872</v>
      </c>
      <c r="AL36" s="107">
        <f>Operations!AL148</f>
        <v>94.562999999999988</v>
      </c>
      <c r="AM36" s="107">
        <f>SUM(AI36:AL36)</f>
        <v>302.16199999999998</v>
      </c>
      <c r="AN36" s="107">
        <f>Operations!AN148</f>
        <v>50.186</v>
      </c>
      <c r="AO36" s="107">
        <f>Operations!AO148</f>
        <v>100.26300000000001</v>
      </c>
      <c r="AP36" s="107">
        <f>Operations!AP148</f>
        <v>100.03400000000001</v>
      </c>
      <c r="AQ36" s="107">
        <f>Operations!AQ148</f>
        <v>45.40100000000001</v>
      </c>
      <c r="AR36" s="107">
        <f>SUM(AN36:AQ36)</f>
        <v>295.88400000000001</v>
      </c>
      <c r="AS36" s="1067">
        <f>Operations!AS148</f>
        <v>-33.576000000000001</v>
      </c>
      <c r="AT36" s="563">
        <f>Operations!AT148</f>
        <v>-17.649000000000001</v>
      </c>
      <c r="AU36" s="563">
        <f>Operations!AU148</f>
        <v>-19.722999999999999</v>
      </c>
      <c r="AV36" s="1068">
        <f>Operations!AV148</f>
        <v>-41.85199999999999</v>
      </c>
      <c r="AW36" s="563">
        <f>SUM(AS36:AV36)</f>
        <v>-112.8</v>
      </c>
      <c r="AX36" s="1067">
        <f>Operations!AX148</f>
        <v>-67.695999999999998</v>
      </c>
      <c r="AY36" s="563">
        <f>Operations!AY148</f>
        <v>-35.295000000000002</v>
      </c>
      <c r="AZ36" s="563">
        <f>Operations!AZ148</f>
        <v>-40.826000000000001</v>
      </c>
      <c r="BA36" s="1068">
        <f>Operations!BA148</f>
        <v>-29.615999999999985</v>
      </c>
      <c r="BB36" s="563">
        <f>SUM(AX36:BA36)</f>
        <v>-173.43299999999999</v>
      </c>
      <c r="BC36" s="1067">
        <f>Operations!BC148</f>
        <v>-35.895000000000003</v>
      </c>
      <c r="BD36" s="563">
        <f>Operations!BD148</f>
        <v>-10.01</v>
      </c>
      <c r="BE36" s="563">
        <f>Operations!BE148</f>
        <v>-10.526999999999999</v>
      </c>
      <c r="BF36" s="1150">
        <f>Operations!BF148</f>
        <v>-3.8499999999999943</v>
      </c>
      <c r="BG36" s="564">
        <f>SUM(BC36:BF36)</f>
        <v>-60.281999999999996</v>
      </c>
      <c r="BH36" s="1067">
        <f>Operations!BH148</f>
        <v>-33.043999999999997</v>
      </c>
      <c r="BI36" s="563">
        <f>Operations!BI148</f>
        <v>9.202</v>
      </c>
      <c r="BJ36" s="563">
        <f>Operations!BJ148</f>
        <v>35.548000000000002</v>
      </c>
      <c r="BK36" s="1150">
        <f>Operations!BK148</f>
        <v>16.953999999999997</v>
      </c>
      <c r="BL36" s="564">
        <f>SUM(BH36:BK36)</f>
        <v>28.66</v>
      </c>
      <c r="BM36" s="1067">
        <f>Operations!BM148</f>
        <v>-11.923999999999999</v>
      </c>
      <c r="BN36" s="563">
        <f>Operations!BN148</f>
        <v>32.073</v>
      </c>
      <c r="BO36" s="563">
        <f>Operations!BO148</f>
        <v>24.908999999999999</v>
      </c>
      <c r="BP36" s="1068">
        <f>Operations!BP148</f>
        <v>37.071000000000005</v>
      </c>
      <c r="BQ36" s="563">
        <f>SUM(BM36:BP36)</f>
        <v>82.129000000000005</v>
      </c>
      <c r="BR36" s="1067">
        <f>Operations!BR148</f>
        <v>1.72</v>
      </c>
      <c r="BS36" s="563">
        <f>Operations!BS148</f>
        <v>42.612000000000002</v>
      </c>
      <c r="BT36" s="563">
        <f>Operations!BT148</f>
        <v>63.89</v>
      </c>
      <c r="BU36" s="1068">
        <f>Operations!BU148</f>
        <v>58.100999999999999</v>
      </c>
      <c r="BV36" s="563">
        <f>SUM(BR36:BU36)</f>
        <v>166.32300000000001</v>
      </c>
      <c r="BW36" s="1067">
        <f>Operations!BW148</f>
        <v>32.457999999999998</v>
      </c>
      <c r="BX36" s="563">
        <f>Operations!BX148</f>
        <v>70.635999999999996</v>
      </c>
      <c r="BY36" s="563">
        <f>Operations!BY148</f>
        <v>96.167000000000002</v>
      </c>
      <c r="BZ36" s="1068">
        <f>Operations!BZ148</f>
        <v>76.787000000000006</v>
      </c>
      <c r="CA36" s="563">
        <f>SUM(BW36:BZ36)</f>
        <v>276.048</v>
      </c>
      <c r="CB36" s="1067">
        <f>Operations!CB148</f>
        <v>42.366999999999997</v>
      </c>
      <c r="CC36" s="563">
        <f>Operations!CC148</f>
        <v>82.945999999999998</v>
      </c>
      <c r="CD36" s="563">
        <f>Operations!CD148</f>
        <v>72.578000000000003</v>
      </c>
      <c r="CE36" s="1068">
        <f>Operations!CE148</f>
        <v>52.079000000000008</v>
      </c>
      <c r="CF36" s="563">
        <f>SUM(CB36:CE36)</f>
        <v>249.97</v>
      </c>
      <c r="CG36" s="1067">
        <f>Operations!CG148</f>
        <v>66.918999999999997</v>
      </c>
      <c r="CH36" s="563">
        <f>Operations!CH148</f>
        <v>80.808999999999997</v>
      </c>
      <c r="CI36" s="563">
        <f>Operations!CI148</f>
        <v>94.224999999999994</v>
      </c>
      <c r="CJ36" s="1068">
        <f>Operations!CJ148</f>
        <v>109.849</v>
      </c>
      <c r="CK36" s="563">
        <f>SUM(CG36:CJ36)</f>
        <v>351.80200000000002</v>
      </c>
      <c r="CL36" s="1067">
        <f>Operations!CL148</f>
        <v>85.813999999999993</v>
      </c>
      <c r="CM36" s="563">
        <f>Operations!CM148</f>
        <v>99.013477107956462</v>
      </c>
      <c r="CN36" s="563">
        <f>Operations!CN148</f>
        <v>93.709280041473633</v>
      </c>
      <c r="CO36" s="1068">
        <f>Operations!CO148</f>
        <v>93.599990161355265</v>
      </c>
      <c r="CP36" s="563">
        <f>SUM(CL36:CO36)</f>
        <v>372.13674731078532</v>
      </c>
      <c r="CQ36" s="1067">
        <f>Operations!CQ148</f>
        <v>86.744473157593688</v>
      </c>
      <c r="CR36" s="563">
        <f>Operations!CR148</f>
        <v>75.557683465215831</v>
      </c>
      <c r="CS36" s="563">
        <f>Operations!CS148</f>
        <v>80.018936524658059</v>
      </c>
      <c r="CT36" s="1068">
        <f>Operations!CT148</f>
        <v>84.61822655041415</v>
      </c>
      <c r="CU36" s="563">
        <f>SUM(CQ36:CT36)</f>
        <v>326.93931969788173</v>
      </c>
      <c r="CV36" s="1067">
        <f>Operations!CV148</f>
        <v>92.788094897969955</v>
      </c>
      <c r="CW36" s="563">
        <f>Operations!CW148</f>
        <v>105.54305424731689</v>
      </c>
      <c r="CX36" s="563">
        <f>Operations!CX148</f>
        <v>126.9981856333051</v>
      </c>
      <c r="CY36" s="1068">
        <f>Operations!CY148</f>
        <v>139.63543278750703</v>
      </c>
      <c r="CZ36" s="563">
        <f>SUM(CV36:CY36)</f>
        <v>464.964767566099</v>
      </c>
    </row>
    <row r="37" spans="1:104" ht="13.5" customHeight="1">
      <c r="A37" s="66"/>
      <c r="B37" s="66" t="s">
        <v>491</v>
      </c>
      <c r="C37" s="66"/>
      <c r="D37" s="66"/>
      <c r="E37" s="107"/>
      <c r="F37" s="107"/>
      <c r="G37" s="107"/>
      <c r="H37" s="107"/>
      <c r="I37" s="107"/>
      <c r="J37" s="107"/>
      <c r="K37" s="107"/>
      <c r="L37" s="107"/>
      <c r="M37" s="107"/>
      <c r="N37" s="107"/>
      <c r="O37" s="107"/>
      <c r="P37" s="107"/>
      <c r="Q37" s="107"/>
      <c r="R37" s="107"/>
      <c r="S37" s="107"/>
      <c r="T37" s="107"/>
      <c r="U37" s="107"/>
      <c r="V37" s="107"/>
      <c r="W37" s="107"/>
      <c r="X37" s="107"/>
      <c r="Y37" s="107"/>
      <c r="Z37" s="107"/>
      <c r="AA37" s="107"/>
      <c r="AB37" s="107"/>
      <c r="AC37" s="107"/>
      <c r="AD37" s="107"/>
      <c r="AE37" s="107"/>
      <c r="AF37" s="107"/>
      <c r="AG37" s="107"/>
      <c r="AH37" s="107"/>
      <c r="AI37" s="107"/>
      <c r="AJ37" s="107"/>
      <c r="AK37" s="107"/>
      <c r="AL37" s="107"/>
      <c r="AM37" s="107"/>
      <c r="AN37" s="107">
        <f>Operations!AN168</f>
        <v>16.756</v>
      </c>
      <c r="AO37" s="107">
        <f>Operations!AO168</f>
        <v>115.624</v>
      </c>
      <c r="AP37" s="107">
        <f>Operations!AP168</f>
        <v>135.505</v>
      </c>
      <c r="AQ37" s="107">
        <f>Operations!AQ168</f>
        <v>-106.15899999999999</v>
      </c>
      <c r="AR37" s="107">
        <f>Operations!AR168</f>
        <v>161.726</v>
      </c>
      <c r="AS37" s="1067">
        <f>Operations!AS168</f>
        <v>-31.536999999999999</v>
      </c>
      <c r="AT37" s="563">
        <f>Operations!AT168</f>
        <v>-31.620999999999999</v>
      </c>
      <c r="AU37" s="563">
        <f>Operations!AU168</f>
        <v>2.8849999999999998</v>
      </c>
      <c r="AV37" s="1068">
        <f>Operations!AV168</f>
        <v>-16.692</v>
      </c>
      <c r="AW37" s="563">
        <f>SUM(AS37:AV37)</f>
        <v>-76.965000000000003</v>
      </c>
      <c r="AX37" s="1067">
        <f>Operations!AX168</f>
        <v>32.783999999999999</v>
      </c>
      <c r="AY37" s="563">
        <f>Operations!AY168</f>
        <v>53.768999999999998</v>
      </c>
      <c r="AZ37" s="563">
        <f>Operations!AZ168</f>
        <v>7.444</v>
      </c>
      <c r="BA37" s="1068">
        <f>Operations!BA168</f>
        <v>12.319999999999993</v>
      </c>
      <c r="BB37" s="563">
        <f>Operations!BB168</f>
        <v>106.31699999999999</v>
      </c>
      <c r="BC37" s="1067">
        <f>Operations!BC168</f>
        <v>57.357999999999997</v>
      </c>
      <c r="BD37" s="563">
        <f>Operations!BD168</f>
        <v>51.921999999999997</v>
      </c>
      <c r="BE37" s="563">
        <f>Operations!BE168</f>
        <v>22.481000000000002</v>
      </c>
      <c r="BF37" s="1150">
        <f>Operations!BF168</f>
        <v>18.268000000000001</v>
      </c>
      <c r="BG37" s="564">
        <f>Operations!BG168</f>
        <v>150.029</v>
      </c>
      <c r="BH37" s="1067">
        <f>Operations!BH168</f>
        <v>14.571999999999999</v>
      </c>
      <c r="BI37" s="563">
        <f>Operations!BI168</f>
        <v>15.116</v>
      </c>
      <c r="BJ37" s="563">
        <f>Operations!BJ168</f>
        <v>14.535</v>
      </c>
      <c r="BK37" s="1150">
        <f>Operations!BK168</f>
        <v>11.041000000000004</v>
      </c>
      <c r="BL37" s="564">
        <f>Operations!BL168</f>
        <v>55.264000000000003</v>
      </c>
      <c r="BM37" s="1067">
        <f>Operations!BM168</f>
        <v>1.536</v>
      </c>
      <c r="BN37" s="563">
        <f>Operations!BN168</f>
        <v>12.218</v>
      </c>
      <c r="BO37" s="563">
        <f>Operations!BO168</f>
        <v>13.507</v>
      </c>
      <c r="BP37" s="1068">
        <f>Operations!BP168</f>
        <v>0.42500000000000071</v>
      </c>
      <c r="BQ37" s="563">
        <f>SUM(BM37:BP37)</f>
        <v>27.686</v>
      </c>
      <c r="BR37" s="1067">
        <f>Operations!BR168</f>
        <v>8.359</v>
      </c>
      <c r="BS37" s="563">
        <f>Operations!BS168</f>
        <v>-9.6349999999999998</v>
      </c>
      <c r="BT37" s="563">
        <f>Operations!BT168</f>
        <v>-19.321000000000002</v>
      </c>
      <c r="BU37" s="1068">
        <f>Operations!BU168</f>
        <v>-8.4559999999999995</v>
      </c>
      <c r="BV37" s="563">
        <f>SUM(BR37:BU37)</f>
        <v>-29.053000000000001</v>
      </c>
      <c r="BW37" s="1067">
        <f>Operations!BW168</f>
        <v>-41.497</v>
      </c>
      <c r="BX37" s="563">
        <f>Operations!BX168</f>
        <v>-38.103999999999999</v>
      </c>
      <c r="BY37" s="563">
        <f>Operations!BY168</f>
        <v>-43.116999999999997</v>
      </c>
      <c r="BZ37" s="1068">
        <f>Operations!BZ168</f>
        <v>-77.087000000000018</v>
      </c>
      <c r="CA37" s="563">
        <f>SUM(BW37:BZ37)</f>
        <v>-199.80500000000001</v>
      </c>
      <c r="CB37" s="1067">
        <f>Operations!CB168</f>
        <v>-63.372</v>
      </c>
      <c r="CC37" s="563">
        <f>Operations!CC168</f>
        <v>-27.181000000000001</v>
      </c>
      <c r="CD37" s="563">
        <f>Operations!CD168</f>
        <v>14.313000000000001</v>
      </c>
      <c r="CE37" s="1068">
        <f>Operations!CE168</f>
        <v>-18.881</v>
      </c>
      <c r="CF37" s="563">
        <f>SUM(CB37:CE37)</f>
        <v>-95.120999999999995</v>
      </c>
      <c r="CG37" s="1067">
        <f>Operations!CG168</f>
        <v>26.390999999999998</v>
      </c>
      <c r="CH37" s="563">
        <f>Operations!CH168</f>
        <v>66.227000000000004</v>
      </c>
      <c r="CI37" s="563">
        <f>Operations!CI168</f>
        <v>9.9570000000000007</v>
      </c>
      <c r="CJ37" s="1068">
        <f>Operations!CJ168</f>
        <v>26.721</v>
      </c>
      <c r="CK37" s="563">
        <f>SUM(CG37:CJ37)</f>
        <v>129.29599999999999</v>
      </c>
      <c r="CL37" s="1067">
        <f>Operations!CL168</f>
        <v>74.546999999999997</v>
      </c>
      <c r="CM37" s="563">
        <f>Operations!CM168</f>
        <v>35.234507951807231</v>
      </c>
      <c r="CN37" s="563">
        <f>Operations!CN168</f>
        <v>44.324431766006143</v>
      </c>
      <c r="CO37" s="1068">
        <f>Operations!CO168</f>
        <v>59.10966171871182</v>
      </c>
      <c r="CP37" s="563">
        <f>SUM(CL37:CO37)</f>
        <v>213.21560143652522</v>
      </c>
      <c r="CQ37" s="1067">
        <f>Operations!CQ168</f>
        <v>55.98108609812337</v>
      </c>
      <c r="CR37" s="563">
        <f>Operations!CR168</f>
        <v>44.890939132530121</v>
      </c>
      <c r="CS37" s="563">
        <f>Operations!CS168</f>
        <v>54.922319341771086</v>
      </c>
      <c r="CT37" s="1068">
        <f>Operations!CT168</f>
        <v>62.622951570273187</v>
      </c>
      <c r="CU37" s="563">
        <f>SUM(CQ37:CT37)</f>
        <v>218.41729614269775</v>
      </c>
      <c r="CV37" s="1067">
        <f>Operations!CV168</f>
        <v>67.227219926471562</v>
      </c>
      <c r="CW37" s="563">
        <f>Operations!CW168</f>
        <v>55.042845126939767</v>
      </c>
      <c r="CX37" s="563">
        <f>Operations!CX168</f>
        <v>66.063988183492484</v>
      </c>
      <c r="CY37" s="1068">
        <f>Operations!CY168</f>
        <v>74.524416125206812</v>
      </c>
      <c r="CZ37" s="563">
        <f>SUM(CV37:CY37)</f>
        <v>262.85846936211061</v>
      </c>
    </row>
    <row r="38" spans="1:104" ht="13.5" customHeight="1">
      <c r="A38" s="20"/>
      <c r="B38" s="115" t="s">
        <v>422</v>
      </c>
      <c r="C38" s="20"/>
      <c r="D38" s="20"/>
      <c r="E38" s="107"/>
      <c r="F38" s="107"/>
      <c r="G38" s="107"/>
      <c r="H38" s="107"/>
      <c r="I38" s="107"/>
      <c r="J38" s="107">
        <f>30.962295+2.912045+29.75025-J35-J36-J39</f>
        <v>-6.0175599999999907</v>
      </c>
      <c r="K38" s="107">
        <f>89.607302-29.9+24.46876+3.003764-K35-K36-K39</f>
        <v>-12.679474999999991</v>
      </c>
      <c r="L38" s="107">
        <f>59.5918+12.00501+2.660282-L35-L36-L39</f>
        <v>-201.00258600000001</v>
      </c>
      <c r="M38" s="107">
        <f>+N38-L38-K38-J38</f>
        <v>146.51472199999998</v>
      </c>
      <c r="N38" s="107">
        <f>230.053015-29.9+79.471911+14.285934-N35-N36-N39</f>
        <v>-73.18489900000003</v>
      </c>
      <c r="O38" s="107">
        <f>22.649759-2.300855+6.23908+7.067283-O35-O36-O39</f>
        <v>-5.3655300000000015</v>
      </c>
      <c r="P38" s="107">
        <f>9.48409+4.346126+6.547063-P35-P36+7.2-P39</f>
        <v>-17.841168000000003</v>
      </c>
      <c r="Q38" s="107">
        <f>1604.011344-1532.857367-44.497217-Q35-Q36-Q39</f>
        <v>2.3083019999999443</v>
      </c>
      <c r="R38" s="107">
        <f>15.819595-4.411545+7.166677+4.6432-R35-R36-R39</f>
        <v>51.93362900000001</v>
      </c>
      <c r="S38" s="107">
        <f>SUM(O38:R38)</f>
        <v>31.035232999999952</v>
      </c>
      <c r="T38" s="107">
        <f>176.784-1.596+10.798+6.662-T35-T36-T39</f>
        <v>-16.254999999999995</v>
      </c>
      <c r="U38" s="107">
        <f>396.296+15.488+6.116-U35-U36+13.2-U39</f>
        <v>-66.080000000000098</v>
      </c>
      <c r="V38" s="107">
        <f>635.387+34.061+5.053-V35-V36-V39</f>
        <v>-53.015000000000015</v>
      </c>
      <c r="W38" s="107">
        <f>522.809+20.547+4.521-W35-W36-W39</f>
        <v>16.430999999999983</v>
      </c>
      <c r="X38" s="107">
        <f>SUM(T38:W38)</f>
        <v>-118.91900000000012</v>
      </c>
      <c r="Y38" s="107">
        <f>3322.621-2620.628-125.429-Y35-Y36-Y39</f>
        <v>-154.28600000000003</v>
      </c>
      <c r="Z38" s="107">
        <f>499.436+20.515+2.341-Z35-Z36-Z39</f>
        <v>-117.60300000000001</v>
      </c>
      <c r="AA38" s="107">
        <f>446.668+0.922+24.915-AA35-AA36-AA39</f>
        <v>-112.59999999999994</v>
      </c>
      <c r="AB38" s="107">
        <f>519.798+34.079-3.195-AB35-AB36-AB39</f>
        <v>-33.4450000000001</v>
      </c>
      <c r="AC38" s="107">
        <f>2016.368-9.2+110.674+4.201-AC35-AC36-AC39</f>
        <v>-417.93399999999997</v>
      </c>
      <c r="AD38" s="107">
        <f>588.261-5.732+40.326-AD35-AD36-AD39</f>
        <v>-141.35099999999997</v>
      </c>
      <c r="AE38" s="107">
        <f>694.755-9.588+48.606-AE35-AE36-AE39</f>
        <v>-135.34199999999998</v>
      </c>
      <c r="AF38" s="107">
        <f>844.188-AF35-AF36-AF39</f>
        <v>-93.910000000000039</v>
      </c>
      <c r="AG38" s="107">
        <f>615.285-11.612+71.185-AG35-AG36-AG39</f>
        <v>-134.49699999999999</v>
      </c>
      <c r="AH38" s="107">
        <f>SUM(AD38:AG38)</f>
        <v>-505.1</v>
      </c>
      <c r="AI38" s="107">
        <f>589.667+60.572-9.162-AI35-AI36-AI39</f>
        <v>-120.84699999999995</v>
      </c>
      <c r="AJ38" s="107">
        <f>532.714+77.587+4.979-AJ36-AJ35-AJ39</f>
        <v>-55.316999999999894</v>
      </c>
      <c r="AK38" s="107">
        <f>4259.221-3449.26-145.47-AK35-AK36-AK39</f>
        <v>-155.8910000000007</v>
      </c>
      <c r="AL38" s="107">
        <f>4396.76-3618.164-147.159-AL36-AL35-AL39</f>
        <v>-77.673999999999936</v>
      </c>
      <c r="AM38" s="107">
        <f>SUM(AI38:AL38)</f>
        <v>-409.72900000000044</v>
      </c>
      <c r="AN38" s="285">
        <f>AN15-4071.592-169.714-AN36-AN35-AN37-AN39</f>
        <v>-64.262999999999835</v>
      </c>
      <c r="AO38" s="107">
        <f>AO41-AO35-AO36-AO37-AO39</f>
        <v>-51.696999999999719</v>
      </c>
      <c r="AP38" s="107">
        <f>AP41-AP35-AP36-AP37-AP39</f>
        <v>-77.215999999999894</v>
      </c>
      <c r="AQ38" s="107">
        <f>AQ41-AQ35-AQ36-AQ37-AQ39</f>
        <v>-184.95800000000014</v>
      </c>
      <c r="AR38" s="107">
        <f>SUM(AN38:AQ38)</f>
        <v>-378.13399999999956</v>
      </c>
      <c r="AS38" s="1067">
        <f>AS41-AS35-AS36-AS37-AS39</f>
        <v>-65.392999999999972</v>
      </c>
      <c r="AT38" s="563">
        <f>AT41-AT35-AT36-AT37-AT39</f>
        <v>-39.105000000000032</v>
      </c>
      <c r="AU38" s="563">
        <f>AU41-AU35-AU36-AU37-AU39</f>
        <v>-34.007000000000005</v>
      </c>
      <c r="AV38" s="1068">
        <f>AV41-AV35-AV36-AV37-AV39</f>
        <v>-67.48399999999998</v>
      </c>
      <c r="AW38" s="563">
        <f>SUM(AS38:AV38)</f>
        <v>-205.98899999999998</v>
      </c>
      <c r="AX38" s="1067">
        <f>AX41-SUM(AX35:AX37,AX39)</f>
        <v>2.2360000000000042</v>
      </c>
      <c r="AY38" s="563">
        <f>AY41-SUM(AY35:AY37,AY39)</f>
        <v>-20.725999999999971</v>
      </c>
      <c r="AZ38" s="563">
        <f>AZ41-SUM(AZ35:AZ37,AZ39)</f>
        <v>-52.728999999999985</v>
      </c>
      <c r="BA38" s="1068">
        <f>BA41-SUM(BA35:BA37,BA39)</f>
        <v>-46.402999999999992</v>
      </c>
      <c r="BB38" s="563">
        <f>SUM(AX38:BA38)</f>
        <v>-117.62199999999994</v>
      </c>
      <c r="BC38" s="1067">
        <f>BC41-SUM(BC35:BC37,BC39)</f>
        <v>5.7800000000000296</v>
      </c>
      <c r="BD38" s="563">
        <f>BD41-SUM(BD35:BD37,BD39)</f>
        <v>-116.28100000000006</v>
      </c>
      <c r="BE38" s="563">
        <f>BE41-SUM(BE35:BE37,BE39)</f>
        <v>-95.742000000000075</v>
      </c>
      <c r="BF38" s="1068">
        <f>BF41-SUM(BF35:BF37,BF39)</f>
        <v>-55.730999999999938</v>
      </c>
      <c r="BG38" s="564">
        <f>SUM(BC38:BF38)</f>
        <v>-261.97400000000005</v>
      </c>
      <c r="BH38" s="1067">
        <f>BH41-SUM(BH35:BH37,BH39)</f>
        <v>-90.585999999999956</v>
      </c>
      <c r="BI38" s="563">
        <f>BI41-SUM(BI35:BI37,BI39)</f>
        <v>-64.669999999999959</v>
      </c>
      <c r="BJ38" s="563">
        <f>BJ41-SUM(BJ35:BJ37,BJ39)</f>
        <v>-73.632999999999981</v>
      </c>
      <c r="BK38" s="1068">
        <f>BK41-SUM(BK35:BK37,BK39)</f>
        <v>-46.269000000000062</v>
      </c>
      <c r="BL38" s="564">
        <f>SUM(BH38:BK38)</f>
        <v>-275.15799999999996</v>
      </c>
      <c r="BM38" s="1067">
        <f>BM41-SUM(BM35:BM37,BM39)</f>
        <v>-58.050999999999988</v>
      </c>
      <c r="BN38" s="563">
        <f>BN41-SUM(BN35:BN37,BN39)</f>
        <v>-89.833000000000027</v>
      </c>
      <c r="BO38" s="563">
        <f>BO41-SUM(BO35:BO37,BO39)</f>
        <v>-67.338000000000022</v>
      </c>
      <c r="BP38" s="1068">
        <f>BP41-SUM(BP35:BP37,BP39)</f>
        <v>-81.88999999999993</v>
      </c>
      <c r="BQ38" s="563">
        <f>SUM(BM38:BP38)</f>
        <v>-297.11199999999997</v>
      </c>
      <c r="BR38" s="1067">
        <f>BR41-SUM(BR35:BR37,BR39)</f>
        <v>-65.134000000000015</v>
      </c>
      <c r="BS38" s="563">
        <f>BS41-SUM(BS35:BS37,BS39)</f>
        <v>-114.85899999999998</v>
      </c>
      <c r="BT38" s="563">
        <f>BT41-SUM(BT35:BT37,BT39)</f>
        <v>-112.43799999999993</v>
      </c>
      <c r="BU38" s="1068">
        <f>BU41-SUM(BU35:BU37,BU39)</f>
        <v>-122.65800000000013</v>
      </c>
      <c r="BV38" s="563">
        <f>SUM(BR38:BU38)</f>
        <v>-415.08900000000006</v>
      </c>
      <c r="BW38" s="1067">
        <f>BW41-SUM(BW35:BW37,BW39)</f>
        <v>-61.12700000000001</v>
      </c>
      <c r="BX38" s="563">
        <f>BX41-SUM(BX35:BX37,BX39)</f>
        <v>-68.123999999999967</v>
      </c>
      <c r="BY38" s="563">
        <f>BY41-SUM(BY35:BY37,BY39)</f>
        <v>-51.213999999999942</v>
      </c>
      <c r="BZ38" s="1068">
        <f>BZ41-SUM(BZ35:BZ37,BZ39)</f>
        <v>-24.93199999999996</v>
      </c>
      <c r="CA38" s="563">
        <f>SUM(BW38:BZ38)</f>
        <v>-205.39699999999988</v>
      </c>
      <c r="CB38" s="1067">
        <f>CB41-SUM(CB35:CB37,CB39)</f>
        <v>-44.881999999999977</v>
      </c>
      <c r="CC38" s="563">
        <f>CC41-SUM(CC35:CC37,CC39)</f>
        <v>-156.12399999999997</v>
      </c>
      <c r="CD38" s="563">
        <f>CD41-SUM(CD35:CD37,CD39)</f>
        <v>-151.459</v>
      </c>
      <c r="CE38" s="1068">
        <f>CE41-SUM(CE35:CE37,CE39)</f>
        <v>-57.786000000000058</v>
      </c>
      <c r="CF38" s="563">
        <f>SUM(CB38:CE38)</f>
        <v>-410.25099999999998</v>
      </c>
      <c r="CG38" s="1067">
        <f>CG41-SUM(CG35:CG37,CG39)</f>
        <v>-135.11299999999994</v>
      </c>
      <c r="CH38" s="563">
        <f>CH41-SUM(CH35:CH37,CH39)</f>
        <v>-176.68599999999992</v>
      </c>
      <c r="CI38" s="563">
        <f>CI41-SUM(CI35:CI37,CI39)</f>
        <v>-80.934999999999945</v>
      </c>
      <c r="CJ38" s="1068">
        <f>CJ41-SUM(CJ35:CJ37,CJ39)</f>
        <v>-87.202000000000055</v>
      </c>
      <c r="CK38" s="563">
        <f>SUM(CG38:CJ38)</f>
        <v>-479.93599999999986</v>
      </c>
      <c r="CL38" s="1067">
        <f>CL41-SUM(CL35:CL37,CL39)</f>
        <v>-146.03800000000001</v>
      </c>
      <c r="CM38" s="1298">
        <f t="shared" ref="CM38:CO38" si="33">-0.235*CM35</f>
        <v>-201.0089139808247</v>
      </c>
      <c r="CN38" s="1298">
        <f t="shared" si="33"/>
        <v>-205.01022686919941</v>
      </c>
      <c r="CO38" s="1299">
        <f t="shared" si="33"/>
        <v>-180.96549655235185</v>
      </c>
      <c r="CP38" s="563">
        <f>SUM(CL38:CO38)</f>
        <v>-733.02263740237595</v>
      </c>
      <c r="CQ38" s="1297">
        <f t="shared" ref="CQ38:CT38" si="34">-0.235*CQ35</f>
        <v>-203.19707151902909</v>
      </c>
      <c r="CR38" s="1298">
        <f t="shared" si="34"/>
        <v>-196.09249436548996</v>
      </c>
      <c r="CS38" s="1298">
        <f t="shared" si="34"/>
        <v>-167.58596993353513</v>
      </c>
      <c r="CT38" s="1299">
        <f t="shared" si="34"/>
        <v>-127.69072215611446</v>
      </c>
      <c r="CU38" s="563">
        <f>SUM(CQ38:CT38)</f>
        <v>-694.56625797416871</v>
      </c>
      <c r="CV38" s="1297">
        <f t="shared" ref="CV38:CY38" si="35">-0.235*CV35</f>
        <v>-157.19962347459352</v>
      </c>
      <c r="CW38" s="1298">
        <f t="shared" si="35"/>
        <v>-165.33553763766287</v>
      </c>
      <c r="CX38" s="1298">
        <f t="shared" si="35"/>
        <v>-138.60969305583873</v>
      </c>
      <c r="CY38" s="1299">
        <f t="shared" si="35"/>
        <v>-134.29411055337641</v>
      </c>
      <c r="CZ38" s="563">
        <f>SUM(CV38:CY38)</f>
        <v>-595.43896472147151</v>
      </c>
    </row>
    <row r="39" spans="1:104" ht="13.5" customHeight="1">
      <c r="A39" s="69"/>
      <c r="B39" s="106" t="s">
        <v>420</v>
      </c>
      <c r="C39" s="69"/>
      <c r="D39" s="69"/>
      <c r="E39" s="110"/>
      <c r="F39" s="110"/>
      <c r="G39" s="110"/>
      <c r="H39" s="110"/>
      <c r="I39" s="110"/>
      <c r="J39" s="110">
        <v>-5.5084999999999997</v>
      </c>
      <c r="K39" s="110">
        <v>-5.5084999999999997</v>
      </c>
      <c r="L39" s="110">
        <v>-7.7</v>
      </c>
      <c r="M39" s="110">
        <v>-15.6</v>
      </c>
      <c r="N39" s="110">
        <v>-34.317</v>
      </c>
      <c r="O39" s="110">
        <v>-6.4</v>
      </c>
      <c r="P39" s="110">
        <v>-6.5</v>
      </c>
      <c r="Q39" s="110">
        <v>-26.6</v>
      </c>
      <c r="R39" s="110">
        <v>-75.5</v>
      </c>
      <c r="S39" s="110">
        <v>-115</v>
      </c>
      <c r="T39" s="110">
        <v>-32.200000000000003</v>
      </c>
      <c r="U39" s="110">
        <v>-67.099999999999994</v>
      </c>
      <c r="V39" s="110">
        <v>-124.1</v>
      </c>
      <c r="W39" s="110">
        <v>-152.5</v>
      </c>
      <c r="X39" s="110">
        <v>-375.9</v>
      </c>
      <c r="Y39" s="110">
        <v>26.1</v>
      </c>
      <c r="Z39" s="110">
        <v>69.900000000000006</v>
      </c>
      <c r="AA39" s="110">
        <v>52</v>
      </c>
      <c r="AB39" s="110">
        <v>3.5999999999999943</v>
      </c>
      <c r="AC39" s="110">
        <v>151.6</v>
      </c>
      <c r="AD39" s="110">
        <v>-9</v>
      </c>
      <c r="AE39" s="110">
        <v>-15.5</v>
      </c>
      <c r="AF39" s="110">
        <v>-20.5</v>
      </c>
      <c r="AG39" s="110">
        <v>39.6</v>
      </c>
      <c r="AH39" s="110">
        <v>-5.4</v>
      </c>
      <c r="AI39" s="110">
        <v>-24.5</v>
      </c>
      <c r="AJ39" s="110">
        <v>-66.5</v>
      </c>
      <c r="AK39" s="110">
        <v>-11</v>
      </c>
      <c r="AL39" s="110">
        <v>-92.3</v>
      </c>
      <c r="AM39" s="110">
        <v>-194.3</v>
      </c>
      <c r="AN39" s="110">
        <v>-69</v>
      </c>
      <c r="AO39" s="110">
        <v>-214</v>
      </c>
      <c r="AP39" s="110">
        <v>-140</v>
      </c>
      <c r="AQ39" s="110">
        <v>81.2</v>
      </c>
      <c r="AR39" s="110">
        <v>-341.8</v>
      </c>
      <c r="AS39" s="1089">
        <v>105</v>
      </c>
      <c r="AT39" s="520">
        <v>125</v>
      </c>
      <c r="AU39" s="520">
        <v>120</v>
      </c>
      <c r="AV39" s="1090">
        <v>116.9</v>
      </c>
      <c r="AW39" s="571">
        <f>SUM(AS39:AV39)</f>
        <v>466.9</v>
      </c>
      <c r="AX39" s="1089">
        <v>-24</v>
      </c>
      <c r="AY39" s="520">
        <v>-67</v>
      </c>
      <c r="AZ39" s="520">
        <v>-50</v>
      </c>
      <c r="BA39" s="1090">
        <v>-23</v>
      </c>
      <c r="BB39" s="571">
        <f>SUM(AX39:BA39)</f>
        <v>-164</v>
      </c>
      <c r="BC39" s="1089">
        <v>-31</v>
      </c>
      <c r="BD39" s="520">
        <v>-32</v>
      </c>
      <c r="BE39" s="520">
        <f>-28</f>
        <v>-28</v>
      </c>
      <c r="BF39" s="1090">
        <v>-51.8</v>
      </c>
      <c r="BG39" s="572">
        <f>SUM(BC39:BF39)</f>
        <v>-142.80000000000001</v>
      </c>
      <c r="BH39" s="1089">
        <v>-14.5</v>
      </c>
      <c r="BI39" s="520" t="s">
        <v>230</v>
      </c>
      <c r="BJ39" s="520">
        <v>84</v>
      </c>
      <c r="BK39" s="1090">
        <v>71.900000000000006</v>
      </c>
      <c r="BL39" s="572">
        <f>SUM(BH39:BK39)</f>
        <v>141.4</v>
      </c>
      <c r="BM39" s="1089">
        <v>-18</v>
      </c>
      <c r="BN39" s="520">
        <v>0</v>
      </c>
      <c r="BO39" s="520">
        <v>18</v>
      </c>
      <c r="BP39" s="1090">
        <v>-17.399999999999999</v>
      </c>
      <c r="BQ39" s="571">
        <f>SUM(BM39:BP39)</f>
        <v>-17.399999999999999</v>
      </c>
      <c r="BR39" s="1089">
        <v>-14.5</v>
      </c>
      <c r="BS39" s="520">
        <v>0</v>
      </c>
      <c r="BT39" s="520">
        <v>14.5</v>
      </c>
      <c r="BU39" s="1090">
        <v>57.3</v>
      </c>
      <c r="BV39" s="571">
        <f>SUM(BR39:BU39)</f>
        <v>57.3</v>
      </c>
      <c r="BW39" s="1089">
        <v>16.5</v>
      </c>
      <c r="BX39" s="520">
        <v>95.5</v>
      </c>
      <c r="BY39" s="559">
        <v>137</v>
      </c>
      <c r="BZ39" s="1204">
        <v>217.8</v>
      </c>
      <c r="CA39" s="571">
        <f>SUM(BW39:BZ39)</f>
        <v>466.8</v>
      </c>
      <c r="CB39" s="1089">
        <v>-27.5</v>
      </c>
      <c r="CC39" s="520">
        <v>-19</v>
      </c>
      <c r="CD39" s="520">
        <v>-59.3</v>
      </c>
      <c r="CE39" s="1090">
        <v>0</v>
      </c>
      <c r="CF39" s="572">
        <f>SUM(CB39:CE39)</f>
        <v>-105.8</v>
      </c>
      <c r="CG39" s="1089">
        <v>0</v>
      </c>
      <c r="CH39" s="520">
        <v>0</v>
      </c>
      <c r="CI39" s="520">
        <v>0</v>
      </c>
      <c r="CJ39" s="1090">
        <v>0</v>
      </c>
      <c r="CK39" s="572">
        <f>SUM(CG39:CJ39)</f>
        <v>0</v>
      </c>
      <c r="CL39" s="1089">
        <v>0</v>
      </c>
      <c r="CM39" s="520">
        <v>0</v>
      </c>
      <c r="CN39" s="520">
        <v>0</v>
      </c>
      <c r="CO39" s="1090">
        <v>0</v>
      </c>
      <c r="CP39" s="572">
        <f>SUM(CL39:CO39)</f>
        <v>0</v>
      </c>
      <c r="CQ39" s="1089">
        <v>0</v>
      </c>
      <c r="CR39" s="520">
        <v>0</v>
      </c>
      <c r="CS39" s="520">
        <v>0</v>
      </c>
      <c r="CT39" s="1090">
        <v>0</v>
      </c>
      <c r="CU39" s="572">
        <f>SUM(CQ39:CT39)</f>
        <v>0</v>
      </c>
      <c r="CV39" s="1089">
        <v>0</v>
      </c>
      <c r="CW39" s="520">
        <v>0</v>
      </c>
      <c r="CX39" s="520">
        <v>0</v>
      </c>
      <c r="CY39" s="1090">
        <v>0</v>
      </c>
      <c r="CZ39" s="572">
        <f>SUM(CV39:CY39)</f>
        <v>0</v>
      </c>
    </row>
    <row r="40" spans="1:104" ht="6.2" customHeight="1">
      <c r="A40" s="66"/>
      <c r="B40" s="115"/>
      <c r="C40" s="66"/>
      <c r="D40" s="66"/>
      <c r="E40" s="107"/>
      <c r="F40" s="107"/>
      <c r="G40" s="107"/>
      <c r="H40" s="107"/>
      <c r="I40" s="107"/>
      <c r="J40" s="107"/>
      <c r="K40" s="107"/>
      <c r="L40" s="107"/>
      <c r="M40" s="107"/>
      <c r="N40" s="107"/>
      <c r="O40" s="107"/>
      <c r="P40" s="107"/>
      <c r="Q40" s="107"/>
      <c r="R40" s="107"/>
      <c r="S40" s="107"/>
      <c r="T40" s="107"/>
      <c r="U40" s="107"/>
      <c r="V40" s="107"/>
      <c r="W40" s="107"/>
      <c r="X40" s="107"/>
      <c r="Y40" s="107"/>
      <c r="Z40" s="107"/>
      <c r="AA40" s="107"/>
      <c r="AB40" s="107"/>
      <c r="AC40" s="107"/>
      <c r="AD40" s="107"/>
      <c r="AE40" s="107"/>
      <c r="AF40" s="107"/>
      <c r="AG40" s="107"/>
      <c r="AH40" s="107"/>
      <c r="AI40" s="107"/>
      <c r="AJ40" s="107"/>
      <c r="AK40" s="107"/>
      <c r="AL40" s="107"/>
      <c r="AM40" s="107"/>
      <c r="AN40" s="107"/>
      <c r="AO40" s="107"/>
      <c r="AP40" s="107"/>
      <c r="AQ40" s="107"/>
      <c r="AR40" s="107"/>
      <c r="AS40" s="1069"/>
      <c r="AT40" s="107"/>
      <c r="AU40" s="107"/>
      <c r="AV40" s="1070"/>
      <c r="AW40" s="107"/>
      <c r="AX40" s="1069"/>
      <c r="AY40" s="107"/>
      <c r="AZ40" s="107"/>
      <c r="BA40" s="1070"/>
      <c r="BB40" s="107"/>
      <c r="BC40" s="1069"/>
      <c r="BD40" s="107"/>
      <c r="BE40" s="107"/>
      <c r="BF40" s="1151"/>
      <c r="BG40" s="388"/>
      <c r="BH40" s="1069"/>
      <c r="BI40" s="107"/>
      <c r="BJ40" s="107"/>
      <c r="BK40" s="1070"/>
      <c r="BL40" s="388"/>
      <c r="BM40" s="1069"/>
      <c r="BN40" s="107"/>
      <c r="BO40" s="107"/>
      <c r="BP40" s="1070"/>
      <c r="BQ40" s="107"/>
      <c r="BR40" s="1069"/>
      <c r="BS40" s="107"/>
      <c r="BT40" s="107"/>
      <c r="BU40" s="1070"/>
      <c r="BV40" s="107"/>
      <c r="BW40" s="1069"/>
      <c r="BX40" s="107"/>
      <c r="BY40" s="107"/>
      <c r="BZ40" s="1070"/>
      <c r="CA40" s="107"/>
      <c r="CB40" s="1069"/>
      <c r="CC40" s="107"/>
      <c r="CD40" s="563"/>
      <c r="CE40" s="1068"/>
      <c r="CF40" s="563"/>
      <c r="CG40" s="1067"/>
      <c r="CH40" s="563"/>
      <c r="CI40" s="107"/>
      <c r="CJ40" s="1068"/>
      <c r="CK40" s="563"/>
      <c r="CL40" s="1069"/>
      <c r="CM40" s="107"/>
      <c r="CN40" s="107"/>
      <c r="CO40" s="1070"/>
      <c r="CP40" s="107"/>
      <c r="CQ40" s="1069"/>
      <c r="CR40" s="107"/>
      <c r="CS40" s="107"/>
      <c r="CT40" s="1070"/>
      <c r="CU40" s="107"/>
      <c r="CV40" s="1069"/>
      <c r="CW40" s="107"/>
      <c r="CX40" s="107"/>
      <c r="CY40" s="1070"/>
      <c r="CZ40" s="107"/>
    </row>
    <row r="41" spans="1:104" ht="13.5" customHeight="1">
      <c r="A41" s="66"/>
      <c r="B41" s="79" t="s">
        <v>107</v>
      </c>
      <c r="C41" s="79"/>
      <c r="D41" s="79"/>
      <c r="E41" s="112"/>
      <c r="F41" s="112"/>
      <c r="G41" s="112"/>
      <c r="H41" s="112"/>
      <c r="I41" s="112"/>
      <c r="J41" s="111">
        <f t="shared" ref="J41:AI41" si="36">SUM(J35:J39)</f>
        <v>63.624590000000012</v>
      </c>
      <c r="K41" s="111">
        <f t="shared" si="36"/>
        <v>87.179826000000006</v>
      </c>
      <c r="L41" s="111">
        <f t="shared" si="36"/>
        <v>74.257091999999986</v>
      </c>
      <c r="M41" s="111">
        <f t="shared" si="36"/>
        <v>68.84935200000001</v>
      </c>
      <c r="N41" s="111">
        <f t="shared" si="36"/>
        <v>293.91085999999996</v>
      </c>
      <c r="O41" s="111">
        <f t="shared" si="36"/>
        <v>33.655267000000009</v>
      </c>
      <c r="P41" s="111">
        <f t="shared" si="36"/>
        <v>27.577278999999997</v>
      </c>
      <c r="Q41" s="111">
        <f t="shared" si="36"/>
        <v>26.656759999999942</v>
      </c>
      <c r="R41" s="111">
        <f t="shared" si="36"/>
        <v>23.217927000000003</v>
      </c>
      <c r="S41" s="111">
        <f t="shared" si="36"/>
        <v>111.10723299999995</v>
      </c>
      <c r="T41" s="111">
        <f t="shared" si="36"/>
        <v>192.64800000000002</v>
      </c>
      <c r="U41" s="111">
        <f t="shared" si="36"/>
        <v>431.1</v>
      </c>
      <c r="V41" s="111">
        <f t="shared" si="36"/>
        <v>674.50099999999998</v>
      </c>
      <c r="W41" s="111">
        <f t="shared" si="36"/>
        <v>547.87699999999995</v>
      </c>
      <c r="X41" s="111">
        <f t="shared" si="36"/>
        <v>1846.1259999999997</v>
      </c>
      <c r="Y41" s="111">
        <f t="shared" si="36"/>
        <v>576.56399999999996</v>
      </c>
      <c r="Z41" s="111">
        <f t="shared" si="36"/>
        <v>522.29200000000003</v>
      </c>
      <c r="AA41" s="111">
        <f t="shared" si="36"/>
        <v>472.50500000000011</v>
      </c>
      <c r="AB41" s="111">
        <f t="shared" si="36"/>
        <v>550.68200000000002</v>
      </c>
      <c r="AC41" s="111">
        <f t="shared" si="36"/>
        <v>2122.0430000000001</v>
      </c>
      <c r="AD41" s="111">
        <f t="shared" si="36"/>
        <v>622.85500000000002</v>
      </c>
      <c r="AE41" s="111">
        <f t="shared" si="36"/>
        <v>733.77300000000002</v>
      </c>
      <c r="AF41" s="111">
        <f t="shared" si="36"/>
        <v>844.18799999999999</v>
      </c>
      <c r="AG41" s="111">
        <f t="shared" si="36"/>
        <v>674.85799999999995</v>
      </c>
      <c r="AH41" s="111">
        <f t="shared" si="36"/>
        <v>2875.674</v>
      </c>
      <c r="AI41" s="111">
        <f t="shared" si="36"/>
        <v>641.077</v>
      </c>
      <c r="AJ41" s="111">
        <f t="shared" ref="AJ41:AN41" si="37">SUM(AJ35:AJ39)</f>
        <v>615.28000000000009</v>
      </c>
      <c r="AK41" s="111">
        <f t="shared" si="37"/>
        <v>664.4909999999993</v>
      </c>
      <c r="AL41" s="111">
        <f t="shared" si="37"/>
        <v>631.43700000000001</v>
      </c>
      <c r="AM41" s="111">
        <f t="shared" si="37"/>
        <v>2552.2849999999994</v>
      </c>
      <c r="AN41" s="111">
        <f t="shared" si="37"/>
        <v>732.96300000000019</v>
      </c>
      <c r="AO41" s="111">
        <f>AO31</f>
        <v>990.77200000000039</v>
      </c>
      <c r="AP41" s="111">
        <f>AP31</f>
        <v>1241.3580000000002</v>
      </c>
      <c r="AQ41" s="111">
        <f>149.406+58.001+22.374+105.183+42.4</f>
        <v>377.36399999999998</v>
      </c>
      <c r="AR41" s="111">
        <f>SUM(AR35:AR39)</f>
        <v>3342.4570000000003</v>
      </c>
      <c r="AS41" s="1071">
        <f>-281.746+32.365</f>
        <v>-249.38099999999997</v>
      </c>
      <c r="AT41" s="1072">
        <f>-200.758+31.957</f>
        <v>-168.80100000000002</v>
      </c>
      <c r="AU41" s="1072">
        <f>-21.484+34.725</f>
        <v>13.241</v>
      </c>
      <c r="AV41" s="1073">
        <f>90.01+35.705</f>
        <v>125.715</v>
      </c>
      <c r="AW41" s="111">
        <f>SUM(AW35:AW39)</f>
        <v>-279.226</v>
      </c>
      <c r="AX41" s="1071">
        <f>64.036+37.788</f>
        <v>101.824</v>
      </c>
      <c r="AY41" s="1072">
        <f>155.573+37.322</f>
        <v>192.89500000000001</v>
      </c>
      <c r="AZ41" s="1072">
        <f>58.006+37.686</f>
        <v>95.692000000000007</v>
      </c>
      <c r="BA41" s="1073">
        <f>-10.5+40.297+10</f>
        <v>39.796999999999997</v>
      </c>
      <c r="BB41" s="111">
        <f>SUM(BB35:BB39)</f>
        <v>430.20800000000008</v>
      </c>
      <c r="BC41" s="1071">
        <f>266.255+42.566</f>
        <v>308.82100000000003</v>
      </c>
      <c r="BD41" s="1072">
        <f>477.287+43.184</f>
        <v>520.471</v>
      </c>
      <c r="BE41" s="1072">
        <f>284.215+40.193</f>
        <v>324.40799999999996</v>
      </c>
      <c r="BF41" s="1152">
        <f>224.055+40.151-29</f>
        <v>235.20600000000002</v>
      </c>
      <c r="BG41" s="371">
        <f>SUM(BG35:BG39)</f>
        <v>1388.9060000000002</v>
      </c>
      <c r="BH41" s="1071">
        <f>225.062+41.672</f>
        <v>266.73400000000004</v>
      </c>
      <c r="BI41" s="1186">
        <f>216.193+41.051+30+8.5</f>
        <v>295.74400000000003</v>
      </c>
      <c r="BJ41" s="1072">
        <f>191.775+40.305+28.2+17.6</f>
        <v>277.88000000000005</v>
      </c>
      <c r="BK41" s="1073">
        <f>219.91+39.347+12</f>
        <v>271.25700000000001</v>
      </c>
      <c r="BL41" s="371">
        <f>SUM(BL35:BL39)</f>
        <v>1111.6150000000002</v>
      </c>
      <c r="BM41" s="1071">
        <f>153.328+32.491</f>
        <v>185.81900000000002</v>
      </c>
      <c r="BN41" s="1072">
        <f>152.332+39.228</f>
        <v>191.56</v>
      </c>
      <c r="BO41" s="1072">
        <f>248.202+37.467+14</f>
        <v>299.66899999999998</v>
      </c>
      <c r="BP41" s="1073">
        <f>237.261+37.709</f>
        <v>274.97000000000003</v>
      </c>
      <c r="BQ41" s="111">
        <f>SUM(BQ35:BQ39)</f>
        <v>952.0179999999998</v>
      </c>
      <c r="BR41" s="1071">
        <f>207.501+40.741+9</f>
        <v>257.24200000000002</v>
      </c>
      <c r="BS41" s="1072">
        <f>241.865+44.391</f>
        <v>286.25600000000003</v>
      </c>
      <c r="BT41" s="1072">
        <f>403.985+45.349+12.5</f>
        <v>461.834</v>
      </c>
      <c r="BU41" s="1073">
        <f>351.226+38.775</f>
        <v>390.00099999999998</v>
      </c>
      <c r="BV41" s="111">
        <f>SUM(BV35:BV39)</f>
        <v>1395.3329999999999</v>
      </c>
      <c r="BW41" s="1071">
        <f>119.045+44.417</f>
        <v>163.46199999999999</v>
      </c>
      <c r="BX41" s="1072">
        <f>216.222+42.186</f>
        <v>258.40800000000002</v>
      </c>
      <c r="BY41" s="1186">
        <f>354.271+45.341</f>
        <v>399.61200000000002</v>
      </c>
      <c r="BZ41" s="1152">
        <f>19.7+41.587+237.133</f>
        <v>298.42</v>
      </c>
      <c r="CA41" s="111">
        <f>SUM(CA35:CA39)</f>
        <v>1119.902</v>
      </c>
      <c r="CB41" s="1071">
        <f>141.526+44.922</f>
        <v>186.44800000000001</v>
      </c>
      <c r="CC41" s="1072">
        <f>370.884+40.484</f>
        <v>411.36799999999999</v>
      </c>
      <c r="CD41" s="1186">
        <f>426.272+43.009</f>
        <v>469.28100000000001</v>
      </c>
      <c r="CE41" s="1152">
        <f>255.04+40.829-77.6+42</f>
        <v>260.26900000000001</v>
      </c>
      <c r="CF41" s="111">
        <f>SUM(CF35:CF39)</f>
        <v>1327.3659999999998</v>
      </c>
      <c r="CG41" s="1071">
        <f>548.975+43.605+9.8</f>
        <v>602.38</v>
      </c>
      <c r="CH41" s="1072">
        <f>508.136+44.58</f>
        <v>552.71600000000001</v>
      </c>
      <c r="CI41" s="1072">
        <f>390.855+43.31-13.2</f>
        <v>420.96500000000003</v>
      </c>
      <c r="CJ41" s="1073">
        <f>322.241-CJ45</f>
        <v>364.32599999999996</v>
      </c>
      <c r="CK41" s="111">
        <f t="shared" ref="CK41" si="38">SUM(CK35:CK39)</f>
        <v>1940.3869999999999</v>
      </c>
      <c r="CL41" s="1071">
        <f>515.912-CL45+21.8</f>
        <v>574.82600000000002</v>
      </c>
      <c r="CM41" s="112">
        <f t="shared" ref="CM41:CZ41" si="39">SUM(CM35:CM39)</f>
        <v>788.59615184840584</v>
      </c>
      <c r="CN41" s="112">
        <f t="shared" si="39"/>
        <v>805.40742906253331</v>
      </c>
      <c r="CO41" s="873">
        <f t="shared" si="39"/>
        <v>741.8100981036805</v>
      </c>
      <c r="CP41" s="111">
        <f t="shared" si="39"/>
        <v>2910.63967901462</v>
      </c>
      <c r="CQ41" s="872">
        <f t="shared" si="39"/>
        <v>804.19687717936495</v>
      </c>
      <c r="CR41" s="112">
        <f t="shared" si="39"/>
        <v>758.79227446838343</v>
      </c>
      <c r="CS41" s="112">
        <f t="shared" si="39"/>
        <v>680.48707288410742</v>
      </c>
      <c r="CT41" s="873">
        <f t="shared" si="39"/>
        <v>562.91523109697494</v>
      </c>
      <c r="CU41" s="111">
        <f t="shared" si="39"/>
        <v>2806.3914556288305</v>
      </c>
      <c r="CV41" s="872">
        <f t="shared" si="39"/>
        <v>671.75025932684173</v>
      </c>
      <c r="CW41" s="112">
        <f t="shared" si="39"/>
        <v>698.80584104579748</v>
      </c>
      <c r="CX41" s="112">
        <f t="shared" si="39"/>
        <v>644.28096184963431</v>
      </c>
      <c r="CY41" s="873">
        <f t="shared" si="39"/>
        <v>651.33003858647112</v>
      </c>
      <c r="CZ41" s="111">
        <f t="shared" si="39"/>
        <v>2666.1671008087446</v>
      </c>
    </row>
    <row r="42" spans="1:104" ht="6.2" customHeight="1">
      <c r="A42" s="20"/>
      <c r="B42" s="20"/>
      <c r="C42" s="20"/>
      <c r="D42" s="20"/>
      <c r="E42" s="125"/>
      <c r="F42" s="125"/>
      <c r="G42" s="125"/>
      <c r="H42" s="125"/>
      <c r="I42" s="125"/>
      <c r="J42" s="125"/>
      <c r="K42" s="125"/>
      <c r="L42" s="125"/>
      <c r="M42" s="125"/>
      <c r="N42" s="125"/>
      <c r="O42" s="125"/>
      <c r="P42" s="125"/>
      <c r="Q42" s="125"/>
      <c r="R42" s="125"/>
      <c r="S42" s="125"/>
      <c r="T42" s="125"/>
      <c r="U42" s="125"/>
      <c r="V42" s="125"/>
      <c r="W42" s="125"/>
      <c r="X42" s="125"/>
      <c r="Y42" s="125"/>
      <c r="Z42" s="125"/>
      <c r="AA42" s="125"/>
      <c r="AB42" s="125"/>
      <c r="AC42" s="125"/>
      <c r="AD42" s="125"/>
      <c r="AE42" s="125"/>
      <c r="AF42" s="125"/>
      <c r="AG42" s="125"/>
      <c r="AH42" s="125"/>
      <c r="AI42" s="107"/>
      <c r="AJ42" s="107"/>
      <c r="AK42" s="125"/>
      <c r="AL42" s="107"/>
      <c r="AM42" s="125"/>
      <c r="AN42" s="107"/>
      <c r="AO42" s="107"/>
      <c r="AP42" s="107"/>
      <c r="AQ42" s="107"/>
      <c r="AR42" s="125"/>
      <c r="AS42" s="1091"/>
      <c r="AT42" s="107"/>
      <c r="AU42" s="107"/>
      <c r="AV42" s="1070"/>
      <c r="AW42" s="125"/>
      <c r="AX42" s="1091"/>
      <c r="AY42" s="125"/>
      <c r="AZ42" s="125"/>
      <c r="BA42" s="1142"/>
      <c r="BB42" s="101"/>
      <c r="BC42" s="1091"/>
      <c r="BD42" s="125"/>
      <c r="BE42" s="125"/>
      <c r="BF42" s="1161"/>
      <c r="BG42" s="392"/>
      <c r="BH42" s="1069"/>
      <c r="BI42" s="125"/>
      <c r="BJ42" s="125"/>
      <c r="BK42" s="1142"/>
      <c r="BL42" s="125"/>
      <c r="BM42" s="1091"/>
      <c r="BN42" s="125"/>
      <c r="BO42" s="455"/>
      <c r="BP42" s="1142"/>
      <c r="BQ42" s="125"/>
      <c r="BR42" s="1091"/>
      <c r="BS42" s="125"/>
      <c r="BT42" s="125"/>
      <c r="BU42" s="1142"/>
      <c r="BV42" s="125"/>
      <c r="BW42" s="1091"/>
      <c r="BX42" s="125"/>
      <c r="BY42" s="125"/>
      <c r="BZ42" s="1142"/>
      <c r="CA42" s="125"/>
      <c r="CB42" s="1091"/>
      <c r="CC42" s="125"/>
      <c r="CD42" s="125"/>
      <c r="CE42" s="1142"/>
      <c r="CF42" s="125"/>
      <c r="CG42" s="1091"/>
      <c r="CH42" s="125"/>
      <c r="CI42" s="125"/>
      <c r="CJ42" s="1142"/>
      <c r="CK42" s="125"/>
      <c r="CL42" s="1091"/>
      <c r="CM42" s="125"/>
      <c r="CN42" s="125"/>
      <c r="CO42" s="1142"/>
      <c r="CP42" s="125"/>
      <c r="CQ42" s="1091"/>
      <c r="CR42" s="125"/>
      <c r="CS42" s="125"/>
      <c r="CT42" s="1142"/>
      <c r="CU42" s="125"/>
      <c r="CV42" s="1091"/>
      <c r="CW42" s="125"/>
      <c r="CX42" s="125"/>
      <c r="CY42" s="1142"/>
      <c r="CZ42" s="125"/>
    </row>
    <row r="43" spans="1:104" ht="13.5" customHeight="1">
      <c r="A43" s="66"/>
      <c r="B43" s="66" t="s">
        <v>445</v>
      </c>
      <c r="C43" s="66"/>
      <c r="D43" s="66"/>
      <c r="E43" s="126"/>
      <c r="F43" s="126"/>
      <c r="G43" s="126"/>
      <c r="H43" s="126"/>
      <c r="I43" s="126"/>
      <c r="J43" s="93">
        <f t="shared" ref="J43:AC43" si="40">IF(J45&lt;0,0,J45)</f>
        <v>0</v>
      </c>
      <c r="K43" s="93">
        <f t="shared" si="40"/>
        <v>0</v>
      </c>
      <c r="L43" s="93">
        <f t="shared" si="40"/>
        <v>0</v>
      </c>
      <c r="M43" s="93">
        <f t="shared" si="40"/>
        <v>0</v>
      </c>
      <c r="N43" s="93">
        <f t="shared" si="40"/>
        <v>0</v>
      </c>
      <c r="O43" s="93">
        <f t="shared" si="40"/>
        <v>0</v>
      </c>
      <c r="P43" s="93">
        <f t="shared" si="40"/>
        <v>0</v>
      </c>
      <c r="Q43" s="93">
        <f t="shared" si="40"/>
        <v>0</v>
      </c>
      <c r="R43" s="93">
        <f t="shared" si="40"/>
        <v>0</v>
      </c>
      <c r="S43" s="93">
        <f t="shared" si="40"/>
        <v>0</v>
      </c>
      <c r="T43" s="93">
        <f t="shared" si="40"/>
        <v>0</v>
      </c>
      <c r="U43" s="93">
        <f t="shared" si="40"/>
        <v>0</v>
      </c>
      <c r="V43" s="93">
        <f t="shared" si="40"/>
        <v>0</v>
      </c>
      <c r="W43" s="93">
        <f t="shared" si="40"/>
        <v>0</v>
      </c>
      <c r="X43" s="93">
        <f t="shared" si="40"/>
        <v>0</v>
      </c>
      <c r="Y43" s="93">
        <f t="shared" si="40"/>
        <v>0</v>
      </c>
      <c r="Z43" s="93">
        <f t="shared" si="40"/>
        <v>0</v>
      </c>
      <c r="AA43" s="93">
        <f t="shared" si="40"/>
        <v>0</v>
      </c>
      <c r="AB43" s="93">
        <f t="shared" si="40"/>
        <v>3.1950000000000007</v>
      </c>
      <c r="AC43" s="93">
        <f t="shared" si="40"/>
        <v>0</v>
      </c>
      <c r="AD43" s="93">
        <v>15.458</v>
      </c>
      <c r="AE43" s="93">
        <v>19.792000000000002</v>
      </c>
      <c r="AF43" s="93">
        <v>20.599</v>
      </c>
      <c r="AG43" s="127">
        <f>AH43-SUM(AD43:AF43)</f>
        <v>21.86699999999999</v>
      </c>
      <c r="AH43" s="107">
        <v>77.715999999999994</v>
      </c>
      <c r="AI43" s="93">
        <v>19.652999999999999</v>
      </c>
      <c r="AJ43" s="93">
        <v>10.722</v>
      </c>
      <c r="AK43" s="93">
        <v>6.8760000000000003</v>
      </c>
      <c r="AL43" s="127">
        <f>AM43-SUM(AI43:AK43)</f>
        <v>8.3860000000000028</v>
      </c>
      <c r="AM43" s="107">
        <v>45.637</v>
      </c>
      <c r="AN43" s="93">
        <f>18.993-AO43</f>
        <v>11.438999999999998</v>
      </c>
      <c r="AO43" s="93">
        <v>7.5540000000000003</v>
      </c>
      <c r="AP43" s="93">
        <v>13.965999999999999</v>
      </c>
      <c r="AQ43" s="127">
        <f>AR43-SUM(AN43:AP43)</f>
        <v>11.112000000000002</v>
      </c>
      <c r="AR43" s="101">
        <v>44.070999999999998</v>
      </c>
      <c r="AS43" s="1092">
        <v>7.3170000000000002</v>
      </c>
      <c r="AT43" s="529">
        <v>3.52</v>
      </c>
      <c r="AU43" s="529">
        <v>2.4430000000000001</v>
      </c>
      <c r="AV43" s="1068">
        <f>AW43-SUM(AS43:AU43)</f>
        <v>1.8900000000000006</v>
      </c>
      <c r="AW43" s="530">
        <v>15.17</v>
      </c>
      <c r="AX43" s="1092">
        <v>1.5469999999999999</v>
      </c>
      <c r="AY43" s="529">
        <v>1.448</v>
      </c>
      <c r="AZ43" s="529">
        <v>1.9319999999999999</v>
      </c>
      <c r="BA43" s="924">
        <f>BB43-SUM(AX43:AZ43)</f>
        <v>3.120000000000001</v>
      </c>
      <c r="BB43" s="530">
        <v>8.0470000000000006</v>
      </c>
      <c r="BC43" s="1092">
        <f>6.042-BD43</f>
        <v>3.0669999999999997</v>
      </c>
      <c r="BD43" s="529">
        <v>2.9750000000000001</v>
      </c>
      <c r="BE43" s="529">
        <v>4.2910000000000004</v>
      </c>
      <c r="BF43" s="924">
        <f>BG43-SUM(BC43:BE43)</f>
        <v>2.3849999999999998</v>
      </c>
      <c r="BG43" s="547">
        <v>12.718</v>
      </c>
      <c r="BH43" s="1188">
        <v>3.31</v>
      </c>
      <c r="BI43" s="521">
        <v>3.2669999999999999</v>
      </c>
      <c r="BJ43" s="521">
        <v>2.649</v>
      </c>
      <c r="BK43" s="924">
        <f>BL43-SUM(BH43:BJ43)</f>
        <v>1.902000000000001</v>
      </c>
      <c r="BL43" s="547">
        <v>11.128</v>
      </c>
      <c r="BM43" s="1188">
        <v>1.1890000000000001</v>
      </c>
      <c r="BN43" s="521">
        <v>1.448</v>
      </c>
      <c r="BO43" s="521">
        <v>1.1539999999999999</v>
      </c>
      <c r="BP43" s="1162">
        <f>5.091-SUM(BM43:BO43)</f>
        <v>1.3000000000000003</v>
      </c>
      <c r="BQ43" s="555">
        <f>SUM(BM43:BP43)</f>
        <v>5.0910000000000002</v>
      </c>
      <c r="BR43" s="1188">
        <v>1.1519999999999999</v>
      </c>
      <c r="BS43" s="521">
        <v>1.4870000000000001</v>
      </c>
      <c r="BT43" s="521">
        <v>1.2749999999999999</v>
      </c>
      <c r="BU43" s="1162">
        <f>4.886-SUM(BR43:BT43)</f>
        <v>0.97199999999999998</v>
      </c>
      <c r="BV43" s="555">
        <f>SUM(BR43:BU43)</f>
        <v>4.8860000000000001</v>
      </c>
      <c r="BW43" s="1188">
        <v>0.65100000000000002</v>
      </c>
      <c r="BX43" s="521">
        <v>0.96399999999999997</v>
      </c>
      <c r="BY43" s="633">
        <v>1.0649999999999999</v>
      </c>
      <c r="BZ43" s="1162">
        <f>4.012-SUM(BW43:BY43)</f>
        <v>1.3319999999999999</v>
      </c>
      <c r="CA43" s="556">
        <f>SUM(BW43:BZ43)</f>
        <v>4.0119999999999996</v>
      </c>
      <c r="CB43" s="1188">
        <v>2.452</v>
      </c>
      <c r="CC43" s="521">
        <v>2.9929999999999999</v>
      </c>
      <c r="CD43" s="633">
        <v>3.51</v>
      </c>
      <c r="CE43" s="1162">
        <f>11.935-SUM(CB43:CD43)</f>
        <v>2.9800000000000004</v>
      </c>
      <c r="CF43" s="556">
        <f>SUM(CB43:CE43)</f>
        <v>11.935</v>
      </c>
      <c r="CG43" s="1188">
        <v>2.6949999999999998</v>
      </c>
      <c r="CH43" s="521">
        <v>2.9849999999999999</v>
      </c>
      <c r="CI43" s="521">
        <v>4.3109999999999999</v>
      </c>
      <c r="CJ43" s="940"/>
      <c r="CK43" s="556">
        <f>SUM(CG43:CJ43)</f>
        <v>9.9909999999999997</v>
      </c>
      <c r="CL43" s="938"/>
      <c r="CM43" s="573">
        <f>'debt schedule'!CM129</f>
        <v>2.2807620000000002</v>
      </c>
      <c r="CN43" s="573">
        <f>'debt schedule'!CN129</f>
        <v>3.2787343119415584</v>
      </c>
      <c r="CO43" s="976">
        <f>'debt schedule'!CO129</f>
        <v>3.8394141974048597</v>
      </c>
      <c r="CP43" s="556">
        <f>SUM(CL43:CO43)</f>
        <v>9.3989105093464183</v>
      </c>
      <c r="CQ43" s="975">
        <f>'debt schedule'!CQ129</f>
        <v>5.0243977578862342</v>
      </c>
      <c r="CR43" s="573">
        <f>'debt schedule'!CR129</f>
        <v>4.9034826643125662</v>
      </c>
      <c r="CS43" s="573">
        <f>'debt schedule'!CS129</f>
        <v>7.0128771703153587</v>
      </c>
      <c r="CT43" s="976">
        <f>'debt schedule'!CT129</f>
        <v>7.9895228524298298</v>
      </c>
      <c r="CU43" s="556">
        <f>SUM(CQ43:CT43)</f>
        <v>24.930280444943989</v>
      </c>
      <c r="CV43" s="975">
        <f>'debt schedule'!CV129</f>
        <v>9.1019208201675141</v>
      </c>
      <c r="CW43" s="573">
        <f>'debt schedule'!CW129</f>
        <v>9.019514526146116</v>
      </c>
      <c r="CX43" s="573">
        <f>'debt schedule'!CX129</f>
        <v>11.337788370214568</v>
      </c>
      <c r="CY43" s="976">
        <f>'debt schedule'!CY129</f>
        <v>12.470344431171181</v>
      </c>
      <c r="CZ43" s="556">
        <f>SUM(CV43:CY43)</f>
        <v>41.929568147699385</v>
      </c>
    </row>
    <row r="44" spans="1:104" ht="13.5" customHeight="1">
      <c r="A44" s="66"/>
      <c r="B44" s="66" t="s">
        <v>297</v>
      </c>
      <c r="C44" s="66"/>
      <c r="D44" s="66"/>
      <c r="E44" s="129"/>
      <c r="F44" s="129"/>
      <c r="G44" s="129"/>
      <c r="H44" s="129"/>
      <c r="I44" s="129"/>
      <c r="J44" s="127">
        <f t="shared" ref="J44:AC44" si="41">IF(J45&lt;=0,J45,0)</f>
        <v>-2.912045</v>
      </c>
      <c r="K44" s="127">
        <f t="shared" si="41"/>
        <v>-3.0037639999999999</v>
      </c>
      <c r="L44" s="127">
        <f t="shared" si="41"/>
        <v>-2.660282</v>
      </c>
      <c r="M44" s="127">
        <f t="shared" si="41"/>
        <v>-5.7098429999999984</v>
      </c>
      <c r="N44" s="127">
        <f t="shared" si="41"/>
        <v>-14.285933999999999</v>
      </c>
      <c r="O44" s="127">
        <f t="shared" si="41"/>
        <v>-7.0672829999999998</v>
      </c>
      <c r="P44" s="127">
        <f t="shared" si="41"/>
        <v>-6.5470629999999996</v>
      </c>
      <c r="Q44" s="127">
        <f t="shared" si="41"/>
        <v>-6.369319</v>
      </c>
      <c r="R44" s="127">
        <f t="shared" si="41"/>
        <v>-4.6432000000000002</v>
      </c>
      <c r="S44" s="127">
        <f t="shared" si="41"/>
        <v>-24.626864999999999</v>
      </c>
      <c r="T44" s="127">
        <f t="shared" si="41"/>
        <v>-6.6619999999999999</v>
      </c>
      <c r="U44" s="127">
        <f t="shared" si="41"/>
        <v>-6.1159999999999997</v>
      </c>
      <c r="V44" s="127">
        <f t="shared" si="41"/>
        <v>-5.0529999999999999</v>
      </c>
      <c r="W44" s="127">
        <f t="shared" si="41"/>
        <v>-4.5210000000000017</v>
      </c>
      <c r="X44" s="127">
        <f t="shared" si="41"/>
        <v>-22.352</v>
      </c>
      <c r="Y44" s="127">
        <f t="shared" si="41"/>
        <v>-4.133</v>
      </c>
      <c r="Z44" s="127">
        <f t="shared" si="41"/>
        <v>-2.3410000000000002</v>
      </c>
      <c r="AA44" s="127">
        <f t="shared" si="41"/>
        <v>-0.92200000000000004</v>
      </c>
      <c r="AB44" s="127">
        <f t="shared" si="41"/>
        <v>0</v>
      </c>
      <c r="AC44" s="127">
        <f t="shared" si="41"/>
        <v>-4.2009999999999996</v>
      </c>
      <c r="AD44" s="127">
        <f>AD45-AD43</f>
        <v>-9.7259999999999991</v>
      </c>
      <c r="AE44" s="127">
        <v>-10.204000000000001</v>
      </c>
      <c r="AF44" s="127">
        <v>-10.166</v>
      </c>
      <c r="AG44" s="127">
        <f>AH44-SUM(AD44:AF44)</f>
        <v>-10.254999999999999</v>
      </c>
      <c r="AH44" s="107">
        <v>-40.350999999999999</v>
      </c>
      <c r="AI44" s="107">
        <v>-10.491</v>
      </c>
      <c r="AJ44" s="107">
        <v>-15.701000000000001</v>
      </c>
      <c r="AK44" s="127">
        <v>-10.452</v>
      </c>
      <c r="AL44" s="127">
        <f>AM44-SUM(AI44:AK44)</f>
        <v>-14.462000000000003</v>
      </c>
      <c r="AM44" s="107">
        <v>-51.106000000000002</v>
      </c>
      <c r="AN44" s="107">
        <f>-64.072-AO44</f>
        <v>-29.784000000000006</v>
      </c>
      <c r="AO44" s="107">
        <v>-34.287999999999997</v>
      </c>
      <c r="AP44" s="107">
        <v>-36.996000000000002</v>
      </c>
      <c r="AQ44" s="107">
        <f>AQ45-AQ43</f>
        <v>-33.486000000000004</v>
      </c>
      <c r="AR44" s="101">
        <v>-134.554</v>
      </c>
      <c r="AS44" s="1093">
        <v>-39.682000000000002</v>
      </c>
      <c r="AT44" s="518">
        <v>-35.476999999999997</v>
      </c>
      <c r="AU44" s="518">
        <v>-37.167999999999999</v>
      </c>
      <c r="AV44" s="1068">
        <f>AW44-SUM(AS44:AU44)</f>
        <v>-37.594999999999999</v>
      </c>
      <c r="AW44" s="530">
        <v>-149.922</v>
      </c>
      <c r="AX44" s="1093">
        <v>-39.335000000000001</v>
      </c>
      <c r="AY44" s="518">
        <v>-38.770000000000003</v>
      </c>
      <c r="AZ44" s="518">
        <v>-39.618000000000002</v>
      </c>
      <c r="BA44" s="1068">
        <f>BA45-BA43</f>
        <v>-43.417000000000002</v>
      </c>
      <c r="BB44" s="530">
        <v>-161.13999999999999</v>
      </c>
      <c r="BC44" s="1093">
        <f>-91.792-BD44</f>
        <v>-45.633000000000003</v>
      </c>
      <c r="BD44" s="518">
        <v>-46.158999999999999</v>
      </c>
      <c r="BE44" s="518">
        <v>-44.484000000000002</v>
      </c>
      <c r="BF44" s="1068">
        <f>BF45-BF43</f>
        <v>-42.536000000000001</v>
      </c>
      <c r="BG44" s="547">
        <v>-178.81200000000001</v>
      </c>
      <c r="BH44" s="1189">
        <v>-44.981999999999999</v>
      </c>
      <c r="BI44" s="522">
        <v>-44.317999999999998</v>
      </c>
      <c r="BJ44" s="522">
        <v>-42.954000000000001</v>
      </c>
      <c r="BK44" s="924">
        <f>BL44-SUM(BH44:BJ44)</f>
        <v>-41.248999999999995</v>
      </c>
      <c r="BL44" s="547">
        <v>-173.50299999999999</v>
      </c>
      <c r="BM44" s="1189">
        <v>-33.68</v>
      </c>
      <c r="BN44" s="522">
        <v>-40.676000000000002</v>
      </c>
      <c r="BO44" s="522">
        <v>-38.621000000000002</v>
      </c>
      <c r="BP44" s="1164">
        <f>-151.986-SUM(BM44:BO44)</f>
        <v>-39.008999999999986</v>
      </c>
      <c r="BQ44" s="555">
        <f>SUM(BM44:BP44)</f>
        <v>-151.98599999999999</v>
      </c>
      <c r="BR44" s="1189">
        <v>-41.893000000000001</v>
      </c>
      <c r="BS44" s="522">
        <v>-45.878</v>
      </c>
      <c r="BT44" s="522">
        <v>-46.624000000000002</v>
      </c>
      <c r="BU44" s="1164">
        <f>-174.142-SUM(BR44:BT44)</f>
        <v>-39.746999999999986</v>
      </c>
      <c r="BV44" s="555">
        <f>SUM(BR44:BU44)</f>
        <v>-174.142</v>
      </c>
      <c r="BW44" s="1189">
        <v>-45.067999999999998</v>
      </c>
      <c r="BX44" s="522">
        <v>-43.15</v>
      </c>
      <c r="BY44" s="634">
        <v>-46.405999999999999</v>
      </c>
      <c r="BZ44" s="1164">
        <f>-177.543-SUM(BW44:BY44)</f>
        <v>-42.919000000000011</v>
      </c>
      <c r="CA44" s="556">
        <f>SUM(BW44:BZ44)</f>
        <v>-177.54300000000001</v>
      </c>
      <c r="CB44" s="1189">
        <v>-47.374000000000002</v>
      </c>
      <c r="CC44" s="522">
        <v>-43.476999999999997</v>
      </c>
      <c r="CD44" s="522">
        <v>-46.518999999999998</v>
      </c>
      <c r="CE44" s="1164">
        <f>-181.179-SUM(CB44:CD44)</f>
        <v>-43.808999999999997</v>
      </c>
      <c r="CF44" s="556">
        <f>SUM(CB44:CE44)</f>
        <v>-181.179</v>
      </c>
      <c r="CG44" s="1189">
        <v>-46.3</v>
      </c>
      <c r="CH44" s="522">
        <f>-44.58-CH43</f>
        <v>-47.564999999999998</v>
      </c>
      <c r="CI44" s="522">
        <f>-43.31-CI43</f>
        <v>-47.621000000000002</v>
      </c>
      <c r="CJ44" s="1164">
        <f>-42.085-CJ43</f>
        <v>-42.085000000000001</v>
      </c>
      <c r="CK44" s="556">
        <f>SUM(CG44:CJ44)</f>
        <v>-183.571</v>
      </c>
      <c r="CL44" s="1189">
        <f>-37.114-CL43</f>
        <v>-37.113999999999997</v>
      </c>
      <c r="CM44" s="564">
        <f>-'debt schedule'!CM146</f>
        <v>-45.288325794999999</v>
      </c>
      <c r="CN44" s="564">
        <f>-'debt schedule'!CN146</f>
        <v>-45.288325794999999</v>
      </c>
      <c r="CO44" s="1150">
        <f>-'debt schedule'!CO146</f>
        <v>-45.288325794999999</v>
      </c>
      <c r="CP44" s="556">
        <f>SUM(CL44:CO44)</f>
        <v>-172.97897738499998</v>
      </c>
      <c r="CQ44" s="1192">
        <f>-'debt schedule'!CQ146</f>
        <v>-45.288325794999999</v>
      </c>
      <c r="CR44" s="564">
        <f>-'debt schedule'!CR146</f>
        <v>-45.288325794999999</v>
      </c>
      <c r="CS44" s="564">
        <f>-'debt schedule'!CS146</f>
        <v>-45.288325794999999</v>
      </c>
      <c r="CT44" s="1150">
        <f>-'debt schedule'!CT146</f>
        <v>-45.288325794999999</v>
      </c>
      <c r="CU44" s="556">
        <f>SUM(CQ44:CT44)</f>
        <v>-181.15330317999999</v>
      </c>
      <c r="CV44" s="1192">
        <f>-'debt schedule'!CV146</f>
        <v>-45.288325794999999</v>
      </c>
      <c r="CW44" s="564">
        <f>-'debt schedule'!CW146</f>
        <v>-45.288325794999999</v>
      </c>
      <c r="CX44" s="564">
        <f>-'debt schedule'!CX146</f>
        <v>-45.288325794999999</v>
      </c>
      <c r="CY44" s="1150">
        <f>-'debt schedule'!CY146</f>
        <v>-45.288325794999999</v>
      </c>
      <c r="CZ44" s="556">
        <f>SUM(CV44:CY44)</f>
        <v>-181.15330317999999</v>
      </c>
    </row>
    <row r="45" spans="1:104" ht="13.5" customHeight="1">
      <c r="A45" s="66"/>
      <c r="B45" s="66"/>
      <c r="C45" s="66" t="s">
        <v>229</v>
      </c>
      <c r="D45" s="66"/>
      <c r="E45" s="126"/>
      <c r="F45" s="126"/>
      <c r="G45" s="126"/>
      <c r="H45" s="126"/>
      <c r="I45" s="126"/>
      <c r="J45" s="93">
        <v>-2.912045</v>
      </c>
      <c r="K45" s="93">
        <v>-3.0037639999999999</v>
      </c>
      <c r="L45" s="93">
        <v>-2.660282</v>
      </c>
      <c r="M45" s="93">
        <f>+N45-L45-K45-J45</f>
        <v>-5.7098429999999984</v>
      </c>
      <c r="N45" s="107">
        <v>-14.285933999999999</v>
      </c>
      <c r="O45" s="93">
        <v>-7.0672829999999998</v>
      </c>
      <c r="P45" s="93">
        <v>-6.5470629999999996</v>
      </c>
      <c r="Q45" s="93">
        <v>-6.369319</v>
      </c>
      <c r="R45" s="93">
        <f>S45-SUM(O45:Q45)</f>
        <v>-4.6432000000000002</v>
      </c>
      <c r="S45" s="107">
        <v>-24.626864999999999</v>
      </c>
      <c r="T45" s="93">
        <v>-6.6619999999999999</v>
      </c>
      <c r="U45" s="93">
        <v>-6.1159999999999997</v>
      </c>
      <c r="V45" s="93">
        <v>-5.0529999999999999</v>
      </c>
      <c r="W45" s="93">
        <f>X45-T45-U45-V45</f>
        <v>-4.5210000000000017</v>
      </c>
      <c r="X45" s="107">
        <v>-22.352</v>
      </c>
      <c r="Y45" s="93">
        <v>-4.133</v>
      </c>
      <c r="Z45" s="93">
        <v>-2.3410000000000002</v>
      </c>
      <c r="AA45" s="93">
        <v>-0.92200000000000004</v>
      </c>
      <c r="AB45" s="93">
        <f>AC45-Y45-Z45-AA45</f>
        <v>3.1950000000000007</v>
      </c>
      <c r="AC45" s="107">
        <v>-4.2009999999999996</v>
      </c>
      <c r="AD45" s="93">
        <v>5.7320000000000002</v>
      </c>
      <c r="AE45" s="93">
        <f>AE43+AE44</f>
        <v>9.588000000000001</v>
      </c>
      <c r="AF45" s="93">
        <f>AF43+AF44</f>
        <v>10.433</v>
      </c>
      <c r="AG45" s="93">
        <f>AG43+AG44</f>
        <v>11.611999999999991</v>
      </c>
      <c r="AH45" s="107">
        <f>SUM(AD45:AG45)</f>
        <v>37.364999999999995</v>
      </c>
      <c r="AI45" s="93">
        <f t="shared" ref="AI45:AO45" si="42">AI43+AI44</f>
        <v>9.161999999999999</v>
      </c>
      <c r="AJ45" s="93">
        <f t="shared" si="42"/>
        <v>-4.979000000000001</v>
      </c>
      <c r="AK45" s="93">
        <f t="shared" si="42"/>
        <v>-3.5759999999999996</v>
      </c>
      <c r="AL45" s="93">
        <f t="shared" si="42"/>
        <v>-6.0760000000000005</v>
      </c>
      <c r="AM45" s="93">
        <f t="shared" si="42"/>
        <v>-5.4690000000000012</v>
      </c>
      <c r="AN45" s="93">
        <f t="shared" si="42"/>
        <v>-18.345000000000006</v>
      </c>
      <c r="AO45" s="93">
        <f t="shared" si="42"/>
        <v>-26.733999999999995</v>
      </c>
      <c r="AP45" s="93">
        <v>-23.03</v>
      </c>
      <c r="AQ45" s="101">
        <v>-22.373999999999999</v>
      </c>
      <c r="AR45" s="101">
        <f>AR43+AR44</f>
        <v>-90.483000000000004</v>
      </c>
      <c r="AS45" s="1092">
        <v>-32.365000000000002</v>
      </c>
      <c r="AT45" s="529">
        <v>-31.957000000000001</v>
      </c>
      <c r="AU45" s="529">
        <v>-34.725000000000001</v>
      </c>
      <c r="AV45" s="1094">
        <v>-35.704999999999998</v>
      </c>
      <c r="AW45" s="555">
        <f>SUM(AS45:AV45)</f>
        <v>-134.75200000000001</v>
      </c>
      <c r="AX45" s="1092">
        <v>-37.787999999999997</v>
      </c>
      <c r="AY45" s="529">
        <v>-37.322000000000003</v>
      </c>
      <c r="AZ45" s="529">
        <v>-37.686</v>
      </c>
      <c r="BA45" s="1094">
        <v>-40.296999999999997</v>
      </c>
      <c r="BB45" s="555">
        <f>BB43+BB44</f>
        <v>-153.09299999999999</v>
      </c>
      <c r="BC45" s="1092">
        <v>-42.566000000000003</v>
      </c>
      <c r="BD45" s="529">
        <v>-43.183999999999997</v>
      </c>
      <c r="BE45" s="529">
        <v>-40.192999999999998</v>
      </c>
      <c r="BF45" s="1162">
        <f>-40.151</f>
        <v>-40.151000000000003</v>
      </c>
      <c r="BG45" s="556">
        <f>BG43+BG44</f>
        <v>-166.09400000000002</v>
      </c>
      <c r="BH45" s="1188">
        <v>-41.671999999999997</v>
      </c>
      <c r="BI45" s="521">
        <v>-41.051000000000002</v>
      </c>
      <c r="BJ45" s="521">
        <v>-40.305</v>
      </c>
      <c r="BK45" s="1094">
        <v>-39.347000000000001</v>
      </c>
      <c r="BL45" s="555">
        <f>SUM(BH45:BK45)</f>
        <v>-162.375</v>
      </c>
      <c r="BM45" s="1092">
        <v>-32.491</v>
      </c>
      <c r="BN45" s="529">
        <v>-39.228000000000002</v>
      </c>
      <c r="BO45" s="574">
        <f t="shared" ref="BO45:CZ45" si="43">BO43+BO44</f>
        <v>-37.466999999999999</v>
      </c>
      <c r="BP45" s="924">
        <f t="shared" si="43"/>
        <v>-37.708999999999989</v>
      </c>
      <c r="BQ45" s="555">
        <f t="shared" si="43"/>
        <v>-146.89499999999998</v>
      </c>
      <c r="BR45" s="923">
        <f t="shared" si="43"/>
        <v>-40.741</v>
      </c>
      <c r="BS45" s="574">
        <f t="shared" si="43"/>
        <v>-44.390999999999998</v>
      </c>
      <c r="BT45" s="574">
        <f t="shared" si="43"/>
        <v>-45.349000000000004</v>
      </c>
      <c r="BU45" s="924">
        <f t="shared" si="43"/>
        <v>-38.774999999999984</v>
      </c>
      <c r="BV45" s="555">
        <f t="shared" si="43"/>
        <v>-169.256</v>
      </c>
      <c r="BW45" s="975">
        <f t="shared" si="43"/>
        <v>-44.416999999999994</v>
      </c>
      <c r="BX45" s="573">
        <f t="shared" si="43"/>
        <v>-42.186</v>
      </c>
      <c r="BY45" s="573">
        <f t="shared" si="43"/>
        <v>-45.341000000000001</v>
      </c>
      <c r="BZ45" s="976">
        <f t="shared" si="43"/>
        <v>-41.58700000000001</v>
      </c>
      <c r="CA45" s="556">
        <f t="shared" si="43"/>
        <v>-173.53100000000001</v>
      </c>
      <c r="CB45" s="975">
        <f t="shared" si="43"/>
        <v>-44.922000000000004</v>
      </c>
      <c r="CC45" s="573">
        <f t="shared" si="43"/>
        <v>-40.483999999999995</v>
      </c>
      <c r="CD45" s="573">
        <f t="shared" si="43"/>
        <v>-43.009</v>
      </c>
      <c r="CE45" s="976">
        <f t="shared" si="43"/>
        <v>-40.828999999999994</v>
      </c>
      <c r="CF45" s="556">
        <f t="shared" si="43"/>
        <v>-169.244</v>
      </c>
      <c r="CG45" s="975">
        <f t="shared" si="43"/>
        <v>-43.604999999999997</v>
      </c>
      <c r="CH45" s="573">
        <f t="shared" si="43"/>
        <v>-44.58</v>
      </c>
      <c r="CI45" s="573">
        <f t="shared" si="43"/>
        <v>-43.31</v>
      </c>
      <c r="CJ45" s="976">
        <f t="shared" si="43"/>
        <v>-42.085000000000001</v>
      </c>
      <c r="CK45" s="556">
        <f t="shared" si="43"/>
        <v>-173.57999999999998</v>
      </c>
      <c r="CL45" s="975">
        <f t="shared" si="43"/>
        <v>-37.113999999999997</v>
      </c>
      <c r="CM45" s="573">
        <f t="shared" si="43"/>
        <v>-43.007563794999996</v>
      </c>
      <c r="CN45" s="573">
        <f t="shared" si="43"/>
        <v>-42.009591483058443</v>
      </c>
      <c r="CO45" s="976">
        <f t="shared" si="43"/>
        <v>-41.448911597595142</v>
      </c>
      <c r="CP45" s="556">
        <f t="shared" si="43"/>
        <v>-163.58006687565356</v>
      </c>
      <c r="CQ45" s="975">
        <f t="shared" si="43"/>
        <v>-40.263928037113764</v>
      </c>
      <c r="CR45" s="573">
        <f t="shared" si="43"/>
        <v>-40.384843130687429</v>
      </c>
      <c r="CS45" s="573">
        <f t="shared" si="43"/>
        <v>-38.275448624684643</v>
      </c>
      <c r="CT45" s="976">
        <f t="shared" si="43"/>
        <v>-37.29880294257017</v>
      </c>
      <c r="CU45" s="556">
        <f t="shared" si="43"/>
        <v>-156.22302273505602</v>
      </c>
      <c r="CV45" s="975">
        <f t="shared" si="43"/>
        <v>-36.186404974832485</v>
      </c>
      <c r="CW45" s="573">
        <f t="shared" si="43"/>
        <v>-36.268811268853881</v>
      </c>
      <c r="CX45" s="573">
        <f t="shared" si="43"/>
        <v>-33.950537424785431</v>
      </c>
      <c r="CY45" s="976">
        <f t="shared" si="43"/>
        <v>-32.817981363828821</v>
      </c>
      <c r="CZ45" s="556">
        <f t="shared" si="43"/>
        <v>-139.22373503230062</v>
      </c>
    </row>
    <row r="46" spans="1:104" ht="6.2" customHeight="1">
      <c r="A46" s="66"/>
      <c r="B46" s="66"/>
      <c r="C46" s="66"/>
      <c r="D46" s="66"/>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66"/>
      <c r="AR46" s="101"/>
      <c r="AS46" s="859"/>
      <c r="AT46" s="20"/>
      <c r="AU46" s="20"/>
      <c r="AV46" s="860"/>
      <c r="AW46" s="66"/>
      <c r="AX46" s="859"/>
      <c r="AY46" s="20"/>
      <c r="AZ46" s="20"/>
      <c r="BA46" s="860"/>
      <c r="BB46" s="101"/>
      <c r="BC46" s="859"/>
      <c r="BD46" s="20"/>
      <c r="BE46" s="20"/>
      <c r="BF46" s="954"/>
      <c r="BG46" s="362"/>
      <c r="BH46" s="859"/>
      <c r="BI46" s="20"/>
      <c r="BJ46" s="20"/>
      <c r="BK46" s="860"/>
      <c r="BL46" s="66"/>
      <c r="BM46" s="1110"/>
      <c r="BN46" s="93"/>
      <c r="BO46" s="93"/>
      <c r="BP46" s="860"/>
      <c r="BQ46" s="66"/>
      <c r="BR46" s="859"/>
      <c r="BS46" s="20"/>
      <c r="BT46" s="20"/>
      <c r="BU46" s="860"/>
      <c r="BV46" s="66"/>
      <c r="BW46" s="859"/>
      <c r="BX46" s="20"/>
      <c r="BY46" s="20"/>
      <c r="BZ46" s="860"/>
      <c r="CA46" s="66"/>
      <c r="CB46" s="859"/>
      <c r="CC46" s="20"/>
      <c r="CD46" s="495"/>
      <c r="CE46" s="944"/>
      <c r="CF46" s="453"/>
      <c r="CG46" s="981"/>
      <c r="CH46" s="495"/>
      <c r="CI46" s="20"/>
      <c r="CJ46" s="944"/>
      <c r="CK46" s="453"/>
      <c r="CL46" s="859"/>
      <c r="CM46" s="20"/>
      <c r="CN46" s="20"/>
      <c r="CO46" s="860"/>
      <c r="CP46" s="66"/>
      <c r="CQ46" s="859"/>
      <c r="CR46" s="20"/>
      <c r="CS46" s="20"/>
      <c r="CT46" s="860"/>
      <c r="CU46" s="66"/>
      <c r="CV46" s="859"/>
      <c r="CW46" s="20"/>
      <c r="CX46" s="20"/>
      <c r="CY46" s="860"/>
      <c r="CZ46" s="66"/>
    </row>
    <row r="47" spans="1:104" ht="13.5" customHeight="1">
      <c r="A47" s="130"/>
      <c r="B47" s="66" t="s">
        <v>270</v>
      </c>
      <c r="C47" s="66"/>
      <c r="D47" s="133"/>
      <c r="E47" s="131"/>
      <c r="F47" s="131"/>
      <c r="G47" s="131"/>
      <c r="H47" s="131"/>
      <c r="I47" s="131"/>
      <c r="J47" s="93">
        <v>-29.750250000000001</v>
      </c>
      <c r="K47" s="93">
        <v>-24.46876</v>
      </c>
      <c r="L47" s="93">
        <v>-12.00501</v>
      </c>
      <c r="M47" s="93">
        <f>+N47-L47-K47-J47</f>
        <v>-13.247891000000003</v>
      </c>
      <c r="N47" s="107">
        <v>-79.471911000000006</v>
      </c>
      <c r="O47" s="93">
        <v>-6.2390800000000004</v>
      </c>
      <c r="P47" s="93">
        <v>-4.3461259999999999</v>
      </c>
      <c r="Q47" s="93">
        <v>-6.1978960000000001</v>
      </c>
      <c r="R47" s="93">
        <f>S47-SUM(O47:Q47)</f>
        <v>-7.166677</v>
      </c>
      <c r="S47" s="107">
        <v>-23.949778999999999</v>
      </c>
      <c r="T47" s="93">
        <v>-10.798</v>
      </c>
      <c r="U47" s="93">
        <v>-15.488</v>
      </c>
      <c r="V47" s="93">
        <v>-34.061</v>
      </c>
      <c r="W47" s="93">
        <f>X47-T47-U47-V47</f>
        <v>-20.547000000000004</v>
      </c>
      <c r="X47" s="107">
        <v>-80.894000000000005</v>
      </c>
      <c r="Y47" s="93">
        <v>-31.164999999999999</v>
      </c>
      <c r="Z47" s="93">
        <v>-20.515000000000001</v>
      </c>
      <c r="AA47" s="93">
        <v>-24.914999999999999</v>
      </c>
      <c r="AB47" s="93">
        <f>AC47-Y47-Z47-AA47</f>
        <v>-34.079000000000015</v>
      </c>
      <c r="AC47" s="107">
        <v>-110.67400000000001</v>
      </c>
      <c r="AD47" s="93">
        <v>-40.326000000000001</v>
      </c>
      <c r="AE47" s="93">
        <v>-48.606000000000002</v>
      </c>
      <c r="AF47" s="93">
        <v>-59.103999999999999</v>
      </c>
      <c r="AG47" s="93">
        <v>-71.185000000000002</v>
      </c>
      <c r="AH47" s="107">
        <f>SUM(AD47:AG47)</f>
        <v>-219.221</v>
      </c>
      <c r="AI47" s="92">
        <v>-60.572000000000003</v>
      </c>
      <c r="AJ47" s="92">
        <v>-77.587000000000003</v>
      </c>
      <c r="AK47" s="92">
        <v>-76.494</v>
      </c>
      <c r="AL47" s="92">
        <v>-78.847999999999999</v>
      </c>
      <c r="AM47" s="107">
        <f>SUM(AI47:AL47)</f>
        <v>-293.50099999999998</v>
      </c>
      <c r="AN47" s="92">
        <v>-91.771000000000001</v>
      </c>
      <c r="AO47" s="92">
        <v>-87.936000000000007</v>
      </c>
      <c r="AP47" s="92">
        <v>-76.212999999999994</v>
      </c>
      <c r="AQ47" s="92">
        <v>-58.000999999999998</v>
      </c>
      <c r="AR47" s="128">
        <f>SUM(AN47:AQ47)</f>
        <v>-313.92099999999999</v>
      </c>
      <c r="AS47" s="1095"/>
      <c r="AT47" s="92"/>
      <c r="AU47" s="92"/>
      <c r="AV47" s="1096"/>
      <c r="AW47" s="128"/>
      <c r="AX47" s="1110"/>
      <c r="AY47" s="132"/>
      <c r="AZ47" s="132"/>
      <c r="BA47" s="1143"/>
      <c r="BB47" s="128"/>
      <c r="BC47" s="1095"/>
      <c r="BD47" s="132"/>
      <c r="BE47" s="132"/>
      <c r="BF47" s="1163"/>
      <c r="BG47" s="363"/>
      <c r="BH47" s="1148"/>
      <c r="BI47" s="132"/>
      <c r="BJ47" s="132"/>
      <c r="BK47" s="1143"/>
      <c r="BL47" s="128"/>
      <c r="BM47" s="1095"/>
      <c r="BN47" s="132"/>
      <c r="BO47" s="132"/>
      <c r="BP47" s="1143"/>
      <c r="BQ47" s="128"/>
      <c r="BR47" s="1095"/>
      <c r="BS47" s="132"/>
      <c r="BT47" s="132"/>
      <c r="BU47" s="1143"/>
      <c r="BV47" s="128"/>
      <c r="BW47" s="1095"/>
      <c r="BX47" s="132"/>
      <c r="BY47" s="132"/>
      <c r="BZ47" s="1163"/>
      <c r="CA47" s="363"/>
      <c r="CB47" s="1095"/>
      <c r="CC47" s="132"/>
      <c r="CD47" s="132"/>
      <c r="CE47" s="1143"/>
      <c r="CF47" s="128"/>
      <c r="CG47" s="1095"/>
      <c r="CH47" s="132"/>
      <c r="CI47" s="132"/>
      <c r="CJ47" s="1143"/>
      <c r="CK47" s="128"/>
      <c r="CL47" s="1095"/>
      <c r="CM47" s="132"/>
      <c r="CN47" s="132"/>
      <c r="CO47" s="1143"/>
      <c r="CP47" s="128"/>
      <c r="CQ47" s="1095"/>
      <c r="CR47" s="132"/>
      <c r="CS47" s="132"/>
      <c r="CT47" s="1143"/>
      <c r="CU47" s="128"/>
      <c r="CV47" s="1095"/>
      <c r="CW47" s="132"/>
      <c r="CX47" s="132"/>
      <c r="CY47" s="1143"/>
      <c r="CZ47" s="128"/>
    </row>
    <row r="48" spans="1:104" ht="13.5" customHeight="1">
      <c r="A48" s="79"/>
      <c r="B48" s="79"/>
      <c r="C48" s="79" t="s">
        <v>231</v>
      </c>
      <c r="D48" s="79"/>
      <c r="E48" s="112"/>
      <c r="F48" s="112"/>
      <c r="G48" s="112"/>
      <c r="H48" s="112"/>
      <c r="I48" s="112"/>
      <c r="J48" s="112">
        <f t="shared" ref="J48:AL48" si="44">J41+J45+J47</f>
        <v>30.962295000000012</v>
      </c>
      <c r="K48" s="112">
        <f t="shared" si="44"/>
        <v>59.707301999999999</v>
      </c>
      <c r="L48" s="112">
        <f t="shared" si="44"/>
        <v>59.591799999999992</v>
      </c>
      <c r="M48" s="112">
        <f t="shared" si="44"/>
        <v>49.891618000000008</v>
      </c>
      <c r="N48" s="112">
        <f t="shared" si="44"/>
        <v>200.15301499999995</v>
      </c>
      <c r="O48" s="112">
        <f t="shared" si="44"/>
        <v>20.348904000000008</v>
      </c>
      <c r="P48" s="112">
        <f t="shared" si="44"/>
        <v>16.684089999999998</v>
      </c>
      <c r="Q48" s="112">
        <f t="shared" si="44"/>
        <v>14.089544999999941</v>
      </c>
      <c r="R48" s="112">
        <f t="shared" si="44"/>
        <v>11.408050000000003</v>
      </c>
      <c r="S48" s="112">
        <f t="shared" si="44"/>
        <v>62.530588999999956</v>
      </c>
      <c r="T48" s="112">
        <f t="shared" si="44"/>
        <v>175.18800000000002</v>
      </c>
      <c r="U48" s="112">
        <f t="shared" si="44"/>
        <v>409.49600000000004</v>
      </c>
      <c r="V48" s="112">
        <f t="shared" si="44"/>
        <v>635.38699999999994</v>
      </c>
      <c r="W48" s="112">
        <f t="shared" si="44"/>
        <v>522.80899999999997</v>
      </c>
      <c r="X48" s="112">
        <f t="shared" si="44"/>
        <v>1742.8799999999997</v>
      </c>
      <c r="Y48" s="112">
        <f t="shared" si="44"/>
        <v>541.26599999999996</v>
      </c>
      <c r="Z48" s="112">
        <f t="shared" si="44"/>
        <v>499.43600000000004</v>
      </c>
      <c r="AA48" s="112">
        <f t="shared" si="44"/>
        <v>446.66800000000006</v>
      </c>
      <c r="AB48" s="112">
        <f t="shared" si="44"/>
        <v>519.798</v>
      </c>
      <c r="AC48" s="112">
        <f t="shared" si="44"/>
        <v>2007.1680000000001</v>
      </c>
      <c r="AD48" s="112">
        <f t="shared" si="44"/>
        <v>588.26099999999997</v>
      </c>
      <c r="AE48" s="112">
        <f t="shared" si="44"/>
        <v>694.755</v>
      </c>
      <c r="AF48" s="112">
        <f t="shared" si="44"/>
        <v>795.51699999999994</v>
      </c>
      <c r="AG48" s="112">
        <f t="shared" si="44"/>
        <v>615.28499999999985</v>
      </c>
      <c r="AH48" s="112">
        <f t="shared" si="44"/>
        <v>2693.8179999999998</v>
      </c>
      <c r="AI48" s="112">
        <f t="shared" si="44"/>
        <v>589.66700000000003</v>
      </c>
      <c r="AJ48" s="112">
        <f t="shared" si="44"/>
        <v>532.71400000000006</v>
      </c>
      <c r="AK48" s="112">
        <f t="shared" si="44"/>
        <v>584.42099999999925</v>
      </c>
      <c r="AL48" s="112">
        <f t="shared" si="44"/>
        <v>546.51300000000003</v>
      </c>
      <c r="AM48" s="153">
        <f>SUM(AI48:AL48)</f>
        <v>2253.3149999999991</v>
      </c>
      <c r="AN48" s="112">
        <f>AN41+AN45+AN47</f>
        <v>622.84700000000021</v>
      </c>
      <c r="AO48" s="112">
        <f>AO41+AO45+AO47</f>
        <v>876.10200000000032</v>
      </c>
      <c r="AP48" s="112">
        <f>AP41+AP45+AP47</f>
        <v>1142.1150000000002</v>
      </c>
      <c r="AQ48" s="112">
        <f>AQ41+AQ45+AQ47</f>
        <v>296.98899999999998</v>
      </c>
      <c r="AR48" s="112">
        <f>AR41+AR45+AR47</f>
        <v>2938.0530000000003</v>
      </c>
      <c r="AS48" s="872">
        <f t="shared" ref="AS48:BX48" si="45">AS41+AS45</f>
        <v>-281.74599999999998</v>
      </c>
      <c r="AT48" s="112">
        <f t="shared" si="45"/>
        <v>-200.75800000000001</v>
      </c>
      <c r="AU48" s="112">
        <f t="shared" si="45"/>
        <v>-21.484000000000002</v>
      </c>
      <c r="AV48" s="873">
        <f t="shared" si="45"/>
        <v>90.01</v>
      </c>
      <c r="AW48" s="112">
        <f t="shared" si="45"/>
        <v>-413.97800000000001</v>
      </c>
      <c r="AX48" s="872">
        <f t="shared" si="45"/>
        <v>64.036000000000001</v>
      </c>
      <c r="AY48" s="112">
        <f t="shared" si="45"/>
        <v>155.57300000000001</v>
      </c>
      <c r="AZ48" s="112">
        <f t="shared" si="45"/>
        <v>58.006000000000007</v>
      </c>
      <c r="BA48" s="873">
        <f t="shared" si="45"/>
        <v>-0.5</v>
      </c>
      <c r="BB48" s="112">
        <f t="shared" si="45"/>
        <v>277.11500000000012</v>
      </c>
      <c r="BC48" s="872">
        <f t="shared" si="45"/>
        <v>266.255</v>
      </c>
      <c r="BD48" s="112">
        <f t="shared" si="45"/>
        <v>477.28700000000003</v>
      </c>
      <c r="BE48" s="112">
        <f t="shared" si="45"/>
        <v>284.21499999999997</v>
      </c>
      <c r="BF48" s="960">
        <f t="shared" si="45"/>
        <v>195.05500000000001</v>
      </c>
      <c r="BG48" s="394">
        <f t="shared" si="45"/>
        <v>1222.8120000000001</v>
      </c>
      <c r="BH48" s="872">
        <f t="shared" si="45"/>
        <v>225.06200000000004</v>
      </c>
      <c r="BI48" s="112">
        <f t="shared" si="45"/>
        <v>254.69300000000004</v>
      </c>
      <c r="BJ48" s="112">
        <f t="shared" si="45"/>
        <v>237.57500000000005</v>
      </c>
      <c r="BK48" s="960">
        <f t="shared" si="45"/>
        <v>231.91</v>
      </c>
      <c r="BL48" s="394">
        <f t="shared" si="45"/>
        <v>949.24000000000024</v>
      </c>
      <c r="BM48" s="872">
        <f t="shared" si="45"/>
        <v>153.32800000000003</v>
      </c>
      <c r="BN48" s="112">
        <f t="shared" si="45"/>
        <v>152.33199999999999</v>
      </c>
      <c r="BO48" s="112">
        <f t="shared" si="45"/>
        <v>262.202</v>
      </c>
      <c r="BP48" s="873">
        <f t="shared" si="45"/>
        <v>237.26100000000002</v>
      </c>
      <c r="BQ48" s="112">
        <f t="shared" si="45"/>
        <v>805.12299999999982</v>
      </c>
      <c r="BR48" s="872">
        <f t="shared" si="45"/>
        <v>216.50100000000003</v>
      </c>
      <c r="BS48" s="112">
        <f t="shared" si="45"/>
        <v>241.86500000000004</v>
      </c>
      <c r="BT48" s="112">
        <f t="shared" si="45"/>
        <v>416.48500000000001</v>
      </c>
      <c r="BU48" s="873">
        <f t="shared" si="45"/>
        <v>351.226</v>
      </c>
      <c r="BV48" s="112">
        <f t="shared" si="45"/>
        <v>1226.0769999999998</v>
      </c>
      <c r="BW48" s="872">
        <f t="shared" si="45"/>
        <v>119.04499999999999</v>
      </c>
      <c r="BX48" s="112">
        <f t="shared" si="45"/>
        <v>216.22200000000001</v>
      </c>
      <c r="BY48" s="112">
        <f t="shared" ref="BY48:CZ48" si="46">BY41+BY45</f>
        <v>354.27100000000002</v>
      </c>
      <c r="BZ48" s="960">
        <f t="shared" si="46"/>
        <v>256.83300000000003</v>
      </c>
      <c r="CA48" s="394">
        <f t="shared" si="46"/>
        <v>946.37100000000009</v>
      </c>
      <c r="CB48" s="872">
        <f t="shared" si="46"/>
        <v>141.52600000000001</v>
      </c>
      <c r="CC48" s="112">
        <f t="shared" si="46"/>
        <v>370.88400000000001</v>
      </c>
      <c r="CD48" s="112">
        <f t="shared" si="46"/>
        <v>426.27199999999999</v>
      </c>
      <c r="CE48" s="873">
        <f t="shared" si="46"/>
        <v>219.44</v>
      </c>
      <c r="CF48" s="112">
        <f t="shared" si="46"/>
        <v>1158.1219999999998</v>
      </c>
      <c r="CG48" s="872">
        <f t="shared" si="46"/>
        <v>558.77499999999998</v>
      </c>
      <c r="CH48" s="112">
        <f t="shared" si="46"/>
        <v>508.13600000000002</v>
      </c>
      <c r="CI48" s="112">
        <f t="shared" si="46"/>
        <v>377.65500000000003</v>
      </c>
      <c r="CJ48" s="873">
        <f t="shared" si="46"/>
        <v>322.24099999999999</v>
      </c>
      <c r="CK48" s="112">
        <f t="shared" si="46"/>
        <v>1766.807</v>
      </c>
      <c r="CL48" s="872">
        <f t="shared" si="46"/>
        <v>537.71199999999999</v>
      </c>
      <c r="CM48" s="112">
        <f t="shared" si="46"/>
        <v>745.58858805340583</v>
      </c>
      <c r="CN48" s="112">
        <f t="shared" si="46"/>
        <v>763.39783757947487</v>
      </c>
      <c r="CO48" s="873">
        <f t="shared" si="46"/>
        <v>700.36118650608535</v>
      </c>
      <c r="CP48" s="112">
        <f t="shared" si="46"/>
        <v>2747.0596121389663</v>
      </c>
      <c r="CQ48" s="872">
        <f t="shared" si="46"/>
        <v>763.93294914225123</v>
      </c>
      <c r="CR48" s="112">
        <f t="shared" si="46"/>
        <v>718.40743133769604</v>
      </c>
      <c r="CS48" s="112">
        <f t="shared" si="46"/>
        <v>642.21162425942282</v>
      </c>
      <c r="CT48" s="873">
        <f t="shared" si="46"/>
        <v>525.61642815440473</v>
      </c>
      <c r="CU48" s="112">
        <f t="shared" si="46"/>
        <v>2650.1684328937745</v>
      </c>
      <c r="CV48" s="872">
        <f t="shared" si="46"/>
        <v>635.56385435200923</v>
      </c>
      <c r="CW48" s="112">
        <f t="shared" si="46"/>
        <v>662.53702977694365</v>
      </c>
      <c r="CX48" s="112">
        <f t="shared" si="46"/>
        <v>610.33042442484884</v>
      </c>
      <c r="CY48" s="873">
        <f t="shared" si="46"/>
        <v>618.51205722264228</v>
      </c>
      <c r="CZ48" s="112">
        <f t="shared" si="46"/>
        <v>2526.9433657764439</v>
      </c>
    </row>
    <row r="49" spans="1:104" ht="13.5" customHeight="1">
      <c r="A49" s="82"/>
      <c r="B49" s="82"/>
      <c r="C49" s="82" t="s">
        <v>349</v>
      </c>
      <c r="D49" s="82"/>
      <c r="E49" s="113"/>
      <c r="F49" s="113"/>
      <c r="G49" s="113"/>
      <c r="H49" s="113"/>
      <c r="I49" s="113"/>
      <c r="J49" s="113">
        <f t="shared" ref="J49:AM49" si="47">J48/J15</f>
        <v>2.8651892859846536E-2</v>
      </c>
      <c r="K49" s="113">
        <f t="shared" si="47"/>
        <v>4.9837810453653195E-2</v>
      </c>
      <c r="L49" s="113">
        <f t="shared" si="47"/>
        <v>4.850661195763644E-2</v>
      </c>
      <c r="M49" s="113">
        <f t="shared" si="47"/>
        <v>3.8538906742846081E-2</v>
      </c>
      <c r="N49" s="113">
        <f t="shared" si="47"/>
        <v>4.1683117374939176E-2</v>
      </c>
      <c r="O49" s="113">
        <f t="shared" si="47"/>
        <v>1.3746742440207002E-2</v>
      </c>
      <c r="P49" s="113">
        <f t="shared" si="47"/>
        <v>1.0973047827516487E-2</v>
      </c>
      <c r="Q49" s="113">
        <f t="shared" si="47"/>
        <v>8.7839434881203313E-3</v>
      </c>
      <c r="R49" s="113">
        <f t="shared" si="47"/>
        <v>6.8678519256075354E-3</v>
      </c>
      <c r="S49" s="113">
        <f t="shared" si="47"/>
        <v>9.9796290128208141E-3</v>
      </c>
      <c r="T49" s="113">
        <f t="shared" si="47"/>
        <v>7.6621227283224055E-2</v>
      </c>
      <c r="U49" s="113">
        <f t="shared" si="47"/>
        <v>0.14827023609776446</v>
      </c>
      <c r="V49" s="113">
        <f t="shared" si="47"/>
        <v>0.19613179684355311</v>
      </c>
      <c r="W49" s="113">
        <f t="shared" si="47"/>
        <v>0.16924873373177968</v>
      </c>
      <c r="X49" s="113">
        <f t="shared" si="47"/>
        <v>0.15319560074214006</v>
      </c>
      <c r="Y49" s="113">
        <f t="shared" si="47"/>
        <v>0.16294834306378383</v>
      </c>
      <c r="Z49" s="113">
        <f t="shared" si="47"/>
        <v>0.15880302816881256</v>
      </c>
      <c r="AA49" s="113">
        <f t="shared" si="47"/>
        <v>0.1476143878653404</v>
      </c>
      <c r="AB49" s="113">
        <f t="shared" si="47"/>
        <v>0.16201250349864818</v>
      </c>
      <c r="AC49" s="113">
        <f t="shared" si="47"/>
        <v>0.15803229336526994</v>
      </c>
      <c r="AD49" s="113">
        <f t="shared" si="47"/>
        <v>0.16593650328890863</v>
      </c>
      <c r="AE49" s="113">
        <f t="shared" si="47"/>
        <v>0.18252525385211552</v>
      </c>
      <c r="AF49" s="113">
        <f t="shared" si="47"/>
        <v>0.20235814056302434</v>
      </c>
      <c r="AG49" s="113">
        <f t="shared" si="47"/>
        <v>0.17738764166419205</v>
      </c>
      <c r="AH49" s="113">
        <f t="shared" si="47"/>
        <v>0.18261600526598726</v>
      </c>
      <c r="AI49" s="136">
        <f t="shared" si="47"/>
        <v>0.15645661780606201</v>
      </c>
      <c r="AJ49" s="136">
        <f t="shared" si="47"/>
        <v>0.12725752548308575</v>
      </c>
      <c r="AK49" s="113">
        <f t="shared" si="47"/>
        <v>0.13721311948828185</v>
      </c>
      <c r="AL49" s="136">
        <f t="shared" si="47"/>
        <v>0.12429902928520092</v>
      </c>
      <c r="AM49" s="113">
        <f t="shared" si="47"/>
        <v>0.1356521735989504</v>
      </c>
      <c r="AN49" s="136">
        <f t="shared" ref="AN49:BS49" si="48">AN48/AN15</f>
        <v>0.12521377512957182</v>
      </c>
      <c r="AO49" s="136">
        <f t="shared" si="48"/>
        <v>0.1235582494511395</v>
      </c>
      <c r="AP49" s="136">
        <f t="shared" si="48"/>
        <v>0.1533550765892539</v>
      </c>
      <c r="AQ49" s="136">
        <f t="shared" si="48"/>
        <v>7.154747748459625E-2</v>
      </c>
      <c r="AR49" s="113">
        <f t="shared" si="48"/>
        <v>0.12416062088318615</v>
      </c>
      <c r="AS49" s="857">
        <f t="shared" si="48"/>
        <v>-0.10614624692811979</v>
      </c>
      <c r="AT49" s="136">
        <f t="shared" si="48"/>
        <v>-8.1015226623750838E-2</v>
      </c>
      <c r="AU49" s="136">
        <f t="shared" si="48"/>
        <v>-6.885886400823076E-3</v>
      </c>
      <c r="AV49" s="858">
        <f t="shared" si="48"/>
        <v>3.0637071366915097E-2</v>
      </c>
      <c r="AW49" s="136">
        <f t="shared" si="48"/>
        <v>-3.6994374411543719E-2</v>
      </c>
      <c r="AX49" s="857">
        <f t="shared" si="48"/>
        <v>1.7520866839113702E-2</v>
      </c>
      <c r="AY49" s="136">
        <f t="shared" si="48"/>
        <v>3.7076801861597543E-2</v>
      </c>
      <c r="AZ49" s="136">
        <f t="shared" si="48"/>
        <v>1.4010877596484504E-2</v>
      </c>
      <c r="BA49" s="858">
        <f t="shared" si="48"/>
        <v>-1.2974375608173857E-4</v>
      </c>
      <c r="BB49" s="136">
        <f t="shared" si="48"/>
        <v>1.7489524997969345E-2</v>
      </c>
      <c r="BC49" s="857">
        <f t="shared" si="48"/>
        <v>5.5080396215587552E-2</v>
      </c>
      <c r="BD49" s="136">
        <f t="shared" si="48"/>
        <v>9.3442609150028916E-2</v>
      </c>
      <c r="BE49" s="136">
        <f t="shared" si="48"/>
        <v>5.4114091312043228E-2</v>
      </c>
      <c r="BF49" s="952">
        <f t="shared" si="48"/>
        <v>4.0386758783247829E-2</v>
      </c>
      <c r="BG49" s="375">
        <f t="shared" si="48"/>
        <v>6.1068648917845005E-2</v>
      </c>
      <c r="BH49" s="857">
        <f t="shared" si="48"/>
        <v>4.4368226591759569E-2</v>
      </c>
      <c r="BI49" s="136">
        <f t="shared" si="48"/>
        <v>4.9898720641573746E-2</v>
      </c>
      <c r="BJ49" s="136">
        <f t="shared" si="48"/>
        <v>4.9482359223911664E-2</v>
      </c>
      <c r="BK49" s="952">
        <f t="shared" si="48"/>
        <v>5.2099691009809768E-2</v>
      </c>
      <c r="BL49" s="375">
        <f t="shared" si="48"/>
        <v>4.8856176965550911E-2</v>
      </c>
      <c r="BM49" s="857">
        <f t="shared" si="48"/>
        <v>3.3692744879330369E-2</v>
      </c>
      <c r="BN49" s="136">
        <f t="shared" si="48"/>
        <v>3.2650118270194456E-2</v>
      </c>
      <c r="BO49" s="136">
        <f t="shared" si="48"/>
        <v>5.306727308348054E-2</v>
      </c>
      <c r="BP49" s="858">
        <f t="shared" si="48"/>
        <v>4.8472547116808831E-2</v>
      </c>
      <c r="BQ49" s="136">
        <f t="shared" si="48"/>
        <v>4.2259135842943059E-2</v>
      </c>
      <c r="BR49" s="857">
        <f t="shared" si="48"/>
        <v>4.2381006819297622E-2</v>
      </c>
      <c r="BS49" s="136">
        <f t="shared" si="48"/>
        <v>4.5711882745944829E-2</v>
      </c>
      <c r="BT49" s="136">
        <f t="shared" ref="BT49:CY49" si="49">BT48/BT15</f>
        <v>7.3043593249862468E-2</v>
      </c>
      <c r="BU49" s="858">
        <f t="shared" si="49"/>
        <v>7.0192513499367379E-2</v>
      </c>
      <c r="BV49" s="136">
        <f t="shared" si="49"/>
        <v>5.8093760188572041E-2</v>
      </c>
      <c r="BW49" s="857">
        <f t="shared" si="49"/>
        <v>2.705912570690815E-2</v>
      </c>
      <c r="BX49" s="136">
        <f t="shared" si="49"/>
        <v>4.9619412847733697E-2</v>
      </c>
      <c r="BY49" s="136">
        <f t="shared" si="49"/>
        <v>8.3840924441381567E-2</v>
      </c>
      <c r="BZ49" s="952">
        <f t="shared" si="49"/>
        <v>7.4299775538206381E-2</v>
      </c>
      <c r="CA49" s="375">
        <f t="shared" si="49"/>
        <v>5.7567681204452069E-2</v>
      </c>
      <c r="CB49" s="857">
        <f t="shared" si="49"/>
        <v>3.8089921993252195E-2</v>
      </c>
      <c r="CC49" s="136">
        <f t="shared" si="49"/>
        <v>8.735372507049366E-2</v>
      </c>
      <c r="CD49" s="136">
        <f t="shared" si="49"/>
        <v>9.9358636681059043E-2</v>
      </c>
      <c r="CE49" s="858">
        <f t="shared" si="49"/>
        <v>5.5462629197545937E-2</v>
      </c>
      <c r="CF49" s="136">
        <f t="shared" si="49"/>
        <v>7.1453188716126381E-2</v>
      </c>
      <c r="CG49" s="857">
        <f t="shared" si="49"/>
        <v>0.11604449180393916</v>
      </c>
      <c r="CH49" s="136">
        <f t="shared" si="49"/>
        <v>9.819491459425532E-2</v>
      </c>
      <c r="CI49" s="136">
        <f t="shared" si="49"/>
        <v>7.3045735715458665E-2</v>
      </c>
      <c r="CJ49" s="858">
        <f t="shared" si="49"/>
        <v>6.3279702328679521E-2</v>
      </c>
      <c r="CK49" s="136">
        <f t="shared" si="49"/>
        <v>8.7239419065193932E-2</v>
      </c>
      <c r="CL49" s="857">
        <f t="shared" si="49"/>
        <v>9.6564572457640135E-2</v>
      </c>
      <c r="CM49" s="136">
        <f t="shared" si="49"/>
        <v>0.1130037813731376</v>
      </c>
      <c r="CN49" s="136">
        <f t="shared" si="49"/>
        <v>0.11330316701666326</v>
      </c>
      <c r="CO49" s="858">
        <f t="shared" si="49"/>
        <v>0.1064385151842091</v>
      </c>
      <c r="CP49" s="136">
        <f t="shared" si="49"/>
        <v>0.10779570075331399</v>
      </c>
      <c r="CQ49" s="857">
        <f t="shared" si="49"/>
        <v>0.11019349243989457</v>
      </c>
      <c r="CR49" s="136">
        <f t="shared" si="49"/>
        <v>0.10496683673550229</v>
      </c>
      <c r="CS49" s="136">
        <f t="shared" si="49"/>
        <v>9.5869098780609452E-2</v>
      </c>
      <c r="CT49" s="858">
        <f t="shared" si="49"/>
        <v>8.1847861569830205E-2</v>
      </c>
      <c r="CU49" s="136">
        <f t="shared" si="49"/>
        <v>9.8528439082685521E-2</v>
      </c>
      <c r="CV49" s="857">
        <f t="shared" si="49"/>
        <v>9.4075434169398134E-2</v>
      </c>
      <c r="CW49" s="136">
        <f t="shared" si="49"/>
        <v>9.9659014264783408E-2</v>
      </c>
      <c r="CX49" s="136">
        <f t="shared" si="49"/>
        <v>9.3797192507292557E-2</v>
      </c>
      <c r="CY49" s="858">
        <f t="shared" si="49"/>
        <v>9.7273108925033838E-2</v>
      </c>
      <c r="CZ49" s="136">
        <f t="shared" ref="CZ49" si="50">CZ48/CZ15</f>
        <v>9.6193559975118526E-2</v>
      </c>
    </row>
    <row r="50" spans="1:104" ht="6.2" customHeight="1">
      <c r="A50" s="66"/>
      <c r="B50" s="66"/>
      <c r="C50" s="66"/>
      <c r="D50" s="66"/>
      <c r="E50" s="126"/>
      <c r="F50" s="126"/>
      <c r="G50" s="126"/>
      <c r="H50" s="126"/>
      <c r="I50" s="126"/>
      <c r="J50" s="20"/>
      <c r="K50" s="20"/>
      <c r="L50" s="20"/>
      <c r="M50" s="20"/>
      <c r="N50" s="20"/>
      <c r="O50" s="20"/>
      <c r="P50" s="20"/>
      <c r="Q50" s="20"/>
      <c r="R50" s="20"/>
      <c r="S50" s="20"/>
      <c r="T50" s="20"/>
      <c r="U50" s="20"/>
      <c r="V50" s="20"/>
      <c r="W50" s="20"/>
      <c r="X50" s="20"/>
      <c r="Y50" s="20"/>
      <c r="Z50" s="20"/>
      <c r="AA50" s="20"/>
      <c r="AB50" s="20"/>
      <c r="AC50" s="20"/>
      <c r="AD50" s="20"/>
      <c r="AE50" s="93"/>
      <c r="AF50" s="20"/>
      <c r="AG50" s="20"/>
      <c r="AH50" s="20"/>
      <c r="AI50" s="20"/>
      <c r="AJ50" s="20"/>
      <c r="AK50" s="20"/>
      <c r="AL50" s="20"/>
      <c r="AM50" s="20"/>
      <c r="AN50" s="20"/>
      <c r="AO50" s="20"/>
      <c r="AP50" s="20"/>
      <c r="AQ50" s="66"/>
      <c r="AR50" s="66"/>
      <c r="AS50" s="859"/>
      <c r="AT50" s="20"/>
      <c r="AU50" s="20"/>
      <c r="AV50" s="860"/>
      <c r="AW50" s="66"/>
      <c r="AX50" s="859"/>
      <c r="AY50" s="20"/>
      <c r="AZ50" s="20"/>
      <c r="BA50" s="860"/>
      <c r="BB50" s="66"/>
      <c r="BC50" s="859"/>
      <c r="BD50" s="20"/>
      <c r="BE50" s="20"/>
      <c r="BF50" s="954"/>
      <c r="BG50" s="362"/>
      <c r="BH50" s="859"/>
      <c r="BI50" s="20"/>
      <c r="BJ50" s="20"/>
      <c r="BK50" s="860"/>
      <c r="BL50" s="362"/>
      <c r="BM50" s="859"/>
      <c r="BN50" s="20"/>
      <c r="BO50" s="20"/>
      <c r="BP50" s="860"/>
      <c r="BQ50" s="66"/>
      <c r="BR50" s="859"/>
      <c r="BS50" s="20"/>
      <c r="BT50" s="20"/>
      <c r="BU50" s="860"/>
      <c r="BV50" s="66"/>
      <c r="BW50" s="859"/>
      <c r="BX50" s="20"/>
      <c r="BY50" s="20"/>
      <c r="BZ50" s="954"/>
      <c r="CA50" s="362"/>
      <c r="CB50" s="859"/>
      <c r="CC50" s="20"/>
      <c r="CD50" s="495"/>
      <c r="CE50" s="944"/>
      <c r="CF50" s="453"/>
      <c r="CG50" s="981"/>
      <c r="CH50" s="495"/>
      <c r="CI50" s="20"/>
      <c r="CJ50" s="944"/>
      <c r="CK50" s="453"/>
      <c r="CL50" s="859"/>
      <c r="CM50" s="20"/>
      <c r="CN50" s="20"/>
      <c r="CO50" s="860"/>
      <c r="CP50" s="66"/>
      <c r="CQ50" s="859"/>
      <c r="CR50" s="20"/>
      <c r="CS50" s="20"/>
      <c r="CT50" s="860"/>
      <c r="CU50" s="66"/>
      <c r="CV50" s="859"/>
      <c r="CW50" s="20"/>
      <c r="CX50" s="20"/>
      <c r="CY50" s="860"/>
      <c r="CZ50" s="66"/>
    </row>
    <row r="51" spans="1:104" ht="13.5" customHeight="1">
      <c r="A51" s="133"/>
      <c r="B51" s="66" t="s">
        <v>232</v>
      </c>
      <c r="C51" s="66"/>
      <c r="D51" s="133"/>
      <c r="E51" s="131"/>
      <c r="F51" s="131"/>
      <c r="G51" s="131"/>
      <c r="H51" s="131"/>
      <c r="I51" s="131"/>
      <c r="J51" s="107">
        <v>10.7</v>
      </c>
      <c r="K51" s="107">
        <f>29.859-12.4</f>
        <v>17.459000000000003</v>
      </c>
      <c r="L51" s="107">
        <v>20.413</v>
      </c>
      <c r="M51" s="107">
        <f>+N51-L51-K51-J51</f>
        <v>7.0009999999999941</v>
      </c>
      <c r="N51" s="107">
        <f>67.973-12.4</f>
        <v>55.573</v>
      </c>
      <c r="O51" s="107">
        <f>4.868-0.805299</f>
        <v>4.0627010000000006</v>
      </c>
      <c r="P51" s="107">
        <f>1.059+2.5</f>
        <v>3.5590000000000002</v>
      </c>
      <c r="Q51" s="107">
        <f>2.902-1.691982</f>
        <v>1.210018</v>
      </c>
      <c r="R51" s="107">
        <f>-4.733-1.544041</f>
        <v>-6.2770409999999996</v>
      </c>
      <c r="S51" s="107">
        <f>SUM(O51:R51)</f>
        <v>2.5546780000000018</v>
      </c>
      <c r="T51" s="107">
        <f>63.546-0.559</f>
        <v>62.987000000000002</v>
      </c>
      <c r="U51" s="107">
        <f>144.854+4.6</f>
        <v>149.45400000000001</v>
      </c>
      <c r="V51" s="107">
        <v>220</v>
      </c>
      <c r="W51" s="107">
        <v>181.39099999999999</v>
      </c>
      <c r="X51" s="107">
        <f>SUM(T51:W51)</f>
        <v>613.83199999999999</v>
      </c>
      <c r="Y51" s="107">
        <f>195.8-3.22</f>
        <v>192.58</v>
      </c>
      <c r="Z51" s="107">
        <v>176.72900000000001</v>
      </c>
      <c r="AA51" s="107">
        <v>154.791</v>
      </c>
      <c r="AB51" s="107">
        <f>AC51-Y51-Z51-AA51</f>
        <v>178.76399999999984</v>
      </c>
      <c r="AC51" s="107">
        <f>706.084-3.22</f>
        <v>702.86399999999992</v>
      </c>
      <c r="AD51" s="107">
        <v>209.1</v>
      </c>
      <c r="AE51" s="107">
        <v>241.97200000000001</v>
      </c>
      <c r="AF51" s="107">
        <v>277.93900000000002</v>
      </c>
      <c r="AG51" s="107">
        <v>207.126</v>
      </c>
      <c r="AH51" s="107">
        <f>SUM(AD51:AG51)</f>
        <v>936.13699999999994</v>
      </c>
      <c r="AI51" s="107">
        <v>208.63800000000001</v>
      </c>
      <c r="AJ51" s="107">
        <v>187.864</v>
      </c>
      <c r="AK51" s="107">
        <v>203.19900000000001</v>
      </c>
      <c r="AL51" s="107">
        <v>181.667</v>
      </c>
      <c r="AM51" s="107">
        <f>SUM(AI51:AL51)</f>
        <v>781.36800000000005</v>
      </c>
      <c r="AN51" s="107">
        <v>213.09299999999999</v>
      </c>
      <c r="AO51" s="107">
        <v>295.34800000000001</v>
      </c>
      <c r="AP51" s="107">
        <v>407.52499999999998</v>
      </c>
      <c r="AQ51" s="107">
        <f>43.514+53</f>
        <v>96.51400000000001</v>
      </c>
      <c r="AR51" s="107">
        <f>SUM(AN51:AQ51)</f>
        <v>1012.48</v>
      </c>
      <c r="AS51" s="1093">
        <f>-91.221</f>
        <v>-91.221000000000004</v>
      </c>
      <c r="AT51" s="518">
        <v>-72.989000000000004</v>
      </c>
      <c r="AU51" s="518">
        <v>-16.172999999999998</v>
      </c>
      <c r="AV51" s="1097">
        <v>3.5830000000000002</v>
      </c>
      <c r="AW51" s="563">
        <f>SUM(AS51:AV51)</f>
        <v>-176.8</v>
      </c>
      <c r="AX51" s="1093">
        <v>22.841999999999999</v>
      </c>
      <c r="AY51" s="518">
        <v>49.354999999999997</v>
      </c>
      <c r="AZ51" s="518">
        <v>7.9820000000000002</v>
      </c>
      <c r="BA51" s="1097">
        <f>-19.387+3.5</f>
        <v>-15.887</v>
      </c>
      <c r="BB51" s="563">
        <f>SUM(AX51:BA51)</f>
        <v>64.292000000000002</v>
      </c>
      <c r="BC51" s="1093">
        <v>85.132999999999996</v>
      </c>
      <c r="BD51" s="518">
        <f>155.709+0.2</f>
        <v>155.90899999999999</v>
      </c>
      <c r="BE51" s="518">
        <f>84.104</f>
        <v>84.103999999999999</v>
      </c>
      <c r="BF51" s="1164">
        <f>65.882-10</f>
        <v>55.882000000000005</v>
      </c>
      <c r="BG51" s="564">
        <f>SUM(BC51:BF51)</f>
        <v>381.02799999999996</v>
      </c>
      <c r="BH51" s="1093">
        <f>61.65+12.6</f>
        <v>74.25</v>
      </c>
      <c r="BI51" s="518">
        <f>76.626+2.975</f>
        <v>79.600999999999999</v>
      </c>
      <c r="BJ51" s="518">
        <f>61.883+8.46+5.28</f>
        <v>75.623000000000005</v>
      </c>
      <c r="BK51" s="1097">
        <f>59.655+4.2</f>
        <v>63.855000000000004</v>
      </c>
      <c r="BL51" s="564">
        <f>SUM(BH51:BK51)</f>
        <v>293.32900000000001</v>
      </c>
      <c r="BM51" s="1093">
        <v>42.6</v>
      </c>
      <c r="BN51" s="518">
        <v>46.061999999999998</v>
      </c>
      <c r="BO51" s="518">
        <f>70.087+4.9</f>
        <v>74.987000000000009</v>
      </c>
      <c r="BP51" s="1097">
        <f>46.845+21.3</f>
        <v>68.144999999999996</v>
      </c>
      <c r="BQ51" s="563">
        <f>SUM(BM51:BP51)</f>
        <v>231.79399999999998</v>
      </c>
      <c r="BR51" s="1093">
        <f>77.805-12.8+3.15</f>
        <v>68.155000000000015</v>
      </c>
      <c r="BS51" s="518">
        <v>74.930000000000007</v>
      </c>
      <c r="BT51" s="518">
        <f>129.784+4.4</f>
        <v>134.184</v>
      </c>
      <c r="BU51" s="1097">
        <v>106.268</v>
      </c>
      <c r="BV51" s="563">
        <f>SUM(BR51:BU51)</f>
        <v>383.53700000000003</v>
      </c>
      <c r="BW51" s="1093">
        <v>34.753</v>
      </c>
      <c r="BX51" s="518">
        <v>56.878</v>
      </c>
      <c r="BY51" s="518">
        <v>86.534999999999997</v>
      </c>
      <c r="BZ51" s="1164">
        <f>34.988+30.393</f>
        <v>65.381</v>
      </c>
      <c r="CA51" s="564">
        <f>SUM(BW51:BZ51)</f>
        <v>243.547</v>
      </c>
      <c r="CB51" s="1093">
        <v>37.064999999999998</v>
      </c>
      <c r="CC51" s="518">
        <v>112.548</v>
      </c>
      <c r="CD51" s="518">
        <v>131.78800000000001</v>
      </c>
      <c r="CE51" s="1097">
        <f>79.855+(-77.6+42)*0.35</f>
        <v>67.39500000000001</v>
      </c>
      <c r="CF51" s="563">
        <f>SUM(CB51:CE51)</f>
        <v>348.79600000000005</v>
      </c>
      <c r="CG51" s="1093">
        <f>171.327+(9.8*0.31)</f>
        <v>174.36500000000001</v>
      </c>
      <c r="CH51" s="518">
        <v>166.41200000000001</v>
      </c>
      <c r="CI51" s="518">
        <v>111.1</v>
      </c>
      <c r="CJ51" s="1097">
        <f>-72.853+175.2</f>
        <v>102.34699999999999</v>
      </c>
      <c r="CK51" s="563">
        <f>SUM(CG51:CJ51)</f>
        <v>554.22400000000005</v>
      </c>
      <c r="CL51" s="1093">
        <v>135.80000000000001</v>
      </c>
      <c r="CM51" s="563">
        <f>CM48*CM52</f>
        <v>178.9412611328174</v>
      </c>
      <c r="CN51" s="563">
        <f>CN48*CN52</f>
        <v>183.21548101907396</v>
      </c>
      <c r="CO51" s="1068">
        <f>CO48*CO52</f>
        <v>168.08668476146048</v>
      </c>
      <c r="CP51" s="563">
        <f>SUM(CL51:CO51)</f>
        <v>666.04342691335182</v>
      </c>
      <c r="CQ51" s="1067">
        <f>CQ48*CQ52</f>
        <v>183.34390779414028</v>
      </c>
      <c r="CR51" s="563">
        <f>CR48*CR52</f>
        <v>172.41778352104706</v>
      </c>
      <c r="CS51" s="563">
        <f>CS48*CS52</f>
        <v>154.13078982226148</v>
      </c>
      <c r="CT51" s="1068">
        <f>CT48*CT52</f>
        <v>126.14794275705714</v>
      </c>
      <c r="CU51" s="563">
        <f>SUM(CQ51:CT51)</f>
        <v>636.04042389450592</v>
      </c>
      <c r="CV51" s="1067">
        <f>CV48*CV52</f>
        <v>152.53532504448222</v>
      </c>
      <c r="CW51" s="563">
        <f>CW48*CW52</f>
        <v>159.00888714646646</v>
      </c>
      <c r="CX51" s="563">
        <f>CX48*CX52</f>
        <v>146.47930186196371</v>
      </c>
      <c r="CY51" s="1068">
        <f>CY48*CY52</f>
        <v>148.44289373343415</v>
      </c>
      <c r="CZ51" s="563">
        <f>SUM(CV51:CY51)</f>
        <v>606.46640778634651</v>
      </c>
    </row>
    <row r="52" spans="1:104" ht="13.5" customHeight="1">
      <c r="A52" s="72"/>
      <c r="B52" s="72" t="s">
        <v>233</v>
      </c>
      <c r="C52" s="72"/>
      <c r="D52" s="72"/>
      <c r="E52" s="286"/>
      <c r="F52" s="286"/>
      <c r="G52" s="286"/>
      <c r="H52" s="286"/>
      <c r="I52" s="286"/>
      <c r="J52" s="287">
        <v>0.31</v>
      </c>
      <c r="K52" s="287">
        <v>0.30249999999999999</v>
      </c>
      <c r="L52" s="287">
        <v>0.32250000000000001</v>
      </c>
      <c r="M52" s="287">
        <v>0.26250000000000001</v>
      </c>
      <c r="N52" s="286">
        <f t="shared" ref="N52:AG52" si="51">N51/N48</f>
        <v>0.27765257495621543</v>
      </c>
      <c r="O52" s="287">
        <f t="shared" si="51"/>
        <v>0.19965207954197431</v>
      </c>
      <c r="P52" s="287">
        <f t="shared" si="51"/>
        <v>0.21331699840986237</v>
      </c>
      <c r="Q52" s="287">
        <f t="shared" si="51"/>
        <v>8.5880558953465511E-2</v>
      </c>
      <c r="R52" s="287">
        <f t="shared" si="51"/>
        <v>-0.55022909261442565</v>
      </c>
      <c r="S52" s="286">
        <f t="shared" si="51"/>
        <v>4.0854852654594431E-2</v>
      </c>
      <c r="T52" s="287">
        <f t="shared" si="51"/>
        <v>0.3595394661734822</v>
      </c>
      <c r="U52" s="287">
        <f t="shared" si="51"/>
        <v>0.36497059800339926</v>
      </c>
      <c r="V52" s="287">
        <f t="shared" si="51"/>
        <v>0.34624567389638128</v>
      </c>
      <c r="W52" s="287">
        <f t="shared" si="51"/>
        <v>0.34695462396400978</v>
      </c>
      <c r="X52" s="286">
        <f t="shared" si="51"/>
        <v>0.35219406958597271</v>
      </c>
      <c r="Y52" s="287">
        <f t="shared" si="51"/>
        <v>0.35579548687706236</v>
      </c>
      <c r="Z52" s="287">
        <f t="shared" si="51"/>
        <v>0.35385715086617703</v>
      </c>
      <c r="AA52" s="287">
        <f t="shared" si="51"/>
        <v>0.34654598045975976</v>
      </c>
      <c r="AB52" s="287">
        <f t="shared" si="51"/>
        <v>0.34391051908626014</v>
      </c>
      <c r="AC52" s="286">
        <f t="shared" si="51"/>
        <v>0.35017696575473495</v>
      </c>
      <c r="AD52" s="287">
        <f t="shared" si="51"/>
        <v>0.35545446663980784</v>
      </c>
      <c r="AE52" s="287">
        <f t="shared" si="51"/>
        <v>0.34828392742765435</v>
      </c>
      <c r="AF52" s="287">
        <f t="shared" si="51"/>
        <v>0.34938159712488864</v>
      </c>
      <c r="AG52" s="287">
        <f t="shared" si="51"/>
        <v>0.33663424266803199</v>
      </c>
      <c r="AH52" s="286">
        <v>0.35</v>
      </c>
      <c r="AI52" s="287">
        <f>AI51/AI48</f>
        <v>0.35382342915577775</v>
      </c>
      <c r="AJ52" s="287">
        <f>AJ51/AJ48</f>
        <v>0.35265452006142128</v>
      </c>
      <c r="AK52" s="287">
        <f>AK51/AK48</f>
        <v>0.34769284471297279</v>
      </c>
      <c r="AL52" s="287">
        <f>AL51/AL48</f>
        <v>0.33241112288271274</v>
      </c>
      <c r="AM52" s="287">
        <f>AM51/AM48</f>
        <v>0.3467637680484088</v>
      </c>
      <c r="AN52" s="287">
        <f t="shared" ref="AN52:BE52" si="52">AN51/AN48</f>
        <v>0.34212736033086766</v>
      </c>
      <c r="AO52" s="287">
        <f t="shared" si="52"/>
        <v>0.33711599790891916</v>
      </c>
      <c r="AP52" s="287">
        <f t="shared" si="52"/>
        <v>0.35681608244353669</v>
      </c>
      <c r="AQ52" s="287">
        <f t="shared" si="52"/>
        <v>0.32497499907403982</v>
      </c>
      <c r="AR52" s="287">
        <f t="shared" si="52"/>
        <v>0.34460916804427966</v>
      </c>
      <c r="AS52" s="1098">
        <f t="shared" si="52"/>
        <v>0.32377034634032076</v>
      </c>
      <c r="AT52" s="287">
        <f t="shared" si="52"/>
        <v>0.36356708076390482</v>
      </c>
      <c r="AU52" s="287">
        <f t="shared" si="52"/>
        <v>0.75279277601936312</v>
      </c>
      <c r="AV52" s="1099">
        <f t="shared" si="52"/>
        <v>3.9806688145761583E-2</v>
      </c>
      <c r="AW52" s="287">
        <f t="shared" si="52"/>
        <v>0.42707583494775087</v>
      </c>
      <c r="AX52" s="1098">
        <f t="shared" si="52"/>
        <v>0.35670560309825722</v>
      </c>
      <c r="AY52" s="287">
        <f t="shared" si="52"/>
        <v>0.31724656592082168</v>
      </c>
      <c r="AZ52" s="287">
        <f t="shared" si="52"/>
        <v>0.1376064545047064</v>
      </c>
      <c r="BA52" s="1099">
        <f t="shared" si="52"/>
        <v>31.774000000000001</v>
      </c>
      <c r="BB52" s="287">
        <f t="shared" si="52"/>
        <v>0.23200476336538972</v>
      </c>
      <c r="BC52" s="1098">
        <f t="shared" si="52"/>
        <v>0.31974235225629566</v>
      </c>
      <c r="BD52" s="287">
        <f t="shared" si="52"/>
        <v>0.32665670759941079</v>
      </c>
      <c r="BE52" s="287">
        <f t="shared" si="52"/>
        <v>0.29591682353148147</v>
      </c>
      <c r="BF52" s="1165">
        <v>0.35</v>
      </c>
      <c r="BG52" s="395">
        <f t="shared" ref="BG52:CJ52" si="53">BG51/BG48</f>
        <v>0.31159982074104597</v>
      </c>
      <c r="BH52" s="1098">
        <f t="shared" si="53"/>
        <v>0.32990909171694904</v>
      </c>
      <c r="BI52" s="287">
        <f t="shared" si="53"/>
        <v>0.31253705441453039</v>
      </c>
      <c r="BJ52" s="287">
        <f t="shared" si="53"/>
        <v>0.31831211196464271</v>
      </c>
      <c r="BK52" s="1099">
        <f t="shared" si="53"/>
        <v>0.27534388340304433</v>
      </c>
      <c r="BL52" s="395">
        <f t="shared" si="53"/>
        <v>0.30901458008512067</v>
      </c>
      <c r="BM52" s="1098">
        <f t="shared" si="53"/>
        <v>0.27783575080872375</v>
      </c>
      <c r="BN52" s="287">
        <f t="shared" si="53"/>
        <v>0.30237901425833047</v>
      </c>
      <c r="BO52" s="287">
        <f t="shared" si="53"/>
        <v>0.28598942799826094</v>
      </c>
      <c r="BP52" s="1099">
        <f t="shared" si="53"/>
        <v>0.2872153451262533</v>
      </c>
      <c r="BQ52" s="287">
        <f t="shared" si="53"/>
        <v>0.28789886762643724</v>
      </c>
      <c r="BR52" s="1098">
        <f t="shared" si="53"/>
        <v>0.31480224109819355</v>
      </c>
      <c r="BS52" s="287">
        <f t="shared" si="53"/>
        <v>0.3098009220019432</v>
      </c>
      <c r="BT52" s="287">
        <f t="shared" si="53"/>
        <v>0.32218207138312305</v>
      </c>
      <c r="BU52" s="1099">
        <f t="shared" si="53"/>
        <v>0.30256302209973068</v>
      </c>
      <c r="BV52" s="287">
        <f t="shared" si="53"/>
        <v>0.31281640549492412</v>
      </c>
      <c r="BW52" s="1098">
        <f t="shared" si="53"/>
        <v>0.29193162249569493</v>
      </c>
      <c r="BX52" s="287">
        <f t="shared" si="53"/>
        <v>0.26305371331316885</v>
      </c>
      <c r="BY52" s="287">
        <f t="shared" si="53"/>
        <v>0.24426216088813363</v>
      </c>
      <c r="BZ52" s="1099">
        <f t="shared" si="53"/>
        <v>0.25456619671148173</v>
      </c>
      <c r="CA52" s="395">
        <f t="shared" si="53"/>
        <v>0.25734833379298389</v>
      </c>
      <c r="CB52" s="1098">
        <f t="shared" si="53"/>
        <v>0.26189534078543869</v>
      </c>
      <c r="CC52" s="287">
        <f t="shared" si="53"/>
        <v>0.303458763386935</v>
      </c>
      <c r="CD52" s="287">
        <f t="shared" si="53"/>
        <v>0.30916410179415965</v>
      </c>
      <c r="CE52" s="1099">
        <f t="shared" si="53"/>
        <v>0.3071226759022968</v>
      </c>
      <c r="CF52" s="287">
        <f t="shared" si="53"/>
        <v>0.30117379688841078</v>
      </c>
      <c r="CG52" s="1098">
        <f t="shared" si="53"/>
        <v>0.31204867791150287</v>
      </c>
      <c r="CH52" s="287">
        <f t="shared" si="53"/>
        <v>0.3274950013382244</v>
      </c>
      <c r="CI52" s="287">
        <f t="shared" si="53"/>
        <v>0.29418384504375683</v>
      </c>
      <c r="CJ52" s="1099">
        <f t="shared" si="53"/>
        <v>0.31761011168659481</v>
      </c>
      <c r="CK52" s="287">
        <f>CK51/CK48</f>
        <v>0.31368678072930434</v>
      </c>
      <c r="CL52" s="1098">
        <f t="shared" ref="CL52" si="54">CL51/CL48</f>
        <v>0.25255155176005001</v>
      </c>
      <c r="CM52" s="786">
        <v>0.24</v>
      </c>
      <c r="CN52" s="786">
        <v>0.24</v>
      </c>
      <c r="CO52" s="1212">
        <v>0.24</v>
      </c>
      <c r="CP52" s="287">
        <f>CP51/CP48</f>
        <v>0.24245685239962622</v>
      </c>
      <c r="CQ52" s="1219">
        <v>0.24</v>
      </c>
      <c r="CR52" s="786">
        <v>0.24</v>
      </c>
      <c r="CS52" s="786">
        <v>0.24</v>
      </c>
      <c r="CT52" s="1212">
        <v>0.24</v>
      </c>
      <c r="CU52" s="287">
        <f>CU51/CU48</f>
        <v>0.24000000000000002</v>
      </c>
      <c r="CV52" s="1219">
        <v>0.24</v>
      </c>
      <c r="CW52" s="786">
        <v>0.24</v>
      </c>
      <c r="CX52" s="786">
        <v>0.24</v>
      </c>
      <c r="CY52" s="1212">
        <v>0.24</v>
      </c>
      <c r="CZ52" s="287">
        <f>CZ51/CZ48</f>
        <v>0.24</v>
      </c>
    </row>
    <row r="53" spans="1:104" ht="13.5" customHeight="1" outlineLevel="1">
      <c r="A53" s="69"/>
      <c r="B53" s="69"/>
      <c r="C53" s="69" t="s">
        <v>482</v>
      </c>
      <c r="D53" s="69"/>
      <c r="E53" s="163"/>
      <c r="F53" s="163"/>
      <c r="G53" s="163"/>
      <c r="H53" s="163"/>
      <c r="I53" s="163"/>
      <c r="J53" s="163"/>
      <c r="K53" s="163"/>
      <c r="L53" s="163"/>
      <c r="M53" s="163"/>
      <c r="N53" s="163"/>
      <c r="O53" s="163">
        <v>0.215</v>
      </c>
      <c r="P53" s="163">
        <v>0.115</v>
      </c>
      <c r="Q53" s="163">
        <v>0.153</v>
      </c>
      <c r="R53" s="163">
        <f>S53*4-O53-P53-Q53</f>
        <v>-0.23820000000000002</v>
      </c>
      <c r="S53" s="163">
        <v>6.1199999999999997E-2</v>
      </c>
      <c r="T53" s="163">
        <v>0.35899999999999999</v>
      </c>
      <c r="U53" s="163">
        <v>0.36599999999999999</v>
      </c>
      <c r="V53" s="163">
        <v>0.34599999999999997</v>
      </c>
      <c r="W53" s="163">
        <f>X53*4-T53-U53-V53</f>
        <v>0.3378000000000001</v>
      </c>
      <c r="X53" s="163">
        <v>0.35220000000000001</v>
      </c>
      <c r="Y53" s="163">
        <v>0.35599999999999998</v>
      </c>
      <c r="Z53" s="163">
        <v>0.35399999999999998</v>
      </c>
      <c r="AA53" s="163">
        <v>0.34699999999999998</v>
      </c>
      <c r="AB53" s="163">
        <f>AC53*4-Y53-Z53-AA53</f>
        <v>0.34379999999999999</v>
      </c>
      <c r="AC53" s="163">
        <v>0.35020000000000001</v>
      </c>
      <c r="AD53" s="163">
        <v>0.35020000000000001</v>
      </c>
      <c r="AE53" s="163">
        <v>0.34799999999999998</v>
      </c>
      <c r="AF53" s="163">
        <v>0.34899999999999998</v>
      </c>
      <c r="AG53" s="163">
        <f>AG52</f>
        <v>0.33663424266803199</v>
      </c>
      <c r="AH53" s="163">
        <v>0.35020000000000001</v>
      </c>
      <c r="AI53" s="163">
        <f>AI52</f>
        <v>0.35382342915577775</v>
      </c>
      <c r="AJ53" s="163">
        <f>AJ52</f>
        <v>0.35265452006142128</v>
      </c>
      <c r="AK53" s="163">
        <f>AK52</f>
        <v>0.34769284471297279</v>
      </c>
      <c r="AL53" s="163">
        <f>AL52</f>
        <v>0.33241112288271274</v>
      </c>
      <c r="AM53" s="163">
        <v>0.35020000000000001</v>
      </c>
      <c r="AN53" s="163">
        <f>AN52</f>
        <v>0.34212736033086766</v>
      </c>
      <c r="AO53" s="163">
        <f>AO52</f>
        <v>0.33711599790891916</v>
      </c>
      <c r="AP53" s="163">
        <f>AP52</f>
        <v>0.35681608244353669</v>
      </c>
      <c r="AQ53" s="163">
        <f>AQ52</f>
        <v>0.32497499907403982</v>
      </c>
      <c r="AR53" s="163">
        <v>0.35020000000000001</v>
      </c>
      <c r="AS53" s="1100">
        <f>AS52</f>
        <v>0.32377034634032076</v>
      </c>
      <c r="AT53" s="575">
        <f>AT52</f>
        <v>0.36356708076390482</v>
      </c>
      <c r="AU53" s="575">
        <f>AU52</f>
        <v>0.75279277601936312</v>
      </c>
      <c r="AV53" s="1101">
        <f>AV52</f>
        <v>3.9806688145761583E-2</v>
      </c>
      <c r="AW53" s="519">
        <v>0.35020000000000001</v>
      </c>
      <c r="AX53" s="1100">
        <f>AX52</f>
        <v>0.35670560309825722</v>
      </c>
      <c r="AY53" s="575">
        <f>AY52</f>
        <v>0.31724656592082168</v>
      </c>
      <c r="AZ53" s="575">
        <f>AZ52</f>
        <v>0.1376064545047064</v>
      </c>
      <c r="BA53" s="1101">
        <f>BA52</f>
        <v>31.774000000000001</v>
      </c>
      <c r="BB53" s="519">
        <v>0.35020000000000001</v>
      </c>
      <c r="BC53" s="1100">
        <f>BC52</f>
        <v>0.31974235225629566</v>
      </c>
      <c r="BD53" s="575">
        <f>BD52</f>
        <v>0.32665670759941079</v>
      </c>
      <c r="BE53" s="575">
        <f>BE52</f>
        <v>0.29591682353148147</v>
      </c>
      <c r="BF53" s="1101">
        <f>BF52</f>
        <v>0.35</v>
      </c>
      <c r="BG53" s="560">
        <v>0.35020000000000001</v>
      </c>
      <c r="BH53" s="1100">
        <f>BH52</f>
        <v>0.32990909171694904</v>
      </c>
      <c r="BI53" s="519">
        <f>76.626/216.193</f>
        <v>0.35443330727636879</v>
      </c>
      <c r="BJ53" s="519">
        <f>61.883/191.775</f>
        <v>0.32268543866510235</v>
      </c>
      <c r="BK53" s="1101">
        <f>BK52</f>
        <v>0.27534388340304433</v>
      </c>
      <c r="BL53" s="560">
        <v>0.35020000000000001</v>
      </c>
      <c r="BM53" s="1100">
        <f>BM52</f>
        <v>0.27783575080872375</v>
      </c>
      <c r="BN53" s="519">
        <f>46.062/152.332</f>
        <v>0.30237901425833047</v>
      </c>
      <c r="BO53" s="519">
        <f>70.087/248.202</f>
        <v>0.28237886882458646</v>
      </c>
      <c r="BP53" s="1193">
        <f>46.845/237.261</f>
        <v>0.19744079305069101</v>
      </c>
      <c r="BQ53" s="575">
        <f>BQ52</f>
        <v>0.28789886762643724</v>
      </c>
      <c r="BR53" s="1200">
        <f>77.805/207.501</f>
        <v>0.37496204837567049</v>
      </c>
      <c r="BS53" s="519">
        <f>74.93/241.865</f>
        <v>0.30980092200194326</v>
      </c>
      <c r="BT53" s="519">
        <f>129.784/403.985</f>
        <v>0.32125945270245182</v>
      </c>
      <c r="BU53" s="1193">
        <f>106.268/351.226</f>
        <v>0.30256302209973068</v>
      </c>
      <c r="BV53" s="575">
        <f t="shared" ref="BV53:CZ53" si="55">BV52</f>
        <v>0.31281640549492412</v>
      </c>
      <c r="BW53" s="1205">
        <f t="shared" si="55"/>
        <v>0.29193162249569493</v>
      </c>
      <c r="BX53" s="576">
        <f t="shared" si="55"/>
        <v>0.26305371331316885</v>
      </c>
      <c r="BY53" s="576">
        <f t="shared" si="55"/>
        <v>0.24426216088813363</v>
      </c>
      <c r="BZ53" s="1206">
        <f t="shared" si="55"/>
        <v>0.25456619671148173</v>
      </c>
      <c r="CA53" s="576">
        <f t="shared" si="55"/>
        <v>0.25734833379298389</v>
      </c>
      <c r="CB53" s="1205">
        <f t="shared" si="55"/>
        <v>0.26189534078543869</v>
      </c>
      <c r="CC53" s="575">
        <f t="shared" si="55"/>
        <v>0.303458763386935</v>
      </c>
      <c r="CD53" s="575">
        <f t="shared" si="55"/>
        <v>0.30916410179415965</v>
      </c>
      <c r="CE53" s="1101">
        <f t="shared" si="55"/>
        <v>0.3071226759022968</v>
      </c>
      <c r="CF53" s="575">
        <f t="shared" si="55"/>
        <v>0.30117379688841078</v>
      </c>
      <c r="CG53" s="1100">
        <f t="shared" si="55"/>
        <v>0.31204867791150287</v>
      </c>
      <c r="CH53" s="575">
        <f t="shared" si="55"/>
        <v>0.3274950013382244</v>
      </c>
      <c r="CI53" s="575">
        <f t="shared" si="55"/>
        <v>0.29418384504375683</v>
      </c>
      <c r="CJ53" s="1101">
        <f t="shared" si="55"/>
        <v>0.31761011168659481</v>
      </c>
      <c r="CK53" s="575">
        <f t="shared" si="55"/>
        <v>0.31368678072930434</v>
      </c>
      <c r="CL53" s="1100">
        <f t="shared" ref="CL53" si="56">CL52</f>
        <v>0.25255155176005001</v>
      </c>
      <c r="CM53" s="575">
        <f t="shared" si="55"/>
        <v>0.24</v>
      </c>
      <c r="CN53" s="575">
        <f t="shared" si="55"/>
        <v>0.24</v>
      </c>
      <c r="CO53" s="1101">
        <f t="shared" si="55"/>
        <v>0.24</v>
      </c>
      <c r="CP53" s="575">
        <f t="shared" si="55"/>
        <v>0.24245685239962622</v>
      </c>
      <c r="CQ53" s="1100">
        <f t="shared" si="55"/>
        <v>0.24</v>
      </c>
      <c r="CR53" s="575">
        <f t="shared" si="55"/>
        <v>0.24</v>
      </c>
      <c r="CS53" s="575">
        <f t="shared" si="55"/>
        <v>0.24</v>
      </c>
      <c r="CT53" s="1101">
        <f t="shared" si="55"/>
        <v>0.24</v>
      </c>
      <c r="CU53" s="575">
        <f t="shared" si="55"/>
        <v>0.24000000000000002</v>
      </c>
      <c r="CV53" s="1100">
        <f t="shared" si="55"/>
        <v>0.24</v>
      </c>
      <c r="CW53" s="575">
        <f t="shared" si="55"/>
        <v>0.24</v>
      </c>
      <c r="CX53" s="575">
        <f t="shared" si="55"/>
        <v>0.24</v>
      </c>
      <c r="CY53" s="1101">
        <f t="shared" si="55"/>
        <v>0.24</v>
      </c>
      <c r="CZ53" s="575">
        <f t="shared" si="55"/>
        <v>0.24</v>
      </c>
    </row>
    <row r="54" spans="1:104" ht="6.2" customHeight="1">
      <c r="A54" s="66"/>
      <c r="B54" s="66"/>
      <c r="C54" s="66"/>
      <c r="D54" s="66"/>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93"/>
      <c r="AF54" s="20"/>
      <c r="AG54" s="20"/>
      <c r="AH54" s="20"/>
      <c r="AI54" s="20"/>
      <c r="AJ54" s="20"/>
      <c r="AK54" s="20"/>
      <c r="AL54" s="20"/>
      <c r="AM54" s="20"/>
      <c r="AN54" s="20"/>
      <c r="AO54" s="20"/>
      <c r="AP54" s="20"/>
      <c r="AQ54" s="20"/>
      <c r="AR54" s="93"/>
      <c r="AS54" s="859"/>
      <c r="AT54" s="20"/>
      <c r="AU54" s="20"/>
      <c r="AV54" s="860"/>
      <c r="AW54" s="20"/>
      <c r="AX54" s="1110"/>
      <c r="AY54" s="291"/>
      <c r="AZ54" s="291"/>
      <c r="BA54" s="1144"/>
      <c r="BB54" s="20"/>
      <c r="BC54" s="1166"/>
      <c r="BD54" s="291"/>
      <c r="BE54" s="291"/>
      <c r="BF54" s="954"/>
      <c r="BG54" s="393"/>
      <c r="BH54" s="859"/>
      <c r="BI54" s="291"/>
      <c r="BJ54" s="291"/>
      <c r="BK54" s="1144"/>
      <c r="BL54" s="93"/>
      <c r="BM54" s="1166"/>
      <c r="BN54" s="291"/>
      <c r="BO54" s="291"/>
      <c r="BP54" s="1144"/>
      <c r="BQ54" s="93"/>
      <c r="BR54" s="1166"/>
      <c r="BS54" s="291"/>
      <c r="BT54" s="291"/>
      <c r="BU54" s="1144"/>
      <c r="BV54" s="93"/>
      <c r="BW54" s="1166"/>
      <c r="BX54" s="291"/>
      <c r="BY54" s="291"/>
      <c r="BZ54" s="1207"/>
      <c r="CA54" s="393"/>
      <c r="CB54" s="1166"/>
      <c r="CC54" s="291"/>
      <c r="CD54" s="291"/>
      <c r="CE54" s="1144"/>
      <c r="CF54" s="574"/>
      <c r="CG54" s="1166"/>
      <c r="CH54" s="291"/>
      <c r="CI54" s="291"/>
      <c r="CJ54" s="1144"/>
      <c r="CK54" s="574"/>
      <c r="CL54" s="1166"/>
      <c r="CM54" s="291"/>
      <c r="CN54" s="291"/>
      <c r="CO54" s="1144"/>
      <c r="CP54" s="93"/>
      <c r="CQ54" s="1166"/>
      <c r="CR54" s="291"/>
      <c r="CS54" s="291"/>
      <c r="CT54" s="1144"/>
      <c r="CU54" s="93"/>
      <c r="CV54" s="1166"/>
      <c r="CW54" s="291"/>
      <c r="CX54" s="291"/>
      <c r="CY54" s="1144"/>
      <c r="CZ54" s="93"/>
    </row>
    <row r="55" spans="1:104" ht="13.5" customHeight="1">
      <c r="A55" s="130"/>
      <c r="B55" s="453" t="s">
        <v>684</v>
      </c>
      <c r="C55" s="66"/>
      <c r="D55" s="133"/>
      <c r="E55" s="131"/>
      <c r="F55" s="131"/>
      <c r="G55" s="131"/>
      <c r="H55" s="131"/>
      <c r="I55" s="131"/>
      <c r="J55" s="93"/>
      <c r="K55" s="93"/>
      <c r="L55" s="93"/>
      <c r="M55" s="93"/>
      <c r="N55" s="107"/>
      <c r="O55" s="93"/>
      <c r="P55" s="93"/>
      <c r="Q55" s="93"/>
      <c r="R55" s="93"/>
      <c r="S55" s="107"/>
      <c r="T55" s="93"/>
      <c r="U55" s="93"/>
      <c r="V55" s="93"/>
      <c r="W55" s="93"/>
      <c r="X55" s="107"/>
      <c r="Y55" s="93"/>
      <c r="Z55" s="93"/>
      <c r="AA55" s="93"/>
      <c r="AB55" s="93"/>
      <c r="AC55" s="107"/>
      <c r="AD55" s="93"/>
      <c r="AE55" s="93"/>
      <c r="AF55" s="93"/>
      <c r="AG55" s="93"/>
      <c r="AH55" s="107"/>
      <c r="AI55" s="92"/>
      <c r="AJ55" s="92"/>
      <c r="AK55" s="92"/>
      <c r="AL55" s="92"/>
      <c r="AM55" s="107"/>
      <c r="AN55" s="92"/>
      <c r="AO55" s="92"/>
      <c r="AP55" s="92"/>
      <c r="AQ55" s="92"/>
      <c r="AR55" s="128"/>
      <c r="AS55" s="1102">
        <v>-0.88</v>
      </c>
      <c r="AT55" s="523">
        <v>5.5679999999999996</v>
      </c>
      <c r="AU55" s="523">
        <v>24.227</v>
      </c>
      <c r="AV55" s="1103">
        <v>27.52</v>
      </c>
      <c r="AW55" s="555">
        <f>SUM(AS55:AV55)</f>
        <v>56.435000000000002</v>
      </c>
      <c r="AX55" s="1102">
        <v>10.23</v>
      </c>
      <c r="AY55" s="523">
        <v>15.226000000000001</v>
      </c>
      <c r="AZ55" s="523">
        <v>26.529</v>
      </c>
      <c r="BA55" s="1103">
        <v>20.245999999999999</v>
      </c>
      <c r="BB55" s="555">
        <f>SUM(AX55:BA55)</f>
        <v>72.230999999999995</v>
      </c>
      <c r="BC55" s="1102">
        <v>21.280999999999999</v>
      </c>
      <c r="BD55" s="523">
        <v>21.805</v>
      </c>
      <c r="BE55" s="523">
        <v>18.593</v>
      </c>
      <c r="BF55" s="1167">
        <f>21.117+7</f>
        <v>28.117000000000001</v>
      </c>
      <c r="BG55" s="556">
        <f>SUM(BC55:BF55)</f>
        <v>89.796000000000006</v>
      </c>
      <c r="BH55" s="1102">
        <v>18.308</v>
      </c>
      <c r="BI55" s="523">
        <v>27.268000000000001</v>
      </c>
      <c r="BJ55" s="523">
        <v>19.584</v>
      </c>
      <c r="BK55" s="1103">
        <v>23.347000000000001</v>
      </c>
      <c r="BL55" s="555">
        <f>SUM(BH55:BK55)</f>
        <v>88.507000000000005</v>
      </c>
      <c r="BM55" s="1102">
        <v>25.939</v>
      </c>
      <c r="BN55" s="523">
        <v>21.125</v>
      </c>
      <c r="BO55" s="523">
        <v>30.518000000000001</v>
      </c>
      <c r="BP55" s="1103">
        <v>19.922000000000001</v>
      </c>
      <c r="BQ55" s="555">
        <f>SUM(BM55:BP55)</f>
        <v>97.503999999999991</v>
      </c>
      <c r="BR55" s="1102">
        <v>18.664999999999999</v>
      </c>
      <c r="BS55" s="523">
        <v>19.893999999999998</v>
      </c>
      <c r="BT55" s="523">
        <v>28.754000000000001</v>
      </c>
      <c r="BU55" s="1103">
        <v>34.530999999999999</v>
      </c>
      <c r="BV55" s="555">
        <f>SUM(BR55:BU55)</f>
        <v>101.84399999999999</v>
      </c>
      <c r="BW55" s="1102">
        <v>16.492000000000001</v>
      </c>
      <c r="BX55" s="523">
        <v>34.588999999999999</v>
      </c>
      <c r="BY55" s="523">
        <v>40.61</v>
      </c>
      <c r="BZ55" s="1167">
        <v>46.734000000000002</v>
      </c>
      <c r="CA55" s="556">
        <f>SUM(BW55:BZ55)</f>
        <v>138.42500000000001</v>
      </c>
      <c r="CB55" s="1102">
        <v>33.707000000000001</v>
      </c>
      <c r="CC55" s="523">
        <v>24.564</v>
      </c>
      <c r="CD55" s="523">
        <v>24.448</v>
      </c>
      <c r="CE55" s="1103">
        <v>15.545999999999999</v>
      </c>
      <c r="CF55" s="555">
        <f>SUM(CB55:CE55)</f>
        <v>98.264999999999986</v>
      </c>
      <c r="CG55" s="1102">
        <v>20.748999999999999</v>
      </c>
      <c r="CH55" s="523">
        <v>18.675999999999998</v>
      </c>
      <c r="CI55" s="523">
        <v>11.255000000000001</v>
      </c>
      <c r="CJ55" s="1103">
        <v>11.202999999999999</v>
      </c>
      <c r="CK55" s="555">
        <f>SUM(CG55:CJ55)</f>
        <v>61.882999999999996</v>
      </c>
      <c r="CL55" s="1102">
        <v>25.933</v>
      </c>
      <c r="CM55" s="797">
        <v>25</v>
      </c>
      <c r="CN55" s="797">
        <v>23</v>
      </c>
      <c r="CO55" s="1029">
        <v>22</v>
      </c>
      <c r="CP55" s="555">
        <f>SUM(CL55:CO55)</f>
        <v>95.932999999999993</v>
      </c>
      <c r="CQ55" s="1028">
        <v>22</v>
      </c>
      <c r="CR55" s="797">
        <v>22</v>
      </c>
      <c r="CS55" s="797">
        <v>22</v>
      </c>
      <c r="CT55" s="1029">
        <v>22</v>
      </c>
      <c r="CU55" s="555">
        <f>SUM(CQ55:CT55)</f>
        <v>88</v>
      </c>
      <c r="CV55" s="1028">
        <v>22</v>
      </c>
      <c r="CW55" s="797">
        <v>24</v>
      </c>
      <c r="CX55" s="797">
        <v>20</v>
      </c>
      <c r="CY55" s="1029">
        <v>20</v>
      </c>
      <c r="CZ55" s="555">
        <f>SUM(CV55:CY55)</f>
        <v>86</v>
      </c>
    </row>
    <row r="56" spans="1:104" ht="6.2" customHeight="1">
      <c r="A56" s="66"/>
      <c r="B56" s="66"/>
      <c r="C56" s="66"/>
      <c r="D56" s="66"/>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93"/>
      <c r="AF56" s="20"/>
      <c r="AG56" s="20"/>
      <c r="AH56" s="20"/>
      <c r="AI56" s="20"/>
      <c r="AJ56" s="20"/>
      <c r="AK56" s="20"/>
      <c r="AL56" s="20"/>
      <c r="AM56" s="20"/>
      <c r="AN56" s="20"/>
      <c r="AO56" s="20"/>
      <c r="AP56" s="20"/>
      <c r="AQ56" s="20"/>
      <c r="AR56" s="93"/>
      <c r="AS56" s="859"/>
      <c r="AT56" s="20"/>
      <c r="AU56" s="20"/>
      <c r="AV56" s="860"/>
      <c r="AW56" s="20"/>
      <c r="AX56" s="1110"/>
      <c r="AY56" s="20"/>
      <c r="AZ56" s="20"/>
      <c r="BA56" s="860"/>
      <c r="BB56" s="20"/>
      <c r="BC56" s="859"/>
      <c r="BD56" s="20"/>
      <c r="BE56" s="20"/>
      <c r="BF56" s="954"/>
      <c r="BG56" s="396"/>
      <c r="BH56" s="859"/>
      <c r="BI56" s="20"/>
      <c r="BJ56" s="20"/>
      <c r="BK56" s="860"/>
      <c r="BL56" s="24"/>
      <c r="BM56" s="859"/>
      <c r="BN56" s="20"/>
      <c r="BO56" s="20"/>
      <c r="BP56" s="860"/>
      <c r="BQ56" s="24"/>
      <c r="BR56" s="859"/>
      <c r="BS56" s="20"/>
      <c r="BT56" s="20"/>
      <c r="BU56" s="860"/>
      <c r="BV56" s="24"/>
      <c r="BW56" s="859"/>
      <c r="BX56" s="20"/>
      <c r="BY56" s="20"/>
      <c r="BZ56" s="954"/>
      <c r="CA56" s="396"/>
      <c r="CB56" s="859"/>
      <c r="CC56" s="20"/>
      <c r="CD56" s="495"/>
      <c r="CE56" s="944"/>
      <c r="CF56" s="24"/>
      <c r="CG56" s="981"/>
      <c r="CH56" s="495"/>
      <c r="CI56" s="20"/>
      <c r="CJ56" s="944"/>
      <c r="CK56" s="24"/>
      <c r="CL56" s="859"/>
      <c r="CM56" s="20"/>
      <c r="CN56" s="20"/>
      <c r="CO56" s="860"/>
      <c r="CP56" s="24"/>
      <c r="CQ56" s="932"/>
      <c r="CR56" s="933"/>
      <c r="CS56" s="933"/>
      <c r="CT56" s="934"/>
      <c r="CU56" s="24"/>
      <c r="CV56" s="932"/>
      <c r="CW56" s="933"/>
      <c r="CX56" s="933"/>
      <c r="CY56" s="934"/>
      <c r="CZ56" s="24"/>
    </row>
    <row r="57" spans="1:104" ht="13.5" customHeight="1">
      <c r="A57" s="79"/>
      <c r="B57" s="284"/>
      <c r="C57" s="79" t="s">
        <v>102</v>
      </c>
      <c r="D57" s="284"/>
      <c r="E57" s="112"/>
      <c r="F57" s="112"/>
      <c r="G57" s="112"/>
      <c r="H57" s="112"/>
      <c r="I57" s="112"/>
      <c r="J57" s="112">
        <f t="shared" ref="J57:AH57" si="57">J48-J51</f>
        <v>20.262295000000012</v>
      </c>
      <c r="K57" s="112">
        <f t="shared" si="57"/>
        <v>42.248301999999995</v>
      </c>
      <c r="L57" s="112">
        <f t="shared" si="57"/>
        <v>39.178799999999995</v>
      </c>
      <c r="M57" s="112">
        <f t="shared" si="57"/>
        <v>42.890618000000018</v>
      </c>
      <c r="N57" s="112">
        <f t="shared" si="57"/>
        <v>144.58001499999995</v>
      </c>
      <c r="O57" s="112">
        <f t="shared" si="57"/>
        <v>16.286203000000008</v>
      </c>
      <c r="P57" s="112">
        <f t="shared" si="57"/>
        <v>13.125089999999997</v>
      </c>
      <c r="Q57" s="112">
        <f t="shared" si="57"/>
        <v>12.879526999999941</v>
      </c>
      <c r="R57" s="112">
        <f t="shared" si="57"/>
        <v>17.685091000000003</v>
      </c>
      <c r="S57" s="112">
        <f t="shared" si="57"/>
        <v>59.975910999999954</v>
      </c>
      <c r="T57" s="112">
        <f t="shared" si="57"/>
        <v>112.20100000000002</v>
      </c>
      <c r="U57" s="112">
        <f t="shared" si="57"/>
        <v>260.04200000000003</v>
      </c>
      <c r="V57" s="112">
        <f t="shared" si="57"/>
        <v>415.38699999999994</v>
      </c>
      <c r="W57" s="112">
        <f t="shared" si="57"/>
        <v>341.41800000000001</v>
      </c>
      <c r="X57" s="112">
        <f t="shared" si="57"/>
        <v>1129.0479999999998</v>
      </c>
      <c r="Y57" s="112">
        <f t="shared" si="57"/>
        <v>348.68599999999992</v>
      </c>
      <c r="Z57" s="112">
        <f t="shared" si="57"/>
        <v>322.70699999999999</v>
      </c>
      <c r="AA57" s="112">
        <f t="shared" si="57"/>
        <v>291.87700000000007</v>
      </c>
      <c r="AB57" s="112">
        <f t="shared" si="57"/>
        <v>341.03400000000016</v>
      </c>
      <c r="AC57" s="112">
        <f t="shared" si="57"/>
        <v>1304.3040000000001</v>
      </c>
      <c r="AD57" s="112">
        <f t="shared" si="57"/>
        <v>379.16099999999994</v>
      </c>
      <c r="AE57" s="112">
        <f t="shared" si="57"/>
        <v>452.78300000000002</v>
      </c>
      <c r="AF57" s="112">
        <f t="shared" si="57"/>
        <v>517.57799999999997</v>
      </c>
      <c r="AG57" s="112">
        <f t="shared" si="57"/>
        <v>408.15899999999988</v>
      </c>
      <c r="AH57" s="112">
        <f t="shared" si="57"/>
        <v>1757.6809999999998</v>
      </c>
      <c r="AI57" s="112">
        <f>AI48-AI51</f>
        <v>381.029</v>
      </c>
      <c r="AJ57" s="112">
        <f>AJ48-AJ51</f>
        <v>344.85</v>
      </c>
      <c r="AK57" s="112">
        <f>AK48-AK51</f>
        <v>381.22199999999924</v>
      </c>
      <c r="AL57" s="112">
        <f>AL48-AL51</f>
        <v>364.846</v>
      </c>
      <c r="AM57" s="112">
        <f>SUM(AI57:AL57)</f>
        <v>1471.9469999999992</v>
      </c>
      <c r="AN57" s="112">
        <f>AN48-AN51</f>
        <v>409.75400000000025</v>
      </c>
      <c r="AO57" s="112">
        <f>AO48-AO51</f>
        <v>580.75400000000036</v>
      </c>
      <c r="AP57" s="112">
        <f>AP48-AP51</f>
        <v>734.59000000000026</v>
      </c>
      <c r="AQ57" s="111">
        <f>AQ48-AQ51</f>
        <v>200.47499999999997</v>
      </c>
      <c r="AR57" s="111">
        <f>AR48-AR51</f>
        <v>1925.5730000000003</v>
      </c>
      <c r="AS57" s="872">
        <f>AS48-AS51-AS55</f>
        <v>-189.64499999999998</v>
      </c>
      <c r="AT57" s="112">
        <f>AT48-AT51-AT55</f>
        <v>-133.33700000000002</v>
      </c>
      <c r="AU57" s="112">
        <f t="shared" ref="AU57:BG57" si="58">AU48-AU51-AU55</f>
        <v>-29.538000000000004</v>
      </c>
      <c r="AV57" s="873">
        <f t="shared" si="58"/>
        <v>58.907000000000011</v>
      </c>
      <c r="AW57" s="112">
        <f t="shared" si="58"/>
        <v>-293.613</v>
      </c>
      <c r="AX57" s="872">
        <f t="shared" si="58"/>
        <v>30.964000000000002</v>
      </c>
      <c r="AY57" s="112">
        <f t="shared" si="58"/>
        <v>90.992000000000019</v>
      </c>
      <c r="AZ57" s="112">
        <f t="shared" si="58"/>
        <v>23.495000000000008</v>
      </c>
      <c r="BA57" s="873">
        <f t="shared" si="58"/>
        <v>-4.8589999999999982</v>
      </c>
      <c r="BB57" s="112">
        <f t="shared" si="58"/>
        <v>140.59200000000013</v>
      </c>
      <c r="BC57" s="872">
        <f t="shared" si="58"/>
        <v>159.84100000000001</v>
      </c>
      <c r="BD57" s="112">
        <f t="shared" si="58"/>
        <v>299.57300000000004</v>
      </c>
      <c r="BE57" s="112">
        <f t="shared" si="58"/>
        <v>181.518</v>
      </c>
      <c r="BF57" s="960">
        <f t="shared" si="58"/>
        <v>111.056</v>
      </c>
      <c r="BG57" s="394">
        <f t="shared" si="58"/>
        <v>751.98800000000006</v>
      </c>
      <c r="BH57" s="872">
        <f t="shared" ref="BH57:CZ57" si="59">BH48-BH51-BH55</f>
        <v>132.50400000000005</v>
      </c>
      <c r="BI57" s="112">
        <f t="shared" si="59"/>
        <v>147.82400000000004</v>
      </c>
      <c r="BJ57" s="112">
        <f t="shared" si="59"/>
        <v>142.36800000000005</v>
      </c>
      <c r="BK57" s="960">
        <f t="shared" si="59"/>
        <v>144.708</v>
      </c>
      <c r="BL57" s="394">
        <f t="shared" si="59"/>
        <v>567.40400000000022</v>
      </c>
      <c r="BM57" s="872">
        <f t="shared" si="59"/>
        <v>84.789000000000044</v>
      </c>
      <c r="BN57" s="112">
        <f t="shared" si="59"/>
        <v>85.144999999999996</v>
      </c>
      <c r="BO57" s="112">
        <f t="shared" si="59"/>
        <v>156.69699999999997</v>
      </c>
      <c r="BP57" s="873">
        <f t="shared" si="59"/>
        <v>149.19400000000005</v>
      </c>
      <c r="BQ57" s="112">
        <f t="shared" si="59"/>
        <v>475.82499999999982</v>
      </c>
      <c r="BR57" s="872">
        <f t="shared" si="59"/>
        <v>129.68100000000001</v>
      </c>
      <c r="BS57" s="112">
        <f t="shared" si="59"/>
        <v>147.04100000000003</v>
      </c>
      <c r="BT57" s="112">
        <f t="shared" si="59"/>
        <v>253.54700000000005</v>
      </c>
      <c r="BU57" s="873">
        <f t="shared" si="59"/>
        <v>210.42699999999999</v>
      </c>
      <c r="BV57" s="112">
        <f t="shared" si="59"/>
        <v>740.69599999999969</v>
      </c>
      <c r="BW57" s="872">
        <f t="shared" si="59"/>
        <v>67.799999999999983</v>
      </c>
      <c r="BX57" s="112">
        <f t="shared" si="59"/>
        <v>124.755</v>
      </c>
      <c r="BY57" s="394">
        <f t="shared" si="59"/>
        <v>227.12599999999998</v>
      </c>
      <c r="BZ57" s="960">
        <f t="shared" si="59"/>
        <v>144.71800000000002</v>
      </c>
      <c r="CA57" s="394">
        <f t="shared" si="59"/>
        <v>564.39900000000011</v>
      </c>
      <c r="CB57" s="872">
        <f t="shared" si="59"/>
        <v>70.754000000000019</v>
      </c>
      <c r="CC57" s="112">
        <f t="shared" si="59"/>
        <v>233.77200000000002</v>
      </c>
      <c r="CD57" s="112">
        <f t="shared" si="59"/>
        <v>270.036</v>
      </c>
      <c r="CE57" s="873">
        <f t="shared" si="59"/>
        <v>136.499</v>
      </c>
      <c r="CF57" s="112">
        <f t="shared" si="59"/>
        <v>711.06099999999981</v>
      </c>
      <c r="CG57" s="872">
        <f t="shared" si="59"/>
        <v>363.66099999999994</v>
      </c>
      <c r="CH57" s="112">
        <f t="shared" si="59"/>
        <v>323.04800000000006</v>
      </c>
      <c r="CI57" s="112">
        <f t="shared" si="59"/>
        <v>255.30000000000007</v>
      </c>
      <c r="CJ57" s="873">
        <f t="shared" si="59"/>
        <v>208.691</v>
      </c>
      <c r="CK57" s="112">
        <f t="shared" si="59"/>
        <v>1150.7</v>
      </c>
      <c r="CL57" s="872">
        <f t="shared" si="59"/>
        <v>375.97899999999998</v>
      </c>
      <c r="CM57" s="112">
        <f t="shared" si="59"/>
        <v>541.6473269205884</v>
      </c>
      <c r="CN57" s="112">
        <f t="shared" si="59"/>
        <v>557.18235656040088</v>
      </c>
      <c r="CO57" s="873">
        <f t="shared" si="59"/>
        <v>510.2745017446249</v>
      </c>
      <c r="CP57" s="112">
        <f t="shared" si="59"/>
        <v>1985.0831852256142</v>
      </c>
      <c r="CQ57" s="872">
        <f t="shared" si="59"/>
        <v>558.58904134811098</v>
      </c>
      <c r="CR57" s="112">
        <f t="shared" si="59"/>
        <v>523.98964781664904</v>
      </c>
      <c r="CS57" s="112">
        <f t="shared" si="59"/>
        <v>466.08083443716134</v>
      </c>
      <c r="CT57" s="873">
        <f t="shared" si="59"/>
        <v>377.46848539734759</v>
      </c>
      <c r="CU57" s="112">
        <f t="shared" si="59"/>
        <v>1926.1280089992686</v>
      </c>
      <c r="CV57" s="872">
        <f t="shared" si="59"/>
        <v>461.02852930752704</v>
      </c>
      <c r="CW57" s="112">
        <f t="shared" si="59"/>
        <v>479.52814263047719</v>
      </c>
      <c r="CX57" s="112">
        <f t="shared" si="59"/>
        <v>443.85112256288517</v>
      </c>
      <c r="CY57" s="873">
        <f t="shared" si="59"/>
        <v>450.06916348920811</v>
      </c>
      <c r="CZ57" s="112">
        <f t="shared" si="59"/>
        <v>1834.4769579900974</v>
      </c>
    </row>
    <row r="58" spans="1:104" ht="13.5" customHeight="1">
      <c r="A58" s="82"/>
      <c r="B58" s="24"/>
      <c r="C58" s="82" t="s">
        <v>350</v>
      </c>
      <c r="D58" s="24"/>
      <c r="E58" s="113"/>
      <c r="F58" s="113"/>
      <c r="G58" s="113"/>
      <c r="H58" s="113"/>
      <c r="I58" s="113"/>
      <c r="J58" s="136">
        <f t="shared" ref="J58:AM58" si="60">J57/J15</f>
        <v>1.8750325369440615E-2</v>
      </c>
      <c r="K58" s="136">
        <f t="shared" si="60"/>
        <v>3.5264746463752404E-2</v>
      </c>
      <c r="L58" s="136">
        <f t="shared" si="60"/>
        <v>3.1890811295611922E-2</v>
      </c>
      <c r="M58" s="136">
        <f t="shared" si="60"/>
        <v>3.3130966553240181E-2</v>
      </c>
      <c r="N58" s="113">
        <f t="shared" si="60"/>
        <v>3.010969250358515E-2</v>
      </c>
      <c r="O58" s="136">
        <f t="shared" si="60"/>
        <v>1.100217672509176E-2</v>
      </c>
      <c r="P58" s="136">
        <f t="shared" si="60"/>
        <v>8.6323102015428074E-3</v>
      </c>
      <c r="Q58" s="136">
        <f t="shared" si="60"/>
        <v>8.0295735115449036E-3</v>
      </c>
      <c r="R58" s="136">
        <f t="shared" si="60"/>
        <v>1.0646743858844806E-2</v>
      </c>
      <c r="S58" s="113">
        <f t="shared" si="60"/>
        <v>9.571912739954504E-3</v>
      </c>
      <c r="T58" s="136">
        <f t="shared" si="60"/>
        <v>4.9072872128256631E-2</v>
      </c>
      <c r="U58" s="136">
        <f t="shared" si="60"/>
        <v>9.4155959363058164E-2</v>
      </c>
      <c r="V58" s="136">
        <f t="shared" si="60"/>
        <v>0.12822201067294892</v>
      </c>
      <c r="W58" s="136">
        <f t="shared" si="60"/>
        <v>0.11052710296348525</v>
      </c>
      <c r="X58" s="113">
        <f t="shared" si="60"/>
        <v>9.9241018674097903E-2</v>
      </c>
      <c r="Y58" s="136">
        <f t="shared" si="60"/>
        <v>0.10497205800759428</v>
      </c>
      <c r="Z58" s="136">
        <f t="shared" si="60"/>
        <v>0.10260944107207529</v>
      </c>
      <c r="AA58" s="136">
        <f t="shared" si="60"/>
        <v>9.6459215092578751E-2</v>
      </c>
      <c r="AB58" s="136">
        <f t="shared" si="60"/>
        <v>0.10629469932196355</v>
      </c>
      <c r="AC58" s="113">
        <f t="shared" si="60"/>
        <v>0.10269302438335758</v>
      </c>
      <c r="AD58" s="136">
        <f t="shared" si="60"/>
        <v>0.10695363201627488</v>
      </c>
      <c r="AE58" s="136">
        <f t="shared" si="60"/>
        <v>0.11895464158577114</v>
      </c>
      <c r="AF58" s="136">
        <f t="shared" si="60"/>
        <v>0.13165793022189221</v>
      </c>
      <c r="AG58" s="136">
        <f t="shared" si="60"/>
        <v>0.11767288725389853</v>
      </c>
      <c r="AH58" s="113">
        <f t="shared" si="60"/>
        <v>0.11915455415025281</v>
      </c>
      <c r="AI58" s="136">
        <f t="shared" si="60"/>
        <v>0.10109860077980622</v>
      </c>
      <c r="AJ58" s="136">
        <f t="shared" si="60"/>
        <v>8.2379583909644047E-2</v>
      </c>
      <c r="AK58" s="113">
        <f t="shared" si="60"/>
        <v>8.9505099641460084E-2</v>
      </c>
      <c r="AL58" s="113">
        <f t="shared" si="60"/>
        <v>8.2980649387276076E-2</v>
      </c>
      <c r="AM58" s="113">
        <f t="shared" si="60"/>
        <v>8.8612914737821485E-2</v>
      </c>
      <c r="AN58" s="136">
        <f t="shared" ref="AN58:BS58" si="61">AN57/AN15</f>
        <v>8.237471676742858E-2</v>
      </c>
      <c r="AO58" s="136">
        <f t="shared" si="61"/>
        <v>8.1904786887539452E-2</v>
      </c>
      <c r="AP58" s="113">
        <f t="shared" si="61"/>
        <v>9.8635518937847791E-2</v>
      </c>
      <c r="AQ58" s="113">
        <f t="shared" si="61"/>
        <v>4.8296336055289692E-2</v>
      </c>
      <c r="AR58" s="113">
        <f t="shared" si="61"/>
        <v>8.1373732616770153E-2</v>
      </c>
      <c r="AS58" s="857">
        <f t="shared" si="61"/>
        <v>-7.1447704665490469E-2</v>
      </c>
      <c r="AT58" s="136">
        <f t="shared" si="61"/>
        <v>-5.3807705159102333E-2</v>
      </c>
      <c r="AU58" s="136">
        <f t="shared" si="61"/>
        <v>-9.4672925203645522E-3</v>
      </c>
      <c r="AV58" s="858">
        <f t="shared" si="61"/>
        <v>2.0050416209430818E-2</v>
      </c>
      <c r="AW58" s="136">
        <f t="shared" si="61"/>
        <v>-2.6238179937331421E-2</v>
      </c>
      <c r="AX58" s="857">
        <f t="shared" si="61"/>
        <v>8.4720488601148832E-3</v>
      </c>
      <c r="AY58" s="136">
        <f t="shared" si="61"/>
        <v>2.1685590398015622E-2</v>
      </c>
      <c r="AZ58" s="136">
        <f t="shared" si="61"/>
        <v>5.6750261891770418E-3</v>
      </c>
      <c r="BA58" s="858">
        <f t="shared" si="61"/>
        <v>-1.2608498216023349E-3</v>
      </c>
      <c r="BB58" s="136">
        <f t="shared" si="61"/>
        <v>8.8731656478880875E-3</v>
      </c>
      <c r="BC58" s="857">
        <f t="shared" si="61"/>
        <v>3.3066442363507656E-2</v>
      </c>
      <c r="BD58" s="136">
        <f t="shared" si="61"/>
        <v>5.8650000420924123E-2</v>
      </c>
      <c r="BE58" s="136">
        <f t="shared" si="61"/>
        <v>3.456074319363673E-2</v>
      </c>
      <c r="BF58" s="952">
        <f t="shared" si="61"/>
        <v>2.2994498389850918E-2</v>
      </c>
      <c r="BG58" s="375">
        <f t="shared" si="61"/>
        <v>3.7555152519301763E-2</v>
      </c>
      <c r="BH58" s="857">
        <f t="shared" si="61"/>
        <v>2.6121546490809246E-2</v>
      </c>
      <c r="BI58" s="136">
        <f t="shared" si="61"/>
        <v>2.8961253274020087E-2</v>
      </c>
      <c r="BJ58" s="136">
        <f t="shared" si="61"/>
        <v>2.9652549796863548E-2</v>
      </c>
      <c r="BK58" s="952">
        <f t="shared" si="61"/>
        <v>3.2509344515749869E-2</v>
      </c>
      <c r="BL58" s="375">
        <f t="shared" si="61"/>
        <v>2.9203563097806088E-2</v>
      </c>
      <c r="BM58" s="857">
        <f t="shared" si="61"/>
        <v>1.8631783794046383E-2</v>
      </c>
      <c r="BN58" s="136">
        <f t="shared" si="61"/>
        <v>1.8249575401857173E-2</v>
      </c>
      <c r="BO58" s="136">
        <f t="shared" si="61"/>
        <v>3.1714031511438312E-2</v>
      </c>
      <c r="BP58" s="858">
        <f t="shared" si="61"/>
        <v>3.0480412687062679E-2</v>
      </c>
      <c r="BQ58" s="136">
        <f t="shared" si="61"/>
        <v>2.4975007933531121E-2</v>
      </c>
      <c r="BR58" s="857">
        <f t="shared" si="61"/>
        <v>2.5385616442110358E-2</v>
      </c>
      <c r="BS58" s="136">
        <f t="shared" si="61"/>
        <v>2.7790382861705803E-2</v>
      </c>
      <c r="BT58" s="136">
        <f t="shared" ref="BT58:CY58" si="62">BT57/BT15</f>
        <v>4.4467349214792562E-2</v>
      </c>
      <c r="BU58" s="858">
        <f t="shared" si="62"/>
        <v>4.2053834391905437E-2</v>
      </c>
      <c r="BV58" s="136">
        <f t="shared" si="62"/>
        <v>3.5095524829708534E-2</v>
      </c>
      <c r="BW58" s="857">
        <f t="shared" si="62"/>
        <v>1.5411052315749275E-2</v>
      </c>
      <c r="BX58" s="136">
        <f t="shared" si="62"/>
        <v>2.8629232223450977E-2</v>
      </c>
      <c r="BY58" s="136">
        <f t="shared" si="62"/>
        <v>5.3751093949753796E-2</v>
      </c>
      <c r="BZ58" s="952">
        <f t="shared" si="62"/>
        <v>4.1865784055546411E-2</v>
      </c>
      <c r="CA58" s="375">
        <f t="shared" si="62"/>
        <v>3.4332351376058168E-2</v>
      </c>
      <c r="CB58" s="857">
        <f t="shared" si="62"/>
        <v>1.9042538761150363E-2</v>
      </c>
      <c r="CC58" s="136">
        <f t="shared" si="62"/>
        <v>5.5059951405774972E-2</v>
      </c>
      <c r="CD58" s="136">
        <f t="shared" si="62"/>
        <v>6.294199200230477E-2</v>
      </c>
      <c r="CE58" s="858">
        <f t="shared" si="62"/>
        <v>3.4499605463159964E-2</v>
      </c>
      <c r="CF58" s="136">
        <f t="shared" si="62"/>
        <v>4.3870659413842009E-2</v>
      </c>
      <c r="CG58" s="857">
        <f t="shared" si="62"/>
        <v>7.552387979761499E-2</v>
      </c>
      <c r="CH58" s="136">
        <f t="shared" si="62"/>
        <v>6.2427520919291282E-2</v>
      </c>
      <c r="CI58" s="136">
        <f t="shared" si="62"/>
        <v>4.9379926991981044E-2</v>
      </c>
      <c r="CJ58" s="858">
        <f t="shared" si="62"/>
        <v>4.0981452883632002E-2</v>
      </c>
      <c r="CK58" s="136">
        <f t="shared" si="62"/>
        <v>5.6817977016345673E-2</v>
      </c>
      <c r="CL58" s="857">
        <f t="shared" si="62"/>
        <v>6.7519883112244244E-2</v>
      </c>
      <c r="CM58" s="136">
        <f t="shared" si="62"/>
        <v>8.2093794209594687E-2</v>
      </c>
      <c r="CN58" s="136">
        <f t="shared" si="62"/>
        <v>8.2696757177451147E-2</v>
      </c>
      <c r="CO58" s="858">
        <f t="shared" si="62"/>
        <v>7.7549786236744966E-2</v>
      </c>
      <c r="CP58" s="136">
        <f t="shared" si="62"/>
        <v>7.7895445755689269E-2</v>
      </c>
      <c r="CQ58" s="857">
        <f t="shared" si="62"/>
        <v>8.0573664709596551E-2</v>
      </c>
      <c r="CR58" s="136">
        <f t="shared" si="62"/>
        <v>7.6560365906918643E-2</v>
      </c>
      <c r="CS58" s="136">
        <f t="shared" si="62"/>
        <v>6.9576363722677503E-2</v>
      </c>
      <c r="CT58" s="858">
        <f t="shared" si="62"/>
        <v>5.8778582032256964E-2</v>
      </c>
      <c r="CU58" s="136">
        <f t="shared" si="62"/>
        <v>7.1609933861039837E-2</v>
      </c>
      <c r="CV58" s="857">
        <f t="shared" si="62"/>
        <v>6.8240915152898651E-2</v>
      </c>
      <c r="CW58" s="136">
        <f t="shared" si="62"/>
        <v>7.2130763804802031E-2</v>
      </c>
      <c r="CX58" s="136">
        <f t="shared" si="62"/>
        <v>6.8212213452804968E-2</v>
      </c>
      <c r="CY58" s="858">
        <f t="shared" si="62"/>
        <v>7.078217191184924E-2</v>
      </c>
      <c r="CZ58" s="136">
        <f t="shared" ref="CZ58" si="63">CZ57/CZ15</f>
        <v>6.9833329733993366E-2</v>
      </c>
    </row>
    <row r="59" spans="1:104" ht="6.2" customHeight="1">
      <c r="A59" s="66"/>
      <c r="B59" s="66"/>
      <c r="C59" s="66"/>
      <c r="D59" s="66"/>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164"/>
      <c r="AN59" s="20"/>
      <c r="AO59" s="20"/>
      <c r="AP59" s="20"/>
      <c r="AQ59" s="66"/>
      <c r="AR59" s="66"/>
      <c r="AS59" s="859"/>
      <c r="AT59" s="20"/>
      <c r="AU59" s="20"/>
      <c r="AV59" s="860"/>
      <c r="AW59" s="66"/>
      <c r="AX59" s="859"/>
      <c r="AY59" s="20"/>
      <c r="AZ59" s="20"/>
      <c r="BA59" s="860"/>
      <c r="BB59" s="66"/>
      <c r="BC59" s="859"/>
      <c r="BD59" s="20"/>
      <c r="BE59" s="20"/>
      <c r="BF59" s="954"/>
      <c r="BG59" s="362"/>
      <c r="BH59" s="859"/>
      <c r="BI59" s="20"/>
      <c r="BJ59" s="20"/>
      <c r="BK59" s="860"/>
      <c r="BL59" s="101"/>
      <c r="BM59" s="859"/>
      <c r="BN59" s="20"/>
      <c r="BO59" s="20"/>
      <c r="BP59" s="860"/>
      <c r="BQ59" s="66"/>
      <c r="BR59" s="859"/>
      <c r="BS59" s="20"/>
      <c r="BT59" s="20"/>
      <c r="BU59" s="860"/>
      <c r="BV59" s="66"/>
      <c r="BW59" s="859"/>
      <c r="BX59" s="20"/>
      <c r="BY59" s="20"/>
      <c r="BZ59" s="954"/>
      <c r="CA59" s="362"/>
      <c r="CB59" s="859"/>
      <c r="CC59" s="20"/>
      <c r="CD59" s="495"/>
      <c r="CE59" s="944"/>
      <c r="CF59" s="453"/>
      <c r="CG59" s="981"/>
      <c r="CH59" s="495"/>
      <c r="CI59" s="20"/>
      <c r="CJ59" s="944"/>
      <c r="CK59" s="453"/>
      <c r="CL59" s="859"/>
      <c r="CM59" s="20"/>
      <c r="CN59" s="20"/>
      <c r="CO59" s="860"/>
      <c r="CP59" s="66"/>
      <c r="CQ59" s="859"/>
      <c r="CR59" s="20"/>
      <c r="CS59" s="20"/>
      <c r="CT59" s="860"/>
      <c r="CU59" s="66"/>
      <c r="CV59" s="859"/>
      <c r="CW59" s="20"/>
      <c r="CX59" s="20"/>
      <c r="CY59" s="860"/>
      <c r="CZ59" s="66"/>
    </row>
    <row r="60" spans="1:104" ht="13.5" customHeight="1">
      <c r="A60" s="138"/>
      <c r="B60" s="139" t="s">
        <v>580</v>
      </c>
      <c r="C60" s="140"/>
      <c r="D60" s="138"/>
      <c r="E60" s="141"/>
      <c r="F60" s="141"/>
      <c r="G60" s="141"/>
      <c r="H60" s="141"/>
      <c r="I60" s="141"/>
      <c r="J60" s="141">
        <f t="shared" ref="J60:AM60" si="64">J57/J63</f>
        <v>6.4836211944142408E-2</v>
      </c>
      <c r="K60" s="141">
        <f t="shared" si="64"/>
        <v>0.13479181105656574</v>
      </c>
      <c r="L60" s="141">
        <f t="shared" si="64"/>
        <v>0.12514643347805277</v>
      </c>
      <c r="M60" s="141">
        <f t="shared" si="64"/>
        <v>0.13711424634279157</v>
      </c>
      <c r="N60" s="141">
        <f t="shared" si="64"/>
        <v>0.46198271964329118</v>
      </c>
      <c r="O60" s="141">
        <f t="shared" si="64"/>
        <v>5.2067583533221662E-2</v>
      </c>
      <c r="P60" s="141">
        <f t="shared" si="64"/>
        <v>4.1897635173868332E-2</v>
      </c>
      <c r="Q60" s="141">
        <f t="shared" si="64"/>
        <v>4.1106773236868434E-2</v>
      </c>
      <c r="R60" s="141">
        <f t="shared" si="64"/>
        <v>5.6205607412478778E-2</v>
      </c>
      <c r="S60" s="141">
        <f t="shared" si="64"/>
        <v>0.1914213288385212</v>
      </c>
      <c r="T60" s="141">
        <f t="shared" si="64"/>
        <v>0.35423244007779159</v>
      </c>
      <c r="U60" s="141">
        <f t="shared" si="64"/>
        <v>0.81840097688705371</v>
      </c>
      <c r="V60" s="141">
        <f t="shared" si="64"/>
        <v>1.2962291470333083</v>
      </c>
      <c r="W60" s="141">
        <f t="shared" si="64"/>
        <v>1.0617750051313311</v>
      </c>
      <c r="X60" s="141">
        <f t="shared" si="64"/>
        <v>3.5337080761671062</v>
      </c>
      <c r="Y60" s="141">
        <f t="shared" si="64"/>
        <v>1.0812237202783321</v>
      </c>
      <c r="Z60" s="141">
        <f t="shared" si="64"/>
        <v>1.0127826911126872</v>
      </c>
      <c r="AA60" s="141">
        <f t="shared" si="64"/>
        <v>0.92814940598845075</v>
      </c>
      <c r="AB60" s="141">
        <f t="shared" si="64"/>
        <v>1.0900321543408367</v>
      </c>
      <c r="AC60" s="141">
        <f t="shared" si="64"/>
        <v>4.1128370069056857</v>
      </c>
      <c r="AD60" s="141">
        <f t="shared" si="64"/>
        <v>1.2084889784157986</v>
      </c>
      <c r="AE60" s="141">
        <f t="shared" si="64"/>
        <v>1.4467990605678134</v>
      </c>
      <c r="AF60" s="141">
        <f t="shared" si="64"/>
        <v>1.6828904286415673</v>
      </c>
      <c r="AG60" s="141">
        <f t="shared" si="64"/>
        <v>1.3452612844218121</v>
      </c>
      <c r="AH60" s="141">
        <f t="shared" si="64"/>
        <v>5.6812829488559409</v>
      </c>
      <c r="AI60" s="141">
        <f t="shared" si="64"/>
        <v>1.2555242156042201</v>
      </c>
      <c r="AJ60" s="141">
        <f t="shared" si="64"/>
        <v>1.136880625061814</v>
      </c>
      <c r="AK60" s="141">
        <f t="shared" si="64"/>
        <v>1.292194739999794</v>
      </c>
      <c r="AL60" s="141">
        <f t="shared" si="64"/>
        <v>1.2584454914837988</v>
      </c>
      <c r="AM60" s="141">
        <f t="shared" si="64"/>
        <v>4.9404597780237252</v>
      </c>
      <c r="AN60" s="141">
        <f t="shared" ref="AN60:BS60" si="65">AN57/AN63</f>
        <v>1.4119661889517963</v>
      </c>
      <c r="AO60" s="141">
        <f t="shared" si="65"/>
        <v>1.9368667498215739</v>
      </c>
      <c r="AP60" s="141">
        <f t="shared" si="65"/>
        <v>2.308811696965126</v>
      </c>
      <c r="AQ60" s="141">
        <f t="shared" si="65"/>
        <v>0.63562344839393903</v>
      </c>
      <c r="AR60" s="141">
        <f t="shared" si="65"/>
        <v>6.2908308613096731</v>
      </c>
      <c r="AS60" s="1104">
        <f t="shared" si="65"/>
        <v>-0.60335200862817706</v>
      </c>
      <c r="AT60" s="141">
        <f t="shared" si="65"/>
        <v>-0.4236255845872306</v>
      </c>
      <c r="AU60" s="141">
        <f t="shared" si="65"/>
        <v>-9.3719956976010016E-2</v>
      </c>
      <c r="AV60" s="1105">
        <f t="shared" si="65"/>
        <v>0.18656806232976503</v>
      </c>
      <c r="AW60" s="141">
        <f t="shared" si="65"/>
        <v>-0.93211659830601024</v>
      </c>
      <c r="AX60" s="1104">
        <f t="shared" si="65"/>
        <v>9.7916693018961012E-2</v>
      </c>
      <c r="AY60" s="141">
        <f t="shared" si="65"/>
        <v>0.28751990697439278</v>
      </c>
      <c r="AZ60" s="141">
        <f t="shared" si="65"/>
        <v>7.4173812019346155E-2</v>
      </c>
      <c r="BA60" s="1105">
        <f t="shared" si="65"/>
        <v>-1.5360589765718597E-2</v>
      </c>
      <c r="BB60" s="141">
        <f t="shared" si="65"/>
        <v>0.44419449622444829</v>
      </c>
      <c r="BC60" s="1104">
        <f t="shared" si="65"/>
        <v>0.50443078321351709</v>
      </c>
      <c r="BD60" s="141">
        <f t="shared" si="65"/>
        <v>0.94495965579675867</v>
      </c>
      <c r="BE60" s="141">
        <f t="shared" si="65"/>
        <v>0.5722617703991878</v>
      </c>
      <c r="BF60" s="1168">
        <f t="shared" si="65"/>
        <v>0.34982234206083207</v>
      </c>
      <c r="BG60" s="397">
        <f t="shared" si="65"/>
        <v>2.3711659101622797</v>
      </c>
      <c r="BH60" s="1104">
        <f t="shared" si="65"/>
        <v>0.41696902564360783</v>
      </c>
      <c r="BI60" s="141">
        <f t="shared" si="65"/>
        <v>0.46479688089548493</v>
      </c>
      <c r="BJ60" s="141">
        <f t="shared" si="65"/>
        <v>0.44696722340826339</v>
      </c>
      <c r="BK60" s="1105">
        <f t="shared" si="65"/>
        <v>0.4541810911670271</v>
      </c>
      <c r="BL60" s="397">
        <f t="shared" si="65"/>
        <v>1.782943690296632</v>
      </c>
      <c r="BM60" s="1104">
        <f t="shared" si="65"/>
        <v>0.26592795177548767</v>
      </c>
      <c r="BN60" s="141">
        <f t="shared" si="65"/>
        <v>0.26689298263761546</v>
      </c>
      <c r="BO60" s="141">
        <f t="shared" si="65"/>
        <v>0.49040453672001644</v>
      </c>
      <c r="BP60" s="1105">
        <f t="shared" si="65"/>
        <v>0.46673882847596776</v>
      </c>
      <c r="BQ60" s="141">
        <f t="shared" si="65"/>
        <v>1.4903961730341102</v>
      </c>
      <c r="BR60" s="1104">
        <f t="shared" si="65"/>
        <v>0.40554714668134406</v>
      </c>
      <c r="BS60" s="141">
        <f t="shared" si="65"/>
        <v>0.45953040961807118</v>
      </c>
      <c r="BT60" s="141">
        <f t="shared" ref="BT60:CZ60" si="66">BT57/BT63</f>
        <v>0.79150082569294233</v>
      </c>
      <c r="BU60" s="1105">
        <f t="shared" si="66"/>
        <v>0.65666299473551171</v>
      </c>
      <c r="BV60" s="141">
        <f t="shared" si="66"/>
        <v>2.3137079423834557</v>
      </c>
      <c r="BW60" s="1104">
        <f t="shared" si="66"/>
        <v>0.21155568314075937</v>
      </c>
      <c r="BX60" s="141">
        <f t="shared" si="66"/>
        <v>0.38899871534230512</v>
      </c>
      <c r="BY60" s="141">
        <f t="shared" si="66"/>
        <v>0.70777812402617635</v>
      </c>
      <c r="BZ60" s="1208">
        <f t="shared" si="66"/>
        <v>0.45127491915793283</v>
      </c>
      <c r="CA60" s="397">
        <f t="shared" si="66"/>
        <v>1.7599272828190071</v>
      </c>
      <c r="CB60" s="1104">
        <f t="shared" si="66"/>
        <v>0.22159514428708346</v>
      </c>
      <c r="CC60" s="397">
        <f t="shared" si="66"/>
        <v>0.7315021684846893</v>
      </c>
      <c r="CD60" s="141">
        <f t="shared" si="66"/>
        <v>0.84378866849150691</v>
      </c>
      <c r="CE60" s="1105">
        <f t="shared" si="66"/>
        <v>0.42603216020175028</v>
      </c>
      <c r="CF60" s="141">
        <f t="shared" si="66"/>
        <v>2.2233023369249141</v>
      </c>
      <c r="CG60" s="1104">
        <f t="shared" si="66"/>
        <v>1.1323852702509136</v>
      </c>
      <c r="CH60" s="141">
        <f t="shared" si="66"/>
        <v>1.0056720190769117</v>
      </c>
      <c r="CI60" s="141">
        <f t="shared" si="66"/>
        <v>0.7959147407899293</v>
      </c>
      <c r="CJ60" s="1105">
        <f t="shared" si="66"/>
        <v>0.65222663587182428</v>
      </c>
      <c r="CK60" s="141">
        <f t="shared" si="66"/>
        <v>3.5872440382759909</v>
      </c>
      <c r="CL60" s="1104">
        <f t="shared" si="66"/>
        <v>1.1731965775694753</v>
      </c>
      <c r="CM60" s="141">
        <f t="shared" si="66"/>
        <v>1.6981154356404065</v>
      </c>
      <c r="CN60" s="141">
        <f t="shared" si="66"/>
        <v>1.746819218181854</v>
      </c>
      <c r="CO60" s="1105">
        <f t="shared" si="66"/>
        <v>1.5997586709281488</v>
      </c>
      <c r="CP60" s="141">
        <f t="shared" si="66"/>
        <v>6.2160938451101924</v>
      </c>
      <c r="CQ60" s="1104">
        <f t="shared" si="66"/>
        <v>1.7512293076115788</v>
      </c>
      <c r="CR60" s="141">
        <f t="shared" si="66"/>
        <v>1.6427569469085297</v>
      </c>
      <c r="CS60" s="141">
        <f t="shared" si="66"/>
        <v>1.4612073574027646</v>
      </c>
      <c r="CT60" s="1105">
        <f t="shared" si="66"/>
        <v>1.183399288915935</v>
      </c>
      <c r="CU60" s="141">
        <f t="shared" si="66"/>
        <v>6.0385929008388066</v>
      </c>
      <c r="CV60" s="1104">
        <f t="shared" si="66"/>
        <v>1.445367904497175</v>
      </c>
      <c r="CW60" s="141">
        <f t="shared" si="66"/>
        <v>1.5033659363820187</v>
      </c>
      <c r="CX60" s="141">
        <f t="shared" si="66"/>
        <v>1.3915151148910951</v>
      </c>
      <c r="CY60" s="1105">
        <f t="shared" si="66"/>
        <v>1.4110092594232269</v>
      </c>
      <c r="CZ60" s="141">
        <f t="shared" si="66"/>
        <v>5.7512582151935154</v>
      </c>
    </row>
    <row r="61" spans="1:104" ht="13.5" customHeight="1">
      <c r="A61" s="66"/>
      <c r="B61" s="81" t="s">
        <v>250</v>
      </c>
      <c r="C61" s="79"/>
      <c r="D61" s="66"/>
      <c r="E61" s="76"/>
      <c r="F61" s="76"/>
      <c r="G61" s="76"/>
      <c r="H61" s="76"/>
      <c r="I61" s="76"/>
      <c r="J61" s="143"/>
      <c r="K61" s="143"/>
      <c r="L61" s="143"/>
      <c r="M61" s="143"/>
      <c r="N61" s="76"/>
      <c r="O61" s="143">
        <f t="shared" ref="O61:AR61" si="67">O60/J60-1</f>
        <v>-0.1969366813397605</v>
      </c>
      <c r="P61" s="143">
        <f t="shared" si="67"/>
        <v>-0.68916779999130751</v>
      </c>
      <c r="Q61" s="143">
        <f t="shared" si="67"/>
        <v>-0.67153060543209619</v>
      </c>
      <c r="R61" s="143">
        <f t="shared" si="67"/>
        <v>-0.59008192867163989</v>
      </c>
      <c r="S61" s="76">
        <f t="shared" si="67"/>
        <v>-0.58565262140903762</v>
      </c>
      <c r="T61" s="143">
        <f t="shared" si="67"/>
        <v>5.8033201473960085</v>
      </c>
      <c r="U61" s="143">
        <f t="shared" si="67"/>
        <v>18.533345342543164</v>
      </c>
      <c r="V61" s="143">
        <f t="shared" si="67"/>
        <v>30.533225426478566</v>
      </c>
      <c r="W61" s="143">
        <f t="shared" si="67"/>
        <v>17.89090882586202</v>
      </c>
      <c r="X61" s="76">
        <f t="shared" si="67"/>
        <v>17.460367492005368</v>
      </c>
      <c r="Y61" s="143">
        <f t="shared" si="67"/>
        <v>2.0523001225999766</v>
      </c>
      <c r="Z61" s="143">
        <f t="shared" si="67"/>
        <v>0.23751403006018124</v>
      </c>
      <c r="AA61" s="143">
        <f t="shared" si="67"/>
        <v>-0.28396193827864857</v>
      </c>
      <c r="AB61" s="143">
        <f t="shared" si="67"/>
        <v>2.6613123376369563E-2</v>
      </c>
      <c r="AC61" s="76">
        <f t="shared" si="67"/>
        <v>0.16388703261723325</v>
      </c>
      <c r="AD61" s="143">
        <f t="shared" si="67"/>
        <v>0.11770483365339546</v>
      </c>
      <c r="AE61" s="143">
        <f t="shared" si="67"/>
        <v>0.42853849425319157</v>
      </c>
      <c r="AF61" s="143">
        <f t="shared" si="67"/>
        <v>0.81316759756942414</v>
      </c>
      <c r="AG61" s="143">
        <f t="shared" si="67"/>
        <v>0.23414825797989192</v>
      </c>
      <c r="AH61" s="76">
        <f t="shared" si="67"/>
        <v>0.38135378069122261</v>
      </c>
      <c r="AI61" s="143">
        <f t="shared" si="67"/>
        <v>3.8920700170621103E-2</v>
      </c>
      <c r="AJ61" s="143">
        <f t="shared" si="67"/>
        <v>-0.21420972956974982</v>
      </c>
      <c r="AK61" s="76">
        <f t="shared" si="67"/>
        <v>-0.23215753206056544</v>
      </c>
      <c r="AL61" s="76">
        <f t="shared" si="67"/>
        <v>-6.4534521243823972E-2</v>
      </c>
      <c r="AM61" s="76">
        <f t="shared" si="67"/>
        <v>-0.13039716160966741</v>
      </c>
      <c r="AN61" s="143">
        <f t="shared" si="67"/>
        <v>0.12460291199743101</v>
      </c>
      <c r="AO61" s="143">
        <f t="shared" si="67"/>
        <v>0.70366765615014626</v>
      </c>
      <c r="AP61" s="76">
        <f t="shared" si="67"/>
        <v>0.78673664695887413</v>
      </c>
      <c r="AQ61" s="76">
        <f t="shared" si="67"/>
        <v>-0.49491380223032722</v>
      </c>
      <c r="AR61" s="76">
        <f t="shared" si="67"/>
        <v>0.27332903089155836</v>
      </c>
      <c r="AS61" s="877">
        <f t="shared" ref="AS61:BX61" si="68">AS60/AN60-1</f>
        <v>-1.4273133544905126</v>
      </c>
      <c r="AT61" s="578">
        <f t="shared" si="68"/>
        <v>-1.2187169481980396</v>
      </c>
      <c r="AU61" s="578">
        <f t="shared" si="68"/>
        <v>-1.0405922913069101</v>
      </c>
      <c r="AV61" s="878">
        <f t="shared" si="68"/>
        <v>-0.7064802080521484</v>
      </c>
      <c r="AW61" s="578">
        <f t="shared" si="68"/>
        <v>-1.1481706659828961</v>
      </c>
      <c r="AX61" s="877">
        <f t="shared" si="68"/>
        <v>-1.1622878379763601</v>
      </c>
      <c r="AY61" s="578">
        <f t="shared" si="68"/>
        <v>-1.6787123286109937</v>
      </c>
      <c r="AZ61" s="578">
        <f t="shared" si="68"/>
        <v>-1.7914409525212736</v>
      </c>
      <c r="BA61" s="878">
        <f t="shared" si="68"/>
        <v>-1.0823323647890402</v>
      </c>
      <c r="BB61" s="578">
        <f t="shared" si="68"/>
        <v>-1.4765439184665403</v>
      </c>
      <c r="BC61" s="877">
        <f t="shared" si="68"/>
        <v>4.1516321442334343</v>
      </c>
      <c r="BD61" s="578">
        <f t="shared" si="68"/>
        <v>2.2865886252561949</v>
      </c>
      <c r="BE61" s="578">
        <f t="shared" si="68"/>
        <v>6.7151457478001726</v>
      </c>
      <c r="BF61" s="964">
        <f t="shared" si="68"/>
        <v>-23.774017625388144</v>
      </c>
      <c r="BG61" s="579">
        <f t="shared" si="68"/>
        <v>4.3381253714682373</v>
      </c>
      <c r="BH61" s="877">
        <f t="shared" si="68"/>
        <v>-0.17338703441674808</v>
      </c>
      <c r="BI61" s="578">
        <f t="shared" si="68"/>
        <v>-0.50813044975599131</v>
      </c>
      <c r="BJ61" s="578">
        <f t="shared" si="68"/>
        <v>-0.21894621215658661</v>
      </c>
      <c r="BK61" s="878">
        <f t="shared" si="68"/>
        <v>0.29831927969897265</v>
      </c>
      <c r="BL61" s="579">
        <f t="shared" si="68"/>
        <v>-0.2480729911579197</v>
      </c>
      <c r="BM61" s="877">
        <f t="shared" si="68"/>
        <v>-0.36223571675373822</v>
      </c>
      <c r="BN61" s="578">
        <f t="shared" si="68"/>
        <v>-0.42578577092984082</v>
      </c>
      <c r="BO61" s="578">
        <f t="shared" si="68"/>
        <v>9.7182323528177461E-2</v>
      </c>
      <c r="BP61" s="878">
        <f t="shared" si="68"/>
        <v>2.7649185651197561E-2</v>
      </c>
      <c r="BQ61" s="578">
        <f t="shared" si="68"/>
        <v>-0.16408118711469233</v>
      </c>
      <c r="BR61" s="877">
        <f t="shared" si="68"/>
        <v>0.52502639896888792</v>
      </c>
      <c r="BS61" s="578">
        <f t="shared" si="68"/>
        <v>0.72177778927225233</v>
      </c>
      <c r="BT61" s="578">
        <f t="shared" si="68"/>
        <v>0.61397533348030353</v>
      </c>
      <c r="BU61" s="878">
        <f t="shared" si="68"/>
        <v>0.40691743363135058</v>
      </c>
      <c r="BV61" s="578">
        <f t="shared" si="68"/>
        <v>0.55241135494414784</v>
      </c>
      <c r="BW61" s="877">
        <f t="shared" si="68"/>
        <v>-0.47834503368608872</v>
      </c>
      <c r="BX61" s="578">
        <f t="shared" si="68"/>
        <v>-0.15348645660770732</v>
      </c>
      <c r="BY61" s="578">
        <f t="shared" ref="BY61:CZ61" si="69">BY60/BT60-1</f>
        <v>-0.10577715012927313</v>
      </c>
      <c r="BZ61" s="878">
        <f t="shared" si="69"/>
        <v>-0.31277546812319512</v>
      </c>
      <c r="CA61" s="578">
        <f t="shared" si="69"/>
        <v>-0.23934769355287511</v>
      </c>
      <c r="CB61" s="877">
        <f t="shared" si="69"/>
        <v>4.7455407471347799E-2</v>
      </c>
      <c r="CC61" s="578">
        <f t="shared" si="69"/>
        <v>0.88047450964200036</v>
      </c>
      <c r="CD61" s="578">
        <f t="shared" si="69"/>
        <v>0.19216551041679319</v>
      </c>
      <c r="CE61" s="878">
        <f t="shared" si="69"/>
        <v>-5.5936543079515455E-2</v>
      </c>
      <c r="CF61" s="578">
        <f t="shared" si="69"/>
        <v>0.26329215907357528</v>
      </c>
      <c r="CG61" s="877">
        <f t="shared" si="69"/>
        <v>4.1101538072687775</v>
      </c>
      <c r="CH61" s="578">
        <f t="shared" si="69"/>
        <v>0.37480387947470728</v>
      </c>
      <c r="CI61" s="578">
        <f t="shared" si="69"/>
        <v>-5.6736869656195732E-2</v>
      </c>
      <c r="CJ61" s="878">
        <f t="shared" si="69"/>
        <v>0.53093286563849573</v>
      </c>
      <c r="CK61" s="578">
        <f t="shared" si="69"/>
        <v>0.6134755848084823</v>
      </c>
      <c r="CL61" s="877">
        <f t="shared" si="69"/>
        <v>3.6040125556842328E-2</v>
      </c>
      <c r="CM61" s="578">
        <f t="shared" si="69"/>
        <v>0.68853801580268303</v>
      </c>
      <c r="CN61" s="578">
        <f t="shared" si="69"/>
        <v>1.1947315819885072</v>
      </c>
      <c r="CO61" s="878">
        <f t="shared" si="69"/>
        <v>1.4527650098033313</v>
      </c>
      <c r="CP61" s="578">
        <f t="shared" si="69"/>
        <v>0.73283272026778845</v>
      </c>
      <c r="CQ61" s="877">
        <f t="shared" si="69"/>
        <v>0.49269895692981014</v>
      </c>
      <c r="CR61" s="578">
        <f t="shared" si="69"/>
        <v>-3.2599956145501707E-2</v>
      </c>
      <c r="CS61" s="578">
        <f t="shared" si="69"/>
        <v>-0.16350396068825224</v>
      </c>
      <c r="CT61" s="878">
        <f t="shared" si="69"/>
        <v>-0.26026386953142766</v>
      </c>
      <c r="CU61" s="578">
        <f t="shared" si="69"/>
        <v>-2.8555061859468989E-2</v>
      </c>
      <c r="CV61" s="877">
        <f t="shared" si="69"/>
        <v>-0.17465525604499743</v>
      </c>
      <c r="CW61" s="578">
        <f t="shared" si="69"/>
        <v>-8.4851877077024795E-2</v>
      </c>
      <c r="CX61" s="578">
        <f t="shared" si="69"/>
        <v>-4.7694970983135909E-2</v>
      </c>
      <c r="CY61" s="878">
        <f t="shared" si="69"/>
        <v>0.19233573371148149</v>
      </c>
      <c r="CZ61" s="578">
        <f t="shared" si="69"/>
        <v>-4.7583052933635961E-2</v>
      </c>
    </row>
    <row r="62" spans="1:104" ht="6.2" customHeight="1">
      <c r="A62" s="66"/>
      <c r="B62" s="81"/>
      <c r="C62" s="79"/>
      <c r="D62" s="66"/>
      <c r="E62" s="76"/>
      <c r="F62" s="76"/>
      <c r="G62" s="76"/>
      <c r="H62" s="76"/>
      <c r="I62" s="76"/>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98"/>
      <c r="AQ62" s="66"/>
      <c r="AR62" s="66"/>
      <c r="AS62" s="859"/>
      <c r="AT62" s="20"/>
      <c r="AU62" s="20"/>
      <c r="AV62" s="860"/>
      <c r="AW62" s="66"/>
      <c r="AX62" s="859"/>
      <c r="AY62" s="20"/>
      <c r="AZ62" s="20"/>
      <c r="BA62" s="860"/>
      <c r="BB62" s="66"/>
      <c r="BC62" s="859"/>
      <c r="BD62" s="20"/>
      <c r="BE62" s="20"/>
      <c r="BF62" s="954"/>
      <c r="BG62" s="362"/>
      <c r="BH62" s="859"/>
      <c r="BI62" s="20"/>
      <c r="BJ62" s="20"/>
      <c r="BK62" s="860"/>
      <c r="BL62" s="362"/>
      <c r="BM62" s="859"/>
      <c r="BN62" s="20"/>
      <c r="BO62" s="20"/>
      <c r="BP62" s="860"/>
      <c r="BQ62" s="66"/>
      <c r="BR62" s="859"/>
      <c r="BS62" s="20"/>
      <c r="BT62" s="20"/>
      <c r="BU62" s="860"/>
      <c r="BV62" s="66"/>
      <c r="BW62" s="859"/>
      <c r="BX62" s="20"/>
      <c r="BY62" s="20"/>
      <c r="BZ62" s="860"/>
      <c r="CA62" s="66"/>
      <c r="CB62" s="859"/>
      <c r="CC62" s="20"/>
      <c r="CD62" s="495"/>
      <c r="CE62" s="944"/>
      <c r="CF62" s="453"/>
      <c r="CG62" s="981"/>
      <c r="CH62" s="495"/>
      <c r="CI62" s="20"/>
      <c r="CJ62" s="944"/>
      <c r="CK62" s="453"/>
      <c r="CL62" s="859"/>
      <c r="CM62" s="20"/>
      <c r="CN62" s="20"/>
      <c r="CO62" s="860"/>
      <c r="CP62" s="66"/>
      <c r="CQ62" s="859"/>
      <c r="CR62" s="20"/>
      <c r="CS62" s="20"/>
      <c r="CT62" s="860"/>
      <c r="CU62" s="66"/>
      <c r="CV62" s="859"/>
      <c r="CW62" s="20"/>
      <c r="CX62" s="20"/>
      <c r="CY62" s="860"/>
      <c r="CZ62" s="66"/>
    </row>
    <row r="63" spans="1:104" ht="13.5" customHeight="1">
      <c r="A63" s="66"/>
      <c r="B63" s="81" t="s">
        <v>426</v>
      </c>
      <c r="C63" s="79"/>
      <c r="D63" s="66"/>
      <c r="E63" s="144"/>
      <c r="F63" s="144"/>
      <c r="G63" s="144"/>
      <c r="H63" s="144"/>
      <c r="I63" s="144"/>
      <c r="J63" s="144">
        <f>78.128774*4</f>
        <v>312.51509600000003</v>
      </c>
      <c r="K63" s="144">
        <f>78.358436*4</f>
        <v>313.43374399999999</v>
      </c>
      <c r="L63" s="144">
        <f>78.265914*4</f>
        <v>313.06365599999998</v>
      </c>
      <c r="M63" s="144">
        <f>78.202337*4</f>
        <v>312.809348</v>
      </c>
      <c r="N63" s="144">
        <f>AVERAGE(J63:M63)</f>
        <v>312.95546100000001</v>
      </c>
      <c r="O63" s="144">
        <f>78.197421*4</f>
        <v>312.78968400000002</v>
      </c>
      <c r="P63" s="144">
        <f>78.316413*4</f>
        <v>313.26565199999999</v>
      </c>
      <c r="Q63" s="144">
        <f>78.329713*4</f>
        <v>313.31885199999999</v>
      </c>
      <c r="R63" s="144">
        <f>78.662485*4</f>
        <v>314.64994000000002</v>
      </c>
      <c r="S63" s="144">
        <f>78.329713*4</f>
        <v>313.31885199999999</v>
      </c>
      <c r="T63" s="144">
        <f>79.186*4</f>
        <v>316.74400000000003</v>
      </c>
      <c r="U63" s="144">
        <f>79.436*4</f>
        <v>317.74400000000003</v>
      </c>
      <c r="V63" s="144">
        <f>160.229*2</f>
        <v>320.45800000000003</v>
      </c>
      <c r="W63" s="144">
        <f>160.777*2</f>
        <v>321.55399999999997</v>
      </c>
      <c r="X63" s="144">
        <f>159.754*2</f>
        <v>319.50799999999998</v>
      </c>
      <c r="Y63" s="144">
        <f>161.246*2</f>
        <v>322.49200000000002</v>
      </c>
      <c r="Z63" s="144">
        <f>159.317*2</f>
        <v>318.63400000000001</v>
      </c>
      <c r="AA63" s="144">
        <f>157.236*2</f>
        <v>314.47199999999998</v>
      </c>
      <c r="AB63" s="144">
        <f>156.433*2</f>
        <v>312.86599999999999</v>
      </c>
      <c r="AC63" s="144">
        <f>158.565*2</f>
        <v>317.13</v>
      </c>
      <c r="AD63" s="144">
        <f>156.874*2</f>
        <v>313.74799999999999</v>
      </c>
      <c r="AE63" s="144">
        <f>312.955</f>
        <v>312.95499999999998</v>
      </c>
      <c r="AF63" s="144">
        <v>307.553</v>
      </c>
      <c r="AG63" s="144">
        <v>303.40499999999997</v>
      </c>
      <c r="AH63" s="144">
        <v>309.38099999999997</v>
      </c>
      <c r="AI63" s="165">
        <v>303.48200000000003</v>
      </c>
      <c r="AJ63" s="165">
        <f>303.33</f>
        <v>303.33</v>
      </c>
      <c r="AK63" s="166">
        <v>295.01900000000001</v>
      </c>
      <c r="AL63" s="166">
        <v>289.91800000000001</v>
      </c>
      <c r="AM63" s="144">
        <f>AVERAGE(AI63:AL63)</f>
        <v>297.93725000000001</v>
      </c>
      <c r="AN63" s="165">
        <v>290.20100000000002</v>
      </c>
      <c r="AO63" s="165">
        <v>299.84199999999998</v>
      </c>
      <c r="AP63" s="166">
        <v>318.16800000000001</v>
      </c>
      <c r="AQ63" s="166">
        <v>315.399</v>
      </c>
      <c r="AR63" s="144">
        <v>306.09199999999998</v>
      </c>
      <c r="AS63" s="1106">
        <v>314.31900000000002</v>
      </c>
      <c r="AT63" s="524">
        <v>314.75200000000001</v>
      </c>
      <c r="AU63" s="524">
        <v>315.173</v>
      </c>
      <c r="AV63" s="1107">
        <v>315.74</v>
      </c>
      <c r="AW63" s="580">
        <f>AVERAGE(AS63:AV63)</f>
        <v>314.99599999999998</v>
      </c>
      <c r="AX63" s="1106">
        <v>316.22800000000001</v>
      </c>
      <c r="AY63" s="524">
        <v>316.47199999999998</v>
      </c>
      <c r="AZ63" s="524">
        <v>316.75599999999997</v>
      </c>
      <c r="BA63" s="1107">
        <v>316.32900000000001</v>
      </c>
      <c r="BB63" s="525">
        <v>316.51</v>
      </c>
      <c r="BC63" s="1106">
        <v>316.87400000000002</v>
      </c>
      <c r="BD63" s="524">
        <v>317.02199999999999</v>
      </c>
      <c r="BE63" s="524">
        <v>317.19400000000002</v>
      </c>
      <c r="BF63" s="1169">
        <v>317.464</v>
      </c>
      <c r="BG63" s="581">
        <f>AVERAGE(BC63:BF63)</f>
        <v>317.13849999999996</v>
      </c>
      <c r="BH63" s="1106">
        <v>317.779</v>
      </c>
      <c r="BI63" s="524">
        <v>318.04000000000002</v>
      </c>
      <c r="BJ63" s="524">
        <v>318.52</v>
      </c>
      <c r="BK63" s="1107">
        <v>318.613</v>
      </c>
      <c r="BL63" s="561">
        <v>318.24</v>
      </c>
      <c r="BM63" s="1106">
        <v>318.84199999999998</v>
      </c>
      <c r="BN63" s="524">
        <v>319.02300000000002</v>
      </c>
      <c r="BO63" s="524">
        <v>319.52600000000001</v>
      </c>
      <c r="BP63" s="1107">
        <v>319.65199999999999</v>
      </c>
      <c r="BQ63" s="580">
        <f>AVERAGE(BM63:BP63)</f>
        <v>319.26075000000003</v>
      </c>
      <c r="BR63" s="1106">
        <v>319.76799999999997</v>
      </c>
      <c r="BS63" s="524">
        <v>319.98099999999999</v>
      </c>
      <c r="BT63" s="524">
        <v>320.33699999999999</v>
      </c>
      <c r="BU63" s="1107">
        <v>320.44900000000001</v>
      </c>
      <c r="BV63" s="580">
        <f>AVERAGE(BR63:BU63)</f>
        <v>320.13375000000002</v>
      </c>
      <c r="BW63" s="1106">
        <v>320.483</v>
      </c>
      <c r="BX63" s="524">
        <v>320.70800000000003</v>
      </c>
      <c r="BY63" s="524">
        <v>320.89999999999998</v>
      </c>
      <c r="BZ63" s="1169">
        <v>320.68700000000001</v>
      </c>
      <c r="CA63" s="580">
        <f>AVERAGE(BW63:BZ63)</f>
        <v>320.69450000000001</v>
      </c>
      <c r="CB63" s="1106">
        <v>319.29399999999998</v>
      </c>
      <c r="CC63" s="524">
        <v>319.57799999999997</v>
      </c>
      <c r="CD63" s="524">
        <v>320.02800000000002</v>
      </c>
      <c r="CE63" s="1107">
        <v>320.39600000000002</v>
      </c>
      <c r="CF63" s="524">
        <v>319.822</v>
      </c>
      <c r="CG63" s="1106">
        <v>321.14600000000002</v>
      </c>
      <c r="CH63" s="524">
        <v>321.226</v>
      </c>
      <c r="CI63" s="524">
        <v>320.76299999999998</v>
      </c>
      <c r="CJ63" s="1107">
        <v>319.96699999999998</v>
      </c>
      <c r="CK63" s="580">
        <f>AVERAGE(CG63:CJ63)</f>
        <v>320.77549999999997</v>
      </c>
      <c r="CL63" s="1106">
        <v>320.47399999999999</v>
      </c>
      <c r="CM63" s="582">
        <f>CL63+CM73-CL73</f>
        <v>318.969674</v>
      </c>
      <c r="CN63" s="582">
        <f>CM63+CN73-CM73</f>
        <v>318.969674</v>
      </c>
      <c r="CO63" s="1213">
        <f>CN63+CO73-CN73</f>
        <v>318.969674</v>
      </c>
      <c r="CP63" s="580">
        <f>AVERAGE(CL63:CO63)</f>
        <v>319.3457555</v>
      </c>
      <c r="CQ63" s="1147">
        <f>CO63+CQ73-CO73</f>
        <v>318.969674</v>
      </c>
      <c r="CR63" s="582">
        <f>CQ63+CR73-CQ73</f>
        <v>318.969674</v>
      </c>
      <c r="CS63" s="582">
        <f>CR63+CS73-CR73</f>
        <v>318.969674</v>
      </c>
      <c r="CT63" s="1213">
        <f>CS63+CT73-CS73</f>
        <v>318.969674</v>
      </c>
      <c r="CU63" s="580">
        <f>AVERAGE(CQ63:CT63)</f>
        <v>318.969674</v>
      </c>
      <c r="CV63" s="1147">
        <f>CT63+CV73-CT73</f>
        <v>318.969674</v>
      </c>
      <c r="CW63" s="582">
        <f>CV63+CW73-CV73</f>
        <v>318.969674</v>
      </c>
      <c r="CX63" s="582">
        <f>CW63+CX73-CW73</f>
        <v>318.969674</v>
      </c>
      <c r="CY63" s="1213">
        <f>CX63+CY73-CX73</f>
        <v>318.969674</v>
      </c>
      <c r="CZ63" s="580">
        <f>AVERAGE(CV63:CY63)</f>
        <v>318.969674</v>
      </c>
    </row>
    <row r="64" spans="1:104" ht="6.2" customHeight="1">
      <c r="A64" s="66"/>
      <c r="B64" s="66"/>
      <c r="C64" s="79"/>
      <c r="D64" s="66"/>
      <c r="E64" s="142"/>
      <c r="F64" s="142"/>
      <c r="G64" s="142"/>
      <c r="H64" s="142"/>
      <c r="I64" s="142"/>
      <c r="J64" s="142"/>
      <c r="K64" s="142"/>
      <c r="L64" s="142"/>
      <c r="M64" s="142"/>
      <c r="N64" s="142"/>
      <c r="O64" s="142"/>
      <c r="P64" s="142"/>
      <c r="Q64" s="142"/>
      <c r="R64" s="142"/>
      <c r="S64" s="142"/>
      <c r="T64" s="142"/>
      <c r="U64" s="142"/>
      <c r="V64" s="142"/>
      <c r="W64" s="142"/>
      <c r="X64" s="142"/>
      <c r="Y64" s="142"/>
      <c r="Z64" s="142"/>
      <c r="AA64" s="142"/>
      <c r="AB64" s="142"/>
      <c r="AC64" s="142"/>
      <c r="AD64" s="142"/>
      <c r="AE64" s="142"/>
      <c r="AF64" s="142"/>
      <c r="AG64" s="142"/>
      <c r="AH64" s="142"/>
      <c r="AI64" s="142"/>
      <c r="AJ64" s="142"/>
      <c r="AK64" s="142"/>
      <c r="AL64" s="142"/>
      <c r="AM64" s="142"/>
      <c r="AN64" s="142"/>
      <c r="AO64" s="142"/>
      <c r="AP64" s="142"/>
      <c r="AQ64" s="145"/>
      <c r="AR64" s="145"/>
      <c r="AS64" s="925"/>
      <c r="AT64" s="142"/>
      <c r="AU64" s="142"/>
      <c r="AV64" s="926"/>
      <c r="AW64" s="145"/>
      <c r="AX64" s="925"/>
      <c r="AY64" s="142"/>
      <c r="AZ64" s="142"/>
      <c r="BA64" s="926"/>
      <c r="BB64" s="145"/>
      <c r="BC64" s="925"/>
      <c r="BD64" s="142"/>
      <c r="BE64" s="142"/>
      <c r="BF64" s="977"/>
      <c r="BG64" s="365"/>
      <c r="BH64" s="925"/>
      <c r="BI64" s="142"/>
      <c r="BJ64" s="142"/>
      <c r="BK64" s="926"/>
      <c r="BL64" s="365"/>
      <c r="BM64" s="925"/>
      <c r="BN64" s="142"/>
      <c r="BO64" s="142"/>
      <c r="BP64" s="926"/>
      <c r="BQ64" s="145"/>
      <c r="BR64" s="925"/>
      <c r="BS64" s="142"/>
      <c r="BT64" s="142"/>
      <c r="BU64" s="926"/>
      <c r="BV64" s="145"/>
      <c r="BW64" s="925"/>
      <c r="BX64" s="142"/>
      <c r="BY64" s="142"/>
      <c r="BZ64" s="926"/>
      <c r="CA64" s="145"/>
      <c r="CB64" s="925"/>
      <c r="CC64" s="142"/>
      <c r="CD64" s="142"/>
      <c r="CE64" s="926"/>
      <c r="CF64" s="145"/>
      <c r="CG64" s="925"/>
      <c r="CH64" s="142"/>
      <c r="CI64" s="142"/>
      <c r="CJ64" s="926"/>
      <c r="CK64" s="145"/>
      <c r="CL64" s="925"/>
      <c r="CM64" s="142"/>
      <c r="CN64" s="142"/>
      <c r="CO64" s="926"/>
      <c r="CP64" s="145"/>
      <c r="CQ64" s="925"/>
      <c r="CR64" s="142"/>
      <c r="CS64" s="142"/>
      <c r="CT64" s="926"/>
      <c r="CU64" s="145"/>
      <c r="CV64" s="925"/>
      <c r="CW64" s="142"/>
      <c r="CX64" s="142"/>
      <c r="CY64" s="926"/>
      <c r="CZ64" s="145"/>
    </row>
    <row r="65" spans="1:104" ht="13.5" customHeight="1">
      <c r="A65" s="66"/>
      <c r="B65" s="66"/>
      <c r="C65" s="66" t="s">
        <v>251</v>
      </c>
      <c r="D65" s="66"/>
      <c r="E65" s="98"/>
      <c r="F65" s="98"/>
      <c r="G65" s="98"/>
      <c r="H65" s="98"/>
      <c r="I65" s="98"/>
      <c r="J65" s="98">
        <v>0.19</v>
      </c>
      <c r="K65" s="98">
        <v>0.19</v>
      </c>
      <c r="L65" s="98">
        <v>0.19</v>
      </c>
      <c r="M65" s="98">
        <v>0.19</v>
      </c>
      <c r="N65" s="98">
        <f>SUM(J65:M65)</f>
        <v>0.76</v>
      </c>
      <c r="O65" s="98">
        <v>0.2</v>
      </c>
      <c r="P65" s="98">
        <v>0.2</v>
      </c>
      <c r="Q65" s="98">
        <f>P65</f>
        <v>0.2</v>
      </c>
      <c r="R65" s="98">
        <v>0.2</v>
      </c>
      <c r="S65" s="98">
        <v>0.8</v>
      </c>
      <c r="T65" s="98">
        <v>0.21</v>
      </c>
      <c r="U65" s="98">
        <v>0.21</v>
      </c>
      <c r="V65" s="98">
        <v>0.13</v>
      </c>
      <c r="W65" s="98">
        <v>0.13</v>
      </c>
      <c r="X65" s="98">
        <v>0.47</v>
      </c>
      <c r="Y65" s="98">
        <v>0.4</v>
      </c>
      <c r="Z65" s="98">
        <v>0.4</v>
      </c>
      <c r="AA65" s="98">
        <v>0.4</v>
      </c>
      <c r="AB65" s="98">
        <v>0.65</v>
      </c>
      <c r="AC65" s="98">
        <v>1.85</v>
      </c>
      <c r="AD65" s="98">
        <v>0.7</v>
      </c>
      <c r="AE65" s="98">
        <v>0.6</v>
      </c>
      <c r="AF65" s="98">
        <f>AE65</f>
        <v>0.6</v>
      </c>
      <c r="AG65" s="98">
        <f>AF65</f>
        <v>0.6</v>
      </c>
      <c r="AH65" s="98">
        <f>SUM(AD65:AG65)</f>
        <v>2.5</v>
      </c>
      <c r="AI65" s="98">
        <v>0.61</v>
      </c>
      <c r="AJ65" s="98">
        <f>AI65</f>
        <v>0.61</v>
      </c>
      <c r="AK65" s="98">
        <f>AJ65</f>
        <v>0.61</v>
      </c>
      <c r="AL65" s="98">
        <f>AK65</f>
        <v>0.61</v>
      </c>
      <c r="AM65" s="98">
        <f>SUM(AI65:AL65)</f>
        <v>2.44</v>
      </c>
      <c r="AN65" s="98">
        <v>0.61</v>
      </c>
      <c r="AO65" s="98">
        <v>0.52</v>
      </c>
      <c r="AP65" s="98">
        <v>0.52</v>
      </c>
      <c r="AQ65" s="97">
        <v>0.35</v>
      </c>
      <c r="AR65" s="97">
        <f>SUM(AN65:AQ65)</f>
        <v>2</v>
      </c>
      <c r="AS65" s="927">
        <f>AQ65</f>
        <v>0.35</v>
      </c>
      <c r="AT65" s="583">
        <f>AS65</f>
        <v>0.35</v>
      </c>
      <c r="AU65" s="583">
        <f>AT65</f>
        <v>0.35</v>
      </c>
      <c r="AV65" s="928">
        <f>AU65</f>
        <v>0.35</v>
      </c>
      <c r="AW65" s="557">
        <f>SUM(AS65:AV65)</f>
        <v>1.4</v>
      </c>
      <c r="AX65" s="1145">
        <v>0.36</v>
      </c>
      <c r="AY65" s="527">
        <v>0.36</v>
      </c>
      <c r="AZ65" s="527">
        <v>0.36</v>
      </c>
      <c r="BA65" s="1146">
        <v>0.36</v>
      </c>
      <c r="BB65" s="557">
        <f>SUM(AX65:BA65)</f>
        <v>1.44</v>
      </c>
      <c r="BC65" s="1145">
        <v>0.36249999999999999</v>
      </c>
      <c r="BD65" s="583">
        <f>BC65</f>
        <v>0.36249999999999999</v>
      </c>
      <c r="BE65" s="583">
        <f>BD65</f>
        <v>0.36249999999999999</v>
      </c>
      <c r="BF65" s="928">
        <f>BE65</f>
        <v>0.36249999999999999</v>
      </c>
      <c r="BG65" s="558">
        <f>SUM(BC65:BF65)</f>
        <v>1.45</v>
      </c>
      <c r="BH65" s="1145">
        <v>0.36499999999999999</v>
      </c>
      <c r="BI65" s="527">
        <v>0.36499999999999999</v>
      </c>
      <c r="BJ65" s="527">
        <v>0.36499999999999999</v>
      </c>
      <c r="BK65" s="1146">
        <v>0.36749999999999999</v>
      </c>
      <c r="BL65" s="558">
        <f>SUM(BH65:BK65)</f>
        <v>1.4624999999999999</v>
      </c>
      <c r="BM65" s="1145">
        <v>0.36749999999999999</v>
      </c>
      <c r="BN65" s="527">
        <v>0.36749999999999999</v>
      </c>
      <c r="BO65" s="527">
        <v>0.36749999999999999</v>
      </c>
      <c r="BP65" s="1194">
        <v>0.37</v>
      </c>
      <c r="BQ65" s="557">
        <f>SUM(BM65:BP65)</f>
        <v>1.4725000000000001</v>
      </c>
      <c r="BR65" s="1201">
        <v>0.37</v>
      </c>
      <c r="BS65" s="526">
        <v>0.37</v>
      </c>
      <c r="BT65" s="526">
        <v>0.37</v>
      </c>
      <c r="BU65" s="1194">
        <v>0.3725</v>
      </c>
      <c r="BV65" s="557">
        <f>SUM(BR65:BU65)</f>
        <v>1.4824999999999999</v>
      </c>
      <c r="BW65" s="1201">
        <v>0.3725</v>
      </c>
      <c r="BX65" s="526">
        <v>0.3725</v>
      </c>
      <c r="BY65" s="526">
        <v>0.3725</v>
      </c>
      <c r="BZ65" s="1194">
        <v>0.3725</v>
      </c>
      <c r="CA65" s="557">
        <f>SUM(BW65:BZ65)</f>
        <v>1.49</v>
      </c>
      <c r="CB65" s="1145">
        <v>0.375</v>
      </c>
      <c r="CC65" s="527">
        <v>0.375</v>
      </c>
      <c r="CD65" s="527">
        <v>0.375</v>
      </c>
      <c r="CE65" s="1146">
        <v>0.3775</v>
      </c>
      <c r="CF65" s="557">
        <f>SUM(CB65:CE65)</f>
        <v>1.5024999999999999</v>
      </c>
      <c r="CG65" s="1145">
        <v>0.3775</v>
      </c>
      <c r="CH65" s="527">
        <v>0.3775</v>
      </c>
      <c r="CI65" s="527">
        <v>0.3775</v>
      </c>
      <c r="CJ65" s="1146">
        <v>0.3775</v>
      </c>
      <c r="CK65" s="557">
        <f>SUM(CG65:CJ65)</f>
        <v>1.51</v>
      </c>
      <c r="CL65" s="1145">
        <v>0.3775</v>
      </c>
      <c r="CM65" s="583">
        <f>CL65</f>
        <v>0.3775</v>
      </c>
      <c r="CN65" s="583">
        <f>CM65</f>
        <v>0.3775</v>
      </c>
      <c r="CO65" s="928">
        <f>CN65</f>
        <v>0.3775</v>
      </c>
      <c r="CP65" s="557">
        <f>SUM(CL65:CO65)</f>
        <v>1.51</v>
      </c>
      <c r="CQ65" s="927">
        <f>CL65</f>
        <v>0.3775</v>
      </c>
      <c r="CR65" s="583">
        <f>CQ65</f>
        <v>0.3775</v>
      </c>
      <c r="CS65" s="583">
        <f>CR65</f>
        <v>0.3775</v>
      </c>
      <c r="CT65" s="928">
        <f>CS65</f>
        <v>0.3775</v>
      </c>
      <c r="CU65" s="557">
        <f>SUM(CQ65:CT65)</f>
        <v>1.51</v>
      </c>
      <c r="CV65" s="927">
        <f>CQ65</f>
        <v>0.3775</v>
      </c>
      <c r="CW65" s="583">
        <f>CV65</f>
        <v>0.3775</v>
      </c>
      <c r="CX65" s="583">
        <f>CW65</f>
        <v>0.3775</v>
      </c>
      <c r="CY65" s="928">
        <f>CX65</f>
        <v>0.3775</v>
      </c>
      <c r="CZ65" s="557">
        <f>SUM(CV65:CY65)</f>
        <v>1.51</v>
      </c>
    </row>
    <row r="66" spans="1:104" ht="6.2" customHeight="1">
      <c r="A66" s="66"/>
      <c r="B66" s="66"/>
      <c r="C66" s="66"/>
      <c r="D66" s="66"/>
      <c r="E66" s="98"/>
      <c r="F66" s="98"/>
      <c r="G66" s="98"/>
      <c r="H66" s="98"/>
      <c r="I66" s="98"/>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66"/>
      <c r="AR66" s="66"/>
      <c r="AS66" s="859"/>
      <c r="AT66" s="20"/>
      <c r="AU66" s="20"/>
      <c r="AV66" s="860"/>
      <c r="AW66" s="66"/>
      <c r="AX66" s="859"/>
      <c r="AY66" s="20"/>
      <c r="AZ66" s="20"/>
      <c r="BA66" s="860"/>
      <c r="BB66" s="66"/>
      <c r="BC66" s="859"/>
      <c r="BD66" s="20"/>
      <c r="BE66" s="20"/>
      <c r="BF66" s="954"/>
      <c r="BG66" s="362"/>
      <c r="BH66" s="1190"/>
      <c r="BI66" s="20"/>
      <c r="BJ66" s="20"/>
      <c r="BK66" s="860"/>
      <c r="BL66" s="66"/>
      <c r="BM66" s="859"/>
      <c r="BN66" s="20"/>
      <c r="BO66" s="20"/>
      <c r="BP66" s="860"/>
      <c r="BQ66" s="66"/>
      <c r="BR66" s="859"/>
      <c r="BS66" s="20"/>
      <c r="BT66" s="20"/>
      <c r="BU66" s="860"/>
      <c r="BV66" s="66"/>
      <c r="BW66" s="859"/>
      <c r="BX66" s="20"/>
      <c r="BY66" s="20"/>
      <c r="BZ66" s="860"/>
      <c r="CA66" s="66"/>
      <c r="CB66" s="859"/>
      <c r="CC66" s="20"/>
      <c r="CD66" s="495"/>
      <c r="CE66" s="944"/>
      <c r="CF66" s="453"/>
      <c r="CG66" s="981"/>
      <c r="CH66" s="495"/>
      <c r="CI66" s="20"/>
      <c r="CJ66" s="944"/>
      <c r="CK66" s="453"/>
      <c r="CL66" s="859"/>
      <c r="CM66" s="20"/>
      <c r="CN66" s="20"/>
      <c r="CO66" s="860"/>
      <c r="CP66" s="66"/>
      <c r="CQ66" s="859"/>
      <c r="CR66" s="20"/>
      <c r="CS66" s="20"/>
      <c r="CT66" s="860"/>
      <c r="CU66" s="66"/>
      <c r="CV66" s="859"/>
      <c r="CW66" s="20"/>
      <c r="CX66" s="20"/>
      <c r="CY66" s="860"/>
      <c r="CZ66" s="66"/>
    </row>
    <row r="67" spans="1:104" ht="13.5" customHeight="1" outlineLevel="1">
      <c r="A67" s="79" t="s">
        <v>115</v>
      </c>
      <c r="B67" s="66"/>
      <c r="C67" s="66"/>
      <c r="D67" s="66"/>
      <c r="E67" s="98"/>
      <c r="F67" s="98"/>
      <c r="G67" s="98"/>
      <c r="H67" s="98"/>
      <c r="I67" s="98"/>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66"/>
      <c r="AS67" s="859"/>
      <c r="AT67" s="20"/>
      <c r="AU67" s="20"/>
      <c r="AV67" s="860"/>
      <c r="AW67" s="66"/>
      <c r="AX67" s="859"/>
      <c r="AY67" s="20"/>
      <c r="AZ67" s="20"/>
      <c r="BA67" s="860"/>
      <c r="BB67" s="66"/>
      <c r="BC67" s="859"/>
      <c r="BD67" s="20"/>
      <c r="BE67" s="20"/>
      <c r="BF67" s="954"/>
      <c r="BG67" s="362"/>
      <c r="BH67" s="859"/>
      <c r="BI67" s="20"/>
      <c r="BJ67" s="20"/>
      <c r="BK67" s="860"/>
      <c r="BL67" s="66"/>
      <c r="BM67" s="859"/>
      <c r="BN67" s="20"/>
      <c r="BO67" s="20"/>
      <c r="BP67" s="860"/>
      <c r="BQ67" s="66"/>
      <c r="BR67" s="859"/>
      <c r="BS67" s="20"/>
      <c r="BT67" s="20"/>
      <c r="BU67" s="860"/>
      <c r="BV67" s="66"/>
      <c r="BW67" s="859"/>
      <c r="BX67" s="20"/>
      <c r="BY67" s="20"/>
      <c r="BZ67" s="860"/>
      <c r="CA67" s="66"/>
      <c r="CB67" s="859"/>
      <c r="CC67" s="20"/>
      <c r="CD67" s="495"/>
      <c r="CE67" s="944"/>
      <c r="CF67" s="453"/>
      <c r="CG67" s="981"/>
      <c r="CH67" s="495"/>
      <c r="CI67" s="20"/>
      <c r="CJ67" s="944"/>
      <c r="CK67" s="453"/>
      <c r="CL67" s="859"/>
      <c r="CM67" s="20"/>
      <c r="CN67" s="20"/>
      <c r="CO67" s="860"/>
      <c r="CP67" s="66"/>
      <c r="CQ67" s="859"/>
      <c r="CR67" s="20"/>
      <c r="CS67" s="20"/>
      <c r="CT67" s="860"/>
      <c r="CU67" s="66"/>
      <c r="CV67" s="859"/>
      <c r="CW67" s="20"/>
      <c r="CX67" s="20"/>
      <c r="CY67" s="860"/>
      <c r="CZ67" s="66"/>
    </row>
    <row r="68" spans="1:104" ht="13.5" customHeight="1" outlineLevel="1">
      <c r="A68" s="66"/>
      <c r="B68" s="66" t="s">
        <v>116</v>
      </c>
      <c r="C68" s="66"/>
      <c r="D68" s="66"/>
      <c r="E68" s="93"/>
      <c r="F68" s="93"/>
      <c r="G68" s="93"/>
      <c r="H68" s="93"/>
      <c r="I68" s="93"/>
      <c r="J68" s="93">
        <v>10.7</v>
      </c>
      <c r="K68" s="93">
        <v>31.4</v>
      </c>
      <c r="L68" s="93">
        <v>20.7</v>
      </c>
      <c r="M68" s="93">
        <v>5.173</v>
      </c>
      <c r="N68" s="93">
        <v>67.972999999999999</v>
      </c>
      <c r="O68" s="93">
        <v>4.8680000000000003</v>
      </c>
      <c r="P68" s="93">
        <v>1.0589999999999999</v>
      </c>
      <c r="Q68" s="93">
        <v>2.9020000000000001</v>
      </c>
      <c r="R68" s="93">
        <v>-4.7329999999999997</v>
      </c>
      <c r="S68" s="93">
        <v>4.096000000000001</v>
      </c>
      <c r="T68" s="93">
        <v>63.545999999999999</v>
      </c>
      <c r="U68" s="93">
        <v>144.85400000000001</v>
      </c>
      <c r="V68" s="93">
        <v>220</v>
      </c>
      <c r="W68" s="93">
        <v>181.39099999999999</v>
      </c>
      <c r="X68" s="93">
        <v>609.79099999999994</v>
      </c>
      <c r="Y68" s="93">
        <v>195.8</v>
      </c>
      <c r="Z68" s="93">
        <v>176.72900000000001</v>
      </c>
      <c r="AA68" s="93">
        <v>154.791</v>
      </c>
      <c r="AB68" s="93">
        <v>178.76400000000001</v>
      </c>
      <c r="AC68" s="93">
        <v>706.08399999999995</v>
      </c>
      <c r="AD68" s="93">
        <v>209.1</v>
      </c>
      <c r="AE68" s="93">
        <v>241.97200000000001</v>
      </c>
      <c r="AF68" s="93">
        <v>277.93900000000002</v>
      </c>
      <c r="AG68" s="93">
        <v>207.126</v>
      </c>
      <c r="AH68" s="93">
        <v>936.13699999999994</v>
      </c>
      <c r="AI68" s="93">
        <v>208.63800000000001</v>
      </c>
      <c r="AJ68" s="93">
        <v>187.864</v>
      </c>
      <c r="AK68" s="93">
        <v>203.19900000000001</v>
      </c>
      <c r="AL68" s="93">
        <v>181.667</v>
      </c>
      <c r="AM68" s="93">
        <v>781.36800000000005</v>
      </c>
      <c r="AN68" s="93">
        <v>213.09299999999999</v>
      </c>
      <c r="AO68" s="93">
        <v>295.34800000000001</v>
      </c>
      <c r="AP68" s="93">
        <v>407.52499999999998</v>
      </c>
      <c r="AQ68" s="93">
        <v>43.514000000000003</v>
      </c>
      <c r="AR68" s="93">
        <v>959.48</v>
      </c>
      <c r="AS68" s="1092">
        <v>-91.221000000000004</v>
      </c>
      <c r="AT68" s="529">
        <v>-72.989000000000004</v>
      </c>
      <c r="AU68" s="529">
        <v>-16.172999999999998</v>
      </c>
      <c r="AV68" s="1094">
        <v>3.5830000000000002</v>
      </c>
      <c r="AW68" s="529">
        <v>-176.8</v>
      </c>
      <c r="AX68" s="1092">
        <v>22.841999999999999</v>
      </c>
      <c r="AY68" s="529">
        <v>49.354999999999997</v>
      </c>
      <c r="AZ68" s="529">
        <v>7.9820000000000002</v>
      </c>
      <c r="BA68" s="1094">
        <v>-19.387</v>
      </c>
      <c r="BB68" s="529">
        <v>60.792000000000002</v>
      </c>
      <c r="BC68" s="1092">
        <v>85.132999999999996</v>
      </c>
      <c r="BD68" s="529">
        <v>155.709</v>
      </c>
      <c r="BE68" s="529">
        <v>84.103999999999999</v>
      </c>
      <c r="BF68" s="1162">
        <v>65.882000000000005</v>
      </c>
      <c r="BG68" s="547">
        <v>390.82799999999997</v>
      </c>
      <c r="BH68" s="923">
        <f>BH51</f>
        <v>74.25</v>
      </c>
      <c r="BI68" s="574">
        <f>BI51</f>
        <v>79.600999999999999</v>
      </c>
      <c r="BJ68" s="574">
        <f>BJ51</f>
        <v>75.623000000000005</v>
      </c>
      <c r="BK68" s="924">
        <f>BK51</f>
        <v>63.855000000000004</v>
      </c>
      <c r="BL68" s="530">
        <v>259.81400000000002</v>
      </c>
      <c r="BM68" s="923">
        <f t="shared" ref="BM68:CZ68" si="70">BM51</f>
        <v>42.6</v>
      </c>
      <c r="BN68" s="574">
        <f t="shared" si="70"/>
        <v>46.061999999999998</v>
      </c>
      <c r="BO68" s="574">
        <f t="shared" si="70"/>
        <v>74.987000000000009</v>
      </c>
      <c r="BP68" s="924">
        <f t="shared" si="70"/>
        <v>68.144999999999996</v>
      </c>
      <c r="BQ68" s="555">
        <f t="shared" si="70"/>
        <v>231.79399999999998</v>
      </c>
      <c r="BR68" s="923">
        <f t="shared" si="70"/>
        <v>68.155000000000015</v>
      </c>
      <c r="BS68" s="574">
        <f t="shared" si="70"/>
        <v>74.930000000000007</v>
      </c>
      <c r="BT68" s="574">
        <f t="shared" si="70"/>
        <v>134.184</v>
      </c>
      <c r="BU68" s="924">
        <f t="shared" si="70"/>
        <v>106.268</v>
      </c>
      <c r="BV68" s="555">
        <f t="shared" si="70"/>
        <v>383.53700000000003</v>
      </c>
      <c r="BW68" s="923">
        <f t="shared" si="70"/>
        <v>34.753</v>
      </c>
      <c r="BX68" s="574">
        <f t="shared" si="70"/>
        <v>56.878</v>
      </c>
      <c r="BY68" s="574">
        <f t="shared" si="70"/>
        <v>86.534999999999997</v>
      </c>
      <c r="BZ68" s="924">
        <f t="shared" si="70"/>
        <v>65.381</v>
      </c>
      <c r="CA68" s="555">
        <f t="shared" si="70"/>
        <v>243.547</v>
      </c>
      <c r="CB68" s="923">
        <f t="shared" si="70"/>
        <v>37.064999999999998</v>
      </c>
      <c r="CC68" s="574">
        <f t="shared" si="70"/>
        <v>112.548</v>
      </c>
      <c r="CD68" s="574">
        <f t="shared" si="70"/>
        <v>131.78800000000001</v>
      </c>
      <c r="CE68" s="924">
        <f t="shared" si="70"/>
        <v>67.39500000000001</v>
      </c>
      <c r="CF68" s="555">
        <f t="shared" si="70"/>
        <v>348.79600000000005</v>
      </c>
      <c r="CG68" s="923">
        <f t="shared" si="70"/>
        <v>174.36500000000001</v>
      </c>
      <c r="CH68" s="574">
        <f t="shared" si="70"/>
        <v>166.41200000000001</v>
      </c>
      <c r="CI68" s="574">
        <f t="shared" si="70"/>
        <v>111.1</v>
      </c>
      <c r="CJ68" s="924">
        <f t="shared" si="70"/>
        <v>102.34699999999999</v>
      </c>
      <c r="CK68" s="555">
        <f t="shared" si="70"/>
        <v>554.22400000000005</v>
      </c>
      <c r="CL68" s="923">
        <f t="shared" ref="CL68" si="71">CL51</f>
        <v>135.80000000000001</v>
      </c>
      <c r="CM68" s="574">
        <f t="shared" si="70"/>
        <v>178.9412611328174</v>
      </c>
      <c r="CN68" s="574">
        <f t="shared" si="70"/>
        <v>183.21548101907396</v>
      </c>
      <c r="CO68" s="924">
        <f t="shared" si="70"/>
        <v>168.08668476146048</v>
      </c>
      <c r="CP68" s="555">
        <f t="shared" si="70"/>
        <v>666.04342691335182</v>
      </c>
      <c r="CQ68" s="923">
        <f t="shared" si="70"/>
        <v>183.34390779414028</v>
      </c>
      <c r="CR68" s="574">
        <f t="shared" si="70"/>
        <v>172.41778352104706</v>
      </c>
      <c r="CS68" s="574">
        <f t="shared" si="70"/>
        <v>154.13078982226148</v>
      </c>
      <c r="CT68" s="924">
        <f t="shared" si="70"/>
        <v>126.14794275705714</v>
      </c>
      <c r="CU68" s="555">
        <f t="shared" si="70"/>
        <v>636.04042389450592</v>
      </c>
      <c r="CV68" s="923">
        <f t="shared" si="70"/>
        <v>152.53532504448222</v>
      </c>
      <c r="CW68" s="574">
        <f t="shared" si="70"/>
        <v>159.00888714646646</v>
      </c>
      <c r="CX68" s="574">
        <f t="shared" si="70"/>
        <v>146.47930186196371</v>
      </c>
      <c r="CY68" s="924">
        <f t="shared" si="70"/>
        <v>148.44289373343415</v>
      </c>
      <c r="CZ68" s="555">
        <f t="shared" si="70"/>
        <v>606.46640778634651</v>
      </c>
    </row>
    <row r="69" spans="1:104" ht="13.5" customHeight="1" outlineLevel="1">
      <c r="A69" s="66"/>
      <c r="B69" s="66" t="s">
        <v>239</v>
      </c>
      <c r="C69" s="66"/>
      <c r="D69" s="66"/>
      <c r="E69" s="146"/>
      <c r="F69" s="146"/>
      <c r="G69" s="146"/>
      <c r="H69" s="146"/>
      <c r="I69" s="146"/>
      <c r="J69" s="93">
        <f t="shared" ref="J69:AM69" si="72">J68-J195</f>
        <v>10.7</v>
      </c>
      <c r="K69" s="93">
        <f t="shared" si="72"/>
        <v>31.4</v>
      </c>
      <c r="L69" s="93">
        <f t="shared" si="72"/>
        <v>20.7</v>
      </c>
      <c r="M69" s="93">
        <f t="shared" si="72"/>
        <v>-26.027000000000001</v>
      </c>
      <c r="N69" s="93">
        <f t="shared" si="72"/>
        <v>36.772999999999996</v>
      </c>
      <c r="O69" s="93">
        <f t="shared" si="72"/>
        <v>-1.2319999999999993</v>
      </c>
      <c r="P69" s="93">
        <f t="shared" si="72"/>
        <v>1.0589999999999999</v>
      </c>
      <c r="Q69" s="93">
        <f t="shared" si="72"/>
        <v>2.9020000000000001</v>
      </c>
      <c r="R69" s="93">
        <f t="shared" si="72"/>
        <v>-72.933000000000007</v>
      </c>
      <c r="S69" s="93">
        <f t="shared" si="72"/>
        <v>-70.203999999999994</v>
      </c>
      <c r="T69" s="93">
        <f t="shared" si="72"/>
        <v>67.945999999999998</v>
      </c>
      <c r="U69" s="93">
        <f t="shared" si="72"/>
        <v>173.05400000000003</v>
      </c>
      <c r="V69" s="93">
        <f t="shared" si="72"/>
        <v>240.3</v>
      </c>
      <c r="W69" s="93">
        <f t="shared" si="72"/>
        <v>121.798</v>
      </c>
      <c r="X69" s="93">
        <f t="shared" si="72"/>
        <v>603.09799999999996</v>
      </c>
      <c r="Y69" s="93">
        <f t="shared" si="72"/>
        <v>212</v>
      </c>
      <c r="Z69" s="93">
        <f t="shared" si="72"/>
        <v>193.60000000000002</v>
      </c>
      <c r="AA69" s="93">
        <f t="shared" si="72"/>
        <v>166.63</v>
      </c>
      <c r="AB69" s="93">
        <f t="shared" si="72"/>
        <v>163.233</v>
      </c>
      <c r="AC69" s="93">
        <f t="shared" si="72"/>
        <v>735.46299999999997</v>
      </c>
      <c r="AD69" s="93">
        <f t="shared" si="72"/>
        <v>227.9</v>
      </c>
      <c r="AE69" s="93">
        <f t="shared" si="72"/>
        <v>287.87200000000001</v>
      </c>
      <c r="AF69" s="93">
        <f t="shared" si="72"/>
        <v>257.43900000000002</v>
      </c>
      <c r="AG69" s="93">
        <f t="shared" si="72"/>
        <v>201.83600000000001</v>
      </c>
      <c r="AH69" s="93">
        <f t="shared" si="72"/>
        <v>975.04699999999991</v>
      </c>
      <c r="AI69" s="93">
        <f t="shared" si="72"/>
        <v>225.584</v>
      </c>
      <c r="AJ69" s="93">
        <f t="shared" si="72"/>
        <v>223.89400000000001</v>
      </c>
      <c r="AK69" s="93">
        <f t="shared" si="72"/>
        <v>241.41400000000002</v>
      </c>
      <c r="AL69" s="93">
        <f t="shared" si="72"/>
        <v>171.68199999999999</v>
      </c>
      <c r="AM69" s="93">
        <f t="shared" si="72"/>
        <v>862.57400000000007</v>
      </c>
      <c r="AN69" s="93">
        <f t="shared" ref="AN69:BS69" si="73">AN68-AN195</f>
        <v>221.756</v>
      </c>
      <c r="AO69" s="93">
        <f t="shared" si="73"/>
        <v>353.56600000000003</v>
      </c>
      <c r="AP69" s="93">
        <f t="shared" si="73"/>
        <v>452.17999999999995</v>
      </c>
      <c r="AQ69" s="93">
        <f t="shared" si="73"/>
        <v>225.45400000000001</v>
      </c>
      <c r="AR69" s="93">
        <f t="shared" si="73"/>
        <v>1252.9560000000001</v>
      </c>
      <c r="AS69" s="923">
        <f t="shared" si="73"/>
        <v>-39.528000000000006</v>
      </c>
      <c r="AT69" s="574">
        <f t="shared" si="73"/>
        <v>-93.022999999999996</v>
      </c>
      <c r="AU69" s="574">
        <f t="shared" si="73"/>
        <v>-98.936000000000007</v>
      </c>
      <c r="AV69" s="924">
        <f t="shared" si="73"/>
        <v>-33.859000000000002</v>
      </c>
      <c r="AW69" s="574">
        <f t="shared" si="73"/>
        <v>-265.346</v>
      </c>
      <c r="AX69" s="923">
        <f t="shared" si="73"/>
        <v>20.398999999999997</v>
      </c>
      <c r="AY69" s="574">
        <f t="shared" si="73"/>
        <v>47.62</v>
      </c>
      <c r="AZ69" s="574">
        <f t="shared" si="73"/>
        <v>-17.989999999999998</v>
      </c>
      <c r="BA69" s="924">
        <f t="shared" si="73"/>
        <v>-127.499</v>
      </c>
      <c r="BB69" s="574">
        <f t="shared" si="73"/>
        <v>-77.47</v>
      </c>
      <c r="BC69" s="923">
        <f t="shared" si="73"/>
        <v>80.822000000000003</v>
      </c>
      <c r="BD69" s="574">
        <f t="shared" si="73"/>
        <v>182.905</v>
      </c>
      <c r="BE69" s="574">
        <f t="shared" si="73"/>
        <v>20.363999999999997</v>
      </c>
      <c r="BF69" s="924">
        <f t="shared" si="73"/>
        <v>48.686000000000007</v>
      </c>
      <c r="BG69" s="574">
        <f t="shared" si="73"/>
        <v>332.77699999999999</v>
      </c>
      <c r="BH69" s="923">
        <f t="shared" si="73"/>
        <v>96.146999999999991</v>
      </c>
      <c r="BI69" s="574">
        <f t="shared" si="73"/>
        <v>80.847999999999999</v>
      </c>
      <c r="BJ69" s="574">
        <f t="shared" si="73"/>
        <v>95.027000000000015</v>
      </c>
      <c r="BK69" s="924">
        <f t="shared" si="73"/>
        <v>46.581000000000003</v>
      </c>
      <c r="BL69" s="574">
        <f t="shared" si="73"/>
        <v>285.08800000000002</v>
      </c>
      <c r="BM69" s="923">
        <f t="shared" si="73"/>
        <v>31.417000000000002</v>
      </c>
      <c r="BN69" s="574">
        <f t="shared" si="73"/>
        <v>44.940999999999995</v>
      </c>
      <c r="BO69" s="574">
        <f t="shared" si="73"/>
        <v>76.410000000000011</v>
      </c>
      <c r="BP69" s="924">
        <f t="shared" si="73"/>
        <v>22.461999999999996</v>
      </c>
      <c r="BQ69" s="574">
        <f t="shared" si="73"/>
        <v>175.23</v>
      </c>
      <c r="BR69" s="923">
        <f t="shared" si="73"/>
        <v>59.843000000000018</v>
      </c>
      <c r="BS69" s="574">
        <f t="shared" si="73"/>
        <v>88.363</v>
      </c>
      <c r="BT69" s="574">
        <f t="shared" ref="BT69:CY69" si="74">BT68-BT195</f>
        <v>172.77500000000001</v>
      </c>
      <c r="BU69" s="924">
        <f t="shared" si="74"/>
        <v>-28.308000000000021</v>
      </c>
      <c r="BV69" s="574">
        <f t="shared" si="74"/>
        <v>292.673</v>
      </c>
      <c r="BW69" s="923">
        <f t="shared" si="74"/>
        <v>44.926000000000002</v>
      </c>
      <c r="BX69" s="574">
        <f t="shared" si="74"/>
        <v>82.087999999999994</v>
      </c>
      <c r="BY69" s="574">
        <f t="shared" si="74"/>
        <v>103.81299999999999</v>
      </c>
      <c r="BZ69" s="924">
        <f t="shared" si="74"/>
        <v>95.238</v>
      </c>
      <c r="CA69" s="574">
        <f t="shared" si="74"/>
        <v>326.065</v>
      </c>
      <c r="CB69" s="923">
        <f t="shared" si="74"/>
        <v>31.535999999999998</v>
      </c>
      <c r="CC69" s="574">
        <f t="shared" si="74"/>
        <v>122.358</v>
      </c>
      <c r="CD69" s="574">
        <f t="shared" si="74"/>
        <v>77.673000000000002</v>
      </c>
      <c r="CE69" s="924">
        <f t="shared" si="74"/>
        <v>46.452000000000019</v>
      </c>
      <c r="CF69" s="574">
        <f t="shared" si="74"/>
        <v>278.01900000000006</v>
      </c>
      <c r="CG69" s="923">
        <f t="shared" si="74"/>
        <v>181.06</v>
      </c>
      <c r="CH69" s="574">
        <f t="shared" si="74"/>
        <v>163.89000000000001</v>
      </c>
      <c r="CI69" s="574">
        <f t="shared" si="74"/>
        <v>138.66199999999998</v>
      </c>
      <c r="CJ69" s="924">
        <f t="shared" si="74"/>
        <v>291.78499999999997</v>
      </c>
      <c r="CK69" s="574">
        <f t="shared" si="74"/>
        <v>775.39700000000005</v>
      </c>
      <c r="CL69" s="923">
        <f t="shared" ref="CL69" si="75">CL68-CL195</f>
        <v>105.81200000000001</v>
      </c>
      <c r="CM69" s="574">
        <f t="shared" si="74"/>
        <v>178.9412611328174</v>
      </c>
      <c r="CN69" s="574">
        <f t="shared" si="74"/>
        <v>183.21548101907396</v>
      </c>
      <c r="CO69" s="924">
        <f t="shared" si="74"/>
        <v>168.08668476146048</v>
      </c>
      <c r="CP69" s="574">
        <f t="shared" si="74"/>
        <v>636.05542691335177</v>
      </c>
      <c r="CQ69" s="923">
        <f t="shared" si="74"/>
        <v>183.34390779414028</v>
      </c>
      <c r="CR69" s="574">
        <f t="shared" si="74"/>
        <v>172.41778352104706</v>
      </c>
      <c r="CS69" s="574">
        <f t="shared" si="74"/>
        <v>154.13078982226148</v>
      </c>
      <c r="CT69" s="924">
        <f t="shared" si="74"/>
        <v>126.14794275705714</v>
      </c>
      <c r="CU69" s="574">
        <f t="shared" si="74"/>
        <v>636.04042389450592</v>
      </c>
      <c r="CV69" s="923">
        <f t="shared" si="74"/>
        <v>152.53532504448222</v>
      </c>
      <c r="CW69" s="574">
        <f t="shared" si="74"/>
        <v>159.00888714646646</v>
      </c>
      <c r="CX69" s="574">
        <f t="shared" si="74"/>
        <v>146.47930186196371</v>
      </c>
      <c r="CY69" s="924">
        <f t="shared" si="74"/>
        <v>148.44289373343415</v>
      </c>
      <c r="CZ69" s="574">
        <f t="shared" ref="CZ69" si="76">CZ68-CZ195</f>
        <v>606.46640778634651</v>
      </c>
    </row>
    <row r="70" spans="1:104" ht="13.5" customHeight="1" outlineLevel="1">
      <c r="A70" s="66"/>
      <c r="B70" s="82" t="s">
        <v>472</v>
      </c>
      <c r="C70" s="66"/>
      <c r="D70" s="66"/>
      <c r="E70" s="146"/>
      <c r="F70" s="146"/>
      <c r="G70" s="146"/>
      <c r="H70" s="146"/>
      <c r="I70" s="146"/>
      <c r="J70" s="136">
        <v>0.35</v>
      </c>
      <c r="K70" s="136">
        <v>0.35</v>
      </c>
      <c r="L70" s="136">
        <v>0.35</v>
      </c>
      <c r="M70" s="136">
        <v>0.35</v>
      </c>
      <c r="N70" s="136">
        <v>0.35</v>
      </c>
      <c r="O70" s="136">
        <v>0.35</v>
      </c>
      <c r="P70" s="136">
        <v>0.35</v>
      </c>
      <c r="Q70" s="136">
        <v>0.35</v>
      </c>
      <c r="R70" s="136">
        <v>0.35</v>
      </c>
      <c r="S70" s="136">
        <v>0.35</v>
      </c>
      <c r="T70" s="136">
        <v>0.35</v>
      </c>
      <c r="U70" s="136">
        <v>0.35</v>
      </c>
      <c r="V70" s="136">
        <v>0.35</v>
      </c>
      <c r="W70" s="136">
        <v>0.35</v>
      </c>
      <c r="X70" s="136">
        <v>0.35</v>
      </c>
      <c r="Y70" s="136">
        <v>0.35</v>
      </c>
      <c r="Z70" s="136">
        <v>0.35</v>
      </c>
      <c r="AA70" s="136">
        <v>0.35</v>
      </c>
      <c r="AB70" s="136">
        <v>0.35</v>
      </c>
      <c r="AC70" s="136">
        <v>0.35</v>
      </c>
      <c r="AD70" s="136">
        <v>0.35</v>
      </c>
      <c r="AE70" s="136">
        <v>0.35</v>
      </c>
      <c r="AF70" s="136">
        <v>0.35</v>
      </c>
      <c r="AG70" s="136">
        <v>0.35</v>
      </c>
      <c r="AH70" s="136">
        <v>0.35</v>
      </c>
      <c r="AI70" s="136">
        <v>0.35</v>
      </c>
      <c r="AJ70" s="136">
        <v>0.35</v>
      </c>
      <c r="AK70" s="136">
        <v>0.35</v>
      </c>
      <c r="AL70" s="136">
        <v>0.35</v>
      </c>
      <c r="AM70" s="136">
        <v>0.35</v>
      </c>
      <c r="AN70" s="136">
        <v>0.35</v>
      </c>
      <c r="AO70" s="136">
        <v>0.35</v>
      </c>
      <c r="AP70" s="136">
        <v>0.35</v>
      </c>
      <c r="AQ70" s="136">
        <v>0.35</v>
      </c>
      <c r="AR70" s="136">
        <v>0.35</v>
      </c>
      <c r="AS70" s="1108">
        <v>0.35</v>
      </c>
      <c r="AT70" s="508">
        <v>0.35</v>
      </c>
      <c r="AU70" s="508">
        <v>0.35</v>
      </c>
      <c r="AV70" s="1109">
        <v>0.35</v>
      </c>
      <c r="AW70" s="508">
        <v>0.35</v>
      </c>
      <c r="AX70" s="1108">
        <v>0.35</v>
      </c>
      <c r="AY70" s="508">
        <v>0.35</v>
      </c>
      <c r="AZ70" s="508">
        <v>0.35</v>
      </c>
      <c r="BA70" s="1109">
        <v>0.35</v>
      </c>
      <c r="BB70" s="508">
        <v>0.35</v>
      </c>
      <c r="BC70" s="1108">
        <v>0.35</v>
      </c>
      <c r="BD70" s="508">
        <v>0.35</v>
      </c>
      <c r="BE70" s="508">
        <v>0.35</v>
      </c>
      <c r="BF70" s="1109">
        <v>0.35</v>
      </c>
      <c r="BG70" s="508">
        <v>0.35</v>
      </c>
      <c r="BH70" s="1108">
        <v>0.35</v>
      </c>
      <c r="BI70" s="508">
        <v>0.35</v>
      </c>
      <c r="BJ70" s="508">
        <v>0.35</v>
      </c>
      <c r="BK70" s="1109">
        <v>0.35</v>
      </c>
      <c r="BL70" s="508">
        <v>0.35</v>
      </c>
      <c r="BM70" s="1108">
        <v>0.35</v>
      </c>
      <c r="BN70" s="508">
        <v>0.35</v>
      </c>
      <c r="BO70" s="508">
        <v>0.35</v>
      </c>
      <c r="BP70" s="1109">
        <v>0.35</v>
      </c>
      <c r="BQ70" s="508">
        <v>0.35</v>
      </c>
      <c r="BR70" s="1108">
        <v>0.35</v>
      </c>
      <c r="BS70" s="508">
        <v>0.35</v>
      </c>
      <c r="BT70" s="508">
        <v>0.35</v>
      </c>
      <c r="BU70" s="1109">
        <v>0.35</v>
      </c>
      <c r="BV70" s="508">
        <v>0.35</v>
      </c>
      <c r="BW70" s="1108">
        <v>0.35</v>
      </c>
      <c r="BX70" s="508">
        <v>0.35</v>
      </c>
      <c r="BY70" s="508">
        <v>0.35</v>
      </c>
      <c r="BZ70" s="1109">
        <v>0.35</v>
      </c>
      <c r="CA70" s="508">
        <v>0.35</v>
      </c>
      <c r="CB70" s="1108">
        <v>0.35</v>
      </c>
      <c r="CC70" s="508">
        <v>0.35</v>
      </c>
      <c r="CD70" s="508">
        <v>0.35</v>
      </c>
      <c r="CE70" s="1109">
        <v>0.35</v>
      </c>
      <c r="CF70" s="508">
        <v>0.35</v>
      </c>
      <c r="CG70" s="1108">
        <v>0.35</v>
      </c>
      <c r="CH70" s="508">
        <v>0.35</v>
      </c>
      <c r="CI70" s="508">
        <v>0.35</v>
      </c>
      <c r="CJ70" s="1109">
        <v>0.35</v>
      </c>
      <c r="CK70" s="508">
        <v>0.35</v>
      </c>
      <c r="CL70" s="1108">
        <v>0.35</v>
      </c>
      <c r="CM70" s="508">
        <v>0.24</v>
      </c>
      <c r="CN70" s="508">
        <v>0.24</v>
      </c>
      <c r="CO70" s="1109">
        <v>0.24</v>
      </c>
      <c r="CP70" s="508">
        <v>0.24</v>
      </c>
      <c r="CQ70" s="1108">
        <v>0.24</v>
      </c>
      <c r="CR70" s="508">
        <v>0.24</v>
      </c>
      <c r="CS70" s="508">
        <v>0.24</v>
      </c>
      <c r="CT70" s="1109">
        <v>0.24</v>
      </c>
      <c r="CU70" s="508">
        <v>0.24</v>
      </c>
      <c r="CV70" s="1108">
        <v>0.24</v>
      </c>
      <c r="CW70" s="508">
        <v>0.24</v>
      </c>
      <c r="CX70" s="508">
        <v>0.24</v>
      </c>
      <c r="CY70" s="1109">
        <v>0.24</v>
      </c>
      <c r="CZ70" s="508">
        <v>0.24</v>
      </c>
    </row>
    <row r="71" spans="1:104" ht="6.2" customHeight="1" outlineLevel="1">
      <c r="A71" s="66"/>
      <c r="B71" s="66"/>
      <c r="C71" s="66"/>
      <c r="D71" s="66"/>
      <c r="E71" s="98"/>
      <c r="F71" s="98"/>
      <c r="G71" s="98"/>
      <c r="H71" s="98"/>
      <c r="I71" s="98"/>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66"/>
      <c r="AR71" s="66"/>
      <c r="AS71" s="859"/>
      <c r="AT71" s="20"/>
      <c r="AU71" s="20"/>
      <c r="AV71" s="860"/>
      <c r="AW71" s="66"/>
      <c r="AX71" s="859"/>
      <c r="AY71" s="20"/>
      <c r="AZ71" s="20"/>
      <c r="BA71" s="860"/>
      <c r="BB71" s="66"/>
      <c r="BC71" s="859"/>
      <c r="BD71" s="20"/>
      <c r="BE71" s="20"/>
      <c r="BF71" s="954"/>
      <c r="BG71" s="362"/>
      <c r="BH71" s="859"/>
      <c r="BI71" s="20"/>
      <c r="BJ71" s="20"/>
      <c r="BK71" s="860"/>
      <c r="BL71" s="66"/>
      <c r="BM71" s="859"/>
      <c r="BN71" s="20"/>
      <c r="BO71" s="20"/>
      <c r="BP71" s="860"/>
      <c r="BQ71" s="66"/>
      <c r="BR71" s="859"/>
      <c r="BS71" s="20"/>
      <c r="BT71" s="20"/>
      <c r="BU71" s="860"/>
      <c r="BV71" s="66"/>
      <c r="BW71" s="859"/>
      <c r="BX71" s="20"/>
      <c r="BY71" s="20"/>
      <c r="BZ71" s="860"/>
      <c r="CA71" s="66"/>
      <c r="CB71" s="859"/>
      <c r="CC71" s="20"/>
      <c r="CD71" s="495"/>
      <c r="CE71" s="944"/>
      <c r="CF71" s="453"/>
      <c r="CG71" s="981"/>
      <c r="CH71" s="495"/>
      <c r="CI71" s="20"/>
      <c r="CJ71" s="944"/>
      <c r="CK71" s="453"/>
      <c r="CL71" s="859"/>
      <c r="CM71" s="20"/>
      <c r="CN71" s="20"/>
      <c r="CO71" s="860"/>
      <c r="CP71" s="66"/>
      <c r="CQ71" s="859"/>
      <c r="CR71" s="20"/>
      <c r="CS71" s="20"/>
      <c r="CT71" s="860"/>
      <c r="CU71" s="66"/>
      <c r="CV71" s="859"/>
      <c r="CW71" s="20"/>
      <c r="CX71" s="20"/>
      <c r="CY71" s="860"/>
      <c r="CZ71" s="66"/>
    </row>
    <row r="72" spans="1:104" ht="13.5" customHeight="1" outlineLevel="1">
      <c r="A72" s="79" t="s">
        <v>122</v>
      </c>
      <c r="B72" s="66"/>
      <c r="C72" s="66"/>
      <c r="D72" s="66"/>
      <c r="E72" s="98"/>
      <c r="F72" s="98"/>
      <c r="G72" s="98"/>
      <c r="H72" s="98"/>
      <c r="I72" s="98"/>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66"/>
      <c r="AR72" s="66"/>
      <c r="AS72" s="859"/>
      <c r="AT72" s="20"/>
      <c r="AU72" s="20"/>
      <c r="AV72" s="860"/>
      <c r="AW72" s="66"/>
      <c r="AX72" s="859"/>
      <c r="AY72" s="20"/>
      <c r="AZ72" s="20"/>
      <c r="BA72" s="860"/>
      <c r="BB72" s="66"/>
      <c r="BC72" s="859"/>
      <c r="BD72" s="20"/>
      <c r="BE72" s="20"/>
      <c r="BF72" s="954"/>
      <c r="BG72" s="362"/>
      <c r="BH72" s="859"/>
      <c r="BI72" s="20"/>
      <c r="BJ72" s="20"/>
      <c r="BK72" s="860"/>
      <c r="BL72" s="66"/>
      <c r="BM72" s="859"/>
      <c r="BN72" s="20"/>
      <c r="BO72" s="20"/>
      <c r="BP72" s="860"/>
      <c r="BQ72" s="66"/>
      <c r="BR72" s="859"/>
      <c r="BS72" s="20"/>
      <c r="BT72" s="20"/>
      <c r="BU72" s="860"/>
      <c r="BV72" s="66"/>
      <c r="BW72" s="859"/>
      <c r="BX72" s="20"/>
      <c r="BY72" s="20"/>
      <c r="BZ72" s="860"/>
      <c r="CA72" s="66"/>
      <c r="CB72" s="859"/>
      <c r="CC72" s="20"/>
      <c r="CD72" s="495"/>
      <c r="CE72" s="944"/>
      <c r="CF72" s="453"/>
      <c r="CG72" s="981"/>
      <c r="CH72" s="495"/>
      <c r="CI72" s="20"/>
      <c r="CJ72" s="944"/>
      <c r="CK72" s="453"/>
      <c r="CL72" s="859"/>
      <c r="CM72" s="20"/>
      <c r="CN72" s="20"/>
      <c r="CO72" s="860"/>
      <c r="CP72" s="66"/>
      <c r="CQ72" s="859"/>
      <c r="CR72" s="20"/>
      <c r="CS72" s="20"/>
      <c r="CT72" s="860"/>
      <c r="CU72" s="66"/>
      <c r="CV72" s="859"/>
      <c r="CW72" s="20"/>
      <c r="CX72" s="20"/>
      <c r="CY72" s="860"/>
      <c r="CZ72" s="66"/>
    </row>
    <row r="73" spans="1:104" ht="13.5" customHeight="1">
      <c r="A73" s="66"/>
      <c r="B73" s="81" t="s">
        <v>59</v>
      </c>
      <c r="C73" s="79"/>
      <c r="D73" s="66"/>
      <c r="E73" s="144"/>
      <c r="F73" s="144"/>
      <c r="G73" s="144"/>
      <c r="H73" s="144"/>
      <c r="I73" s="144"/>
      <c r="J73" s="144">
        <f>77.917864*4</f>
        <v>311.67145599999998</v>
      </c>
      <c r="K73" s="144">
        <f>78.084879*4</f>
        <v>312.339516</v>
      </c>
      <c r="L73" s="144">
        <f>78.059305*4</f>
        <v>312.23721999999998</v>
      </c>
      <c r="M73" s="144">
        <f>78.176554*4</f>
        <v>312.70621599999998</v>
      </c>
      <c r="N73" s="144">
        <f>AVERAGE(J73:M73)</f>
        <v>312.23860200000001</v>
      </c>
      <c r="O73" s="144">
        <f>78.1822*4</f>
        <v>312.72879999999998</v>
      </c>
      <c r="P73" s="144">
        <f>78.192924*4</f>
        <v>312.77169600000002</v>
      </c>
      <c r="Q73" s="144">
        <f>78.206035*4</f>
        <v>312.82414</v>
      </c>
      <c r="R73" s="144">
        <f>78.45345*4</f>
        <v>313.81380000000001</v>
      </c>
      <c r="S73" s="144">
        <f>78.774706*4</f>
        <v>315.09882399999998</v>
      </c>
      <c r="T73" s="144">
        <f>78.748*4</f>
        <v>314.99200000000002</v>
      </c>
      <c r="U73" s="144">
        <f>78.193*4</f>
        <v>312.77199999999999</v>
      </c>
      <c r="V73" s="144">
        <f>158.796*2</f>
        <v>317.59199999999998</v>
      </c>
      <c r="W73" s="144">
        <f>159.268*2</f>
        <v>318.536</v>
      </c>
      <c r="X73" s="144">
        <f>158.383*2</f>
        <v>316.76600000000002</v>
      </c>
      <c r="Y73" s="144">
        <f>159.708*2</f>
        <v>319.416</v>
      </c>
      <c r="Z73" s="144">
        <f>158*2</f>
        <v>316</v>
      </c>
      <c r="AA73" s="144">
        <f>155.832*2</f>
        <v>311.66399999999999</v>
      </c>
      <c r="AB73" s="144">
        <f>154.941*2</f>
        <v>309.88200000000001</v>
      </c>
      <c r="AC73" s="144">
        <f>157.128*2</f>
        <v>314.25599999999997</v>
      </c>
      <c r="AD73" s="144">
        <f>155.313*2</f>
        <v>310.62599999999998</v>
      </c>
      <c r="AE73" s="144">
        <v>310.24299999999999</v>
      </c>
      <c r="AF73" s="144">
        <v>304.83499999999998</v>
      </c>
      <c r="AG73" s="144">
        <v>300.74099999999999</v>
      </c>
      <c r="AH73" s="144">
        <v>306.62099999999998</v>
      </c>
      <c r="AI73" s="165">
        <v>301.03399999999999</v>
      </c>
      <c r="AJ73" s="165">
        <f>301.302</f>
        <v>301.30200000000002</v>
      </c>
      <c r="AK73" s="166">
        <v>293.096</v>
      </c>
      <c r="AL73" s="166">
        <v>287.916</v>
      </c>
      <c r="AM73" s="144">
        <f>AVERAGE(AI73:AL73)</f>
        <v>295.83699999999999</v>
      </c>
      <c r="AN73" s="165">
        <v>288.20800000000003</v>
      </c>
      <c r="AO73" s="165">
        <v>298.262</v>
      </c>
      <c r="AP73" s="166">
        <v>316.71300000000002</v>
      </c>
      <c r="AQ73" s="166">
        <v>314.13499999999999</v>
      </c>
      <c r="AR73" s="144">
        <v>304.52499999999998</v>
      </c>
      <c r="AS73" s="1106">
        <v>314.31900000000002</v>
      </c>
      <c r="AT73" s="524">
        <v>314.75200000000001</v>
      </c>
      <c r="AU73" s="524">
        <v>315.173</v>
      </c>
      <c r="AV73" s="1107">
        <v>315.274</v>
      </c>
      <c r="AW73" s="580">
        <f>AVERAGE(AS73:AV73)</f>
        <v>314.87950000000001</v>
      </c>
      <c r="AX73" s="1106">
        <v>315.46100000000001</v>
      </c>
      <c r="AY73" s="524">
        <v>316.47199999999998</v>
      </c>
      <c r="AZ73" s="524">
        <v>316.22300000000001</v>
      </c>
      <c r="BA73" s="1107">
        <v>316.32900000000001</v>
      </c>
      <c r="BB73" s="525">
        <v>315.96199999999999</v>
      </c>
      <c r="BC73" s="1106">
        <v>316.59500000000003</v>
      </c>
      <c r="BD73" s="524">
        <v>316.81099999999998</v>
      </c>
      <c r="BE73" s="524">
        <v>317.28699999999998</v>
      </c>
      <c r="BF73" s="1169">
        <v>317.39299999999997</v>
      </c>
      <c r="BG73" s="581">
        <f>AVERAGE(BC73:BF73)</f>
        <v>317.0215</v>
      </c>
      <c r="BH73" s="1106">
        <v>317.68900000000002</v>
      </c>
      <c r="BI73" s="524">
        <v>317.97500000000002</v>
      </c>
      <c r="BJ73" s="524">
        <v>318.46300000000002</v>
      </c>
      <c r="BK73" s="1107">
        <v>318.553</v>
      </c>
      <c r="BL73" s="580">
        <f>AVERAGE(BH73:BK73)</f>
        <v>318.16999999999996</v>
      </c>
      <c r="BM73" s="1106">
        <v>318.68599999999998</v>
      </c>
      <c r="BN73" s="524">
        <v>318.90300000000002</v>
      </c>
      <c r="BO73" s="524">
        <v>319.34100000000001</v>
      </c>
      <c r="BP73" s="1107">
        <v>319.36099999999999</v>
      </c>
      <c r="BQ73" s="580">
        <f>AVERAGE(BM73:BP73)</f>
        <v>319.07274999999998</v>
      </c>
      <c r="BR73" s="1106">
        <v>319.505</v>
      </c>
      <c r="BS73" s="524">
        <v>319.69299999999998</v>
      </c>
      <c r="BT73" s="524">
        <v>320.02300000000002</v>
      </c>
      <c r="BU73" s="1107">
        <v>320.15699999999998</v>
      </c>
      <c r="BV73" s="580">
        <f>AVERAGE(BR73:BU73)</f>
        <v>319.84449999999998</v>
      </c>
      <c r="BW73" s="1106">
        <v>320.315</v>
      </c>
      <c r="BX73" s="528">
        <v>320.50599999999997</v>
      </c>
      <c r="BY73" s="528">
        <v>320.81900000000002</v>
      </c>
      <c r="BZ73" s="1107">
        <v>320.565</v>
      </c>
      <c r="CA73" s="580">
        <f>AVERAGE(BW73:BZ73)</f>
        <v>320.55124999999998</v>
      </c>
      <c r="CB73" s="1106">
        <v>319.24</v>
      </c>
      <c r="CC73" s="528">
        <v>319.36</v>
      </c>
      <c r="CD73" s="528">
        <v>319.73700000000002</v>
      </c>
      <c r="CE73" s="1169">
        <v>319.92099999999999</v>
      </c>
      <c r="CF73" s="528">
        <v>319.56299999999999</v>
      </c>
      <c r="CG73" s="1106">
        <v>320.22399999999999</v>
      </c>
      <c r="CH73" s="524">
        <v>320.43900000000002</v>
      </c>
      <c r="CI73" s="524">
        <v>320.096</v>
      </c>
      <c r="CJ73" s="1107">
        <v>319.20999999999998</v>
      </c>
      <c r="CK73" s="580">
        <f>AVERAGE(CG73:CJ73)</f>
        <v>319.99225000000001</v>
      </c>
      <c r="CL73" s="1106">
        <v>319.42099999999999</v>
      </c>
      <c r="CM73" s="582">
        <f>AVERAGE(CM76,CL76)</f>
        <v>317.916674</v>
      </c>
      <c r="CN73" s="582">
        <f>AVERAGE(CN76,CM76)</f>
        <v>317.916674</v>
      </c>
      <c r="CO73" s="1213">
        <f>AVERAGE(CO76,CN76)</f>
        <v>317.916674</v>
      </c>
      <c r="CP73" s="580">
        <f>AVERAGE(CL73:CO73)</f>
        <v>318.2927555</v>
      </c>
      <c r="CQ73" s="1147">
        <f>AVERAGE(CQ76,CO76)</f>
        <v>317.916674</v>
      </c>
      <c r="CR73" s="582">
        <f>AVERAGE(CR76,CQ76)</f>
        <v>317.916674</v>
      </c>
      <c r="CS73" s="582">
        <f>AVERAGE(CS76,CR76)</f>
        <v>317.916674</v>
      </c>
      <c r="CT73" s="1213">
        <f>AVERAGE(CT76,CS76)</f>
        <v>317.916674</v>
      </c>
      <c r="CU73" s="580">
        <f>AVERAGE(CQ73:CT73)</f>
        <v>317.916674</v>
      </c>
      <c r="CV73" s="1147">
        <f>AVERAGE(CV76,CT76)</f>
        <v>317.916674</v>
      </c>
      <c r="CW73" s="582">
        <f>AVERAGE(CW76,CV76)</f>
        <v>317.916674</v>
      </c>
      <c r="CX73" s="582">
        <f>AVERAGE(CX76,CW76)</f>
        <v>317.916674</v>
      </c>
      <c r="CY73" s="1213">
        <f>AVERAGE(CY76,CX76)</f>
        <v>317.916674</v>
      </c>
      <c r="CZ73" s="580">
        <f>AVERAGE(CV73:CY73)</f>
        <v>317.916674</v>
      </c>
    </row>
    <row r="74" spans="1:104" ht="13.5" customHeight="1" outlineLevel="1">
      <c r="A74" s="66"/>
      <c r="B74" s="147" t="s">
        <v>355</v>
      </c>
      <c r="C74" s="82"/>
      <c r="D74" s="82"/>
      <c r="E74" s="113"/>
      <c r="F74" s="113"/>
      <c r="G74" s="113"/>
      <c r="H74" s="113"/>
      <c r="I74" s="113"/>
      <c r="J74" s="136"/>
      <c r="K74" s="136"/>
      <c r="L74" s="136"/>
      <c r="M74" s="136"/>
      <c r="N74" s="113"/>
      <c r="O74" s="136">
        <f t="shared" ref="O74:AR74" si="77">O73/J73-1</f>
        <v>3.3924954616313396E-3</v>
      </c>
      <c r="P74" s="136">
        <f t="shared" si="77"/>
        <v>1.3836865905882956E-3</v>
      </c>
      <c r="Q74" s="136">
        <f t="shared" si="77"/>
        <v>1.8797246529418388E-3</v>
      </c>
      <c r="R74" s="136">
        <f t="shared" si="77"/>
        <v>3.5419315105653659E-3</v>
      </c>
      <c r="S74" s="136">
        <f t="shared" si="77"/>
        <v>9.1603728100215775E-3</v>
      </c>
      <c r="T74" s="136">
        <f t="shared" si="77"/>
        <v>7.236941400984076E-3</v>
      </c>
      <c r="U74" s="136">
        <f t="shared" si="77"/>
        <v>9.7195495585289393E-7</v>
      </c>
      <c r="V74" s="136">
        <f t="shared" si="77"/>
        <v>1.5241342947510228E-2</v>
      </c>
      <c r="W74" s="136">
        <f t="shared" si="77"/>
        <v>1.5047776738945196E-2</v>
      </c>
      <c r="X74" s="113">
        <f t="shared" si="77"/>
        <v>5.2909623045753751E-3</v>
      </c>
      <c r="Y74" s="136">
        <f t="shared" si="77"/>
        <v>1.4044801137806706E-2</v>
      </c>
      <c r="Z74" s="136">
        <f t="shared" si="77"/>
        <v>1.0320616935019844E-2</v>
      </c>
      <c r="AA74" s="136">
        <f t="shared" si="77"/>
        <v>-1.8665457568200705E-2</v>
      </c>
      <c r="AB74" s="136">
        <f t="shared" si="77"/>
        <v>-2.7168043800386732E-2</v>
      </c>
      <c r="AC74" s="113">
        <f t="shared" si="77"/>
        <v>-7.9238302090504087E-3</v>
      </c>
      <c r="AD74" s="136">
        <f t="shared" si="77"/>
        <v>-2.7518972124126573E-2</v>
      </c>
      <c r="AE74" s="136">
        <f t="shared" si="77"/>
        <v>-1.821835443037978E-2</v>
      </c>
      <c r="AF74" s="136">
        <f t="shared" si="77"/>
        <v>-2.1911417423892465E-2</v>
      </c>
      <c r="AG74" s="136">
        <f t="shared" si="77"/>
        <v>-2.9498325168935358E-2</v>
      </c>
      <c r="AH74" s="113">
        <f t="shared" si="77"/>
        <v>-2.4295478845272611E-2</v>
      </c>
      <c r="AI74" s="136">
        <f t="shared" si="77"/>
        <v>-3.0879578657291962E-2</v>
      </c>
      <c r="AJ74" s="113">
        <f t="shared" si="77"/>
        <v>-2.8819344836144456E-2</v>
      </c>
      <c r="AK74" s="113">
        <f t="shared" si="77"/>
        <v>-3.8509357521281928E-2</v>
      </c>
      <c r="AL74" s="113">
        <f t="shared" si="77"/>
        <v>-4.2644667670852954E-2</v>
      </c>
      <c r="AM74" s="113">
        <f t="shared" si="77"/>
        <v>-3.5170454730758749E-2</v>
      </c>
      <c r="AN74" s="136">
        <f t="shared" si="77"/>
        <v>-4.2606482988632344E-2</v>
      </c>
      <c r="AO74" s="136">
        <f t="shared" si="77"/>
        <v>-1.0089544709295017E-2</v>
      </c>
      <c r="AP74" s="113">
        <f t="shared" si="77"/>
        <v>8.0577694680241452E-2</v>
      </c>
      <c r="AQ74" s="113">
        <f t="shared" si="77"/>
        <v>9.1064754997985498E-2</v>
      </c>
      <c r="AR74" s="113">
        <f t="shared" si="77"/>
        <v>2.9367523332105128E-2</v>
      </c>
      <c r="AS74" s="857">
        <f t="shared" ref="AS74:BX74" si="78">AS73/AN73-1</f>
        <v>9.059776272691944E-2</v>
      </c>
      <c r="AT74" s="136">
        <f t="shared" si="78"/>
        <v>5.5286962469238476E-2</v>
      </c>
      <c r="AU74" s="136">
        <f t="shared" si="78"/>
        <v>-4.8624464420469193E-3</v>
      </c>
      <c r="AV74" s="858">
        <f t="shared" si="78"/>
        <v>3.6258296592228678E-3</v>
      </c>
      <c r="AW74" s="136">
        <f t="shared" si="78"/>
        <v>3.4002134471718293E-2</v>
      </c>
      <c r="AX74" s="857">
        <f t="shared" si="78"/>
        <v>3.6332515692656386E-3</v>
      </c>
      <c r="AY74" s="136">
        <f t="shared" si="78"/>
        <v>5.4646197641317062E-3</v>
      </c>
      <c r="AZ74" s="136">
        <f t="shared" si="78"/>
        <v>3.3315036503762663E-3</v>
      </c>
      <c r="BA74" s="858">
        <f t="shared" si="78"/>
        <v>3.346295603189553E-3</v>
      </c>
      <c r="BB74" s="136">
        <f t="shared" si="78"/>
        <v>3.437823040242316E-3</v>
      </c>
      <c r="BC74" s="857">
        <f t="shared" si="78"/>
        <v>3.59473912781616E-3</v>
      </c>
      <c r="BD74" s="136">
        <f t="shared" si="78"/>
        <v>1.0711848125584122E-3</v>
      </c>
      <c r="BE74" s="136">
        <f t="shared" si="78"/>
        <v>3.3647141416024429E-3</v>
      </c>
      <c r="BF74" s="952">
        <f t="shared" si="78"/>
        <v>3.3635866455492547E-3</v>
      </c>
      <c r="BG74" s="375">
        <f t="shared" si="78"/>
        <v>3.3532513403511377E-3</v>
      </c>
      <c r="BH74" s="857">
        <f t="shared" si="78"/>
        <v>3.4555188805887038E-3</v>
      </c>
      <c r="BI74" s="136">
        <f t="shared" si="78"/>
        <v>3.6741148508101507E-3</v>
      </c>
      <c r="BJ74" s="136">
        <f t="shared" si="78"/>
        <v>3.7064235219219643E-3</v>
      </c>
      <c r="BK74" s="858">
        <f t="shared" si="78"/>
        <v>3.6547749950377462E-3</v>
      </c>
      <c r="BL74" s="136">
        <f t="shared" si="78"/>
        <v>3.6227826819315023E-3</v>
      </c>
      <c r="BM74" s="857">
        <f t="shared" si="78"/>
        <v>3.1382893332785322E-3</v>
      </c>
      <c r="BN74" s="136">
        <f t="shared" si="78"/>
        <v>2.9184684330529898E-3</v>
      </c>
      <c r="BO74" s="136">
        <f t="shared" si="78"/>
        <v>2.7569921780552509E-3</v>
      </c>
      <c r="BP74" s="858">
        <f t="shared" si="78"/>
        <v>2.5364695984655405E-3</v>
      </c>
      <c r="BQ74" s="136">
        <f t="shared" si="78"/>
        <v>2.8373196718736171E-3</v>
      </c>
      <c r="BR74" s="857">
        <f t="shared" si="78"/>
        <v>2.5699277658888242E-3</v>
      </c>
      <c r="BS74" s="136">
        <f t="shared" si="78"/>
        <v>2.4772422962466845E-3</v>
      </c>
      <c r="BT74" s="136">
        <f t="shared" si="78"/>
        <v>2.1356481003065308E-3</v>
      </c>
      <c r="BU74" s="858">
        <f t="shared" si="78"/>
        <v>2.4924771653396238E-3</v>
      </c>
      <c r="BV74" s="136">
        <f t="shared" si="78"/>
        <v>2.4187273905402762E-3</v>
      </c>
      <c r="BW74" s="857">
        <f t="shared" si="78"/>
        <v>2.5351715935588715E-3</v>
      </c>
      <c r="BX74" s="136">
        <f t="shared" si="78"/>
        <v>2.5430647527471262E-3</v>
      </c>
      <c r="BY74" s="136">
        <f t="shared" ref="BY74:CZ74" si="79">BY73/BT73-1</f>
        <v>2.4873212237870312E-3</v>
      </c>
      <c r="BZ74" s="858">
        <f t="shared" si="79"/>
        <v>1.2743747598835675E-3</v>
      </c>
      <c r="CA74" s="136">
        <f t="shared" si="79"/>
        <v>2.2096675103058239E-3</v>
      </c>
      <c r="CB74" s="857">
        <f t="shared" si="79"/>
        <v>-3.3560713672478037E-3</v>
      </c>
      <c r="CC74" s="136">
        <f t="shared" si="79"/>
        <v>-3.5755960886846294E-3</v>
      </c>
      <c r="CD74" s="136">
        <f t="shared" si="79"/>
        <v>-3.3726182052807863E-3</v>
      </c>
      <c r="CE74" s="858">
        <f t="shared" si="79"/>
        <v>-2.0089529424609509E-3</v>
      </c>
      <c r="CF74" s="136">
        <f t="shared" si="79"/>
        <v>-3.0829703518547857E-3</v>
      </c>
      <c r="CG74" s="857">
        <f t="shared" si="79"/>
        <v>3.0823205112140428E-3</v>
      </c>
      <c r="CH74" s="136">
        <f t="shared" si="79"/>
        <v>3.3786322645290578E-3</v>
      </c>
      <c r="CI74" s="136">
        <f t="shared" si="79"/>
        <v>1.1227977994412441E-3</v>
      </c>
      <c r="CJ74" s="858">
        <f t="shared" si="79"/>
        <v>-2.222423660841355E-3</v>
      </c>
      <c r="CK74" s="136">
        <f t="shared" si="79"/>
        <v>1.3432406129620933E-3</v>
      </c>
      <c r="CL74" s="857">
        <f t="shared" si="79"/>
        <v>-2.5076196662335848E-3</v>
      </c>
      <c r="CM74" s="136">
        <f t="shared" si="79"/>
        <v>-7.8714700769881851E-3</v>
      </c>
      <c r="CN74" s="136">
        <f t="shared" si="79"/>
        <v>-6.8083512446266425E-3</v>
      </c>
      <c r="CO74" s="858">
        <f t="shared" si="79"/>
        <v>-4.0516462516837493E-3</v>
      </c>
      <c r="CP74" s="136">
        <f t="shared" si="79"/>
        <v>-5.311048939466545E-3</v>
      </c>
      <c r="CQ74" s="857">
        <f t="shared" si="79"/>
        <v>-4.7095400740715387E-3</v>
      </c>
      <c r="CR74" s="136">
        <f t="shared" si="79"/>
        <v>0</v>
      </c>
      <c r="CS74" s="136">
        <f t="shared" si="79"/>
        <v>0</v>
      </c>
      <c r="CT74" s="858">
        <f t="shared" si="79"/>
        <v>0</v>
      </c>
      <c r="CU74" s="136">
        <f t="shared" si="79"/>
        <v>-1.1815584662278056E-3</v>
      </c>
      <c r="CV74" s="857">
        <f t="shared" si="79"/>
        <v>0</v>
      </c>
      <c r="CW74" s="136">
        <f t="shared" si="79"/>
        <v>0</v>
      </c>
      <c r="CX74" s="136">
        <f t="shared" si="79"/>
        <v>0</v>
      </c>
      <c r="CY74" s="858">
        <f t="shared" si="79"/>
        <v>0</v>
      </c>
      <c r="CZ74" s="136">
        <f t="shared" si="79"/>
        <v>0</v>
      </c>
    </row>
    <row r="75" spans="1:104" ht="6.2" customHeight="1" outlineLevel="1">
      <c r="A75" s="66"/>
      <c r="B75" s="147"/>
      <c r="C75" s="82"/>
      <c r="D75" s="82"/>
      <c r="E75" s="113"/>
      <c r="F75" s="113"/>
      <c r="G75" s="113"/>
      <c r="H75" s="113"/>
      <c r="I75" s="113"/>
      <c r="J75" s="136"/>
      <c r="K75" s="136"/>
      <c r="L75" s="136"/>
      <c r="M75" s="136"/>
      <c r="N75" s="113"/>
      <c r="O75" s="136"/>
      <c r="P75" s="136"/>
      <c r="Q75" s="136"/>
      <c r="R75" s="136"/>
      <c r="S75" s="113"/>
      <c r="T75" s="136"/>
      <c r="U75" s="136"/>
      <c r="V75" s="136"/>
      <c r="W75" s="136"/>
      <c r="X75" s="113"/>
      <c r="Y75" s="136"/>
      <c r="Z75" s="136"/>
      <c r="AA75" s="136"/>
      <c r="AB75" s="136"/>
      <c r="AC75" s="113"/>
      <c r="AD75" s="136"/>
      <c r="AE75" s="136"/>
      <c r="AF75" s="136"/>
      <c r="AG75" s="136"/>
      <c r="AH75" s="113"/>
      <c r="AI75" s="136"/>
      <c r="AJ75" s="113"/>
      <c r="AK75" s="113"/>
      <c r="AL75" s="113"/>
      <c r="AM75" s="113"/>
      <c r="AN75" s="136"/>
      <c r="AO75" s="136"/>
      <c r="AP75" s="113"/>
      <c r="AQ75" s="113"/>
      <c r="AR75" s="113"/>
      <c r="AS75" s="1080"/>
      <c r="AT75" s="136"/>
      <c r="AU75" s="136"/>
      <c r="AV75" s="858"/>
      <c r="AW75" s="113"/>
      <c r="AX75" s="857"/>
      <c r="AY75" s="113"/>
      <c r="AZ75" s="113"/>
      <c r="BA75" s="1081"/>
      <c r="BB75" s="113"/>
      <c r="BC75" s="1080"/>
      <c r="BD75" s="113"/>
      <c r="BE75" s="113"/>
      <c r="BF75" s="1157"/>
      <c r="BG75" s="376"/>
      <c r="BH75" s="857"/>
      <c r="BI75" s="113"/>
      <c r="BJ75" s="113"/>
      <c r="BK75" s="1081"/>
      <c r="BL75" s="113"/>
      <c r="BM75" s="1080"/>
      <c r="BN75" s="113"/>
      <c r="BO75" s="113"/>
      <c r="BP75" s="1081"/>
      <c r="BQ75" s="113"/>
      <c r="BR75" s="1080"/>
      <c r="BS75" s="113"/>
      <c r="BT75" s="113"/>
      <c r="BU75" s="1081"/>
      <c r="BV75" s="113"/>
      <c r="BW75" s="1080"/>
      <c r="BX75" s="113"/>
      <c r="BY75" s="113"/>
      <c r="BZ75" s="1081"/>
      <c r="CA75" s="113"/>
      <c r="CB75" s="1080"/>
      <c r="CC75" s="113"/>
      <c r="CD75" s="113"/>
      <c r="CE75" s="1081"/>
      <c r="CF75" s="113"/>
      <c r="CG75" s="1080"/>
      <c r="CH75" s="113"/>
      <c r="CI75" s="113"/>
      <c r="CJ75" s="1081"/>
      <c r="CK75" s="113"/>
      <c r="CL75" s="1080"/>
      <c r="CM75" s="113"/>
      <c r="CN75" s="113"/>
      <c r="CO75" s="1081"/>
      <c r="CP75" s="113"/>
      <c r="CQ75" s="1080"/>
      <c r="CR75" s="113"/>
      <c r="CS75" s="113"/>
      <c r="CT75" s="1081"/>
      <c r="CU75" s="113"/>
      <c r="CV75" s="1080"/>
      <c r="CW75" s="113"/>
      <c r="CX75" s="113"/>
      <c r="CY75" s="1081"/>
      <c r="CZ75" s="113"/>
    </row>
    <row r="76" spans="1:104" ht="13.5" customHeight="1">
      <c r="A76" s="66"/>
      <c r="B76" s="81" t="s">
        <v>419</v>
      </c>
      <c r="C76" s="79"/>
      <c r="D76" s="66"/>
      <c r="E76" s="144"/>
      <c r="F76" s="144"/>
      <c r="G76" s="144"/>
      <c r="H76" s="144"/>
      <c r="I76" s="144"/>
      <c r="J76" s="144">
        <f>AVERAGE(J73,K73)</f>
        <v>312.00548600000002</v>
      </c>
      <c r="K76" s="144">
        <f>AVERAGE(K73,L73)</f>
        <v>312.28836799999999</v>
      </c>
      <c r="L76" s="144">
        <f>AVERAGE(L73,M73)</f>
        <v>312.47171800000001</v>
      </c>
      <c r="M76" s="144">
        <f>AVERAGE(M73,O73)</f>
        <v>312.71750799999995</v>
      </c>
      <c r="N76" s="144">
        <f>M76</f>
        <v>312.71750799999995</v>
      </c>
      <c r="O76" s="144">
        <f>AVERAGE(O73,P73)</f>
        <v>312.750248</v>
      </c>
      <c r="P76" s="144">
        <f>AVERAGE(P73,Q73)</f>
        <v>312.79791799999998</v>
      </c>
      <c r="Q76" s="144">
        <f>AVERAGE(Q73,R73)</f>
        <v>313.31897000000004</v>
      </c>
      <c r="R76" s="144">
        <f>(91.067-12.477)*4</f>
        <v>314.35999999999996</v>
      </c>
      <c r="S76" s="144">
        <f>R76</f>
        <v>314.35999999999996</v>
      </c>
      <c r="T76" s="144">
        <f>AVERAGE(T73,U73)</f>
        <v>313.88200000000001</v>
      </c>
      <c r="U76" s="144">
        <f>AVERAGE(U73,V73)</f>
        <v>315.18200000000002</v>
      </c>
      <c r="V76" s="144">
        <f>AVERAGE(V73,W73)</f>
        <v>318.06399999999996</v>
      </c>
      <c r="W76" s="144">
        <f>(184.383-24.871)*2</f>
        <v>319.024</v>
      </c>
      <c r="X76" s="144">
        <f>W76</f>
        <v>319.024</v>
      </c>
      <c r="Y76" s="144">
        <f>AVERAGE(Y73,Z73)</f>
        <v>317.70799999999997</v>
      </c>
      <c r="Z76" s="144">
        <f>AVERAGE(Z73,AA73)</f>
        <v>313.83199999999999</v>
      </c>
      <c r="AA76" s="144">
        <f>AVERAGE(AA73,AB73)</f>
        <v>310.77300000000002</v>
      </c>
      <c r="AB76" s="144">
        <f>(185.299-30.189)*2</f>
        <v>310.22000000000003</v>
      </c>
      <c r="AC76" s="144">
        <f>AB76</f>
        <v>310.22000000000003</v>
      </c>
      <c r="AD76" s="144">
        <f>AVERAGE(AD73,AE73)</f>
        <v>310.43449999999996</v>
      </c>
      <c r="AE76" s="144">
        <f>AVERAGE(AE73,AF73)</f>
        <v>307.53899999999999</v>
      </c>
      <c r="AF76" s="144">
        <f>AVERAGE(AF73,AG73)</f>
        <v>302.78800000000001</v>
      </c>
      <c r="AG76" s="144">
        <f>372.516-71.567</f>
        <v>300.94900000000001</v>
      </c>
      <c r="AH76" s="144">
        <f>AG76</f>
        <v>300.94900000000001</v>
      </c>
      <c r="AI76" s="165">
        <v>301.70403399999998</v>
      </c>
      <c r="AJ76" s="165">
        <f>299.485708</f>
        <v>299.48570799999999</v>
      </c>
      <c r="AK76" s="166">
        <v>287.926784</v>
      </c>
      <c r="AL76" s="166">
        <v>287.99299999999999</v>
      </c>
      <c r="AM76" s="144">
        <f>AL76</f>
        <v>287.99299999999999</v>
      </c>
      <c r="AN76" s="165">
        <f>+AM76</f>
        <v>287.99299999999999</v>
      </c>
      <c r="AO76" s="165">
        <v>316.576391</v>
      </c>
      <c r="AP76" s="166">
        <v>313.94959499999999</v>
      </c>
      <c r="AQ76" s="166">
        <v>314.029607</v>
      </c>
      <c r="AR76" s="144">
        <f>AQ76</f>
        <v>314.029607</v>
      </c>
      <c r="AS76" s="1106">
        <v>314.256709</v>
      </c>
      <c r="AT76" s="582">
        <f>+AS76</f>
        <v>314.256709</v>
      </c>
      <c r="AU76" s="524">
        <v>314.81339000000003</v>
      </c>
      <c r="AV76" s="1107">
        <f>374.069-59.836</f>
        <v>314.233</v>
      </c>
      <c r="AW76" s="580">
        <f>AV76</f>
        <v>314.233</v>
      </c>
      <c r="AX76" s="1147">
        <f>+AW76</f>
        <v>314.233</v>
      </c>
      <c r="AY76" s="582">
        <f>AY73</f>
        <v>316.47199999999998</v>
      </c>
      <c r="AZ76" s="524">
        <v>315.729108</v>
      </c>
      <c r="BA76" s="1107">
        <f>375.451-59.66</f>
        <v>315.79100000000005</v>
      </c>
      <c r="BB76" s="580">
        <f>BA76</f>
        <v>315.79100000000005</v>
      </c>
      <c r="BC76" s="1147">
        <f>+BB76</f>
        <v>315.79100000000005</v>
      </c>
      <c r="BD76" s="524">
        <v>316.503376</v>
      </c>
      <c r="BE76" s="582">
        <f>+BD76</f>
        <v>316.503376</v>
      </c>
      <c r="BF76" s="1169">
        <f>376.239-59.49</f>
        <v>316.74899999999997</v>
      </c>
      <c r="BG76" s="581">
        <f>BF76</f>
        <v>316.74899999999997</v>
      </c>
      <c r="BH76" s="1106">
        <v>317.05196799999999</v>
      </c>
      <c r="BI76" s="524">
        <v>317.45825600000001</v>
      </c>
      <c r="BJ76" s="528">
        <v>317.63842</v>
      </c>
      <c r="BK76" s="1169">
        <v>317.66299999999995</v>
      </c>
      <c r="BL76" s="580">
        <f>BK76</f>
        <v>317.66299999999995</v>
      </c>
      <c r="BM76" s="1195">
        <v>317.78343999999998</v>
      </c>
      <c r="BN76" s="528">
        <v>318.18661800000001</v>
      </c>
      <c r="BO76" s="528">
        <v>318.21104500000001</v>
      </c>
      <c r="BP76" s="1169">
        <f>377.525-59.197</f>
        <v>318.32799999999997</v>
      </c>
      <c r="BQ76" s="580">
        <f>BP76</f>
        <v>318.32799999999997</v>
      </c>
      <c r="BR76" s="1195">
        <v>318.46535</v>
      </c>
      <c r="BS76" s="528">
        <v>318.843007</v>
      </c>
      <c r="BT76" s="528">
        <v>318.99993699999999</v>
      </c>
      <c r="BU76" s="1169">
        <f>378.092-59.059</f>
        <v>319.03300000000002</v>
      </c>
      <c r="BV76" s="580">
        <f>BU76</f>
        <v>319.03300000000002</v>
      </c>
      <c r="BW76" s="1106">
        <v>320.483</v>
      </c>
      <c r="BX76" s="524">
        <v>320.70800000000003</v>
      </c>
      <c r="BY76" s="524">
        <v>320.81900000000002</v>
      </c>
      <c r="BZ76" s="1169">
        <v>317.96199999999999</v>
      </c>
      <c r="CA76" s="580">
        <f>BZ76</f>
        <v>317.96199999999999</v>
      </c>
      <c r="CB76" s="1106">
        <v>317.92865</v>
      </c>
      <c r="CC76" s="524">
        <v>319.57799999999997</v>
      </c>
      <c r="CD76" s="528">
        <v>320.02800000000002</v>
      </c>
      <c r="CE76" s="1169">
        <v>318.73700000000002</v>
      </c>
      <c r="CF76" s="580">
        <f>CE76</f>
        <v>318.73700000000002</v>
      </c>
      <c r="CG76" s="1106">
        <v>319.05185599999999</v>
      </c>
      <c r="CH76" s="524">
        <v>319.42594400000002</v>
      </c>
      <c r="CI76" s="524">
        <v>317.916674</v>
      </c>
      <c r="CJ76" s="1289">
        <f t="shared" ref="CJ76:CK76" si="80">+CI76</f>
        <v>317.916674</v>
      </c>
      <c r="CK76" s="580">
        <f t="shared" si="80"/>
        <v>317.916674</v>
      </c>
      <c r="CL76" s="1310">
        <f>CJ76</f>
        <v>317.916674</v>
      </c>
      <c r="CM76" s="582">
        <f t="shared" ref="CM76:CZ76" si="81">+CL76</f>
        <v>317.916674</v>
      </c>
      <c r="CN76" s="582">
        <f t="shared" si="81"/>
        <v>317.916674</v>
      </c>
      <c r="CO76" s="1213">
        <f t="shared" si="81"/>
        <v>317.916674</v>
      </c>
      <c r="CP76" s="580">
        <f t="shared" si="81"/>
        <v>317.916674</v>
      </c>
      <c r="CQ76" s="1147">
        <f t="shared" si="81"/>
        <v>317.916674</v>
      </c>
      <c r="CR76" s="582">
        <f t="shared" si="81"/>
        <v>317.916674</v>
      </c>
      <c r="CS76" s="582">
        <f t="shared" si="81"/>
        <v>317.916674</v>
      </c>
      <c r="CT76" s="1213">
        <f t="shared" si="81"/>
        <v>317.916674</v>
      </c>
      <c r="CU76" s="580">
        <f t="shared" si="81"/>
        <v>317.916674</v>
      </c>
      <c r="CV76" s="1147">
        <f t="shared" si="81"/>
        <v>317.916674</v>
      </c>
      <c r="CW76" s="582">
        <f t="shared" si="81"/>
        <v>317.916674</v>
      </c>
      <c r="CX76" s="582">
        <f t="shared" si="81"/>
        <v>317.916674</v>
      </c>
      <c r="CY76" s="1213">
        <f t="shared" si="81"/>
        <v>317.916674</v>
      </c>
      <c r="CZ76" s="580">
        <f t="shared" si="81"/>
        <v>317.916674</v>
      </c>
    </row>
    <row r="77" spans="1:104" ht="6.2" customHeight="1" outlineLevel="1">
      <c r="A77" s="66"/>
      <c r="B77" s="66"/>
      <c r="C77" s="66"/>
      <c r="D77" s="66"/>
      <c r="E77" s="98"/>
      <c r="F77" s="98"/>
      <c r="G77" s="98"/>
      <c r="H77" s="98"/>
      <c r="I77" s="98"/>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66"/>
      <c r="AR77" s="66"/>
      <c r="AS77" s="859"/>
      <c r="AT77" s="20"/>
      <c r="AU77" s="20"/>
      <c r="AV77" s="860"/>
      <c r="AW77" s="66"/>
      <c r="AX77" s="859"/>
      <c r="AY77" s="20"/>
      <c r="AZ77" s="20"/>
      <c r="BA77" s="860"/>
      <c r="BB77" s="66"/>
      <c r="BC77" s="859"/>
      <c r="BD77" s="20"/>
      <c r="BE77" s="20"/>
      <c r="BF77" s="954"/>
      <c r="BG77" s="362"/>
      <c r="BH77" s="859"/>
      <c r="BI77" s="20"/>
      <c r="BJ77" s="20"/>
      <c r="BK77" s="860"/>
      <c r="BL77" s="66"/>
      <c r="BM77" s="859"/>
      <c r="BN77" s="20"/>
      <c r="BO77" s="20"/>
      <c r="BP77" s="860"/>
      <c r="BQ77" s="66"/>
      <c r="BR77" s="859"/>
      <c r="BS77" s="20"/>
      <c r="BT77" s="20"/>
      <c r="BU77" s="860"/>
      <c r="BV77" s="66"/>
      <c r="BW77" s="859"/>
      <c r="BX77" s="20"/>
      <c r="BY77" s="20"/>
      <c r="BZ77" s="860"/>
      <c r="CA77" s="66"/>
      <c r="CB77" s="859"/>
      <c r="CC77" s="20"/>
      <c r="CD77" s="495"/>
      <c r="CE77" s="944"/>
      <c r="CF77" s="453"/>
      <c r="CG77" s="981"/>
      <c r="CH77" s="495"/>
      <c r="CI77" s="20"/>
      <c r="CJ77" s="944"/>
      <c r="CK77" s="453"/>
      <c r="CL77" s="859"/>
      <c r="CM77" s="20"/>
      <c r="CN77" s="20"/>
      <c r="CO77" s="860"/>
      <c r="CP77" s="66"/>
      <c r="CQ77" s="859"/>
      <c r="CR77" s="20"/>
      <c r="CS77" s="20"/>
      <c r="CT77" s="860"/>
      <c r="CU77" s="66"/>
      <c r="CV77" s="859"/>
      <c r="CW77" s="20"/>
      <c r="CX77" s="20"/>
      <c r="CY77" s="860"/>
      <c r="CZ77" s="66"/>
    </row>
    <row r="78" spans="1:104" ht="13.5" customHeight="1" outlineLevel="1">
      <c r="A78" s="79" t="s">
        <v>103</v>
      </c>
      <c r="B78" s="66"/>
      <c r="C78" s="66"/>
      <c r="D78" s="66"/>
      <c r="E78" s="93"/>
      <c r="F78" s="93"/>
      <c r="G78" s="93"/>
      <c r="H78" s="93"/>
      <c r="I78" s="93"/>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66"/>
      <c r="AR78" s="66"/>
      <c r="AS78" s="859"/>
      <c r="AT78" s="20"/>
      <c r="AU78" s="20"/>
      <c r="AV78" s="860"/>
      <c r="AW78" s="66"/>
      <c r="AX78" s="859"/>
      <c r="AY78" s="20"/>
      <c r="AZ78" s="20"/>
      <c r="BA78" s="860"/>
      <c r="BB78" s="66"/>
      <c r="BC78" s="859"/>
      <c r="BD78" s="20"/>
      <c r="BE78" s="20"/>
      <c r="BF78" s="954"/>
      <c r="BG78" s="362"/>
      <c r="BH78" s="859"/>
      <c r="BI78" s="20"/>
      <c r="BJ78" s="20"/>
      <c r="BK78" s="860"/>
      <c r="BL78" s="66"/>
      <c r="BM78" s="859"/>
      <c r="BN78" s="20"/>
      <c r="BO78" s="20"/>
      <c r="BP78" s="860"/>
      <c r="BQ78" s="66"/>
      <c r="BR78" s="859"/>
      <c r="BS78" s="20"/>
      <c r="BT78" s="20"/>
      <c r="BU78" s="860"/>
      <c r="BV78" s="66"/>
      <c r="BW78" s="859"/>
      <c r="BX78" s="20"/>
      <c r="BY78" s="20"/>
      <c r="BZ78" s="860"/>
      <c r="CA78" s="66"/>
      <c r="CB78" s="859"/>
      <c r="CC78" s="20"/>
      <c r="CD78" s="495"/>
      <c r="CE78" s="944"/>
      <c r="CF78" s="453"/>
      <c r="CG78" s="981"/>
      <c r="CH78" s="495"/>
      <c r="CI78" s="20"/>
      <c r="CJ78" s="944"/>
      <c r="CK78" s="453"/>
      <c r="CL78" s="859"/>
      <c r="CM78" s="20"/>
      <c r="CN78" s="20"/>
      <c r="CO78" s="860"/>
      <c r="CP78" s="66"/>
      <c r="CQ78" s="859"/>
      <c r="CR78" s="20"/>
      <c r="CS78" s="20"/>
      <c r="CT78" s="860"/>
      <c r="CU78" s="66"/>
      <c r="CV78" s="859"/>
      <c r="CW78" s="20"/>
      <c r="CX78" s="20"/>
      <c r="CY78" s="860"/>
      <c r="CZ78" s="66"/>
    </row>
    <row r="79" spans="1:104" ht="13.5" customHeight="1" outlineLevel="1">
      <c r="A79" s="66"/>
      <c r="B79" s="66" t="s">
        <v>593</v>
      </c>
      <c r="C79" s="66"/>
      <c r="D79" s="66"/>
      <c r="E79" s="93"/>
      <c r="F79" s="93"/>
      <c r="G79" s="93"/>
      <c r="H79" s="93"/>
      <c r="I79" s="93"/>
      <c r="J79" s="93">
        <v>0</v>
      </c>
      <c r="K79" s="93">
        <v>0</v>
      </c>
      <c r="L79" s="93">
        <v>0</v>
      </c>
      <c r="M79" s="93">
        <v>0</v>
      </c>
      <c r="N79" s="93">
        <f t="shared" ref="N79:N86" si="82">SUM(J79:M79)</f>
        <v>0</v>
      </c>
      <c r="O79" s="93">
        <v>0</v>
      </c>
      <c r="P79" s="93">
        <v>4.7</v>
      </c>
      <c r="Q79" s="93">
        <v>0</v>
      </c>
      <c r="R79" s="93">
        <v>0</v>
      </c>
      <c r="S79" s="93">
        <f t="shared" ref="S79:S86" si="83">SUM(O79:R79)</f>
        <v>4.7</v>
      </c>
      <c r="T79" s="93">
        <v>0</v>
      </c>
      <c r="U79" s="93">
        <v>0</v>
      </c>
      <c r="V79" s="93">
        <v>0</v>
      </c>
      <c r="W79" s="93">
        <v>0</v>
      </c>
      <c r="X79" s="93">
        <f>SUM(T79:W79)</f>
        <v>0</v>
      </c>
      <c r="Y79" s="93">
        <v>0</v>
      </c>
      <c r="Z79" s="93">
        <v>0</v>
      </c>
      <c r="AA79" s="93">
        <v>0</v>
      </c>
      <c r="AB79" s="93">
        <v>0</v>
      </c>
      <c r="AC79" s="93">
        <f t="shared" ref="AC79:AC86" si="84">SUM(Y79:AB79)</f>
        <v>0</v>
      </c>
      <c r="AD79" s="93">
        <v>0</v>
      </c>
      <c r="AE79" s="93">
        <v>0</v>
      </c>
      <c r="AF79" s="93">
        <v>0</v>
      </c>
      <c r="AG79" s="93">
        <v>0</v>
      </c>
      <c r="AH79" s="93">
        <f t="shared" ref="AH79:AH86" si="85">SUM(AD79:AG79)</f>
        <v>0</v>
      </c>
      <c r="AI79" s="93">
        <v>0</v>
      </c>
      <c r="AJ79" s="93">
        <v>0</v>
      </c>
      <c r="AK79" s="93">
        <v>0</v>
      </c>
      <c r="AL79" s="93">
        <v>0</v>
      </c>
      <c r="AM79" s="93">
        <f t="shared" ref="AM79:AM86" si="86">SUM(AI79:AL79)</f>
        <v>0</v>
      </c>
      <c r="AN79" s="93">
        <v>0</v>
      </c>
      <c r="AO79" s="93">
        <v>0</v>
      </c>
      <c r="AP79" s="93">
        <v>0</v>
      </c>
      <c r="AQ79" s="101">
        <v>0</v>
      </c>
      <c r="AR79" s="101">
        <f t="shared" ref="AR79:AR86" si="87">SUM(AN79:AQ79)</f>
        <v>0</v>
      </c>
      <c r="AS79" s="1092">
        <v>0</v>
      </c>
      <c r="AT79" s="529">
        <v>0</v>
      </c>
      <c r="AU79" s="529">
        <v>0</v>
      </c>
      <c r="AV79" s="1094">
        <v>0</v>
      </c>
      <c r="AW79" s="555">
        <f t="shared" ref="AW79:AW86" si="88">SUM(AS79:AV79)</f>
        <v>0</v>
      </c>
      <c r="AX79" s="1092">
        <v>0</v>
      </c>
      <c r="AY79" s="529">
        <v>0</v>
      </c>
      <c r="AZ79" s="529">
        <v>0</v>
      </c>
      <c r="BA79" s="1094">
        <v>0</v>
      </c>
      <c r="BB79" s="555">
        <f t="shared" ref="BB79:BB86" si="89">SUM(AX79:BA79)</f>
        <v>0</v>
      </c>
      <c r="BC79" s="1092">
        <v>0</v>
      </c>
      <c r="BD79" s="529">
        <v>0</v>
      </c>
      <c r="BE79" s="529">
        <v>0</v>
      </c>
      <c r="BF79" s="1094">
        <v>0</v>
      </c>
      <c r="BG79" s="556">
        <f t="shared" ref="BG79:BG86" si="90">SUM(BC79:BF79)</f>
        <v>0</v>
      </c>
      <c r="BH79" s="1092">
        <v>0</v>
      </c>
      <c r="BI79" s="529">
        <v>0</v>
      </c>
      <c r="BJ79" s="529">
        <v>0</v>
      </c>
      <c r="BK79" s="1094">
        <v>0</v>
      </c>
      <c r="BL79" s="555">
        <f t="shared" ref="BL79:BL86" si="91">SUM(BH79:BK79)</f>
        <v>0</v>
      </c>
      <c r="BM79" s="1092">
        <v>0</v>
      </c>
      <c r="BN79" s="529">
        <v>0</v>
      </c>
      <c r="BO79" s="529">
        <v>0</v>
      </c>
      <c r="BP79" s="1094">
        <v>0</v>
      </c>
      <c r="BQ79" s="555">
        <f t="shared" ref="BQ79:BQ86" si="92">SUM(BM79:BP79)</f>
        <v>0</v>
      </c>
      <c r="BR79" s="1092">
        <v>0</v>
      </c>
      <c r="BS79" s="529">
        <v>0</v>
      </c>
      <c r="BT79" s="529">
        <v>0</v>
      </c>
      <c r="BU79" s="1094">
        <v>0</v>
      </c>
      <c r="BV79" s="555">
        <f t="shared" ref="BV79:BV86" si="93">SUM(BR79:BU79)</f>
        <v>0</v>
      </c>
      <c r="BW79" s="1092">
        <v>0</v>
      </c>
      <c r="BX79" s="529">
        <v>0</v>
      </c>
      <c r="BY79" s="529">
        <v>0</v>
      </c>
      <c r="BZ79" s="1094">
        <v>0</v>
      </c>
      <c r="CA79" s="555">
        <f t="shared" ref="CA79:CA86" si="94">SUM(BW79:BZ79)</f>
        <v>0</v>
      </c>
      <c r="CB79" s="1092">
        <v>0</v>
      </c>
      <c r="CC79" s="529">
        <v>0</v>
      </c>
      <c r="CD79" s="529">
        <v>0</v>
      </c>
      <c r="CE79" s="1094">
        <v>0</v>
      </c>
      <c r="CF79" s="555">
        <f t="shared" ref="CF79:CF86" si="95">SUM(CB79:CE79)</f>
        <v>0</v>
      </c>
      <c r="CG79" s="1092">
        <v>0</v>
      </c>
      <c r="CH79" s="529">
        <v>0</v>
      </c>
      <c r="CI79" s="529">
        <v>0</v>
      </c>
      <c r="CJ79" s="1094">
        <v>0</v>
      </c>
      <c r="CK79" s="555">
        <f t="shared" ref="CK79:CK86" si="96">SUM(CG79:CJ79)</f>
        <v>0</v>
      </c>
      <c r="CL79" s="1092">
        <v>0</v>
      </c>
      <c r="CM79" s="529">
        <v>0</v>
      </c>
      <c r="CN79" s="529">
        <v>0</v>
      </c>
      <c r="CO79" s="1094">
        <v>0</v>
      </c>
      <c r="CP79" s="555">
        <f t="shared" ref="CP79:CP86" si="97">SUM(CL79:CO79)</f>
        <v>0</v>
      </c>
      <c r="CQ79" s="1092">
        <v>0</v>
      </c>
      <c r="CR79" s="529">
        <v>0</v>
      </c>
      <c r="CS79" s="529">
        <v>0</v>
      </c>
      <c r="CT79" s="1094">
        <v>0</v>
      </c>
      <c r="CU79" s="555">
        <f t="shared" ref="CU79:CU86" si="98">SUM(CQ79:CT79)</f>
        <v>0</v>
      </c>
      <c r="CV79" s="1092">
        <v>0</v>
      </c>
      <c r="CW79" s="529">
        <v>0</v>
      </c>
      <c r="CX79" s="529">
        <v>0</v>
      </c>
      <c r="CY79" s="1094">
        <v>0</v>
      </c>
      <c r="CZ79" s="555">
        <f t="shared" ref="CZ79:CZ86" si="99">SUM(CV79:CY79)</f>
        <v>0</v>
      </c>
    </row>
    <row r="80" spans="1:104" ht="13.5" customHeight="1" outlineLevel="1">
      <c r="A80" s="66"/>
      <c r="B80" s="66" t="s">
        <v>380</v>
      </c>
      <c r="C80" s="66"/>
      <c r="D80" s="66"/>
      <c r="E80" s="93"/>
      <c r="F80" s="93"/>
      <c r="G80" s="93"/>
      <c r="H80" s="93"/>
      <c r="I80" s="93"/>
      <c r="J80" s="93">
        <v>0</v>
      </c>
      <c r="K80" s="93">
        <v>0</v>
      </c>
      <c r="L80" s="93">
        <v>0</v>
      </c>
      <c r="M80" s="93">
        <v>0</v>
      </c>
      <c r="N80" s="93">
        <f t="shared" si="82"/>
        <v>0</v>
      </c>
      <c r="O80" s="93">
        <v>0</v>
      </c>
      <c r="P80" s="93">
        <v>0</v>
      </c>
      <c r="Q80" s="93">
        <v>0</v>
      </c>
      <c r="R80" s="93">
        <v>0</v>
      </c>
      <c r="S80" s="93">
        <f t="shared" si="83"/>
        <v>0</v>
      </c>
      <c r="T80" s="93">
        <v>0</v>
      </c>
      <c r="U80" s="93">
        <v>0</v>
      </c>
      <c r="V80" s="93">
        <v>0</v>
      </c>
      <c r="W80" s="93">
        <v>0</v>
      </c>
      <c r="X80" s="93">
        <f t="shared" ref="X80:X86" si="100">SUM(T80:W80)</f>
        <v>0</v>
      </c>
      <c r="Y80" s="93">
        <v>0</v>
      </c>
      <c r="Z80" s="93">
        <v>0</v>
      </c>
      <c r="AA80" s="93">
        <v>0</v>
      </c>
      <c r="AB80" s="93">
        <v>0</v>
      </c>
      <c r="AC80" s="93">
        <f t="shared" si="84"/>
        <v>0</v>
      </c>
      <c r="AD80" s="93">
        <v>0</v>
      </c>
      <c r="AE80" s="93">
        <v>0</v>
      </c>
      <c r="AF80" s="93">
        <v>0</v>
      </c>
      <c r="AG80" s="93">
        <v>0</v>
      </c>
      <c r="AH80" s="93">
        <f t="shared" si="85"/>
        <v>0</v>
      </c>
      <c r="AI80" s="93">
        <v>0</v>
      </c>
      <c r="AJ80" s="93">
        <v>0</v>
      </c>
      <c r="AK80" s="93">
        <v>0</v>
      </c>
      <c r="AL80" s="93">
        <v>0</v>
      </c>
      <c r="AM80" s="93">
        <f t="shared" si="86"/>
        <v>0</v>
      </c>
      <c r="AN80" s="93">
        <v>0</v>
      </c>
      <c r="AO80" s="93">
        <v>0</v>
      </c>
      <c r="AP80" s="93">
        <v>0</v>
      </c>
      <c r="AQ80" s="101">
        <v>0</v>
      </c>
      <c r="AR80" s="101">
        <f t="shared" si="87"/>
        <v>0</v>
      </c>
      <c r="AS80" s="1092">
        <v>0</v>
      </c>
      <c r="AT80" s="529">
        <v>0</v>
      </c>
      <c r="AU80" s="529">
        <v>0</v>
      </c>
      <c r="AV80" s="1094">
        <v>0</v>
      </c>
      <c r="AW80" s="555">
        <f t="shared" si="88"/>
        <v>0</v>
      </c>
      <c r="AX80" s="1092">
        <v>0</v>
      </c>
      <c r="AY80" s="529">
        <v>0</v>
      </c>
      <c r="AZ80" s="529">
        <v>0</v>
      </c>
      <c r="BA80" s="1094">
        <v>0</v>
      </c>
      <c r="BB80" s="555">
        <f t="shared" si="89"/>
        <v>0</v>
      </c>
      <c r="BC80" s="1092">
        <v>0</v>
      </c>
      <c r="BD80" s="529">
        <v>0</v>
      </c>
      <c r="BE80" s="529">
        <v>0</v>
      </c>
      <c r="BF80" s="1094">
        <v>0</v>
      </c>
      <c r="BG80" s="556">
        <f t="shared" si="90"/>
        <v>0</v>
      </c>
      <c r="BH80" s="1092">
        <v>0</v>
      </c>
      <c r="BI80" s="529">
        <v>0</v>
      </c>
      <c r="BJ80" s="529">
        <v>0</v>
      </c>
      <c r="BK80" s="1094">
        <v>0</v>
      </c>
      <c r="BL80" s="555">
        <f t="shared" si="91"/>
        <v>0</v>
      </c>
      <c r="BM80" s="1092">
        <v>0</v>
      </c>
      <c r="BN80" s="529">
        <v>0</v>
      </c>
      <c r="BO80" s="529">
        <v>0</v>
      </c>
      <c r="BP80" s="1094">
        <v>0</v>
      </c>
      <c r="BQ80" s="555">
        <f t="shared" si="92"/>
        <v>0</v>
      </c>
      <c r="BR80" s="1092">
        <v>0</v>
      </c>
      <c r="BS80" s="529">
        <v>0</v>
      </c>
      <c r="BT80" s="529">
        <v>0</v>
      </c>
      <c r="BU80" s="1094">
        <v>0</v>
      </c>
      <c r="BV80" s="555">
        <f t="shared" si="93"/>
        <v>0</v>
      </c>
      <c r="BW80" s="1092">
        <v>0</v>
      </c>
      <c r="BX80" s="529">
        <v>0</v>
      </c>
      <c r="BY80" s="529">
        <v>0</v>
      </c>
      <c r="BZ80" s="1094">
        <v>0</v>
      </c>
      <c r="CA80" s="555">
        <f t="shared" si="94"/>
        <v>0</v>
      </c>
      <c r="CB80" s="1092">
        <v>0</v>
      </c>
      <c r="CC80" s="529">
        <v>0</v>
      </c>
      <c r="CD80" s="529">
        <v>0</v>
      </c>
      <c r="CE80" s="1094">
        <v>0</v>
      </c>
      <c r="CF80" s="555">
        <f t="shared" si="95"/>
        <v>0</v>
      </c>
      <c r="CG80" s="1092">
        <v>0</v>
      </c>
      <c r="CH80" s="529">
        <v>0</v>
      </c>
      <c r="CI80" s="529">
        <v>0</v>
      </c>
      <c r="CJ80" s="1094">
        <v>0</v>
      </c>
      <c r="CK80" s="555">
        <f t="shared" si="96"/>
        <v>0</v>
      </c>
      <c r="CL80" s="1092">
        <v>0</v>
      </c>
      <c r="CM80" s="529">
        <v>0</v>
      </c>
      <c r="CN80" s="529">
        <v>0</v>
      </c>
      <c r="CO80" s="1094">
        <v>0</v>
      </c>
      <c r="CP80" s="555">
        <f t="shared" si="97"/>
        <v>0</v>
      </c>
      <c r="CQ80" s="1092">
        <v>0</v>
      </c>
      <c r="CR80" s="529">
        <v>0</v>
      </c>
      <c r="CS80" s="529">
        <v>0</v>
      </c>
      <c r="CT80" s="1094">
        <v>0</v>
      </c>
      <c r="CU80" s="555">
        <f t="shared" si="98"/>
        <v>0</v>
      </c>
      <c r="CV80" s="1092">
        <v>0</v>
      </c>
      <c r="CW80" s="529">
        <v>0</v>
      </c>
      <c r="CX80" s="529">
        <v>0</v>
      </c>
      <c r="CY80" s="1094">
        <v>0</v>
      </c>
      <c r="CZ80" s="555">
        <f t="shared" si="99"/>
        <v>0</v>
      </c>
    </row>
    <row r="81" spans="1:104" ht="13.5" customHeight="1" outlineLevel="1">
      <c r="A81" s="66"/>
      <c r="B81" s="66" t="s">
        <v>267</v>
      </c>
      <c r="C81" s="66"/>
      <c r="D81" s="66"/>
      <c r="E81" s="93"/>
      <c r="F81" s="93"/>
      <c r="G81" s="93"/>
      <c r="H81" s="93"/>
      <c r="I81" s="93"/>
      <c r="J81" s="93">
        <v>0</v>
      </c>
      <c r="K81" s="93">
        <v>-17.5</v>
      </c>
      <c r="L81" s="93">
        <v>0</v>
      </c>
      <c r="M81" s="93">
        <v>0</v>
      </c>
      <c r="N81" s="93">
        <f t="shared" si="82"/>
        <v>-17.5</v>
      </c>
      <c r="O81" s="93">
        <v>-1.4955560000000001</v>
      </c>
      <c r="P81" s="93">
        <v>0</v>
      </c>
      <c r="Q81" s="93">
        <v>-3.142252</v>
      </c>
      <c r="R81" s="93">
        <v>-2.8675039999999998</v>
      </c>
      <c r="S81" s="93">
        <f t="shared" si="83"/>
        <v>-7.505312</v>
      </c>
      <c r="T81" s="93">
        <v>0</v>
      </c>
      <c r="U81" s="93">
        <v>0</v>
      </c>
      <c r="V81" s="93">
        <v>0</v>
      </c>
      <c r="W81" s="93">
        <v>0</v>
      </c>
      <c r="X81" s="93">
        <f t="shared" si="100"/>
        <v>0</v>
      </c>
      <c r="Y81" s="93">
        <v>-5.98</v>
      </c>
      <c r="Z81" s="93">
        <v>0</v>
      </c>
      <c r="AA81" s="93">
        <v>0</v>
      </c>
      <c r="AB81" s="93">
        <v>0</v>
      </c>
      <c r="AC81" s="93">
        <f t="shared" si="84"/>
        <v>-5.98</v>
      </c>
      <c r="AD81" s="93">
        <v>0</v>
      </c>
      <c r="AE81" s="93">
        <v>0</v>
      </c>
      <c r="AF81" s="93">
        <v>0</v>
      </c>
      <c r="AG81" s="93">
        <v>0</v>
      </c>
      <c r="AH81" s="93">
        <f t="shared" si="85"/>
        <v>0</v>
      </c>
      <c r="AI81" s="93">
        <v>0</v>
      </c>
      <c r="AJ81" s="93">
        <v>0</v>
      </c>
      <c r="AK81" s="93">
        <v>0</v>
      </c>
      <c r="AL81" s="93">
        <v>0</v>
      </c>
      <c r="AM81" s="93">
        <f t="shared" si="86"/>
        <v>0</v>
      </c>
      <c r="AN81" s="93">
        <v>0</v>
      </c>
      <c r="AO81" s="93">
        <v>0</v>
      </c>
      <c r="AP81" s="93">
        <v>0</v>
      </c>
      <c r="AQ81" s="101">
        <v>0</v>
      </c>
      <c r="AR81" s="101">
        <f t="shared" si="87"/>
        <v>0</v>
      </c>
      <c r="AS81" s="1092">
        <v>0</v>
      </c>
      <c r="AT81" s="529">
        <v>0</v>
      </c>
      <c r="AU81" s="529">
        <v>0</v>
      </c>
      <c r="AV81" s="1094">
        <v>0</v>
      </c>
      <c r="AW81" s="555">
        <f t="shared" si="88"/>
        <v>0</v>
      </c>
      <c r="AX81" s="1092">
        <v>0</v>
      </c>
      <c r="AY81" s="529">
        <v>0</v>
      </c>
      <c r="AZ81" s="529">
        <v>0</v>
      </c>
      <c r="BA81" s="1094">
        <v>0</v>
      </c>
      <c r="BB81" s="555">
        <f t="shared" si="89"/>
        <v>0</v>
      </c>
      <c r="BC81" s="1092">
        <v>0</v>
      </c>
      <c r="BD81" s="529">
        <v>0</v>
      </c>
      <c r="BE81" s="529">
        <v>0</v>
      </c>
      <c r="BF81" s="1094">
        <v>0</v>
      </c>
      <c r="BG81" s="556">
        <f t="shared" si="90"/>
        <v>0</v>
      </c>
      <c r="BH81" s="1092">
        <v>0</v>
      </c>
      <c r="BI81" s="529">
        <v>0</v>
      </c>
      <c r="BJ81" s="529">
        <v>0</v>
      </c>
      <c r="BK81" s="1094">
        <v>0</v>
      </c>
      <c r="BL81" s="555">
        <f t="shared" si="91"/>
        <v>0</v>
      </c>
      <c r="BM81" s="1092">
        <v>0</v>
      </c>
      <c r="BN81" s="529">
        <v>0</v>
      </c>
      <c r="BO81" s="529">
        <v>0</v>
      </c>
      <c r="BP81" s="1094">
        <v>0</v>
      </c>
      <c r="BQ81" s="555">
        <f t="shared" si="92"/>
        <v>0</v>
      </c>
      <c r="BR81" s="1092">
        <v>0</v>
      </c>
      <c r="BS81" s="529">
        <v>0</v>
      </c>
      <c r="BT81" s="529">
        <v>0</v>
      </c>
      <c r="BU81" s="1094">
        <v>0</v>
      </c>
      <c r="BV81" s="555">
        <f t="shared" si="93"/>
        <v>0</v>
      </c>
      <c r="BW81" s="1092">
        <v>0</v>
      </c>
      <c r="BX81" s="529">
        <v>0</v>
      </c>
      <c r="BY81" s="529">
        <v>0</v>
      </c>
      <c r="BZ81" s="1094">
        <v>0</v>
      </c>
      <c r="CA81" s="555">
        <f t="shared" si="94"/>
        <v>0</v>
      </c>
      <c r="CB81" s="1092">
        <v>0</v>
      </c>
      <c r="CC81" s="529">
        <v>0</v>
      </c>
      <c r="CD81" s="529">
        <v>0</v>
      </c>
      <c r="CE81" s="1094">
        <v>0</v>
      </c>
      <c r="CF81" s="555">
        <f t="shared" si="95"/>
        <v>0</v>
      </c>
      <c r="CG81" s="1092">
        <v>0</v>
      </c>
      <c r="CH81" s="529">
        <v>0</v>
      </c>
      <c r="CI81" s="529">
        <v>0</v>
      </c>
      <c r="CJ81" s="1094">
        <v>0</v>
      </c>
      <c r="CK81" s="555">
        <f t="shared" si="96"/>
        <v>0</v>
      </c>
      <c r="CL81" s="1092">
        <v>0</v>
      </c>
      <c r="CM81" s="529">
        <v>0</v>
      </c>
      <c r="CN81" s="529">
        <v>0</v>
      </c>
      <c r="CO81" s="1094">
        <v>0</v>
      </c>
      <c r="CP81" s="555">
        <f t="shared" si="97"/>
        <v>0</v>
      </c>
      <c r="CQ81" s="1092">
        <v>0</v>
      </c>
      <c r="CR81" s="529">
        <v>0</v>
      </c>
      <c r="CS81" s="529">
        <v>0</v>
      </c>
      <c r="CT81" s="1094">
        <v>0</v>
      </c>
      <c r="CU81" s="555">
        <f t="shared" si="98"/>
        <v>0</v>
      </c>
      <c r="CV81" s="1092">
        <v>0</v>
      </c>
      <c r="CW81" s="529">
        <v>0</v>
      </c>
      <c r="CX81" s="529">
        <v>0</v>
      </c>
      <c r="CY81" s="1094">
        <v>0</v>
      </c>
      <c r="CZ81" s="555">
        <f t="shared" si="99"/>
        <v>0</v>
      </c>
    </row>
    <row r="82" spans="1:104" ht="13.5" customHeight="1" outlineLevel="1">
      <c r="A82" s="66"/>
      <c r="B82" s="66" t="s">
        <v>578</v>
      </c>
      <c r="C82" s="66"/>
      <c r="D82" s="66"/>
      <c r="E82" s="93"/>
      <c r="F82" s="93"/>
      <c r="G82" s="93"/>
      <c r="H82" s="93"/>
      <c r="I82" s="93"/>
      <c r="J82" s="93">
        <v>0</v>
      </c>
      <c r="K82" s="93">
        <v>0</v>
      </c>
      <c r="L82" s="93">
        <v>0</v>
      </c>
      <c r="M82" s="93">
        <v>0</v>
      </c>
      <c r="N82" s="93">
        <f t="shared" si="82"/>
        <v>0</v>
      </c>
      <c r="O82" s="93">
        <v>0</v>
      </c>
      <c r="P82" s="93">
        <v>0</v>
      </c>
      <c r="Q82" s="93">
        <v>0</v>
      </c>
      <c r="R82" s="93">
        <v>0</v>
      </c>
      <c r="S82" s="93">
        <f t="shared" si="83"/>
        <v>0</v>
      </c>
      <c r="T82" s="93">
        <v>0</v>
      </c>
      <c r="U82" s="93">
        <v>0</v>
      </c>
      <c r="V82" s="93">
        <v>0</v>
      </c>
      <c r="W82" s="93">
        <v>0</v>
      </c>
      <c r="X82" s="93">
        <f t="shared" si="100"/>
        <v>0</v>
      </c>
      <c r="Y82" s="93">
        <v>0</v>
      </c>
      <c r="Z82" s="93">
        <v>0</v>
      </c>
      <c r="AA82" s="93">
        <v>0</v>
      </c>
      <c r="AB82" s="93">
        <v>0</v>
      </c>
      <c r="AC82" s="93">
        <f t="shared" si="84"/>
        <v>0</v>
      </c>
      <c r="AD82" s="93">
        <v>0</v>
      </c>
      <c r="AE82" s="93">
        <v>0</v>
      </c>
      <c r="AF82" s="93">
        <v>0</v>
      </c>
      <c r="AG82" s="93">
        <v>0</v>
      </c>
      <c r="AH82" s="93">
        <f t="shared" si="85"/>
        <v>0</v>
      </c>
      <c r="AI82" s="93">
        <v>0</v>
      </c>
      <c r="AJ82" s="93">
        <v>0</v>
      </c>
      <c r="AK82" s="93">
        <v>0</v>
      </c>
      <c r="AL82" s="93">
        <v>0</v>
      </c>
      <c r="AM82" s="93">
        <f t="shared" si="86"/>
        <v>0</v>
      </c>
      <c r="AN82" s="93">
        <v>0</v>
      </c>
      <c r="AO82" s="93">
        <v>0</v>
      </c>
      <c r="AP82" s="93">
        <v>0</v>
      </c>
      <c r="AQ82" s="101">
        <v>0</v>
      </c>
      <c r="AR82" s="101">
        <f t="shared" si="87"/>
        <v>0</v>
      </c>
      <c r="AS82" s="1092">
        <v>0</v>
      </c>
      <c r="AT82" s="529">
        <v>0</v>
      </c>
      <c r="AU82" s="529">
        <v>0</v>
      </c>
      <c r="AV82" s="1094">
        <v>0</v>
      </c>
      <c r="AW82" s="555">
        <f t="shared" si="88"/>
        <v>0</v>
      </c>
      <c r="AX82" s="1092">
        <v>0</v>
      </c>
      <c r="AY82" s="529">
        <v>0</v>
      </c>
      <c r="AZ82" s="529">
        <v>0</v>
      </c>
      <c r="BA82" s="1094">
        <v>0</v>
      </c>
      <c r="BB82" s="555">
        <f t="shared" si="89"/>
        <v>0</v>
      </c>
      <c r="BC82" s="1092">
        <v>0</v>
      </c>
      <c r="BD82" s="529">
        <v>0</v>
      </c>
      <c r="BE82" s="529">
        <v>0</v>
      </c>
      <c r="BF82" s="1094">
        <v>0</v>
      </c>
      <c r="BG82" s="556">
        <f t="shared" si="90"/>
        <v>0</v>
      </c>
      <c r="BH82" s="1092">
        <v>0</v>
      </c>
      <c r="BI82" s="529">
        <v>0</v>
      </c>
      <c r="BJ82" s="529">
        <v>0</v>
      </c>
      <c r="BK82" s="1094">
        <v>0</v>
      </c>
      <c r="BL82" s="555">
        <f t="shared" si="91"/>
        <v>0</v>
      </c>
      <c r="BM82" s="1092">
        <v>0</v>
      </c>
      <c r="BN82" s="529">
        <v>0</v>
      </c>
      <c r="BO82" s="529">
        <v>0</v>
      </c>
      <c r="BP82" s="1094">
        <v>0</v>
      </c>
      <c r="BQ82" s="555">
        <f t="shared" si="92"/>
        <v>0</v>
      </c>
      <c r="BR82" s="1092">
        <v>0</v>
      </c>
      <c r="BS82" s="529">
        <v>0</v>
      </c>
      <c r="BT82" s="529">
        <v>0</v>
      </c>
      <c r="BU82" s="1094">
        <v>0</v>
      </c>
      <c r="BV82" s="555">
        <f t="shared" si="93"/>
        <v>0</v>
      </c>
      <c r="BW82" s="1092">
        <v>0</v>
      </c>
      <c r="BX82" s="529">
        <v>0</v>
      </c>
      <c r="BY82" s="529">
        <v>0</v>
      </c>
      <c r="BZ82" s="1094">
        <v>0</v>
      </c>
      <c r="CA82" s="555">
        <f t="shared" si="94"/>
        <v>0</v>
      </c>
      <c r="CB82" s="1092">
        <v>0</v>
      </c>
      <c r="CC82" s="529">
        <v>0</v>
      </c>
      <c r="CD82" s="529">
        <v>0</v>
      </c>
      <c r="CE82" s="1094">
        <v>0</v>
      </c>
      <c r="CF82" s="555">
        <f t="shared" si="95"/>
        <v>0</v>
      </c>
      <c r="CG82" s="1092">
        <v>0</v>
      </c>
      <c r="CH82" s="529">
        <v>0</v>
      </c>
      <c r="CI82" s="529">
        <v>0</v>
      </c>
      <c r="CJ82" s="1094">
        <v>0</v>
      </c>
      <c r="CK82" s="555">
        <f t="shared" si="96"/>
        <v>0</v>
      </c>
      <c r="CL82" s="1092">
        <v>0</v>
      </c>
      <c r="CM82" s="529">
        <v>0</v>
      </c>
      <c r="CN82" s="529">
        <v>0</v>
      </c>
      <c r="CO82" s="1094">
        <v>0</v>
      </c>
      <c r="CP82" s="555">
        <f t="shared" si="97"/>
        <v>0</v>
      </c>
      <c r="CQ82" s="1092">
        <v>0</v>
      </c>
      <c r="CR82" s="529">
        <v>0</v>
      </c>
      <c r="CS82" s="529">
        <v>0</v>
      </c>
      <c r="CT82" s="1094">
        <v>0</v>
      </c>
      <c r="CU82" s="555">
        <f t="shared" si="98"/>
        <v>0</v>
      </c>
      <c r="CV82" s="1092">
        <v>0</v>
      </c>
      <c r="CW82" s="529">
        <v>0</v>
      </c>
      <c r="CX82" s="529">
        <v>0</v>
      </c>
      <c r="CY82" s="1094">
        <v>0</v>
      </c>
      <c r="CZ82" s="555">
        <f t="shared" si="99"/>
        <v>0</v>
      </c>
    </row>
    <row r="83" spans="1:104" ht="13.5" customHeight="1" outlineLevel="1">
      <c r="A83" s="66"/>
      <c r="B83" s="66" t="s">
        <v>268</v>
      </c>
      <c r="C83" s="66"/>
      <c r="D83" s="66"/>
      <c r="E83" s="93"/>
      <c r="F83" s="93"/>
      <c r="G83" s="93"/>
      <c r="H83" s="93"/>
      <c r="I83" s="93"/>
      <c r="J83" s="93">
        <v>0</v>
      </c>
      <c r="K83" s="93">
        <v>0</v>
      </c>
      <c r="L83" s="93">
        <v>0</v>
      </c>
      <c r="M83" s="93">
        <v>0</v>
      </c>
      <c r="N83" s="93">
        <f t="shared" si="82"/>
        <v>0</v>
      </c>
      <c r="O83" s="93">
        <v>0</v>
      </c>
      <c r="P83" s="93">
        <v>0</v>
      </c>
      <c r="Q83" s="93">
        <v>0</v>
      </c>
      <c r="R83" s="93">
        <v>0</v>
      </c>
      <c r="S83" s="93">
        <f t="shared" si="83"/>
        <v>0</v>
      </c>
      <c r="T83" s="93">
        <v>-1.0369999999999999</v>
      </c>
      <c r="U83" s="93">
        <v>0</v>
      </c>
      <c r="V83" s="93">
        <v>0</v>
      </c>
      <c r="W83" s="93">
        <v>0</v>
      </c>
      <c r="X83" s="93">
        <f t="shared" si="100"/>
        <v>-1.0369999999999999</v>
      </c>
      <c r="Y83" s="93">
        <v>0</v>
      </c>
      <c r="Z83" s="93">
        <v>0</v>
      </c>
      <c r="AA83" s="93">
        <v>0</v>
      </c>
      <c r="AB83" s="93">
        <v>0</v>
      </c>
      <c r="AC83" s="93">
        <f t="shared" si="84"/>
        <v>0</v>
      </c>
      <c r="AD83" s="93">
        <v>0</v>
      </c>
      <c r="AE83" s="93">
        <v>0</v>
      </c>
      <c r="AF83" s="93">
        <v>0</v>
      </c>
      <c r="AG83" s="93">
        <v>0</v>
      </c>
      <c r="AH83" s="93">
        <f t="shared" si="85"/>
        <v>0</v>
      </c>
      <c r="AI83" s="93">
        <v>0</v>
      </c>
      <c r="AJ83" s="93">
        <v>0</v>
      </c>
      <c r="AK83" s="93">
        <v>0</v>
      </c>
      <c r="AL83" s="93">
        <v>0</v>
      </c>
      <c r="AM83" s="93">
        <f t="shared" si="86"/>
        <v>0</v>
      </c>
      <c r="AN83" s="93">
        <v>0</v>
      </c>
      <c r="AO83" s="93">
        <v>0</v>
      </c>
      <c r="AP83" s="93">
        <v>0</v>
      </c>
      <c r="AQ83" s="101">
        <v>0</v>
      </c>
      <c r="AR83" s="101">
        <f t="shared" si="87"/>
        <v>0</v>
      </c>
      <c r="AS83" s="1092">
        <v>0</v>
      </c>
      <c r="AT83" s="529">
        <v>0</v>
      </c>
      <c r="AU83" s="529">
        <v>0</v>
      </c>
      <c r="AV83" s="1094">
        <v>0</v>
      </c>
      <c r="AW83" s="555">
        <f t="shared" si="88"/>
        <v>0</v>
      </c>
      <c r="AX83" s="1092">
        <v>0</v>
      </c>
      <c r="AY83" s="529">
        <v>0</v>
      </c>
      <c r="AZ83" s="529">
        <v>0</v>
      </c>
      <c r="BA83" s="1094">
        <v>0</v>
      </c>
      <c r="BB83" s="555">
        <f t="shared" si="89"/>
        <v>0</v>
      </c>
      <c r="BC83" s="1092">
        <v>0</v>
      </c>
      <c r="BD83" s="529">
        <v>0</v>
      </c>
      <c r="BE83" s="529">
        <v>0</v>
      </c>
      <c r="BF83" s="1094">
        <v>0</v>
      </c>
      <c r="BG83" s="556">
        <f t="shared" si="90"/>
        <v>0</v>
      </c>
      <c r="BH83" s="1092">
        <v>0</v>
      </c>
      <c r="BI83" s="529">
        <v>0</v>
      </c>
      <c r="BJ83" s="529">
        <v>0</v>
      </c>
      <c r="BK83" s="1094">
        <v>0</v>
      </c>
      <c r="BL83" s="555">
        <f t="shared" si="91"/>
        <v>0</v>
      </c>
      <c r="BM83" s="1092">
        <v>0</v>
      </c>
      <c r="BN83" s="529">
        <v>0</v>
      </c>
      <c r="BO83" s="529">
        <v>0</v>
      </c>
      <c r="BP83" s="1094">
        <v>0</v>
      </c>
      <c r="BQ83" s="555">
        <f t="shared" si="92"/>
        <v>0</v>
      </c>
      <c r="BR83" s="1092">
        <v>0</v>
      </c>
      <c r="BS83" s="529">
        <v>0</v>
      </c>
      <c r="BT83" s="529">
        <v>0</v>
      </c>
      <c r="BU83" s="1094">
        <v>0</v>
      </c>
      <c r="BV83" s="555">
        <f t="shared" si="93"/>
        <v>0</v>
      </c>
      <c r="BW83" s="1092">
        <v>0</v>
      </c>
      <c r="BX83" s="529">
        <v>0</v>
      </c>
      <c r="BY83" s="529">
        <v>0</v>
      </c>
      <c r="BZ83" s="1094">
        <v>0</v>
      </c>
      <c r="CA83" s="555">
        <f t="shared" si="94"/>
        <v>0</v>
      </c>
      <c r="CB83" s="1092">
        <v>0</v>
      </c>
      <c r="CC83" s="529">
        <v>0</v>
      </c>
      <c r="CD83" s="529">
        <v>0</v>
      </c>
      <c r="CE83" s="1094">
        <v>0</v>
      </c>
      <c r="CF83" s="555">
        <f t="shared" si="95"/>
        <v>0</v>
      </c>
      <c r="CG83" s="1092">
        <v>0</v>
      </c>
      <c r="CH83" s="529">
        <v>0</v>
      </c>
      <c r="CI83" s="529">
        <v>0</v>
      </c>
      <c r="CJ83" s="1094">
        <v>0</v>
      </c>
      <c r="CK83" s="555">
        <f t="shared" si="96"/>
        <v>0</v>
      </c>
      <c r="CL83" s="1092">
        <v>0</v>
      </c>
      <c r="CM83" s="529">
        <v>0</v>
      </c>
      <c r="CN83" s="529">
        <v>0</v>
      </c>
      <c r="CO83" s="1094">
        <v>0</v>
      </c>
      <c r="CP83" s="555">
        <f t="shared" si="97"/>
        <v>0</v>
      </c>
      <c r="CQ83" s="1092">
        <v>0</v>
      </c>
      <c r="CR83" s="529">
        <v>0</v>
      </c>
      <c r="CS83" s="529">
        <v>0</v>
      </c>
      <c r="CT83" s="1094">
        <v>0</v>
      </c>
      <c r="CU83" s="555">
        <f t="shared" si="98"/>
        <v>0</v>
      </c>
      <c r="CV83" s="1092">
        <v>0</v>
      </c>
      <c r="CW83" s="529">
        <v>0</v>
      </c>
      <c r="CX83" s="529">
        <v>0</v>
      </c>
      <c r="CY83" s="1094">
        <v>0</v>
      </c>
      <c r="CZ83" s="555">
        <f t="shared" si="99"/>
        <v>0</v>
      </c>
    </row>
    <row r="84" spans="1:104" ht="13.5" customHeight="1" outlineLevel="1">
      <c r="A84" s="66"/>
      <c r="B84" s="66" t="s">
        <v>546</v>
      </c>
      <c r="C84" s="66"/>
      <c r="D84" s="66"/>
      <c r="E84" s="93"/>
      <c r="F84" s="93"/>
      <c r="G84" s="93"/>
      <c r="H84" s="93"/>
      <c r="I84" s="93"/>
      <c r="J84" s="93">
        <v>0</v>
      </c>
      <c r="K84" s="93">
        <v>0</v>
      </c>
      <c r="L84" s="93">
        <v>0</v>
      </c>
      <c r="M84" s="93">
        <v>0</v>
      </c>
      <c r="N84" s="93">
        <f t="shared" si="82"/>
        <v>0</v>
      </c>
      <c r="O84" s="93">
        <v>0</v>
      </c>
      <c r="P84" s="93">
        <v>0</v>
      </c>
      <c r="Q84" s="93">
        <v>0</v>
      </c>
      <c r="R84" s="93">
        <v>0</v>
      </c>
      <c r="S84" s="93">
        <f t="shared" si="83"/>
        <v>0</v>
      </c>
      <c r="T84" s="93">
        <v>0</v>
      </c>
      <c r="U84" s="93">
        <v>0</v>
      </c>
      <c r="V84" s="93">
        <v>0</v>
      </c>
      <c r="W84" s="93">
        <v>0</v>
      </c>
      <c r="X84" s="93">
        <f t="shared" si="100"/>
        <v>0</v>
      </c>
      <c r="Y84" s="93">
        <v>0</v>
      </c>
      <c r="Z84" s="93">
        <v>0</v>
      </c>
      <c r="AA84" s="93">
        <v>0</v>
      </c>
      <c r="AB84" s="93">
        <v>0</v>
      </c>
      <c r="AC84" s="93">
        <f t="shared" si="84"/>
        <v>0</v>
      </c>
      <c r="AD84" s="93">
        <v>0</v>
      </c>
      <c r="AE84" s="93">
        <v>0</v>
      </c>
      <c r="AF84" s="93">
        <v>0</v>
      </c>
      <c r="AG84" s="93">
        <v>0</v>
      </c>
      <c r="AH84" s="93">
        <f t="shared" si="85"/>
        <v>0</v>
      </c>
      <c r="AI84" s="93">
        <v>0</v>
      </c>
      <c r="AJ84" s="93">
        <v>0</v>
      </c>
      <c r="AK84" s="93">
        <v>0</v>
      </c>
      <c r="AL84" s="93">
        <v>0</v>
      </c>
      <c r="AM84" s="93">
        <f t="shared" si="86"/>
        <v>0</v>
      </c>
      <c r="AN84" s="93">
        <v>0</v>
      </c>
      <c r="AO84" s="93">
        <v>0</v>
      </c>
      <c r="AP84" s="93">
        <v>0</v>
      </c>
      <c r="AQ84" s="101">
        <v>0</v>
      </c>
      <c r="AR84" s="101">
        <f t="shared" si="87"/>
        <v>0</v>
      </c>
      <c r="AS84" s="1092">
        <v>0</v>
      </c>
      <c r="AT84" s="529">
        <v>0</v>
      </c>
      <c r="AU84" s="529">
        <v>0</v>
      </c>
      <c r="AV84" s="1094">
        <v>0</v>
      </c>
      <c r="AW84" s="555">
        <f t="shared" si="88"/>
        <v>0</v>
      </c>
      <c r="AX84" s="1092">
        <v>0</v>
      </c>
      <c r="AY84" s="529">
        <v>0</v>
      </c>
      <c r="AZ84" s="529">
        <v>0</v>
      </c>
      <c r="BA84" s="1094">
        <v>0</v>
      </c>
      <c r="BB84" s="555">
        <f t="shared" si="89"/>
        <v>0</v>
      </c>
      <c r="BC84" s="1092">
        <v>0</v>
      </c>
      <c r="BD84" s="529">
        <v>0</v>
      </c>
      <c r="BE84" s="529">
        <v>0</v>
      </c>
      <c r="BF84" s="1094">
        <v>0</v>
      </c>
      <c r="BG84" s="556">
        <f t="shared" si="90"/>
        <v>0</v>
      </c>
      <c r="BH84" s="1092">
        <v>0</v>
      </c>
      <c r="BI84" s="529">
        <v>0</v>
      </c>
      <c r="BJ84" s="529">
        <v>0</v>
      </c>
      <c r="BK84" s="1094">
        <v>0</v>
      </c>
      <c r="BL84" s="555">
        <f>SUM(BH84:BK84)</f>
        <v>0</v>
      </c>
      <c r="BM84" s="1092">
        <v>0</v>
      </c>
      <c r="BN84" s="529">
        <v>0</v>
      </c>
      <c r="BO84" s="529">
        <v>0</v>
      </c>
      <c r="BP84" s="1094">
        <v>0</v>
      </c>
      <c r="BQ84" s="555">
        <f t="shared" si="92"/>
        <v>0</v>
      </c>
      <c r="BR84" s="1092">
        <v>0</v>
      </c>
      <c r="BS84" s="529">
        <v>0</v>
      </c>
      <c r="BT84" s="529">
        <v>0</v>
      </c>
      <c r="BU84" s="1094">
        <v>0</v>
      </c>
      <c r="BV84" s="555">
        <f t="shared" si="93"/>
        <v>0</v>
      </c>
      <c r="BW84" s="1092">
        <v>0</v>
      </c>
      <c r="BX84" s="529">
        <v>0</v>
      </c>
      <c r="BY84" s="529">
        <v>0</v>
      </c>
      <c r="BZ84" s="1094">
        <v>0</v>
      </c>
      <c r="CA84" s="555">
        <f t="shared" si="94"/>
        <v>0</v>
      </c>
      <c r="CB84" s="1092">
        <v>0</v>
      </c>
      <c r="CC84" s="529">
        <v>0</v>
      </c>
      <c r="CD84" s="529">
        <v>0</v>
      </c>
      <c r="CE84" s="1094">
        <v>0</v>
      </c>
      <c r="CF84" s="555">
        <f t="shared" si="95"/>
        <v>0</v>
      </c>
      <c r="CG84" s="1092">
        <v>0</v>
      </c>
      <c r="CH84" s="529">
        <v>0</v>
      </c>
      <c r="CI84" s="529">
        <v>0</v>
      </c>
      <c r="CJ84" s="1094">
        <v>0</v>
      </c>
      <c r="CK84" s="555">
        <f t="shared" si="96"/>
        <v>0</v>
      </c>
      <c r="CL84" s="1092">
        <v>21.8</v>
      </c>
      <c r="CM84" s="529">
        <v>0</v>
      </c>
      <c r="CN84" s="529">
        <v>0</v>
      </c>
      <c r="CO84" s="1094">
        <v>0</v>
      </c>
      <c r="CP84" s="555">
        <f t="shared" si="97"/>
        <v>21.8</v>
      </c>
      <c r="CQ84" s="1092">
        <v>0</v>
      </c>
      <c r="CR84" s="529">
        <v>0</v>
      </c>
      <c r="CS84" s="529">
        <v>0</v>
      </c>
      <c r="CT84" s="1094">
        <v>0</v>
      </c>
      <c r="CU84" s="555">
        <f t="shared" si="98"/>
        <v>0</v>
      </c>
      <c r="CV84" s="1092">
        <v>0</v>
      </c>
      <c r="CW84" s="529">
        <v>0</v>
      </c>
      <c r="CX84" s="529">
        <v>0</v>
      </c>
      <c r="CY84" s="1094">
        <v>0</v>
      </c>
      <c r="CZ84" s="555">
        <f t="shared" si="99"/>
        <v>0</v>
      </c>
    </row>
    <row r="85" spans="1:104" ht="13.5" customHeight="1" outlineLevel="1">
      <c r="A85" s="66"/>
      <c r="B85" s="66" t="s">
        <v>560</v>
      </c>
      <c r="C85" s="66"/>
      <c r="D85" s="66"/>
      <c r="E85" s="93"/>
      <c r="F85" s="93"/>
      <c r="G85" s="93"/>
      <c r="H85" s="93"/>
      <c r="I85" s="93"/>
      <c r="J85" s="93"/>
      <c r="K85" s="93"/>
      <c r="L85" s="93"/>
      <c r="M85" s="93"/>
      <c r="N85" s="93"/>
      <c r="O85" s="93"/>
      <c r="P85" s="93"/>
      <c r="Q85" s="93"/>
      <c r="R85" s="93"/>
      <c r="S85" s="93"/>
      <c r="T85" s="93"/>
      <c r="U85" s="93"/>
      <c r="V85" s="93"/>
      <c r="W85" s="93"/>
      <c r="X85" s="93"/>
      <c r="Y85" s="93"/>
      <c r="Z85" s="93"/>
      <c r="AA85" s="93"/>
      <c r="AB85" s="93"/>
      <c r="AC85" s="93"/>
      <c r="AD85" s="93"/>
      <c r="AE85" s="93"/>
      <c r="AF85" s="93"/>
      <c r="AG85" s="93"/>
      <c r="AH85" s="93"/>
      <c r="AI85" s="93"/>
      <c r="AJ85" s="93"/>
      <c r="AK85" s="93"/>
      <c r="AL85" s="93"/>
      <c r="AM85" s="93"/>
      <c r="AN85" s="93"/>
      <c r="AO85" s="93"/>
      <c r="AP85" s="93"/>
      <c r="AQ85" s="101"/>
      <c r="AR85" s="101"/>
      <c r="AS85" s="1110"/>
      <c r="AT85" s="93"/>
      <c r="AU85" s="93"/>
      <c r="AV85" s="1111"/>
      <c r="AW85" s="101"/>
      <c r="AX85" s="1110"/>
      <c r="AY85" s="93"/>
      <c r="AZ85" s="93"/>
      <c r="BA85" s="1111"/>
      <c r="BB85" s="101"/>
      <c r="BC85" s="1092">
        <v>0</v>
      </c>
      <c r="BD85" s="529">
        <v>0</v>
      </c>
      <c r="BE85" s="529">
        <v>0</v>
      </c>
      <c r="BF85" s="1094">
        <v>-7</v>
      </c>
      <c r="BG85" s="556">
        <f t="shared" si="90"/>
        <v>-7</v>
      </c>
      <c r="BH85" s="1092">
        <v>0</v>
      </c>
      <c r="BI85" s="529">
        <v>0</v>
      </c>
      <c r="BJ85" s="529">
        <v>0</v>
      </c>
      <c r="BK85" s="1094">
        <v>0</v>
      </c>
      <c r="BL85" s="555">
        <f>SUM(BH85:BK85)</f>
        <v>0</v>
      </c>
      <c r="BM85" s="1092">
        <v>0</v>
      </c>
      <c r="BN85" s="529">
        <v>0</v>
      </c>
      <c r="BO85" s="529">
        <v>0</v>
      </c>
      <c r="BP85" s="1094">
        <v>0</v>
      </c>
      <c r="BQ85" s="555">
        <f t="shared" si="92"/>
        <v>0</v>
      </c>
      <c r="BR85" s="1092">
        <v>0</v>
      </c>
      <c r="BS85" s="529">
        <v>0</v>
      </c>
      <c r="BT85" s="529">
        <v>0</v>
      </c>
      <c r="BU85" s="1094">
        <v>0</v>
      </c>
      <c r="BV85" s="555">
        <f t="shared" si="93"/>
        <v>0</v>
      </c>
      <c r="BW85" s="1092">
        <v>0</v>
      </c>
      <c r="BX85" s="529">
        <v>0</v>
      </c>
      <c r="BY85" s="529">
        <v>0</v>
      </c>
      <c r="BZ85" s="1094">
        <v>0</v>
      </c>
      <c r="CA85" s="555">
        <f t="shared" si="94"/>
        <v>0</v>
      </c>
      <c r="CB85" s="1092">
        <v>0</v>
      </c>
      <c r="CC85" s="529">
        <v>0</v>
      </c>
      <c r="CD85" s="529">
        <v>0</v>
      </c>
      <c r="CE85" s="1094">
        <v>0</v>
      </c>
      <c r="CF85" s="555">
        <f t="shared" si="95"/>
        <v>0</v>
      </c>
      <c r="CG85" s="1092">
        <v>0</v>
      </c>
      <c r="CH85" s="529">
        <v>0</v>
      </c>
      <c r="CI85" s="529">
        <v>0</v>
      </c>
      <c r="CJ85" s="1094">
        <v>0</v>
      </c>
      <c r="CK85" s="555">
        <f t="shared" si="96"/>
        <v>0</v>
      </c>
      <c r="CL85" s="1092">
        <v>0</v>
      </c>
      <c r="CM85" s="529">
        <v>0</v>
      </c>
      <c r="CN85" s="529">
        <v>0</v>
      </c>
      <c r="CO85" s="1094">
        <v>0</v>
      </c>
      <c r="CP85" s="555">
        <f t="shared" si="97"/>
        <v>0</v>
      </c>
      <c r="CQ85" s="1092">
        <v>0</v>
      </c>
      <c r="CR85" s="529">
        <v>0</v>
      </c>
      <c r="CS85" s="529">
        <v>0</v>
      </c>
      <c r="CT85" s="1094">
        <v>0</v>
      </c>
      <c r="CU85" s="555">
        <f t="shared" si="98"/>
        <v>0</v>
      </c>
      <c r="CV85" s="1092">
        <v>0</v>
      </c>
      <c r="CW85" s="529">
        <v>0</v>
      </c>
      <c r="CX85" s="529">
        <v>0</v>
      </c>
      <c r="CY85" s="1094">
        <v>0</v>
      </c>
      <c r="CZ85" s="555">
        <f t="shared" si="99"/>
        <v>0</v>
      </c>
    </row>
    <row r="86" spans="1:104" ht="13.5" customHeight="1" outlineLevel="1">
      <c r="A86" s="66"/>
      <c r="B86" s="66" t="s">
        <v>152</v>
      </c>
      <c r="C86" s="66"/>
      <c r="D86" s="66"/>
      <c r="E86" s="93"/>
      <c r="F86" s="93"/>
      <c r="G86" s="93"/>
      <c r="H86" s="93"/>
      <c r="I86" s="93"/>
      <c r="J86" s="93">
        <v>0</v>
      </c>
      <c r="K86" s="93">
        <v>0</v>
      </c>
      <c r="L86" s="93">
        <v>0</v>
      </c>
      <c r="M86" s="93">
        <v>0</v>
      </c>
      <c r="N86" s="93">
        <f t="shared" si="82"/>
        <v>0</v>
      </c>
      <c r="O86" s="93">
        <v>0</v>
      </c>
      <c r="P86" s="93">
        <v>0</v>
      </c>
      <c r="Q86" s="93">
        <v>0</v>
      </c>
      <c r="R86" s="93">
        <v>0</v>
      </c>
      <c r="S86" s="93">
        <f t="shared" si="83"/>
        <v>0</v>
      </c>
      <c r="T86" s="93">
        <v>0</v>
      </c>
      <c r="U86" s="93">
        <v>8.6</v>
      </c>
      <c r="V86" s="93">
        <v>0</v>
      </c>
      <c r="W86" s="93">
        <v>0</v>
      </c>
      <c r="X86" s="93">
        <f t="shared" si="100"/>
        <v>8.6</v>
      </c>
      <c r="Y86" s="93">
        <v>0</v>
      </c>
      <c r="Z86" s="93">
        <v>0</v>
      </c>
      <c r="AA86" s="93">
        <v>0</v>
      </c>
      <c r="AB86" s="93">
        <v>0</v>
      </c>
      <c r="AC86" s="93">
        <f t="shared" si="84"/>
        <v>0</v>
      </c>
      <c r="AD86" s="93">
        <v>0</v>
      </c>
      <c r="AE86" s="93">
        <v>0</v>
      </c>
      <c r="AF86" s="93">
        <v>0</v>
      </c>
      <c r="AG86" s="93">
        <v>0</v>
      </c>
      <c r="AH86" s="93">
        <f t="shared" si="85"/>
        <v>0</v>
      </c>
      <c r="AI86" s="93">
        <v>0</v>
      </c>
      <c r="AJ86" s="93">
        <v>0</v>
      </c>
      <c r="AK86" s="93">
        <v>0</v>
      </c>
      <c r="AL86" s="93">
        <v>0</v>
      </c>
      <c r="AM86" s="93">
        <f t="shared" si="86"/>
        <v>0</v>
      </c>
      <c r="AN86" s="93">
        <v>0</v>
      </c>
      <c r="AO86" s="93">
        <v>0</v>
      </c>
      <c r="AP86" s="93">
        <v>0</v>
      </c>
      <c r="AQ86" s="101">
        <v>94.582999999999998</v>
      </c>
      <c r="AR86" s="101">
        <f t="shared" si="87"/>
        <v>94.582999999999998</v>
      </c>
      <c r="AS86" s="1092">
        <v>0</v>
      </c>
      <c r="AT86" s="529">
        <v>0</v>
      </c>
      <c r="AU86" s="529">
        <v>0</v>
      </c>
      <c r="AV86" s="1094">
        <v>0</v>
      </c>
      <c r="AW86" s="555">
        <f t="shared" si="88"/>
        <v>0</v>
      </c>
      <c r="AX86" s="1092">
        <v>0</v>
      </c>
      <c r="AY86" s="529">
        <v>0</v>
      </c>
      <c r="AZ86" s="529">
        <v>0</v>
      </c>
      <c r="BA86" s="1094">
        <v>6.5</v>
      </c>
      <c r="BB86" s="555">
        <f t="shared" si="89"/>
        <v>6.5</v>
      </c>
      <c r="BC86" s="1092">
        <v>0</v>
      </c>
      <c r="BD86" s="529">
        <v>-0.2</v>
      </c>
      <c r="BE86" s="529">
        <v>0</v>
      </c>
      <c r="BF86" s="1094">
        <f>-19</f>
        <v>-19</v>
      </c>
      <c r="BG86" s="556">
        <f t="shared" si="90"/>
        <v>-19.2</v>
      </c>
      <c r="BH86" s="1092">
        <v>-12.6</v>
      </c>
      <c r="BI86" s="529">
        <f>30+5.525</f>
        <v>35.524999999999999</v>
      </c>
      <c r="BJ86" s="529">
        <f>19.74+12.32</f>
        <v>32.06</v>
      </c>
      <c r="BK86" s="1094">
        <v>7.8</v>
      </c>
      <c r="BL86" s="555">
        <f t="shared" si="91"/>
        <v>62.784999999999997</v>
      </c>
      <c r="BM86" s="1092">
        <v>0</v>
      </c>
      <c r="BN86" s="529">
        <v>0</v>
      </c>
      <c r="BO86" s="529">
        <v>9.1</v>
      </c>
      <c r="BP86" s="1094">
        <v>-21.3</v>
      </c>
      <c r="BQ86" s="555">
        <f t="shared" si="92"/>
        <v>-12.200000000000001</v>
      </c>
      <c r="BR86" s="1092">
        <f>5.85+12.8</f>
        <v>18.649999999999999</v>
      </c>
      <c r="BS86" s="529">
        <v>0</v>
      </c>
      <c r="BT86" s="529">
        <v>8.1</v>
      </c>
      <c r="BU86" s="1094">
        <v>0</v>
      </c>
      <c r="BV86" s="555">
        <f t="shared" si="93"/>
        <v>26.75</v>
      </c>
      <c r="BW86" s="1092">
        <v>0</v>
      </c>
      <c r="BX86" s="529">
        <v>0</v>
      </c>
      <c r="BY86" s="529">
        <v>0</v>
      </c>
      <c r="BZ86" s="1094">
        <v>206.74</v>
      </c>
      <c r="CA86" s="555">
        <f t="shared" si="94"/>
        <v>206.74</v>
      </c>
      <c r="CB86" s="1092">
        <v>0</v>
      </c>
      <c r="CC86" s="529">
        <v>0</v>
      </c>
      <c r="CD86" s="529">
        <v>0</v>
      </c>
      <c r="CE86" s="1094">
        <f>(-77.6+42)*0.65</f>
        <v>-23.139999999999997</v>
      </c>
      <c r="CF86" s="555">
        <f t="shared" si="95"/>
        <v>-23.139999999999997</v>
      </c>
      <c r="CG86" s="1092">
        <f>9.8*0.69</f>
        <v>6.7619999999999996</v>
      </c>
      <c r="CH86" s="529">
        <v>0</v>
      </c>
      <c r="CI86" s="529">
        <v>-13.2</v>
      </c>
      <c r="CJ86" s="1094">
        <v>-175.2</v>
      </c>
      <c r="CK86" s="555">
        <f t="shared" si="96"/>
        <v>-181.63799999999998</v>
      </c>
      <c r="CL86" s="1092">
        <v>0</v>
      </c>
      <c r="CM86" s="529">
        <v>0</v>
      </c>
      <c r="CN86" s="529">
        <v>0</v>
      </c>
      <c r="CO86" s="1094">
        <v>0</v>
      </c>
      <c r="CP86" s="555">
        <f t="shared" si="97"/>
        <v>0</v>
      </c>
      <c r="CQ86" s="1092">
        <v>0</v>
      </c>
      <c r="CR86" s="529">
        <v>0</v>
      </c>
      <c r="CS86" s="529">
        <v>0</v>
      </c>
      <c r="CT86" s="1094">
        <v>0</v>
      </c>
      <c r="CU86" s="555">
        <f t="shared" si="98"/>
        <v>0</v>
      </c>
      <c r="CV86" s="1092">
        <v>0</v>
      </c>
      <c r="CW86" s="529">
        <v>0</v>
      </c>
      <c r="CX86" s="529">
        <v>0</v>
      </c>
      <c r="CY86" s="1094">
        <v>0</v>
      </c>
      <c r="CZ86" s="555">
        <f t="shared" si="99"/>
        <v>0</v>
      </c>
    </row>
    <row r="87" spans="1:104" ht="6.2" customHeight="1" outlineLevel="1">
      <c r="A87" s="66"/>
      <c r="B87" s="66"/>
      <c r="C87" s="66"/>
      <c r="D87" s="66"/>
      <c r="E87" s="93"/>
      <c r="F87" s="93"/>
      <c r="G87" s="93"/>
      <c r="H87" s="93"/>
      <c r="I87" s="93"/>
      <c r="J87" s="93"/>
      <c r="K87" s="93"/>
      <c r="L87" s="93"/>
      <c r="M87" s="93"/>
      <c r="N87" s="93"/>
      <c r="O87" s="93"/>
      <c r="P87" s="93"/>
      <c r="Q87" s="93"/>
      <c r="R87" s="93"/>
      <c r="S87" s="93"/>
      <c r="T87" s="93"/>
      <c r="U87" s="93"/>
      <c r="V87" s="93"/>
      <c r="W87" s="93"/>
      <c r="X87" s="93"/>
      <c r="Y87" s="93"/>
      <c r="Z87" s="93"/>
      <c r="AA87" s="93"/>
      <c r="AB87" s="93"/>
      <c r="AC87" s="93"/>
      <c r="AD87" s="93"/>
      <c r="AE87" s="93"/>
      <c r="AF87" s="93"/>
      <c r="AG87" s="93"/>
      <c r="AH87" s="93"/>
      <c r="AI87" s="93"/>
      <c r="AJ87" s="93"/>
      <c r="AK87" s="93"/>
      <c r="AL87" s="93"/>
      <c r="AM87" s="93"/>
      <c r="AN87" s="93"/>
      <c r="AO87" s="93"/>
      <c r="AP87" s="93"/>
      <c r="AQ87" s="101"/>
      <c r="AR87" s="101"/>
      <c r="AS87" s="1110"/>
      <c r="AT87" s="93"/>
      <c r="AU87" s="93"/>
      <c r="AV87" s="1111"/>
      <c r="AW87" s="101"/>
      <c r="AX87" s="1110"/>
      <c r="AY87" s="93"/>
      <c r="AZ87" s="93"/>
      <c r="BA87" s="1111"/>
      <c r="BB87" s="101"/>
      <c r="BC87" s="1110"/>
      <c r="BD87" s="93"/>
      <c r="BE87" s="93"/>
      <c r="BF87" s="1170"/>
      <c r="BG87" s="377"/>
      <c r="BH87" s="1110"/>
      <c r="BI87" s="93"/>
      <c r="BJ87" s="93"/>
      <c r="BK87" s="1111"/>
      <c r="BL87" s="101"/>
      <c r="BM87" s="1110"/>
      <c r="BN87" s="93"/>
      <c r="BO87" s="93"/>
      <c r="BP87" s="1111"/>
      <c r="BQ87" s="101"/>
      <c r="BR87" s="1110"/>
      <c r="BS87" s="93"/>
      <c r="BT87" s="93"/>
      <c r="BU87" s="1111"/>
      <c r="BV87" s="101"/>
      <c r="BW87" s="1110"/>
      <c r="BX87" s="93"/>
      <c r="BY87" s="93"/>
      <c r="BZ87" s="1111"/>
      <c r="CA87" s="101"/>
      <c r="CB87" s="1110"/>
      <c r="CC87" s="93"/>
      <c r="CD87" s="574"/>
      <c r="CE87" s="924"/>
      <c r="CF87" s="555"/>
      <c r="CG87" s="923"/>
      <c r="CH87" s="574"/>
      <c r="CI87" s="93"/>
      <c r="CJ87" s="924"/>
      <c r="CK87" s="555"/>
      <c r="CL87" s="1110"/>
      <c r="CM87" s="93"/>
      <c r="CN87" s="93"/>
      <c r="CO87" s="1111"/>
      <c r="CP87" s="101"/>
      <c r="CQ87" s="1110"/>
      <c r="CR87" s="93"/>
      <c r="CS87" s="93"/>
      <c r="CT87" s="1111"/>
      <c r="CU87" s="101"/>
      <c r="CV87" s="1110"/>
      <c r="CW87" s="93"/>
      <c r="CX87" s="93"/>
      <c r="CY87" s="1111"/>
      <c r="CZ87" s="101"/>
    </row>
    <row r="88" spans="1:104" ht="13.5" customHeight="1">
      <c r="A88" s="77" t="s">
        <v>421</v>
      </c>
      <c r="B88" s="77"/>
      <c r="C88" s="77"/>
      <c r="D88" s="77"/>
      <c r="E88" s="148"/>
      <c r="F88" s="148"/>
      <c r="G88" s="148"/>
      <c r="H88" s="148"/>
      <c r="I88" s="148"/>
      <c r="J88" s="148">
        <f>SUM(J79:J86)</f>
        <v>0</v>
      </c>
      <c r="K88" s="148">
        <f>SUM(K79:K86)</f>
        <v>-17.5</v>
      </c>
      <c r="L88" s="148">
        <f>SUM(L79:L86)</f>
        <v>0</v>
      </c>
      <c r="M88" s="148">
        <f>SUM(M79:M86)</f>
        <v>0</v>
      </c>
      <c r="N88" s="148">
        <f>SUM(J88:M88)</f>
        <v>-17.5</v>
      </c>
      <c r="O88" s="148">
        <f t="shared" ref="O88:AG88" si="101">SUM(O79:O86)</f>
        <v>-1.4955560000000001</v>
      </c>
      <c r="P88" s="148">
        <f t="shared" si="101"/>
        <v>4.7</v>
      </c>
      <c r="Q88" s="148">
        <f t="shared" si="101"/>
        <v>-3.142252</v>
      </c>
      <c r="R88" s="148">
        <f t="shared" si="101"/>
        <v>-2.8675039999999998</v>
      </c>
      <c r="S88" s="148">
        <f t="shared" si="101"/>
        <v>-2.8053119999999998</v>
      </c>
      <c r="T88" s="148">
        <f t="shared" si="101"/>
        <v>-1.0369999999999999</v>
      </c>
      <c r="U88" s="148">
        <f t="shared" si="101"/>
        <v>8.6</v>
      </c>
      <c r="V88" s="148">
        <f t="shared" si="101"/>
        <v>0</v>
      </c>
      <c r="W88" s="148">
        <f t="shared" si="101"/>
        <v>0</v>
      </c>
      <c r="X88" s="148">
        <f t="shared" si="101"/>
        <v>7.5629999999999997</v>
      </c>
      <c r="Y88" s="148">
        <f t="shared" si="101"/>
        <v>-5.98</v>
      </c>
      <c r="Z88" s="148">
        <f t="shared" si="101"/>
        <v>0</v>
      </c>
      <c r="AA88" s="148">
        <f t="shared" si="101"/>
        <v>0</v>
      </c>
      <c r="AB88" s="148">
        <f t="shared" si="101"/>
        <v>0</v>
      </c>
      <c r="AC88" s="148">
        <f t="shared" si="101"/>
        <v>-5.98</v>
      </c>
      <c r="AD88" s="148">
        <f t="shared" si="101"/>
        <v>0</v>
      </c>
      <c r="AE88" s="93">
        <f t="shared" si="101"/>
        <v>0</v>
      </c>
      <c r="AF88" s="93">
        <f t="shared" si="101"/>
        <v>0</v>
      </c>
      <c r="AG88" s="93">
        <f t="shared" si="101"/>
        <v>0</v>
      </c>
      <c r="AH88" s="93">
        <f>SUM(AD88:AG88)</f>
        <v>0</v>
      </c>
      <c r="AI88" s="93">
        <f>SUM(AI79:AI86)</f>
        <v>0</v>
      </c>
      <c r="AJ88" s="93">
        <f>SUM(AJ79:AJ86)</f>
        <v>0</v>
      </c>
      <c r="AK88" s="93">
        <f>SUM(AK79:AK86)</f>
        <v>0</v>
      </c>
      <c r="AL88" s="93">
        <f>SUM(AL79:AL86)</f>
        <v>0</v>
      </c>
      <c r="AM88" s="93">
        <f>SUM(AI88:AL88)</f>
        <v>0</v>
      </c>
      <c r="AN88" s="93">
        <f>SUM(AN79:AN86)</f>
        <v>0</v>
      </c>
      <c r="AO88" s="93">
        <f>SUM(AO79:AO86)</f>
        <v>0</v>
      </c>
      <c r="AP88" s="93">
        <f>SUM(AP79:AP86)</f>
        <v>0</v>
      </c>
      <c r="AQ88" s="101">
        <f>SUM(AQ79:AQ86)</f>
        <v>94.582999999999998</v>
      </c>
      <c r="AR88" s="101">
        <f>SUM(AN88:AQ88)</f>
        <v>94.582999999999998</v>
      </c>
      <c r="AS88" s="923">
        <f>SUM(AS79:AS86)</f>
        <v>0</v>
      </c>
      <c r="AT88" s="574">
        <f>SUM(AT79:AT86)</f>
        <v>0</v>
      </c>
      <c r="AU88" s="574">
        <f>SUM(AU79:AU86)</f>
        <v>0</v>
      </c>
      <c r="AV88" s="924">
        <f>SUM(AV79:AV86)</f>
        <v>0</v>
      </c>
      <c r="AW88" s="555">
        <f>SUM(AS88:AV88)</f>
        <v>0</v>
      </c>
      <c r="AX88" s="923">
        <f>SUM(AX79:AX86)</f>
        <v>0</v>
      </c>
      <c r="AY88" s="574">
        <f>SUM(AY79:AY86)</f>
        <v>0</v>
      </c>
      <c r="AZ88" s="574">
        <f>SUM(AZ79:AZ86)</f>
        <v>0</v>
      </c>
      <c r="BA88" s="924">
        <f>SUM(BA79:BA86)</f>
        <v>6.5</v>
      </c>
      <c r="BB88" s="555">
        <f>SUM(AX88:BA88)</f>
        <v>6.5</v>
      </c>
      <c r="BC88" s="923">
        <f>SUM(BC79:BC86)</f>
        <v>0</v>
      </c>
      <c r="BD88" s="574">
        <f>SUM(BD79:BD86)</f>
        <v>-0.2</v>
      </c>
      <c r="BE88" s="574">
        <f>SUM(BE79:BE86)</f>
        <v>0</v>
      </c>
      <c r="BF88" s="976">
        <f>SUM(BF79:BF87)</f>
        <v>-26</v>
      </c>
      <c r="BG88" s="556">
        <f>SUM(BC88:BF88)</f>
        <v>-26.2</v>
      </c>
      <c r="BH88" s="923">
        <f>SUM(BH79:BH86)</f>
        <v>-12.6</v>
      </c>
      <c r="BI88" s="574">
        <f>SUM(BI79:BI86)</f>
        <v>35.524999999999999</v>
      </c>
      <c r="BJ88" s="574">
        <f>SUM(BJ79:BJ86)</f>
        <v>32.06</v>
      </c>
      <c r="BK88" s="924">
        <f>SUM(BK79:BK86)</f>
        <v>7.8</v>
      </c>
      <c r="BL88" s="555">
        <f>SUM(BH88:BK88)</f>
        <v>62.784999999999997</v>
      </c>
      <c r="BM88" s="923">
        <f>SUM(BM79:BM86)</f>
        <v>0</v>
      </c>
      <c r="BN88" s="574">
        <f>SUM(BN79:BN86)</f>
        <v>0</v>
      </c>
      <c r="BO88" s="574">
        <f>SUM(BO79:BO86)</f>
        <v>9.1</v>
      </c>
      <c r="BP88" s="924">
        <f>SUM(BP79:BP86)</f>
        <v>-21.3</v>
      </c>
      <c r="BQ88" s="555">
        <f>SUM(BM88:BP88)</f>
        <v>-12.200000000000001</v>
      </c>
      <c r="BR88" s="923">
        <f>SUM(BR79:BR86)</f>
        <v>18.649999999999999</v>
      </c>
      <c r="BS88" s="574">
        <f>SUM(BS79:BS86)</f>
        <v>0</v>
      </c>
      <c r="BT88" s="574">
        <f>SUM(BT79:BT86)</f>
        <v>8.1</v>
      </c>
      <c r="BU88" s="924">
        <f>SUM(BU79:BU86)</f>
        <v>0</v>
      </c>
      <c r="BV88" s="555">
        <f>SUM(BR88:BU88)</f>
        <v>26.75</v>
      </c>
      <c r="BW88" s="923">
        <f t="shared" ref="BW88:CE88" si="102">SUM(BW79:BW86)</f>
        <v>0</v>
      </c>
      <c r="BX88" s="574">
        <f t="shared" si="102"/>
        <v>0</v>
      </c>
      <c r="BY88" s="574">
        <f t="shared" si="102"/>
        <v>0</v>
      </c>
      <c r="BZ88" s="924">
        <f t="shared" si="102"/>
        <v>206.74</v>
      </c>
      <c r="CA88" s="555">
        <f t="shared" si="102"/>
        <v>206.74</v>
      </c>
      <c r="CB88" s="923">
        <f t="shared" si="102"/>
        <v>0</v>
      </c>
      <c r="CC88" s="574">
        <f t="shared" si="102"/>
        <v>0</v>
      </c>
      <c r="CD88" s="574">
        <f t="shared" si="102"/>
        <v>0</v>
      </c>
      <c r="CE88" s="924">
        <f t="shared" si="102"/>
        <v>-23.139999999999997</v>
      </c>
      <c r="CF88" s="555">
        <f>SUM(CB88:CE88)</f>
        <v>-23.139999999999997</v>
      </c>
      <c r="CG88" s="923">
        <f>SUM(CG79:CG86)</f>
        <v>6.7619999999999996</v>
      </c>
      <c r="CH88" s="574">
        <f>SUM(CH79:CH86)</f>
        <v>0</v>
      </c>
      <c r="CI88" s="574">
        <f>SUM(CI79:CI86)</f>
        <v>-13.2</v>
      </c>
      <c r="CJ88" s="924">
        <f>SUM(CJ79:CJ86)</f>
        <v>-175.2</v>
      </c>
      <c r="CK88" s="555">
        <f>SUM(CG88:CJ88)</f>
        <v>-181.63799999999998</v>
      </c>
      <c r="CL88" s="923">
        <f>SUM(CL79:CL86)</f>
        <v>21.8</v>
      </c>
      <c r="CM88" s="574">
        <f>SUM(CM79:CM86)</f>
        <v>0</v>
      </c>
      <c r="CN88" s="574">
        <f>SUM(CN79:CN86)</f>
        <v>0</v>
      </c>
      <c r="CO88" s="924">
        <f>SUM(CO79:CO86)</f>
        <v>0</v>
      </c>
      <c r="CP88" s="555">
        <f>SUM(CL88:CO88)</f>
        <v>21.8</v>
      </c>
      <c r="CQ88" s="923">
        <f>SUM(CQ79:CQ86)</f>
        <v>0</v>
      </c>
      <c r="CR88" s="574">
        <f>SUM(CR79:CR86)</f>
        <v>0</v>
      </c>
      <c r="CS88" s="574">
        <f>SUM(CS79:CS86)</f>
        <v>0</v>
      </c>
      <c r="CT88" s="924">
        <f>SUM(CT79:CT86)</f>
        <v>0</v>
      </c>
      <c r="CU88" s="555">
        <f>SUM(CQ88:CT88)</f>
        <v>0</v>
      </c>
      <c r="CV88" s="923">
        <f>SUM(CV79:CV86)</f>
        <v>0</v>
      </c>
      <c r="CW88" s="574">
        <f>SUM(CW79:CW86)</f>
        <v>0</v>
      </c>
      <c r="CX88" s="574">
        <f>SUM(CX79:CX86)</f>
        <v>0</v>
      </c>
      <c r="CY88" s="924">
        <f>SUM(CY79:CY86)</f>
        <v>0</v>
      </c>
      <c r="CZ88" s="555">
        <f>SUM(CV88:CY88)</f>
        <v>0</v>
      </c>
    </row>
    <row r="89" spans="1:104" ht="6.2" customHeight="1">
      <c r="A89" s="66"/>
      <c r="B89" s="79"/>
      <c r="C89" s="81"/>
      <c r="D89" s="66"/>
      <c r="E89" s="149"/>
      <c r="F89" s="149"/>
      <c r="G89" s="149"/>
      <c r="H89" s="149"/>
      <c r="I89" s="149"/>
      <c r="J89" s="149"/>
      <c r="K89" s="149"/>
      <c r="L89" s="149"/>
      <c r="M89" s="149"/>
      <c r="N89" s="149"/>
      <c r="O89" s="149"/>
      <c r="P89" s="149"/>
      <c r="Q89" s="149"/>
      <c r="R89" s="149"/>
      <c r="S89" s="149"/>
      <c r="T89" s="149"/>
      <c r="U89" s="149"/>
      <c r="V89" s="149"/>
      <c r="W89" s="149"/>
      <c r="X89" s="149"/>
      <c r="Y89" s="149"/>
      <c r="Z89" s="149"/>
      <c r="AA89" s="149"/>
      <c r="AB89" s="149"/>
      <c r="AC89" s="149"/>
      <c r="AD89" s="149"/>
      <c r="AE89" s="150"/>
      <c r="AF89" s="150"/>
      <c r="AG89" s="150"/>
      <c r="AH89" s="150"/>
      <c r="AI89" s="150"/>
      <c r="AJ89" s="150"/>
      <c r="AK89" s="150"/>
      <c r="AL89" s="150"/>
      <c r="AM89" s="150"/>
      <c r="AN89" s="150"/>
      <c r="AO89" s="150"/>
      <c r="AP89" s="150"/>
      <c r="AQ89" s="150"/>
      <c r="AR89" s="150"/>
      <c r="AS89" s="1112"/>
      <c r="AT89" s="150"/>
      <c r="AU89" s="150"/>
      <c r="AV89" s="1113"/>
      <c r="AW89" s="150"/>
      <c r="AX89" s="1112"/>
      <c r="AY89" s="150"/>
      <c r="AZ89" s="150"/>
      <c r="BA89" s="1113"/>
      <c r="BB89" s="150"/>
      <c r="BC89" s="1112"/>
      <c r="BD89" s="150"/>
      <c r="BE89" s="150"/>
      <c r="BF89" s="1171"/>
      <c r="BG89" s="381"/>
      <c r="BH89" s="1112"/>
      <c r="BI89" s="150"/>
      <c r="BJ89" s="150"/>
      <c r="BK89" s="1113"/>
      <c r="BL89" s="150"/>
      <c r="BM89" s="1112"/>
      <c r="BN89" s="150"/>
      <c r="BO89" s="150"/>
      <c r="BP89" s="1113"/>
      <c r="BQ89" s="150"/>
      <c r="BR89" s="1112"/>
      <c r="BS89" s="150"/>
      <c r="BT89" s="150"/>
      <c r="BU89" s="1113"/>
      <c r="BV89" s="150"/>
      <c r="BW89" s="1112"/>
      <c r="BX89" s="150"/>
      <c r="BY89" s="150"/>
      <c r="BZ89" s="1113"/>
      <c r="CA89" s="150"/>
      <c r="CB89" s="1112"/>
      <c r="CC89" s="150"/>
      <c r="CD89" s="594"/>
      <c r="CE89" s="1210"/>
      <c r="CF89" s="594"/>
      <c r="CG89" s="1214"/>
      <c r="CH89" s="594"/>
      <c r="CI89" s="150"/>
      <c r="CJ89" s="1210"/>
      <c r="CK89" s="594"/>
      <c r="CL89" s="1112"/>
      <c r="CM89" s="150"/>
      <c r="CN89" s="150"/>
      <c r="CO89" s="1113"/>
      <c r="CP89" s="150"/>
      <c r="CQ89" s="1112"/>
      <c r="CR89" s="150"/>
      <c r="CS89" s="150"/>
      <c r="CT89" s="1113"/>
      <c r="CU89" s="150"/>
      <c r="CV89" s="1112"/>
      <c r="CW89" s="150"/>
      <c r="CX89" s="150"/>
      <c r="CY89" s="1113"/>
      <c r="CZ89" s="150"/>
    </row>
    <row r="90" spans="1:104" ht="13.5" customHeight="1">
      <c r="A90" s="66"/>
      <c r="B90" s="79"/>
      <c r="C90" s="81" t="s">
        <v>65</v>
      </c>
      <c r="D90" s="66"/>
      <c r="E90" s="93"/>
      <c r="F90" s="93"/>
      <c r="G90" s="93"/>
      <c r="H90" s="93"/>
      <c r="I90" s="93"/>
      <c r="J90" s="93">
        <f t="shared" ref="J90:AH90" si="103">J57-J88</f>
        <v>20.262295000000012</v>
      </c>
      <c r="K90" s="93">
        <f t="shared" si="103"/>
        <v>59.748301999999995</v>
      </c>
      <c r="L90" s="93">
        <f t="shared" si="103"/>
        <v>39.178799999999995</v>
      </c>
      <c r="M90" s="93">
        <f t="shared" si="103"/>
        <v>42.890618000000018</v>
      </c>
      <c r="N90" s="93">
        <f t="shared" si="103"/>
        <v>162.08001499999995</v>
      </c>
      <c r="O90" s="93">
        <f t="shared" si="103"/>
        <v>17.781759000000008</v>
      </c>
      <c r="P90" s="93">
        <f t="shared" si="103"/>
        <v>8.4250899999999973</v>
      </c>
      <c r="Q90" s="93">
        <f t="shared" si="103"/>
        <v>16.021778999999942</v>
      </c>
      <c r="R90" s="93">
        <f t="shared" si="103"/>
        <v>20.552595000000004</v>
      </c>
      <c r="S90" s="93">
        <f t="shared" si="103"/>
        <v>62.781222999999954</v>
      </c>
      <c r="T90" s="93">
        <f t="shared" si="103"/>
        <v>113.23800000000003</v>
      </c>
      <c r="U90" s="93">
        <f t="shared" si="103"/>
        <v>251.44200000000004</v>
      </c>
      <c r="V90" s="93">
        <f t="shared" si="103"/>
        <v>415.38699999999994</v>
      </c>
      <c r="W90" s="93">
        <f t="shared" si="103"/>
        <v>341.41800000000001</v>
      </c>
      <c r="X90" s="93">
        <f t="shared" si="103"/>
        <v>1121.4849999999997</v>
      </c>
      <c r="Y90" s="93">
        <f t="shared" si="103"/>
        <v>354.66599999999994</v>
      </c>
      <c r="Z90" s="93">
        <f t="shared" si="103"/>
        <v>322.70699999999999</v>
      </c>
      <c r="AA90" s="93">
        <f t="shared" si="103"/>
        <v>291.87700000000007</v>
      </c>
      <c r="AB90" s="93">
        <f t="shared" si="103"/>
        <v>341.03400000000016</v>
      </c>
      <c r="AC90" s="93">
        <f t="shared" si="103"/>
        <v>1310.2840000000001</v>
      </c>
      <c r="AD90" s="93">
        <f t="shared" si="103"/>
        <v>379.16099999999994</v>
      </c>
      <c r="AE90" s="93">
        <f t="shared" si="103"/>
        <v>452.78300000000002</v>
      </c>
      <c r="AF90" s="93">
        <f t="shared" si="103"/>
        <v>517.57799999999997</v>
      </c>
      <c r="AG90" s="93">
        <f t="shared" si="103"/>
        <v>408.15899999999988</v>
      </c>
      <c r="AH90" s="93">
        <f t="shared" si="103"/>
        <v>1757.6809999999998</v>
      </c>
      <c r="AI90" s="93">
        <f>AI57+AI88</f>
        <v>381.029</v>
      </c>
      <c r="AJ90" s="93">
        <f>AJ57+AJ88</f>
        <v>344.85</v>
      </c>
      <c r="AK90" s="93">
        <f>AK57+AK88</f>
        <v>381.22199999999924</v>
      </c>
      <c r="AL90" s="93">
        <f>AL57+AL88</f>
        <v>364.846</v>
      </c>
      <c r="AM90" s="93">
        <f>AM57+AM88</f>
        <v>1471.9469999999992</v>
      </c>
      <c r="AN90" s="93">
        <f t="shared" ref="AN90:BU90" si="104">AN57-AN88</f>
        <v>409.75400000000025</v>
      </c>
      <c r="AO90" s="93">
        <f t="shared" si="104"/>
        <v>580.75400000000036</v>
      </c>
      <c r="AP90" s="93">
        <f t="shared" si="104"/>
        <v>734.59000000000026</v>
      </c>
      <c r="AQ90" s="93">
        <f t="shared" si="104"/>
        <v>105.89199999999997</v>
      </c>
      <c r="AR90" s="167">
        <f t="shared" si="104"/>
        <v>1830.9900000000002</v>
      </c>
      <c r="AS90" s="923">
        <f t="shared" si="104"/>
        <v>-189.64499999999998</v>
      </c>
      <c r="AT90" s="574">
        <f t="shared" si="104"/>
        <v>-133.33700000000002</v>
      </c>
      <c r="AU90" s="574">
        <f t="shared" si="104"/>
        <v>-29.538000000000004</v>
      </c>
      <c r="AV90" s="924">
        <f t="shared" si="104"/>
        <v>58.907000000000011</v>
      </c>
      <c r="AW90" s="574">
        <f t="shared" si="104"/>
        <v>-293.613</v>
      </c>
      <c r="AX90" s="923">
        <f t="shared" si="104"/>
        <v>30.964000000000002</v>
      </c>
      <c r="AY90" s="574">
        <f t="shared" si="104"/>
        <v>90.992000000000019</v>
      </c>
      <c r="AZ90" s="574">
        <f t="shared" si="104"/>
        <v>23.495000000000008</v>
      </c>
      <c r="BA90" s="924">
        <f t="shared" si="104"/>
        <v>-11.358999999999998</v>
      </c>
      <c r="BB90" s="574">
        <f t="shared" si="104"/>
        <v>134.09200000000013</v>
      </c>
      <c r="BC90" s="923">
        <f t="shared" si="104"/>
        <v>159.84100000000001</v>
      </c>
      <c r="BD90" s="574">
        <f t="shared" si="104"/>
        <v>299.77300000000002</v>
      </c>
      <c r="BE90" s="574">
        <f t="shared" si="104"/>
        <v>181.518</v>
      </c>
      <c r="BF90" s="976">
        <f t="shared" si="104"/>
        <v>137.05599999999998</v>
      </c>
      <c r="BG90" s="573">
        <f t="shared" si="104"/>
        <v>778.1880000000001</v>
      </c>
      <c r="BH90" s="923">
        <f t="shared" si="104"/>
        <v>145.10400000000004</v>
      </c>
      <c r="BI90" s="574">
        <f t="shared" si="104"/>
        <v>112.29900000000004</v>
      </c>
      <c r="BJ90" s="574">
        <f t="shared" si="104"/>
        <v>110.30800000000005</v>
      </c>
      <c r="BK90" s="924">
        <f t="shared" si="104"/>
        <v>136.90799999999999</v>
      </c>
      <c r="BL90" s="574">
        <f t="shared" si="104"/>
        <v>504.61900000000026</v>
      </c>
      <c r="BM90" s="923">
        <f t="shared" si="104"/>
        <v>84.789000000000044</v>
      </c>
      <c r="BN90" s="574">
        <f t="shared" si="104"/>
        <v>85.144999999999996</v>
      </c>
      <c r="BO90" s="574">
        <f t="shared" si="104"/>
        <v>147.59699999999998</v>
      </c>
      <c r="BP90" s="924">
        <f t="shared" si="104"/>
        <v>170.49400000000006</v>
      </c>
      <c r="BQ90" s="574">
        <f t="shared" si="104"/>
        <v>488.02499999999981</v>
      </c>
      <c r="BR90" s="923">
        <f t="shared" si="104"/>
        <v>111.03100000000001</v>
      </c>
      <c r="BS90" s="574">
        <f t="shared" si="104"/>
        <v>147.04100000000003</v>
      </c>
      <c r="BT90" s="574">
        <f t="shared" si="104"/>
        <v>245.44700000000006</v>
      </c>
      <c r="BU90" s="924">
        <f t="shared" si="104"/>
        <v>210.42699999999999</v>
      </c>
      <c r="BV90" s="574">
        <f>SUM(BR90:BU90)</f>
        <v>713.94600000000003</v>
      </c>
      <c r="BW90" s="923">
        <f t="shared" ref="BW90:CZ90" si="105">BW57-BW88</f>
        <v>67.799999999999983</v>
      </c>
      <c r="BX90" s="574">
        <f t="shared" si="105"/>
        <v>124.755</v>
      </c>
      <c r="BY90" s="574">
        <f t="shared" si="105"/>
        <v>227.12599999999998</v>
      </c>
      <c r="BZ90" s="924">
        <f t="shared" si="105"/>
        <v>-62.021999999999991</v>
      </c>
      <c r="CA90" s="574">
        <f t="shared" si="105"/>
        <v>357.65900000000011</v>
      </c>
      <c r="CB90" s="923">
        <f t="shared" si="105"/>
        <v>70.754000000000019</v>
      </c>
      <c r="CC90" s="574">
        <f t="shared" si="105"/>
        <v>233.77200000000002</v>
      </c>
      <c r="CD90" s="574">
        <f t="shared" si="105"/>
        <v>270.036</v>
      </c>
      <c r="CE90" s="924">
        <f t="shared" si="105"/>
        <v>159.63899999999998</v>
      </c>
      <c r="CF90" s="574">
        <f t="shared" si="105"/>
        <v>734.20099999999979</v>
      </c>
      <c r="CG90" s="923">
        <f t="shared" si="105"/>
        <v>356.89899999999994</v>
      </c>
      <c r="CH90" s="574">
        <f t="shared" si="105"/>
        <v>323.04800000000006</v>
      </c>
      <c r="CI90" s="574">
        <f t="shared" si="105"/>
        <v>268.50000000000006</v>
      </c>
      <c r="CJ90" s="924">
        <f t="shared" si="105"/>
        <v>383.89099999999996</v>
      </c>
      <c r="CK90" s="574">
        <f t="shared" si="105"/>
        <v>1332.338</v>
      </c>
      <c r="CL90" s="923">
        <f t="shared" si="105"/>
        <v>354.17899999999997</v>
      </c>
      <c r="CM90" s="574">
        <f t="shared" si="105"/>
        <v>541.6473269205884</v>
      </c>
      <c r="CN90" s="574">
        <f t="shared" si="105"/>
        <v>557.18235656040088</v>
      </c>
      <c r="CO90" s="924">
        <f t="shared" si="105"/>
        <v>510.2745017446249</v>
      </c>
      <c r="CP90" s="574">
        <f t="shared" si="105"/>
        <v>1963.2831852256143</v>
      </c>
      <c r="CQ90" s="923">
        <f t="shared" si="105"/>
        <v>558.58904134811098</v>
      </c>
      <c r="CR90" s="574">
        <f t="shared" si="105"/>
        <v>523.98964781664904</v>
      </c>
      <c r="CS90" s="574">
        <f t="shared" si="105"/>
        <v>466.08083443716134</v>
      </c>
      <c r="CT90" s="924">
        <f t="shared" si="105"/>
        <v>377.46848539734759</v>
      </c>
      <c r="CU90" s="574">
        <f t="shared" si="105"/>
        <v>1926.1280089992686</v>
      </c>
      <c r="CV90" s="923">
        <f t="shared" si="105"/>
        <v>461.02852930752704</v>
      </c>
      <c r="CW90" s="574">
        <f t="shared" si="105"/>
        <v>479.52814263047719</v>
      </c>
      <c r="CX90" s="574">
        <f t="shared" si="105"/>
        <v>443.85112256288517</v>
      </c>
      <c r="CY90" s="924">
        <f t="shared" si="105"/>
        <v>450.06916348920811</v>
      </c>
      <c r="CZ90" s="574">
        <f t="shared" si="105"/>
        <v>1834.4769579900974</v>
      </c>
    </row>
    <row r="91" spans="1:104" ht="6.2" customHeight="1">
      <c r="A91" s="66"/>
      <c r="B91" s="79"/>
      <c r="C91" s="66"/>
      <c r="D91" s="66"/>
      <c r="E91" s="151"/>
      <c r="F91" s="151"/>
      <c r="G91" s="151"/>
      <c r="H91" s="151"/>
      <c r="I91" s="151"/>
      <c r="J91" s="20"/>
      <c r="K91" s="20"/>
      <c r="L91" s="20"/>
      <c r="M91" s="20"/>
      <c r="N91" s="151"/>
      <c r="O91" s="20"/>
      <c r="P91" s="20"/>
      <c r="Q91" s="20"/>
      <c r="R91" s="20"/>
      <c r="S91" s="151"/>
      <c r="T91" s="20"/>
      <c r="U91" s="20"/>
      <c r="V91" s="20"/>
      <c r="W91" s="20"/>
      <c r="X91" s="151"/>
      <c r="Y91" s="20"/>
      <c r="Z91" s="20"/>
      <c r="AA91" s="20"/>
      <c r="AB91" s="20"/>
      <c r="AC91" s="151"/>
      <c r="AD91" s="20"/>
      <c r="AE91" s="93"/>
      <c r="AF91" s="20"/>
      <c r="AG91" s="20"/>
      <c r="AH91" s="151"/>
      <c r="AI91" s="20"/>
      <c r="AJ91" s="151"/>
      <c r="AK91" s="151"/>
      <c r="AL91" s="151"/>
      <c r="AM91" s="126"/>
      <c r="AN91" s="151"/>
      <c r="AO91" s="20"/>
      <c r="AP91" s="151"/>
      <c r="AQ91" s="137"/>
      <c r="AR91" s="134"/>
      <c r="AS91" s="1007"/>
      <c r="AT91" s="20"/>
      <c r="AU91" s="20"/>
      <c r="AV91" s="1008"/>
      <c r="AW91" s="137"/>
      <c r="AX91" s="859"/>
      <c r="AY91" s="151"/>
      <c r="AZ91" s="151"/>
      <c r="BA91" s="1008"/>
      <c r="BB91" s="137"/>
      <c r="BC91" s="1007"/>
      <c r="BD91" s="151"/>
      <c r="BE91" s="151"/>
      <c r="BF91" s="1172"/>
      <c r="BG91" s="101"/>
      <c r="BH91" s="859"/>
      <c r="BI91" s="151"/>
      <c r="BJ91" s="151"/>
      <c r="BK91" s="1008"/>
      <c r="BL91" s="137"/>
      <c r="BM91" s="1007"/>
      <c r="BN91" s="151"/>
      <c r="BO91" s="151"/>
      <c r="BP91" s="1008"/>
      <c r="BQ91" s="137"/>
      <c r="BR91" s="1007"/>
      <c r="BS91" s="151"/>
      <c r="BT91" s="151"/>
      <c r="BU91" s="1008"/>
      <c r="BV91" s="137"/>
      <c r="BW91" s="1007"/>
      <c r="BX91" s="151"/>
      <c r="BY91" s="151"/>
      <c r="BZ91" s="1008"/>
      <c r="CA91" s="137"/>
      <c r="CB91" s="1007"/>
      <c r="CC91" s="151"/>
      <c r="CD91" s="151"/>
      <c r="CE91" s="1008"/>
      <c r="CF91" s="137"/>
      <c r="CG91" s="1007"/>
      <c r="CH91" s="151"/>
      <c r="CI91" s="151"/>
      <c r="CJ91" s="1008"/>
      <c r="CK91" s="137"/>
      <c r="CL91" s="1007"/>
      <c r="CM91" s="151"/>
      <c r="CN91" s="151"/>
      <c r="CO91" s="1008"/>
      <c r="CP91" s="137"/>
      <c r="CQ91" s="1007"/>
      <c r="CR91" s="151"/>
      <c r="CS91" s="151"/>
      <c r="CT91" s="1008"/>
      <c r="CU91" s="137"/>
      <c r="CV91" s="1007"/>
      <c r="CW91" s="151"/>
      <c r="CX91" s="151"/>
      <c r="CY91" s="1008"/>
      <c r="CZ91" s="137"/>
    </row>
    <row r="92" spans="1:104" ht="13.5" customHeight="1">
      <c r="A92" s="66"/>
      <c r="B92" s="79" t="s">
        <v>449</v>
      </c>
      <c r="C92" s="66"/>
      <c r="D92" s="66"/>
      <c r="E92" s="142"/>
      <c r="F92" s="142"/>
      <c r="G92" s="142"/>
      <c r="H92" s="142"/>
      <c r="I92" s="142"/>
      <c r="J92" s="142">
        <f t="shared" ref="J92:AM92" si="106">J90/J63</f>
        <v>6.4836211944142408E-2</v>
      </c>
      <c r="K92" s="142">
        <f t="shared" si="106"/>
        <v>0.19062498261195512</v>
      </c>
      <c r="L92" s="142">
        <f t="shared" si="106"/>
        <v>0.12514643347805277</v>
      </c>
      <c r="M92" s="142">
        <f t="shared" si="106"/>
        <v>0.13711424634279157</v>
      </c>
      <c r="N92" s="142">
        <f t="shared" si="106"/>
        <v>0.51790121981606818</v>
      </c>
      <c r="O92" s="142">
        <f t="shared" si="106"/>
        <v>5.6848930478154792E-2</v>
      </c>
      <c r="P92" s="142">
        <f t="shared" si="106"/>
        <v>2.6894394410019767E-2</v>
      </c>
      <c r="Q92" s="142">
        <f t="shared" si="106"/>
        <v>5.1135700573803781E-2</v>
      </c>
      <c r="R92" s="142">
        <f t="shared" si="106"/>
        <v>6.5318922355427758E-2</v>
      </c>
      <c r="S92" s="142">
        <f t="shared" si="106"/>
        <v>0.20037486604859625</v>
      </c>
      <c r="T92" s="142">
        <f t="shared" si="106"/>
        <v>0.35750637738994273</v>
      </c>
      <c r="U92" s="142">
        <f t="shared" si="106"/>
        <v>0.79133516289843397</v>
      </c>
      <c r="V92" s="142">
        <f t="shared" si="106"/>
        <v>1.2962291470333083</v>
      </c>
      <c r="W92" s="142">
        <f t="shared" si="106"/>
        <v>1.0617750051313311</v>
      </c>
      <c r="X92" s="142">
        <f t="shared" si="106"/>
        <v>3.5100373073600655</v>
      </c>
      <c r="Y92" s="142">
        <f t="shared" si="106"/>
        <v>1.0997668159210148</v>
      </c>
      <c r="Z92" s="142">
        <f t="shared" si="106"/>
        <v>1.0127826911126872</v>
      </c>
      <c r="AA92" s="142">
        <f t="shared" si="106"/>
        <v>0.92814940598845075</v>
      </c>
      <c r="AB92" s="142">
        <f t="shared" si="106"/>
        <v>1.0900321543408367</v>
      </c>
      <c r="AC92" s="142">
        <f t="shared" si="106"/>
        <v>4.1316936272191223</v>
      </c>
      <c r="AD92" s="142">
        <f t="shared" si="106"/>
        <v>1.2084889784157986</v>
      </c>
      <c r="AE92" s="142">
        <f t="shared" si="106"/>
        <v>1.4467990605678134</v>
      </c>
      <c r="AF92" s="142">
        <f t="shared" si="106"/>
        <v>1.6828904286415673</v>
      </c>
      <c r="AG92" s="142">
        <f t="shared" si="106"/>
        <v>1.3452612844218121</v>
      </c>
      <c r="AH92" s="142">
        <f t="shared" si="106"/>
        <v>5.6812829488559409</v>
      </c>
      <c r="AI92" s="142">
        <f t="shared" si="106"/>
        <v>1.2555242156042201</v>
      </c>
      <c r="AJ92" s="142">
        <f t="shared" si="106"/>
        <v>1.136880625061814</v>
      </c>
      <c r="AK92" s="142">
        <f t="shared" si="106"/>
        <v>1.292194739999794</v>
      </c>
      <c r="AL92" s="142">
        <f t="shared" si="106"/>
        <v>1.2584454914837988</v>
      </c>
      <c r="AM92" s="142">
        <f t="shared" si="106"/>
        <v>4.9404597780237252</v>
      </c>
      <c r="AN92" s="142">
        <f t="shared" ref="AN92:AT92" si="107">AN90/AN63</f>
        <v>1.4119661889517963</v>
      </c>
      <c r="AO92" s="142">
        <f t="shared" si="107"/>
        <v>1.9368667498215739</v>
      </c>
      <c r="AP92" s="142">
        <f t="shared" si="107"/>
        <v>2.308811696965126</v>
      </c>
      <c r="AQ92" s="145">
        <f t="shared" si="107"/>
        <v>0.33573980894042138</v>
      </c>
      <c r="AR92" s="145">
        <f t="shared" si="107"/>
        <v>5.9818289925904642</v>
      </c>
      <c r="AS92" s="925">
        <f t="shared" si="107"/>
        <v>-0.60335200862817706</v>
      </c>
      <c r="AT92" s="142">
        <f t="shared" si="107"/>
        <v>-0.4236255845872306</v>
      </c>
      <c r="AU92" s="562">
        <v>-0.1</v>
      </c>
      <c r="AV92" s="926">
        <f t="shared" ref="AV92:CA92" si="108">AV90/AV63</f>
        <v>0.18656806232976503</v>
      </c>
      <c r="AW92" s="145">
        <f t="shared" si="108"/>
        <v>-0.93211659830601024</v>
      </c>
      <c r="AX92" s="925">
        <f t="shared" si="108"/>
        <v>9.7916693018961012E-2</v>
      </c>
      <c r="AY92" s="142">
        <f t="shared" si="108"/>
        <v>0.28751990697439278</v>
      </c>
      <c r="AZ92" s="142">
        <f t="shared" si="108"/>
        <v>7.4173812019346155E-2</v>
      </c>
      <c r="BA92" s="926">
        <f t="shared" si="108"/>
        <v>-3.5908816453755418E-2</v>
      </c>
      <c r="BB92" s="145">
        <f t="shared" si="108"/>
        <v>0.42365802028371974</v>
      </c>
      <c r="BC92" s="925">
        <f t="shared" si="108"/>
        <v>0.50443078321351709</v>
      </c>
      <c r="BD92" s="142">
        <f t="shared" si="108"/>
        <v>0.94559052684040867</v>
      </c>
      <c r="BE92" s="142">
        <f t="shared" si="108"/>
        <v>0.5722617703991878</v>
      </c>
      <c r="BF92" s="977">
        <f t="shared" si="108"/>
        <v>0.43172139203185239</v>
      </c>
      <c r="BG92" s="365">
        <f t="shared" si="108"/>
        <v>2.4537796577835871</v>
      </c>
      <c r="BH92" s="925">
        <f t="shared" si="108"/>
        <v>0.45661922279319916</v>
      </c>
      <c r="BI92" s="142">
        <f t="shared" si="108"/>
        <v>0.35309709470506861</v>
      </c>
      <c r="BJ92" s="142">
        <f t="shared" si="108"/>
        <v>0.34631420318975276</v>
      </c>
      <c r="BK92" s="926">
        <f t="shared" si="108"/>
        <v>0.42969998085451627</v>
      </c>
      <c r="BL92" s="145">
        <f t="shared" si="108"/>
        <v>1.585655480140775</v>
      </c>
      <c r="BM92" s="925">
        <f t="shared" si="108"/>
        <v>0.26592795177548767</v>
      </c>
      <c r="BN92" s="142">
        <f t="shared" si="108"/>
        <v>0.26689298263761546</v>
      </c>
      <c r="BO92" s="142">
        <f t="shared" si="108"/>
        <v>0.46192485118581894</v>
      </c>
      <c r="BP92" s="926">
        <f t="shared" si="108"/>
        <v>0.53337379400097629</v>
      </c>
      <c r="BQ92" s="145">
        <f t="shared" si="108"/>
        <v>1.5286094516786037</v>
      </c>
      <c r="BR92" s="925">
        <f t="shared" si="108"/>
        <v>0.34722361211878616</v>
      </c>
      <c r="BS92" s="142">
        <f t="shared" si="108"/>
        <v>0.45953040961807118</v>
      </c>
      <c r="BT92" s="142">
        <f t="shared" si="108"/>
        <v>0.76621495487564684</v>
      </c>
      <c r="BU92" s="926">
        <f t="shared" si="108"/>
        <v>0.65666299473551171</v>
      </c>
      <c r="BV92" s="145">
        <f t="shared" si="108"/>
        <v>2.230149117361103</v>
      </c>
      <c r="BW92" s="925">
        <f t="shared" si="108"/>
        <v>0.21155568314075937</v>
      </c>
      <c r="BX92" s="142">
        <f t="shared" si="108"/>
        <v>0.38899871534230512</v>
      </c>
      <c r="BY92" s="142">
        <f t="shared" si="108"/>
        <v>0.70777812402617635</v>
      </c>
      <c r="BZ92" s="926">
        <f t="shared" si="108"/>
        <v>-0.19340353678197117</v>
      </c>
      <c r="CA92" s="365">
        <f t="shared" si="108"/>
        <v>1.1152639038087653</v>
      </c>
      <c r="CB92" s="1005">
        <f t="shared" ref="CB92:CZ92" si="109">CB90/CB63</f>
        <v>0.22159514428708346</v>
      </c>
      <c r="CC92" s="679">
        <f t="shared" si="109"/>
        <v>0.7315021684846893</v>
      </c>
      <c r="CD92" s="142">
        <f t="shared" si="109"/>
        <v>0.84378866849150691</v>
      </c>
      <c r="CE92" s="926">
        <f t="shared" si="109"/>
        <v>0.49825528408594355</v>
      </c>
      <c r="CF92" s="365">
        <f t="shared" si="109"/>
        <v>2.2956550831399958</v>
      </c>
      <c r="CG92" s="925">
        <f t="shared" si="109"/>
        <v>1.1113294264913776</v>
      </c>
      <c r="CH92" s="142">
        <f t="shared" si="109"/>
        <v>1.0056720190769117</v>
      </c>
      <c r="CI92" s="142">
        <f t="shared" si="109"/>
        <v>0.83706661927965531</v>
      </c>
      <c r="CJ92" s="926">
        <f t="shared" si="109"/>
        <v>1.199783102632459</v>
      </c>
      <c r="CK92" s="365">
        <f t="shared" si="109"/>
        <v>4.1534905253050809</v>
      </c>
      <c r="CL92" s="925">
        <f t="shared" si="109"/>
        <v>1.1051723384736358</v>
      </c>
      <c r="CM92" s="142">
        <f t="shared" si="109"/>
        <v>1.6981154356404065</v>
      </c>
      <c r="CN92" s="142">
        <f t="shared" si="109"/>
        <v>1.746819218181854</v>
      </c>
      <c r="CO92" s="926">
        <f t="shared" si="109"/>
        <v>1.5997586709281488</v>
      </c>
      <c r="CP92" s="365">
        <f t="shared" si="109"/>
        <v>6.1478292772412138</v>
      </c>
      <c r="CQ92" s="925">
        <f t="shared" si="109"/>
        <v>1.7512293076115788</v>
      </c>
      <c r="CR92" s="142">
        <f t="shared" si="109"/>
        <v>1.6427569469085297</v>
      </c>
      <c r="CS92" s="142">
        <f t="shared" si="109"/>
        <v>1.4612073574027646</v>
      </c>
      <c r="CT92" s="926">
        <f t="shared" si="109"/>
        <v>1.183399288915935</v>
      </c>
      <c r="CU92" s="365">
        <f t="shared" si="109"/>
        <v>6.0385929008388066</v>
      </c>
      <c r="CV92" s="925">
        <f t="shared" si="109"/>
        <v>1.445367904497175</v>
      </c>
      <c r="CW92" s="142">
        <f t="shared" si="109"/>
        <v>1.5033659363820187</v>
      </c>
      <c r="CX92" s="142">
        <f t="shared" si="109"/>
        <v>1.3915151148910951</v>
      </c>
      <c r="CY92" s="926">
        <f t="shared" si="109"/>
        <v>1.4110092594232269</v>
      </c>
      <c r="CZ92" s="365">
        <f t="shared" si="109"/>
        <v>5.7512582151935154</v>
      </c>
    </row>
    <row r="93" spans="1:104" ht="6.2" customHeight="1">
      <c r="A93" s="66"/>
      <c r="B93" s="66"/>
      <c r="C93" s="66"/>
      <c r="D93" s="66"/>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859"/>
      <c r="AT93" s="20"/>
      <c r="AU93" s="20"/>
      <c r="AV93" s="860"/>
      <c r="AW93" s="20"/>
      <c r="AX93" s="859"/>
      <c r="AY93" s="20"/>
      <c r="AZ93" s="20"/>
      <c r="BA93" s="860"/>
      <c r="BB93" s="20"/>
      <c r="BC93" s="859"/>
      <c r="BD93" s="20"/>
      <c r="BE93" s="20"/>
      <c r="BF93" s="954"/>
      <c r="BG93" s="369"/>
      <c r="BH93" s="859"/>
      <c r="BI93" s="20"/>
      <c r="BJ93" s="20"/>
      <c r="BK93" s="860"/>
      <c r="BL93" s="20"/>
      <c r="BM93" s="859"/>
      <c r="BN93" s="20"/>
      <c r="BO93" s="20"/>
      <c r="BP93" s="860"/>
      <c r="BQ93" s="20"/>
      <c r="BR93" s="859"/>
      <c r="BS93" s="20"/>
      <c r="BT93" s="20"/>
      <c r="BU93" s="860"/>
      <c r="BV93" s="20"/>
      <c r="BW93" s="859"/>
      <c r="BX93" s="20"/>
      <c r="BY93" s="20"/>
      <c r="BZ93" s="860"/>
      <c r="CA93" s="20"/>
      <c r="CB93" s="859"/>
      <c r="CC93" s="20"/>
      <c r="CD93" s="495"/>
      <c r="CE93" s="944"/>
      <c r="CF93" s="495"/>
      <c r="CG93" s="981"/>
      <c r="CH93" s="495"/>
      <c r="CI93" s="20"/>
      <c r="CJ93" s="944"/>
      <c r="CK93" s="495"/>
      <c r="CL93" s="859"/>
      <c r="CM93" s="20"/>
      <c r="CN93" s="20"/>
      <c r="CO93" s="860"/>
      <c r="CP93" s="20"/>
      <c r="CQ93" s="859"/>
      <c r="CR93" s="20"/>
      <c r="CS93" s="20"/>
      <c r="CT93" s="860"/>
      <c r="CU93" s="20"/>
      <c r="CV93" s="859"/>
      <c r="CW93" s="20"/>
      <c r="CX93" s="20"/>
      <c r="CY93" s="860"/>
      <c r="CZ93" s="20"/>
    </row>
    <row r="94" spans="1:104" ht="13.5" customHeight="1">
      <c r="A94" s="66" t="s">
        <v>107</v>
      </c>
      <c r="B94" s="66"/>
      <c r="C94" s="66"/>
      <c r="D94" s="66"/>
      <c r="E94" s="107"/>
      <c r="F94" s="107"/>
      <c r="G94" s="107"/>
      <c r="H94" s="107"/>
      <c r="I94" s="107"/>
      <c r="J94" s="107">
        <f t="shared" ref="J94:AM94" si="110">J41</f>
        <v>63.624590000000012</v>
      </c>
      <c r="K94" s="107">
        <f t="shared" si="110"/>
        <v>87.179826000000006</v>
      </c>
      <c r="L94" s="107">
        <f t="shared" si="110"/>
        <v>74.257091999999986</v>
      </c>
      <c r="M94" s="107">
        <f t="shared" si="110"/>
        <v>68.84935200000001</v>
      </c>
      <c r="N94" s="107">
        <f t="shared" si="110"/>
        <v>293.91085999999996</v>
      </c>
      <c r="O94" s="107">
        <f t="shared" si="110"/>
        <v>33.655267000000009</v>
      </c>
      <c r="P94" s="107">
        <f t="shared" si="110"/>
        <v>27.577278999999997</v>
      </c>
      <c r="Q94" s="107">
        <f t="shared" si="110"/>
        <v>26.656759999999942</v>
      </c>
      <c r="R94" s="107">
        <f t="shared" si="110"/>
        <v>23.217927000000003</v>
      </c>
      <c r="S94" s="107">
        <f t="shared" si="110"/>
        <v>111.10723299999995</v>
      </c>
      <c r="T94" s="107">
        <f t="shared" si="110"/>
        <v>192.64800000000002</v>
      </c>
      <c r="U94" s="107">
        <f t="shared" si="110"/>
        <v>431.1</v>
      </c>
      <c r="V94" s="107">
        <f t="shared" si="110"/>
        <v>674.50099999999998</v>
      </c>
      <c r="W94" s="107">
        <f t="shared" si="110"/>
        <v>547.87699999999995</v>
      </c>
      <c r="X94" s="107">
        <f t="shared" si="110"/>
        <v>1846.1259999999997</v>
      </c>
      <c r="Y94" s="107">
        <f t="shared" si="110"/>
        <v>576.56399999999996</v>
      </c>
      <c r="Z94" s="107">
        <f t="shared" si="110"/>
        <v>522.29200000000003</v>
      </c>
      <c r="AA94" s="107">
        <f t="shared" si="110"/>
        <v>472.50500000000011</v>
      </c>
      <c r="AB94" s="107">
        <f t="shared" si="110"/>
        <v>550.68200000000002</v>
      </c>
      <c r="AC94" s="107">
        <f t="shared" si="110"/>
        <v>2122.0430000000001</v>
      </c>
      <c r="AD94" s="107">
        <f t="shared" si="110"/>
        <v>622.85500000000002</v>
      </c>
      <c r="AE94" s="107">
        <f t="shared" si="110"/>
        <v>733.77300000000002</v>
      </c>
      <c r="AF94" s="107">
        <f t="shared" si="110"/>
        <v>844.18799999999999</v>
      </c>
      <c r="AG94" s="107">
        <f t="shared" si="110"/>
        <v>674.85799999999995</v>
      </c>
      <c r="AH94" s="107">
        <f t="shared" si="110"/>
        <v>2875.674</v>
      </c>
      <c r="AI94" s="107">
        <f t="shared" si="110"/>
        <v>641.077</v>
      </c>
      <c r="AJ94" s="107">
        <f t="shared" si="110"/>
        <v>615.28000000000009</v>
      </c>
      <c r="AK94" s="107">
        <f t="shared" si="110"/>
        <v>664.4909999999993</v>
      </c>
      <c r="AL94" s="107">
        <f t="shared" si="110"/>
        <v>631.43700000000001</v>
      </c>
      <c r="AM94" s="107">
        <f t="shared" si="110"/>
        <v>2552.2849999999994</v>
      </c>
      <c r="AN94" s="107">
        <f t="shared" ref="AN94:BS94" si="111">AN41</f>
        <v>732.96300000000019</v>
      </c>
      <c r="AO94" s="107">
        <f t="shared" si="111"/>
        <v>990.77200000000039</v>
      </c>
      <c r="AP94" s="107">
        <f t="shared" si="111"/>
        <v>1241.3580000000002</v>
      </c>
      <c r="AQ94" s="107">
        <f t="shared" si="111"/>
        <v>377.36399999999998</v>
      </c>
      <c r="AR94" s="107">
        <f t="shared" si="111"/>
        <v>3342.4570000000003</v>
      </c>
      <c r="AS94" s="1067">
        <f t="shared" si="111"/>
        <v>-249.38099999999997</v>
      </c>
      <c r="AT94" s="563">
        <f t="shared" si="111"/>
        <v>-168.80100000000002</v>
      </c>
      <c r="AU94" s="563">
        <f t="shared" si="111"/>
        <v>13.241</v>
      </c>
      <c r="AV94" s="1068">
        <f t="shared" si="111"/>
        <v>125.715</v>
      </c>
      <c r="AW94" s="563">
        <f t="shared" si="111"/>
        <v>-279.226</v>
      </c>
      <c r="AX94" s="1067">
        <f t="shared" si="111"/>
        <v>101.824</v>
      </c>
      <c r="AY94" s="563">
        <f t="shared" si="111"/>
        <v>192.89500000000001</v>
      </c>
      <c r="AZ94" s="563">
        <f t="shared" si="111"/>
        <v>95.692000000000007</v>
      </c>
      <c r="BA94" s="1068">
        <f t="shared" si="111"/>
        <v>39.796999999999997</v>
      </c>
      <c r="BB94" s="563">
        <f t="shared" si="111"/>
        <v>430.20800000000008</v>
      </c>
      <c r="BC94" s="1067">
        <f t="shared" si="111"/>
        <v>308.82100000000003</v>
      </c>
      <c r="BD94" s="563">
        <f t="shared" si="111"/>
        <v>520.471</v>
      </c>
      <c r="BE94" s="563">
        <f t="shared" si="111"/>
        <v>324.40799999999996</v>
      </c>
      <c r="BF94" s="1068">
        <f t="shared" si="111"/>
        <v>235.20600000000002</v>
      </c>
      <c r="BG94" s="563">
        <f t="shared" si="111"/>
        <v>1388.9060000000002</v>
      </c>
      <c r="BH94" s="1067">
        <f t="shared" si="111"/>
        <v>266.73400000000004</v>
      </c>
      <c r="BI94" s="563">
        <f t="shared" si="111"/>
        <v>295.74400000000003</v>
      </c>
      <c r="BJ94" s="563">
        <f t="shared" si="111"/>
        <v>277.88000000000005</v>
      </c>
      <c r="BK94" s="1068">
        <f t="shared" si="111"/>
        <v>271.25700000000001</v>
      </c>
      <c r="BL94" s="563">
        <f t="shared" si="111"/>
        <v>1111.6150000000002</v>
      </c>
      <c r="BM94" s="1067">
        <f t="shared" si="111"/>
        <v>185.81900000000002</v>
      </c>
      <c r="BN94" s="563">
        <f t="shared" si="111"/>
        <v>191.56</v>
      </c>
      <c r="BO94" s="563">
        <f t="shared" si="111"/>
        <v>299.66899999999998</v>
      </c>
      <c r="BP94" s="1068">
        <f t="shared" si="111"/>
        <v>274.97000000000003</v>
      </c>
      <c r="BQ94" s="563">
        <f t="shared" si="111"/>
        <v>952.0179999999998</v>
      </c>
      <c r="BR94" s="1067">
        <f t="shared" si="111"/>
        <v>257.24200000000002</v>
      </c>
      <c r="BS94" s="563">
        <f t="shared" si="111"/>
        <v>286.25600000000003</v>
      </c>
      <c r="BT94" s="563">
        <f t="shared" ref="BT94:CZ94" si="112">BT41</f>
        <v>461.834</v>
      </c>
      <c r="BU94" s="1068">
        <f t="shared" si="112"/>
        <v>390.00099999999998</v>
      </c>
      <c r="BV94" s="563">
        <f t="shared" si="112"/>
        <v>1395.3329999999999</v>
      </c>
      <c r="BW94" s="1067">
        <f t="shared" si="112"/>
        <v>163.46199999999999</v>
      </c>
      <c r="BX94" s="563">
        <f t="shared" si="112"/>
        <v>258.40800000000002</v>
      </c>
      <c r="BY94" s="563">
        <f t="shared" si="112"/>
        <v>399.61200000000002</v>
      </c>
      <c r="BZ94" s="1068">
        <f t="shared" si="112"/>
        <v>298.42</v>
      </c>
      <c r="CA94" s="563">
        <f t="shared" si="112"/>
        <v>1119.902</v>
      </c>
      <c r="CB94" s="1067">
        <f t="shared" si="112"/>
        <v>186.44800000000001</v>
      </c>
      <c r="CC94" s="563">
        <f t="shared" si="112"/>
        <v>411.36799999999999</v>
      </c>
      <c r="CD94" s="563">
        <f t="shared" si="112"/>
        <v>469.28100000000001</v>
      </c>
      <c r="CE94" s="1068">
        <f t="shared" si="112"/>
        <v>260.26900000000001</v>
      </c>
      <c r="CF94" s="563">
        <f t="shared" si="112"/>
        <v>1327.3659999999998</v>
      </c>
      <c r="CG94" s="1067">
        <f t="shared" si="112"/>
        <v>602.38</v>
      </c>
      <c r="CH94" s="563">
        <f t="shared" si="112"/>
        <v>552.71600000000001</v>
      </c>
      <c r="CI94" s="563">
        <f t="shared" si="112"/>
        <v>420.96500000000003</v>
      </c>
      <c r="CJ94" s="1068">
        <f t="shared" si="112"/>
        <v>364.32599999999996</v>
      </c>
      <c r="CK94" s="563">
        <f t="shared" si="112"/>
        <v>1940.3869999999999</v>
      </c>
      <c r="CL94" s="1067">
        <f t="shared" si="112"/>
        <v>574.82600000000002</v>
      </c>
      <c r="CM94" s="563">
        <f t="shared" si="112"/>
        <v>788.59615184840584</v>
      </c>
      <c r="CN94" s="563">
        <f t="shared" si="112"/>
        <v>805.40742906253331</v>
      </c>
      <c r="CO94" s="1068">
        <f t="shared" si="112"/>
        <v>741.8100981036805</v>
      </c>
      <c r="CP94" s="563">
        <f t="shared" si="112"/>
        <v>2910.63967901462</v>
      </c>
      <c r="CQ94" s="1067">
        <f t="shared" si="112"/>
        <v>804.19687717936495</v>
      </c>
      <c r="CR94" s="563">
        <f t="shared" si="112"/>
        <v>758.79227446838343</v>
      </c>
      <c r="CS94" s="563">
        <f t="shared" si="112"/>
        <v>680.48707288410742</v>
      </c>
      <c r="CT94" s="1068">
        <f t="shared" si="112"/>
        <v>562.91523109697494</v>
      </c>
      <c r="CU94" s="563">
        <f t="shared" si="112"/>
        <v>2806.3914556288305</v>
      </c>
      <c r="CV94" s="1067">
        <f t="shared" si="112"/>
        <v>671.75025932684173</v>
      </c>
      <c r="CW94" s="563">
        <f t="shared" si="112"/>
        <v>698.80584104579748</v>
      </c>
      <c r="CX94" s="563">
        <f t="shared" si="112"/>
        <v>644.28096184963431</v>
      </c>
      <c r="CY94" s="1068">
        <f t="shared" si="112"/>
        <v>651.33003858647112</v>
      </c>
      <c r="CZ94" s="563">
        <f t="shared" si="112"/>
        <v>2666.1671008087446</v>
      </c>
    </row>
    <row r="95" spans="1:104" ht="13.5" customHeight="1">
      <c r="A95" s="77" t="s">
        <v>353</v>
      </c>
      <c r="B95" s="77"/>
      <c r="C95" s="77"/>
      <c r="D95" s="77"/>
      <c r="E95" s="152"/>
      <c r="F95" s="152"/>
      <c r="G95" s="152"/>
      <c r="H95" s="152"/>
      <c r="I95" s="152"/>
      <c r="J95" s="152">
        <f t="shared" ref="J95:AM95" si="113">J21</f>
        <v>75.715271000000001</v>
      </c>
      <c r="K95" s="152">
        <f t="shared" si="113"/>
        <v>76.304455999999988</v>
      </c>
      <c r="L95" s="152">
        <f t="shared" si="113"/>
        <v>76.166070000000019</v>
      </c>
      <c r="M95" s="152">
        <f t="shared" si="113"/>
        <v>78.915234999999967</v>
      </c>
      <c r="N95" s="152">
        <f t="shared" si="113"/>
        <v>307.10103199999998</v>
      </c>
      <c r="O95" s="152">
        <f t="shared" si="113"/>
        <v>91.459693000000001</v>
      </c>
      <c r="P95" s="152">
        <f t="shared" si="113"/>
        <v>91.578919999999997</v>
      </c>
      <c r="Q95" s="152">
        <f t="shared" si="113"/>
        <v>90.864865999999992</v>
      </c>
      <c r="R95" s="152">
        <f t="shared" si="113"/>
        <v>90.208444999999998</v>
      </c>
      <c r="S95" s="152">
        <f t="shared" si="113"/>
        <v>364.11192399999999</v>
      </c>
      <c r="T95" s="152">
        <f t="shared" si="113"/>
        <v>96.298000000000002</v>
      </c>
      <c r="U95" s="152">
        <f t="shared" si="113"/>
        <v>97.381</v>
      </c>
      <c r="V95" s="152">
        <f t="shared" si="113"/>
        <v>98.126000000000005</v>
      </c>
      <c r="W95" s="152">
        <f t="shared" si="113"/>
        <v>91.5</v>
      </c>
      <c r="X95" s="152">
        <f t="shared" si="113"/>
        <v>383.30500000000001</v>
      </c>
      <c r="Y95" s="152">
        <f t="shared" si="113"/>
        <v>91.29</v>
      </c>
      <c r="Z95" s="152">
        <f t="shared" si="113"/>
        <v>93.98099999999998</v>
      </c>
      <c r="AA95" s="152">
        <f t="shared" si="113"/>
        <v>96.228000000000023</v>
      </c>
      <c r="AB95" s="152">
        <f t="shared" si="113"/>
        <v>93.55499999999995</v>
      </c>
      <c r="AC95" s="152">
        <f t="shared" si="113"/>
        <v>375.05399999999997</v>
      </c>
      <c r="AD95" s="152">
        <f t="shared" si="113"/>
        <v>90.825000000000003</v>
      </c>
      <c r="AE95" s="107">
        <f t="shared" si="113"/>
        <v>91.662999999999997</v>
      </c>
      <c r="AF95" s="107">
        <f t="shared" si="113"/>
        <v>91.189999999999984</v>
      </c>
      <c r="AG95" s="107">
        <f t="shared" si="113"/>
        <v>90.257999999999981</v>
      </c>
      <c r="AH95" s="107">
        <f t="shared" si="113"/>
        <v>363.93599999999998</v>
      </c>
      <c r="AI95" s="107">
        <f t="shared" si="113"/>
        <v>98.402000000000001</v>
      </c>
      <c r="AJ95" s="107">
        <f t="shared" si="113"/>
        <v>97.747</v>
      </c>
      <c r="AK95" s="107">
        <f t="shared" si="113"/>
        <v>117.56799999999997</v>
      </c>
      <c r="AL95" s="107">
        <f t="shared" si="113"/>
        <v>113.83900000000004</v>
      </c>
      <c r="AM95" s="107">
        <f t="shared" si="113"/>
        <v>427.55600000000004</v>
      </c>
      <c r="AN95" s="107">
        <f t="shared" ref="AN95:BS95" si="114">AN21</f>
        <v>123.07300000000001</v>
      </c>
      <c r="AO95" s="107">
        <f t="shared" si="114"/>
        <v>140.22499999999999</v>
      </c>
      <c r="AP95" s="107">
        <f t="shared" si="114"/>
        <v>142.04899999999995</v>
      </c>
      <c r="AQ95" s="107">
        <f t="shared" si="114"/>
        <v>143.55999999999995</v>
      </c>
      <c r="AR95" s="107">
        <f t="shared" si="114"/>
        <v>548.90699999999993</v>
      </c>
      <c r="AS95" s="1067">
        <f t="shared" si="114"/>
        <v>137.84100000000001</v>
      </c>
      <c r="AT95" s="563">
        <f t="shared" si="114"/>
        <v>140.63499999999999</v>
      </c>
      <c r="AU95" s="563">
        <f t="shared" si="114"/>
        <v>143.62799999999999</v>
      </c>
      <c r="AV95" s="1068">
        <f t="shared" si="114"/>
        <v>144.31900000000002</v>
      </c>
      <c r="AW95" s="563">
        <f t="shared" si="114"/>
        <v>566.423</v>
      </c>
      <c r="AX95" s="1067">
        <f t="shared" si="114"/>
        <v>146.10399999999998</v>
      </c>
      <c r="AY95" s="563">
        <f t="shared" si="114"/>
        <v>145.01300000000003</v>
      </c>
      <c r="AZ95" s="563">
        <f t="shared" si="114"/>
        <v>147.36799999999999</v>
      </c>
      <c r="BA95" s="1068">
        <f t="shared" si="114"/>
        <v>144.11700000000008</v>
      </c>
      <c r="BB95" s="563">
        <f t="shared" si="114"/>
        <v>582.60200000000009</v>
      </c>
      <c r="BC95" s="1067">
        <f t="shared" si="114"/>
        <v>144.666</v>
      </c>
      <c r="BD95" s="563">
        <f t="shared" si="114"/>
        <v>146.07300000000004</v>
      </c>
      <c r="BE95" s="563">
        <f t="shared" si="114"/>
        <v>152.78299999999996</v>
      </c>
      <c r="BF95" s="1150">
        <f t="shared" si="114"/>
        <v>146.87799999999999</v>
      </c>
      <c r="BG95" s="564">
        <f t="shared" si="114"/>
        <v>590.4</v>
      </c>
      <c r="BH95" s="1067">
        <f t="shared" si="114"/>
        <v>147.922</v>
      </c>
      <c r="BI95" s="563">
        <f t="shared" si="114"/>
        <v>146.16800000000003</v>
      </c>
      <c r="BJ95" s="563">
        <f t="shared" si="114"/>
        <v>154.11799999999994</v>
      </c>
      <c r="BK95" s="1068">
        <f t="shared" si="114"/>
        <v>158.81299999999999</v>
      </c>
      <c r="BL95" s="564">
        <f t="shared" si="114"/>
        <v>607.02099999999996</v>
      </c>
      <c r="BM95" s="1067">
        <f t="shared" si="114"/>
        <v>149.47300000000001</v>
      </c>
      <c r="BN95" s="563">
        <f t="shared" si="114"/>
        <v>146.49199999999996</v>
      </c>
      <c r="BO95" s="563">
        <f t="shared" si="114"/>
        <v>150.58100000000002</v>
      </c>
      <c r="BP95" s="1068">
        <f t="shared" si="114"/>
        <v>163.66199999999998</v>
      </c>
      <c r="BQ95" s="563">
        <f t="shared" si="114"/>
        <v>610.20799999999997</v>
      </c>
      <c r="BR95" s="1067">
        <f t="shared" si="114"/>
        <v>179.91199999999998</v>
      </c>
      <c r="BS95" s="563">
        <f t="shared" si="114"/>
        <v>182.78199999999998</v>
      </c>
      <c r="BT95" s="563">
        <f t="shared" ref="BT95:CZ95" si="115">BT21</f>
        <v>178.11700000000008</v>
      </c>
      <c r="BU95" s="1068">
        <f t="shared" si="115"/>
        <v>183.61199999999997</v>
      </c>
      <c r="BV95" s="563">
        <f t="shared" si="115"/>
        <v>724.423</v>
      </c>
      <c r="BW95" s="1067">
        <f t="shared" si="115"/>
        <v>176.589</v>
      </c>
      <c r="BX95" s="563">
        <f t="shared" si="115"/>
        <v>174.827</v>
      </c>
      <c r="BY95" s="563">
        <f t="shared" si="115"/>
        <v>173.49600000000004</v>
      </c>
      <c r="BZ95" s="1068">
        <f t="shared" si="115"/>
        <v>175.1049999999999</v>
      </c>
      <c r="CA95" s="563">
        <f t="shared" si="115"/>
        <v>700.01699999999994</v>
      </c>
      <c r="CB95" s="1067">
        <f t="shared" si="115"/>
        <v>170.36099999999999</v>
      </c>
      <c r="CC95" s="563">
        <f t="shared" si="115"/>
        <v>171.31400000000002</v>
      </c>
      <c r="CD95" s="563">
        <f t="shared" si="115"/>
        <v>171.49999999999994</v>
      </c>
      <c r="CE95" s="1068">
        <f t="shared" si="115"/>
        <v>173.87900000000002</v>
      </c>
      <c r="CF95" s="563">
        <f t="shared" si="115"/>
        <v>687.05399999999997</v>
      </c>
      <c r="CG95" s="1067">
        <f t="shared" si="115"/>
        <v>180.893</v>
      </c>
      <c r="CH95" s="563">
        <f t="shared" si="115"/>
        <v>182.828</v>
      </c>
      <c r="CI95" s="563">
        <f t="shared" si="115"/>
        <v>179.49500000000003</v>
      </c>
      <c r="CJ95" s="1068">
        <f t="shared" si="115"/>
        <v>183.84499999999991</v>
      </c>
      <c r="CK95" s="563">
        <f t="shared" si="115"/>
        <v>727.06099999999992</v>
      </c>
      <c r="CL95" s="1067">
        <f t="shared" si="115"/>
        <v>174</v>
      </c>
      <c r="CM95" s="563">
        <f t="shared" si="115"/>
        <v>174</v>
      </c>
      <c r="CN95" s="563">
        <f t="shared" si="115"/>
        <v>174</v>
      </c>
      <c r="CO95" s="1068">
        <f t="shared" si="115"/>
        <v>174</v>
      </c>
      <c r="CP95" s="563">
        <f t="shared" si="115"/>
        <v>696</v>
      </c>
      <c r="CQ95" s="1067">
        <f t="shared" si="115"/>
        <v>174</v>
      </c>
      <c r="CR95" s="563">
        <f t="shared" si="115"/>
        <v>174</v>
      </c>
      <c r="CS95" s="563">
        <f t="shared" si="115"/>
        <v>174</v>
      </c>
      <c r="CT95" s="1068">
        <f t="shared" si="115"/>
        <v>174</v>
      </c>
      <c r="CU95" s="563">
        <f t="shared" si="115"/>
        <v>696</v>
      </c>
      <c r="CV95" s="1067">
        <f t="shared" si="115"/>
        <v>174</v>
      </c>
      <c r="CW95" s="563">
        <f t="shared" si="115"/>
        <v>174</v>
      </c>
      <c r="CX95" s="563">
        <f t="shared" si="115"/>
        <v>174</v>
      </c>
      <c r="CY95" s="1068">
        <f t="shared" si="115"/>
        <v>174</v>
      </c>
      <c r="CZ95" s="563">
        <f t="shared" si="115"/>
        <v>696</v>
      </c>
    </row>
    <row r="96" spans="1:104" ht="6.2" customHeight="1">
      <c r="A96" s="66"/>
      <c r="B96" s="79"/>
      <c r="C96" s="66"/>
      <c r="D96" s="66"/>
      <c r="E96" s="149"/>
      <c r="F96" s="149"/>
      <c r="G96" s="149"/>
      <c r="H96" s="149"/>
      <c r="I96" s="149"/>
      <c r="J96" s="149"/>
      <c r="K96" s="149"/>
      <c r="L96" s="149"/>
      <c r="M96" s="149"/>
      <c r="N96" s="149"/>
      <c r="O96" s="149"/>
      <c r="P96" s="149"/>
      <c r="Q96" s="149"/>
      <c r="R96" s="149"/>
      <c r="S96" s="149"/>
      <c r="T96" s="149"/>
      <c r="U96" s="149"/>
      <c r="V96" s="149"/>
      <c r="W96" s="149"/>
      <c r="X96" s="149"/>
      <c r="Y96" s="149"/>
      <c r="Z96" s="149"/>
      <c r="AA96" s="149"/>
      <c r="AB96" s="149"/>
      <c r="AC96" s="149"/>
      <c r="AD96" s="149"/>
      <c r="AE96" s="150"/>
      <c r="AF96" s="150"/>
      <c r="AG96" s="150"/>
      <c r="AH96" s="150"/>
      <c r="AI96" s="150"/>
      <c r="AJ96" s="150"/>
      <c r="AK96" s="150"/>
      <c r="AL96" s="150"/>
      <c r="AM96" s="150"/>
      <c r="AN96" s="150"/>
      <c r="AO96" s="150"/>
      <c r="AP96" s="150"/>
      <c r="AQ96" s="150"/>
      <c r="AR96" s="150"/>
      <c r="AS96" s="1112"/>
      <c r="AT96" s="150"/>
      <c r="AU96" s="150"/>
      <c r="AV96" s="1113"/>
      <c r="AW96" s="150"/>
      <c r="AX96" s="1112"/>
      <c r="AY96" s="150"/>
      <c r="AZ96" s="150"/>
      <c r="BA96" s="1113"/>
      <c r="BB96" s="150"/>
      <c r="BC96" s="1112"/>
      <c r="BD96" s="150"/>
      <c r="BE96" s="150"/>
      <c r="BF96" s="1171"/>
      <c r="BG96" s="381"/>
      <c r="BH96" s="1112"/>
      <c r="BI96" s="150"/>
      <c r="BJ96" s="150"/>
      <c r="BK96" s="1113"/>
      <c r="BL96" s="381"/>
      <c r="BM96" s="1112"/>
      <c r="BN96" s="150"/>
      <c r="BO96" s="150"/>
      <c r="BP96" s="1113"/>
      <c r="BQ96" s="150"/>
      <c r="BR96" s="1112"/>
      <c r="BS96" s="150"/>
      <c r="BT96" s="150"/>
      <c r="BU96" s="1113"/>
      <c r="BV96" s="150"/>
      <c r="BW96" s="1112"/>
      <c r="BX96" s="150"/>
      <c r="BY96" s="150"/>
      <c r="BZ96" s="1113"/>
      <c r="CA96" s="150"/>
      <c r="CB96" s="1112"/>
      <c r="CC96" s="150"/>
      <c r="CD96" s="594"/>
      <c r="CE96" s="1210"/>
      <c r="CF96" s="594"/>
      <c r="CG96" s="1214"/>
      <c r="CH96" s="594"/>
      <c r="CI96" s="150"/>
      <c r="CJ96" s="1210"/>
      <c r="CK96" s="594"/>
      <c r="CL96" s="1112"/>
      <c r="CM96" s="150"/>
      <c r="CN96" s="150"/>
      <c r="CO96" s="1113"/>
      <c r="CP96" s="150"/>
      <c r="CQ96" s="1112"/>
      <c r="CR96" s="150"/>
      <c r="CS96" s="150"/>
      <c r="CT96" s="1113"/>
      <c r="CU96" s="150"/>
      <c r="CV96" s="1112"/>
      <c r="CW96" s="150"/>
      <c r="CX96" s="150"/>
      <c r="CY96" s="1113"/>
      <c r="CZ96" s="150"/>
    </row>
    <row r="97" spans="1:104" ht="13.5" customHeight="1">
      <c r="A97" s="66"/>
      <c r="B97" s="79" t="s">
        <v>62</v>
      </c>
      <c r="C97" s="66"/>
      <c r="D97" s="66"/>
      <c r="E97" s="153"/>
      <c r="F97" s="153"/>
      <c r="G97" s="153"/>
      <c r="H97" s="153"/>
      <c r="I97" s="153"/>
      <c r="J97" s="153">
        <f t="shared" ref="J97:AH97" si="116">J94+J95</f>
        <v>139.33986100000001</v>
      </c>
      <c r="K97" s="153">
        <f t="shared" si="116"/>
        <v>163.48428200000001</v>
      </c>
      <c r="L97" s="153">
        <f t="shared" si="116"/>
        <v>150.42316199999999</v>
      </c>
      <c r="M97" s="153">
        <f t="shared" si="116"/>
        <v>147.76458699999998</v>
      </c>
      <c r="N97" s="153">
        <f t="shared" si="116"/>
        <v>601.01189199999999</v>
      </c>
      <c r="O97" s="153">
        <f t="shared" si="116"/>
        <v>125.11496000000001</v>
      </c>
      <c r="P97" s="153">
        <f t="shared" si="116"/>
        <v>119.15619899999999</v>
      </c>
      <c r="Q97" s="153">
        <f t="shared" si="116"/>
        <v>117.52162599999994</v>
      </c>
      <c r="R97" s="153">
        <f t="shared" si="116"/>
        <v>113.426372</v>
      </c>
      <c r="S97" s="153">
        <f t="shared" si="116"/>
        <v>475.21915699999994</v>
      </c>
      <c r="T97" s="153">
        <f t="shared" si="116"/>
        <v>288.94600000000003</v>
      </c>
      <c r="U97" s="153">
        <f t="shared" si="116"/>
        <v>528.48099999999999</v>
      </c>
      <c r="V97" s="153">
        <f t="shared" si="116"/>
        <v>772.62699999999995</v>
      </c>
      <c r="W97" s="153">
        <f t="shared" si="116"/>
        <v>639.37699999999995</v>
      </c>
      <c r="X97" s="153">
        <f t="shared" si="116"/>
        <v>2229.4309999999996</v>
      </c>
      <c r="Y97" s="153">
        <f t="shared" si="116"/>
        <v>667.85399999999993</v>
      </c>
      <c r="Z97" s="153">
        <f t="shared" si="116"/>
        <v>616.27300000000002</v>
      </c>
      <c r="AA97" s="153">
        <f t="shared" si="116"/>
        <v>568.73300000000017</v>
      </c>
      <c r="AB97" s="153">
        <f t="shared" si="116"/>
        <v>644.23699999999997</v>
      </c>
      <c r="AC97" s="153">
        <f t="shared" si="116"/>
        <v>2497.0970000000002</v>
      </c>
      <c r="AD97" s="153">
        <f t="shared" si="116"/>
        <v>713.68000000000006</v>
      </c>
      <c r="AE97" s="153">
        <f t="shared" si="116"/>
        <v>825.43600000000004</v>
      </c>
      <c r="AF97" s="153">
        <f t="shared" si="116"/>
        <v>935.37799999999993</v>
      </c>
      <c r="AG97" s="153">
        <f t="shared" si="116"/>
        <v>765.11599999999999</v>
      </c>
      <c r="AH97" s="153">
        <f t="shared" si="116"/>
        <v>3239.61</v>
      </c>
      <c r="AI97" s="153">
        <f>AI94+AI95</f>
        <v>739.47900000000004</v>
      </c>
      <c r="AJ97" s="153">
        <f>AJ94+AJ95</f>
        <v>713.02700000000004</v>
      </c>
      <c r="AK97" s="153">
        <f>AK94+AK95</f>
        <v>782.05899999999929</v>
      </c>
      <c r="AL97" s="153">
        <f>AL94+AL95</f>
        <v>745.27600000000007</v>
      </c>
      <c r="AM97" s="153">
        <f>AM94+AM95</f>
        <v>2979.8409999999994</v>
      </c>
      <c r="AN97" s="153">
        <f t="shared" ref="AN97:BS97" si="117">AN94+AN95</f>
        <v>856.03600000000017</v>
      </c>
      <c r="AO97" s="153">
        <f t="shared" si="117"/>
        <v>1130.9970000000003</v>
      </c>
      <c r="AP97" s="153">
        <f t="shared" si="117"/>
        <v>1383.4070000000002</v>
      </c>
      <c r="AQ97" s="153">
        <f t="shared" si="117"/>
        <v>520.92399999999998</v>
      </c>
      <c r="AR97" s="153">
        <f t="shared" si="117"/>
        <v>3891.3640000000005</v>
      </c>
      <c r="AS97" s="1114">
        <f t="shared" si="117"/>
        <v>-111.53999999999996</v>
      </c>
      <c r="AT97" s="153">
        <f t="shared" si="117"/>
        <v>-28.166000000000025</v>
      </c>
      <c r="AU97" s="153">
        <f t="shared" si="117"/>
        <v>156.86899999999997</v>
      </c>
      <c r="AV97" s="1115">
        <f t="shared" si="117"/>
        <v>270.03399999999999</v>
      </c>
      <c r="AW97" s="153">
        <f t="shared" si="117"/>
        <v>287.197</v>
      </c>
      <c r="AX97" s="1114">
        <f t="shared" si="117"/>
        <v>247.928</v>
      </c>
      <c r="AY97" s="153">
        <f t="shared" si="117"/>
        <v>337.90800000000002</v>
      </c>
      <c r="AZ97" s="153">
        <f t="shared" si="117"/>
        <v>243.06</v>
      </c>
      <c r="BA97" s="1115">
        <f t="shared" si="117"/>
        <v>183.91400000000007</v>
      </c>
      <c r="BB97" s="153">
        <f t="shared" si="117"/>
        <v>1012.8100000000002</v>
      </c>
      <c r="BC97" s="1114">
        <f t="shared" si="117"/>
        <v>453.48700000000002</v>
      </c>
      <c r="BD97" s="153">
        <f t="shared" si="117"/>
        <v>666.5440000000001</v>
      </c>
      <c r="BE97" s="153">
        <f t="shared" si="117"/>
        <v>477.19099999999992</v>
      </c>
      <c r="BF97" s="1173">
        <f t="shared" si="117"/>
        <v>382.084</v>
      </c>
      <c r="BG97" s="398">
        <f t="shared" si="117"/>
        <v>1979.306</v>
      </c>
      <c r="BH97" s="1114">
        <f t="shared" si="117"/>
        <v>414.65600000000006</v>
      </c>
      <c r="BI97" s="153">
        <f t="shared" si="117"/>
        <v>441.91200000000003</v>
      </c>
      <c r="BJ97" s="153">
        <f t="shared" si="117"/>
        <v>431.99799999999999</v>
      </c>
      <c r="BK97" s="1115">
        <f t="shared" si="117"/>
        <v>430.07</v>
      </c>
      <c r="BL97" s="398">
        <f t="shared" si="117"/>
        <v>1718.6360000000002</v>
      </c>
      <c r="BM97" s="1114">
        <f t="shared" si="117"/>
        <v>335.29200000000003</v>
      </c>
      <c r="BN97" s="153">
        <f t="shared" si="117"/>
        <v>338.05199999999996</v>
      </c>
      <c r="BO97" s="153">
        <f t="shared" si="117"/>
        <v>450.25</v>
      </c>
      <c r="BP97" s="1115">
        <f t="shared" si="117"/>
        <v>438.63200000000001</v>
      </c>
      <c r="BQ97" s="153">
        <f t="shared" si="117"/>
        <v>1562.2259999999997</v>
      </c>
      <c r="BR97" s="1114">
        <f t="shared" si="117"/>
        <v>437.154</v>
      </c>
      <c r="BS97" s="153">
        <f t="shared" si="117"/>
        <v>469.03800000000001</v>
      </c>
      <c r="BT97" s="153">
        <f t="shared" ref="BT97:CZ97" si="118">BT94+BT95</f>
        <v>639.95100000000002</v>
      </c>
      <c r="BU97" s="1115">
        <f t="shared" si="118"/>
        <v>573.61299999999994</v>
      </c>
      <c r="BV97" s="153">
        <f t="shared" si="118"/>
        <v>2119.7559999999999</v>
      </c>
      <c r="BW97" s="1114">
        <f t="shared" si="118"/>
        <v>340.05099999999999</v>
      </c>
      <c r="BX97" s="153">
        <f t="shared" si="118"/>
        <v>433.23500000000001</v>
      </c>
      <c r="BY97" s="153">
        <f t="shared" si="118"/>
        <v>573.10800000000006</v>
      </c>
      <c r="BZ97" s="1115">
        <f t="shared" si="118"/>
        <v>473.52499999999992</v>
      </c>
      <c r="CA97" s="153">
        <f t="shared" si="118"/>
        <v>1819.9189999999999</v>
      </c>
      <c r="CB97" s="1114">
        <f t="shared" si="118"/>
        <v>356.80899999999997</v>
      </c>
      <c r="CC97" s="153">
        <f t="shared" si="118"/>
        <v>582.68200000000002</v>
      </c>
      <c r="CD97" s="153">
        <f t="shared" si="118"/>
        <v>640.78099999999995</v>
      </c>
      <c r="CE97" s="1115">
        <f t="shared" si="118"/>
        <v>434.14800000000002</v>
      </c>
      <c r="CF97" s="153">
        <f t="shared" si="118"/>
        <v>2014.4199999999996</v>
      </c>
      <c r="CG97" s="1114">
        <f t="shared" si="118"/>
        <v>783.27300000000002</v>
      </c>
      <c r="CH97" s="153">
        <f t="shared" si="118"/>
        <v>735.54399999999998</v>
      </c>
      <c r="CI97" s="153">
        <f t="shared" si="118"/>
        <v>600.46</v>
      </c>
      <c r="CJ97" s="1115">
        <f t="shared" si="118"/>
        <v>548.17099999999982</v>
      </c>
      <c r="CK97" s="153">
        <f t="shared" si="118"/>
        <v>2667.4479999999999</v>
      </c>
      <c r="CL97" s="1114">
        <f t="shared" si="118"/>
        <v>748.82600000000002</v>
      </c>
      <c r="CM97" s="153">
        <f t="shared" si="118"/>
        <v>962.59615184840584</v>
      </c>
      <c r="CN97" s="153">
        <f t="shared" si="118"/>
        <v>979.40742906253331</v>
      </c>
      <c r="CO97" s="1115">
        <f t="shared" si="118"/>
        <v>915.8100981036805</v>
      </c>
      <c r="CP97" s="153">
        <f t="shared" si="118"/>
        <v>3606.63967901462</v>
      </c>
      <c r="CQ97" s="1114">
        <f t="shared" si="118"/>
        <v>978.19687717936495</v>
      </c>
      <c r="CR97" s="153">
        <f t="shared" si="118"/>
        <v>932.79227446838343</v>
      </c>
      <c r="CS97" s="153">
        <f t="shared" si="118"/>
        <v>854.48707288410742</v>
      </c>
      <c r="CT97" s="1115">
        <f t="shared" si="118"/>
        <v>736.91523109697494</v>
      </c>
      <c r="CU97" s="153">
        <f t="shared" si="118"/>
        <v>3502.3914556288305</v>
      </c>
      <c r="CV97" s="1114">
        <f t="shared" si="118"/>
        <v>845.75025932684173</v>
      </c>
      <c r="CW97" s="153">
        <f t="shared" si="118"/>
        <v>872.80584104579748</v>
      </c>
      <c r="CX97" s="153">
        <f t="shared" si="118"/>
        <v>818.28096184963431</v>
      </c>
      <c r="CY97" s="1115">
        <f t="shared" si="118"/>
        <v>825.33003858647112</v>
      </c>
      <c r="CZ97" s="153">
        <f t="shared" si="118"/>
        <v>3362.1671008087446</v>
      </c>
    </row>
    <row r="98" spans="1:104" ht="13.5" customHeight="1">
      <c r="A98" s="66"/>
      <c r="B98" s="82"/>
      <c r="C98" s="82" t="s">
        <v>390</v>
      </c>
      <c r="D98" s="82"/>
      <c r="E98" s="113"/>
      <c r="F98" s="113"/>
      <c r="G98" s="113"/>
      <c r="H98" s="113"/>
      <c r="I98" s="113"/>
      <c r="J98" s="113">
        <f t="shared" ref="J98:AM98" si="119">J97/J15</f>
        <v>0.12894233998086729</v>
      </c>
      <c r="K98" s="113">
        <f t="shared" si="119"/>
        <v>0.13646067374586088</v>
      </c>
      <c r="L98" s="113">
        <f t="shared" si="119"/>
        <v>0.12244164379284875</v>
      </c>
      <c r="M98" s="113">
        <f t="shared" si="119"/>
        <v>0.11414112964402486</v>
      </c>
      <c r="N98" s="113">
        <f t="shared" si="119"/>
        <v>0.12516448597074728</v>
      </c>
      <c r="O98" s="113">
        <f t="shared" si="119"/>
        <v>8.4521659276430849E-2</v>
      </c>
      <c r="P98" s="113">
        <f t="shared" si="119"/>
        <v>7.8368473831780583E-2</v>
      </c>
      <c r="Q98" s="113">
        <f t="shared" si="119"/>
        <v>7.3267328463482453E-2</v>
      </c>
      <c r="R98" s="113">
        <f t="shared" si="119"/>
        <v>6.8284722398207973E-2</v>
      </c>
      <c r="S98" s="113">
        <f t="shared" si="119"/>
        <v>7.5843054775086988E-2</v>
      </c>
      <c r="T98" s="113">
        <f t="shared" si="119"/>
        <v>0.12637507785109972</v>
      </c>
      <c r="U98" s="113">
        <f t="shared" si="119"/>
        <v>0.19135230293625005</v>
      </c>
      <c r="V98" s="113">
        <f t="shared" si="119"/>
        <v>0.23849515618016093</v>
      </c>
      <c r="W98" s="113">
        <f t="shared" si="119"/>
        <v>0.20698524246373742</v>
      </c>
      <c r="X98" s="113">
        <f t="shared" si="119"/>
        <v>0.19596244225543355</v>
      </c>
      <c r="Y98" s="113">
        <f t="shared" si="119"/>
        <v>0.20105771045755744</v>
      </c>
      <c r="Z98" s="113">
        <f t="shared" si="119"/>
        <v>0.1959530722228246</v>
      </c>
      <c r="AA98" s="113">
        <f t="shared" si="119"/>
        <v>0.18795430533151838</v>
      </c>
      <c r="AB98" s="113">
        <f t="shared" si="119"/>
        <v>0.2007980969847106</v>
      </c>
      <c r="AC98" s="113">
        <f t="shared" si="119"/>
        <v>0.19660634568981544</v>
      </c>
      <c r="AD98" s="113">
        <f t="shared" si="119"/>
        <v>0.2013146607836119</v>
      </c>
      <c r="AE98" s="113">
        <f t="shared" si="119"/>
        <v>0.21685761950424948</v>
      </c>
      <c r="AF98" s="113">
        <f t="shared" si="119"/>
        <v>0.23793501936924114</v>
      </c>
      <c r="AG98" s="113">
        <f t="shared" si="119"/>
        <v>0.2205841566746142</v>
      </c>
      <c r="AH98" s="113">
        <f t="shared" si="119"/>
        <v>0.21961566699002866</v>
      </c>
      <c r="AI98" s="136">
        <f t="shared" si="119"/>
        <v>0.19620630504777939</v>
      </c>
      <c r="AJ98" s="113">
        <f t="shared" si="119"/>
        <v>0.17033164441450419</v>
      </c>
      <c r="AK98" s="113">
        <f t="shared" si="119"/>
        <v>0.18361550152011349</v>
      </c>
      <c r="AL98" s="113">
        <f t="shared" si="119"/>
        <v>0.16950572694438631</v>
      </c>
      <c r="AM98" s="113">
        <f t="shared" si="119"/>
        <v>0.17938988052237262</v>
      </c>
      <c r="AN98" s="113">
        <f t="shared" ref="AN98:BS98" si="120">AN97/AN15</f>
        <v>0.17209282409133889</v>
      </c>
      <c r="AO98" s="136">
        <f t="shared" si="120"/>
        <v>0.15950655226730495</v>
      </c>
      <c r="AP98" s="113">
        <f t="shared" si="120"/>
        <v>0.1857540496702258</v>
      </c>
      <c r="AQ98" s="113">
        <f t="shared" si="120"/>
        <v>0.12549555088298159</v>
      </c>
      <c r="AR98" s="113">
        <f t="shared" si="120"/>
        <v>0.16444705739565582</v>
      </c>
      <c r="AS98" s="857">
        <f t="shared" si="120"/>
        <v>-4.2022077979323495E-2</v>
      </c>
      <c r="AT98" s="136">
        <f t="shared" si="120"/>
        <v>-1.1366296103191743E-2</v>
      </c>
      <c r="AU98" s="136">
        <f t="shared" si="120"/>
        <v>5.0278445066594436E-2</v>
      </c>
      <c r="AV98" s="858">
        <f t="shared" si="120"/>
        <v>9.1912575597084212E-2</v>
      </c>
      <c r="AW98" s="136">
        <f t="shared" si="120"/>
        <v>2.5664826024262455E-2</v>
      </c>
      <c r="AX98" s="857">
        <f t="shared" si="120"/>
        <v>6.7835490562929937E-2</v>
      </c>
      <c r="AY98" s="136">
        <f t="shared" si="120"/>
        <v>8.0531634431737525E-2</v>
      </c>
      <c r="AZ98" s="136">
        <f t="shared" si="120"/>
        <v>5.8709166441428873E-2</v>
      </c>
      <c r="BA98" s="858">
        <f t="shared" si="120"/>
        <v>4.7723386312033753E-2</v>
      </c>
      <c r="BB98" s="136">
        <f t="shared" si="120"/>
        <v>6.3921353276413503E-2</v>
      </c>
      <c r="BC98" s="857">
        <f t="shared" si="120"/>
        <v>9.3813237830719251E-2</v>
      </c>
      <c r="BD98" s="136">
        <f t="shared" si="120"/>
        <v>0.13049509094799749</v>
      </c>
      <c r="BE98" s="136">
        <f t="shared" si="120"/>
        <v>9.0856419778284805E-2</v>
      </c>
      <c r="BF98" s="952">
        <f t="shared" si="120"/>
        <v>7.9111708712611639E-2</v>
      </c>
      <c r="BG98" s="375">
        <f t="shared" si="120"/>
        <v>9.8848836301070095E-2</v>
      </c>
      <c r="BH98" s="857">
        <f t="shared" si="120"/>
        <v>8.1744369843121695E-2</v>
      </c>
      <c r="BI98" s="136">
        <f t="shared" si="120"/>
        <v>8.6578129105076049E-2</v>
      </c>
      <c r="BJ98" s="136">
        <f t="shared" si="120"/>
        <v>8.9976976617958074E-2</v>
      </c>
      <c r="BK98" s="858">
        <f t="shared" si="120"/>
        <v>9.661728305199814E-2</v>
      </c>
      <c r="BL98" s="375">
        <f t="shared" si="120"/>
        <v>8.8456011709753632E-2</v>
      </c>
      <c r="BM98" s="857">
        <f t="shared" si="120"/>
        <v>7.3678048471775781E-2</v>
      </c>
      <c r="BN98" s="136">
        <f t="shared" si="120"/>
        <v>7.2456462079377768E-2</v>
      </c>
      <c r="BO98" s="136">
        <f t="shared" si="120"/>
        <v>9.1126458630510498E-2</v>
      </c>
      <c r="BP98" s="858">
        <f t="shared" si="120"/>
        <v>8.961274835282701E-2</v>
      </c>
      <c r="BQ98" s="136">
        <f t="shared" si="120"/>
        <v>8.1997807479574622E-2</v>
      </c>
      <c r="BR98" s="857">
        <f t="shared" si="120"/>
        <v>8.5574785590289332E-2</v>
      </c>
      <c r="BS98" s="136">
        <f t="shared" si="120"/>
        <v>8.8647014075589559E-2</v>
      </c>
      <c r="BT98" s="136">
        <f t="shared" ref="BT98:CY98" si="121">BT97/BT15</f>
        <v>0.11223530389772196</v>
      </c>
      <c r="BU98" s="858">
        <f t="shared" si="121"/>
        <v>0.11463655380271567</v>
      </c>
      <c r="BV98" s="136">
        <f t="shared" si="121"/>
        <v>0.10043789804578891</v>
      </c>
      <c r="BW98" s="857">
        <f t="shared" si="121"/>
        <v>7.7294155619806168E-2</v>
      </c>
      <c r="BX98" s="136">
        <f t="shared" si="121"/>
        <v>9.9420347259242398E-2</v>
      </c>
      <c r="BY98" s="136">
        <f t="shared" si="121"/>
        <v>0.13563036354867125</v>
      </c>
      <c r="BZ98" s="858">
        <f t="shared" si="121"/>
        <v>0.13698707413661473</v>
      </c>
      <c r="CA98" s="136">
        <f t="shared" si="121"/>
        <v>0.11070554445341751</v>
      </c>
      <c r="CB98" s="857">
        <f t="shared" si="121"/>
        <v>9.6030601984725919E-2</v>
      </c>
      <c r="CC98" s="136">
        <f t="shared" si="121"/>
        <v>0.13723817482427225</v>
      </c>
      <c r="CD98" s="136">
        <f t="shared" si="121"/>
        <v>0.14935798403630943</v>
      </c>
      <c r="CE98" s="858">
        <f t="shared" si="121"/>
        <v>0.10972926331050024</v>
      </c>
      <c r="CF98" s="136">
        <f t="shared" si="121"/>
        <v>0.12428460249743921</v>
      </c>
      <c r="CG98" s="857">
        <f t="shared" si="121"/>
        <v>0.16266747300567644</v>
      </c>
      <c r="CH98" s="136">
        <f t="shared" si="121"/>
        <v>0.1421404511003293</v>
      </c>
      <c r="CI98" s="136">
        <f t="shared" si="121"/>
        <v>0.11614050513750462</v>
      </c>
      <c r="CJ98" s="858">
        <f t="shared" si="121"/>
        <v>0.1076464438268705</v>
      </c>
      <c r="CK98" s="136">
        <f t="shared" si="121"/>
        <v>0.13171026258477209</v>
      </c>
      <c r="CL98" s="857">
        <f t="shared" si="121"/>
        <v>0.13447730855023662</v>
      </c>
      <c r="CM98" s="136">
        <f t="shared" si="121"/>
        <v>0.1458941389890335</v>
      </c>
      <c r="CN98" s="136">
        <f t="shared" si="121"/>
        <v>0.14536321436839317</v>
      </c>
      <c r="CO98" s="858">
        <f t="shared" si="121"/>
        <v>0.13918170925369186</v>
      </c>
      <c r="CP98" s="136">
        <f t="shared" si="121"/>
        <v>0.14152596101158835</v>
      </c>
      <c r="CQ98" s="857">
        <f t="shared" si="121"/>
        <v>0.14109998830554588</v>
      </c>
      <c r="CR98" s="136">
        <f t="shared" si="121"/>
        <v>0.13629070373053506</v>
      </c>
      <c r="CS98" s="136">
        <f t="shared" si="121"/>
        <v>0.1275574942941067</v>
      </c>
      <c r="CT98" s="858">
        <f t="shared" si="121"/>
        <v>0.11475085745570829</v>
      </c>
      <c r="CU98" s="136">
        <f t="shared" si="121"/>
        <v>0.13021254003951657</v>
      </c>
      <c r="CV98" s="857">
        <f t="shared" si="121"/>
        <v>0.12518698522617167</v>
      </c>
      <c r="CW98" s="136">
        <f t="shared" si="121"/>
        <v>0.13128771050344759</v>
      </c>
      <c r="CX98" s="136">
        <f t="shared" si="121"/>
        <v>0.12575558063649067</v>
      </c>
      <c r="CY98" s="858">
        <f t="shared" si="121"/>
        <v>0.12979927845388045</v>
      </c>
      <c r="CZ98" s="136">
        <f t="shared" ref="CZ98" si="122">CZ97/CZ15</f>
        <v>0.12798815637826561</v>
      </c>
    </row>
    <row r="99" spans="1:104" ht="6.2" customHeight="1">
      <c r="A99" s="66"/>
      <c r="B99" s="82"/>
      <c r="C99" s="82"/>
      <c r="D99" s="82"/>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36"/>
      <c r="AJ99" s="113"/>
      <c r="AK99" s="113"/>
      <c r="AL99" s="113"/>
      <c r="AM99" s="113"/>
      <c r="AN99" s="113"/>
      <c r="AO99" s="136"/>
      <c r="AP99" s="113"/>
      <c r="AQ99" s="113"/>
      <c r="AR99" s="113"/>
      <c r="AS99" s="1080"/>
      <c r="AT99" s="136"/>
      <c r="AU99" s="113"/>
      <c r="AV99" s="1081"/>
      <c r="AW99" s="113"/>
      <c r="AX99" s="857"/>
      <c r="AY99" s="113"/>
      <c r="AZ99" s="113"/>
      <c r="BA99" s="1081"/>
      <c r="BB99" s="113"/>
      <c r="BC99" s="1080"/>
      <c r="BD99" s="113"/>
      <c r="BE99" s="113"/>
      <c r="BF99" s="1157"/>
      <c r="BG99" s="376"/>
      <c r="BH99" s="1080"/>
      <c r="BI99" s="113"/>
      <c r="BJ99" s="113"/>
      <c r="BK99" s="1081"/>
      <c r="BL99" s="113"/>
      <c r="BM99" s="1080"/>
      <c r="BN99" s="113"/>
      <c r="BO99" s="113"/>
      <c r="BP99" s="1081"/>
      <c r="BQ99" s="113"/>
      <c r="BR99" s="1080"/>
      <c r="BS99" s="113"/>
      <c r="BT99" s="113"/>
      <c r="BU99" s="1081"/>
      <c r="BV99" s="113"/>
      <c r="BW99" s="1080"/>
      <c r="BX99" s="113"/>
      <c r="BY99" s="113"/>
      <c r="BZ99" s="1081"/>
      <c r="CA99" s="113"/>
      <c r="CB99" s="1080"/>
      <c r="CC99" s="113"/>
      <c r="CD99" s="113"/>
      <c r="CE99" s="1081"/>
      <c r="CF99" s="113"/>
      <c r="CG99" s="1080"/>
      <c r="CH99" s="113"/>
      <c r="CI99" s="113"/>
      <c r="CJ99" s="1081"/>
      <c r="CK99" s="113"/>
      <c r="CL99" s="1080"/>
      <c r="CM99" s="113"/>
      <c r="CN99" s="113"/>
      <c r="CO99" s="1081"/>
      <c r="CP99" s="113"/>
      <c r="CQ99" s="1080"/>
      <c r="CR99" s="113"/>
      <c r="CS99" s="113"/>
      <c r="CT99" s="1081"/>
      <c r="CU99" s="113"/>
      <c r="CV99" s="1080"/>
      <c r="CW99" s="113"/>
      <c r="CX99" s="113"/>
      <c r="CY99" s="1081"/>
      <c r="CZ99" s="113"/>
    </row>
    <row r="100" spans="1:104" ht="13.5" customHeight="1">
      <c r="A100" s="66"/>
      <c r="B100" s="82"/>
      <c r="C100" s="66" t="s">
        <v>389</v>
      </c>
      <c r="D100" s="82"/>
      <c r="E100" s="113"/>
      <c r="F100" s="113"/>
      <c r="G100" s="113"/>
      <c r="H100" s="113"/>
      <c r="I100" s="113"/>
      <c r="J100" s="75">
        <f>Operations!J38+Operations!J126</f>
        <v>3253</v>
      </c>
      <c r="K100" s="75">
        <f>Operations!K38+Operations!K126</f>
        <v>3415</v>
      </c>
      <c r="L100" s="75">
        <f>Operations!L38+Operations!L126</f>
        <v>3279</v>
      </c>
      <c r="M100" s="75">
        <f>Operations!M38+Operations!M126</f>
        <v>3495</v>
      </c>
      <c r="N100" s="75">
        <f>Operations!N38+Operations!N126</f>
        <v>13442</v>
      </c>
      <c r="O100" s="75">
        <f>Operations!O38+Operations!O126</f>
        <v>4324</v>
      </c>
      <c r="P100" s="75">
        <f>Operations!P38+Operations!P126</f>
        <v>4258</v>
      </c>
      <c r="Q100" s="75">
        <f>Operations!Q38+Operations!Q126</f>
        <v>4483</v>
      </c>
      <c r="R100" s="75">
        <f>Operations!R38+Operations!R126</f>
        <v>4408</v>
      </c>
      <c r="S100" s="75">
        <f>Operations!S38+Operations!S126</f>
        <v>17473</v>
      </c>
      <c r="T100" s="75">
        <f>Operations!T38+Operations!T126</f>
        <v>5027</v>
      </c>
      <c r="U100" s="75">
        <f>Operations!U38+Operations!U126</f>
        <v>4800</v>
      </c>
      <c r="V100" s="75">
        <f>Operations!V38+Operations!V126</f>
        <v>4850</v>
      </c>
      <c r="W100" s="75">
        <f>Operations!W38+Operations!W126</f>
        <v>4432</v>
      </c>
      <c r="X100" s="75">
        <f>Operations!X38+Operations!X126</f>
        <v>19109</v>
      </c>
      <c r="Y100" s="75">
        <f>Operations!Y38+Operations!Y126</f>
        <v>5015</v>
      </c>
      <c r="Z100" s="75">
        <f>Operations!Z38+Operations!Z126</f>
        <v>5063</v>
      </c>
      <c r="AA100" s="75">
        <f>Operations!AA38+Operations!AA126</f>
        <v>5298</v>
      </c>
      <c r="AB100" s="75">
        <f>Operations!AB38+Operations!AB126</f>
        <v>5089</v>
      </c>
      <c r="AC100" s="75">
        <f>Operations!AC38+Operations!AC126</f>
        <v>20465</v>
      </c>
      <c r="AD100" s="75">
        <f>Operations!AD38+Operations!AD126</f>
        <v>5624</v>
      </c>
      <c r="AE100" s="75">
        <f>Operations!AE38+Operations!AE126</f>
        <v>5819</v>
      </c>
      <c r="AF100" s="75">
        <f>Operations!AF38+Operations!AF126</f>
        <v>5603</v>
      </c>
      <c r="AG100" s="75">
        <f>Operations!AG38+Operations!AG126</f>
        <v>5075</v>
      </c>
      <c r="AH100" s="75">
        <f>Operations!AH38+Operations!AH126</f>
        <v>22121</v>
      </c>
      <c r="AI100" s="92">
        <f>Operations!AI38+Operations!AI126</f>
        <v>5653</v>
      </c>
      <c r="AJ100" s="75">
        <f>Operations!AJ38+Operations!AJ126</f>
        <v>5621</v>
      </c>
      <c r="AK100" s="75">
        <f>Operations!AK38+Operations!AK126</f>
        <v>5771</v>
      </c>
      <c r="AL100" s="75">
        <f>Operations!AL38+Operations!AL126</f>
        <v>5895</v>
      </c>
      <c r="AM100" s="75">
        <f>Operations!AM38+Operations!AM126</f>
        <v>22940</v>
      </c>
      <c r="AN100" s="75">
        <f>Operations!AN38+Operations!AN126</f>
        <v>6458</v>
      </c>
      <c r="AO100" s="92">
        <f>Operations!AO38+Operations!AO126</f>
        <v>7734</v>
      </c>
      <c r="AP100" s="75">
        <f>Operations!AP38+Operations!AP126</f>
        <v>6701</v>
      </c>
      <c r="AQ100" s="75">
        <f>Operations!AQ38+Operations!AQ126</f>
        <v>4294</v>
      </c>
      <c r="AR100" s="75">
        <f>Operations!AR38+Operations!AR126</f>
        <v>25187</v>
      </c>
      <c r="AS100" s="889">
        <f>Operations!AS38+Operations!AS126</f>
        <v>3708</v>
      </c>
      <c r="AT100" s="550">
        <f>Operations!AT38+Operations!AT126</f>
        <v>4116</v>
      </c>
      <c r="AU100" s="550">
        <f>Operations!AU38+Operations!AU126</f>
        <v>5114</v>
      </c>
      <c r="AV100" s="890">
        <f>Operations!AV38+Operations!AV126</f>
        <v>4638</v>
      </c>
      <c r="AW100" s="550">
        <f>Operations!AW38+Operations!AW126</f>
        <v>17576</v>
      </c>
      <c r="AX100" s="889">
        <f>Operations!AX38+Operations!AX126</f>
        <v>5497</v>
      </c>
      <c r="AY100" s="550">
        <f>Operations!AY38+Operations!AY126</f>
        <v>5555</v>
      </c>
      <c r="AZ100" s="550">
        <f>Operations!AZ38+Operations!AZ126</f>
        <v>5633</v>
      </c>
      <c r="BA100" s="890">
        <f>Operations!BA38+Operations!BA126</f>
        <v>5334</v>
      </c>
      <c r="BB100" s="550">
        <f>Operations!BB38+Operations!BB126</f>
        <v>22019</v>
      </c>
      <c r="BC100" s="889">
        <f>Operations!BC38+Operations!BC126</f>
        <v>5978</v>
      </c>
      <c r="BD100" s="550">
        <f>Operations!BD38+Operations!BD126</f>
        <v>5598</v>
      </c>
      <c r="BE100" s="550">
        <f>Operations!BE38+Operations!BE126</f>
        <v>5785</v>
      </c>
      <c r="BF100" s="970">
        <f>Operations!BF38+Operations!BF126</f>
        <v>5683</v>
      </c>
      <c r="BG100" s="577">
        <f>Operations!BG38+Operations!BG126</f>
        <v>23044</v>
      </c>
      <c r="BH100" s="889">
        <f>Operations!BH38+Operations!BH126</f>
        <v>5921</v>
      </c>
      <c r="BI100" s="550">
        <f>Operations!BI38+Operations!BI126</f>
        <v>5925</v>
      </c>
      <c r="BJ100" s="550">
        <f>Operations!BJ38+Operations!BJ126</f>
        <v>5768</v>
      </c>
      <c r="BK100" s="890">
        <f>Operations!BK38+Operations!BK126</f>
        <v>5478</v>
      </c>
      <c r="BL100" s="577">
        <f>Operations!BL38+Operations!BL126</f>
        <v>23092</v>
      </c>
      <c r="BM100" s="889">
        <f>Operations!BM38+Operations!BM126</f>
        <v>5706</v>
      </c>
      <c r="BN100" s="550">
        <f>Operations!BN38+Operations!BN126</f>
        <v>5839</v>
      </c>
      <c r="BO100" s="550">
        <f>Operations!BO38+Operations!BO126</f>
        <v>6166</v>
      </c>
      <c r="BP100" s="890">
        <f>Operations!BP38+Operations!BP126</f>
        <v>6019</v>
      </c>
      <c r="BQ100" s="550">
        <f>Operations!BQ38+Operations!BQ126</f>
        <v>23730</v>
      </c>
      <c r="BR100" s="889">
        <f>Operations!BR38+Operations!BR126</f>
        <v>6189</v>
      </c>
      <c r="BS100" s="550">
        <f>Operations!BS38+Operations!BS126</f>
        <v>6370</v>
      </c>
      <c r="BT100" s="550">
        <f>Operations!BT38+Operations!BT126</f>
        <v>6784</v>
      </c>
      <c r="BU100" s="890">
        <f>Operations!BU38+Operations!BU126</f>
        <v>6070</v>
      </c>
      <c r="BV100" s="550">
        <f>Operations!BV38+Operations!BV126</f>
        <v>25413</v>
      </c>
      <c r="BW100" s="889">
        <f>Operations!BW38+Operations!BW126</f>
        <v>5635</v>
      </c>
      <c r="BX100" s="550">
        <f>Operations!BX38+Operations!BX126</f>
        <v>6055</v>
      </c>
      <c r="BY100" s="550">
        <f>Operations!BY38+Operations!BY126</f>
        <v>5883</v>
      </c>
      <c r="BZ100" s="890">
        <f>Operations!BZ38+Operations!BZ126</f>
        <v>5107</v>
      </c>
      <c r="CA100" s="550">
        <f>Operations!CA38+Operations!CA126</f>
        <v>22680</v>
      </c>
      <c r="CB100" s="889">
        <f>Operations!CB38+Operations!CB126</f>
        <v>6148</v>
      </c>
      <c r="CC100" s="550">
        <f>Operations!CC38+Operations!CC126</f>
        <v>6457</v>
      </c>
      <c r="CD100" s="550">
        <f>Operations!CD38+Operations!CD126</f>
        <v>5889</v>
      </c>
      <c r="CE100" s="890">
        <f>Operations!CE38+Operations!CE126</f>
        <v>5897</v>
      </c>
      <c r="CF100" s="550">
        <f>Operations!CF38+Operations!CF126</f>
        <v>24391</v>
      </c>
      <c r="CG100" s="889">
        <f>Operations!CG38+Operations!CG126</f>
        <v>6584</v>
      </c>
      <c r="CH100" s="550">
        <f>Operations!CH38+Operations!CH126</f>
        <v>6748</v>
      </c>
      <c r="CI100" s="550">
        <f>Operations!CI38+Operations!CI126</f>
        <v>6618</v>
      </c>
      <c r="CJ100" s="890">
        <f>Operations!CJ38+Operations!CJ126</f>
        <v>6542</v>
      </c>
      <c r="CK100" s="550">
        <f>Operations!CK38+Operations!CK126</f>
        <v>26492</v>
      </c>
      <c r="CL100" s="889">
        <f>Operations!CL38+Operations!CL126</f>
        <v>6967</v>
      </c>
      <c r="CM100" s="550">
        <f>Operations!CM38+Operations!CM126</f>
        <v>6929.5599999999995</v>
      </c>
      <c r="CN100" s="550">
        <f>Operations!CN38+Operations!CN126</f>
        <v>6798.9699999999993</v>
      </c>
      <c r="CO100" s="890">
        <f>Operations!CO38+Operations!CO126</f>
        <v>6718.9800000000005</v>
      </c>
      <c r="CP100" s="550">
        <f>Operations!CP38+Operations!CP126</f>
        <v>27414.510000000002</v>
      </c>
      <c r="CQ100" s="889">
        <f>Operations!CQ38+Operations!CQ126</f>
        <v>7107.27</v>
      </c>
      <c r="CR100" s="550">
        <f>Operations!CR38+Operations!CR126</f>
        <v>7068.4633000000003</v>
      </c>
      <c r="CS100" s="550">
        <f>Operations!CS38+Operations!CS126</f>
        <v>6935.5807999999997</v>
      </c>
      <c r="CT100" s="890">
        <f>Operations!CT38+Operations!CT126</f>
        <v>6854.2691000000004</v>
      </c>
      <c r="CU100" s="550">
        <f>Operations!CU38+Operations!CU126</f>
        <v>27965.583199999997</v>
      </c>
      <c r="CV100" s="889">
        <f>Operations!CV38+Operations!CV126</f>
        <v>7609.7043000000003</v>
      </c>
      <c r="CW100" s="550">
        <f>Operations!CW38+Operations!CW126</f>
        <v>7551.718057</v>
      </c>
      <c r="CX100" s="550">
        <f>Operations!CX38+Operations!CX126</f>
        <v>7410.2435780000005</v>
      </c>
      <c r="CY100" s="890">
        <f>Operations!CY38+Operations!CY126</f>
        <v>7327.6857229999996</v>
      </c>
      <c r="CZ100" s="550">
        <f>Operations!CZ38+Operations!CZ126</f>
        <v>29899.351658000003</v>
      </c>
    </row>
    <row r="101" spans="1:104" ht="13.5" customHeight="1">
      <c r="A101" s="79"/>
      <c r="B101" s="157"/>
      <c r="C101" s="79" t="s">
        <v>95</v>
      </c>
      <c r="D101" s="157"/>
      <c r="E101" s="168"/>
      <c r="F101" s="168"/>
      <c r="G101" s="168"/>
      <c r="H101" s="168"/>
      <c r="I101" s="168"/>
      <c r="J101" s="80">
        <f t="shared" ref="J101:AM101" si="123">J97/J100*1000</f>
        <v>42.834264063940978</v>
      </c>
      <c r="K101" s="80">
        <f t="shared" si="123"/>
        <v>47.872410541727675</v>
      </c>
      <c r="L101" s="80">
        <f t="shared" si="123"/>
        <v>45.874706312900273</v>
      </c>
      <c r="M101" s="80">
        <f t="shared" si="123"/>
        <v>42.278851788268952</v>
      </c>
      <c r="N101" s="80">
        <f t="shared" si="123"/>
        <v>44.711493230174078</v>
      </c>
      <c r="O101" s="80">
        <f t="shared" si="123"/>
        <v>28.935004625346902</v>
      </c>
      <c r="P101" s="80">
        <f t="shared" si="123"/>
        <v>27.984076796618126</v>
      </c>
      <c r="Q101" s="80">
        <f t="shared" si="123"/>
        <v>26.214951148784284</v>
      </c>
      <c r="R101" s="80">
        <f t="shared" si="123"/>
        <v>25.731935571687842</v>
      </c>
      <c r="S101" s="80">
        <f t="shared" si="123"/>
        <v>27.197342013392088</v>
      </c>
      <c r="T101" s="80">
        <f t="shared" si="123"/>
        <v>57.478814402227975</v>
      </c>
      <c r="U101" s="80">
        <f t="shared" si="123"/>
        <v>110.10020833333334</v>
      </c>
      <c r="V101" s="80">
        <f t="shared" si="123"/>
        <v>159.30453608247421</v>
      </c>
      <c r="W101" s="80">
        <f t="shared" si="123"/>
        <v>144.26376353790613</v>
      </c>
      <c r="X101" s="80">
        <f t="shared" si="123"/>
        <v>116.66916112826414</v>
      </c>
      <c r="Y101" s="80">
        <f t="shared" si="123"/>
        <v>133.17128614157525</v>
      </c>
      <c r="Z101" s="80">
        <f t="shared" si="123"/>
        <v>121.72091645269603</v>
      </c>
      <c r="AA101" s="80">
        <f t="shared" si="123"/>
        <v>107.34862212155534</v>
      </c>
      <c r="AB101" s="80">
        <f t="shared" si="123"/>
        <v>126.59402633130281</v>
      </c>
      <c r="AC101" s="80">
        <f t="shared" si="123"/>
        <v>122.01793305643784</v>
      </c>
      <c r="AD101" s="80">
        <f t="shared" si="123"/>
        <v>126.89900426742534</v>
      </c>
      <c r="AE101" s="80">
        <f t="shared" si="123"/>
        <v>141.85186458154323</v>
      </c>
      <c r="AF101" s="80">
        <f t="shared" si="123"/>
        <v>166.9423523112618</v>
      </c>
      <c r="AG101" s="80">
        <f t="shared" si="123"/>
        <v>150.76177339901477</v>
      </c>
      <c r="AH101" s="80">
        <f t="shared" si="123"/>
        <v>146.44952759820984</v>
      </c>
      <c r="AI101" s="86">
        <f t="shared" si="123"/>
        <v>130.81178135503274</v>
      </c>
      <c r="AJ101" s="80">
        <f t="shared" si="123"/>
        <v>126.85056039850562</v>
      </c>
      <c r="AK101" s="80">
        <f t="shared" si="123"/>
        <v>135.5153352971754</v>
      </c>
      <c r="AL101" s="80">
        <f t="shared" si="123"/>
        <v>126.42510602205259</v>
      </c>
      <c r="AM101" s="80">
        <f t="shared" si="123"/>
        <v>129.89716652136005</v>
      </c>
      <c r="AN101" s="80">
        <f t="shared" ref="AN101:BS101" si="124">AN97/AN100*1000</f>
        <v>132.55435119231961</v>
      </c>
      <c r="AO101" s="86">
        <f t="shared" si="124"/>
        <v>146.23700543056637</v>
      </c>
      <c r="AP101" s="80">
        <f t="shared" si="124"/>
        <v>206.44784360543207</v>
      </c>
      <c r="AQ101" s="80">
        <f t="shared" si="124"/>
        <v>121.31439217512809</v>
      </c>
      <c r="AR101" s="80">
        <f t="shared" si="124"/>
        <v>154.49890816691152</v>
      </c>
      <c r="AS101" s="1116">
        <f t="shared" si="124"/>
        <v>-30.080906148867307</v>
      </c>
      <c r="AT101" s="86">
        <f t="shared" si="124"/>
        <v>-6.8430515063168187</v>
      </c>
      <c r="AU101" s="86">
        <f t="shared" si="124"/>
        <v>30.674423152131396</v>
      </c>
      <c r="AV101" s="1117">
        <f t="shared" si="124"/>
        <v>58.222078482104351</v>
      </c>
      <c r="AW101" s="86">
        <f t="shared" si="124"/>
        <v>16.340293582157489</v>
      </c>
      <c r="AX101" s="1116">
        <f t="shared" si="124"/>
        <v>45.102419501546294</v>
      </c>
      <c r="AY101" s="86">
        <f t="shared" si="124"/>
        <v>60.829522952295235</v>
      </c>
      <c r="AZ101" s="86">
        <f t="shared" si="124"/>
        <v>43.149298775075451</v>
      </c>
      <c r="BA101" s="1117">
        <f t="shared" si="124"/>
        <v>34.479565054368216</v>
      </c>
      <c r="BB101" s="86">
        <f t="shared" si="124"/>
        <v>45.997093419319683</v>
      </c>
      <c r="BC101" s="1116">
        <f t="shared" si="124"/>
        <v>75.859317497490807</v>
      </c>
      <c r="BD101" s="86">
        <f t="shared" si="124"/>
        <v>119.06823865666311</v>
      </c>
      <c r="BE101" s="86">
        <f t="shared" si="124"/>
        <v>82.487640449438189</v>
      </c>
      <c r="BF101" s="1174">
        <f t="shared" si="124"/>
        <v>67.232799577687842</v>
      </c>
      <c r="BG101" s="584">
        <f t="shared" si="124"/>
        <v>85.89246658566222</v>
      </c>
      <c r="BH101" s="1116">
        <f t="shared" si="124"/>
        <v>70.031413612565458</v>
      </c>
      <c r="BI101" s="86">
        <f t="shared" si="124"/>
        <v>74.584303797468365</v>
      </c>
      <c r="BJ101" s="86">
        <f t="shared" si="124"/>
        <v>74.895631067961162</v>
      </c>
      <c r="BK101" s="1117">
        <f t="shared" si="124"/>
        <v>78.508579773640008</v>
      </c>
      <c r="BL101" s="584">
        <f t="shared" si="124"/>
        <v>74.425601940065832</v>
      </c>
      <c r="BM101" s="1116">
        <f t="shared" si="124"/>
        <v>58.761303890641436</v>
      </c>
      <c r="BN101" s="86">
        <f t="shared" si="124"/>
        <v>57.89553005651652</v>
      </c>
      <c r="BO101" s="86">
        <f t="shared" si="124"/>
        <v>73.021407719753483</v>
      </c>
      <c r="BP101" s="1117">
        <f t="shared" si="124"/>
        <v>72.874563881043372</v>
      </c>
      <c r="BQ101" s="86">
        <f t="shared" si="124"/>
        <v>65.833375474083425</v>
      </c>
      <c r="BR101" s="1116">
        <f t="shared" si="124"/>
        <v>70.634028114396514</v>
      </c>
      <c r="BS101" s="86">
        <f t="shared" si="124"/>
        <v>73.63233908948196</v>
      </c>
      <c r="BT101" s="86">
        <f t="shared" ref="BT101:CY101" si="125">BT97/BT100*1000</f>
        <v>94.332399764150949</v>
      </c>
      <c r="BU101" s="1117">
        <f t="shared" si="125"/>
        <v>94.499670510708384</v>
      </c>
      <c r="BV101" s="86">
        <f t="shared" si="125"/>
        <v>83.412269310982552</v>
      </c>
      <c r="BW101" s="1116">
        <f t="shared" si="125"/>
        <v>60.346228926353149</v>
      </c>
      <c r="BX101" s="86">
        <f t="shared" si="125"/>
        <v>71.549958711808429</v>
      </c>
      <c r="BY101" s="86">
        <f t="shared" si="125"/>
        <v>97.417644059153503</v>
      </c>
      <c r="BZ101" s="1117">
        <f t="shared" si="125"/>
        <v>92.720775406305052</v>
      </c>
      <c r="CA101" s="86">
        <f t="shared" si="125"/>
        <v>80.243342151675478</v>
      </c>
      <c r="CB101" s="1116">
        <f t="shared" si="125"/>
        <v>58.036597267404034</v>
      </c>
      <c r="CC101" s="86">
        <f t="shared" si="125"/>
        <v>90.240359299984519</v>
      </c>
      <c r="CD101" s="86">
        <f t="shared" si="125"/>
        <v>108.80981490915265</v>
      </c>
      <c r="CE101" s="1117">
        <f t="shared" si="125"/>
        <v>73.621841614380187</v>
      </c>
      <c r="CF101" s="86">
        <f t="shared" si="125"/>
        <v>82.588659751547681</v>
      </c>
      <c r="CG101" s="1116">
        <f t="shared" si="125"/>
        <v>118.96613001215067</v>
      </c>
      <c r="CH101" s="86">
        <f t="shared" si="125"/>
        <v>109.00177830468287</v>
      </c>
      <c r="CI101" s="86">
        <f t="shared" si="125"/>
        <v>90.73133877304322</v>
      </c>
      <c r="CJ101" s="1117">
        <f t="shared" si="125"/>
        <v>83.792571079180661</v>
      </c>
      <c r="CK101" s="86">
        <f t="shared" si="125"/>
        <v>100.68881171674467</v>
      </c>
      <c r="CL101" s="1116">
        <f t="shared" si="125"/>
        <v>107.48184297402038</v>
      </c>
      <c r="CM101" s="86">
        <f t="shared" si="125"/>
        <v>138.91158339756146</v>
      </c>
      <c r="CN101" s="86">
        <f t="shared" si="125"/>
        <v>144.05232396414948</v>
      </c>
      <c r="CO101" s="1117">
        <f t="shared" si="125"/>
        <v>136.30195328810035</v>
      </c>
      <c r="CP101" s="86">
        <f t="shared" si="125"/>
        <v>131.55951643909083</v>
      </c>
      <c r="CQ101" s="1116">
        <f t="shared" si="125"/>
        <v>137.63327932938597</v>
      </c>
      <c r="CR101" s="86">
        <f t="shared" si="125"/>
        <v>131.96535581763345</v>
      </c>
      <c r="CS101" s="86">
        <f t="shared" si="125"/>
        <v>123.20339096678211</v>
      </c>
      <c r="CT101" s="1117">
        <f t="shared" si="125"/>
        <v>107.51186163627203</v>
      </c>
      <c r="CU101" s="86">
        <f t="shared" si="125"/>
        <v>125.23934976005904</v>
      </c>
      <c r="CV101" s="1116">
        <f t="shared" si="125"/>
        <v>111.14101494414727</v>
      </c>
      <c r="CW101" s="86">
        <f t="shared" si="125"/>
        <v>115.57712224660686</v>
      </c>
      <c r="CX101" s="86">
        <f t="shared" si="125"/>
        <v>110.42564974233755</v>
      </c>
      <c r="CY101" s="1117">
        <f t="shared" si="125"/>
        <v>112.63174620002343</v>
      </c>
      <c r="CZ101" s="86">
        <f t="shared" ref="CZ101" si="126">CZ97/CZ100*1000</f>
        <v>112.44949854653949</v>
      </c>
    </row>
    <row r="102" spans="1:104" ht="13.5" customHeight="1">
      <c r="A102" s="66"/>
      <c r="B102" s="82"/>
      <c r="C102" s="66" t="s">
        <v>96</v>
      </c>
      <c r="D102" s="82"/>
      <c r="E102" s="113"/>
      <c r="F102" s="113"/>
      <c r="G102" s="113"/>
      <c r="H102" s="113"/>
      <c r="I102" s="113"/>
      <c r="J102" s="75">
        <f t="shared" ref="J102:AM102" si="127">J57/J100*1000</f>
        <v>6.2288026437134993</v>
      </c>
      <c r="K102" s="75">
        <f t="shared" si="127"/>
        <v>12.371391508052707</v>
      </c>
      <c r="L102" s="75">
        <f t="shared" si="127"/>
        <v>11.948398902104298</v>
      </c>
      <c r="M102" s="75">
        <f t="shared" si="127"/>
        <v>12.27199370529328</v>
      </c>
      <c r="N102" s="75">
        <f t="shared" si="127"/>
        <v>10.755841020681443</v>
      </c>
      <c r="O102" s="75">
        <f t="shared" si="127"/>
        <v>3.7664669287696593</v>
      </c>
      <c r="P102" s="75">
        <f t="shared" si="127"/>
        <v>3.0824542038515728</v>
      </c>
      <c r="Q102" s="75">
        <f t="shared" si="127"/>
        <v>2.8729705554316172</v>
      </c>
      <c r="R102" s="75">
        <f t="shared" si="127"/>
        <v>4.0120442377495467</v>
      </c>
      <c r="S102" s="75">
        <f t="shared" si="127"/>
        <v>3.4324907571681997</v>
      </c>
      <c r="T102" s="75">
        <f t="shared" si="127"/>
        <v>22.319673761686897</v>
      </c>
      <c r="U102" s="75">
        <f t="shared" si="127"/>
        <v>54.175416666666671</v>
      </c>
      <c r="V102" s="75">
        <f t="shared" si="127"/>
        <v>85.64680412371132</v>
      </c>
      <c r="W102" s="75">
        <f t="shared" si="127"/>
        <v>77.034747292418771</v>
      </c>
      <c r="X102" s="75">
        <f t="shared" si="127"/>
        <v>59.084619812653713</v>
      </c>
      <c r="Y102" s="75">
        <f t="shared" si="127"/>
        <v>69.5286141575274</v>
      </c>
      <c r="Z102" s="75">
        <f t="shared" si="127"/>
        <v>63.738297452103495</v>
      </c>
      <c r="AA102" s="75">
        <f t="shared" si="127"/>
        <v>55.091921479803716</v>
      </c>
      <c r="AB102" s="75">
        <f t="shared" si="127"/>
        <v>67.013951660444135</v>
      </c>
      <c r="AC102" s="75">
        <f t="shared" si="127"/>
        <v>63.733398485218665</v>
      </c>
      <c r="AD102" s="75">
        <f t="shared" si="127"/>
        <v>67.418385490753906</v>
      </c>
      <c r="AE102" s="75">
        <f t="shared" si="127"/>
        <v>77.811135934009272</v>
      </c>
      <c r="AF102" s="75">
        <f t="shared" si="127"/>
        <v>92.375156166339451</v>
      </c>
      <c r="AG102" s="75">
        <f t="shared" si="127"/>
        <v>80.425418719211805</v>
      </c>
      <c r="AH102" s="75">
        <f t="shared" si="127"/>
        <v>79.457574250711986</v>
      </c>
      <c r="AI102" s="92">
        <f t="shared" si="127"/>
        <v>67.402971873341585</v>
      </c>
      <c r="AJ102" s="75">
        <f t="shared" si="127"/>
        <v>61.350293542074368</v>
      </c>
      <c r="AK102" s="75">
        <f t="shared" si="127"/>
        <v>66.05822214520866</v>
      </c>
      <c r="AL102" s="75">
        <f t="shared" si="127"/>
        <v>61.890754877014416</v>
      </c>
      <c r="AM102" s="75">
        <f t="shared" si="127"/>
        <v>64.165082824760205</v>
      </c>
      <c r="AN102" s="75">
        <f t="shared" ref="AN102:BS102" si="128">AN57/AN100*1000</f>
        <v>63.449055435119263</v>
      </c>
      <c r="AO102" s="92">
        <f t="shared" si="128"/>
        <v>75.091026635634904</v>
      </c>
      <c r="AP102" s="75">
        <f t="shared" si="128"/>
        <v>109.62393672586185</v>
      </c>
      <c r="AQ102" s="75">
        <f t="shared" si="128"/>
        <v>46.687238006520722</v>
      </c>
      <c r="AR102" s="75">
        <f t="shared" si="128"/>
        <v>76.451066026124607</v>
      </c>
      <c r="AS102" s="889">
        <f t="shared" si="128"/>
        <v>-51.144822006472488</v>
      </c>
      <c r="AT102" s="550">
        <f t="shared" si="128"/>
        <v>-32.394800777453845</v>
      </c>
      <c r="AU102" s="550">
        <f t="shared" si="128"/>
        <v>-5.775909268674229</v>
      </c>
      <c r="AV102" s="890">
        <f t="shared" si="128"/>
        <v>12.700948684777924</v>
      </c>
      <c r="AW102" s="550">
        <f t="shared" si="128"/>
        <v>-16.705336822940374</v>
      </c>
      <c r="AX102" s="889">
        <f t="shared" si="128"/>
        <v>5.6328906676368931</v>
      </c>
      <c r="AY102" s="550">
        <f t="shared" si="128"/>
        <v>16.380198019801984</v>
      </c>
      <c r="AZ102" s="550">
        <f t="shared" si="128"/>
        <v>4.1709568613527441</v>
      </c>
      <c r="BA102" s="890">
        <f t="shared" si="128"/>
        <v>-0.91094863142107207</v>
      </c>
      <c r="BB102" s="550">
        <f t="shared" si="128"/>
        <v>6.3850311094963494</v>
      </c>
      <c r="BC102" s="889">
        <f t="shared" si="128"/>
        <v>26.738206758113083</v>
      </c>
      <c r="BD102" s="550">
        <f t="shared" si="128"/>
        <v>53.514290818149348</v>
      </c>
      <c r="BE102" s="550">
        <f t="shared" si="128"/>
        <v>31.377355229040621</v>
      </c>
      <c r="BF102" s="970">
        <f t="shared" si="128"/>
        <v>19.541791307408062</v>
      </c>
      <c r="BG102" s="577">
        <f t="shared" si="128"/>
        <v>32.632702655788933</v>
      </c>
      <c r="BH102" s="889">
        <f t="shared" si="128"/>
        <v>22.378652254686713</v>
      </c>
      <c r="BI102" s="550">
        <f t="shared" si="128"/>
        <v>24.949198312236295</v>
      </c>
      <c r="BJ102" s="550">
        <f t="shared" si="128"/>
        <v>24.682385575589471</v>
      </c>
      <c r="BK102" s="890">
        <f t="shared" si="128"/>
        <v>26.416210295728369</v>
      </c>
      <c r="BL102" s="577">
        <f t="shared" si="128"/>
        <v>24.571453317166128</v>
      </c>
      <c r="BM102" s="889">
        <f t="shared" si="128"/>
        <v>14.859621451104109</v>
      </c>
      <c r="BN102" s="550">
        <f t="shared" si="128"/>
        <v>14.582120226066108</v>
      </c>
      <c r="BO102" s="550">
        <f t="shared" si="128"/>
        <v>25.413071683425233</v>
      </c>
      <c r="BP102" s="890">
        <f t="shared" si="128"/>
        <v>24.787173949160998</v>
      </c>
      <c r="BQ102" s="550">
        <f t="shared" si="128"/>
        <v>20.051622418879049</v>
      </c>
      <c r="BR102" s="889">
        <f t="shared" si="128"/>
        <v>20.953465826466314</v>
      </c>
      <c r="BS102" s="550">
        <f t="shared" si="128"/>
        <v>23.083359497645215</v>
      </c>
      <c r="BT102" s="550">
        <f t="shared" ref="BT102:CZ102" si="129">BT57/BT100*1000</f>
        <v>37.374262971698123</v>
      </c>
      <c r="BU102" s="890">
        <f t="shared" si="129"/>
        <v>34.6667215815486</v>
      </c>
      <c r="BV102" s="550">
        <f t="shared" si="129"/>
        <v>29.14634242316923</v>
      </c>
      <c r="BW102" s="889">
        <f t="shared" si="129"/>
        <v>12.031943212067432</v>
      </c>
      <c r="BX102" s="550">
        <f t="shared" si="129"/>
        <v>20.603633360858794</v>
      </c>
      <c r="BY102" s="550">
        <f t="shared" si="129"/>
        <v>38.60717321094679</v>
      </c>
      <c r="BZ102" s="890">
        <f t="shared" si="129"/>
        <v>28.337184256902297</v>
      </c>
      <c r="CA102" s="550">
        <f t="shared" si="129"/>
        <v>24.885317460317466</v>
      </c>
      <c r="CB102" s="889">
        <f t="shared" si="129"/>
        <v>11.50845803513338</v>
      </c>
      <c r="CC102" s="550">
        <f t="shared" si="129"/>
        <v>36.204429301533224</v>
      </c>
      <c r="CD102" s="550">
        <f t="shared" si="129"/>
        <v>45.854304635761586</v>
      </c>
      <c r="CE102" s="890">
        <f t="shared" si="129"/>
        <v>23.147193488214345</v>
      </c>
      <c r="CF102" s="550">
        <f t="shared" si="129"/>
        <v>29.152597269484637</v>
      </c>
      <c r="CG102" s="889">
        <f t="shared" si="129"/>
        <v>55.23405224787362</v>
      </c>
      <c r="CH102" s="550">
        <f t="shared" si="129"/>
        <v>47.873147599288686</v>
      </c>
      <c r="CI102" s="550">
        <f t="shared" si="129"/>
        <v>38.576609247506809</v>
      </c>
      <c r="CJ102" s="890">
        <f t="shared" si="129"/>
        <v>31.900183430143692</v>
      </c>
      <c r="CK102" s="550">
        <f t="shared" si="129"/>
        <v>43.435754189944134</v>
      </c>
      <c r="CL102" s="889">
        <f t="shared" si="129"/>
        <v>53.965695421271704</v>
      </c>
      <c r="CM102" s="550">
        <f t="shared" si="129"/>
        <v>78.16475027571569</v>
      </c>
      <c r="CN102" s="550">
        <f t="shared" si="129"/>
        <v>81.950995012538797</v>
      </c>
      <c r="CO102" s="890">
        <f t="shared" si="129"/>
        <v>75.945233018199914</v>
      </c>
      <c r="CP102" s="550">
        <f t="shared" si="129"/>
        <v>72.409945872664295</v>
      </c>
      <c r="CQ102" s="889">
        <f t="shared" si="129"/>
        <v>78.594036999876309</v>
      </c>
      <c r="CR102" s="550">
        <f t="shared" si="129"/>
        <v>74.130631450919338</v>
      </c>
      <c r="CS102" s="550">
        <f t="shared" si="129"/>
        <v>67.201413677879927</v>
      </c>
      <c r="CT102" s="890">
        <f t="shared" si="129"/>
        <v>55.070566954738844</v>
      </c>
      <c r="CU102" s="550">
        <f t="shared" si="129"/>
        <v>68.874945150411477</v>
      </c>
      <c r="CV102" s="889">
        <f t="shared" si="129"/>
        <v>60.584289629693892</v>
      </c>
      <c r="CW102" s="550">
        <f t="shared" si="129"/>
        <v>63.499211571594977</v>
      </c>
      <c r="CX102" s="550">
        <f t="shared" si="129"/>
        <v>59.896968013388715</v>
      </c>
      <c r="CY102" s="890">
        <f t="shared" si="129"/>
        <v>61.42036933660237</v>
      </c>
      <c r="CZ102" s="550">
        <f t="shared" si="129"/>
        <v>61.355074818127591</v>
      </c>
    </row>
    <row r="103" spans="1:104" ht="6.2" customHeight="1">
      <c r="A103" s="66"/>
      <c r="B103" s="82"/>
      <c r="C103" s="66"/>
      <c r="D103" s="82"/>
      <c r="E103" s="113"/>
      <c r="F103" s="113"/>
      <c r="G103" s="113"/>
      <c r="H103" s="113"/>
      <c r="I103" s="113"/>
      <c r="J103" s="75"/>
      <c r="K103" s="75"/>
      <c r="L103" s="75"/>
      <c r="M103" s="75"/>
      <c r="N103" s="75"/>
      <c r="O103" s="75"/>
      <c r="P103" s="75"/>
      <c r="Q103" s="75"/>
      <c r="R103" s="75"/>
      <c r="S103" s="75"/>
      <c r="T103" s="75"/>
      <c r="U103" s="75"/>
      <c r="V103" s="75"/>
      <c r="W103" s="75"/>
      <c r="X103" s="75"/>
      <c r="Y103" s="75"/>
      <c r="Z103" s="75"/>
      <c r="AA103" s="75"/>
      <c r="AB103" s="75"/>
      <c r="AC103" s="75"/>
      <c r="AD103" s="75"/>
      <c r="AE103" s="75"/>
      <c r="AF103" s="75"/>
      <c r="AG103" s="75"/>
      <c r="AH103" s="75"/>
      <c r="AI103" s="92"/>
      <c r="AJ103" s="75"/>
      <c r="AK103" s="75"/>
      <c r="AL103" s="75"/>
      <c r="AM103" s="75"/>
      <c r="AN103" s="75"/>
      <c r="AO103" s="92"/>
      <c r="AP103" s="75"/>
      <c r="AQ103" s="75"/>
      <c r="AR103" s="75"/>
      <c r="AS103" s="891"/>
      <c r="AT103" s="92"/>
      <c r="AU103" s="75"/>
      <c r="AV103" s="892"/>
      <c r="AW103" s="75"/>
      <c r="AX103" s="1148"/>
      <c r="AY103" s="75"/>
      <c r="AZ103" s="75"/>
      <c r="BA103" s="892"/>
      <c r="BB103" s="75"/>
      <c r="BC103" s="891"/>
      <c r="BD103" s="75"/>
      <c r="BE103" s="75"/>
      <c r="BF103" s="1155"/>
      <c r="BG103" s="379"/>
      <c r="BH103" s="891"/>
      <c r="BI103" s="75"/>
      <c r="BJ103" s="75"/>
      <c r="BK103" s="892"/>
      <c r="BL103" s="379"/>
      <c r="BM103" s="891"/>
      <c r="BN103" s="75"/>
      <c r="BO103" s="75"/>
      <c r="BP103" s="892"/>
      <c r="BQ103" s="75"/>
      <c r="BR103" s="891"/>
      <c r="BS103" s="75"/>
      <c r="BT103" s="75"/>
      <c r="BU103" s="892"/>
      <c r="BV103" s="75"/>
      <c r="BW103" s="891"/>
      <c r="BX103" s="75"/>
      <c r="BY103" s="75"/>
      <c r="BZ103" s="892"/>
      <c r="CA103" s="75"/>
      <c r="CB103" s="891"/>
      <c r="CC103" s="75"/>
      <c r="CD103" s="75"/>
      <c r="CE103" s="892"/>
      <c r="CF103" s="75"/>
      <c r="CG103" s="891"/>
      <c r="CH103" s="75"/>
      <c r="CI103" s="75"/>
      <c r="CJ103" s="892"/>
      <c r="CK103" s="75"/>
      <c r="CL103" s="891"/>
      <c r="CM103" s="75"/>
      <c r="CN103" s="75"/>
      <c r="CO103" s="892"/>
      <c r="CP103" s="75"/>
      <c r="CQ103" s="891"/>
      <c r="CR103" s="75"/>
      <c r="CS103" s="75"/>
      <c r="CT103" s="892"/>
      <c r="CU103" s="75"/>
      <c r="CV103" s="891"/>
      <c r="CW103" s="75"/>
      <c r="CX103" s="75"/>
      <c r="CY103" s="892"/>
      <c r="CZ103" s="75"/>
    </row>
    <row r="104" spans="1:104" ht="13.5" customHeight="1">
      <c r="A104" s="66"/>
      <c r="B104" s="66" t="s">
        <v>258</v>
      </c>
      <c r="C104" s="66"/>
      <c r="D104" s="66"/>
      <c r="E104" s="76"/>
      <c r="F104" s="76"/>
      <c r="G104" s="76"/>
      <c r="H104" s="76"/>
      <c r="I104" s="76"/>
      <c r="J104" s="76">
        <f t="shared" ref="J104:AM104" si="130">J65/J60</f>
        <v>2.9304611466766213</v>
      </c>
      <c r="K104" s="76">
        <f t="shared" si="130"/>
        <v>1.4095811793808899</v>
      </c>
      <c r="L104" s="76">
        <f t="shared" si="130"/>
        <v>1.5182214524181448</v>
      </c>
      <c r="M104" s="76">
        <f t="shared" si="130"/>
        <v>1.3857057531789347</v>
      </c>
      <c r="N104" s="76">
        <f t="shared" si="130"/>
        <v>1.6450831766755598</v>
      </c>
      <c r="O104" s="76">
        <f t="shared" si="130"/>
        <v>3.8411615525116551</v>
      </c>
      <c r="P104" s="76">
        <f t="shared" si="130"/>
        <v>4.7735391071604099</v>
      </c>
      <c r="Q104" s="76">
        <f t="shared" si="130"/>
        <v>4.8653782394338148</v>
      </c>
      <c r="R104" s="76">
        <f t="shared" si="130"/>
        <v>3.5583638218203113</v>
      </c>
      <c r="S104" s="76">
        <f t="shared" si="130"/>
        <v>4.1792625976119009</v>
      </c>
      <c r="T104" s="76">
        <f t="shared" si="130"/>
        <v>0.59283107993689887</v>
      </c>
      <c r="U104" s="76">
        <f t="shared" si="130"/>
        <v>0.25659793417986326</v>
      </c>
      <c r="V104" s="76">
        <f t="shared" si="130"/>
        <v>0.10029090944107545</v>
      </c>
      <c r="W104" s="76">
        <f t="shared" si="130"/>
        <v>0.12243648548114042</v>
      </c>
      <c r="X104" s="76">
        <f t="shared" si="130"/>
        <v>0.13300476153361063</v>
      </c>
      <c r="Y104" s="76">
        <f t="shared" si="130"/>
        <v>0.36995118817503442</v>
      </c>
      <c r="Z104" s="76">
        <f t="shared" si="130"/>
        <v>0.39495145751409183</v>
      </c>
      <c r="AA104" s="76">
        <f t="shared" si="130"/>
        <v>0.43096509831196006</v>
      </c>
      <c r="AB104" s="76">
        <f t="shared" si="130"/>
        <v>0.59631268436578133</v>
      </c>
      <c r="AC104" s="76">
        <f t="shared" si="130"/>
        <v>0.44981116365509882</v>
      </c>
      <c r="AD104" s="76">
        <f t="shared" si="130"/>
        <v>0.57923573363294223</v>
      </c>
      <c r="AE104" s="76">
        <f t="shared" si="130"/>
        <v>0.41470859109109659</v>
      </c>
      <c r="AF104" s="76">
        <f t="shared" si="130"/>
        <v>0.3565294506335277</v>
      </c>
      <c r="AG104" s="76">
        <f t="shared" si="130"/>
        <v>0.446010010804613</v>
      </c>
      <c r="AH104" s="76">
        <f t="shared" si="130"/>
        <v>0.44004145234544839</v>
      </c>
      <c r="AI104" s="76">
        <f t="shared" si="130"/>
        <v>0.48585283534849061</v>
      </c>
      <c r="AJ104" s="76">
        <f t="shared" si="130"/>
        <v>0.53655589386689861</v>
      </c>
      <c r="AK104" s="76">
        <f t="shared" si="130"/>
        <v>0.47206506969692297</v>
      </c>
      <c r="AL104" s="76">
        <f t="shared" si="130"/>
        <v>0.4847250072633385</v>
      </c>
      <c r="AM104" s="76">
        <f t="shared" si="130"/>
        <v>0.49388115876454819</v>
      </c>
      <c r="AN104" s="76">
        <f t="shared" ref="AN104:BS104" si="131">AN65/AN60</f>
        <v>0.43202167642048617</v>
      </c>
      <c r="AO104" s="143">
        <f t="shared" si="131"/>
        <v>0.26847484477076339</v>
      </c>
      <c r="AP104" s="76">
        <f t="shared" si="131"/>
        <v>0.2252240841830136</v>
      </c>
      <c r="AQ104" s="76">
        <f t="shared" si="131"/>
        <v>0.55064047886270107</v>
      </c>
      <c r="AR104" s="76">
        <f t="shared" si="131"/>
        <v>0.31792302862576483</v>
      </c>
      <c r="AS104" s="877">
        <f t="shared" si="131"/>
        <v>-0.58009254132721666</v>
      </c>
      <c r="AT104" s="578">
        <f t="shared" si="131"/>
        <v>-0.82620127946481459</v>
      </c>
      <c r="AU104" s="578">
        <f t="shared" si="131"/>
        <v>-3.7345300968244288</v>
      </c>
      <c r="AV104" s="878">
        <f t="shared" si="131"/>
        <v>1.8759909688152507</v>
      </c>
      <c r="AW104" s="578">
        <f t="shared" si="131"/>
        <v>-1.501958019569978</v>
      </c>
      <c r="AX104" s="877">
        <f t="shared" si="131"/>
        <v>3.6765947551995861</v>
      </c>
      <c r="AY104" s="578">
        <f t="shared" si="131"/>
        <v>1.2520872164585892</v>
      </c>
      <c r="AZ104" s="578">
        <f t="shared" si="131"/>
        <v>4.8534649925516042</v>
      </c>
      <c r="BA104" s="878">
        <f t="shared" si="131"/>
        <v>-23.436600123482208</v>
      </c>
      <c r="BB104" s="578">
        <f t="shared" si="131"/>
        <v>3.2418231478320214</v>
      </c>
      <c r="BC104" s="877">
        <f t="shared" si="131"/>
        <v>0.71863179659786902</v>
      </c>
      <c r="BD104" s="578">
        <f t="shared" si="131"/>
        <v>0.38361426096477313</v>
      </c>
      <c r="BE104" s="578">
        <f t="shared" si="131"/>
        <v>0.63345136570477867</v>
      </c>
      <c r="BF104" s="964">
        <f t="shared" si="131"/>
        <v>1.0362402751764876</v>
      </c>
      <c r="BG104" s="579">
        <f t="shared" si="131"/>
        <v>0.61151351484332184</v>
      </c>
      <c r="BH104" s="877">
        <f t="shared" si="131"/>
        <v>0.87536478144055996</v>
      </c>
      <c r="BI104" s="578">
        <f t="shared" si="131"/>
        <v>0.78528926290724088</v>
      </c>
      <c r="BJ104" s="578">
        <f t="shared" si="131"/>
        <v>0.81661468869408826</v>
      </c>
      <c r="BK104" s="878">
        <f t="shared" si="131"/>
        <v>0.80914861306907704</v>
      </c>
      <c r="BL104" s="579">
        <f t="shared" si="131"/>
        <v>0.82027268048868152</v>
      </c>
      <c r="BM104" s="877">
        <f t="shared" si="131"/>
        <v>1.3819532604465194</v>
      </c>
      <c r="BN104" s="578">
        <f t="shared" si="131"/>
        <v>1.3769563979094486</v>
      </c>
      <c r="BO104" s="578">
        <f t="shared" si="131"/>
        <v>0.74938132191426776</v>
      </c>
      <c r="BP104" s="878">
        <f t="shared" si="131"/>
        <v>0.79273456037106027</v>
      </c>
      <c r="BQ104" s="578">
        <f t="shared" si="131"/>
        <v>0.98799233830715127</v>
      </c>
      <c r="BR104" s="877">
        <f t="shared" si="131"/>
        <v>0.91234768393211008</v>
      </c>
      <c r="BS104" s="578">
        <f t="shared" si="131"/>
        <v>0.80516978257764826</v>
      </c>
      <c r="BT104" s="578">
        <f t="shared" ref="BT104:CZ104" si="132">BT65/BT60</f>
        <v>0.46746634746220611</v>
      </c>
      <c r="BU104" s="878">
        <f t="shared" si="132"/>
        <v>0.56726205524956397</v>
      </c>
      <c r="BV104" s="578">
        <f t="shared" si="132"/>
        <v>0.64074638498790359</v>
      </c>
      <c r="BW104" s="877">
        <f t="shared" si="132"/>
        <v>1.7607657448377585</v>
      </c>
      <c r="BX104" s="578">
        <f t="shared" si="132"/>
        <v>0.95758670995150497</v>
      </c>
      <c r="BY104" s="578">
        <f t="shared" si="132"/>
        <v>0.52629487597192748</v>
      </c>
      <c r="BZ104" s="878">
        <f t="shared" si="132"/>
        <v>0.82543918171892916</v>
      </c>
      <c r="CA104" s="578">
        <f t="shared" si="132"/>
        <v>0.84662588877726563</v>
      </c>
      <c r="CB104" s="877">
        <f t="shared" si="132"/>
        <v>1.6922753483901964</v>
      </c>
      <c r="CC104" s="578">
        <f t="shared" si="132"/>
        <v>0.51264372978799844</v>
      </c>
      <c r="CD104" s="578">
        <f t="shared" si="132"/>
        <v>0.44442407678976142</v>
      </c>
      <c r="CE104" s="878">
        <f t="shared" si="132"/>
        <v>0.88608334126989952</v>
      </c>
      <c r="CF104" s="578">
        <f t="shared" si="132"/>
        <v>0.67579652800533296</v>
      </c>
      <c r="CG104" s="877">
        <f t="shared" si="132"/>
        <v>0.33336710562859373</v>
      </c>
      <c r="CH104" s="578">
        <f t="shared" si="132"/>
        <v>0.37537088915579103</v>
      </c>
      <c r="CI104" s="578">
        <f t="shared" si="132"/>
        <v>0.4742970329024675</v>
      </c>
      <c r="CJ104" s="878">
        <f t="shared" si="132"/>
        <v>0.57878654326252688</v>
      </c>
      <c r="CK104" s="578">
        <f t="shared" si="132"/>
        <v>0.42093595637438075</v>
      </c>
      <c r="CL104" s="877">
        <f t="shared" si="132"/>
        <v>0.32177045792451175</v>
      </c>
      <c r="CM104" s="578">
        <f t="shared" si="132"/>
        <v>0.22230526386896324</v>
      </c>
      <c r="CN104" s="578">
        <f t="shared" si="132"/>
        <v>0.21610707969707033</v>
      </c>
      <c r="CO104" s="878">
        <f t="shared" si="132"/>
        <v>0.2359730919795433</v>
      </c>
      <c r="CP104" s="578">
        <f t="shared" si="132"/>
        <v>0.24291782550674029</v>
      </c>
      <c r="CQ104" s="877">
        <f t="shared" si="132"/>
        <v>0.21556286110518269</v>
      </c>
      <c r="CR104" s="578">
        <f t="shared" si="132"/>
        <v>0.22979662372477525</v>
      </c>
      <c r="CS104" s="578">
        <f t="shared" si="132"/>
        <v>0.2583480011153178</v>
      </c>
      <c r="CT104" s="878">
        <f t="shared" si="132"/>
        <v>0.3189963045742682</v>
      </c>
      <c r="CU104" s="578">
        <f t="shared" si="132"/>
        <v>0.2500582544304733</v>
      </c>
      <c r="CV104" s="877">
        <f t="shared" si="132"/>
        <v>0.2611791771668871</v>
      </c>
      <c r="CW104" s="578">
        <f t="shared" si="132"/>
        <v>0.25110320173176648</v>
      </c>
      <c r="CX104" s="578">
        <f t="shared" si="132"/>
        <v>0.27128702804607657</v>
      </c>
      <c r="CY104" s="878">
        <f t="shared" si="132"/>
        <v>0.26753899556570543</v>
      </c>
      <c r="CZ104" s="578">
        <f t="shared" si="132"/>
        <v>0.2625512441800863</v>
      </c>
    </row>
    <row r="105" spans="1:104" ht="13.5" customHeight="1">
      <c r="A105" s="66"/>
      <c r="B105" s="66"/>
      <c r="C105" s="66"/>
      <c r="D105" s="66"/>
      <c r="E105" s="20"/>
      <c r="F105" s="20"/>
      <c r="G105" s="20"/>
      <c r="H105" s="20"/>
      <c r="I105" s="20"/>
      <c r="J105" s="76"/>
      <c r="K105" s="76"/>
      <c r="L105" s="76"/>
      <c r="M105" s="76"/>
      <c r="N105" s="76"/>
      <c r="O105" s="76"/>
      <c r="P105" s="76"/>
      <c r="Q105" s="76"/>
      <c r="R105" s="76"/>
      <c r="S105" s="76"/>
      <c r="T105" s="20"/>
      <c r="U105" s="20"/>
      <c r="V105" s="76"/>
      <c r="W105" s="76"/>
      <c r="X105" s="76"/>
      <c r="Y105" s="20"/>
      <c r="Z105" s="20"/>
      <c r="AA105" s="20"/>
      <c r="AB105" s="20"/>
      <c r="AC105" s="20"/>
      <c r="AD105" s="20"/>
      <c r="AE105" s="20"/>
      <c r="AF105" s="20"/>
      <c r="AG105" s="20"/>
      <c r="AH105" s="20"/>
      <c r="AI105" s="20"/>
      <c r="AJ105" s="20"/>
      <c r="AK105" s="20"/>
      <c r="AL105" s="20"/>
      <c r="AM105" s="20"/>
      <c r="AN105" s="20"/>
      <c r="AO105" s="20"/>
      <c r="AP105" s="20"/>
      <c r="AQ105" s="66"/>
      <c r="AR105" s="66"/>
      <c r="AS105" s="859"/>
      <c r="AT105" s="20"/>
      <c r="AU105" s="20"/>
      <c r="AV105" s="860"/>
      <c r="AW105" s="66"/>
      <c r="AX105" s="859"/>
      <c r="AY105" s="20"/>
      <c r="AZ105" s="20"/>
      <c r="BA105" s="860"/>
      <c r="BB105" s="66"/>
      <c r="BC105" s="859"/>
      <c r="BD105" s="20"/>
      <c r="BE105" s="20"/>
      <c r="BF105" s="954"/>
      <c r="BG105" s="362"/>
      <c r="BH105" s="859"/>
      <c r="BI105" s="20"/>
      <c r="BJ105" s="20"/>
      <c r="BK105" s="860"/>
      <c r="BL105" s="66"/>
      <c r="BM105" s="859"/>
      <c r="BN105" s="20"/>
      <c r="BO105" s="20"/>
      <c r="BP105" s="860"/>
      <c r="BQ105" s="66"/>
      <c r="BR105" s="859"/>
      <c r="BS105" s="20"/>
      <c r="BT105" s="20"/>
      <c r="BU105" s="860"/>
      <c r="BV105" s="66"/>
      <c r="BW105" s="859"/>
      <c r="BX105" s="20"/>
      <c r="BY105" s="20"/>
      <c r="BZ105" s="860"/>
      <c r="CA105" s="66"/>
      <c r="CB105" s="859"/>
      <c r="CC105" s="20"/>
      <c r="CD105" s="495"/>
      <c r="CE105" s="944"/>
      <c r="CF105" s="453"/>
      <c r="CG105" s="981"/>
      <c r="CH105" s="495"/>
      <c r="CI105" s="20"/>
      <c r="CJ105" s="944"/>
      <c r="CK105" s="453"/>
      <c r="CL105" s="859"/>
      <c r="CM105" s="20"/>
      <c r="CN105" s="20"/>
      <c r="CO105" s="860"/>
      <c r="CP105" s="66"/>
      <c r="CQ105" s="859"/>
      <c r="CR105" s="20"/>
      <c r="CS105" s="20"/>
      <c r="CT105" s="860"/>
      <c r="CU105" s="66"/>
      <c r="CV105" s="859"/>
      <c r="CW105" s="20"/>
      <c r="CX105" s="20"/>
      <c r="CY105" s="860"/>
      <c r="CZ105" s="66"/>
    </row>
    <row r="106" spans="1:104" ht="13.5" customHeight="1">
      <c r="A106" s="67" t="s">
        <v>330</v>
      </c>
      <c r="B106" s="66"/>
      <c r="C106" s="66"/>
      <c r="D106" s="75"/>
      <c r="E106" s="20"/>
      <c r="F106" s="20"/>
      <c r="G106" s="20"/>
      <c r="H106" s="20"/>
      <c r="I106" s="20"/>
      <c r="J106" s="75"/>
      <c r="K106" s="75"/>
      <c r="L106" s="75"/>
      <c r="M106" s="75"/>
      <c r="N106" s="75"/>
      <c r="O106" s="75"/>
      <c r="P106" s="75"/>
      <c r="Q106" s="75"/>
      <c r="R106" s="75"/>
      <c r="S106" s="66"/>
      <c r="T106" s="20"/>
      <c r="U106" s="20"/>
      <c r="V106" s="75"/>
      <c r="W106" s="75"/>
      <c r="X106" s="76"/>
      <c r="Y106" s="20"/>
      <c r="Z106" s="20"/>
      <c r="AA106" s="20"/>
      <c r="AB106" s="20"/>
      <c r="AC106" s="20"/>
      <c r="AD106" s="20"/>
      <c r="AE106" s="20"/>
      <c r="AF106" s="20"/>
      <c r="AG106" s="20"/>
      <c r="AH106" s="20"/>
      <c r="AI106" s="20"/>
      <c r="AJ106" s="20"/>
      <c r="AK106" s="20"/>
      <c r="AL106" s="20"/>
      <c r="AM106" s="20"/>
      <c r="AN106" s="20"/>
      <c r="AO106" s="20"/>
      <c r="AP106" s="20"/>
      <c r="AQ106" s="66"/>
      <c r="AR106" s="66"/>
      <c r="AS106" s="859"/>
      <c r="AT106" s="20"/>
      <c r="AU106" s="20"/>
      <c r="AV106" s="860"/>
      <c r="AW106" s="66"/>
      <c r="AX106" s="859"/>
      <c r="AY106" s="20"/>
      <c r="AZ106" s="20"/>
      <c r="BA106" s="860"/>
      <c r="BB106" s="66"/>
      <c r="BC106" s="859"/>
      <c r="BD106" s="20"/>
      <c r="BE106" s="20"/>
      <c r="BF106" s="954"/>
      <c r="BG106" s="362"/>
      <c r="BH106" s="859"/>
      <c r="BI106" s="20"/>
      <c r="BJ106" s="20"/>
      <c r="BK106" s="860"/>
      <c r="BL106" s="66"/>
      <c r="BM106" s="859"/>
      <c r="BN106" s="20"/>
      <c r="BO106" s="20"/>
      <c r="BP106" s="860"/>
      <c r="BQ106" s="66"/>
      <c r="BR106" s="859"/>
      <c r="BS106" s="20"/>
      <c r="BT106" s="20"/>
      <c r="BU106" s="860"/>
      <c r="BV106" s="66"/>
      <c r="BW106" s="859"/>
      <c r="BX106" s="20"/>
      <c r="BY106" s="20"/>
      <c r="BZ106" s="860"/>
      <c r="CA106" s="66"/>
      <c r="CB106" s="859"/>
      <c r="CC106" s="20"/>
      <c r="CD106" s="495"/>
      <c r="CE106" s="944"/>
      <c r="CF106" s="453"/>
      <c r="CG106" s="981"/>
      <c r="CH106" s="495"/>
      <c r="CI106" s="20"/>
      <c r="CJ106" s="944"/>
      <c r="CK106" s="453"/>
      <c r="CL106" s="859"/>
      <c r="CM106" s="20"/>
      <c r="CN106" s="20"/>
      <c r="CO106" s="860"/>
      <c r="CP106" s="66"/>
      <c r="CQ106" s="859"/>
      <c r="CR106" s="20"/>
      <c r="CS106" s="20"/>
      <c r="CT106" s="860"/>
      <c r="CU106" s="66"/>
      <c r="CV106" s="859"/>
      <c r="CW106" s="20"/>
      <c r="CX106" s="20"/>
      <c r="CY106" s="860"/>
      <c r="CZ106" s="66"/>
    </row>
    <row r="107" spans="1:104" ht="13.5" customHeight="1">
      <c r="A107" s="68" t="s">
        <v>210</v>
      </c>
      <c r="B107" s="69"/>
      <c r="C107" s="69"/>
      <c r="D107" s="169"/>
      <c r="E107" s="169"/>
      <c r="F107" s="169"/>
      <c r="G107" s="169"/>
      <c r="H107" s="169"/>
      <c r="I107" s="169"/>
      <c r="J107" s="169"/>
      <c r="K107" s="169"/>
      <c r="L107" s="169"/>
      <c r="M107" s="169"/>
      <c r="N107" s="169"/>
      <c r="O107" s="169"/>
      <c r="P107" s="169"/>
      <c r="Q107" s="169"/>
      <c r="R107" s="169"/>
      <c r="S107" s="69"/>
      <c r="T107" s="169"/>
      <c r="U107" s="169"/>
      <c r="V107" s="169"/>
      <c r="W107" s="169"/>
      <c r="X107" s="169"/>
      <c r="Y107" s="169"/>
      <c r="Z107" s="169"/>
      <c r="AA107" s="169"/>
      <c r="AB107" s="169"/>
      <c r="AC107" s="169"/>
      <c r="AD107" s="169"/>
      <c r="AE107" s="169"/>
      <c r="AF107" s="169"/>
      <c r="AG107" s="169"/>
      <c r="AH107" s="169"/>
      <c r="AI107" s="170"/>
      <c r="AJ107" s="169"/>
      <c r="AK107" s="169"/>
      <c r="AL107" s="169"/>
      <c r="AM107" s="169"/>
      <c r="AN107" s="169"/>
      <c r="AO107" s="170"/>
      <c r="AP107" s="169"/>
      <c r="AQ107" s="169"/>
      <c r="AR107" s="169"/>
      <c r="AS107" s="1118"/>
      <c r="AT107" s="170"/>
      <c r="AU107" s="169"/>
      <c r="AV107" s="1119"/>
      <c r="AW107" s="169"/>
      <c r="AX107" s="1118"/>
      <c r="AY107" s="169"/>
      <c r="AZ107" s="169"/>
      <c r="BA107" s="1119"/>
      <c r="BB107" s="169"/>
      <c r="BC107" s="1118"/>
      <c r="BD107" s="169"/>
      <c r="BE107" s="169"/>
      <c r="BF107" s="1175"/>
      <c r="BG107" s="382"/>
      <c r="BH107" s="1118"/>
      <c r="BI107" s="169"/>
      <c r="BJ107" s="169"/>
      <c r="BK107" s="1119"/>
      <c r="BL107" s="169"/>
      <c r="BM107" s="1118"/>
      <c r="BN107" s="169"/>
      <c r="BO107" s="169"/>
      <c r="BP107" s="1119"/>
      <c r="BQ107" s="169"/>
      <c r="BR107" s="1118"/>
      <c r="BS107" s="169"/>
      <c r="BT107" s="169"/>
      <c r="BU107" s="1119"/>
      <c r="BV107" s="169"/>
      <c r="BW107" s="1118"/>
      <c r="BX107" s="169"/>
      <c r="BY107" s="169"/>
      <c r="BZ107" s="1119"/>
      <c r="CA107" s="169"/>
      <c r="CB107" s="1118"/>
      <c r="CC107" s="169"/>
      <c r="CD107" s="169"/>
      <c r="CE107" s="1119"/>
      <c r="CF107" s="169"/>
      <c r="CG107" s="1118"/>
      <c r="CH107" s="169"/>
      <c r="CI107" s="169"/>
      <c r="CJ107" s="1119"/>
      <c r="CK107" s="169"/>
      <c r="CL107" s="1118"/>
      <c r="CM107" s="169"/>
      <c r="CN107" s="169"/>
      <c r="CO107" s="1119"/>
      <c r="CP107" s="169"/>
      <c r="CQ107" s="1118"/>
      <c r="CR107" s="169"/>
      <c r="CS107" s="169"/>
      <c r="CT107" s="1119"/>
      <c r="CU107" s="169"/>
      <c r="CV107" s="1118"/>
      <c r="CW107" s="169"/>
      <c r="CX107" s="169"/>
      <c r="CY107" s="1119"/>
      <c r="CZ107" s="169"/>
    </row>
    <row r="108" spans="1:104" ht="6.2" customHeight="1">
      <c r="A108" s="405"/>
      <c r="B108" s="362"/>
      <c r="C108" s="362"/>
      <c r="D108" s="379"/>
      <c r="E108" s="75"/>
      <c r="F108" s="75"/>
      <c r="G108" s="75"/>
      <c r="H108" s="75"/>
      <c r="I108" s="75"/>
      <c r="J108" s="75"/>
      <c r="K108" s="75"/>
      <c r="L108" s="75"/>
      <c r="M108" s="75"/>
      <c r="N108" s="75"/>
      <c r="O108" s="75"/>
      <c r="P108" s="75"/>
      <c r="Q108" s="75"/>
      <c r="R108" s="75"/>
      <c r="S108" s="66"/>
      <c r="T108" s="75"/>
      <c r="U108" s="75"/>
      <c r="V108" s="75"/>
      <c r="W108" s="75"/>
      <c r="X108" s="75"/>
      <c r="Y108" s="75"/>
      <c r="Z108" s="75"/>
      <c r="AA108" s="75"/>
      <c r="AB108" s="75"/>
      <c r="AC108" s="75"/>
      <c r="AD108" s="75"/>
      <c r="AE108" s="75"/>
      <c r="AF108" s="75"/>
      <c r="AG108" s="75"/>
      <c r="AH108" s="75"/>
      <c r="AI108" s="92"/>
      <c r="AJ108" s="75"/>
      <c r="AK108" s="75"/>
      <c r="AL108" s="75"/>
      <c r="AM108" s="75"/>
      <c r="AN108" s="75"/>
      <c r="AO108" s="92"/>
      <c r="AP108" s="75"/>
      <c r="AQ108" s="75"/>
      <c r="AR108" s="75"/>
      <c r="AS108" s="891"/>
      <c r="AT108" s="92"/>
      <c r="AU108" s="75"/>
      <c r="AV108" s="892"/>
      <c r="AW108" s="75"/>
      <c r="AX108" s="891"/>
      <c r="AY108" s="75"/>
      <c r="AZ108" s="75"/>
      <c r="BA108" s="892"/>
      <c r="BB108" s="75"/>
      <c r="BC108" s="891"/>
      <c r="BD108" s="75"/>
      <c r="BE108" s="75"/>
      <c r="BF108" s="1155"/>
      <c r="BG108" s="379"/>
      <c r="BH108" s="891"/>
      <c r="BI108" s="75"/>
      <c r="BJ108" s="75"/>
      <c r="BK108" s="892"/>
      <c r="BL108" s="75"/>
      <c r="BM108" s="891"/>
      <c r="BN108" s="75"/>
      <c r="BO108" s="75"/>
      <c r="BP108" s="892"/>
      <c r="BQ108" s="75"/>
      <c r="BR108" s="891"/>
      <c r="BS108" s="75"/>
      <c r="BT108" s="75"/>
      <c r="BU108" s="892"/>
      <c r="BV108" s="75"/>
      <c r="BW108" s="891"/>
      <c r="BX108" s="75"/>
      <c r="BY108" s="75"/>
      <c r="BZ108" s="892"/>
      <c r="CA108" s="75"/>
      <c r="CB108" s="891"/>
      <c r="CC108" s="75"/>
      <c r="CD108" s="75"/>
      <c r="CE108" s="892"/>
      <c r="CF108" s="75"/>
      <c r="CG108" s="891"/>
      <c r="CH108" s="75"/>
      <c r="CI108" s="75"/>
      <c r="CJ108" s="892"/>
      <c r="CK108" s="75"/>
      <c r="CL108" s="891"/>
      <c r="CM108" s="75"/>
      <c r="CN108" s="75"/>
      <c r="CO108" s="892"/>
      <c r="CP108" s="75"/>
      <c r="CQ108" s="891"/>
      <c r="CR108" s="75"/>
      <c r="CS108" s="75"/>
      <c r="CT108" s="892"/>
      <c r="CU108" s="75"/>
      <c r="CV108" s="891"/>
      <c r="CW108" s="75"/>
      <c r="CX108" s="75"/>
      <c r="CY108" s="892"/>
      <c r="CZ108" s="75"/>
    </row>
    <row r="109" spans="1:104" ht="13.5" customHeight="1">
      <c r="A109" s="745"/>
      <c r="B109" s="746"/>
      <c r="C109" s="747"/>
      <c r="D109" s="746"/>
      <c r="E109" s="1063"/>
      <c r="F109" s="1063"/>
      <c r="G109" s="1063"/>
      <c r="H109" s="1063"/>
      <c r="I109" s="1063"/>
      <c r="J109" s="1064" t="s">
        <v>409</v>
      </c>
      <c r="K109" s="1064"/>
      <c r="L109" s="1064"/>
      <c r="M109" s="1064"/>
      <c r="N109" s="1064"/>
      <c r="O109" s="1064" t="s">
        <v>64</v>
      </c>
      <c r="P109" s="1064"/>
      <c r="Q109" s="1064"/>
      <c r="R109" s="1064"/>
      <c r="S109" s="1064"/>
      <c r="T109" s="1064">
        <v>2004</v>
      </c>
      <c r="U109" s="1064"/>
      <c r="V109" s="1064"/>
      <c r="W109" s="1064"/>
      <c r="X109" s="1064"/>
      <c r="Y109" s="1064">
        <f>Y7</f>
        <v>2005</v>
      </c>
      <c r="Z109" s="1064"/>
      <c r="AA109" s="1064"/>
      <c r="AB109" s="1064"/>
      <c r="AC109" s="1064"/>
      <c r="AD109" s="1064">
        <f>AD7</f>
        <v>2006</v>
      </c>
      <c r="AE109" s="1064"/>
      <c r="AF109" s="1064"/>
      <c r="AG109" s="1064"/>
      <c r="AH109" s="1064"/>
      <c r="AI109" s="1064">
        <f>AI7</f>
        <v>2007</v>
      </c>
      <c r="AJ109" s="1064"/>
      <c r="AK109" s="1064"/>
      <c r="AL109" s="1064"/>
      <c r="AM109" s="1064"/>
      <c r="AN109" s="1064">
        <f>AN7</f>
        <v>2008</v>
      </c>
      <c r="AO109" s="1064"/>
      <c r="AP109" s="1064"/>
      <c r="AQ109" s="1064"/>
      <c r="AR109" s="748"/>
      <c r="AS109" s="1065">
        <f>AS7</f>
        <v>2009</v>
      </c>
      <c r="AT109" s="1063"/>
      <c r="AU109" s="1063"/>
      <c r="AV109" s="1066"/>
      <c r="AW109" s="817"/>
      <c r="AX109" s="1065">
        <f>AX7</f>
        <v>2010</v>
      </c>
      <c r="AY109" s="1063"/>
      <c r="AZ109" s="1063"/>
      <c r="BA109" s="1066"/>
      <c r="BB109" s="817"/>
      <c r="BC109" s="1065">
        <f>BC7</f>
        <v>2011</v>
      </c>
      <c r="BD109" s="1063"/>
      <c r="BE109" s="1063"/>
      <c r="BF109" s="1066"/>
      <c r="BG109" s="817"/>
      <c r="BH109" s="1065">
        <f>BH7</f>
        <v>2012</v>
      </c>
      <c r="BI109" s="1063"/>
      <c r="BJ109" s="1063"/>
      <c r="BK109" s="1066"/>
      <c r="BL109" s="817"/>
      <c r="BM109" s="1065">
        <f>BM7</f>
        <v>2013</v>
      </c>
      <c r="BN109" s="1063"/>
      <c r="BO109" s="1063"/>
      <c r="BP109" s="1066"/>
      <c r="BQ109" s="817"/>
      <c r="BR109" s="1065">
        <f>BR7</f>
        <v>2014</v>
      </c>
      <c r="BS109" s="1063"/>
      <c r="BT109" s="1063"/>
      <c r="BU109" s="1066"/>
      <c r="BV109" s="817"/>
      <c r="BW109" s="1065">
        <f>BW7</f>
        <v>2015</v>
      </c>
      <c r="BX109" s="1063"/>
      <c r="BY109" s="1063"/>
      <c r="BZ109" s="1066"/>
      <c r="CA109" s="817"/>
      <c r="CB109" s="1065">
        <f>CB7</f>
        <v>2016</v>
      </c>
      <c r="CC109" s="1063"/>
      <c r="CD109" s="1063"/>
      <c r="CE109" s="1066"/>
      <c r="CF109" s="817"/>
      <c r="CG109" s="1065">
        <f>CG7</f>
        <v>2017</v>
      </c>
      <c r="CH109" s="1063"/>
      <c r="CI109" s="1063"/>
      <c r="CJ109" s="1066"/>
      <c r="CK109" s="817"/>
      <c r="CL109" s="1065" t="str">
        <f>CL7</f>
        <v>2018E</v>
      </c>
      <c r="CM109" s="1063"/>
      <c r="CN109" s="1063"/>
      <c r="CO109" s="1066"/>
      <c r="CP109" s="817"/>
      <c r="CQ109" s="1065" t="str">
        <f>CQ7</f>
        <v>2019E</v>
      </c>
      <c r="CR109" s="1063"/>
      <c r="CS109" s="1063"/>
      <c r="CT109" s="1066"/>
      <c r="CU109" s="817"/>
      <c r="CV109" s="1065" t="str">
        <f>CV7</f>
        <v>2020E</v>
      </c>
      <c r="CW109" s="1063"/>
      <c r="CX109" s="1063"/>
      <c r="CY109" s="1066"/>
      <c r="CZ109" s="817"/>
    </row>
    <row r="110" spans="1:104" ht="13.5" customHeight="1">
      <c r="A110" s="746" t="s">
        <v>550</v>
      </c>
      <c r="B110" s="746"/>
      <c r="C110" s="745"/>
      <c r="D110" s="746"/>
      <c r="E110" s="744"/>
      <c r="F110" s="744"/>
      <c r="G110" s="744"/>
      <c r="H110" s="744"/>
      <c r="I110" s="744"/>
      <c r="J110" s="802" t="str">
        <f>J8</f>
        <v>1Q</v>
      </c>
      <c r="K110" s="802" t="str">
        <f>K8</f>
        <v>2Q</v>
      </c>
      <c r="L110" s="802" t="str">
        <f>L8</f>
        <v>3Q</v>
      </c>
      <c r="M110" s="802" t="str">
        <f>M8</f>
        <v>4Q</v>
      </c>
      <c r="N110" s="802" t="str">
        <f>J109</f>
        <v>2002A</v>
      </c>
      <c r="O110" s="802" t="str">
        <f>O8</f>
        <v>1Q</v>
      </c>
      <c r="P110" s="802" t="str">
        <f>P8</f>
        <v>2Q</v>
      </c>
      <c r="Q110" s="802" t="str">
        <f>Q8</f>
        <v>3Q</v>
      </c>
      <c r="R110" s="802" t="str">
        <f>R8</f>
        <v>4Q</v>
      </c>
      <c r="S110" s="802" t="str">
        <f>O109</f>
        <v>2003A</v>
      </c>
      <c r="T110" s="802" t="str">
        <f>T8</f>
        <v>1Q</v>
      </c>
      <c r="U110" s="802" t="str">
        <f>U8</f>
        <v>2Q</v>
      </c>
      <c r="V110" s="802" t="str">
        <f>V8</f>
        <v>3Q</v>
      </c>
      <c r="W110" s="802" t="str">
        <f>W8</f>
        <v>4Q</v>
      </c>
      <c r="X110" s="802">
        <f>T109</f>
        <v>2004</v>
      </c>
      <c r="Y110" s="802" t="str">
        <f>Y8</f>
        <v>1Q</v>
      </c>
      <c r="Z110" s="802" t="str">
        <f>Z8</f>
        <v>2Q</v>
      </c>
      <c r="AA110" s="802" t="str">
        <f>AA8</f>
        <v>3Q</v>
      </c>
      <c r="AB110" s="802" t="str">
        <f>AB8</f>
        <v>4Q</v>
      </c>
      <c r="AC110" s="802">
        <f>Y109</f>
        <v>2005</v>
      </c>
      <c r="AD110" s="802" t="str">
        <f>AD8</f>
        <v>1Q</v>
      </c>
      <c r="AE110" s="802" t="str">
        <f>AE8</f>
        <v>2Q</v>
      </c>
      <c r="AF110" s="802" t="str">
        <f>AF8</f>
        <v>3Q</v>
      </c>
      <c r="AG110" s="802" t="str">
        <f>AG8</f>
        <v>4Q</v>
      </c>
      <c r="AH110" s="802">
        <f>AD109</f>
        <v>2006</v>
      </c>
      <c r="AI110" s="802" t="str">
        <f>AI8</f>
        <v>1Q</v>
      </c>
      <c r="AJ110" s="802" t="str">
        <f>AJ8</f>
        <v>2Q</v>
      </c>
      <c r="AK110" s="802" t="str">
        <f>AK8</f>
        <v>3Q</v>
      </c>
      <c r="AL110" s="802" t="str">
        <f>AL8</f>
        <v>4Q</v>
      </c>
      <c r="AM110" s="802">
        <f>AI109</f>
        <v>2007</v>
      </c>
      <c r="AN110" s="802" t="str">
        <f>AN8</f>
        <v>1Q</v>
      </c>
      <c r="AO110" s="802" t="str">
        <f>AO8</f>
        <v>2Q</v>
      </c>
      <c r="AP110" s="802" t="str">
        <f>AP8</f>
        <v>3Q</v>
      </c>
      <c r="AQ110" s="802" t="str">
        <f>AQ8</f>
        <v>4Q</v>
      </c>
      <c r="AR110" s="743">
        <f>AN109</f>
        <v>2008</v>
      </c>
      <c r="AS110" s="845" t="str">
        <f>AS8</f>
        <v>1Q</v>
      </c>
      <c r="AT110" s="744" t="str">
        <f>AT8</f>
        <v>2Q</v>
      </c>
      <c r="AU110" s="744" t="str">
        <f>AU8</f>
        <v>3Q</v>
      </c>
      <c r="AV110" s="846" t="str">
        <f>AV8</f>
        <v>4Q</v>
      </c>
      <c r="AW110" s="743">
        <f>AS109</f>
        <v>2009</v>
      </c>
      <c r="AX110" s="845" t="str">
        <f>AX8</f>
        <v>1Q</v>
      </c>
      <c r="AY110" s="744" t="str">
        <f>AY8</f>
        <v>2Q</v>
      </c>
      <c r="AZ110" s="744" t="str">
        <f>AZ8</f>
        <v>3Q</v>
      </c>
      <c r="BA110" s="846" t="str">
        <f>BA8</f>
        <v>4Q</v>
      </c>
      <c r="BB110" s="743">
        <f>AX109</f>
        <v>2010</v>
      </c>
      <c r="BC110" s="845" t="str">
        <f>BC8</f>
        <v>1Q</v>
      </c>
      <c r="BD110" s="744" t="str">
        <f>BD8</f>
        <v>2Q</v>
      </c>
      <c r="BE110" s="744" t="str">
        <f>BE8</f>
        <v>3Q</v>
      </c>
      <c r="BF110" s="846" t="str">
        <f>BF8</f>
        <v>4Q</v>
      </c>
      <c r="BG110" s="743">
        <f>BC109</f>
        <v>2011</v>
      </c>
      <c r="BH110" s="845" t="str">
        <f>BH8</f>
        <v>1Q</v>
      </c>
      <c r="BI110" s="744" t="str">
        <f>BI8</f>
        <v>2Q</v>
      </c>
      <c r="BJ110" s="744" t="str">
        <f>BJ8</f>
        <v>3Q</v>
      </c>
      <c r="BK110" s="846" t="str">
        <f>BK8</f>
        <v>4Q</v>
      </c>
      <c r="BL110" s="743">
        <f>BH109</f>
        <v>2012</v>
      </c>
      <c r="BM110" s="845" t="str">
        <f>BM8</f>
        <v>1Q</v>
      </c>
      <c r="BN110" s="744" t="str">
        <f>BN8</f>
        <v>2Q</v>
      </c>
      <c r="BO110" s="744" t="str">
        <f>BO8</f>
        <v>3Q</v>
      </c>
      <c r="BP110" s="846" t="str">
        <f>BP8</f>
        <v>4Q</v>
      </c>
      <c r="BQ110" s="743">
        <f>BM109</f>
        <v>2013</v>
      </c>
      <c r="BR110" s="845" t="str">
        <f>BR8</f>
        <v>1Q</v>
      </c>
      <c r="BS110" s="744" t="str">
        <f>BS8</f>
        <v>2Q</v>
      </c>
      <c r="BT110" s="744" t="str">
        <f>BT8</f>
        <v>3Q</v>
      </c>
      <c r="BU110" s="846" t="str">
        <f>BU8</f>
        <v>4Q</v>
      </c>
      <c r="BV110" s="743">
        <f>BR109</f>
        <v>2014</v>
      </c>
      <c r="BW110" s="845" t="str">
        <f>BW8</f>
        <v>1Q</v>
      </c>
      <c r="BX110" s="744" t="str">
        <f>BX8</f>
        <v>2Q</v>
      </c>
      <c r="BY110" s="744" t="str">
        <f>BY8</f>
        <v>3Q</v>
      </c>
      <c r="BZ110" s="846" t="str">
        <f>BZ8</f>
        <v>4Q</v>
      </c>
      <c r="CA110" s="743">
        <f>BW109</f>
        <v>2015</v>
      </c>
      <c r="CB110" s="845" t="str">
        <f>CB8</f>
        <v>1Q</v>
      </c>
      <c r="CC110" s="744" t="str">
        <f>CC8</f>
        <v>2Q</v>
      </c>
      <c r="CD110" s="744" t="str">
        <f>CD8</f>
        <v>3Q</v>
      </c>
      <c r="CE110" s="846" t="str">
        <f>CE8</f>
        <v>4Q</v>
      </c>
      <c r="CF110" s="743">
        <f>CB109</f>
        <v>2016</v>
      </c>
      <c r="CG110" s="845" t="str">
        <f>CG8</f>
        <v>1Q</v>
      </c>
      <c r="CH110" s="744" t="str">
        <f>CH8</f>
        <v>2Q</v>
      </c>
      <c r="CI110" s="744" t="str">
        <f>CI8</f>
        <v>3Q</v>
      </c>
      <c r="CJ110" s="846" t="str">
        <f>CJ8</f>
        <v>4Q</v>
      </c>
      <c r="CK110" s="743">
        <f>CG109</f>
        <v>2017</v>
      </c>
      <c r="CL110" s="845" t="str">
        <f>CL8</f>
        <v>1Q</v>
      </c>
      <c r="CM110" s="744" t="str">
        <f>CM8</f>
        <v>2QE</v>
      </c>
      <c r="CN110" s="744" t="str">
        <f>CN8</f>
        <v>3QE</v>
      </c>
      <c r="CO110" s="846" t="str">
        <f>CO8</f>
        <v>4QE</v>
      </c>
      <c r="CP110" s="743" t="str">
        <f>CL109</f>
        <v>2018E</v>
      </c>
      <c r="CQ110" s="845" t="str">
        <f>CQ8</f>
        <v>1QE</v>
      </c>
      <c r="CR110" s="744" t="str">
        <f>CR8</f>
        <v>2QE</v>
      </c>
      <c r="CS110" s="744" t="str">
        <f>CS8</f>
        <v>3QE</v>
      </c>
      <c r="CT110" s="846" t="str">
        <f>CT8</f>
        <v>4QE</v>
      </c>
      <c r="CU110" s="743" t="str">
        <f>CQ109</f>
        <v>2019E</v>
      </c>
      <c r="CV110" s="845" t="str">
        <f>CV8</f>
        <v>1QE</v>
      </c>
      <c r="CW110" s="744" t="str">
        <f>CW8</f>
        <v>2QE</v>
      </c>
      <c r="CX110" s="744" t="str">
        <f>CX8</f>
        <v>3QE</v>
      </c>
      <c r="CY110" s="846" t="str">
        <f>CY8</f>
        <v>4QE</v>
      </c>
      <c r="CZ110" s="743" t="str">
        <f>CV109</f>
        <v>2020E</v>
      </c>
    </row>
    <row r="111" spans="1:104" ht="6.2" customHeight="1">
      <c r="A111" s="405"/>
      <c r="B111" s="362"/>
      <c r="C111" s="362"/>
      <c r="D111" s="408"/>
      <c r="E111" s="20"/>
      <c r="F111" s="20"/>
      <c r="G111" s="20"/>
      <c r="H111" s="20"/>
      <c r="I111" s="20"/>
      <c r="J111" s="74"/>
      <c r="K111" s="74"/>
      <c r="L111" s="73"/>
      <c r="M111" s="73"/>
      <c r="N111" s="74"/>
      <c r="O111" s="74"/>
      <c r="P111" s="74"/>
      <c r="Q111" s="73"/>
      <c r="R111" s="73"/>
      <c r="S111" s="74"/>
      <c r="T111" s="20"/>
      <c r="U111" s="20"/>
      <c r="V111" s="73"/>
      <c r="W111" s="75"/>
      <c r="X111" s="76"/>
      <c r="Y111" s="20"/>
      <c r="Z111" s="20"/>
      <c r="AA111" s="20"/>
      <c r="AB111" s="20"/>
      <c r="AC111" s="20"/>
      <c r="AD111" s="20"/>
      <c r="AE111" s="20"/>
      <c r="AF111" s="20"/>
      <c r="AG111" s="20"/>
      <c r="AH111" s="20"/>
      <c r="AI111" s="20"/>
      <c r="AJ111" s="20"/>
      <c r="AK111" s="20"/>
      <c r="AL111" s="20"/>
      <c r="AM111" s="20"/>
      <c r="AN111" s="20"/>
      <c r="AO111" s="20"/>
      <c r="AP111" s="20"/>
      <c r="AQ111" s="66"/>
      <c r="AR111" s="66"/>
      <c r="AS111" s="859"/>
      <c r="AT111" s="20"/>
      <c r="AU111" s="20"/>
      <c r="AV111" s="860"/>
      <c r="AW111" s="66"/>
      <c r="AX111" s="859"/>
      <c r="AY111" s="20"/>
      <c r="AZ111" s="20"/>
      <c r="BA111" s="860"/>
      <c r="BB111" s="66"/>
      <c r="BC111" s="859"/>
      <c r="BD111" s="20"/>
      <c r="BE111" s="20"/>
      <c r="BF111" s="954"/>
      <c r="BG111" s="362"/>
      <c r="BH111" s="859"/>
      <c r="BI111" s="20"/>
      <c r="BJ111" s="20"/>
      <c r="BK111" s="860"/>
      <c r="BL111" s="66"/>
      <c r="BM111" s="859"/>
      <c r="BN111" s="20"/>
      <c r="BO111" s="20"/>
      <c r="BP111" s="860"/>
      <c r="BQ111" s="66"/>
      <c r="BR111" s="859"/>
      <c r="BS111" s="20"/>
      <c r="BT111" s="20"/>
      <c r="BU111" s="860"/>
      <c r="BV111" s="66"/>
      <c r="BW111" s="859"/>
      <c r="BX111" s="20"/>
      <c r="BY111" s="20"/>
      <c r="BZ111" s="860"/>
      <c r="CA111" s="66"/>
      <c r="CB111" s="859"/>
      <c r="CC111" s="20"/>
      <c r="CD111" s="495"/>
      <c r="CE111" s="944"/>
      <c r="CF111" s="453"/>
      <c r="CG111" s="981"/>
      <c r="CH111" s="495"/>
      <c r="CI111" s="20"/>
      <c r="CJ111" s="944"/>
      <c r="CK111" s="453"/>
      <c r="CL111" s="859"/>
      <c r="CM111" s="20"/>
      <c r="CN111" s="20"/>
      <c r="CO111" s="860"/>
      <c r="CP111" s="66"/>
      <c r="CQ111" s="859"/>
      <c r="CR111" s="20"/>
      <c r="CS111" s="20"/>
      <c r="CT111" s="860"/>
      <c r="CU111" s="66"/>
      <c r="CV111" s="859"/>
      <c r="CW111" s="20"/>
      <c r="CX111" s="20"/>
      <c r="CY111" s="860"/>
      <c r="CZ111" s="66"/>
    </row>
    <row r="112" spans="1:104" ht="13.5" customHeight="1">
      <c r="A112" s="409" t="s">
        <v>39</v>
      </c>
      <c r="B112" s="362"/>
      <c r="C112" s="362"/>
      <c r="D112" s="408"/>
      <c r="E112" s="20"/>
      <c r="F112" s="20"/>
      <c r="G112" s="20"/>
      <c r="H112" s="20"/>
      <c r="I112" s="20"/>
      <c r="J112" s="74"/>
      <c r="K112" s="74"/>
      <c r="L112" s="73"/>
      <c r="M112" s="73"/>
      <c r="N112" s="74"/>
      <c r="O112" s="74"/>
      <c r="P112" s="74"/>
      <c r="Q112" s="73"/>
      <c r="R112" s="73"/>
      <c r="S112" s="74"/>
      <c r="T112" s="20"/>
      <c r="U112" s="20"/>
      <c r="V112" s="73"/>
      <c r="W112" s="75"/>
      <c r="X112" s="76"/>
      <c r="Y112" s="20"/>
      <c r="Z112" s="20"/>
      <c r="AA112" s="20"/>
      <c r="AB112" s="20"/>
      <c r="AC112" s="20"/>
      <c r="AD112" s="20"/>
      <c r="AE112" s="20"/>
      <c r="AF112" s="20"/>
      <c r="AG112" s="20"/>
      <c r="AH112" s="20"/>
      <c r="AI112" s="93"/>
      <c r="AJ112" s="20"/>
      <c r="AK112" s="20"/>
      <c r="AL112" s="20"/>
      <c r="AM112" s="20"/>
      <c r="AN112" s="20"/>
      <c r="AO112" s="20"/>
      <c r="AP112" s="20"/>
      <c r="AQ112" s="66"/>
      <c r="AR112" s="66"/>
      <c r="AS112" s="859"/>
      <c r="AT112" s="20"/>
      <c r="AU112" s="20"/>
      <c r="AV112" s="860"/>
      <c r="AW112" s="66"/>
      <c r="AX112" s="859"/>
      <c r="AY112" s="20"/>
      <c r="AZ112" s="20"/>
      <c r="BA112" s="860"/>
      <c r="BB112" s="66"/>
      <c r="BC112" s="859"/>
      <c r="BD112" s="20"/>
      <c r="BE112" s="20"/>
      <c r="BF112" s="954"/>
      <c r="BG112" s="362"/>
      <c r="BH112" s="859"/>
      <c r="BI112" s="536"/>
      <c r="BJ112" s="93"/>
      <c r="BK112" s="860"/>
      <c r="BL112" s="66"/>
      <c r="BM112" s="859"/>
      <c r="BN112" s="20"/>
      <c r="BO112" s="20"/>
      <c r="BP112" s="860"/>
      <c r="BQ112" s="66"/>
      <c r="BR112" s="859"/>
      <c r="BS112" s="20"/>
      <c r="BT112" s="20"/>
      <c r="BU112" s="860"/>
      <c r="BV112" s="66"/>
      <c r="BW112" s="859"/>
      <c r="BX112" s="20"/>
      <c r="BY112" s="20"/>
      <c r="BZ112" s="860"/>
      <c r="CA112" s="66"/>
      <c r="CB112" s="859"/>
      <c r="CC112" s="20"/>
      <c r="CD112" s="495"/>
      <c r="CE112" s="944"/>
      <c r="CF112" s="453"/>
      <c r="CG112" s="981"/>
      <c r="CH112" s="495"/>
      <c r="CI112" s="20"/>
      <c r="CJ112" s="944"/>
      <c r="CK112" s="453"/>
      <c r="CL112" s="859"/>
      <c r="CM112" s="20"/>
      <c r="CN112" s="20"/>
      <c r="CO112" s="860"/>
      <c r="CP112" s="66"/>
      <c r="CQ112" s="859"/>
      <c r="CR112" s="20"/>
      <c r="CS112" s="20"/>
      <c r="CT112" s="860"/>
      <c r="CU112" s="66"/>
      <c r="CV112" s="859"/>
      <c r="CW112" s="20"/>
      <c r="CX112" s="20"/>
      <c r="CY112" s="860"/>
      <c r="CZ112" s="66"/>
    </row>
    <row r="113" spans="1:104" ht="13.5" customHeight="1">
      <c r="A113" s="362"/>
      <c r="B113" s="362" t="s">
        <v>334</v>
      </c>
      <c r="C113" s="362"/>
      <c r="D113" s="362"/>
      <c r="E113" s="171"/>
      <c r="F113" s="171"/>
      <c r="G113" s="171"/>
      <c r="H113" s="171"/>
      <c r="I113" s="171"/>
      <c r="J113" s="75">
        <v>456.21691399999997</v>
      </c>
      <c r="K113" s="75">
        <v>537.578352</v>
      </c>
      <c r="L113" s="75">
        <v>523.00744699999996</v>
      </c>
      <c r="M113" s="75">
        <v>219.00486799999999</v>
      </c>
      <c r="N113" s="75">
        <f>M113</f>
        <v>219.00486799999999</v>
      </c>
      <c r="O113" s="75">
        <v>181.71040099999999</v>
      </c>
      <c r="P113" s="75">
        <v>182.27622700000001</v>
      </c>
      <c r="Q113" s="75">
        <v>284.93981300000002</v>
      </c>
      <c r="R113" s="75">
        <f>350.332243</f>
        <v>350.33224300000001</v>
      </c>
      <c r="S113" s="75">
        <f>R113</f>
        <v>350.33224300000001</v>
      </c>
      <c r="T113" s="75">
        <v>397.91399999999999</v>
      </c>
      <c r="U113" s="75">
        <v>502.05</v>
      </c>
      <c r="V113" s="75">
        <v>758.15200000000004</v>
      </c>
      <c r="W113" s="75">
        <v>779.04899999999998</v>
      </c>
      <c r="X113" s="75">
        <f>W113</f>
        <v>779.04899999999998</v>
      </c>
      <c r="Y113" s="75">
        <v>1202.711</v>
      </c>
      <c r="Z113" s="75">
        <v>1060.7550000000001</v>
      </c>
      <c r="AA113" s="75">
        <v>1607.2380000000001</v>
      </c>
      <c r="AB113" s="75">
        <v>980.15</v>
      </c>
      <c r="AC113" s="75">
        <f>AB113</f>
        <v>980.15</v>
      </c>
      <c r="AD113" s="75">
        <v>1127.9780000000001</v>
      </c>
      <c r="AE113" s="75">
        <v>883.32100000000003</v>
      </c>
      <c r="AF113" s="75">
        <v>832.59699999999998</v>
      </c>
      <c r="AG113" s="75">
        <v>785.65099999999995</v>
      </c>
      <c r="AH113" s="75">
        <f>AG113</f>
        <v>785.65099999999995</v>
      </c>
      <c r="AI113" s="92">
        <v>881.60599999999999</v>
      </c>
      <c r="AJ113" s="75">
        <v>624.45600000000002</v>
      </c>
      <c r="AK113" s="75">
        <v>272.25599999999997</v>
      </c>
      <c r="AL113" s="75">
        <v>1393.943</v>
      </c>
      <c r="AM113" s="75">
        <f>AL113</f>
        <v>1393.943</v>
      </c>
      <c r="AN113" s="75">
        <v>733.995</v>
      </c>
      <c r="AO113" s="92">
        <v>2791.88</v>
      </c>
      <c r="AP113" s="75">
        <v>1654.336</v>
      </c>
      <c r="AQ113" s="75">
        <v>2355.13</v>
      </c>
      <c r="AR113" s="75">
        <f>AQ113</f>
        <v>2355.13</v>
      </c>
      <c r="AS113" s="1102">
        <v>1900.079</v>
      </c>
      <c r="AT113" s="523">
        <v>2060.203</v>
      </c>
      <c r="AU113" s="523">
        <v>1957.671</v>
      </c>
      <c r="AV113" s="1103">
        <v>2016.981</v>
      </c>
      <c r="AW113" s="550">
        <f>AV113</f>
        <v>2016.981</v>
      </c>
      <c r="AX113" s="1102">
        <v>1659.5889999999999</v>
      </c>
      <c r="AY113" s="523">
        <v>801.50400000000002</v>
      </c>
      <c r="AZ113" s="523">
        <v>1850.0930000000001</v>
      </c>
      <c r="BA113" s="1103">
        <v>1325.4059999999999</v>
      </c>
      <c r="BB113" s="550">
        <f>BA113</f>
        <v>1325.4059999999999</v>
      </c>
      <c r="BC113" s="1102">
        <v>1152.944</v>
      </c>
      <c r="BD113" s="523">
        <v>1189.5440000000001</v>
      </c>
      <c r="BE113" s="523">
        <v>1101.4369999999999</v>
      </c>
      <c r="BF113" s="1167">
        <v>1200.645</v>
      </c>
      <c r="BG113" s="577">
        <f>BF113</f>
        <v>1200.645</v>
      </c>
      <c r="BH113" s="1102">
        <v>1179.8140000000001</v>
      </c>
      <c r="BI113" s="523">
        <v>1111.989</v>
      </c>
      <c r="BJ113" s="523">
        <v>1693.1969999999999</v>
      </c>
      <c r="BK113" s="1103">
        <v>1052.8620000000001</v>
      </c>
      <c r="BL113" s="550">
        <f>BK113</f>
        <v>1052.8620000000001</v>
      </c>
      <c r="BM113" s="1102">
        <v>902.7</v>
      </c>
      <c r="BN113" s="523">
        <v>630.46699999999998</v>
      </c>
      <c r="BO113" s="523">
        <v>1722.9090000000001</v>
      </c>
      <c r="BP113" s="1103">
        <v>1483.252</v>
      </c>
      <c r="BQ113" s="550">
        <f>BP113</f>
        <v>1483.252</v>
      </c>
      <c r="BR113" s="1102">
        <v>1152.5419999999999</v>
      </c>
      <c r="BS113" s="523">
        <v>1067.5609999999999</v>
      </c>
      <c r="BT113" s="523">
        <v>1295.9449999999999</v>
      </c>
      <c r="BU113" s="1103">
        <v>1024.144</v>
      </c>
      <c r="BV113" s="550">
        <f>BU113</f>
        <v>1024.144</v>
      </c>
      <c r="BW113" s="1102">
        <v>1165.864</v>
      </c>
      <c r="BX113" s="523">
        <v>1576.4960000000001</v>
      </c>
      <c r="BY113" s="523">
        <v>1895.425</v>
      </c>
      <c r="BZ113" s="1103">
        <v>1939.4690000000001</v>
      </c>
      <c r="CA113" s="550">
        <f>BZ113</f>
        <v>1939.4690000000001</v>
      </c>
      <c r="CB113" s="1102">
        <v>2278.4879999999998</v>
      </c>
      <c r="CC113" s="523">
        <v>1781.15</v>
      </c>
      <c r="CD113" s="523">
        <v>1704.7070000000001</v>
      </c>
      <c r="CE113" s="1103">
        <v>2045.961</v>
      </c>
      <c r="CF113" s="550">
        <f>CE113</f>
        <v>2045.961</v>
      </c>
      <c r="CG113" s="1102">
        <v>1657.759</v>
      </c>
      <c r="CH113" s="523">
        <v>1511.3530000000001</v>
      </c>
      <c r="CI113" s="523">
        <v>1575.944</v>
      </c>
      <c r="CJ113" s="1103">
        <v>949.10400000000004</v>
      </c>
      <c r="CK113" s="550">
        <f>CJ113</f>
        <v>949.10400000000004</v>
      </c>
      <c r="CL113" s="1102">
        <v>760.25400000000002</v>
      </c>
      <c r="CM113" s="550">
        <f>CM233</f>
        <v>1092.9114373138527</v>
      </c>
      <c r="CN113" s="550">
        <f>CN233</f>
        <v>1279.8047324682866</v>
      </c>
      <c r="CO113" s="890">
        <f>CO233</f>
        <v>1674.7992526287446</v>
      </c>
      <c r="CP113" s="550">
        <f>CO113</f>
        <v>1674.7992526287446</v>
      </c>
      <c r="CQ113" s="889">
        <f>CQ233</f>
        <v>1634.4942214375219</v>
      </c>
      <c r="CR113" s="550">
        <f>CR233</f>
        <v>2337.625723438453</v>
      </c>
      <c r="CS113" s="550">
        <f>CS233</f>
        <v>2663.1742841432765</v>
      </c>
      <c r="CT113" s="890">
        <f>CT233</f>
        <v>3033.9736067225044</v>
      </c>
      <c r="CU113" s="550">
        <f>CT113</f>
        <v>3033.9736067225044</v>
      </c>
      <c r="CV113" s="889">
        <f>CV233</f>
        <v>3006.5048420487051</v>
      </c>
      <c r="CW113" s="550">
        <f>CW233</f>
        <v>3779.2627900715224</v>
      </c>
      <c r="CX113" s="550">
        <f>CX233</f>
        <v>4156.7814770570603</v>
      </c>
      <c r="CY113" s="890">
        <f>CY233</f>
        <v>4615.6122040272321</v>
      </c>
      <c r="CZ113" s="550">
        <f>CY113</f>
        <v>4615.6122040272321</v>
      </c>
    </row>
    <row r="114" spans="1:104" ht="13.5" customHeight="1">
      <c r="A114" s="362"/>
      <c r="B114" s="362" t="s">
        <v>479</v>
      </c>
      <c r="C114" s="362"/>
      <c r="D114" s="362"/>
      <c r="E114" s="171"/>
      <c r="F114" s="171"/>
      <c r="G114" s="171"/>
      <c r="H114" s="171"/>
      <c r="I114" s="171"/>
      <c r="J114" s="75">
        <v>0</v>
      </c>
      <c r="K114" s="75">
        <v>0</v>
      </c>
      <c r="L114" s="75">
        <v>0</v>
      </c>
      <c r="M114" s="75">
        <v>0</v>
      </c>
      <c r="N114" s="75">
        <f>M114</f>
        <v>0</v>
      </c>
      <c r="O114" s="75"/>
      <c r="P114" s="75"/>
      <c r="Q114" s="75"/>
      <c r="R114" s="75"/>
      <c r="S114" s="75">
        <f>R114</f>
        <v>0</v>
      </c>
      <c r="T114" s="75">
        <v>0</v>
      </c>
      <c r="U114" s="75">
        <v>0</v>
      </c>
      <c r="V114" s="75">
        <v>0</v>
      </c>
      <c r="W114" s="75">
        <v>0</v>
      </c>
      <c r="X114" s="75">
        <f>W114</f>
        <v>0</v>
      </c>
      <c r="Y114" s="75">
        <v>0</v>
      </c>
      <c r="Z114" s="75">
        <v>0</v>
      </c>
      <c r="AA114" s="75">
        <v>0</v>
      </c>
      <c r="AB114" s="75">
        <v>857.36</v>
      </c>
      <c r="AC114" s="75">
        <f>AB114</f>
        <v>857.36</v>
      </c>
      <c r="AD114" s="75">
        <v>1077.0229999999999</v>
      </c>
      <c r="AE114" s="75">
        <v>1270.808</v>
      </c>
      <c r="AF114" s="75">
        <v>1388.9380000000001</v>
      </c>
      <c r="AG114" s="75">
        <v>1410.633</v>
      </c>
      <c r="AH114" s="75">
        <f>AG114</f>
        <v>1410.633</v>
      </c>
      <c r="AI114" s="92">
        <v>487.46499999999997</v>
      </c>
      <c r="AJ114" s="75">
        <v>350.86500000000001</v>
      </c>
      <c r="AK114" s="75">
        <v>0</v>
      </c>
      <c r="AL114" s="75">
        <v>182.45</v>
      </c>
      <c r="AM114" s="75">
        <f>AL114</f>
        <v>182.45</v>
      </c>
      <c r="AN114" s="75">
        <v>0</v>
      </c>
      <c r="AO114" s="92">
        <v>0</v>
      </c>
      <c r="AP114" s="75">
        <v>24.856000000000002</v>
      </c>
      <c r="AQ114" s="75">
        <v>0</v>
      </c>
      <c r="AR114" s="75">
        <f>AQ114</f>
        <v>0</v>
      </c>
      <c r="AS114" s="889">
        <f>AR114-AS217</f>
        <v>0</v>
      </c>
      <c r="AT114" s="523">
        <v>136.38900000000001</v>
      </c>
      <c r="AU114" s="523">
        <v>263.47199999999998</v>
      </c>
      <c r="AV114" s="1103">
        <v>225</v>
      </c>
      <c r="AW114" s="550">
        <f>AV114</f>
        <v>225</v>
      </c>
      <c r="AX114" s="1102">
        <v>340.495</v>
      </c>
      <c r="AY114" s="523">
        <v>340.495</v>
      </c>
      <c r="AZ114" s="523">
        <v>156.495</v>
      </c>
      <c r="BA114" s="1103">
        <v>1153.623</v>
      </c>
      <c r="BB114" s="550">
        <f>BA114</f>
        <v>1153.623</v>
      </c>
      <c r="BC114" s="1102">
        <v>1143.0730000000001</v>
      </c>
      <c r="BD114" s="523">
        <v>1092.684</v>
      </c>
      <c r="BE114" s="523">
        <v>1312.5509999999999</v>
      </c>
      <c r="BF114" s="1167">
        <v>1362.6410000000001</v>
      </c>
      <c r="BG114" s="577">
        <f>BF114</f>
        <v>1362.6410000000001</v>
      </c>
      <c r="BH114" s="1102">
        <v>1198.289</v>
      </c>
      <c r="BI114" s="523">
        <v>569.42100000000005</v>
      </c>
      <c r="BJ114" s="523">
        <v>430.26600000000002</v>
      </c>
      <c r="BK114" s="1103">
        <v>104.167</v>
      </c>
      <c r="BL114" s="550">
        <f>BK114</f>
        <v>104.167</v>
      </c>
      <c r="BM114" s="1102">
        <v>29.503</v>
      </c>
      <c r="BN114" s="523">
        <v>47.655999999999999</v>
      </c>
      <c r="BO114" s="523">
        <v>48.475999999999999</v>
      </c>
      <c r="BP114" s="1103">
        <v>28.190999999999999</v>
      </c>
      <c r="BQ114" s="550">
        <f>BP114</f>
        <v>28.190999999999999</v>
      </c>
      <c r="BR114" s="1102">
        <v>100</v>
      </c>
      <c r="BS114" s="523">
        <v>100</v>
      </c>
      <c r="BT114" s="523">
        <v>100</v>
      </c>
      <c r="BU114" s="1103">
        <v>100</v>
      </c>
      <c r="BV114" s="550">
        <f>BU114</f>
        <v>100</v>
      </c>
      <c r="BW114" s="1102">
        <v>100</v>
      </c>
      <c r="BX114" s="523">
        <v>112.236</v>
      </c>
      <c r="BY114" s="523">
        <v>100</v>
      </c>
      <c r="BZ114" s="1103">
        <v>100</v>
      </c>
      <c r="CA114" s="550">
        <f>BZ114</f>
        <v>100</v>
      </c>
      <c r="CB114" s="1102">
        <v>50</v>
      </c>
      <c r="CC114" s="523">
        <v>550</v>
      </c>
      <c r="CD114" s="523">
        <v>650</v>
      </c>
      <c r="CE114" s="1103">
        <v>150</v>
      </c>
      <c r="CF114" s="550">
        <f>CE114</f>
        <v>150</v>
      </c>
      <c r="CG114" s="1102">
        <v>50</v>
      </c>
      <c r="CH114" s="523">
        <v>50</v>
      </c>
      <c r="CI114" s="523">
        <v>50</v>
      </c>
      <c r="CJ114" s="1103">
        <v>50</v>
      </c>
      <c r="CK114" s="550">
        <f>CJ114</f>
        <v>50</v>
      </c>
      <c r="CL114" s="1102">
        <v>0</v>
      </c>
      <c r="CM114" s="550">
        <f>CL114-CM217</f>
        <v>0</v>
      </c>
      <c r="CN114" s="550">
        <f>CM114-CN217</f>
        <v>0</v>
      </c>
      <c r="CO114" s="890">
        <f>CN114-CO217</f>
        <v>0</v>
      </c>
      <c r="CP114" s="550">
        <f>CO114</f>
        <v>0</v>
      </c>
      <c r="CQ114" s="889">
        <f>CP114-CQ217</f>
        <v>0</v>
      </c>
      <c r="CR114" s="550">
        <f>CQ114-CR217</f>
        <v>0</v>
      </c>
      <c r="CS114" s="550">
        <f>CR114-CS217</f>
        <v>0</v>
      </c>
      <c r="CT114" s="890">
        <f>CS114-CT217</f>
        <v>0</v>
      </c>
      <c r="CU114" s="550">
        <f>CT114</f>
        <v>0</v>
      </c>
      <c r="CV114" s="889">
        <f>CU114-CV217</f>
        <v>0</v>
      </c>
      <c r="CW114" s="550">
        <f>CV114-CW217</f>
        <v>0</v>
      </c>
      <c r="CX114" s="550">
        <f>CW114-CX217</f>
        <v>0</v>
      </c>
      <c r="CY114" s="890">
        <f>CX114-CY217</f>
        <v>0</v>
      </c>
      <c r="CZ114" s="550">
        <f>CY114</f>
        <v>0</v>
      </c>
    </row>
    <row r="115" spans="1:104" ht="13.5" customHeight="1">
      <c r="A115" s="362"/>
      <c r="B115" s="410" t="s">
        <v>0</v>
      </c>
      <c r="C115" s="362"/>
      <c r="D115" s="362"/>
      <c r="E115" s="171"/>
      <c r="F115" s="171"/>
      <c r="G115" s="171"/>
      <c r="H115" s="171"/>
      <c r="I115" s="171"/>
      <c r="J115" s="75">
        <v>360.46646800000002</v>
      </c>
      <c r="K115" s="75">
        <v>382.41615400000001</v>
      </c>
      <c r="L115" s="75">
        <v>425.34675299999998</v>
      </c>
      <c r="M115" s="75">
        <v>483.60797200000002</v>
      </c>
      <c r="N115" s="75">
        <f>M115</f>
        <v>483.60797200000002</v>
      </c>
      <c r="O115" s="75">
        <v>483.462648</v>
      </c>
      <c r="P115" s="75">
        <v>527.28683599999999</v>
      </c>
      <c r="Q115" s="75">
        <v>546.54633999999999</v>
      </c>
      <c r="R115" s="75">
        <v>572.47923700000001</v>
      </c>
      <c r="S115" s="75">
        <f>R115</f>
        <v>572.47923700000001</v>
      </c>
      <c r="T115" s="75">
        <v>762.56700000000001</v>
      </c>
      <c r="U115" s="75">
        <f>900.915</f>
        <v>900.91499999999996</v>
      </c>
      <c r="V115" s="75">
        <v>1048.2380000000001</v>
      </c>
      <c r="W115" s="75">
        <v>962.755</v>
      </c>
      <c r="X115" s="75">
        <f>W115</f>
        <v>962.755</v>
      </c>
      <c r="Y115" s="75">
        <v>1021.43</v>
      </c>
      <c r="Z115" s="75">
        <v>933.66700000000003</v>
      </c>
      <c r="AA115" s="75">
        <v>1017.9</v>
      </c>
      <c r="AB115" s="75">
        <v>1000.629</v>
      </c>
      <c r="AC115" s="75">
        <f>AB115</f>
        <v>1000.629</v>
      </c>
      <c r="AD115" s="75">
        <v>1068.752</v>
      </c>
      <c r="AE115" s="75">
        <v>1224.3900000000001</v>
      </c>
      <c r="AF115" s="75">
        <v>1230.8989999999999</v>
      </c>
      <c r="AG115" s="75">
        <v>1067.3219999999999</v>
      </c>
      <c r="AH115" s="75">
        <f>AG115</f>
        <v>1067.3219999999999</v>
      </c>
      <c r="AI115" s="92">
        <v>1432.123</v>
      </c>
      <c r="AJ115" s="75">
        <v>1528.597</v>
      </c>
      <c r="AK115" s="75">
        <v>1629.682</v>
      </c>
      <c r="AL115" s="75">
        <v>1611.8440000000001</v>
      </c>
      <c r="AM115" s="75">
        <f>AL115</f>
        <v>1611.8440000000001</v>
      </c>
      <c r="AN115" s="75">
        <v>1965.002</v>
      </c>
      <c r="AO115" s="92">
        <v>2611.59</v>
      </c>
      <c r="AP115" s="75">
        <v>2553.1280000000002</v>
      </c>
      <c r="AQ115" s="75">
        <v>1228.807</v>
      </c>
      <c r="AR115" s="75">
        <f>AQ115</f>
        <v>1228.807</v>
      </c>
      <c r="AS115" s="1102">
        <v>933.76300000000003</v>
      </c>
      <c r="AT115" s="523">
        <v>960.226</v>
      </c>
      <c r="AU115" s="523">
        <v>1156.51</v>
      </c>
      <c r="AV115" s="1103">
        <v>1116.0350000000001</v>
      </c>
      <c r="AW115" s="550">
        <f>AV115</f>
        <v>1116.0350000000001</v>
      </c>
      <c r="AX115" s="1102">
        <v>1302.316</v>
      </c>
      <c r="AY115" s="523">
        <v>1420.731</v>
      </c>
      <c r="AZ115" s="523">
        <v>1468.6759999999999</v>
      </c>
      <c r="BA115" s="1103">
        <v>1439.828</v>
      </c>
      <c r="BB115" s="550">
        <f>BA115</f>
        <v>1439.828</v>
      </c>
      <c r="BC115" s="1102">
        <v>1704.789</v>
      </c>
      <c r="BD115" s="523">
        <v>1837.175</v>
      </c>
      <c r="BE115" s="523">
        <v>1838.126</v>
      </c>
      <c r="BF115" s="1167">
        <v>1710.7729999999999</v>
      </c>
      <c r="BG115" s="577">
        <f>BF115</f>
        <v>1710.7729999999999</v>
      </c>
      <c r="BH115" s="1102">
        <v>1791.6949999999999</v>
      </c>
      <c r="BI115" s="523">
        <v>1919.4649999999999</v>
      </c>
      <c r="BJ115" s="523">
        <v>1799.3050000000001</v>
      </c>
      <c r="BK115" s="1103">
        <v>1707.317</v>
      </c>
      <c r="BL115" s="550">
        <f>BK115</f>
        <v>1707.317</v>
      </c>
      <c r="BM115" s="1102">
        <v>1791.3209999999999</v>
      </c>
      <c r="BN115" s="523">
        <v>1767.1769999999999</v>
      </c>
      <c r="BO115" s="523">
        <v>1918.165</v>
      </c>
      <c r="BP115" s="1103">
        <v>1810.9870000000001</v>
      </c>
      <c r="BQ115" s="550">
        <f>BP115</f>
        <v>1810.9870000000001</v>
      </c>
      <c r="BR115" s="1102">
        <v>1900.2929999999999</v>
      </c>
      <c r="BS115" s="523">
        <v>2071.4389999999999</v>
      </c>
      <c r="BT115" s="523">
        <v>2243.9079999999999</v>
      </c>
      <c r="BU115" s="1103">
        <v>2068.2979999999998</v>
      </c>
      <c r="BV115" s="550">
        <f>BU115</f>
        <v>2068.2979999999998</v>
      </c>
      <c r="BW115" s="1102">
        <v>1711.1010000000001</v>
      </c>
      <c r="BX115" s="523">
        <v>1791.5229999999999</v>
      </c>
      <c r="BY115" s="523">
        <v>1716.356</v>
      </c>
      <c r="BZ115" s="1103">
        <v>1383.8230000000001</v>
      </c>
      <c r="CA115" s="550">
        <f>BZ115</f>
        <v>1383.8230000000001</v>
      </c>
      <c r="CB115" s="1102">
        <v>1493.8920000000001</v>
      </c>
      <c r="CC115" s="523">
        <v>1789.942</v>
      </c>
      <c r="CD115" s="523">
        <v>1850.4549999999999</v>
      </c>
      <c r="CE115" s="1103">
        <v>1631.6759999999999</v>
      </c>
      <c r="CF115" s="550">
        <f>CE115</f>
        <v>1631.6759999999999</v>
      </c>
      <c r="CG115" s="1102">
        <v>1980.556</v>
      </c>
      <c r="CH115" s="523">
        <v>2081.15</v>
      </c>
      <c r="CI115" s="523">
        <v>2113.89</v>
      </c>
      <c r="CJ115" s="1103">
        <v>2028.5450000000001</v>
      </c>
      <c r="CK115" s="550">
        <f>CJ115</f>
        <v>2028.5450000000001</v>
      </c>
      <c r="CL115" s="1102">
        <v>2371.7579999999998</v>
      </c>
      <c r="CM115" s="550">
        <f>(CM243)/(365/(CM15*4))</f>
        <v>2653.4975526376629</v>
      </c>
      <c r="CN115" s="550">
        <f>(CN243)/(365/(CN15*4))</f>
        <v>2754.8051682351675</v>
      </c>
      <c r="CO115" s="890">
        <f>(CO243)/(365/(CO15*4))</f>
        <v>2621.1479754608167</v>
      </c>
      <c r="CP115" s="550">
        <f>CO115</f>
        <v>2621.1479754608167</v>
      </c>
      <c r="CQ115" s="889">
        <f>(CQ243)/(365/(CQ15*4))</f>
        <v>2952.8253577435376</v>
      </c>
      <c r="CR115" s="550">
        <f>(CR243)/(365/(CR15*4))</f>
        <v>2752.5240487652413</v>
      </c>
      <c r="CS115" s="550">
        <f>(CS243)/(365/(CS15*4))</f>
        <v>2738.933767651185</v>
      </c>
      <c r="CT115" s="890">
        <f>(CT243)/(365/(CT15*4))</f>
        <v>2558.1727633532587</v>
      </c>
      <c r="CU115" s="550">
        <f>CT115</f>
        <v>2558.1727633532587</v>
      </c>
      <c r="CV115" s="889">
        <f>(CV243)/(365/(CV15*4))</f>
        <v>2877.5403772473069</v>
      </c>
      <c r="CW115" s="550">
        <f>(CW243)/(365/(CW15*4))</f>
        <v>2673.6588056491119</v>
      </c>
      <c r="CX115" s="550">
        <f>(CX243)/(365/(CX15*4))</f>
        <v>2660.4628147566591</v>
      </c>
      <c r="CY115" s="890">
        <f>(CY243)/(365/(CY15*4))</f>
        <v>2532.9327007324723</v>
      </c>
      <c r="CZ115" s="550">
        <f>CY115</f>
        <v>2532.9327007324723</v>
      </c>
    </row>
    <row r="116" spans="1:104" ht="13.5" customHeight="1">
      <c r="A116" s="362"/>
      <c r="B116" s="410" t="s">
        <v>1</v>
      </c>
      <c r="C116" s="362"/>
      <c r="D116" s="362"/>
      <c r="E116" s="171"/>
      <c r="F116" s="171"/>
      <c r="G116" s="171"/>
      <c r="H116" s="171"/>
      <c r="I116" s="171"/>
      <c r="J116" s="75">
        <v>469.95237900000001</v>
      </c>
      <c r="K116" s="75">
        <v>523.35461799999996</v>
      </c>
      <c r="L116" s="75">
        <v>536.23663299999998</v>
      </c>
      <c r="M116" s="75">
        <v>588.98954800000001</v>
      </c>
      <c r="N116" s="75">
        <f>M116</f>
        <v>588.98954800000001</v>
      </c>
      <c r="O116" s="75">
        <v>624.714969</v>
      </c>
      <c r="P116" s="75">
        <v>582.82840799999997</v>
      </c>
      <c r="Q116" s="75">
        <v>581.53773999999999</v>
      </c>
      <c r="R116" s="75">
        <v>560.39552700000002</v>
      </c>
      <c r="S116" s="75">
        <f>R116</f>
        <v>560.39552700000002</v>
      </c>
      <c r="T116" s="75">
        <v>641.51599999999996</v>
      </c>
      <c r="U116" s="75">
        <v>730.34900000000005</v>
      </c>
      <c r="V116" s="75">
        <v>950.59400000000005</v>
      </c>
      <c r="W116" s="75">
        <v>1239.8879999999999</v>
      </c>
      <c r="X116" s="75">
        <f>W116</f>
        <v>1239.8879999999999</v>
      </c>
      <c r="Y116" s="75">
        <v>1192.6859999999999</v>
      </c>
      <c r="Z116" s="75">
        <v>1149.454</v>
      </c>
      <c r="AA116" s="75">
        <v>951.14300000000003</v>
      </c>
      <c r="AB116" s="75">
        <v>945.05399999999997</v>
      </c>
      <c r="AC116" s="75">
        <f>AB116</f>
        <v>945.05399999999997</v>
      </c>
      <c r="AD116" s="75">
        <v>941.22299999999996</v>
      </c>
      <c r="AE116" s="75">
        <v>1050.4849999999999</v>
      </c>
      <c r="AF116" s="75">
        <v>1154.2429999999999</v>
      </c>
      <c r="AG116" s="75">
        <v>1141.194</v>
      </c>
      <c r="AH116" s="75">
        <f>AG116</f>
        <v>1141.194</v>
      </c>
      <c r="AI116" s="92">
        <v>1408.2850000000001</v>
      </c>
      <c r="AJ116" s="75">
        <v>1565.15</v>
      </c>
      <c r="AK116" s="75">
        <v>1604.58</v>
      </c>
      <c r="AL116" s="75">
        <v>1601.6</v>
      </c>
      <c r="AM116" s="75">
        <f>AL116</f>
        <v>1601.6</v>
      </c>
      <c r="AN116" s="75">
        <v>1877.3710000000001</v>
      </c>
      <c r="AO116" s="92">
        <v>2498.018</v>
      </c>
      <c r="AP116" s="75">
        <v>3145.7060000000001</v>
      </c>
      <c r="AQ116" s="75">
        <v>2408.1570000000002</v>
      </c>
      <c r="AR116" s="75">
        <f>AQ116</f>
        <v>2408.1570000000002</v>
      </c>
      <c r="AS116" s="1102">
        <v>1883.9559999999999</v>
      </c>
      <c r="AT116" s="523">
        <v>1268.2</v>
      </c>
      <c r="AU116" s="523">
        <v>1310.114</v>
      </c>
      <c r="AV116" s="1103">
        <v>1312.903</v>
      </c>
      <c r="AW116" s="550">
        <f>AV116</f>
        <v>1312.903</v>
      </c>
      <c r="AX116" s="1102">
        <v>1624.971</v>
      </c>
      <c r="AY116" s="523">
        <v>1951.732</v>
      </c>
      <c r="AZ116" s="523">
        <v>1649.605</v>
      </c>
      <c r="BA116" s="1103">
        <v>1557.5740000000001</v>
      </c>
      <c r="BB116" s="550">
        <f>BA116</f>
        <v>1557.5740000000001</v>
      </c>
      <c r="BC116" s="1102">
        <v>1959.17</v>
      </c>
      <c r="BD116" s="523">
        <v>2222.1669999999999</v>
      </c>
      <c r="BE116" s="523">
        <v>2188.828</v>
      </c>
      <c r="BF116" s="1167">
        <v>1987.2570000000001</v>
      </c>
      <c r="BG116" s="577">
        <f>BF116</f>
        <v>1987.2570000000001</v>
      </c>
      <c r="BH116" s="1102">
        <v>2258.645</v>
      </c>
      <c r="BI116" s="523">
        <v>2406.1219999999998</v>
      </c>
      <c r="BJ116" s="523">
        <v>2217.3739999999998</v>
      </c>
      <c r="BK116" s="1103">
        <v>2323.6410000000001</v>
      </c>
      <c r="BL116" s="550">
        <f>BK116</f>
        <v>2323.6410000000001</v>
      </c>
      <c r="BM116" s="1102">
        <v>2381.6480000000001</v>
      </c>
      <c r="BN116" s="523">
        <v>2279.7440000000001</v>
      </c>
      <c r="BO116" s="523">
        <v>2439.8470000000002</v>
      </c>
      <c r="BP116" s="1103">
        <v>2605.6089999999999</v>
      </c>
      <c r="BQ116" s="550">
        <f>BP116</f>
        <v>2605.6089999999999</v>
      </c>
      <c r="BR116" s="1102">
        <v>2724.194</v>
      </c>
      <c r="BS116" s="523">
        <v>2738.6579999999999</v>
      </c>
      <c r="BT116" s="523">
        <v>2683.2350000000001</v>
      </c>
      <c r="BU116" s="1103">
        <v>2745.0320000000002</v>
      </c>
      <c r="BV116" s="550">
        <f>BU116</f>
        <v>2745.0320000000002</v>
      </c>
      <c r="BW116" s="1102">
        <v>2405.9160000000002</v>
      </c>
      <c r="BX116" s="523">
        <v>2267.3939999999998</v>
      </c>
      <c r="BY116" s="523">
        <v>2361.0709999999999</v>
      </c>
      <c r="BZ116" s="1103">
        <v>2145.444</v>
      </c>
      <c r="CA116" s="550">
        <f>BZ116</f>
        <v>2145.444</v>
      </c>
      <c r="CB116" s="1102">
        <v>2007.8789999999999</v>
      </c>
      <c r="CC116" s="523">
        <v>2288.134</v>
      </c>
      <c r="CD116" s="523">
        <v>2338.4319999999998</v>
      </c>
      <c r="CE116" s="1103">
        <v>2479.9580000000001</v>
      </c>
      <c r="CF116" s="550">
        <f>CE116</f>
        <v>2479.9580000000001</v>
      </c>
      <c r="CG116" s="1102">
        <v>3064.17</v>
      </c>
      <c r="CH116" s="523">
        <v>3326.5630000000001</v>
      </c>
      <c r="CI116" s="523">
        <v>3522.1990000000001</v>
      </c>
      <c r="CJ116" s="1103">
        <v>3461.6860000000001</v>
      </c>
      <c r="CK116" s="550">
        <f>CJ116</f>
        <v>3461.6860000000001</v>
      </c>
      <c r="CL116" s="1102">
        <v>3708.5030000000002</v>
      </c>
      <c r="CM116" s="550">
        <f>(CM23*4)/CM244</f>
        <v>4212.7248850783526</v>
      </c>
      <c r="CN116" s="550">
        <f>(CN23*4)/CN244</f>
        <v>4411.4133556023908</v>
      </c>
      <c r="CO116" s="890">
        <f>(CO23*4)/CO244</f>
        <v>4302.2041247208972</v>
      </c>
      <c r="CP116" s="550">
        <f>CO116</f>
        <v>4302.2041247208972</v>
      </c>
      <c r="CQ116" s="889">
        <f>(CQ23*4)/CQ244</f>
        <v>4585.4535800577505</v>
      </c>
      <c r="CR116" s="550">
        <f>(CR23*4)/CR244</f>
        <v>4414.2019092294477</v>
      </c>
      <c r="CS116" s="550">
        <f>(CS23*4)/CS244</f>
        <v>4478.1635148892319</v>
      </c>
      <c r="CT116" s="890">
        <f>(CT23*4)/CT244</f>
        <v>4321.1195289244952</v>
      </c>
      <c r="CU116" s="550">
        <f>CT116</f>
        <v>4321.1195289244952</v>
      </c>
      <c r="CV116" s="889">
        <f>(CV23*4)/CV244</f>
        <v>4554.8396950165088</v>
      </c>
      <c r="CW116" s="550">
        <f>(CW23*4)/CW244</f>
        <v>4316.3046438935671</v>
      </c>
      <c r="CX116" s="550">
        <f>(CX23*4)/CX244</f>
        <v>4362.6675433733126</v>
      </c>
      <c r="CY116" s="890">
        <f>(CY23*4)/CY244</f>
        <v>4207.1482756511641</v>
      </c>
      <c r="CZ116" s="550">
        <f>CY116</f>
        <v>4207.1482756511641</v>
      </c>
    </row>
    <row r="117" spans="1:104" ht="13.5" customHeight="1">
      <c r="A117" s="362"/>
      <c r="B117" s="362" t="s">
        <v>2</v>
      </c>
      <c r="C117" s="362"/>
      <c r="D117" s="362"/>
      <c r="E117" s="171"/>
      <c r="F117" s="171"/>
      <c r="G117" s="171"/>
      <c r="H117" s="171"/>
      <c r="I117" s="171"/>
      <c r="J117" s="78">
        <v>108.79413</v>
      </c>
      <c r="K117" s="78">
        <v>117.14163499999999</v>
      </c>
      <c r="L117" s="78">
        <v>125.909139</v>
      </c>
      <c r="M117" s="78">
        <v>123.75926</v>
      </c>
      <c r="N117" s="78">
        <f>M117</f>
        <v>123.75926</v>
      </c>
      <c r="O117" s="78">
        <v>136.07312899999999</v>
      </c>
      <c r="P117" s="78">
        <v>134.80870899999999</v>
      </c>
      <c r="Q117" s="78">
        <v>132.640546</v>
      </c>
      <c r="R117" s="78">
        <v>137.352901</v>
      </c>
      <c r="S117" s="78">
        <f>R117</f>
        <v>137.352901</v>
      </c>
      <c r="T117" s="78">
        <v>146.34399999999999</v>
      </c>
      <c r="U117" s="78">
        <v>145.40700000000001</v>
      </c>
      <c r="V117" s="78">
        <v>178.02699999999999</v>
      </c>
      <c r="W117" s="78">
        <v>193.256</v>
      </c>
      <c r="X117" s="78">
        <f>W117</f>
        <v>193.256</v>
      </c>
      <c r="Y117" s="78">
        <v>194.51400000000001</v>
      </c>
      <c r="Z117" s="78">
        <v>231.10599999999999</v>
      </c>
      <c r="AA117" s="78">
        <f>228.729</f>
        <v>228.72900000000001</v>
      </c>
      <c r="AB117" s="78">
        <v>288.36</v>
      </c>
      <c r="AC117" s="78">
        <f>AB117</f>
        <v>288.36</v>
      </c>
      <c r="AD117" s="78">
        <v>247.13900000000001</v>
      </c>
      <c r="AE117" s="78">
        <v>268.45100000000002</v>
      </c>
      <c r="AF117" s="78">
        <v>225.34299999999999</v>
      </c>
      <c r="AG117" s="78">
        <v>270.23599999999999</v>
      </c>
      <c r="AH117" s="78">
        <f>AG117</f>
        <v>270.23599999999999</v>
      </c>
      <c r="AI117" s="172">
        <v>218.95400000000001</v>
      </c>
      <c r="AJ117" s="78">
        <v>326.77800000000002</v>
      </c>
      <c r="AK117" s="78">
        <v>256.90499999999997</v>
      </c>
      <c r="AL117" s="78">
        <v>283.41199999999998</v>
      </c>
      <c r="AM117" s="78">
        <f>AL117</f>
        <v>283.41199999999998</v>
      </c>
      <c r="AN117" s="78">
        <v>298.274</v>
      </c>
      <c r="AO117" s="172">
        <v>282.26900000000001</v>
      </c>
      <c r="AP117" s="78">
        <v>254.95400000000001</v>
      </c>
      <c r="AQ117" s="78">
        <v>405.392</v>
      </c>
      <c r="AR117" s="78">
        <f>AQ117</f>
        <v>405.392</v>
      </c>
      <c r="AS117" s="1120">
        <v>472.04599999999999</v>
      </c>
      <c r="AT117" s="531">
        <v>502.81</v>
      </c>
      <c r="AU117" s="531">
        <v>514.78499999999997</v>
      </c>
      <c r="AV117" s="1121">
        <v>511.32900000000001</v>
      </c>
      <c r="AW117" s="585">
        <f>AV117</f>
        <v>511.32900000000001</v>
      </c>
      <c r="AX117" s="1120">
        <v>534.41499999999996</v>
      </c>
      <c r="AY117" s="531">
        <v>672.471</v>
      </c>
      <c r="AZ117" s="531">
        <v>636.24400000000003</v>
      </c>
      <c r="BA117" s="1121">
        <v>384.74400000000003</v>
      </c>
      <c r="BB117" s="585">
        <f>BA117</f>
        <v>384.74400000000003</v>
      </c>
      <c r="BC117" s="1120">
        <v>335.63400000000001</v>
      </c>
      <c r="BD117" s="531">
        <v>374.92500000000001</v>
      </c>
      <c r="BE117" s="531">
        <v>452.95400000000001</v>
      </c>
      <c r="BF117" s="1176">
        <v>446.76499999999999</v>
      </c>
      <c r="BG117" s="586">
        <f>BF117</f>
        <v>446.76499999999999</v>
      </c>
      <c r="BH117" s="1120">
        <v>431.04199999999997</v>
      </c>
      <c r="BI117" s="531">
        <v>479.34699999999998</v>
      </c>
      <c r="BJ117" s="531">
        <v>481.93099999999998</v>
      </c>
      <c r="BK117" s="1121">
        <v>409.17700000000002</v>
      </c>
      <c r="BL117" s="585">
        <f>BK117</f>
        <v>409.17700000000002</v>
      </c>
      <c r="BM117" s="1120">
        <v>441.56900000000002</v>
      </c>
      <c r="BN117" s="531">
        <v>458.11900000000003</v>
      </c>
      <c r="BO117" s="531">
        <v>339.48</v>
      </c>
      <c r="BP117" s="1121">
        <v>482.00700000000001</v>
      </c>
      <c r="BQ117" s="585">
        <f>BP117</f>
        <v>482.00700000000001</v>
      </c>
      <c r="BR117" s="1120">
        <v>432.84399999999999</v>
      </c>
      <c r="BS117" s="531">
        <v>517.13199999999995</v>
      </c>
      <c r="BT117" s="531">
        <v>473.15600000000001</v>
      </c>
      <c r="BU117" s="1121">
        <v>504.41399999999999</v>
      </c>
      <c r="BV117" s="585">
        <f>BU117</f>
        <v>504.41399999999999</v>
      </c>
      <c r="BW117" s="1120">
        <v>480.108</v>
      </c>
      <c r="BX117" s="531">
        <v>407.08800000000002</v>
      </c>
      <c r="BY117" s="531">
        <v>392.87900000000002</v>
      </c>
      <c r="BZ117" s="1121">
        <v>185.64400000000001</v>
      </c>
      <c r="CA117" s="585">
        <f>BZ117</f>
        <v>185.64400000000001</v>
      </c>
      <c r="CB117" s="1120">
        <v>175.89</v>
      </c>
      <c r="CC117" s="531">
        <v>129.27199999999999</v>
      </c>
      <c r="CD117" s="531">
        <v>156.828</v>
      </c>
      <c r="CE117" s="1121">
        <v>198.798</v>
      </c>
      <c r="CF117" s="585">
        <f>CE117</f>
        <v>198.798</v>
      </c>
      <c r="CG117" s="1120">
        <v>125.708</v>
      </c>
      <c r="CH117" s="531">
        <v>213.626</v>
      </c>
      <c r="CI117" s="531">
        <v>238.614</v>
      </c>
      <c r="CJ117" s="1121">
        <v>335.08499999999998</v>
      </c>
      <c r="CK117" s="585">
        <f>CJ117</f>
        <v>335.08499999999998</v>
      </c>
      <c r="CL117" s="1120">
        <v>238.70099999999999</v>
      </c>
      <c r="CM117" s="585">
        <f>CL117-CM195</f>
        <v>238.70099999999999</v>
      </c>
      <c r="CN117" s="585">
        <f>CM117-CN195</f>
        <v>238.70099999999999</v>
      </c>
      <c r="CO117" s="1215">
        <f>CN117-CO195</f>
        <v>238.70099999999999</v>
      </c>
      <c r="CP117" s="585">
        <f>CO117</f>
        <v>238.70099999999999</v>
      </c>
      <c r="CQ117" s="1220">
        <f>CP117-CQ195</f>
        <v>238.70099999999999</v>
      </c>
      <c r="CR117" s="585">
        <f>CQ117-CR195</f>
        <v>238.70099999999999</v>
      </c>
      <c r="CS117" s="585">
        <f>CR117-CS195</f>
        <v>238.70099999999999</v>
      </c>
      <c r="CT117" s="1215">
        <f>CS117-CT195</f>
        <v>238.70099999999999</v>
      </c>
      <c r="CU117" s="585">
        <f>CT117</f>
        <v>238.70099999999999</v>
      </c>
      <c r="CV117" s="1220">
        <f>CU117-CV195</f>
        <v>238.70099999999999</v>
      </c>
      <c r="CW117" s="585">
        <f>CV117-CW195</f>
        <v>238.70099999999999</v>
      </c>
      <c r="CX117" s="585">
        <f>CW117-CX195</f>
        <v>238.70099999999999</v>
      </c>
      <c r="CY117" s="1215">
        <f>CX117-CY195</f>
        <v>238.70099999999999</v>
      </c>
      <c r="CZ117" s="585">
        <f>CY117</f>
        <v>238.70099999999999</v>
      </c>
    </row>
    <row r="118" spans="1:104" ht="6.2" customHeight="1">
      <c r="A118" s="362"/>
      <c r="B118" s="362"/>
      <c r="C118" s="362"/>
      <c r="D118" s="362"/>
      <c r="E118" s="173"/>
      <c r="F118" s="173"/>
      <c r="G118" s="173"/>
      <c r="H118" s="173"/>
      <c r="I118" s="173"/>
      <c r="J118" s="75"/>
      <c r="K118" s="75"/>
      <c r="L118" s="75"/>
      <c r="M118" s="75"/>
      <c r="N118" s="75"/>
      <c r="O118" s="75"/>
      <c r="P118" s="75"/>
      <c r="Q118" s="75"/>
      <c r="R118" s="75"/>
      <c r="S118" s="75"/>
      <c r="T118" s="75"/>
      <c r="U118" s="75"/>
      <c r="V118" s="75"/>
      <c r="W118" s="75"/>
      <c r="X118" s="75"/>
      <c r="Y118" s="75"/>
      <c r="Z118" s="75"/>
      <c r="AA118" s="75"/>
      <c r="AB118" s="75"/>
      <c r="AC118" s="75"/>
      <c r="AD118" s="75"/>
      <c r="AE118" s="75"/>
      <c r="AF118" s="75"/>
      <c r="AG118" s="75"/>
      <c r="AH118" s="75"/>
      <c r="AI118" s="92"/>
      <c r="AJ118" s="75"/>
      <c r="AK118" s="75"/>
      <c r="AL118" s="75"/>
      <c r="AM118" s="75"/>
      <c r="AN118" s="75"/>
      <c r="AO118" s="92"/>
      <c r="AP118" s="75"/>
      <c r="AQ118" s="75"/>
      <c r="AR118" s="75"/>
      <c r="AS118" s="891"/>
      <c r="AT118" s="92"/>
      <c r="AU118" s="75"/>
      <c r="AV118" s="892"/>
      <c r="AW118" s="75"/>
      <c r="AX118" s="891"/>
      <c r="AY118" s="75"/>
      <c r="AZ118" s="75"/>
      <c r="BA118" s="892"/>
      <c r="BB118" s="75"/>
      <c r="BC118" s="891"/>
      <c r="BD118" s="75"/>
      <c r="BE118" s="75"/>
      <c r="BF118" s="1155"/>
      <c r="BG118" s="379"/>
      <c r="BH118" s="891"/>
      <c r="BI118" s="75"/>
      <c r="BJ118" s="75"/>
      <c r="BK118" s="892"/>
      <c r="BL118" s="75"/>
      <c r="BM118" s="891"/>
      <c r="BN118" s="75"/>
      <c r="BO118" s="75"/>
      <c r="BP118" s="892"/>
      <c r="BQ118" s="75"/>
      <c r="BR118" s="891"/>
      <c r="BS118" s="75"/>
      <c r="BT118" s="75"/>
      <c r="BU118" s="892"/>
      <c r="BV118" s="75"/>
      <c r="BW118" s="891"/>
      <c r="BX118" s="75"/>
      <c r="BY118" s="75"/>
      <c r="BZ118" s="892"/>
      <c r="CA118" s="75"/>
      <c r="CB118" s="891"/>
      <c r="CC118" s="75"/>
      <c r="CD118" s="75"/>
      <c r="CE118" s="892"/>
      <c r="CF118" s="75"/>
      <c r="CG118" s="891"/>
      <c r="CH118" s="75"/>
      <c r="CI118" s="75"/>
      <c r="CJ118" s="892"/>
      <c r="CK118" s="75"/>
      <c r="CL118" s="891"/>
      <c r="CM118" s="75"/>
      <c r="CN118" s="75"/>
      <c r="CO118" s="892"/>
      <c r="CP118" s="75"/>
      <c r="CQ118" s="891"/>
      <c r="CR118" s="75"/>
      <c r="CS118" s="75"/>
      <c r="CT118" s="892"/>
      <c r="CU118" s="75"/>
      <c r="CV118" s="891"/>
      <c r="CW118" s="75"/>
      <c r="CX118" s="75"/>
      <c r="CY118" s="892"/>
      <c r="CZ118" s="75"/>
    </row>
    <row r="119" spans="1:104" ht="13.5" customHeight="1">
      <c r="A119" s="411"/>
      <c r="B119" s="411"/>
      <c r="C119" s="406" t="s">
        <v>3</v>
      </c>
      <c r="D119" s="411"/>
      <c r="E119" s="171"/>
      <c r="F119" s="171"/>
      <c r="G119" s="171"/>
      <c r="H119" s="171"/>
      <c r="I119" s="171"/>
      <c r="J119" s="80">
        <f t="shared" ref="J119:AG119" si="133">SUM(J113:J117)</f>
        <v>1395.429891</v>
      </c>
      <c r="K119" s="80">
        <f t="shared" si="133"/>
        <v>1560.4907589999998</v>
      </c>
      <c r="L119" s="80">
        <f t="shared" si="133"/>
        <v>1610.4999720000001</v>
      </c>
      <c r="M119" s="80">
        <f t="shared" si="133"/>
        <v>1415.3616480000001</v>
      </c>
      <c r="N119" s="80">
        <f t="shared" si="133"/>
        <v>1415.3616480000001</v>
      </c>
      <c r="O119" s="80">
        <f t="shared" si="133"/>
        <v>1425.961147</v>
      </c>
      <c r="P119" s="80">
        <f t="shared" si="133"/>
        <v>1427.2001799999998</v>
      </c>
      <c r="Q119" s="80">
        <f t="shared" si="133"/>
        <v>1545.6644390000001</v>
      </c>
      <c r="R119" s="80">
        <f t="shared" si="133"/>
        <v>1620.559908</v>
      </c>
      <c r="S119" s="80">
        <f>SUM(S113:S117)</f>
        <v>1620.559908</v>
      </c>
      <c r="T119" s="80">
        <f t="shared" si="133"/>
        <v>1948.3409999999999</v>
      </c>
      <c r="U119" s="80">
        <f t="shared" si="133"/>
        <v>2278.721</v>
      </c>
      <c r="V119" s="80">
        <f t="shared" si="133"/>
        <v>2935.0110000000004</v>
      </c>
      <c r="W119" s="80">
        <f t="shared" si="133"/>
        <v>3174.9479999999999</v>
      </c>
      <c r="X119" s="80">
        <f>SUM(X113:X117)</f>
        <v>3174.9479999999999</v>
      </c>
      <c r="Y119" s="80">
        <f t="shared" si="133"/>
        <v>3611.3410000000003</v>
      </c>
      <c r="Z119" s="80">
        <f t="shared" si="133"/>
        <v>3374.982</v>
      </c>
      <c r="AA119" s="80">
        <f t="shared" si="133"/>
        <v>3805.0099999999998</v>
      </c>
      <c r="AB119" s="80">
        <f t="shared" si="133"/>
        <v>4071.5530000000003</v>
      </c>
      <c r="AC119" s="80">
        <f>SUM(AC113:AC117)</f>
        <v>4071.5530000000003</v>
      </c>
      <c r="AD119" s="80">
        <f t="shared" si="133"/>
        <v>4462.1150000000007</v>
      </c>
      <c r="AE119" s="80">
        <f t="shared" si="133"/>
        <v>4697.4549999999999</v>
      </c>
      <c r="AF119" s="80">
        <f t="shared" si="133"/>
        <v>4832.0199999999995</v>
      </c>
      <c r="AG119" s="80">
        <f t="shared" si="133"/>
        <v>4675.0359999999991</v>
      </c>
      <c r="AH119" s="80">
        <f t="shared" ref="AH119:AM119" si="134">SUM(AH113:AH117)</f>
        <v>4675.0359999999991</v>
      </c>
      <c r="AI119" s="86">
        <f t="shared" si="134"/>
        <v>4428.433</v>
      </c>
      <c r="AJ119" s="80">
        <f t="shared" si="134"/>
        <v>4395.8460000000005</v>
      </c>
      <c r="AK119" s="80">
        <f t="shared" si="134"/>
        <v>3763.4229999999998</v>
      </c>
      <c r="AL119" s="80">
        <f t="shared" si="134"/>
        <v>5073.2489999999998</v>
      </c>
      <c r="AM119" s="80">
        <f t="shared" si="134"/>
        <v>5073.2489999999998</v>
      </c>
      <c r="AN119" s="80">
        <f t="shared" ref="AN119:BS119" si="135">SUM(AN113:AN117)</f>
        <v>4874.6420000000007</v>
      </c>
      <c r="AO119" s="86">
        <f t="shared" si="135"/>
        <v>8183.7570000000005</v>
      </c>
      <c r="AP119" s="80">
        <f t="shared" si="135"/>
        <v>7632.98</v>
      </c>
      <c r="AQ119" s="80">
        <f t="shared" si="135"/>
        <v>6397.4859999999999</v>
      </c>
      <c r="AR119" s="80">
        <f t="shared" si="135"/>
        <v>6397.4859999999999</v>
      </c>
      <c r="AS119" s="1116">
        <f t="shared" si="135"/>
        <v>5189.8440000000001</v>
      </c>
      <c r="AT119" s="86">
        <f t="shared" si="135"/>
        <v>4927.8280000000004</v>
      </c>
      <c r="AU119" s="86">
        <f t="shared" si="135"/>
        <v>5202.5519999999997</v>
      </c>
      <c r="AV119" s="1117">
        <f t="shared" si="135"/>
        <v>5182.2479999999996</v>
      </c>
      <c r="AW119" s="86">
        <f t="shared" si="135"/>
        <v>5182.2479999999996</v>
      </c>
      <c r="AX119" s="1116">
        <f t="shared" si="135"/>
        <v>5461.7859999999991</v>
      </c>
      <c r="AY119" s="86">
        <f t="shared" si="135"/>
        <v>5186.9329999999991</v>
      </c>
      <c r="AZ119" s="86">
        <f t="shared" si="135"/>
        <v>5761.1130000000003</v>
      </c>
      <c r="BA119" s="1117">
        <f t="shared" si="135"/>
        <v>5861.1750000000002</v>
      </c>
      <c r="BB119" s="86">
        <f t="shared" si="135"/>
        <v>5861.1750000000002</v>
      </c>
      <c r="BC119" s="1116">
        <f t="shared" si="135"/>
        <v>6295.61</v>
      </c>
      <c r="BD119" s="86">
        <f t="shared" si="135"/>
        <v>6716.4949999999999</v>
      </c>
      <c r="BE119" s="86">
        <f t="shared" si="135"/>
        <v>6893.8959999999988</v>
      </c>
      <c r="BF119" s="1174">
        <f t="shared" si="135"/>
        <v>6708.081000000001</v>
      </c>
      <c r="BG119" s="584">
        <f t="shared" si="135"/>
        <v>6708.081000000001</v>
      </c>
      <c r="BH119" s="1116">
        <f t="shared" si="135"/>
        <v>6859.4849999999997</v>
      </c>
      <c r="BI119" s="86">
        <f t="shared" si="135"/>
        <v>6486.3439999999991</v>
      </c>
      <c r="BJ119" s="86">
        <f t="shared" si="135"/>
        <v>6622.0729999999994</v>
      </c>
      <c r="BK119" s="1174">
        <f t="shared" si="135"/>
        <v>5597.1639999999998</v>
      </c>
      <c r="BL119" s="86">
        <f t="shared" si="135"/>
        <v>5597.1639999999998</v>
      </c>
      <c r="BM119" s="1116">
        <f t="shared" si="135"/>
        <v>5546.7410000000009</v>
      </c>
      <c r="BN119" s="86">
        <f t="shared" si="135"/>
        <v>5183.1629999999996</v>
      </c>
      <c r="BO119" s="86">
        <f t="shared" si="135"/>
        <v>6468.8770000000004</v>
      </c>
      <c r="BP119" s="1117">
        <f t="shared" si="135"/>
        <v>6410.0460000000003</v>
      </c>
      <c r="BQ119" s="86">
        <f t="shared" si="135"/>
        <v>6410.0460000000003</v>
      </c>
      <c r="BR119" s="1116">
        <f t="shared" si="135"/>
        <v>6309.8730000000005</v>
      </c>
      <c r="BS119" s="86">
        <f t="shared" si="135"/>
        <v>6494.7899999999991</v>
      </c>
      <c r="BT119" s="86">
        <f t="shared" ref="BT119:CZ119" si="136">SUM(BT113:BT117)</f>
        <v>6796.2439999999997</v>
      </c>
      <c r="BU119" s="1117">
        <f t="shared" si="136"/>
        <v>6441.8879999999999</v>
      </c>
      <c r="BV119" s="86">
        <f t="shared" si="136"/>
        <v>6441.8879999999999</v>
      </c>
      <c r="BW119" s="1116">
        <f t="shared" si="136"/>
        <v>5862.9890000000005</v>
      </c>
      <c r="BX119" s="86">
        <f t="shared" si="136"/>
        <v>6154.7369999999992</v>
      </c>
      <c r="BY119" s="86">
        <f t="shared" si="136"/>
        <v>6465.7309999999998</v>
      </c>
      <c r="BZ119" s="1117">
        <f t="shared" si="136"/>
        <v>5754.380000000001</v>
      </c>
      <c r="CA119" s="86">
        <f t="shared" si="136"/>
        <v>5754.380000000001</v>
      </c>
      <c r="CB119" s="1116">
        <f t="shared" si="136"/>
        <v>6006.1490000000003</v>
      </c>
      <c r="CC119" s="86">
        <f t="shared" si="136"/>
        <v>6538.4980000000005</v>
      </c>
      <c r="CD119" s="86">
        <f t="shared" si="136"/>
        <v>6700.4220000000005</v>
      </c>
      <c r="CE119" s="1117">
        <f t="shared" si="136"/>
        <v>6506.393</v>
      </c>
      <c r="CF119" s="86">
        <f t="shared" si="136"/>
        <v>6506.393</v>
      </c>
      <c r="CG119" s="1116">
        <f t="shared" si="136"/>
        <v>6878.1930000000002</v>
      </c>
      <c r="CH119" s="86">
        <f t="shared" si="136"/>
        <v>7182.6920000000009</v>
      </c>
      <c r="CI119" s="86">
        <f t="shared" si="136"/>
        <v>7500.646999999999</v>
      </c>
      <c r="CJ119" s="1117">
        <f t="shared" si="136"/>
        <v>6824.420000000001</v>
      </c>
      <c r="CK119" s="86">
        <f t="shared" si="136"/>
        <v>6824.420000000001</v>
      </c>
      <c r="CL119" s="1116">
        <f t="shared" ref="CL119" si="137">SUM(CL113:CL117)</f>
        <v>7079.2159999999994</v>
      </c>
      <c r="CM119" s="86">
        <f t="shared" si="136"/>
        <v>8197.8348750298683</v>
      </c>
      <c r="CN119" s="86">
        <f t="shared" si="136"/>
        <v>8684.7242563058444</v>
      </c>
      <c r="CO119" s="1117">
        <f t="shared" si="136"/>
        <v>8836.8523528104579</v>
      </c>
      <c r="CP119" s="86">
        <f t="shared" si="136"/>
        <v>8836.8523528104579</v>
      </c>
      <c r="CQ119" s="1116">
        <f t="shared" si="136"/>
        <v>9411.4741592388091</v>
      </c>
      <c r="CR119" s="86">
        <f t="shared" si="136"/>
        <v>9743.0526814331406</v>
      </c>
      <c r="CS119" s="86">
        <f t="shared" si="136"/>
        <v>10118.972566683691</v>
      </c>
      <c r="CT119" s="1117">
        <f t="shared" si="136"/>
        <v>10151.966899000257</v>
      </c>
      <c r="CU119" s="86">
        <f t="shared" si="136"/>
        <v>10151.966899000257</v>
      </c>
      <c r="CV119" s="1116">
        <f t="shared" si="136"/>
        <v>10677.58591431252</v>
      </c>
      <c r="CW119" s="86">
        <f t="shared" si="136"/>
        <v>11007.927239614201</v>
      </c>
      <c r="CX119" s="86">
        <f t="shared" si="136"/>
        <v>11418.61283518703</v>
      </c>
      <c r="CY119" s="1117">
        <f t="shared" si="136"/>
        <v>11594.394180410867</v>
      </c>
      <c r="CZ119" s="86">
        <f t="shared" si="136"/>
        <v>11594.394180410867</v>
      </c>
    </row>
    <row r="120" spans="1:104" ht="6.2" customHeight="1">
      <c r="A120" s="362"/>
      <c r="B120" s="404"/>
      <c r="C120" s="362"/>
      <c r="D120" s="362"/>
      <c r="E120" s="71"/>
      <c r="F120" s="71"/>
      <c r="G120" s="71"/>
      <c r="H120" s="71"/>
      <c r="I120" s="71"/>
      <c r="J120" s="75"/>
      <c r="K120" s="75"/>
      <c r="L120" s="75"/>
      <c r="M120" s="75"/>
      <c r="N120" s="75"/>
      <c r="O120" s="75"/>
      <c r="P120" s="75"/>
      <c r="Q120" s="75"/>
      <c r="R120" s="75"/>
      <c r="S120" s="75"/>
      <c r="T120" s="75"/>
      <c r="U120" s="75"/>
      <c r="V120" s="75"/>
      <c r="W120" s="75"/>
      <c r="X120" s="75"/>
      <c r="Y120" s="75"/>
      <c r="Z120" s="75"/>
      <c r="AA120" s="75"/>
      <c r="AB120" s="75"/>
      <c r="AC120" s="75"/>
      <c r="AD120" s="75"/>
      <c r="AE120" s="75"/>
      <c r="AF120" s="75"/>
      <c r="AG120" s="75"/>
      <c r="AH120" s="75"/>
      <c r="AI120" s="92"/>
      <c r="AJ120" s="75"/>
      <c r="AK120" s="75"/>
      <c r="AL120" s="75"/>
      <c r="AM120" s="75"/>
      <c r="AN120" s="75"/>
      <c r="AO120" s="92"/>
      <c r="AP120" s="75"/>
      <c r="AQ120" s="75"/>
      <c r="AR120" s="75"/>
      <c r="AS120" s="891"/>
      <c r="AT120" s="92"/>
      <c r="AU120" s="75"/>
      <c r="AV120" s="892"/>
      <c r="AW120" s="75"/>
      <c r="AX120" s="891"/>
      <c r="AY120" s="75"/>
      <c r="AZ120" s="75"/>
      <c r="BA120" s="892"/>
      <c r="BB120" s="75"/>
      <c r="BC120" s="891"/>
      <c r="BD120" s="75"/>
      <c r="BE120" s="75"/>
      <c r="BF120" s="1155"/>
      <c r="BG120" s="379"/>
      <c r="BH120" s="891"/>
      <c r="BI120" s="75"/>
      <c r="BJ120" s="75"/>
      <c r="BK120" s="892"/>
      <c r="BL120" s="75"/>
      <c r="BM120" s="891"/>
      <c r="BN120" s="75"/>
      <c r="BO120" s="75"/>
      <c r="BP120" s="892"/>
      <c r="BQ120" s="75"/>
      <c r="BR120" s="891"/>
      <c r="BS120" s="75"/>
      <c r="BT120" s="75"/>
      <c r="BU120" s="892"/>
      <c r="BV120" s="75"/>
      <c r="BW120" s="891"/>
      <c r="BX120" s="75"/>
      <c r="BY120" s="75"/>
      <c r="BZ120" s="892"/>
      <c r="CA120" s="75"/>
      <c r="CB120" s="891"/>
      <c r="CC120" s="75"/>
      <c r="CD120" s="75"/>
      <c r="CE120" s="892"/>
      <c r="CF120" s="75"/>
      <c r="CG120" s="891"/>
      <c r="CH120" s="75"/>
      <c r="CI120" s="75"/>
      <c r="CJ120" s="892"/>
      <c r="CK120" s="75"/>
      <c r="CL120" s="891"/>
      <c r="CM120" s="75"/>
      <c r="CN120" s="75"/>
      <c r="CO120" s="892"/>
      <c r="CP120" s="75"/>
      <c r="CQ120" s="891"/>
      <c r="CR120" s="75"/>
      <c r="CS120" s="75"/>
      <c r="CT120" s="892"/>
      <c r="CU120" s="75"/>
      <c r="CV120" s="891"/>
      <c r="CW120" s="75"/>
      <c r="CX120" s="75"/>
      <c r="CY120" s="892"/>
      <c r="CZ120" s="75"/>
    </row>
    <row r="121" spans="1:104" ht="13.5" customHeight="1">
      <c r="A121" s="362"/>
      <c r="B121" s="410" t="s">
        <v>391</v>
      </c>
      <c r="C121" s="369"/>
      <c r="D121" s="362"/>
      <c r="E121" s="174"/>
      <c r="F121" s="174"/>
      <c r="G121" s="174"/>
      <c r="H121" s="174"/>
      <c r="I121" s="174"/>
      <c r="J121" s="75">
        <v>2338.0325429999998</v>
      </c>
      <c r="K121" s="75">
        <v>2290.122715</v>
      </c>
      <c r="L121" s="75">
        <v>2395.322823</v>
      </c>
      <c r="M121" s="75">
        <v>2932.058102</v>
      </c>
      <c r="N121" s="75">
        <f>M121</f>
        <v>2932.058102</v>
      </c>
      <c r="O121" s="75">
        <v>2917.9698389999999</v>
      </c>
      <c r="P121" s="75">
        <v>2877.9983240000001</v>
      </c>
      <c r="Q121" s="75">
        <v>2840.3307239999999</v>
      </c>
      <c r="R121" s="75">
        <v>2817.1351930000001</v>
      </c>
      <c r="S121" s="75">
        <f>R121</f>
        <v>2817.1351930000001</v>
      </c>
      <c r="T121" s="75">
        <v>2787.2710000000002</v>
      </c>
      <c r="U121" s="75">
        <v>2721.0279999999998</v>
      </c>
      <c r="V121" s="75">
        <v>2825.4459999999999</v>
      </c>
      <c r="W121" s="75">
        <v>2818.3069999999998</v>
      </c>
      <c r="X121" s="75">
        <f>W121</f>
        <v>2818.3069999999998</v>
      </c>
      <c r="Y121" s="75">
        <v>2818.761</v>
      </c>
      <c r="Z121" s="75">
        <v>2867.8780000000002</v>
      </c>
      <c r="AA121" s="75">
        <v>2845.587</v>
      </c>
      <c r="AB121" s="75">
        <v>2855.7170000000001</v>
      </c>
      <c r="AC121" s="75">
        <f>AB121</f>
        <v>2855.7170000000001</v>
      </c>
      <c r="AD121" s="75">
        <v>2829.9250000000002</v>
      </c>
      <c r="AE121" s="75">
        <v>2825.107</v>
      </c>
      <c r="AF121" s="75">
        <v>2835.69</v>
      </c>
      <c r="AG121" s="75">
        <v>2856.415</v>
      </c>
      <c r="AH121" s="75">
        <f>AG121</f>
        <v>2856.415</v>
      </c>
      <c r="AI121" s="92">
        <v>2978.7350000000001</v>
      </c>
      <c r="AJ121" s="75">
        <v>2997.0839999999998</v>
      </c>
      <c r="AK121" s="75">
        <v>3101.9810000000002</v>
      </c>
      <c r="AL121" s="75">
        <v>3232.998</v>
      </c>
      <c r="AM121" s="75">
        <f>AL121</f>
        <v>3232.998</v>
      </c>
      <c r="AN121" s="75">
        <v>3631.7919999999999</v>
      </c>
      <c r="AO121" s="92">
        <v>3829.4720000000002</v>
      </c>
      <c r="AP121" s="75">
        <v>4075.02</v>
      </c>
      <c r="AQ121" s="75">
        <v>4131.8609999999999</v>
      </c>
      <c r="AR121" s="75">
        <f>AQ121</f>
        <v>4131.8609999999999</v>
      </c>
      <c r="AS121" s="1102">
        <v>4126.4269999999997</v>
      </c>
      <c r="AT121" s="523">
        <v>4117.5420000000004</v>
      </c>
      <c r="AU121" s="523">
        <v>4071.2289999999998</v>
      </c>
      <c r="AV121" s="1103">
        <v>4013.8359999999998</v>
      </c>
      <c r="AW121" s="550">
        <f>AV121</f>
        <v>4013.8359999999998</v>
      </c>
      <c r="AX121" s="1102">
        <v>3963.4670000000001</v>
      </c>
      <c r="AY121" s="523">
        <v>3903.9029999999998</v>
      </c>
      <c r="AZ121" s="523">
        <v>3847.931</v>
      </c>
      <c r="BA121" s="1103">
        <v>3852.1179999999999</v>
      </c>
      <c r="BB121" s="550">
        <f>BA121</f>
        <v>3852.1179999999999</v>
      </c>
      <c r="BC121" s="1102">
        <v>3831.6129999999998</v>
      </c>
      <c r="BD121" s="523">
        <v>3804.5740000000001</v>
      </c>
      <c r="BE121" s="523">
        <v>3766.643</v>
      </c>
      <c r="BF121" s="1167">
        <v>3755.6039999999998</v>
      </c>
      <c r="BG121" s="577">
        <f>BF121</f>
        <v>3755.6039999999998</v>
      </c>
      <c r="BH121" s="1102">
        <v>3817.402</v>
      </c>
      <c r="BI121" s="523">
        <v>3959.279</v>
      </c>
      <c r="BJ121" s="523">
        <v>4106.2380000000003</v>
      </c>
      <c r="BK121" s="1103">
        <v>4283.0559999999996</v>
      </c>
      <c r="BL121" s="550">
        <f>BK121</f>
        <v>4283.0559999999996</v>
      </c>
      <c r="BM121" s="1102">
        <v>4450.9449999999997</v>
      </c>
      <c r="BN121" s="523">
        <v>4608.9970000000003</v>
      </c>
      <c r="BO121" s="523">
        <v>4697.3389999999999</v>
      </c>
      <c r="BP121" s="1103">
        <v>4917.0240000000003</v>
      </c>
      <c r="BQ121" s="550">
        <f>BP121</f>
        <v>4917.0240000000003</v>
      </c>
      <c r="BR121" s="1102">
        <v>4960.9480000000003</v>
      </c>
      <c r="BS121" s="523">
        <v>4971.8130000000001</v>
      </c>
      <c r="BT121" s="523">
        <v>4884.01</v>
      </c>
      <c r="BU121" s="1103">
        <v>5287.6390000000001</v>
      </c>
      <c r="BV121" s="550">
        <f>BU121</f>
        <v>5287.6390000000001</v>
      </c>
      <c r="BW121" s="1102">
        <v>5184.2349999999997</v>
      </c>
      <c r="BX121" s="523">
        <v>5120.87</v>
      </c>
      <c r="BY121" s="523">
        <v>5040.902</v>
      </c>
      <c r="BZ121" s="1103">
        <v>4891.1530000000002</v>
      </c>
      <c r="CA121" s="550">
        <f>BZ121</f>
        <v>4891.1530000000002</v>
      </c>
      <c r="CB121" s="1102">
        <v>4813.5649999999996</v>
      </c>
      <c r="CC121" s="523">
        <v>4816.9880000000003</v>
      </c>
      <c r="CD121" s="523">
        <v>4913.3549999999996</v>
      </c>
      <c r="CE121" s="1103">
        <v>5078.6499999999996</v>
      </c>
      <c r="CF121" s="550">
        <f>CE121</f>
        <v>5078.6499999999996</v>
      </c>
      <c r="CG121" s="1102">
        <v>5133.4040000000005</v>
      </c>
      <c r="CH121" s="523">
        <v>5062.4229999999998</v>
      </c>
      <c r="CI121" s="523">
        <v>5095.88</v>
      </c>
      <c r="CJ121" s="1103">
        <v>5093.1469999999999</v>
      </c>
      <c r="CK121" s="550">
        <f>CJ121</f>
        <v>5093.1469999999999</v>
      </c>
      <c r="CL121" s="1102">
        <v>5090.8900000000003</v>
      </c>
      <c r="CM121" s="550">
        <f>CL121-CM209-CM210-CM211-CM212-CM193</f>
        <v>5166.8900000000003</v>
      </c>
      <c r="CN121" s="550">
        <f>CM121-CN209-CN210-(0.75*CN211)-CN212-CN193</f>
        <v>5242.89</v>
      </c>
      <c r="CO121" s="890">
        <f>CN121-CO209-CO210-(0.85*CO211)-CO212-CO193</f>
        <v>5318.89</v>
      </c>
      <c r="CP121" s="550">
        <f>CO121</f>
        <v>5318.89</v>
      </c>
      <c r="CQ121" s="889">
        <f>CP121-CQ209-CQ210-CQ211-CQ212-CQ193</f>
        <v>5361.14</v>
      </c>
      <c r="CR121" s="550">
        <f>CQ121-CR209-CR210-CR211-CR212-CR193</f>
        <v>5403.39</v>
      </c>
      <c r="CS121" s="550">
        <f>CR121-CS209-CS210-(0.75*CS211)-CS212-CS193</f>
        <v>5445.64</v>
      </c>
      <c r="CT121" s="890">
        <f>CS121-CT209-CT210-(0.85*CT211)-CT212-CT193</f>
        <v>5487.89</v>
      </c>
      <c r="CU121" s="550">
        <f>CT121</f>
        <v>5487.89</v>
      </c>
      <c r="CV121" s="889">
        <f>CU121-CV209-CV210-CV211-CV212-CV193</f>
        <v>5463.89</v>
      </c>
      <c r="CW121" s="550">
        <f>CV121-CW209-CW210-CW211-CW212-CW193</f>
        <v>5439.89</v>
      </c>
      <c r="CX121" s="550">
        <f>CW121-CX209-CX210-(0.75*CX211)-CX212-CX193</f>
        <v>5415.89</v>
      </c>
      <c r="CY121" s="890">
        <f>CX121-CY209-CY210-(0.85*CY211)-CY212-CY193</f>
        <v>5391.89</v>
      </c>
      <c r="CZ121" s="550">
        <f>CY121</f>
        <v>5391.89</v>
      </c>
    </row>
    <row r="122" spans="1:104" ht="13.5" customHeight="1">
      <c r="A122" s="362"/>
      <c r="B122" s="410" t="s">
        <v>276</v>
      </c>
      <c r="C122" s="369"/>
      <c r="D122" s="362"/>
      <c r="E122" s="174"/>
      <c r="F122" s="174"/>
      <c r="G122" s="174"/>
      <c r="H122" s="174"/>
      <c r="I122" s="174"/>
      <c r="J122" s="75"/>
      <c r="K122" s="75"/>
      <c r="L122" s="75"/>
      <c r="M122" s="75"/>
      <c r="N122" s="75"/>
      <c r="O122" s="75"/>
      <c r="P122" s="75"/>
      <c r="Q122" s="75"/>
      <c r="R122" s="75"/>
      <c r="S122" s="75"/>
      <c r="T122" s="75"/>
      <c r="U122" s="75"/>
      <c r="V122" s="75"/>
      <c r="W122" s="75"/>
      <c r="X122" s="75"/>
      <c r="Y122" s="75"/>
      <c r="Z122" s="75"/>
      <c r="AA122" s="75"/>
      <c r="AB122" s="75"/>
      <c r="AC122" s="75"/>
      <c r="AD122" s="75"/>
      <c r="AE122" s="75"/>
      <c r="AF122" s="75"/>
      <c r="AG122" s="75"/>
      <c r="AH122" s="75"/>
      <c r="AI122" s="92">
        <v>625.11699999999996</v>
      </c>
      <c r="AJ122" s="75">
        <v>625.11699999999996</v>
      </c>
      <c r="AK122" s="75">
        <v>812.22</v>
      </c>
      <c r="AL122" s="75">
        <v>847.88699999999994</v>
      </c>
      <c r="AM122" s="75">
        <f>AL122</f>
        <v>847.88699999999994</v>
      </c>
      <c r="AN122" s="75">
        <v>1698.1679999999999</v>
      </c>
      <c r="AO122" s="92">
        <v>1743.0250000000001</v>
      </c>
      <c r="AP122" s="75">
        <v>1787.998</v>
      </c>
      <c r="AQ122" s="75">
        <v>1732.0450000000001</v>
      </c>
      <c r="AR122" s="75">
        <f>AQ122</f>
        <v>1732.0450000000001</v>
      </c>
      <c r="AS122" s="1102">
        <v>1728.442</v>
      </c>
      <c r="AT122" s="523">
        <v>1776.2070000000001</v>
      </c>
      <c r="AU122" s="523">
        <v>1794.761</v>
      </c>
      <c r="AV122" s="1103">
        <v>1803.021</v>
      </c>
      <c r="AW122" s="550">
        <f>AV122</f>
        <v>1803.021</v>
      </c>
      <c r="AX122" s="1102">
        <v>1831.2940000000001</v>
      </c>
      <c r="AY122" s="523">
        <v>1828.058</v>
      </c>
      <c r="AZ122" s="523">
        <v>1831.6849999999999</v>
      </c>
      <c r="BA122" s="1103">
        <v>1836.2940000000001</v>
      </c>
      <c r="BB122" s="550">
        <f>BA122</f>
        <v>1836.2940000000001</v>
      </c>
      <c r="BC122" s="1102">
        <v>1847.9939999999999</v>
      </c>
      <c r="BD122" s="523">
        <v>1845.9480000000001</v>
      </c>
      <c r="BE122" s="523">
        <v>1830.338</v>
      </c>
      <c r="BF122" s="1167">
        <v>1830.6610000000001</v>
      </c>
      <c r="BG122" s="577">
        <f>BF122</f>
        <v>1830.6610000000001</v>
      </c>
      <c r="BH122" s="1102">
        <v>1855.971</v>
      </c>
      <c r="BI122" s="523">
        <v>1988.874</v>
      </c>
      <c r="BJ122" s="523">
        <v>2008.461</v>
      </c>
      <c r="BK122" s="1103">
        <v>2004.538</v>
      </c>
      <c r="BL122" s="550">
        <f>BK122</f>
        <v>2004.538</v>
      </c>
      <c r="BM122" s="1102">
        <v>1990.903</v>
      </c>
      <c r="BN122" s="523">
        <v>1983.107</v>
      </c>
      <c r="BO122" s="523">
        <v>1983.617</v>
      </c>
      <c r="BP122" s="1103">
        <v>1973.6079999999999</v>
      </c>
      <c r="BQ122" s="550">
        <f>BP122</f>
        <v>1973.6079999999999</v>
      </c>
      <c r="BR122" s="1102">
        <v>1958.9670000000001</v>
      </c>
      <c r="BS122" s="523">
        <v>1971.452</v>
      </c>
      <c r="BT122" s="523">
        <v>1982.7760000000001</v>
      </c>
      <c r="BU122" s="1103">
        <v>2068.6640000000002</v>
      </c>
      <c r="BV122" s="550">
        <f>BU122</f>
        <v>2068.6640000000002</v>
      </c>
      <c r="BW122" s="1102">
        <v>2043.3150000000001</v>
      </c>
      <c r="BX122" s="523">
        <v>2046.098</v>
      </c>
      <c r="BY122" s="523">
        <v>2023.788</v>
      </c>
      <c r="BZ122" s="1103">
        <v>2011.278</v>
      </c>
      <c r="CA122" s="550">
        <f>BZ122</f>
        <v>2011.278</v>
      </c>
      <c r="CB122" s="1102">
        <v>2025.38</v>
      </c>
      <c r="CC122" s="523">
        <v>2030.5509999999999</v>
      </c>
      <c r="CD122" s="523">
        <v>2026.8409999999999</v>
      </c>
      <c r="CE122" s="1103">
        <v>2052.7280000000001</v>
      </c>
      <c r="CF122" s="550">
        <f>CE122</f>
        <v>2052.7280000000001</v>
      </c>
      <c r="CG122" s="1102">
        <v>2177.2759999999998</v>
      </c>
      <c r="CH122" s="523">
        <v>2179.6410000000001</v>
      </c>
      <c r="CI122" s="523">
        <v>2208.2460000000001</v>
      </c>
      <c r="CJ122" s="1103">
        <v>2196.058</v>
      </c>
      <c r="CK122" s="550">
        <f>CJ122</f>
        <v>2196.058</v>
      </c>
      <c r="CL122" s="1102">
        <v>2195.5650000000001</v>
      </c>
      <c r="CM122" s="550">
        <f t="shared" ref="CM122:CO123" si="138">CL122</f>
        <v>2195.5650000000001</v>
      </c>
      <c r="CN122" s="550">
        <f t="shared" si="138"/>
        <v>2195.5650000000001</v>
      </c>
      <c r="CO122" s="890">
        <f t="shared" si="138"/>
        <v>2195.5650000000001</v>
      </c>
      <c r="CP122" s="550">
        <f>CO122</f>
        <v>2195.5650000000001</v>
      </c>
      <c r="CQ122" s="889">
        <f>CP122</f>
        <v>2195.5650000000001</v>
      </c>
      <c r="CR122" s="550">
        <f t="shared" ref="CR122:CT123" si="139">CQ122</f>
        <v>2195.5650000000001</v>
      </c>
      <c r="CS122" s="550">
        <f t="shared" si="139"/>
        <v>2195.5650000000001</v>
      </c>
      <c r="CT122" s="890">
        <f t="shared" si="139"/>
        <v>2195.5650000000001</v>
      </c>
      <c r="CU122" s="550">
        <f>CT122</f>
        <v>2195.5650000000001</v>
      </c>
      <c r="CV122" s="889">
        <f>CU122</f>
        <v>2195.5650000000001</v>
      </c>
      <c r="CW122" s="550">
        <f t="shared" ref="CW122:CW123" si="140">CV122</f>
        <v>2195.5650000000001</v>
      </c>
      <c r="CX122" s="550">
        <f t="shared" ref="CX122:CX123" si="141">CW122</f>
        <v>2195.5650000000001</v>
      </c>
      <c r="CY122" s="890">
        <f t="shared" ref="CY122:CY123" si="142">CX122</f>
        <v>2195.5650000000001</v>
      </c>
      <c r="CZ122" s="550">
        <f>CY122</f>
        <v>2195.5650000000001</v>
      </c>
    </row>
    <row r="123" spans="1:104" ht="13.5" customHeight="1">
      <c r="A123" s="362"/>
      <c r="B123" s="410" t="s">
        <v>336</v>
      </c>
      <c r="C123" s="369"/>
      <c r="D123" s="362"/>
      <c r="E123" s="174"/>
      <c r="F123" s="174"/>
      <c r="G123" s="174"/>
      <c r="H123" s="174"/>
      <c r="I123" s="174"/>
      <c r="J123" s="75"/>
      <c r="K123" s="75"/>
      <c r="L123" s="75"/>
      <c r="M123" s="75"/>
      <c r="N123" s="75"/>
      <c r="O123" s="75"/>
      <c r="P123" s="75"/>
      <c r="Q123" s="75"/>
      <c r="R123" s="75"/>
      <c r="S123" s="75"/>
      <c r="T123" s="75"/>
      <c r="U123" s="75"/>
      <c r="V123" s="75"/>
      <c r="W123" s="75"/>
      <c r="X123" s="75"/>
      <c r="Y123" s="75"/>
      <c r="Z123" s="75"/>
      <c r="AA123" s="75"/>
      <c r="AB123" s="75"/>
      <c r="AC123" s="75"/>
      <c r="AD123" s="75"/>
      <c r="AE123" s="75"/>
      <c r="AF123" s="75"/>
      <c r="AG123" s="75"/>
      <c r="AH123" s="75"/>
      <c r="AI123" s="92">
        <v>308.14400000000001</v>
      </c>
      <c r="AJ123" s="75">
        <v>303.14999999999998</v>
      </c>
      <c r="AK123" s="75">
        <v>471.94400000000002</v>
      </c>
      <c r="AL123" s="75">
        <v>469.93599999999998</v>
      </c>
      <c r="AM123" s="75">
        <f>AL123</f>
        <v>469.93599999999998</v>
      </c>
      <c r="AN123" s="75">
        <v>894.61699999999996</v>
      </c>
      <c r="AO123" s="92">
        <v>931.98500000000001</v>
      </c>
      <c r="AP123" s="75">
        <v>999.63599999999997</v>
      </c>
      <c r="AQ123" s="75">
        <v>946.54499999999996</v>
      </c>
      <c r="AR123" s="75">
        <f>AQ123</f>
        <v>946.54499999999996</v>
      </c>
      <c r="AS123" s="1102">
        <v>925.98599999999999</v>
      </c>
      <c r="AT123" s="523">
        <v>922.34</v>
      </c>
      <c r="AU123" s="523">
        <v>915.99300000000005</v>
      </c>
      <c r="AV123" s="1103">
        <v>902.92200000000003</v>
      </c>
      <c r="AW123" s="550">
        <f>AV123</f>
        <v>902.92200000000003</v>
      </c>
      <c r="AX123" s="1102">
        <v>905.14300000000003</v>
      </c>
      <c r="AY123" s="523">
        <v>886.16399999999999</v>
      </c>
      <c r="AZ123" s="523">
        <v>870.63599999999997</v>
      </c>
      <c r="BA123" s="1103">
        <v>856.125</v>
      </c>
      <c r="BB123" s="550">
        <f>BA123</f>
        <v>856.125</v>
      </c>
      <c r="BC123" s="1102">
        <v>844.99400000000003</v>
      </c>
      <c r="BD123" s="523">
        <v>826.78899999999999</v>
      </c>
      <c r="BE123" s="523">
        <v>802.08600000000001</v>
      </c>
      <c r="BF123" s="1167">
        <v>784.64</v>
      </c>
      <c r="BG123" s="577">
        <f>BF123</f>
        <v>784.64</v>
      </c>
      <c r="BH123" s="1102">
        <v>792.03099999999995</v>
      </c>
      <c r="BI123" s="523">
        <v>990.22400000000005</v>
      </c>
      <c r="BJ123" s="523">
        <v>980.34799999999996</v>
      </c>
      <c r="BK123" s="1103">
        <v>959.24</v>
      </c>
      <c r="BL123" s="550">
        <f>BK123</f>
        <v>959.24</v>
      </c>
      <c r="BM123" s="1102">
        <v>934.39499999999998</v>
      </c>
      <c r="BN123" s="523">
        <v>912.70799999999997</v>
      </c>
      <c r="BO123" s="523">
        <v>896.40700000000004</v>
      </c>
      <c r="BP123" s="1103">
        <v>874.154</v>
      </c>
      <c r="BQ123" s="550">
        <f>BP123</f>
        <v>874.154</v>
      </c>
      <c r="BR123" s="1102">
        <v>851.01300000000003</v>
      </c>
      <c r="BS123" s="523">
        <v>842.44500000000005</v>
      </c>
      <c r="BT123" s="523">
        <v>819.07799999999997</v>
      </c>
      <c r="BU123" s="1103">
        <v>862.09299999999996</v>
      </c>
      <c r="BV123" s="550">
        <f>BU123</f>
        <v>862.09299999999996</v>
      </c>
      <c r="BW123" s="1102">
        <v>834.80499999999995</v>
      </c>
      <c r="BX123" s="523">
        <v>819.05</v>
      </c>
      <c r="BY123" s="523">
        <v>793.04600000000005</v>
      </c>
      <c r="BZ123" s="1103">
        <v>770.67200000000003</v>
      </c>
      <c r="CA123" s="550">
        <f>BZ123</f>
        <v>770.67200000000003</v>
      </c>
      <c r="CB123" s="1102">
        <v>756.72400000000005</v>
      </c>
      <c r="CC123" s="523">
        <v>740.78800000000001</v>
      </c>
      <c r="CD123" s="523">
        <v>757.62699999999995</v>
      </c>
      <c r="CE123" s="1103">
        <v>866.83500000000004</v>
      </c>
      <c r="CF123" s="550">
        <f>CE123</f>
        <v>866.83500000000004</v>
      </c>
      <c r="CG123" s="1102">
        <v>969.49199999999996</v>
      </c>
      <c r="CH123" s="523">
        <v>946.97799999999995</v>
      </c>
      <c r="CI123" s="523">
        <v>940.30499999999995</v>
      </c>
      <c r="CJ123" s="1103">
        <v>914.64599999999996</v>
      </c>
      <c r="CK123" s="550">
        <f>CJ123</f>
        <v>914.64599999999996</v>
      </c>
      <c r="CL123" s="1102">
        <v>892.12099999999998</v>
      </c>
      <c r="CM123" s="550">
        <f t="shared" si="138"/>
        <v>892.12099999999998</v>
      </c>
      <c r="CN123" s="550">
        <f t="shared" si="138"/>
        <v>892.12099999999998</v>
      </c>
      <c r="CO123" s="890">
        <f t="shared" si="138"/>
        <v>892.12099999999998</v>
      </c>
      <c r="CP123" s="550">
        <f>CO123</f>
        <v>892.12099999999998</v>
      </c>
      <c r="CQ123" s="889">
        <f>CP123</f>
        <v>892.12099999999998</v>
      </c>
      <c r="CR123" s="550">
        <f t="shared" si="139"/>
        <v>892.12099999999998</v>
      </c>
      <c r="CS123" s="550">
        <f t="shared" si="139"/>
        <v>892.12099999999998</v>
      </c>
      <c r="CT123" s="890">
        <f t="shared" si="139"/>
        <v>892.12099999999998</v>
      </c>
      <c r="CU123" s="550">
        <f>CT123</f>
        <v>892.12099999999998</v>
      </c>
      <c r="CV123" s="889">
        <f>CU123</f>
        <v>892.12099999999998</v>
      </c>
      <c r="CW123" s="550">
        <f t="shared" si="140"/>
        <v>892.12099999999998</v>
      </c>
      <c r="CX123" s="550">
        <f t="shared" si="141"/>
        <v>892.12099999999998</v>
      </c>
      <c r="CY123" s="890">
        <f t="shared" si="142"/>
        <v>892.12099999999998</v>
      </c>
      <c r="CZ123" s="550">
        <f>CY123</f>
        <v>892.12099999999998</v>
      </c>
    </row>
    <row r="124" spans="1:104" ht="13.5" customHeight="1">
      <c r="A124" s="362"/>
      <c r="B124" s="410" t="s">
        <v>4</v>
      </c>
      <c r="C124" s="369"/>
      <c r="D124" s="362"/>
      <c r="E124" s="174"/>
      <c r="F124" s="174"/>
      <c r="G124" s="174"/>
      <c r="H124" s="174"/>
      <c r="I124" s="174"/>
      <c r="J124" s="78">
        <v>22.343430000000001</v>
      </c>
      <c r="K124" s="78">
        <v>24.347756</v>
      </c>
      <c r="L124" s="78">
        <v>14.666615</v>
      </c>
      <c r="M124" s="78">
        <v>33.581467000000004</v>
      </c>
      <c r="N124" s="78">
        <f>M124</f>
        <v>33.581467000000004</v>
      </c>
      <c r="O124" s="78">
        <v>38.399819000000001</v>
      </c>
      <c r="P124" s="78">
        <v>45.220937999999997</v>
      </c>
      <c r="Q124" s="78">
        <v>54.557471999999997</v>
      </c>
      <c r="R124" s="78">
        <v>54.657952999999999</v>
      </c>
      <c r="S124" s="78">
        <f>R124</f>
        <v>54.657952999999999</v>
      </c>
      <c r="T124" s="78">
        <v>93.456000000000003</v>
      </c>
      <c r="U124" s="78">
        <v>111.117</v>
      </c>
      <c r="V124" s="78">
        <v>124.959</v>
      </c>
      <c r="W124" s="78">
        <v>139.952</v>
      </c>
      <c r="X124" s="78">
        <f>W124</f>
        <v>139.952</v>
      </c>
      <c r="Y124" s="78">
        <v>183.03200000000001</v>
      </c>
      <c r="Z124" s="78">
        <v>219.64500000000001</v>
      </c>
      <c r="AA124" s="78">
        <v>308.27800000000002</v>
      </c>
      <c r="AB124" s="78">
        <v>211.517</v>
      </c>
      <c r="AC124" s="78">
        <f>AB124</f>
        <v>211.517</v>
      </c>
      <c r="AD124" s="78">
        <v>212.10599999999999</v>
      </c>
      <c r="AE124" s="78">
        <v>223.191</v>
      </c>
      <c r="AF124" s="78">
        <v>227.95699999999999</v>
      </c>
      <c r="AG124" s="78">
        <v>353.53800000000001</v>
      </c>
      <c r="AH124" s="78">
        <f>AG124</f>
        <v>353.53800000000001</v>
      </c>
      <c r="AI124" s="172">
        <v>145.30500000000001</v>
      </c>
      <c r="AJ124" s="78">
        <v>147.11000000000001</v>
      </c>
      <c r="AK124" s="78">
        <v>150.67500000000001</v>
      </c>
      <c r="AL124" s="78">
        <v>202.05199999999999</v>
      </c>
      <c r="AM124" s="78">
        <f>AL124</f>
        <v>202.05199999999999</v>
      </c>
      <c r="AN124" s="78">
        <v>241.30199999999999</v>
      </c>
      <c r="AO124" s="172">
        <v>304.21699999999998</v>
      </c>
      <c r="AP124" s="78">
        <v>840.91300000000001</v>
      </c>
      <c r="AQ124" s="78">
        <v>666.50599999999997</v>
      </c>
      <c r="AR124" s="78">
        <f>AQ124</f>
        <v>666.50599999999997</v>
      </c>
      <c r="AS124" s="1120">
        <v>615.77499999999998</v>
      </c>
      <c r="AT124" s="531">
        <v>667.13</v>
      </c>
      <c r="AU124" s="531">
        <v>685.47699999999998</v>
      </c>
      <c r="AV124" s="1121">
        <v>669.87699999999995</v>
      </c>
      <c r="AW124" s="585">
        <f>AV124</f>
        <v>669.87699999999995</v>
      </c>
      <c r="AX124" s="1120">
        <v>641.01199999999994</v>
      </c>
      <c r="AY124" s="531">
        <v>883.12199999999996</v>
      </c>
      <c r="AZ124" s="531">
        <v>949.56</v>
      </c>
      <c r="BA124" s="1121">
        <f>917.716+598.482</f>
        <v>1516.1979999999999</v>
      </c>
      <c r="BB124" s="585">
        <f>BA124</f>
        <v>1516.1979999999999</v>
      </c>
      <c r="BC124" s="1120">
        <f>947.689+576.546</f>
        <v>1524.2350000000001</v>
      </c>
      <c r="BD124" s="531">
        <f>576.557+963.186</f>
        <v>1539.7429999999999</v>
      </c>
      <c r="BE124" s="531">
        <f>607.721+906.581</f>
        <v>1514.3020000000001</v>
      </c>
      <c r="BF124" s="1176">
        <f>905.531+585.833</f>
        <v>1491.364</v>
      </c>
      <c r="BG124" s="586">
        <f>BF124</f>
        <v>1491.364</v>
      </c>
      <c r="BH124" s="1120">
        <f>586.19+903.386</f>
        <v>1489.576</v>
      </c>
      <c r="BI124" s="531">
        <f>491.64+850.205</f>
        <v>1341.845</v>
      </c>
      <c r="BJ124" s="531">
        <f>414.203+865.924</f>
        <v>1280.127</v>
      </c>
      <c r="BK124" s="1121">
        <f>968.698+275.163</f>
        <v>1243.8609999999999</v>
      </c>
      <c r="BL124" s="585">
        <f>BK124</f>
        <v>1243.8609999999999</v>
      </c>
      <c r="BM124" s="1120">
        <f>146.573+969.453</f>
        <v>1116.0260000000001</v>
      </c>
      <c r="BN124" s="531">
        <f>1007.593+71.083</f>
        <v>1078.6759999999999</v>
      </c>
      <c r="BO124" s="531">
        <f>1045.143+0.393</f>
        <v>1045.5360000000001</v>
      </c>
      <c r="BP124" s="1121">
        <v>1028.451</v>
      </c>
      <c r="BQ124" s="585">
        <f>BP124</f>
        <v>1028.451</v>
      </c>
      <c r="BR124" s="1120">
        <v>1037.21</v>
      </c>
      <c r="BS124" s="531">
        <v>1030.3879999999999</v>
      </c>
      <c r="BT124" s="531">
        <v>1011.486</v>
      </c>
      <c r="BU124" s="1121">
        <v>955.64300000000003</v>
      </c>
      <c r="BV124" s="585">
        <f>BU124</f>
        <v>955.64300000000003</v>
      </c>
      <c r="BW124" s="1120">
        <v>930.09400000000005</v>
      </c>
      <c r="BX124" s="531">
        <v>927.42200000000003</v>
      </c>
      <c r="BY124" s="531">
        <v>946.00099999999998</v>
      </c>
      <c r="BZ124" s="1121">
        <v>822.91600000000005</v>
      </c>
      <c r="CA124" s="585">
        <f>BZ124</f>
        <v>822.91600000000005</v>
      </c>
      <c r="CB124" s="1120">
        <v>793.28599999999994</v>
      </c>
      <c r="CC124" s="531">
        <v>797.75800000000004</v>
      </c>
      <c r="CD124" s="531">
        <v>715.43399999999997</v>
      </c>
      <c r="CE124" s="1121">
        <v>718.91200000000003</v>
      </c>
      <c r="CF124" s="585">
        <f>CE124</f>
        <v>718.91200000000003</v>
      </c>
      <c r="CG124" s="1120">
        <v>717.09500000000003</v>
      </c>
      <c r="CH124" s="531">
        <v>740.99099999999999</v>
      </c>
      <c r="CI124" s="531">
        <v>758.75599999999997</v>
      </c>
      <c r="CJ124" s="1121">
        <v>812.98699999999997</v>
      </c>
      <c r="CK124" s="585">
        <f>CJ124</f>
        <v>812.98699999999997</v>
      </c>
      <c r="CL124" s="1120">
        <v>863.45399999999995</v>
      </c>
      <c r="CM124" s="585">
        <f>CM15*4*CM249</f>
        <v>1023.0893761605631</v>
      </c>
      <c r="CN124" s="585">
        <f>CN15*4*CN249</f>
        <v>1044.7591303115512</v>
      </c>
      <c r="CO124" s="1215">
        <f>CO15*4*CO249</f>
        <v>1020.3062837949404</v>
      </c>
      <c r="CP124" s="585">
        <f>CO124</f>
        <v>1020.3062837949404</v>
      </c>
      <c r="CQ124" s="1220">
        <f>CQ15*4*CQ249</f>
        <v>1074.9953690237742</v>
      </c>
      <c r="CR124" s="585">
        <f>CR15*4*CR249</f>
        <v>1061.2702880087095</v>
      </c>
      <c r="CS124" s="585">
        <f>CS15*4*CS249</f>
        <v>1038.7399058443739</v>
      </c>
      <c r="CT124" s="1215">
        <f>CT15*4*CT249</f>
        <v>995.79259542701686</v>
      </c>
      <c r="CU124" s="585">
        <f>CT124</f>
        <v>995.79259542701686</v>
      </c>
      <c r="CV124" s="1220">
        <f>CV15*4*CV249</f>
        <v>1047.5873798657774</v>
      </c>
      <c r="CW124" s="585">
        <f>CW15*4*CW249</f>
        <v>1030.862800992101</v>
      </c>
      <c r="CX124" s="585">
        <f>CX15*4*CX249</f>
        <v>1008.9798177459022</v>
      </c>
      <c r="CY124" s="1215">
        <f>CY15*4*CY249</f>
        <v>985.96766576395999</v>
      </c>
      <c r="CZ124" s="585">
        <f>CY124</f>
        <v>985.96766576395999</v>
      </c>
    </row>
    <row r="125" spans="1:104" ht="6.2" customHeight="1">
      <c r="A125" s="362"/>
      <c r="B125" s="410"/>
      <c r="C125" s="369"/>
      <c r="D125" s="362"/>
      <c r="E125" s="149"/>
      <c r="F125" s="149"/>
      <c r="G125" s="149"/>
      <c r="H125" s="149"/>
      <c r="I125" s="149"/>
      <c r="J125" s="75"/>
      <c r="K125" s="75"/>
      <c r="L125" s="75"/>
      <c r="M125" s="75"/>
      <c r="N125" s="75"/>
      <c r="O125" s="75"/>
      <c r="P125" s="75"/>
      <c r="Q125" s="75"/>
      <c r="R125" s="75"/>
      <c r="S125" s="75"/>
      <c r="T125" s="75"/>
      <c r="U125" s="75"/>
      <c r="V125" s="75"/>
      <c r="W125" s="75"/>
      <c r="X125" s="75"/>
      <c r="Y125" s="75"/>
      <c r="Z125" s="75"/>
      <c r="AA125" s="75"/>
      <c r="AB125" s="75"/>
      <c r="AC125" s="75"/>
      <c r="AD125" s="75"/>
      <c r="AE125" s="75"/>
      <c r="AF125" s="75"/>
      <c r="AG125" s="75"/>
      <c r="AH125" s="75"/>
      <c r="AI125" s="92"/>
      <c r="AJ125" s="75"/>
      <c r="AK125" s="75"/>
      <c r="AL125" s="75"/>
      <c r="AM125" s="75"/>
      <c r="AN125" s="75"/>
      <c r="AO125" s="92"/>
      <c r="AP125" s="75"/>
      <c r="AQ125" s="75"/>
      <c r="AR125" s="75"/>
      <c r="AS125" s="891"/>
      <c r="AT125" s="92"/>
      <c r="AU125" s="75"/>
      <c r="AV125" s="892"/>
      <c r="AW125" s="75"/>
      <c r="AX125" s="891"/>
      <c r="AY125" s="75"/>
      <c r="AZ125" s="75"/>
      <c r="BA125" s="1103"/>
      <c r="BB125" s="75"/>
      <c r="BC125" s="891"/>
      <c r="BD125" s="75"/>
      <c r="BE125" s="75"/>
      <c r="BF125" s="1155"/>
      <c r="BG125" s="379"/>
      <c r="BH125" s="891"/>
      <c r="BI125" s="75"/>
      <c r="BJ125" s="75"/>
      <c r="BK125" s="892"/>
      <c r="BL125" s="75"/>
      <c r="BM125" s="891"/>
      <c r="BN125" s="75"/>
      <c r="BO125" s="75"/>
      <c r="BP125" s="892"/>
      <c r="BQ125" s="75"/>
      <c r="BR125" s="891"/>
      <c r="BS125" s="75"/>
      <c r="BT125" s="75"/>
      <c r="BU125" s="892"/>
      <c r="BV125" s="75"/>
      <c r="BW125" s="891"/>
      <c r="BX125" s="75"/>
      <c r="BY125" s="75"/>
      <c r="BZ125" s="892"/>
      <c r="CA125" s="75"/>
      <c r="CB125" s="891"/>
      <c r="CC125" s="75"/>
      <c r="CD125" s="75"/>
      <c r="CE125" s="892"/>
      <c r="CF125" s="75"/>
      <c r="CG125" s="891"/>
      <c r="CH125" s="75"/>
      <c r="CI125" s="75"/>
      <c r="CJ125" s="892"/>
      <c r="CK125" s="75"/>
      <c r="CL125" s="891"/>
      <c r="CM125" s="75"/>
      <c r="CN125" s="75"/>
      <c r="CO125" s="892"/>
      <c r="CP125" s="75"/>
      <c r="CQ125" s="891"/>
      <c r="CR125" s="75"/>
      <c r="CS125" s="75"/>
      <c r="CT125" s="892"/>
      <c r="CU125" s="75"/>
      <c r="CV125" s="891"/>
      <c r="CW125" s="75"/>
      <c r="CX125" s="75"/>
      <c r="CY125" s="892"/>
      <c r="CZ125" s="75"/>
    </row>
    <row r="126" spans="1:104" ht="13.5" customHeight="1">
      <c r="A126" s="362"/>
      <c r="B126" s="374"/>
      <c r="C126" s="412" t="s">
        <v>329</v>
      </c>
      <c r="D126" s="362"/>
      <c r="E126" s="171"/>
      <c r="F126" s="171"/>
      <c r="G126" s="171"/>
      <c r="H126" s="171"/>
      <c r="I126" s="171"/>
      <c r="J126" s="80">
        <f t="shared" ref="J126:AM126" si="143">SUM(J119:J124)</f>
        <v>3755.8058639999999</v>
      </c>
      <c r="K126" s="80">
        <f t="shared" si="143"/>
        <v>3874.9612299999999</v>
      </c>
      <c r="L126" s="80">
        <f t="shared" si="143"/>
        <v>4020.4894100000001</v>
      </c>
      <c r="M126" s="80">
        <f t="shared" si="143"/>
        <v>4381.001217</v>
      </c>
      <c r="N126" s="80">
        <f t="shared" si="143"/>
        <v>4381.001217</v>
      </c>
      <c r="O126" s="80">
        <f t="shared" si="143"/>
        <v>4382.3308049999996</v>
      </c>
      <c r="P126" s="80">
        <f t="shared" si="143"/>
        <v>4350.4194420000003</v>
      </c>
      <c r="Q126" s="80">
        <f t="shared" si="143"/>
        <v>4440.552635</v>
      </c>
      <c r="R126" s="80">
        <f t="shared" si="143"/>
        <v>4492.3530540000002</v>
      </c>
      <c r="S126" s="80">
        <f t="shared" si="143"/>
        <v>4492.3530540000002</v>
      </c>
      <c r="T126" s="80">
        <f t="shared" si="143"/>
        <v>4829.0680000000002</v>
      </c>
      <c r="U126" s="80">
        <f t="shared" si="143"/>
        <v>5110.866</v>
      </c>
      <c r="V126" s="80">
        <f t="shared" si="143"/>
        <v>5885.4160000000002</v>
      </c>
      <c r="W126" s="80">
        <f t="shared" si="143"/>
        <v>6133.2069999999994</v>
      </c>
      <c r="X126" s="80">
        <f t="shared" si="143"/>
        <v>6133.2069999999994</v>
      </c>
      <c r="Y126" s="80">
        <f t="shared" si="143"/>
        <v>6613.1340000000009</v>
      </c>
      <c r="Z126" s="80">
        <f t="shared" si="143"/>
        <v>6462.505000000001</v>
      </c>
      <c r="AA126" s="80">
        <f t="shared" si="143"/>
        <v>6958.875</v>
      </c>
      <c r="AB126" s="80">
        <f t="shared" si="143"/>
        <v>7138.7870000000003</v>
      </c>
      <c r="AC126" s="80">
        <f t="shared" si="143"/>
        <v>7138.7870000000003</v>
      </c>
      <c r="AD126" s="80">
        <f t="shared" si="143"/>
        <v>7504.1460000000006</v>
      </c>
      <c r="AE126" s="80">
        <f t="shared" si="143"/>
        <v>7745.7529999999997</v>
      </c>
      <c r="AF126" s="80">
        <f t="shared" si="143"/>
        <v>7895.6669999999995</v>
      </c>
      <c r="AG126" s="80">
        <f t="shared" si="143"/>
        <v>7884.9889999999996</v>
      </c>
      <c r="AH126" s="80">
        <f t="shared" si="143"/>
        <v>7884.9889999999996</v>
      </c>
      <c r="AI126" s="86">
        <f t="shared" si="143"/>
        <v>8485.7340000000004</v>
      </c>
      <c r="AJ126" s="80">
        <f t="shared" si="143"/>
        <v>8468.3070000000007</v>
      </c>
      <c r="AK126" s="80">
        <f t="shared" si="143"/>
        <v>8300.2430000000004</v>
      </c>
      <c r="AL126" s="80">
        <f t="shared" si="143"/>
        <v>9826.1219999999994</v>
      </c>
      <c r="AM126" s="80">
        <f t="shared" si="143"/>
        <v>9826.1219999999994</v>
      </c>
      <c r="AN126" s="80">
        <f t="shared" ref="AN126:BL126" si="144">SUM(AN119:AN124)</f>
        <v>11340.521000000001</v>
      </c>
      <c r="AO126" s="86">
        <f t="shared" si="144"/>
        <v>14992.456000000002</v>
      </c>
      <c r="AP126" s="80">
        <f t="shared" si="144"/>
        <v>15336.547</v>
      </c>
      <c r="AQ126" s="80">
        <f t="shared" si="144"/>
        <v>13874.442999999999</v>
      </c>
      <c r="AR126" s="80">
        <f t="shared" si="144"/>
        <v>13874.442999999999</v>
      </c>
      <c r="AS126" s="1116">
        <f t="shared" si="144"/>
        <v>12586.474</v>
      </c>
      <c r="AT126" s="86">
        <f t="shared" si="144"/>
        <v>12411.047</v>
      </c>
      <c r="AU126" s="86">
        <f t="shared" si="144"/>
        <v>12670.012000000001</v>
      </c>
      <c r="AV126" s="1117">
        <f t="shared" si="144"/>
        <v>12571.904</v>
      </c>
      <c r="AW126" s="86">
        <f t="shared" si="144"/>
        <v>12571.904</v>
      </c>
      <c r="AX126" s="1116">
        <f t="shared" si="144"/>
        <v>12802.701999999999</v>
      </c>
      <c r="AY126" s="86">
        <f t="shared" si="144"/>
        <v>12688.18</v>
      </c>
      <c r="AZ126" s="86">
        <f t="shared" si="144"/>
        <v>13260.924999999999</v>
      </c>
      <c r="BA126" s="1117">
        <f t="shared" si="144"/>
        <v>13921.91</v>
      </c>
      <c r="BB126" s="86">
        <f t="shared" si="144"/>
        <v>13921.91</v>
      </c>
      <c r="BC126" s="1116">
        <f t="shared" si="144"/>
        <v>14344.446000000002</v>
      </c>
      <c r="BD126" s="86">
        <f t="shared" si="144"/>
        <v>14733.549000000001</v>
      </c>
      <c r="BE126" s="86">
        <f t="shared" si="144"/>
        <v>14807.264999999998</v>
      </c>
      <c r="BF126" s="1174">
        <f t="shared" si="144"/>
        <v>14570.35</v>
      </c>
      <c r="BG126" s="584">
        <f t="shared" si="144"/>
        <v>14570.35</v>
      </c>
      <c r="BH126" s="1116">
        <f t="shared" si="144"/>
        <v>14814.465</v>
      </c>
      <c r="BI126" s="86">
        <f t="shared" si="144"/>
        <v>14766.565999999999</v>
      </c>
      <c r="BJ126" s="86">
        <f t="shared" si="144"/>
        <v>14997.246999999999</v>
      </c>
      <c r="BK126" s="1174">
        <f t="shared" si="144"/>
        <v>14087.859</v>
      </c>
      <c r="BL126" s="86">
        <f t="shared" si="144"/>
        <v>14087.859</v>
      </c>
      <c r="BM126" s="1196">
        <v>14039.01</v>
      </c>
      <c r="BN126" s="86">
        <f t="shared" ref="BN126:BT126" si="145">SUM(BN119:BN124)</f>
        <v>13766.651</v>
      </c>
      <c r="BO126" s="86">
        <f t="shared" si="145"/>
        <v>15091.776</v>
      </c>
      <c r="BP126" s="1117">
        <f t="shared" si="145"/>
        <v>15203.282999999999</v>
      </c>
      <c r="BQ126" s="86">
        <f t="shared" si="145"/>
        <v>15203.282999999999</v>
      </c>
      <c r="BR126" s="1116">
        <f t="shared" si="145"/>
        <v>15118.011000000002</v>
      </c>
      <c r="BS126" s="86">
        <f t="shared" si="145"/>
        <v>15310.887999999999</v>
      </c>
      <c r="BT126" s="86">
        <f t="shared" si="145"/>
        <v>15493.594000000001</v>
      </c>
      <c r="BU126" s="1202">
        <v>15615.927</v>
      </c>
      <c r="BV126" s="86">
        <f t="shared" ref="BV126:CZ126" si="146">SUM(BV119:BV124)</f>
        <v>15615.927000000001</v>
      </c>
      <c r="BW126" s="1116">
        <f t="shared" si="146"/>
        <v>14855.438000000002</v>
      </c>
      <c r="BX126" s="86">
        <f t="shared" si="146"/>
        <v>15068.177</v>
      </c>
      <c r="BY126" s="86">
        <f t="shared" si="146"/>
        <v>15269.468000000001</v>
      </c>
      <c r="BZ126" s="1117">
        <f t="shared" si="146"/>
        <v>14250.399000000001</v>
      </c>
      <c r="CA126" s="86">
        <f t="shared" si="146"/>
        <v>14250.399000000001</v>
      </c>
      <c r="CB126" s="1116">
        <f t="shared" si="146"/>
        <v>14395.104000000001</v>
      </c>
      <c r="CC126" s="86">
        <f t="shared" si="146"/>
        <v>14924.583000000001</v>
      </c>
      <c r="CD126" s="86">
        <f t="shared" si="146"/>
        <v>15113.679</v>
      </c>
      <c r="CE126" s="1117">
        <f t="shared" si="146"/>
        <v>15223.518</v>
      </c>
      <c r="CF126" s="86">
        <f t="shared" si="146"/>
        <v>15223.518</v>
      </c>
      <c r="CG126" s="1116">
        <f t="shared" si="146"/>
        <v>15875.460000000001</v>
      </c>
      <c r="CH126" s="86">
        <f t="shared" si="146"/>
        <v>16112.725</v>
      </c>
      <c r="CI126" s="86">
        <f t="shared" si="146"/>
        <v>16503.833999999999</v>
      </c>
      <c r="CJ126" s="1117">
        <f t="shared" si="146"/>
        <v>15841.258</v>
      </c>
      <c r="CK126" s="86">
        <f t="shared" si="146"/>
        <v>15841.258</v>
      </c>
      <c r="CL126" s="1116">
        <f t="shared" ref="CL126" si="147">SUM(CL119:CL124)</f>
        <v>16121.245999999999</v>
      </c>
      <c r="CM126" s="86">
        <f t="shared" si="146"/>
        <v>17475.500251190431</v>
      </c>
      <c r="CN126" s="86">
        <f t="shared" si="146"/>
        <v>18060.059386617399</v>
      </c>
      <c r="CO126" s="1117">
        <f t="shared" si="146"/>
        <v>18263.734636605401</v>
      </c>
      <c r="CP126" s="86">
        <f t="shared" si="146"/>
        <v>18263.734636605401</v>
      </c>
      <c r="CQ126" s="1116">
        <f t="shared" si="146"/>
        <v>18935.295528262581</v>
      </c>
      <c r="CR126" s="86">
        <f t="shared" si="146"/>
        <v>19295.398969441849</v>
      </c>
      <c r="CS126" s="86">
        <f t="shared" si="146"/>
        <v>19691.038472528064</v>
      </c>
      <c r="CT126" s="1117">
        <f t="shared" si="146"/>
        <v>19723.335494427272</v>
      </c>
      <c r="CU126" s="86">
        <f t="shared" si="146"/>
        <v>19723.335494427272</v>
      </c>
      <c r="CV126" s="1116">
        <f t="shared" si="146"/>
        <v>20276.749294178295</v>
      </c>
      <c r="CW126" s="86">
        <f t="shared" si="146"/>
        <v>20566.366040606299</v>
      </c>
      <c r="CX126" s="86">
        <f t="shared" si="146"/>
        <v>20931.168652932931</v>
      </c>
      <c r="CY126" s="1117">
        <f t="shared" si="146"/>
        <v>21059.937846174827</v>
      </c>
      <c r="CZ126" s="86">
        <f t="shared" si="146"/>
        <v>21059.937846174827</v>
      </c>
    </row>
    <row r="127" spans="1:104" ht="6.2" customHeight="1">
      <c r="A127" s="362"/>
      <c r="B127" s="404"/>
      <c r="C127" s="362"/>
      <c r="D127" s="362"/>
      <c r="E127" s="20"/>
      <c r="F127" s="20"/>
      <c r="G127" s="20"/>
      <c r="H127" s="20"/>
      <c r="I127" s="20"/>
      <c r="J127" s="75"/>
      <c r="K127" s="75"/>
      <c r="L127" s="75"/>
      <c r="M127" s="75"/>
      <c r="N127" s="75"/>
      <c r="O127" s="83"/>
      <c r="P127" s="75"/>
      <c r="Q127" s="75"/>
      <c r="R127" s="75"/>
      <c r="S127" s="75"/>
      <c r="T127" s="75"/>
      <c r="U127" s="75"/>
      <c r="V127" s="75"/>
      <c r="W127" s="75"/>
      <c r="X127" s="75"/>
      <c r="Y127" s="75"/>
      <c r="Z127" s="75"/>
      <c r="AA127" s="75"/>
      <c r="AB127" s="75"/>
      <c r="AC127" s="75"/>
      <c r="AD127" s="75"/>
      <c r="AE127" s="75"/>
      <c r="AF127" s="75"/>
      <c r="AG127" s="75"/>
      <c r="AH127" s="75"/>
      <c r="AI127" s="92"/>
      <c r="AJ127" s="75"/>
      <c r="AK127" s="75"/>
      <c r="AL127" s="75"/>
      <c r="AM127" s="75"/>
      <c r="AN127" s="75"/>
      <c r="AO127" s="92"/>
      <c r="AP127" s="75"/>
      <c r="AQ127" s="75"/>
      <c r="AR127" s="75"/>
      <c r="AS127" s="891"/>
      <c r="AT127" s="92"/>
      <c r="AU127" s="75"/>
      <c r="AV127" s="892"/>
      <c r="AW127" s="75"/>
      <c r="AX127" s="891"/>
      <c r="AY127" s="75"/>
      <c r="AZ127" s="75"/>
      <c r="BA127" s="892"/>
      <c r="BB127" s="75"/>
      <c r="BC127" s="891"/>
      <c r="BD127" s="75"/>
      <c r="BE127" s="75"/>
      <c r="BF127" s="1155"/>
      <c r="BG127" s="379"/>
      <c r="BH127" s="891"/>
      <c r="BI127" s="75"/>
      <c r="BJ127" s="75"/>
      <c r="BK127" s="892"/>
      <c r="BL127" s="75"/>
      <c r="BM127" s="891"/>
      <c r="BN127" s="75"/>
      <c r="BO127" s="75"/>
      <c r="BP127" s="892"/>
      <c r="BQ127" s="75"/>
      <c r="BR127" s="891"/>
      <c r="BS127" s="75"/>
      <c r="BT127" s="75"/>
      <c r="BU127" s="892"/>
      <c r="BV127" s="75"/>
      <c r="BW127" s="891"/>
      <c r="BX127" s="75"/>
      <c r="BY127" s="75"/>
      <c r="BZ127" s="892"/>
      <c r="CA127" s="75"/>
      <c r="CB127" s="891"/>
      <c r="CC127" s="75"/>
      <c r="CD127" s="75"/>
      <c r="CE127" s="892"/>
      <c r="CF127" s="75"/>
      <c r="CG127" s="891"/>
      <c r="CH127" s="75"/>
      <c r="CI127" s="75"/>
      <c r="CJ127" s="892"/>
      <c r="CK127" s="75"/>
      <c r="CL127" s="891"/>
      <c r="CM127" s="75"/>
      <c r="CN127" s="75"/>
      <c r="CO127" s="892"/>
      <c r="CP127" s="75"/>
      <c r="CQ127" s="891"/>
      <c r="CR127" s="75"/>
      <c r="CS127" s="75"/>
      <c r="CT127" s="892"/>
      <c r="CU127" s="75"/>
      <c r="CV127" s="891"/>
      <c r="CW127" s="75"/>
      <c r="CX127" s="75"/>
      <c r="CY127" s="892"/>
      <c r="CZ127" s="75"/>
    </row>
    <row r="128" spans="1:104" ht="13.5" customHeight="1">
      <c r="A128" s="411" t="s">
        <v>337</v>
      </c>
      <c r="B128" s="404"/>
      <c r="C128" s="362"/>
      <c r="D128" s="362"/>
      <c r="E128" s="20"/>
      <c r="F128" s="20"/>
      <c r="G128" s="20"/>
      <c r="H128" s="20"/>
      <c r="I128" s="20"/>
      <c r="J128" s="75"/>
      <c r="K128" s="75"/>
      <c r="L128" s="75"/>
      <c r="M128" s="75"/>
      <c r="N128" s="75"/>
      <c r="O128" s="83"/>
      <c r="P128" s="75"/>
      <c r="Q128" s="75"/>
      <c r="R128" s="75"/>
      <c r="S128" s="75"/>
      <c r="T128" s="75"/>
      <c r="U128" s="75"/>
      <c r="V128" s="75"/>
      <c r="W128" s="75"/>
      <c r="X128" s="75"/>
      <c r="Y128" s="75"/>
      <c r="Z128" s="75"/>
      <c r="AA128" s="75"/>
      <c r="AB128" s="75"/>
      <c r="AC128" s="75"/>
      <c r="AD128" s="75"/>
      <c r="AE128" s="75"/>
      <c r="AF128" s="75"/>
      <c r="AG128" s="75"/>
      <c r="AH128" s="75"/>
      <c r="AI128" s="92"/>
      <c r="AJ128" s="75"/>
      <c r="AK128" s="75"/>
      <c r="AL128" s="75"/>
      <c r="AM128" s="75"/>
      <c r="AN128" s="75"/>
      <c r="AO128" s="92"/>
      <c r="AP128" s="75"/>
      <c r="AQ128" s="75"/>
      <c r="AR128" s="75"/>
      <c r="AS128" s="891"/>
      <c r="AT128" s="92"/>
      <c r="AU128" s="75"/>
      <c r="AV128" s="892"/>
      <c r="AW128" s="75"/>
      <c r="AX128" s="891"/>
      <c r="AY128" s="75"/>
      <c r="AZ128" s="75"/>
      <c r="BA128" s="892"/>
      <c r="BB128" s="75"/>
      <c r="BC128" s="891"/>
      <c r="BD128" s="75"/>
      <c r="BE128" s="75"/>
      <c r="BF128" s="1155"/>
      <c r="BG128" s="379"/>
      <c r="BH128" s="891"/>
      <c r="BI128" s="75"/>
      <c r="BJ128" s="75"/>
      <c r="BK128" s="892"/>
      <c r="BL128" s="75"/>
      <c r="BM128" s="891"/>
      <c r="BN128" s="75"/>
      <c r="BO128" s="75"/>
      <c r="BP128" s="892"/>
      <c r="BQ128" s="75"/>
      <c r="BR128" s="891"/>
      <c r="BS128" s="75"/>
      <c r="BT128" s="75"/>
      <c r="BU128" s="892"/>
      <c r="BV128" s="75"/>
      <c r="BW128" s="891"/>
      <c r="BX128" s="75"/>
      <c r="BY128" s="75"/>
      <c r="BZ128" s="892"/>
      <c r="CA128" s="75"/>
      <c r="CB128" s="891"/>
      <c r="CC128" s="75"/>
      <c r="CD128" s="75"/>
      <c r="CE128" s="892"/>
      <c r="CF128" s="75"/>
      <c r="CG128" s="891"/>
      <c r="CH128" s="75"/>
      <c r="CI128" s="75"/>
      <c r="CJ128" s="892"/>
      <c r="CK128" s="75"/>
      <c r="CL128" s="891"/>
      <c r="CM128" s="75"/>
      <c r="CN128" s="75"/>
      <c r="CO128" s="892"/>
      <c r="CP128" s="75"/>
      <c r="CQ128" s="891"/>
      <c r="CR128" s="75"/>
      <c r="CS128" s="75"/>
      <c r="CT128" s="892"/>
      <c r="CU128" s="75"/>
      <c r="CV128" s="891"/>
      <c r="CW128" s="75"/>
      <c r="CX128" s="75"/>
      <c r="CY128" s="892"/>
      <c r="CZ128" s="75"/>
    </row>
    <row r="129" spans="1:104" ht="13.5" customHeight="1">
      <c r="A129" s="362"/>
      <c r="B129" s="410" t="s">
        <v>36</v>
      </c>
      <c r="C129" s="362"/>
      <c r="D129" s="362"/>
      <c r="E129" s="171"/>
      <c r="F129" s="171"/>
      <c r="G129" s="171"/>
      <c r="H129" s="171"/>
      <c r="I129" s="171"/>
      <c r="J129" s="75">
        <v>250.90970300000001</v>
      </c>
      <c r="K129" s="75">
        <v>281.64830599999999</v>
      </c>
      <c r="L129" s="75">
        <v>301.92634199999998</v>
      </c>
      <c r="M129" s="75">
        <v>247.22906699999999</v>
      </c>
      <c r="N129" s="75">
        <f>M129</f>
        <v>247.22906699999999</v>
      </c>
      <c r="O129" s="75">
        <v>326.76861500000001</v>
      </c>
      <c r="P129" s="75">
        <v>290.63001100000002</v>
      </c>
      <c r="Q129" s="75">
        <v>339.30823500000002</v>
      </c>
      <c r="R129" s="75">
        <v>329.86273999999997</v>
      </c>
      <c r="S129" s="75">
        <f>R129</f>
        <v>329.86273999999997</v>
      </c>
      <c r="T129" s="75">
        <v>486.803</v>
      </c>
      <c r="U129" s="75">
        <v>412.59500000000003</v>
      </c>
      <c r="V129" s="75">
        <v>565.61599999999999</v>
      </c>
      <c r="W129" s="75">
        <f>471.549</f>
        <v>471.54899999999998</v>
      </c>
      <c r="X129" s="75">
        <f>W129</f>
        <v>471.54899999999998</v>
      </c>
      <c r="Y129" s="75">
        <v>524.65599999999995</v>
      </c>
      <c r="Z129" s="75">
        <v>447.21100000000001</v>
      </c>
      <c r="AA129" s="75">
        <v>573.47699999999998</v>
      </c>
      <c r="AB129" s="75">
        <f>501.624</f>
        <v>501.62400000000002</v>
      </c>
      <c r="AC129" s="75">
        <f>AB129</f>
        <v>501.62400000000002</v>
      </c>
      <c r="AD129" s="75">
        <v>592.37300000000005</v>
      </c>
      <c r="AE129" s="75">
        <v>712.99900000000002</v>
      </c>
      <c r="AF129" s="75">
        <v>679.12800000000004</v>
      </c>
      <c r="AG129" s="75">
        <v>516.64</v>
      </c>
      <c r="AH129" s="75">
        <f>AG129</f>
        <v>516.64</v>
      </c>
      <c r="AI129" s="92">
        <v>796.32</v>
      </c>
      <c r="AJ129" s="75">
        <v>799.69200000000001</v>
      </c>
      <c r="AK129" s="75">
        <v>784.32899999999995</v>
      </c>
      <c r="AL129" s="75">
        <v>691.66800000000001</v>
      </c>
      <c r="AM129" s="75">
        <f>AL129</f>
        <v>691.66800000000001</v>
      </c>
      <c r="AN129" s="75">
        <v>1345.3219999999999</v>
      </c>
      <c r="AO129" s="92">
        <v>1826.777</v>
      </c>
      <c r="AP129" s="75">
        <v>1711.893</v>
      </c>
      <c r="AQ129" s="75">
        <v>534.16099999999994</v>
      </c>
      <c r="AR129" s="75">
        <f>AQ129</f>
        <v>534.16099999999994</v>
      </c>
      <c r="AS129" s="1102">
        <v>406.21800000000002</v>
      </c>
      <c r="AT129" s="523">
        <v>413.34699999999998</v>
      </c>
      <c r="AU129" s="523">
        <v>749.24599999999998</v>
      </c>
      <c r="AV129" s="1103">
        <v>707.03800000000001</v>
      </c>
      <c r="AW129" s="550">
        <f>AV129</f>
        <v>707.03800000000001</v>
      </c>
      <c r="AX129" s="1102">
        <v>941.45799999999997</v>
      </c>
      <c r="AY129" s="523">
        <v>887.08600000000001</v>
      </c>
      <c r="AZ129" s="523">
        <v>817.78499999999997</v>
      </c>
      <c r="BA129" s="1103">
        <v>896.70299999999997</v>
      </c>
      <c r="BB129" s="550">
        <f>BA129</f>
        <v>896.70299999999997</v>
      </c>
      <c r="BC129" s="1102">
        <v>1114.2560000000001</v>
      </c>
      <c r="BD129" s="523">
        <v>1143.5360000000001</v>
      </c>
      <c r="BE129" s="523">
        <v>1175.1949999999999</v>
      </c>
      <c r="BF129" s="1167">
        <v>958.64499999999998</v>
      </c>
      <c r="BG129" s="577">
        <f>BF129</f>
        <v>958.64499999999998</v>
      </c>
      <c r="BH129" s="1102">
        <v>1188.433</v>
      </c>
      <c r="BI129" s="523">
        <v>1127.471</v>
      </c>
      <c r="BJ129" s="523">
        <v>1186.665</v>
      </c>
      <c r="BK129" s="1103">
        <v>1046.713</v>
      </c>
      <c r="BL129" s="550">
        <f>BK129</f>
        <v>1046.713</v>
      </c>
      <c r="BM129" s="1102">
        <v>1021.076</v>
      </c>
      <c r="BN129" s="523">
        <v>979.22</v>
      </c>
      <c r="BO129" s="523">
        <v>1137.3520000000001</v>
      </c>
      <c r="BP129" s="1103">
        <v>1117.078</v>
      </c>
      <c r="BQ129" s="550">
        <f>BP129</f>
        <v>1117.078</v>
      </c>
      <c r="BR129" s="1102">
        <v>1062.5719999999999</v>
      </c>
      <c r="BS129" s="523">
        <v>1124.077</v>
      </c>
      <c r="BT129" s="523">
        <v>1113.2840000000001</v>
      </c>
      <c r="BU129" s="1103">
        <v>993.87199999999996</v>
      </c>
      <c r="BV129" s="550">
        <f>BU129</f>
        <v>993.87199999999996</v>
      </c>
      <c r="BW129" s="1102">
        <v>746.18399999999997</v>
      </c>
      <c r="BX129" s="523">
        <v>820.55700000000002</v>
      </c>
      <c r="BY129" s="523">
        <v>907.33199999999999</v>
      </c>
      <c r="BZ129" s="1103">
        <v>566.52700000000004</v>
      </c>
      <c r="CA129" s="550">
        <f>BZ129</f>
        <v>566.52700000000004</v>
      </c>
      <c r="CB129" s="1102">
        <v>758.70299999999997</v>
      </c>
      <c r="CC129" s="523">
        <v>1023.213</v>
      </c>
      <c r="CD129" s="523">
        <v>926.11800000000005</v>
      </c>
      <c r="CE129" s="1103">
        <v>838.10900000000004</v>
      </c>
      <c r="CF129" s="550">
        <f>CE129</f>
        <v>838.10900000000004</v>
      </c>
      <c r="CG129" s="1102">
        <v>1257.9000000000001</v>
      </c>
      <c r="CH129" s="523">
        <v>1214.3130000000001</v>
      </c>
      <c r="CI129" s="523">
        <v>1312.817</v>
      </c>
      <c r="CJ129" s="1103">
        <v>1181.346</v>
      </c>
      <c r="CK129" s="550">
        <f>CJ129</f>
        <v>1181.346</v>
      </c>
      <c r="CL129" s="1102">
        <v>1329.902</v>
      </c>
      <c r="CM129" s="550">
        <f>(CM245)/(365/(CM23*4))</f>
        <v>1537.7933901670133</v>
      </c>
      <c r="CN129" s="550">
        <f>(CN245)/(365/(CN23*4))</f>
        <v>1644.2507783523486</v>
      </c>
      <c r="CO129" s="890">
        <f>(CO245)/(365/(CO23*4))</f>
        <v>1468.1838947618396</v>
      </c>
      <c r="CP129" s="550">
        <f>CO129</f>
        <v>1468.1838947618396</v>
      </c>
      <c r="CQ129" s="889">
        <f>(CQ245)/(365/(CQ23*4))</f>
        <v>1644.3842399550338</v>
      </c>
      <c r="CR129" s="550">
        <f>(CR245)/(365/(CR23*4))</f>
        <v>1611.3396208044576</v>
      </c>
      <c r="CS129" s="550">
        <f>(CS245)/(365/(CS23*4))</f>
        <v>1669.1303333872779</v>
      </c>
      <c r="CT129" s="890">
        <f>(CT245)/(365/(CT23*4))</f>
        <v>1474.6390259014936</v>
      </c>
      <c r="CU129" s="550">
        <f>CT129</f>
        <v>1474.6390259014936</v>
      </c>
      <c r="CV129" s="889">
        <f>(CV245)/(365/(CV23*4))</f>
        <v>1633.4058298137672</v>
      </c>
      <c r="CW129" s="550">
        <f>(CW245)/(365/(CW23*4))</f>
        <v>1575.6036609077687</v>
      </c>
      <c r="CX129" s="550">
        <f>(CX245)/(365/(CX23*4))</f>
        <v>1626.0819210637223</v>
      </c>
      <c r="CY129" s="890">
        <f>(CY245)/(365/(CY23*4))</f>
        <v>1435.7448326761585</v>
      </c>
      <c r="CZ129" s="550">
        <f>CY129</f>
        <v>1435.7448326761585</v>
      </c>
    </row>
    <row r="130" spans="1:104" ht="13.5" customHeight="1">
      <c r="A130" s="362"/>
      <c r="B130" s="362" t="s">
        <v>338</v>
      </c>
      <c r="C130" s="362"/>
      <c r="D130" s="362"/>
      <c r="E130" s="171"/>
      <c r="F130" s="171"/>
      <c r="G130" s="171"/>
      <c r="H130" s="171"/>
      <c r="I130" s="171"/>
      <c r="J130" s="75">
        <v>0</v>
      </c>
      <c r="K130" s="75">
        <v>0</v>
      </c>
      <c r="L130" s="75">
        <v>0</v>
      </c>
      <c r="M130" s="75">
        <v>16</v>
      </c>
      <c r="N130" s="75">
        <f>M130</f>
        <v>16</v>
      </c>
      <c r="O130" s="75">
        <v>0</v>
      </c>
      <c r="P130" s="75">
        <v>0</v>
      </c>
      <c r="Q130" s="75">
        <v>0</v>
      </c>
      <c r="R130" s="75">
        <v>0</v>
      </c>
      <c r="S130" s="75">
        <f>R130</f>
        <v>0</v>
      </c>
      <c r="T130" s="75">
        <v>0</v>
      </c>
      <c r="U130" s="75">
        <v>0</v>
      </c>
      <c r="V130" s="75">
        <v>0</v>
      </c>
      <c r="W130" s="75">
        <v>0</v>
      </c>
      <c r="X130" s="75">
        <f>W130</f>
        <v>0</v>
      </c>
      <c r="Y130" s="75">
        <v>0</v>
      </c>
      <c r="Z130" s="75">
        <v>1.25</v>
      </c>
      <c r="AA130" s="75">
        <v>1.25</v>
      </c>
      <c r="AB130" s="75">
        <v>1.25</v>
      </c>
      <c r="AC130" s="75">
        <f>AB130</f>
        <v>1.25</v>
      </c>
      <c r="AD130" s="75">
        <v>1.25</v>
      </c>
      <c r="AE130" s="75">
        <v>1.25</v>
      </c>
      <c r="AF130" s="75">
        <v>0</v>
      </c>
      <c r="AG130" s="75">
        <v>0</v>
      </c>
      <c r="AH130" s="75">
        <f>AG130</f>
        <v>0</v>
      </c>
      <c r="AI130" s="92">
        <v>92.774000000000001</v>
      </c>
      <c r="AJ130" s="75">
        <v>23.54</v>
      </c>
      <c r="AK130" s="75">
        <v>22.265000000000001</v>
      </c>
      <c r="AL130" s="75">
        <v>22.867999999999999</v>
      </c>
      <c r="AM130" s="75">
        <f>AL130</f>
        <v>22.867999999999999</v>
      </c>
      <c r="AN130" s="75">
        <f>12.367+175</f>
        <v>187.36699999999999</v>
      </c>
      <c r="AO130" s="92">
        <v>1.4390000000000001</v>
      </c>
      <c r="AP130" s="75">
        <f>14.979+180.4</f>
        <v>195.37900000000002</v>
      </c>
      <c r="AQ130" s="75">
        <f>8.622+180.4</f>
        <v>189.02199999999999</v>
      </c>
      <c r="AR130" s="75">
        <f>AQ130</f>
        <v>189.02199999999999</v>
      </c>
      <c r="AS130" s="1102">
        <f>6.299+5.4</f>
        <v>11.699000000000002</v>
      </c>
      <c r="AT130" s="523">
        <f>5.942+5.4</f>
        <v>11.342000000000001</v>
      </c>
      <c r="AU130" s="523">
        <v>3.4279999999999999</v>
      </c>
      <c r="AV130" s="1103">
        <f>1.748+6</f>
        <v>7.7480000000000002</v>
      </c>
      <c r="AW130" s="550">
        <f>AV130</f>
        <v>7.7480000000000002</v>
      </c>
      <c r="AX130" s="1102">
        <f>9.075+6</f>
        <v>15.074999999999999</v>
      </c>
      <c r="AY130" s="523">
        <v>2.5990000000000002</v>
      </c>
      <c r="AZ130" s="523">
        <v>3.0920000000000001</v>
      </c>
      <c r="BA130" s="1103">
        <v>13.327999999999999</v>
      </c>
      <c r="BB130" s="550">
        <f>BA130</f>
        <v>13.327999999999999</v>
      </c>
      <c r="BC130" s="1102">
        <v>16.965</v>
      </c>
      <c r="BD130" s="523">
        <v>14.673</v>
      </c>
      <c r="BE130" s="523">
        <f>7.624+350</f>
        <v>357.62400000000002</v>
      </c>
      <c r="BF130" s="1167">
        <f>1.826+650</f>
        <v>651.82600000000002</v>
      </c>
      <c r="BG130" s="577">
        <f>BF130</f>
        <v>651.82600000000002</v>
      </c>
      <c r="BH130" s="1102">
        <f>8.04+650</f>
        <v>658.04</v>
      </c>
      <c r="BI130" s="523">
        <f>7.109+900</f>
        <v>907.10900000000004</v>
      </c>
      <c r="BJ130" s="523">
        <f>900+30.865</f>
        <v>930.86500000000001</v>
      </c>
      <c r="BK130" s="1103">
        <f>29.912+250</f>
        <v>279.91199999999998</v>
      </c>
      <c r="BL130" s="550">
        <f>BK130</f>
        <v>279.91199999999998</v>
      </c>
      <c r="BM130" s="1102">
        <f>42.384+250</f>
        <v>292.38400000000001</v>
      </c>
      <c r="BN130" s="523">
        <v>31.667999999999999</v>
      </c>
      <c r="BO130" s="523">
        <v>38.203000000000003</v>
      </c>
      <c r="BP130" s="1103">
        <f>29.202+3.3</f>
        <v>32.502000000000002</v>
      </c>
      <c r="BQ130" s="550">
        <f>BP130</f>
        <v>32.502000000000002</v>
      </c>
      <c r="BR130" s="1102">
        <f>27.072+3.3</f>
        <v>30.372</v>
      </c>
      <c r="BS130" s="523">
        <f>42.414+11.3</f>
        <v>53.713999999999999</v>
      </c>
      <c r="BT130" s="523">
        <f>41.101+16.3</f>
        <v>57.400999999999996</v>
      </c>
      <c r="BU130" s="1103">
        <f>207.476+16.335</f>
        <v>223.81100000000001</v>
      </c>
      <c r="BV130" s="550">
        <f>BU130</f>
        <v>223.81100000000001</v>
      </c>
      <c r="BW130" s="1102">
        <f>26.891+16.3</f>
        <v>43.191000000000003</v>
      </c>
      <c r="BX130" s="523">
        <f>42.664+8.3</f>
        <v>50.963999999999999</v>
      </c>
      <c r="BY130" s="523">
        <f>54.601+0</f>
        <v>54.600999999999999</v>
      </c>
      <c r="BZ130" s="1103">
        <v>51.314999999999998</v>
      </c>
      <c r="CA130" s="550">
        <f>BZ130</f>
        <v>51.314999999999998</v>
      </c>
      <c r="CB130" s="1102">
        <v>36.655000000000001</v>
      </c>
      <c r="CC130" s="523">
        <v>19.951000000000001</v>
      </c>
      <c r="CD130" s="523">
        <v>29.795000000000002</v>
      </c>
      <c r="CE130" s="1103">
        <f>17.959+600</f>
        <v>617.95899999999995</v>
      </c>
      <c r="CF130" s="550">
        <f>CE130</f>
        <v>617.95899999999995</v>
      </c>
      <c r="CG130" s="1102">
        <f>48.153+600</f>
        <v>648.15300000000002</v>
      </c>
      <c r="CH130" s="523">
        <f>39.197+1100</f>
        <v>1139.1970000000001</v>
      </c>
      <c r="CI130" s="523">
        <f>50.37+1100</f>
        <v>1150.3699999999999</v>
      </c>
      <c r="CJ130" s="1103">
        <f>52.833+500</f>
        <v>552.83299999999997</v>
      </c>
      <c r="CK130" s="550">
        <f>CJ130</f>
        <v>552.83299999999997</v>
      </c>
      <c r="CL130" s="1102">
        <f>74.036+500</f>
        <v>574.03600000000006</v>
      </c>
      <c r="CM130" s="550">
        <f>'debt schedule'!CM141</f>
        <v>0</v>
      </c>
      <c r="CN130" s="550">
        <f>'debt schedule'!CN141</f>
        <v>0</v>
      </c>
      <c r="CO130" s="890">
        <f>'debt schedule'!CO141</f>
        <v>0</v>
      </c>
      <c r="CP130" s="550">
        <f>CO130</f>
        <v>0</v>
      </c>
      <c r="CQ130" s="889">
        <f>'debt schedule'!CQ141</f>
        <v>0</v>
      </c>
      <c r="CR130" s="550">
        <f>'debt schedule'!CR141</f>
        <v>0</v>
      </c>
      <c r="CS130" s="550">
        <f>'debt schedule'!CS141</f>
        <v>0</v>
      </c>
      <c r="CT130" s="890">
        <f>'debt schedule'!CT141</f>
        <v>0</v>
      </c>
      <c r="CU130" s="550">
        <f>CT130</f>
        <v>0</v>
      </c>
      <c r="CV130" s="889">
        <f>'debt schedule'!CV141</f>
        <v>0</v>
      </c>
      <c r="CW130" s="550">
        <f>'debt schedule'!CW141</f>
        <v>0</v>
      </c>
      <c r="CX130" s="550">
        <f>'debt schedule'!CX141</f>
        <v>0</v>
      </c>
      <c r="CY130" s="890">
        <f>'debt schedule'!CY141</f>
        <v>0</v>
      </c>
      <c r="CZ130" s="550">
        <f>CY130</f>
        <v>0</v>
      </c>
    </row>
    <row r="131" spans="1:104" ht="13.5" customHeight="1">
      <c r="A131" s="362"/>
      <c r="B131" s="362" t="s">
        <v>490</v>
      </c>
      <c r="C131" s="362"/>
      <c r="D131" s="362"/>
      <c r="E131" s="171"/>
      <c r="F131" s="171"/>
      <c r="G131" s="171"/>
      <c r="H131" s="171"/>
      <c r="I131" s="171"/>
      <c r="J131" s="75">
        <v>7.5726699999999996</v>
      </c>
      <c r="K131" s="75">
        <v>20.805319000000001</v>
      </c>
      <c r="L131" s="75">
        <v>28.805319000000001</v>
      </c>
      <c r="M131" s="75">
        <v>8.9489990000000006</v>
      </c>
      <c r="N131" s="75">
        <f>M131</f>
        <v>8.9489990000000006</v>
      </c>
      <c r="O131" s="75">
        <v>11.111039</v>
      </c>
      <c r="P131" s="75">
        <v>4.1059809999999999</v>
      </c>
      <c r="Q131" s="75">
        <f>4.105981</f>
        <v>4.1059809999999999</v>
      </c>
      <c r="R131" s="75">
        <v>0</v>
      </c>
      <c r="S131" s="75">
        <f>R131</f>
        <v>0</v>
      </c>
      <c r="T131" s="75">
        <v>0</v>
      </c>
      <c r="U131" s="75">
        <v>0</v>
      </c>
      <c r="V131" s="75">
        <v>0</v>
      </c>
      <c r="W131" s="75">
        <v>0</v>
      </c>
      <c r="X131" s="75">
        <f>W131</f>
        <v>0</v>
      </c>
      <c r="Y131" s="75">
        <v>0</v>
      </c>
      <c r="Z131" s="75">
        <v>0</v>
      </c>
      <c r="AA131" s="75">
        <v>0</v>
      </c>
      <c r="AB131" s="75">
        <v>0</v>
      </c>
      <c r="AC131" s="75">
        <f>AB131</f>
        <v>0</v>
      </c>
      <c r="AD131" s="75">
        <v>0</v>
      </c>
      <c r="AE131" s="75">
        <v>0</v>
      </c>
      <c r="AF131" s="75">
        <v>45.981000000000002</v>
      </c>
      <c r="AG131" s="75">
        <v>0</v>
      </c>
      <c r="AH131" s="75">
        <f>AG131</f>
        <v>0</v>
      </c>
      <c r="AI131" s="92">
        <v>136.05099999999999</v>
      </c>
      <c r="AJ131" s="75">
        <v>0</v>
      </c>
      <c r="AK131" s="75">
        <v>0</v>
      </c>
      <c r="AL131" s="75">
        <v>0</v>
      </c>
      <c r="AM131" s="75">
        <f>AL131</f>
        <v>0</v>
      </c>
      <c r="AN131" s="75">
        <v>131.15100000000001</v>
      </c>
      <c r="AO131" s="92">
        <v>45.018999999999998</v>
      </c>
      <c r="AP131" s="75">
        <v>83.837000000000003</v>
      </c>
      <c r="AQ131" s="75">
        <v>199.04400000000001</v>
      </c>
      <c r="AR131" s="75">
        <f>AQ131</f>
        <v>199.04400000000001</v>
      </c>
      <c r="AS131" s="1102">
        <v>168.72900000000001</v>
      </c>
      <c r="AT131" s="523">
        <v>181.006</v>
      </c>
      <c r="AU131" s="523">
        <v>0</v>
      </c>
      <c r="AV131" s="890">
        <f>AU131</f>
        <v>0</v>
      </c>
      <c r="AW131" s="550">
        <f>AV131</f>
        <v>0</v>
      </c>
      <c r="AX131" s="889">
        <f>AW131</f>
        <v>0</v>
      </c>
      <c r="AY131" s="550">
        <f>AX131</f>
        <v>0</v>
      </c>
      <c r="AZ131" s="550">
        <f>AY131</f>
        <v>0</v>
      </c>
      <c r="BA131" s="1103">
        <v>0</v>
      </c>
      <c r="BB131" s="550">
        <f>BA131</f>
        <v>0</v>
      </c>
      <c r="BC131" s="1102">
        <v>24.489000000000001</v>
      </c>
      <c r="BD131" s="523">
        <v>85.396000000000001</v>
      </c>
      <c r="BE131" s="523">
        <v>0</v>
      </c>
      <c r="BF131" s="1167">
        <v>0</v>
      </c>
      <c r="BG131" s="577">
        <f>BF131</f>
        <v>0</v>
      </c>
      <c r="BH131" s="1102">
        <v>0</v>
      </c>
      <c r="BI131" s="523">
        <v>0</v>
      </c>
      <c r="BJ131" s="523">
        <v>0</v>
      </c>
      <c r="BK131" s="1103">
        <v>0</v>
      </c>
      <c r="BL131" s="550">
        <f>BK131</f>
        <v>0</v>
      </c>
      <c r="BM131" s="889">
        <f>BL131</f>
        <v>0</v>
      </c>
      <c r="BN131" s="550">
        <f>BM131</f>
        <v>0</v>
      </c>
      <c r="BO131" s="550">
        <f>BN131</f>
        <v>0</v>
      </c>
      <c r="BP131" s="1103">
        <v>0</v>
      </c>
      <c r="BQ131" s="550">
        <f>BP131</f>
        <v>0</v>
      </c>
      <c r="BR131" s="1102">
        <v>29.582000000000001</v>
      </c>
      <c r="BS131" s="523">
        <v>0</v>
      </c>
      <c r="BT131" s="523">
        <v>65.096000000000004</v>
      </c>
      <c r="BU131" s="1103">
        <v>0</v>
      </c>
      <c r="BV131" s="550">
        <f>BU131</f>
        <v>0</v>
      </c>
      <c r="BW131" s="1102">
        <v>0</v>
      </c>
      <c r="BX131" s="523">
        <v>0</v>
      </c>
      <c r="BY131" s="523">
        <v>0</v>
      </c>
      <c r="BZ131" s="1103">
        <v>0</v>
      </c>
      <c r="CA131" s="550">
        <f>BZ131</f>
        <v>0</v>
      </c>
      <c r="CB131" s="1102">
        <v>0</v>
      </c>
      <c r="CC131" s="523">
        <v>47.058999999999997</v>
      </c>
      <c r="CD131" s="523">
        <v>0</v>
      </c>
      <c r="CE131" s="1103">
        <v>0</v>
      </c>
      <c r="CF131" s="550">
        <f>CE131</f>
        <v>0</v>
      </c>
      <c r="CG131" s="1102">
        <v>76.754999999999995</v>
      </c>
      <c r="CH131" s="523">
        <v>0</v>
      </c>
      <c r="CI131" s="523">
        <v>0</v>
      </c>
      <c r="CJ131" s="1103">
        <f>CI131</f>
        <v>0</v>
      </c>
      <c r="CK131" s="550">
        <f>CJ131</f>
        <v>0</v>
      </c>
      <c r="CL131" s="1102">
        <v>0</v>
      </c>
      <c r="CM131" s="550">
        <f>CL131</f>
        <v>0</v>
      </c>
      <c r="CN131" s="550">
        <f>CM131</f>
        <v>0</v>
      </c>
      <c r="CO131" s="890">
        <f>CN131</f>
        <v>0</v>
      </c>
      <c r="CP131" s="550">
        <f>CO131</f>
        <v>0</v>
      </c>
      <c r="CQ131" s="889">
        <f>CP131</f>
        <v>0</v>
      </c>
      <c r="CR131" s="550">
        <f>CQ131</f>
        <v>0</v>
      </c>
      <c r="CS131" s="550">
        <f>CR131</f>
        <v>0</v>
      </c>
      <c r="CT131" s="890">
        <f>CS131</f>
        <v>0</v>
      </c>
      <c r="CU131" s="550">
        <f>CT131</f>
        <v>0</v>
      </c>
      <c r="CV131" s="889">
        <f>CU131</f>
        <v>0</v>
      </c>
      <c r="CW131" s="550">
        <f>CV131</f>
        <v>0</v>
      </c>
      <c r="CX131" s="550">
        <f>CW131</f>
        <v>0</v>
      </c>
      <c r="CY131" s="890">
        <f>CX131</f>
        <v>0</v>
      </c>
      <c r="CZ131" s="550">
        <f>CY131</f>
        <v>0</v>
      </c>
    </row>
    <row r="132" spans="1:104" ht="13.5" customHeight="1">
      <c r="A132" s="362"/>
      <c r="B132" s="362" t="s">
        <v>35</v>
      </c>
      <c r="C132" s="362"/>
      <c r="D132" s="362"/>
      <c r="E132" s="171"/>
      <c r="F132" s="171"/>
      <c r="G132" s="171"/>
      <c r="H132" s="171"/>
      <c r="I132" s="171"/>
      <c r="J132" s="78">
        <f>82.002427+209.521231</f>
        <v>291.52365800000001</v>
      </c>
      <c r="K132" s="78">
        <f>99.894135+224.106841</f>
        <v>324.00097600000004</v>
      </c>
      <c r="L132" s="78">
        <f>114.105926+224.244418</f>
        <v>338.35034400000001</v>
      </c>
      <c r="M132" s="78">
        <f>116.246817+203.110945</f>
        <v>319.35776199999998</v>
      </c>
      <c r="N132" s="78">
        <f>M132</f>
        <v>319.35776199999998</v>
      </c>
      <c r="O132" s="78">
        <f>92.37517+203.333108</f>
        <v>295.70827800000001</v>
      </c>
      <c r="P132" s="78">
        <f>106.990449+201.56112</f>
        <v>308.55156899999997</v>
      </c>
      <c r="Q132" s="78">
        <f>115.204353+207.685389</f>
        <v>322.88974199999996</v>
      </c>
      <c r="R132" s="78">
        <f>91.187156+208.54495</f>
        <v>299.73210599999999</v>
      </c>
      <c r="S132" s="78">
        <f>R132</f>
        <v>299.73210599999999</v>
      </c>
      <c r="T132" s="78">
        <f>59.753+120.425+226.926</f>
        <v>407.10399999999998</v>
      </c>
      <c r="U132" s="78">
        <f>75.353+201.242+247.053</f>
        <v>523.64799999999991</v>
      </c>
      <c r="V132" s="78">
        <f>169.353+293.87+251.941</f>
        <v>715.16399999999999</v>
      </c>
      <c r="W132" s="78">
        <f>28.957+320.276+245.008</f>
        <v>594.24099999999999</v>
      </c>
      <c r="X132" s="78">
        <f>W132</f>
        <v>594.24099999999999</v>
      </c>
      <c r="Y132" s="78">
        <f>195.153+185.902+297.904</f>
        <v>678.95899999999995</v>
      </c>
      <c r="Z132" s="78">
        <f>258.711+308.162</f>
        <v>566.87300000000005</v>
      </c>
      <c r="AA132" s="78">
        <f>336.032+348.836</f>
        <v>684.86799999999994</v>
      </c>
      <c r="AB132" s="78">
        <f>368.568+384.257</f>
        <v>752.82500000000005</v>
      </c>
      <c r="AC132" s="78">
        <f>AB132</f>
        <v>752.82500000000005</v>
      </c>
      <c r="AD132" s="78">
        <f>155.123+218.436+405.147</f>
        <v>778.7059999999999</v>
      </c>
      <c r="AE132" s="78">
        <f>325.925+474.535</f>
        <v>800.46</v>
      </c>
      <c r="AF132" s="78">
        <f>437.116+496.455</f>
        <v>933.57099999999991</v>
      </c>
      <c r="AG132" s="78">
        <f>455.051+478.337</f>
        <v>933.38799999999992</v>
      </c>
      <c r="AH132" s="78">
        <f>AG132</f>
        <v>933.38799999999992</v>
      </c>
      <c r="AI132" s="172">
        <f>226.164+428.069</f>
        <v>654.23299999999995</v>
      </c>
      <c r="AJ132" s="78">
        <f>317.671+431.972</f>
        <v>749.64300000000003</v>
      </c>
      <c r="AK132" s="78">
        <f>419.096+442.218</f>
        <v>861.31400000000008</v>
      </c>
      <c r="AL132" s="78">
        <f>436.352+431.148</f>
        <v>867.5</v>
      </c>
      <c r="AM132" s="78">
        <f>AL132</f>
        <v>867.5</v>
      </c>
      <c r="AN132" s="78">
        <f>284.611+421.194</f>
        <v>705.80500000000006</v>
      </c>
      <c r="AO132" s="172">
        <f>175+435.464+318.667</f>
        <v>929.13099999999986</v>
      </c>
      <c r="AP132" s="78">
        <f>617.837+513.028</f>
        <v>1130.865</v>
      </c>
      <c r="AQ132" s="78">
        <f>580.09+351.875</f>
        <v>931.96500000000003</v>
      </c>
      <c r="AR132" s="78">
        <f>AQ132</f>
        <v>931.96500000000003</v>
      </c>
      <c r="AS132" s="1120">
        <v>353.52699999999999</v>
      </c>
      <c r="AT132" s="531">
        <v>343.49200000000002</v>
      </c>
      <c r="AU132" s="531">
        <f>207.912+351.965</f>
        <v>559.87699999999995</v>
      </c>
      <c r="AV132" s="1121">
        <f>154.997+357.274</f>
        <v>512.27099999999996</v>
      </c>
      <c r="AW132" s="585">
        <f>AV132</f>
        <v>512.27099999999996</v>
      </c>
      <c r="AX132" s="1120">
        <f>186.885+397.738</f>
        <v>584.62300000000005</v>
      </c>
      <c r="AY132" s="531">
        <f>222.904+399.368</f>
        <v>622.27199999999993</v>
      </c>
      <c r="AZ132" s="531">
        <f>236.505+420.883</f>
        <v>657.38799999999992</v>
      </c>
      <c r="BA132" s="1121">
        <f>207.168+387.239</f>
        <v>594.40699999999993</v>
      </c>
      <c r="BB132" s="585">
        <f>BA132</f>
        <v>594.40699999999993</v>
      </c>
      <c r="BC132" s="1120">
        <f>222.085+409.831</f>
        <v>631.91600000000005</v>
      </c>
      <c r="BD132" s="531">
        <f>294.583+464.497</f>
        <v>759.08</v>
      </c>
      <c r="BE132" s="531">
        <f>344.511+480.755</f>
        <v>825.26600000000008</v>
      </c>
      <c r="BF132" s="1176">
        <f>333.341+452.247</f>
        <v>785.58799999999997</v>
      </c>
      <c r="BG132" s="586">
        <f>BF132</f>
        <v>785.58799999999997</v>
      </c>
      <c r="BH132" s="1120">
        <f>211.988+490.586</f>
        <v>702.57400000000007</v>
      </c>
      <c r="BI132" s="531">
        <f>255.96+466.748</f>
        <v>722.70799999999997</v>
      </c>
      <c r="BJ132" s="531">
        <f>286.78+482.717</f>
        <v>769.49699999999996</v>
      </c>
      <c r="BK132" s="1121">
        <f>279.898+423.045</f>
        <v>702.94299999999998</v>
      </c>
      <c r="BL132" s="585">
        <f>BK132</f>
        <v>702.94299999999998</v>
      </c>
      <c r="BM132" s="1120">
        <f>202.041+471.486</f>
        <v>673.52700000000004</v>
      </c>
      <c r="BN132" s="531">
        <f>240.629+489.059</f>
        <v>729.68799999999999</v>
      </c>
      <c r="BO132" s="531">
        <f>288.73+529.204</f>
        <v>817.93399999999997</v>
      </c>
      <c r="BP132" s="1121">
        <f>527.776+282.86</f>
        <v>810.63599999999997</v>
      </c>
      <c r="BQ132" s="585">
        <f>BP132</f>
        <v>810.63599999999997</v>
      </c>
      <c r="BR132" s="1120">
        <f>554.526+218.916</f>
        <v>773.44200000000001</v>
      </c>
      <c r="BS132" s="531">
        <f>276.66+562.775</f>
        <v>839.43499999999995</v>
      </c>
      <c r="BT132" s="531">
        <f>341.875+578.84</f>
        <v>920.71500000000003</v>
      </c>
      <c r="BU132" s="1121">
        <f>352.488+527.605</f>
        <v>880.09300000000007</v>
      </c>
      <c r="BV132" s="585">
        <f>BU132</f>
        <v>880.09300000000007</v>
      </c>
      <c r="BW132" s="1120">
        <f>225.6+509.831</f>
        <v>735.43100000000004</v>
      </c>
      <c r="BX132" s="531">
        <f>270.506+548.05</f>
        <v>818.55599999999993</v>
      </c>
      <c r="BY132" s="531">
        <f>329.499+555.979</f>
        <v>885.47800000000007</v>
      </c>
      <c r="BZ132" s="1121">
        <f>289.004+478.327</f>
        <v>767.33100000000002</v>
      </c>
      <c r="CA132" s="585">
        <f>BZ132</f>
        <v>767.33100000000002</v>
      </c>
      <c r="CB132" s="1120">
        <f>237.107+517.665</f>
        <v>754.77199999999993</v>
      </c>
      <c r="CC132" s="531">
        <f>526.252+319.633</f>
        <v>845.88499999999999</v>
      </c>
      <c r="CD132" s="531">
        <f>389.585+552.989</f>
        <v>942.57400000000007</v>
      </c>
      <c r="CE132" s="1121">
        <f>505.069+428.829</f>
        <v>933.89800000000002</v>
      </c>
      <c r="CF132" s="585">
        <f>CE132</f>
        <v>933.89800000000002</v>
      </c>
      <c r="CG132" s="1120">
        <f>529.007+325.981</f>
        <v>854.98799999999994</v>
      </c>
      <c r="CH132" s="531">
        <f>422.744+549.052</f>
        <v>971.79600000000005</v>
      </c>
      <c r="CI132" s="531">
        <f>501.427+570.602</f>
        <v>1072.029</v>
      </c>
      <c r="CJ132" s="1121">
        <f>516.66+573.925</f>
        <v>1090.585</v>
      </c>
      <c r="CK132" s="585">
        <f>CJ132</f>
        <v>1090.585</v>
      </c>
      <c r="CL132" s="1120">
        <f>338.045+602.598</f>
        <v>940.64300000000003</v>
      </c>
      <c r="CM132" s="585">
        <f>CM15*4*CM250</f>
        <v>1114.5490785378267</v>
      </c>
      <c r="CN132" s="585">
        <f>CN15*4*CN250</f>
        <v>1138.1560136540552</v>
      </c>
      <c r="CO132" s="1215">
        <f>CO15*4*CO250</f>
        <v>1111.5171899229422</v>
      </c>
      <c r="CP132" s="585">
        <f>CO132</f>
        <v>1111.5171899229422</v>
      </c>
      <c r="CQ132" s="1220">
        <f>CQ15*4*CQ250</f>
        <v>1171.0952394738226</v>
      </c>
      <c r="CR132" s="585">
        <f>CR15*4*CR250</f>
        <v>1156.1431964220174</v>
      </c>
      <c r="CS132" s="585">
        <f>CS15*4*CS250</f>
        <v>1131.5986969232517</v>
      </c>
      <c r="CT132" s="1215">
        <f>CT15*4*CT250</f>
        <v>1084.8120853458961</v>
      </c>
      <c r="CU132" s="585">
        <f>CT132</f>
        <v>1084.8120853458961</v>
      </c>
      <c r="CV132" s="1220">
        <f>CV15*4*CV250</f>
        <v>1141.2370963121191</v>
      </c>
      <c r="CW132" s="585">
        <f>CW15*4*CW250</f>
        <v>1123.0174134506447</v>
      </c>
      <c r="CX132" s="585">
        <f>CX15*4*CX250</f>
        <v>1099.1781874934377</v>
      </c>
      <c r="CY132" s="1215">
        <f>CY15*4*CY250</f>
        <v>1074.1088500686876</v>
      </c>
      <c r="CZ132" s="585">
        <f>CY132</f>
        <v>1074.1088500686876</v>
      </c>
    </row>
    <row r="133" spans="1:104" ht="6.2" customHeight="1">
      <c r="A133" s="362"/>
      <c r="B133" s="362"/>
      <c r="C133" s="362"/>
      <c r="D133" s="362"/>
      <c r="E133" s="173"/>
      <c r="F133" s="173"/>
      <c r="G133" s="173"/>
      <c r="H133" s="173"/>
      <c r="I133" s="173"/>
      <c r="J133" s="75">
        <v>0</v>
      </c>
      <c r="K133" s="75"/>
      <c r="L133" s="75"/>
      <c r="M133" s="75"/>
      <c r="N133" s="75"/>
      <c r="O133" s="75"/>
      <c r="P133" s="75"/>
      <c r="Q133" s="75"/>
      <c r="R133" s="75"/>
      <c r="S133" s="75"/>
      <c r="T133" s="75"/>
      <c r="U133" s="75"/>
      <c r="V133" s="75"/>
      <c r="W133" s="75"/>
      <c r="X133" s="75"/>
      <c r="Y133" s="75"/>
      <c r="Z133" s="75"/>
      <c r="AA133" s="75"/>
      <c r="AB133" s="75"/>
      <c r="AC133" s="75"/>
      <c r="AD133" s="75"/>
      <c r="AE133" s="75"/>
      <c r="AF133" s="75"/>
      <c r="AG133" s="75"/>
      <c r="AH133" s="75"/>
      <c r="AI133" s="92"/>
      <c r="AJ133" s="75"/>
      <c r="AK133" s="75"/>
      <c r="AL133" s="75"/>
      <c r="AM133" s="75"/>
      <c r="AN133" s="75"/>
      <c r="AO133" s="92"/>
      <c r="AP133" s="75"/>
      <c r="AQ133" s="75"/>
      <c r="AR133" s="75"/>
      <c r="AS133" s="891"/>
      <c r="AT133" s="92"/>
      <c r="AU133" s="75"/>
      <c r="AV133" s="892"/>
      <c r="AW133" s="75"/>
      <c r="AX133" s="891"/>
      <c r="AY133" s="75"/>
      <c r="AZ133" s="75"/>
      <c r="BA133" s="892"/>
      <c r="BB133" s="75"/>
      <c r="BC133" s="891"/>
      <c r="BD133" s="75"/>
      <c r="BE133" s="75"/>
      <c r="BF133" s="1155"/>
      <c r="BG133" s="379"/>
      <c r="BH133" s="891"/>
      <c r="BI133" s="75"/>
      <c r="BJ133" s="75"/>
      <c r="BK133" s="892"/>
      <c r="BL133" s="75"/>
      <c r="BM133" s="891"/>
      <c r="BN133" s="75"/>
      <c r="BO133" s="75"/>
      <c r="BP133" s="892"/>
      <c r="BQ133" s="75"/>
      <c r="BR133" s="891"/>
      <c r="BS133" s="75"/>
      <c r="BT133" s="75"/>
      <c r="BU133" s="892"/>
      <c r="BV133" s="75"/>
      <c r="BW133" s="891"/>
      <c r="BX133" s="75"/>
      <c r="BY133" s="75"/>
      <c r="BZ133" s="892"/>
      <c r="CA133" s="75"/>
      <c r="CB133" s="891"/>
      <c r="CC133" s="75"/>
      <c r="CD133" s="75"/>
      <c r="CE133" s="892"/>
      <c r="CF133" s="75"/>
      <c r="CG133" s="891"/>
      <c r="CH133" s="75"/>
      <c r="CI133" s="75"/>
      <c r="CJ133" s="892"/>
      <c r="CK133" s="75"/>
      <c r="CL133" s="891"/>
      <c r="CM133" s="75"/>
      <c r="CN133" s="75"/>
      <c r="CO133" s="892"/>
      <c r="CP133" s="75"/>
      <c r="CQ133" s="891"/>
      <c r="CR133" s="75"/>
      <c r="CS133" s="75"/>
      <c r="CT133" s="892"/>
      <c r="CU133" s="75"/>
      <c r="CV133" s="891"/>
      <c r="CW133" s="75"/>
      <c r="CX133" s="75"/>
      <c r="CY133" s="892"/>
      <c r="CZ133" s="75"/>
    </row>
    <row r="134" spans="1:104" ht="13.5" customHeight="1">
      <c r="A134" s="362"/>
      <c r="B134" s="404"/>
      <c r="C134" s="362" t="s">
        <v>339</v>
      </c>
      <c r="D134" s="362"/>
      <c r="E134" s="171"/>
      <c r="F134" s="171"/>
      <c r="G134" s="171"/>
      <c r="H134" s="171"/>
      <c r="I134" s="171"/>
      <c r="J134" s="75">
        <f>SUM(J129:J133)</f>
        <v>550.00603100000001</v>
      </c>
      <c r="K134" s="75">
        <f t="shared" ref="K134:AB134" si="148">SUM(K129:K132)</f>
        <v>626.45460100000003</v>
      </c>
      <c r="L134" s="75">
        <f t="shared" si="148"/>
        <v>669.08200499999998</v>
      </c>
      <c r="M134" s="75">
        <f t="shared" si="148"/>
        <v>591.53582800000004</v>
      </c>
      <c r="N134" s="75">
        <f t="shared" si="148"/>
        <v>591.53582800000004</v>
      </c>
      <c r="O134" s="75">
        <f t="shared" si="148"/>
        <v>633.58793200000002</v>
      </c>
      <c r="P134" s="75">
        <f t="shared" si="148"/>
        <v>603.28756099999998</v>
      </c>
      <c r="Q134" s="75">
        <f t="shared" si="148"/>
        <v>666.30395799999997</v>
      </c>
      <c r="R134" s="75">
        <f t="shared" si="148"/>
        <v>629.59484599999996</v>
      </c>
      <c r="S134" s="75">
        <f>SUM(S129:S132)</f>
        <v>629.59484599999996</v>
      </c>
      <c r="T134" s="75">
        <f t="shared" si="148"/>
        <v>893.90699999999993</v>
      </c>
      <c r="U134" s="75">
        <f t="shared" si="148"/>
        <v>936.24299999999994</v>
      </c>
      <c r="V134" s="75">
        <f t="shared" si="148"/>
        <v>1280.78</v>
      </c>
      <c r="W134" s="75">
        <f t="shared" si="148"/>
        <v>1065.79</v>
      </c>
      <c r="X134" s="75">
        <f>SUM(X129:X132)</f>
        <v>1065.79</v>
      </c>
      <c r="Y134" s="75">
        <f t="shared" si="148"/>
        <v>1203.6149999999998</v>
      </c>
      <c r="Z134" s="75">
        <f t="shared" si="148"/>
        <v>1015.3340000000001</v>
      </c>
      <c r="AA134" s="75">
        <f t="shared" si="148"/>
        <v>1259.5949999999998</v>
      </c>
      <c r="AB134" s="75">
        <f t="shared" si="148"/>
        <v>1255.6990000000001</v>
      </c>
      <c r="AC134" s="75">
        <f t="shared" ref="AC134:AM134" si="149">SUM(AC129:AC132)</f>
        <v>1255.6990000000001</v>
      </c>
      <c r="AD134" s="75">
        <f t="shared" si="149"/>
        <v>1372.329</v>
      </c>
      <c r="AE134" s="75">
        <f t="shared" si="149"/>
        <v>1514.7090000000001</v>
      </c>
      <c r="AF134" s="75">
        <f t="shared" si="149"/>
        <v>1658.6799999999998</v>
      </c>
      <c r="AG134" s="75">
        <f t="shared" si="149"/>
        <v>1450.0279999999998</v>
      </c>
      <c r="AH134" s="75">
        <f t="shared" si="149"/>
        <v>1450.0279999999998</v>
      </c>
      <c r="AI134" s="92">
        <f t="shared" si="149"/>
        <v>1679.3779999999999</v>
      </c>
      <c r="AJ134" s="75">
        <f t="shared" si="149"/>
        <v>1572.875</v>
      </c>
      <c r="AK134" s="75">
        <f t="shared" si="149"/>
        <v>1667.9079999999999</v>
      </c>
      <c r="AL134" s="75">
        <f t="shared" si="149"/>
        <v>1582.0360000000001</v>
      </c>
      <c r="AM134" s="75">
        <f t="shared" si="149"/>
        <v>1582.0360000000001</v>
      </c>
      <c r="AN134" s="75">
        <f t="shared" ref="AN134:BS134" si="150">SUM(AN129:AN132)</f>
        <v>2369.645</v>
      </c>
      <c r="AO134" s="92">
        <f t="shared" si="150"/>
        <v>2802.366</v>
      </c>
      <c r="AP134" s="75">
        <f t="shared" si="150"/>
        <v>3121.9740000000002</v>
      </c>
      <c r="AQ134" s="75">
        <f t="shared" si="150"/>
        <v>1854.192</v>
      </c>
      <c r="AR134" s="75">
        <f t="shared" si="150"/>
        <v>1854.192</v>
      </c>
      <c r="AS134" s="889">
        <f t="shared" si="150"/>
        <v>940.173</v>
      </c>
      <c r="AT134" s="550">
        <f t="shared" si="150"/>
        <v>949.1869999999999</v>
      </c>
      <c r="AU134" s="550">
        <f t="shared" si="150"/>
        <v>1312.5509999999999</v>
      </c>
      <c r="AV134" s="890">
        <f t="shared" si="150"/>
        <v>1227.057</v>
      </c>
      <c r="AW134" s="550">
        <f t="shared" si="150"/>
        <v>1227.057</v>
      </c>
      <c r="AX134" s="889">
        <f t="shared" si="150"/>
        <v>1541.1559999999999</v>
      </c>
      <c r="AY134" s="550">
        <f t="shared" si="150"/>
        <v>1511.9569999999999</v>
      </c>
      <c r="AZ134" s="550">
        <f t="shared" si="150"/>
        <v>1478.2649999999999</v>
      </c>
      <c r="BA134" s="890">
        <f t="shared" si="150"/>
        <v>1504.4379999999999</v>
      </c>
      <c r="BB134" s="550">
        <f t="shared" si="150"/>
        <v>1504.4379999999999</v>
      </c>
      <c r="BC134" s="889">
        <f t="shared" si="150"/>
        <v>1787.6260000000002</v>
      </c>
      <c r="BD134" s="550">
        <f t="shared" si="150"/>
        <v>2002.6849999999999</v>
      </c>
      <c r="BE134" s="550">
        <f t="shared" si="150"/>
        <v>2358.085</v>
      </c>
      <c r="BF134" s="970">
        <f t="shared" si="150"/>
        <v>2396.0590000000002</v>
      </c>
      <c r="BG134" s="577">
        <f t="shared" si="150"/>
        <v>2396.0590000000002</v>
      </c>
      <c r="BH134" s="889">
        <f t="shared" si="150"/>
        <v>2549.047</v>
      </c>
      <c r="BI134" s="550">
        <f t="shared" si="150"/>
        <v>2757.288</v>
      </c>
      <c r="BJ134" s="550">
        <f t="shared" si="150"/>
        <v>2887.0269999999996</v>
      </c>
      <c r="BK134" s="890">
        <f t="shared" si="150"/>
        <v>2029.568</v>
      </c>
      <c r="BL134" s="550">
        <f t="shared" si="150"/>
        <v>2029.568</v>
      </c>
      <c r="BM134" s="889">
        <f t="shared" si="150"/>
        <v>1986.9870000000001</v>
      </c>
      <c r="BN134" s="550">
        <f t="shared" si="150"/>
        <v>1740.576</v>
      </c>
      <c r="BO134" s="550">
        <f t="shared" si="150"/>
        <v>1993.489</v>
      </c>
      <c r="BP134" s="890">
        <f t="shared" si="150"/>
        <v>1960.2159999999999</v>
      </c>
      <c r="BQ134" s="550">
        <f t="shared" si="150"/>
        <v>1960.2159999999999</v>
      </c>
      <c r="BR134" s="889">
        <f t="shared" si="150"/>
        <v>1895.9680000000001</v>
      </c>
      <c r="BS134" s="550">
        <f t="shared" si="150"/>
        <v>2017.2259999999999</v>
      </c>
      <c r="BT134" s="550">
        <f t="shared" ref="BT134:CZ134" si="151">SUM(BT129:BT132)</f>
        <v>2156.4960000000001</v>
      </c>
      <c r="BU134" s="890">
        <f t="shared" si="151"/>
        <v>2097.7759999999998</v>
      </c>
      <c r="BV134" s="550">
        <f t="shared" si="151"/>
        <v>2097.7759999999998</v>
      </c>
      <c r="BW134" s="889">
        <f t="shared" si="151"/>
        <v>1524.806</v>
      </c>
      <c r="BX134" s="550">
        <f t="shared" si="151"/>
        <v>1690.0769999999998</v>
      </c>
      <c r="BY134" s="550">
        <f t="shared" si="151"/>
        <v>1847.4110000000001</v>
      </c>
      <c r="BZ134" s="890">
        <f t="shared" si="151"/>
        <v>1385.1730000000002</v>
      </c>
      <c r="CA134" s="550">
        <f t="shared" si="151"/>
        <v>1385.1730000000002</v>
      </c>
      <c r="CB134" s="889">
        <f t="shared" si="151"/>
        <v>1550.1299999999999</v>
      </c>
      <c r="CC134" s="550">
        <f t="shared" si="151"/>
        <v>1936.1079999999999</v>
      </c>
      <c r="CD134" s="550">
        <f t="shared" si="151"/>
        <v>1898.4870000000001</v>
      </c>
      <c r="CE134" s="890">
        <f t="shared" si="151"/>
        <v>2389.9659999999999</v>
      </c>
      <c r="CF134" s="550">
        <f t="shared" si="151"/>
        <v>2389.9659999999999</v>
      </c>
      <c r="CG134" s="889">
        <f t="shared" si="151"/>
        <v>2837.7959999999998</v>
      </c>
      <c r="CH134" s="550">
        <f t="shared" si="151"/>
        <v>3325.3060000000005</v>
      </c>
      <c r="CI134" s="550">
        <f t="shared" si="151"/>
        <v>3535.2159999999999</v>
      </c>
      <c r="CJ134" s="890">
        <f t="shared" si="151"/>
        <v>2824.7640000000001</v>
      </c>
      <c r="CK134" s="550">
        <f t="shared" si="151"/>
        <v>2824.7640000000001</v>
      </c>
      <c r="CL134" s="889">
        <f t="shared" ref="CL134" si="152">SUM(CL129:CL132)</f>
        <v>2844.5810000000001</v>
      </c>
      <c r="CM134" s="550">
        <f t="shared" si="151"/>
        <v>2652.34246870484</v>
      </c>
      <c r="CN134" s="550">
        <f t="shared" si="151"/>
        <v>2782.4067920064035</v>
      </c>
      <c r="CO134" s="890">
        <f t="shared" si="151"/>
        <v>2579.7010846847816</v>
      </c>
      <c r="CP134" s="550">
        <f t="shared" si="151"/>
        <v>2579.7010846847816</v>
      </c>
      <c r="CQ134" s="889">
        <f t="shared" si="151"/>
        <v>2815.4794794288564</v>
      </c>
      <c r="CR134" s="550">
        <f t="shared" si="151"/>
        <v>2767.4828172264752</v>
      </c>
      <c r="CS134" s="550">
        <f t="shared" si="151"/>
        <v>2800.7290303105297</v>
      </c>
      <c r="CT134" s="890">
        <f t="shared" si="151"/>
        <v>2559.4511112473897</v>
      </c>
      <c r="CU134" s="550">
        <f t="shared" si="151"/>
        <v>2559.4511112473897</v>
      </c>
      <c r="CV134" s="889">
        <f t="shared" si="151"/>
        <v>2774.6429261258863</v>
      </c>
      <c r="CW134" s="550">
        <f t="shared" si="151"/>
        <v>2698.6210743584134</v>
      </c>
      <c r="CX134" s="550">
        <f t="shared" si="151"/>
        <v>2725.26010855716</v>
      </c>
      <c r="CY134" s="890">
        <f t="shared" si="151"/>
        <v>2509.8536827448461</v>
      </c>
      <c r="CZ134" s="550">
        <f t="shared" si="151"/>
        <v>2509.8536827448461</v>
      </c>
    </row>
    <row r="135" spans="1:104" ht="6.2" customHeight="1">
      <c r="A135" s="362"/>
      <c r="B135" s="404"/>
      <c r="C135" s="362"/>
      <c r="D135" s="362"/>
      <c r="E135" s="71"/>
      <c r="F135" s="71"/>
      <c r="G135" s="71"/>
      <c r="H135" s="71"/>
      <c r="I135" s="71"/>
      <c r="J135" s="75"/>
      <c r="K135" s="75"/>
      <c r="L135" s="75"/>
      <c r="M135" s="75"/>
      <c r="N135" s="75"/>
      <c r="O135" s="75"/>
      <c r="P135" s="75"/>
      <c r="Q135" s="75"/>
      <c r="R135" s="75"/>
      <c r="S135" s="75"/>
      <c r="T135" s="75"/>
      <c r="U135" s="75"/>
      <c r="V135" s="75"/>
      <c r="W135" s="75"/>
      <c r="X135" s="75"/>
      <c r="Y135" s="75"/>
      <c r="Z135" s="75"/>
      <c r="AA135" s="75"/>
      <c r="AB135" s="75"/>
      <c r="AC135" s="75"/>
      <c r="AD135" s="75"/>
      <c r="AE135" s="75"/>
      <c r="AF135" s="75"/>
      <c r="AG135" s="75"/>
      <c r="AH135" s="75"/>
      <c r="AI135" s="92"/>
      <c r="AJ135" s="75"/>
      <c r="AK135" s="75"/>
      <c r="AL135" s="75"/>
      <c r="AM135" s="75"/>
      <c r="AN135" s="75"/>
      <c r="AO135" s="92"/>
      <c r="AP135" s="75"/>
      <c r="AQ135" s="75"/>
      <c r="AR135" s="75"/>
      <c r="AS135" s="891"/>
      <c r="AT135" s="92"/>
      <c r="AU135" s="75"/>
      <c r="AV135" s="892"/>
      <c r="AW135" s="75"/>
      <c r="AX135" s="891"/>
      <c r="AY135" s="75"/>
      <c r="AZ135" s="75"/>
      <c r="BA135" s="892"/>
      <c r="BB135" s="75"/>
      <c r="BC135" s="891"/>
      <c r="BD135" s="75"/>
      <c r="BE135" s="75"/>
      <c r="BF135" s="1155"/>
      <c r="BG135" s="379"/>
      <c r="BH135" s="891"/>
      <c r="BI135" s="75"/>
      <c r="BJ135" s="75"/>
      <c r="BK135" s="892"/>
      <c r="BL135" s="75"/>
      <c r="BM135" s="891"/>
      <c r="BN135" s="75"/>
      <c r="BO135" s="75"/>
      <c r="BP135" s="892"/>
      <c r="BQ135" s="75"/>
      <c r="BR135" s="891"/>
      <c r="BS135" s="75"/>
      <c r="BT135" s="75"/>
      <c r="BU135" s="892"/>
      <c r="BV135" s="75"/>
      <c r="BW135" s="891"/>
      <c r="BX135" s="75"/>
      <c r="BY135" s="75"/>
      <c r="BZ135" s="892"/>
      <c r="CA135" s="75"/>
      <c r="CB135" s="891"/>
      <c r="CC135" s="75"/>
      <c r="CD135" s="75"/>
      <c r="CE135" s="892"/>
      <c r="CF135" s="75"/>
      <c r="CG135" s="891"/>
      <c r="CH135" s="75"/>
      <c r="CI135" s="75"/>
      <c r="CJ135" s="892"/>
      <c r="CK135" s="75"/>
      <c r="CL135" s="891"/>
      <c r="CM135" s="75"/>
      <c r="CN135" s="75"/>
      <c r="CO135" s="892"/>
      <c r="CP135" s="75"/>
      <c r="CQ135" s="891"/>
      <c r="CR135" s="75"/>
      <c r="CS135" s="75"/>
      <c r="CT135" s="892"/>
      <c r="CU135" s="75"/>
      <c r="CV135" s="891"/>
      <c r="CW135" s="75"/>
      <c r="CX135" s="75"/>
      <c r="CY135" s="892"/>
      <c r="CZ135" s="75"/>
    </row>
    <row r="136" spans="1:104" ht="13.5" customHeight="1">
      <c r="A136" s="362"/>
      <c r="B136" s="362" t="s">
        <v>357</v>
      </c>
      <c r="C136" s="369"/>
      <c r="D136" s="362"/>
      <c r="E136" s="171"/>
      <c r="F136" s="171"/>
      <c r="G136" s="171"/>
      <c r="H136" s="171"/>
      <c r="I136" s="171"/>
      <c r="J136" s="75">
        <v>460.45</v>
      </c>
      <c r="K136" s="75">
        <v>458.55</v>
      </c>
      <c r="L136" s="75">
        <v>544.54999999999995</v>
      </c>
      <c r="M136" s="75">
        <v>878.55</v>
      </c>
      <c r="N136" s="75">
        <f>M136</f>
        <v>878.55</v>
      </c>
      <c r="O136" s="75">
        <v>878.55</v>
      </c>
      <c r="P136" s="75">
        <v>878.55</v>
      </c>
      <c r="Q136" s="75">
        <v>903.55</v>
      </c>
      <c r="R136" s="75">
        <v>903.55</v>
      </c>
      <c r="S136" s="75">
        <f>R136</f>
        <v>903.55</v>
      </c>
      <c r="T136" s="75">
        <v>903.55</v>
      </c>
      <c r="U136" s="75">
        <v>903.55</v>
      </c>
      <c r="V136" s="75">
        <v>923.55</v>
      </c>
      <c r="W136" s="75">
        <v>923.55</v>
      </c>
      <c r="X136" s="75">
        <f>W136</f>
        <v>923.55</v>
      </c>
      <c r="Y136" s="75">
        <v>923.55</v>
      </c>
      <c r="Z136" s="75">
        <v>922.3</v>
      </c>
      <c r="AA136" s="75">
        <v>922.3</v>
      </c>
      <c r="AB136" s="75">
        <v>922.3</v>
      </c>
      <c r="AC136" s="75">
        <f>AB136</f>
        <v>922.3</v>
      </c>
      <c r="AD136" s="75">
        <v>922.3</v>
      </c>
      <c r="AE136" s="75">
        <v>922.3</v>
      </c>
      <c r="AF136" s="75">
        <v>922.3</v>
      </c>
      <c r="AG136" s="75">
        <v>922.3</v>
      </c>
      <c r="AH136" s="75">
        <f>AG136</f>
        <v>922.3</v>
      </c>
      <c r="AI136" s="92">
        <v>922.3</v>
      </c>
      <c r="AJ136" s="75">
        <v>922.3</v>
      </c>
      <c r="AK136" s="75">
        <v>922.3</v>
      </c>
      <c r="AL136" s="75">
        <v>2250.3000000000002</v>
      </c>
      <c r="AM136" s="75">
        <f>AL136</f>
        <v>2250.3000000000002</v>
      </c>
      <c r="AN136" s="75">
        <v>2491.6</v>
      </c>
      <c r="AO136" s="92">
        <v>3091.6</v>
      </c>
      <c r="AP136" s="75">
        <v>3086.2</v>
      </c>
      <c r="AQ136" s="75">
        <v>3086.2</v>
      </c>
      <c r="AR136" s="75">
        <f>AQ136</f>
        <v>3086.2</v>
      </c>
      <c r="AS136" s="1102">
        <v>3086.2</v>
      </c>
      <c r="AT136" s="523">
        <v>3086.2</v>
      </c>
      <c r="AU136" s="523">
        <v>3086.2</v>
      </c>
      <c r="AV136" s="1103">
        <v>3080.2</v>
      </c>
      <c r="AW136" s="550">
        <f>AV136</f>
        <v>3080.2</v>
      </c>
      <c r="AX136" s="1102">
        <v>3080.2</v>
      </c>
      <c r="AY136" s="523">
        <v>3080.2</v>
      </c>
      <c r="AZ136" s="523">
        <v>3680.2</v>
      </c>
      <c r="BA136" s="1103">
        <v>4280.2</v>
      </c>
      <c r="BB136" s="550">
        <f>BA136</f>
        <v>4280.2</v>
      </c>
      <c r="BC136" s="1102">
        <v>4280.2</v>
      </c>
      <c r="BD136" s="523">
        <v>4280.2</v>
      </c>
      <c r="BE136" s="523">
        <v>3930.2</v>
      </c>
      <c r="BF136" s="1167">
        <v>3630.2</v>
      </c>
      <c r="BG136" s="577">
        <f>BF136</f>
        <v>3630.2</v>
      </c>
      <c r="BH136" s="1102">
        <v>3630.2</v>
      </c>
      <c r="BI136" s="523">
        <v>3380.2</v>
      </c>
      <c r="BJ136" s="523">
        <v>3380.2</v>
      </c>
      <c r="BK136" s="1167">
        <v>3380.2</v>
      </c>
      <c r="BL136" s="550">
        <f>BK136</f>
        <v>3380.2</v>
      </c>
      <c r="BM136" s="1102">
        <v>3380.2</v>
      </c>
      <c r="BN136" s="523">
        <v>3380.2</v>
      </c>
      <c r="BO136" s="523">
        <v>4380.2</v>
      </c>
      <c r="BP136" s="1103">
        <v>4376.8999999999996</v>
      </c>
      <c r="BQ136" s="550">
        <f>BP136</f>
        <v>4376.8999999999996</v>
      </c>
      <c r="BR136" s="1102">
        <v>4376.8999999999996</v>
      </c>
      <c r="BS136" s="523">
        <v>4368.8999999999996</v>
      </c>
      <c r="BT136" s="523">
        <v>4360.6000000000004</v>
      </c>
      <c r="BU136" s="1103">
        <v>4360.6000000000004</v>
      </c>
      <c r="BV136" s="550">
        <f>BU136</f>
        <v>4360.6000000000004</v>
      </c>
      <c r="BW136" s="1102">
        <v>4360.6000000000004</v>
      </c>
      <c r="BX136" s="523">
        <v>4360.6000000000004</v>
      </c>
      <c r="BY136" s="523">
        <v>4360.6000000000004</v>
      </c>
      <c r="BZ136" s="1103">
        <v>4360.6000000000004</v>
      </c>
      <c r="CA136" s="550">
        <f>BZ136</f>
        <v>4360.6000000000004</v>
      </c>
      <c r="CB136" s="1102">
        <v>4337.875</v>
      </c>
      <c r="CC136" s="523">
        <v>4337.5609999999997</v>
      </c>
      <c r="CD136" s="523">
        <v>4338.3469999999998</v>
      </c>
      <c r="CE136" s="1103">
        <v>3739.1410000000001</v>
      </c>
      <c r="CF136" s="550">
        <f>CE136</f>
        <v>3739.1410000000001</v>
      </c>
      <c r="CG136" s="1102">
        <v>3739.9079999999999</v>
      </c>
      <c r="CH136" s="523">
        <v>3240.694</v>
      </c>
      <c r="CI136" s="523">
        <v>3241.4879999999998</v>
      </c>
      <c r="CJ136" s="1103">
        <v>3242.2420000000002</v>
      </c>
      <c r="CK136" s="550">
        <f>CJ136</f>
        <v>3242.2420000000002</v>
      </c>
      <c r="CL136" s="1102">
        <v>3242.8649999999998</v>
      </c>
      <c r="CM136" s="550">
        <f>'debt schedule'!CM142</f>
        <v>4360.6000000000004</v>
      </c>
      <c r="CN136" s="550">
        <f>'debt schedule'!CN142</f>
        <v>4360.6000000000004</v>
      </c>
      <c r="CO136" s="890">
        <f>'debt schedule'!CO142</f>
        <v>4360.6000000000004</v>
      </c>
      <c r="CP136" s="550">
        <f>CO136</f>
        <v>4360.6000000000004</v>
      </c>
      <c r="CQ136" s="889">
        <f>'debt schedule'!CQ142</f>
        <v>4360.6000000000004</v>
      </c>
      <c r="CR136" s="550">
        <f>'debt schedule'!CR142</f>
        <v>4360.6000000000004</v>
      </c>
      <c r="CS136" s="550">
        <f>'debt schedule'!CS142</f>
        <v>4360.6000000000004</v>
      </c>
      <c r="CT136" s="890">
        <f>'debt schedule'!CT142</f>
        <v>4360.6000000000004</v>
      </c>
      <c r="CU136" s="550">
        <f>CT136</f>
        <v>4360.6000000000004</v>
      </c>
      <c r="CV136" s="889">
        <f>'debt schedule'!CV142</f>
        <v>4360.6000000000004</v>
      </c>
      <c r="CW136" s="550">
        <f>'debt schedule'!CW142</f>
        <v>4360.6000000000004</v>
      </c>
      <c r="CX136" s="550">
        <f>'debt schedule'!CX142</f>
        <v>4360.6000000000004</v>
      </c>
      <c r="CY136" s="890">
        <f>'debt schedule'!CY142</f>
        <v>4360.6000000000004</v>
      </c>
      <c r="CZ136" s="550">
        <f>CY136</f>
        <v>4360.6000000000004</v>
      </c>
    </row>
    <row r="137" spans="1:104" ht="13.5" customHeight="1">
      <c r="A137" s="362"/>
      <c r="B137" s="362" t="s">
        <v>209</v>
      </c>
      <c r="C137" s="369"/>
      <c r="D137" s="362"/>
      <c r="E137" s="171"/>
      <c r="F137" s="171"/>
      <c r="G137" s="171"/>
      <c r="H137" s="171"/>
      <c r="I137" s="171"/>
      <c r="J137" s="75">
        <v>323.92383799999999</v>
      </c>
      <c r="K137" s="75">
        <v>317.01273099999997</v>
      </c>
      <c r="L137" s="75">
        <v>307.47852399999999</v>
      </c>
      <c r="M137" s="75">
        <v>371.27139899999997</v>
      </c>
      <c r="N137" s="75">
        <f>M137</f>
        <v>371.27139899999997</v>
      </c>
      <c r="O137" s="75">
        <v>371.27797600000002</v>
      </c>
      <c r="P137" s="75">
        <v>381.43648100000001</v>
      </c>
      <c r="Q137" s="75">
        <v>375.19011799999998</v>
      </c>
      <c r="R137" s="75">
        <v>439.85175400000003</v>
      </c>
      <c r="S137" s="75">
        <f>R137</f>
        <v>439.85175400000003</v>
      </c>
      <c r="T137" s="75">
        <v>438.416</v>
      </c>
      <c r="U137" s="75">
        <v>418.87700000000001</v>
      </c>
      <c r="V137" s="75">
        <v>400.61700000000002</v>
      </c>
      <c r="W137" s="75">
        <v>514.56899999999996</v>
      </c>
      <c r="X137" s="75">
        <f>W137</f>
        <v>514.56899999999996</v>
      </c>
      <c r="Y137" s="75">
        <v>498.06099999999998</v>
      </c>
      <c r="Z137" s="75">
        <v>484.46100000000001</v>
      </c>
      <c r="AA137" s="75">
        <v>517.971</v>
      </c>
      <c r="AB137" s="75">
        <v>486.91</v>
      </c>
      <c r="AC137" s="75">
        <f>AB137</f>
        <v>486.91</v>
      </c>
      <c r="AD137" s="75">
        <v>460.36799999999999</v>
      </c>
      <c r="AE137" s="75">
        <v>456.58</v>
      </c>
      <c r="AF137" s="75">
        <v>458.54599999999999</v>
      </c>
      <c r="AG137" s="75">
        <v>448.084</v>
      </c>
      <c r="AH137" s="75">
        <f>AG137</f>
        <v>448.084</v>
      </c>
      <c r="AI137" s="92">
        <v>545.53300000000002</v>
      </c>
      <c r="AJ137" s="75">
        <v>555.21199999999999</v>
      </c>
      <c r="AK137" s="75">
        <v>591.173</v>
      </c>
      <c r="AL137" s="75">
        <v>593.423</v>
      </c>
      <c r="AM137" s="75">
        <f>AL137</f>
        <v>593.423</v>
      </c>
      <c r="AN137" s="75">
        <v>766.40099999999995</v>
      </c>
      <c r="AO137" s="92">
        <v>702.75699999999995</v>
      </c>
      <c r="AP137" s="75">
        <v>659.726</v>
      </c>
      <c r="AQ137" s="75">
        <v>677.37</v>
      </c>
      <c r="AR137" s="75">
        <f>AQ137</f>
        <v>677.37</v>
      </c>
      <c r="AS137" s="1102">
        <v>695.61300000000006</v>
      </c>
      <c r="AT137" s="523">
        <v>671.41600000000005</v>
      </c>
      <c r="AU137" s="523">
        <v>687.34100000000001</v>
      </c>
      <c r="AV137" s="1103">
        <v>680.35799999999995</v>
      </c>
      <c r="AW137" s="550">
        <f>AV137</f>
        <v>680.35799999999995</v>
      </c>
      <c r="AX137" s="1102">
        <v>672.00400000000002</v>
      </c>
      <c r="AY137" s="523">
        <v>640.91600000000005</v>
      </c>
      <c r="AZ137" s="523">
        <v>672.11099999999999</v>
      </c>
      <c r="BA137" s="1103">
        <v>806.57799999999997</v>
      </c>
      <c r="BB137" s="550">
        <f>BA137</f>
        <v>806.57799999999997</v>
      </c>
      <c r="BC137" s="1102">
        <v>823.029</v>
      </c>
      <c r="BD137" s="523">
        <v>775.27300000000002</v>
      </c>
      <c r="BE137" s="523">
        <v>839.79899999999998</v>
      </c>
      <c r="BF137" s="1167">
        <v>837.51099999999997</v>
      </c>
      <c r="BG137" s="577">
        <f>BF137</f>
        <v>837.51099999999997</v>
      </c>
      <c r="BH137" s="1102">
        <v>839.51599999999996</v>
      </c>
      <c r="BI137" s="523">
        <v>846.51900000000001</v>
      </c>
      <c r="BJ137" s="523">
        <v>866.44600000000003</v>
      </c>
      <c r="BK137" s="1167">
        <v>792.71699999999998</v>
      </c>
      <c r="BL137" s="550">
        <f>BK137</f>
        <v>792.71699999999998</v>
      </c>
      <c r="BM137" s="1102">
        <v>869.58</v>
      </c>
      <c r="BN137" s="523">
        <v>874.64499999999998</v>
      </c>
      <c r="BO137" s="523">
        <v>854.81399999999996</v>
      </c>
      <c r="BP137" s="1103">
        <v>955.88900000000001</v>
      </c>
      <c r="BQ137" s="550">
        <f>BP137</f>
        <v>955.88900000000001</v>
      </c>
      <c r="BR137" s="1102">
        <v>984.60799999999995</v>
      </c>
      <c r="BS137" s="523">
        <v>978.74900000000002</v>
      </c>
      <c r="BT137" s="523">
        <v>960.79499999999996</v>
      </c>
      <c r="BU137" s="1103">
        <v>1082.433</v>
      </c>
      <c r="BV137" s="550">
        <f>BU137</f>
        <v>1082.433</v>
      </c>
      <c r="BW137" s="1102">
        <v>1064.3610000000001</v>
      </c>
      <c r="BX137" s="523">
        <v>1042.415</v>
      </c>
      <c r="BY137" s="532">
        <v>1014.116</v>
      </c>
      <c r="BZ137" s="1103">
        <v>718.61300000000006</v>
      </c>
      <c r="CA137" s="550">
        <f>BZ137</f>
        <v>718.61300000000006</v>
      </c>
      <c r="CB137" s="1102">
        <v>729.02700000000004</v>
      </c>
      <c r="CC137" s="523">
        <v>730.20500000000004</v>
      </c>
      <c r="CD137" s="523">
        <v>786.32899999999995</v>
      </c>
      <c r="CE137" s="1103">
        <v>839.70299999999997</v>
      </c>
      <c r="CF137" s="550">
        <f>CE137</f>
        <v>839.70299999999997</v>
      </c>
      <c r="CG137" s="1102">
        <v>829.68499999999995</v>
      </c>
      <c r="CH137" s="523">
        <v>834.81200000000001</v>
      </c>
      <c r="CI137" s="523">
        <v>867.66600000000005</v>
      </c>
      <c r="CJ137" s="1103">
        <v>689.46400000000006</v>
      </c>
      <c r="CK137" s="550">
        <f>CJ137</f>
        <v>689.46400000000006</v>
      </c>
      <c r="CL137" s="1102">
        <v>710.88099999999997</v>
      </c>
      <c r="CM137" s="550">
        <f>CL137+CM195+CM226</f>
        <v>710.88099999999997</v>
      </c>
      <c r="CN137" s="550">
        <f>CM137+CN195+CN226</f>
        <v>710.88099999999997</v>
      </c>
      <c r="CO137" s="890">
        <f>CN137+CO195+CO226</f>
        <v>710.88099999999997</v>
      </c>
      <c r="CP137" s="550">
        <f>CO137</f>
        <v>710.88099999999997</v>
      </c>
      <c r="CQ137" s="889">
        <f>CP137+CQ195+CQ226</f>
        <v>710.88099999999997</v>
      </c>
      <c r="CR137" s="550">
        <f>CQ137+CR195+CR226</f>
        <v>710.88099999999997</v>
      </c>
      <c r="CS137" s="550">
        <f>CR137+CS195+CS226</f>
        <v>710.88099999999997</v>
      </c>
      <c r="CT137" s="890">
        <f>CS137+CT195+CT226</f>
        <v>710.88099999999997</v>
      </c>
      <c r="CU137" s="550">
        <f>CT137</f>
        <v>710.88099999999997</v>
      </c>
      <c r="CV137" s="889">
        <f>CU137+CV195+CV226</f>
        <v>710.88099999999997</v>
      </c>
      <c r="CW137" s="550">
        <f>CV137+CW195+CW226</f>
        <v>710.88099999999997</v>
      </c>
      <c r="CX137" s="550">
        <f>CW137+CX195+CX226</f>
        <v>710.88099999999997</v>
      </c>
      <c r="CY137" s="890">
        <f>CX137+CY195+CY226</f>
        <v>710.88099999999997</v>
      </c>
      <c r="CZ137" s="550">
        <f>CY137</f>
        <v>710.88099999999997</v>
      </c>
    </row>
    <row r="138" spans="1:104" ht="6.2" customHeight="1">
      <c r="A138" s="362"/>
      <c r="B138" s="362"/>
      <c r="C138" s="369"/>
      <c r="D138" s="362"/>
      <c r="E138" s="149"/>
      <c r="F138" s="149"/>
      <c r="G138" s="149"/>
      <c r="H138" s="149"/>
      <c r="I138" s="149"/>
      <c r="J138" s="75"/>
      <c r="K138" s="75"/>
      <c r="L138" s="75"/>
      <c r="M138" s="75"/>
      <c r="N138" s="75"/>
      <c r="O138" s="75"/>
      <c r="P138" s="75"/>
      <c r="Q138" s="75"/>
      <c r="R138" s="75"/>
      <c r="S138" s="75"/>
      <c r="T138" s="75"/>
      <c r="U138" s="75"/>
      <c r="V138" s="75"/>
      <c r="W138" s="75"/>
      <c r="X138" s="75"/>
      <c r="Y138" s="75"/>
      <c r="Z138" s="75"/>
      <c r="AA138" s="75"/>
      <c r="AB138" s="75"/>
      <c r="AC138" s="75"/>
      <c r="AD138" s="75"/>
      <c r="AE138" s="75"/>
      <c r="AF138" s="75"/>
      <c r="AG138" s="75"/>
      <c r="AH138" s="75"/>
      <c r="AI138" s="92"/>
      <c r="AJ138" s="75"/>
      <c r="AK138" s="75"/>
      <c r="AL138" s="75"/>
      <c r="AM138" s="75"/>
      <c r="AN138" s="75"/>
      <c r="AO138" s="92"/>
      <c r="AP138" s="75"/>
      <c r="AQ138" s="75"/>
      <c r="AR138" s="75"/>
      <c r="AS138" s="891"/>
      <c r="AT138" s="92"/>
      <c r="AU138" s="75"/>
      <c r="AV138" s="892"/>
      <c r="AW138" s="75"/>
      <c r="AX138" s="891"/>
      <c r="AY138" s="75"/>
      <c r="AZ138" s="75"/>
      <c r="BA138" s="892"/>
      <c r="BB138" s="75"/>
      <c r="BC138" s="891"/>
      <c r="BD138" s="75"/>
      <c r="BE138" s="75"/>
      <c r="BF138" s="1155"/>
      <c r="BG138" s="379"/>
      <c r="BH138" s="891"/>
      <c r="BI138" s="75"/>
      <c r="BJ138" s="75"/>
      <c r="BK138" s="1155"/>
      <c r="BL138" s="75"/>
      <c r="BM138" s="891"/>
      <c r="BN138" s="75"/>
      <c r="BO138" s="75"/>
      <c r="BP138" s="892"/>
      <c r="BQ138" s="75"/>
      <c r="BR138" s="891"/>
      <c r="BS138" s="75"/>
      <c r="BT138" s="75"/>
      <c r="BU138" s="892"/>
      <c r="BV138" s="75"/>
      <c r="BW138" s="891"/>
      <c r="BX138" s="75"/>
      <c r="BY138" s="75"/>
      <c r="BZ138" s="892"/>
      <c r="CA138" s="75"/>
      <c r="CB138" s="891"/>
      <c r="CC138" s="75"/>
      <c r="CD138" s="75"/>
      <c r="CE138" s="892"/>
      <c r="CF138" s="75"/>
      <c r="CG138" s="891"/>
      <c r="CH138" s="75"/>
      <c r="CI138" s="75"/>
      <c r="CJ138" s="892"/>
      <c r="CK138" s="75"/>
      <c r="CL138" s="891"/>
      <c r="CM138" s="75"/>
      <c r="CN138" s="75"/>
      <c r="CO138" s="892"/>
      <c r="CP138" s="75"/>
      <c r="CQ138" s="891"/>
      <c r="CR138" s="75"/>
      <c r="CS138" s="75"/>
      <c r="CT138" s="892"/>
      <c r="CU138" s="75"/>
      <c r="CV138" s="891"/>
      <c r="CW138" s="75"/>
      <c r="CX138" s="75"/>
      <c r="CY138" s="892"/>
      <c r="CZ138" s="75"/>
    </row>
    <row r="139" spans="1:104" ht="13.5" customHeight="1">
      <c r="A139" s="362"/>
      <c r="B139" s="374"/>
      <c r="C139" s="413" t="s">
        <v>335</v>
      </c>
      <c r="D139" s="362"/>
      <c r="E139" s="174"/>
      <c r="F139" s="174"/>
      <c r="G139" s="174"/>
      <c r="H139" s="174"/>
      <c r="I139" s="174"/>
      <c r="J139" s="80">
        <f t="shared" ref="J139:AM139" si="153">SUM(J134:J137)</f>
        <v>1334.3798689999999</v>
      </c>
      <c r="K139" s="80">
        <f t="shared" si="153"/>
        <v>1402.0173320000001</v>
      </c>
      <c r="L139" s="80">
        <f t="shared" si="153"/>
        <v>1521.110529</v>
      </c>
      <c r="M139" s="80">
        <f t="shared" si="153"/>
        <v>1841.357227</v>
      </c>
      <c r="N139" s="80">
        <f t="shared" si="153"/>
        <v>1841.357227</v>
      </c>
      <c r="O139" s="80">
        <f t="shared" si="153"/>
        <v>1883.4159080000002</v>
      </c>
      <c r="P139" s="80">
        <f t="shared" si="153"/>
        <v>1863.2740419999998</v>
      </c>
      <c r="Q139" s="80">
        <f t="shared" si="153"/>
        <v>1945.0440759999999</v>
      </c>
      <c r="R139" s="80">
        <f t="shared" si="153"/>
        <v>1972.9965999999999</v>
      </c>
      <c r="S139" s="80">
        <f t="shared" si="153"/>
        <v>1972.9965999999999</v>
      </c>
      <c r="T139" s="80">
        <f t="shared" si="153"/>
        <v>2235.873</v>
      </c>
      <c r="U139" s="80">
        <f t="shared" si="153"/>
        <v>2258.67</v>
      </c>
      <c r="V139" s="80">
        <f t="shared" si="153"/>
        <v>2604.9470000000001</v>
      </c>
      <c r="W139" s="80">
        <f t="shared" si="153"/>
        <v>2503.9089999999997</v>
      </c>
      <c r="X139" s="80">
        <f t="shared" si="153"/>
        <v>2503.9089999999997</v>
      </c>
      <c r="Y139" s="80">
        <f t="shared" si="153"/>
        <v>2625.2260000000001</v>
      </c>
      <c r="Z139" s="80">
        <f t="shared" si="153"/>
        <v>2422.0950000000003</v>
      </c>
      <c r="AA139" s="80">
        <f t="shared" si="153"/>
        <v>2699.8659999999995</v>
      </c>
      <c r="AB139" s="80">
        <f t="shared" si="153"/>
        <v>2664.9089999999997</v>
      </c>
      <c r="AC139" s="80">
        <f t="shared" si="153"/>
        <v>2664.9089999999997</v>
      </c>
      <c r="AD139" s="80">
        <f t="shared" si="153"/>
        <v>2754.9969999999998</v>
      </c>
      <c r="AE139" s="80">
        <f t="shared" si="153"/>
        <v>2893.5889999999999</v>
      </c>
      <c r="AF139" s="80">
        <f t="shared" si="153"/>
        <v>3039.5259999999994</v>
      </c>
      <c r="AG139" s="80">
        <f t="shared" si="153"/>
        <v>2820.4119999999994</v>
      </c>
      <c r="AH139" s="80">
        <f t="shared" si="153"/>
        <v>2820.4119999999994</v>
      </c>
      <c r="AI139" s="80">
        <f t="shared" si="153"/>
        <v>3147.2109999999998</v>
      </c>
      <c r="AJ139" s="80">
        <f t="shared" si="153"/>
        <v>3050.3870000000002</v>
      </c>
      <c r="AK139" s="80">
        <f t="shared" si="153"/>
        <v>3181.3809999999994</v>
      </c>
      <c r="AL139" s="80">
        <f t="shared" si="153"/>
        <v>4425.759</v>
      </c>
      <c r="AM139" s="80">
        <f t="shared" si="153"/>
        <v>4425.759</v>
      </c>
      <c r="AN139" s="80">
        <f t="shared" ref="AN139:BS139" si="154">SUM(AN134:AN137)</f>
        <v>5627.6459999999997</v>
      </c>
      <c r="AO139" s="80">
        <f t="shared" si="154"/>
        <v>6596.723</v>
      </c>
      <c r="AP139" s="80">
        <f t="shared" si="154"/>
        <v>6867.9</v>
      </c>
      <c r="AQ139" s="80">
        <f t="shared" si="154"/>
        <v>5617.7619999999997</v>
      </c>
      <c r="AR139" s="80">
        <f t="shared" si="154"/>
        <v>5617.7619999999997</v>
      </c>
      <c r="AS139" s="1116">
        <f t="shared" si="154"/>
        <v>4721.9859999999999</v>
      </c>
      <c r="AT139" s="86">
        <f t="shared" si="154"/>
        <v>4706.8029999999999</v>
      </c>
      <c r="AU139" s="86">
        <f t="shared" si="154"/>
        <v>5086.0920000000006</v>
      </c>
      <c r="AV139" s="1117">
        <f t="shared" si="154"/>
        <v>4987.6149999999998</v>
      </c>
      <c r="AW139" s="86">
        <f t="shared" si="154"/>
        <v>4987.6149999999998</v>
      </c>
      <c r="AX139" s="1116">
        <f t="shared" si="154"/>
        <v>5293.36</v>
      </c>
      <c r="AY139" s="86">
        <f t="shared" si="154"/>
        <v>5233.0729999999994</v>
      </c>
      <c r="AZ139" s="86">
        <f t="shared" si="154"/>
        <v>5830.576</v>
      </c>
      <c r="BA139" s="1117">
        <f t="shared" si="154"/>
        <v>6591.2160000000003</v>
      </c>
      <c r="BB139" s="86">
        <f t="shared" si="154"/>
        <v>6591.2160000000003</v>
      </c>
      <c r="BC139" s="1116">
        <f t="shared" si="154"/>
        <v>6890.8549999999996</v>
      </c>
      <c r="BD139" s="86">
        <f t="shared" si="154"/>
        <v>7058.1580000000004</v>
      </c>
      <c r="BE139" s="86">
        <f t="shared" si="154"/>
        <v>7128.0839999999998</v>
      </c>
      <c r="BF139" s="1117">
        <f t="shared" si="154"/>
        <v>6863.77</v>
      </c>
      <c r="BG139" s="86">
        <f t="shared" si="154"/>
        <v>6863.77</v>
      </c>
      <c r="BH139" s="1116">
        <f t="shared" si="154"/>
        <v>7018.762999999999</v>
      </c>
      <c r="BI139" s="86">
        <f t="shared" si="154"/>
        <v>6984.0069999999996</v>
      </c>
      <c r="BJ139" s="86">
        <f t="shared" si="154"/>
        <v>7133.6729999999989</v>
      </c>
      <c r="BK139" s="1117">
        <f t="shared" si="154"/>
        <v>6202.4849999999997</v>
      </c>
      <c r="BL139" s="86">
        <f t="shared" si="154"/>
        <v>6202.4849999999997</v>
      </c>
      <c r="BM139" s="1116">
        <f t="shared" si="154"/>
        <v>6236.7669999999998</v>
      </c>
      <c r="BN139" s="86">
        <f t="shared" si="154"/>
        <v>5995.4210000000003</v>
      </c>
      <c r="BO139" s="86">
        <f t="shared" si="154"/>
        <v>7228.5030000000006</v>
      </c>
      <c r="BP139" s="1117">
        <f t="shared" si="154"/>
        <v>7293.0050000000001</v>
      </c>
      <c r="BQ139" s="86">
        <f t="shared" si="154"/>
        <v>7293.0050000000001</v>
      </c>
      <c r="BR139" s="1116">
        <f t="shared" si="154"/>
        <v>7257.4759999999997</v>
      </c>
      <c r="BS139" s="86">
        <f t="shared" si="154"/>
        <v>7364.8749999999991</v>
      </c>
      <c r="BT139" s="86">
        <f t="shared" ref="BT139:CZ139" si="155">SUM(BT134:BT137)</f>
        <v>7477.8910000000005</v>
      </c>
      <c r="BU139" s="1117">
        <f t="shared" si="155"/>
        <v>7540.8090000000002</v>
      </c>
      <c r="BV139" s="86">
        <f t="shared" si="155"/>
        <v>7540.8090000000002</v>
      </c>
      <c r="BW139" s="1116">
        <f t="shared" si="155"/>
        <v>6949.7670000000007</v>
      </c>
      <c r="BX139" s="86">
        <f t="shared" si="155"/>
        <v>7093.0919999999996</v>
      </c>
      <c r="BY139" s="86">
        <f t="shared" si="155"/>
        <v>7222.1270000000004</v>
      </c>
      <c r="BZ139" s="1117">
        <f t="shared" si="155"/>
        <v>6464.3860000000013</v>
      </c>
      <c r="CA139" s="86">
        <f t="shared" si="155"/>
        <v>6464.3860000000013</v>
      </c>
      <c r="CB139" s="1116">
        <f t="shared" si="155"/>
        <v>6617.0320000000002</v>
      </c>
      <c r="CC139" s="86">
        <f t="shared" si="155"/>
        <v>7003.8739999999998</v>
      </c>
      <c r="CD139" s="86">
        <f t="shared" si="155"/>
        <v>7023.1629999999996</v>
      </c>
      <c r="CE139" s="1117">
        <f t="shared" si="155"/>
        <v>6968.8099999999995</v>
      </c>
      <c r="CF139" s="86">
        <f t="shared" si="155"/>
        <v>6968.8099999999995</v>
      </c>
      <c r="CG139" s="1116">
        <f t="shared" si="155"/>
        <v>7407.3889999999992</v>
      </c>
      <c r="CH139" s="86">
        <f t="shared" si="155"/>
        <v>7400.8119999999999</v>
      </c>
      <c r="CI139" s="86">
        <f t="shared" si="155"/>
        <v>7644.37</v>
      </c>
      <c r="CJ139" s="1117">
        <f t="shared" si="155"/>
        <v>6756.47</v>
      </c>
      <c r="CK139" s="86">
        <f t="shared" si="155"/>
        <v>6756.47</v>
      </c>
      <c r="CL139" s="1116">
        <f t="shared" ref="CL139" si="156">SUM(CL134:CL137)</f>
        <v>6798.3270000000002</v>
      </c>
      <c r="CM139" s="86">
        <f t="shared" si="155"/>
        <v>7723.8234687048407</v>
      </c>
      <c r="CN139" s="86">
        <f t="shared" si="155"/>
        <v>7853.8877920064042</v>
      </c>
      <c r="CO139" s="1117">
        <f t="shared" si="155"/>
        <v>7651.1820846847822</v>
      </c>
      <c r="CP139" s="86">
        <f t="shared" si="155"/>
        <v>7651.1820846847822</v>
      </c>
      <c r="CQ139" s="1116">
        <f t="shared" si="155"/>
        <v>7886.9604794288571</v>
      </c>
      <c r="CR139" s="86">
        <f t="shared" si="155"/>
        <v>7838.9638172264758</v>
      </c>
      <c r="CS139" s="86">
        <f t="shared" si="155"/>
        <v>7872.2100303105299</v>
      </c>
      <c r="CT139" s="1117">
        <f t="shared" si="155"/>
        <v>7630.9321112473908</v>
      </c>
      <c r="CU139" s="86">
        <f t="shared" si="155"/>
        <v>7630.9321112473908</v>
      </c>
      <c r="CV139" s="1116">
        <f t="shared" si="155"/>
        <v>7846.123926125887</v>
      </c>
      <c r="CW139" s="86">
        <f t="shared" si="155"/>
        <v>7770.102074358414</v>
      </c>
      <c r="CX139" s="86">
        <f t="shared" si="155"/>
        <v>7796.7411085571612</v>
      </c>
      <c r="CY139" s="1117">
        <f t="shared" si="155"/>
        <v>7581.3346827448468</v>
      </c>
      <c r="CZ139" s="86">
        <f t="shared" si="155"/>
        <v>7581.3346827448468</v>
      </c>
    </row>
    <row r="140" spans="1:104" ht="6.2" customHeight="1">
      <c r="A140" s="362"/>
      <c r="B140" s="374"/>
      <c r="C140" s="369"/>
      <c r="D140" s="362"/>
      <c r="E140" s="20"/>
      <c r="F140" s="20"/>
      <c r="G140" s="20"/>
      <c r="H140" s="20"/>
      <c r="I140" s="20"/>
      <c r="J140" s="75"/>
      <c r="K140" s="75"/>
      <c r="L140" s="75"/>
      <c r="M140" s="75"/>
      <c r="N140" s="75"/>
      <c r="O140" s="75"/>
      <c r="P140" s="75"/>
      <c r="Q140" s="75"/>
      <c r="R140" s="75"/>
      <c r="S140" s="75"/>
      <c r="T140" s="75"/>
      <c r="U140" s="75"/>
      <c r="V140" s="75"/>
      <c r="W140" s="75"/>
      <c r="X140" s="75"/>
      <c r="Y140" s="75"/>
      <c r="Z140" s="75"/>
      <c r="AA140" s="75"/>
      <c r="AB140" s="75"/>
      <c r="AC140" s="75"/>
      <c r="AD140" s="75"/>
      <c r="AE140" s="75"/>
      <c r="AF140" s="75"/>
      <c r="AG140" s="75"/>
      <c r="AH140" s="75"/>
      <c r="AI140" s="92"/>
      <c r="AJ140" s="75"/>
      <c r="AK140" s="75"/>
      <c r="AL140" s="75"/>
      <c r="AM140" s="75"/>
      <c r="AN140" s="75"/>
      <c r="AO140" s="92"/>
      <c r="AP140" s="75"/>
      <c r="AQ140" s="75"/>
      <c r="AR140" s="75"/>
      <c r="AS140" s="891"/>
      <c r="AT140" s="92"/>
      <c r="AU140" s="75"/>
      <c r="AV140" s="892"/>
      <c r="AW140" s="75"/>
      <c r="AX140" s="891"/>
      <c r="AY140" s="75"/>
      <c r="AZ140" s="75"/>
      <c r="BA140" s="892"/>
      <c r="BB140" s="75"/>
      <c r="BC140" s="891"/>
      <c r="BD140" s="75"/>
      <c r="BE140" s="75"/>
      <c r="BF140" s="1155"/>
      <c r="BG140" s="379"/>
      <c r="BH140" s="891"/>
      <c r="BI140" s="75"/>
      <c r="BJ140" s="75"/>
      <c r="BK140" s="1155"/>
      <c r="BL140" s="75"/>
      <c r="BM140" s="891"/>
      <c r="BN140" s="75"/>
      <c r="BO140" s="75"/>
      <c r="BP140" s="892"/>
      <c r="BQ140" s="75"/>
      <c r="BR140" s="891"/>
      <c r="BS140" s="75"/>
      <c r="BT140" s="75"/>
      <c r="BU140" s="892"/>
      <c r="BV140" s="75"/>
      <c r="BW140" s="891"/>
      <c r="BX140" s="75"/>
      <c r="BY140" s="75"/>
      <c r="BZ140" s="1103"/>
      <c r="CA140" s="75"/>
      <c r="CB140" s="891"/>
      <c r="CC140" s="75"/>
      <c r="CD140" s="75"/>
      <c r="CE140" s="892"/>
      <c r="CF140" s="75"/>
      <c r="CG140" s="891"/>
      <c r="CH140" s="75"/>
      <c r="CI140" s="75"/>
      <c r="CJ140" s="892"/>
      <c r="CK140" s="75"/>
      <c r="CL140" s="891"/>
      <c r="CM140" s="75"/>
      <c r="CN140" s="75"/>
      <c r="CO140" s="892"/>
      <c r="CP140" s="75"/>
      <c r="CQ140" s="891"/>
      <c r="CR140" s="75"/>
      <c r="CS140" s="75"/>
      <c r="CT140" s="892"/>
      <c r="CU140" s="75"/>
      <c r="CV140" s="891"/>
      <c r="CW140" s="75"/>
      <c r="CX140" s="75"/>
      <c r="CY140" s="892"/>
      <c r="CZ140" s="75"/>
    </row>
    <row r="141" spans="1:104" ht="13.5" customHeight="1">
      <c r="A141" s="362"/>
      <c r="B141" s="362" t="s">
        <v>83</v>
      </c>
      <c r="C141" s="369"/>
      <c r="D141" s="362"/>
      <c r="E141" s="91"/>
      <c r="F141" s="91"/>
      <c r="G141" s="91"/>
      <c r="H141" s="91"/>
      <c r="I141" s="91"/>
      <c r="J141" s="75">
        <v>36.216304000000001</v>
      </c>
      <c r="K141" s="75">
        <v>36.269945999999997</v>
      </c>
      <c r="L141" s="75">
        <v>36.269945999999997</v>
      </c>
      <c r="M141" s="75">
        <v>36.271453000000001</v>
      </c>
      <c r="N141" s="75">
        <f t="shared" ref="N141:N146" si="157">M141</f>
        <v>36.271453000000001</v>
      </c>
      <c r="O141" s="75">
        <v>36.271453000000001</v>
      </c>
      <c r="P141" s="75">
        <v>36.277591999999999</v>
      </c>
      <c r="Q141" s="75">
        <v>36.307997999999998</v>
      </c>
      <c r="R141" s="75">
        <v>36.426650000000002</v>
      </c>
      <c r="S141" s="75">
        <f t="shared" ref="S141:S146" si="158">R141</f>
        <v>36.426650000000002</v>
      </c>
      <c r="T141" s="75">
        <v>36.552999999999997</v>
      </c>
      <c r="U141" s="75">
        <v>36.683999999999997</v>
      </c>
      <c r="V141" s="75">
        <v>73.587000000000003</v>
      </c>
      <c r="W141" s="75">
        <v>73.753</v>
      </c>
      <c r="X141" s="75">
        <f t="shared" ref="X141:X146" si="159">W141</f>
        <v>73.753</v>
      </c>
      <c r="Y141" s="75">
        <v>73.932000000000002</v>
      </c>
      <c r="Z141" s="75">
        <v>73.945999999999998</v>
      </c>
      <c r="AA141" s="75">
        <v>73.986999999999995</v>
      </c>
      <c r="AB141" s="75">
        <v>74.12</v>
      </c>
      <c r="AC141" s="75">
        <f t="shared" ref="AC141:AC146" si="160">AB141</f>
        <v>74.12</v>
      </c>
      <c r="AD141" s="75">
        <v>74.337000000000003</v>
      </c>
      <c r="AE141" s="75">
        <v>148.798</v>
      </c>
      <c r="AF141" s="75">
        <v>148.833</v>
      </c>
      <c r="AG141" s="75">
        <v>149.006</v>
      </c>
      <c r="AH141" s="75">
        <f t="shared" ref="AH141:AH146" si="161">AG141</f>
        <v>149.006</v>
      </c>
      <c r="AI141" s="92">
        <v>149.15</v>
      </c>
      <c r="AJ141" s="75">
        <v>149.26</v>
      </c>
      <c r="AK141" s="75">
        <v>149.27699999999999</v>
      </c>
      <c r="AL141" s="75">
        <v>149.30199999999999</v>
      </c>
      <c r="AM141" s="75">
        <f t="shared" ref="AM141:AM146" si="162">AL141</f>
        <v>149.30199999999999</v>
      </c>
      <c r="AN141" s="75">
        <v>149.43</v>
      </c>
      <c r="AO141" s="92">
        <v>149.566</v>
      </c>
      <c r="AP141" s="75">
        <v>149.62100000000001</v>
      </c>
      <c r="AQ141" s="75">
        <v>149.62799999999999</v>
      </c>
      <c r="AR141" s="75">
        <f t="shared" ref="AR141:AR146" si="163">AQ141</f>
        <v>149.62799999999999</v>
      </c>
      <c r="AS141" s="1102">
        <v>149.654</v>
      </c>
      <c r="AT141" s="523">
        <v>149.81</v>
      </c>
      <c r="AU141" s="523">
        <v>149.863</v>
      </c>
      <c r="AV141" s="1103">
        <v>149.87700000000001</v>
      </c>
      <c r="AW141" s="550">
        <f t="shared" ref="AW141:AW146" si="164">AV141</f>
        <v>149.87700000000001</v>
      </c>
      <c r="AX141" s="1102">
        <v>149.93</v>
      </c>
      <c r="AY141" s="523">
        <v>150.09399999999999</v>
      </c>
      <c r="AZ141" s="523">
        <v>150.15799999999999</v>
      </c>
      <c r="BA141" s="1103">
        <v>150.18100000000001</v>
      </c>
      <c r="BB141" s="550">
        <f t="shared" ref="BB141:BB146" si="165">BA141</f>
        <v>150.18100000000001</v>
      </c>
      <c r="BC141" s="1102">
        <v>150.24</v>
      </c>
      <c r="BD141" s="523">
        <v>150.405</v>
      </c>
      <c r="BE141" s="523">
        <v>150.47999999999999</v>
      </c>
      <c r="BF141" s="1167">
        <v>150.49600000000001</v>
      </c>
      <c r="BG141" s="577">
        <f t="shared" ref="BG141:BG146" si="166">BF141</f>
        <v>150.49600000000001</v>
      </c>
      <c r="BH141" s="1102">
        <v>150.57400000000001</v>
      </c>
      <c r="BI141" s="523">
        <v>150.72999999999999</v>
      </c>
      <c r="BJ141" s="523">
        <v>150.798</v>
      </c>
      <c r="BK141" s="1167">
        <v>150.80500000000001</v>
      </c>
      <c r="BL141" s="550">
        <f>BK141</f>
        <v>150.80500000000001</v>
      </c>
      <c r="BM141" s="1102">
        <v>150.80699999999999</v>
      </c>
      <c r="BN141" s="523">
        <v>150.96199999999999</v>
      </c>
      <c r="BO141" s="523">
        <v>150.96799999999999</v>
      </c>
      <c r="BP141" s="1103">
        <v>151.01</v>
      </c>
      <c r="BQ141" s="550">
        <f>BP141</f>
        <v>151.01</v>
      </c>
      <c r="BR141" s="1102">
        <v>151.02500000000001</v>
      </c>
      <c r="BS141" s="523">
        <v>151.172</v>
      </c>
      <c r="BT141" s="523">
        <v>151.227</v>
      </c>
      <c r="BU141" s="1103">
        <v>151.23699999999999</v>
      </c>
      <c r="BV141" s="550">
        <f>BU141</f>
        <v>151.23699999999999</v>
      </c>
      <c r="BW141" s="1102">
        <v>151.24199999999999</v>
      </c>
      <c r="BX141" s="523">
        <v>151.423</v>
      </c>
      <c r="BY141" s="523">
        <v>151.42500000000001</v>
      </c>
      <c r="BZ141" s="1103">
        <v>151.42599999999999</v>
      </c>
      <c r="CA141" s="550">
        <f>BZ141</f>
        <v>151.42599999999999</v>
      </c>
      <c r="CB141" s="1102">
        <v>151.42599999999999</v>
      </c>
      <c r="CC141" s="523">
        <v>151.59200000000001</v>
      </c>
      <c r="CD141" s="523">
        <v>151.637</v>
      </c>
      <c r="CE141" s="1103">
        <v>151.73400000000001</v>
      </c>
      <c r="CF141" s="550">
        <f>CE141</f>
        <v>151.73400000000001</v>
      </c>
      <c r="CG141" s="1102">
        <v>151.77500000000001</v>
      </c>
      <c r="CH141" s="523">
        <v>151.91999999999999</v>
      </c>
      <c r="CI141" s="523">
        <v>151.94300000000001</v>
      </c>
      <c r="CJ141" s="1103">
        <v>151.96</v>
      </c>
      <c r="CK141" s="550">
        <f t="shared" ref="CK141" si="167">CJ141</f>
        <v>151.96</v>
      </c>
      <c r="CL141" s="1102">
        <v>152.06100000000001</v>
      </c>
      <c r="CM141" s="550">
        <f t="shared" ref="CM141:CZ141" si="168">CL141</f>
        <v>152.06100000000001</v>
      </c>
      <c r="CN141" s="550">
        <f t="shared" si="168"/>
        <v>152.06100000000001</v>
      </c>
      <c r="CO141" s="890">
        <f t="shared" si="168"/>
        <v>152.06100000000001</v>
      </c>
      <c r="CP141" s="550">
        <f t="shared" si="168"/>
        <v>152.06100000000001</v>
      </c>
      <c r="CQ141" s="889">
        <f t="shared" si="168"/>
        <v>152.06100000000001</v>
      </c>
      <c r="CR141" s="550">
        <f t="shared" si="168"/>
        <v>152.06100000000001</v>
      </c>
      <c r="CS141" s="550">
        <f t="shared" si="168"/>
        <v>152.06100000000001</v>
      </c>
      <c r="CT141" s="890">
        <f t="shared" si="168"/>
        <v>152.06100000000001</v>
      </c>
      <c r="CU141" s="550">
        <f t="shared" si="168"/>
        <v>152.06100000000001</v>
      </c>
      <c r="CV141" s="889">
        <f t="shared" si="168"/>
        <v>152.06100000000001</v>
      </c>
      <c r="CW141" s="550">
        <f t="shared" si="168"/>
        <v>152.06100000000001</v>
      </c>
      <c r="CX141" s="550">
        <f t="shared" si="168"/>
        <v>152.06100000000001</v>
      </c>
      <c r="CY141" s="890">
        <f t="shared" si="168"/>
        <v>152.06100000000001</v>
      </c>
      <c r="CZ141" s="550">
        <f t="shared" si="168"/>
        <v>152.06100000000001</v>
      </c>
    </row>
    <row r="142" spans="1:104" ht="13.5" customHeight="1">
      <c r="A142" s="362"/>
      <c r="B142" s="362" t="s">
        <v>246</v>
      </c>
      <c r="C142" s="369"/>
      <c r="D142" s="362"/>
      <c r="E142" s="91"/>
      <c r="F142" s="91"/>
      <c r="G142" s="91"/>
      <c r="H142" s="91"/>
      <c r="I142" s="91"/>
      <c r="J142" s="75">
        <v>90.961920000000006</v>
      </c>
      <c r="K142" s="75">
        <v>97.315976000000006</v>
      </c>
      <c r="L142" s="75">
        <v>97.382265000000004</v>
      </c>
      <c r="M142" s="75">
        <v>99.395805999999993</v>
      </c>
      <c r="N142" s="75">
        <f t="shared" si="157"/>
        <v>99.395805999999993</v>
      </c>
      <c r="O142" s="75">
        <v>99.415642000000005</v>
      </c>
      <c r="P142" s="75">
        <v>100.125457</v>
      </c>
      <c r="Q142" s="75">
        <v>103.243522</v>
      </c>
      <c r="R142" s="75">
        <v>117.399387</v>
      </c>
      <c r="S142" s="75">
        <f t="shared" si="158"/>
        <v>117.399387</v>
      </c>
      <c r="T142" s="75">
        <v>132.56200000000001</v>
      </c>
      <c r="U142" s="75">
        <v>148.499</v>
      </c>
      <c r="V142" s="75">
        <v>125.58</v>
      </c>
      <c r="W142" s="75">
        <v>147.20599999999999</v>
      </c>
      <c r="X142" s="75">
        <f t="shared" si="159"/>
        <v>147.20599999999999</v>
      </c>
      <c r="Y142" s="75">
        <v>168.011</v>
      </c>
      <c r="Z142" s="75">
        <v>169.041</v>
      </c>
      <c r="AA142" s="75">
        <v>172.24100000000001</v>
      </c>
      <c r="AB142" s="75">
        <v>191.85</v>
      </c>
      <c r="AC142" s="75">
        <f t="shared" si="160"/>
        <v>191.85</v>
      </c>
      <c r="AD142" s="75">
        <v>225.03</v>
      </c>
      <c r="AE142" s="75">
        <v>166.58600000000001</v>
      </c>
      <c r="AF142" s="75">
        <v>177.73599999999999</v>
      </c>
      <c r="AG142" s="75">
        <v>195.54300000000001</v>
      </c>
      <c r="AH142" s="75">
        <f t="shared" si="161"/>
        <v>195.54300000000001</v>
      </c>
      <c r="AI142" s="92">
        <v>221.20099999999999</v>
      </c>
      <c r="AJ142" s="75">
        <v>236.154</v>
      </c>
      <c r="AK142" s="75">
        <v>244.249</v>
      </c>
      <c r="AL142" s="75">
        <v>256.40600000000001</v>
      </c>
      <c r="AM142" s="75">
        <f t="shared" si="162"/>
        <v>256.40600000000001</v>
      </c>
      <c r="AN142" s="75">
        <v>280.98099999999999</v>
      </c>
      <c r="AO142" s="92">
        <v>1606.5409999999999</v>
      </c>
      <c r="AP142" s="75">
        <v>1619.2449999999999</v>
      </c>
      <c r="AQ142" s="75">
        <v>1629.981</v>
      </c>
      <c r="AR142" s="75">
        <f t="shared" si="163"/>
        <v>1629.981</v>
      </c>
      <c r="AS142" s="1102">
        <v>1641.6780000000001</v>
      </c>
      <c r="AT142" s="523">
        <v>1655.252</v>
      </c>
      <c r="AU142" s="523">
        <v>1665.8620000000001</v>
      </c>
      <c r="AV142" s="1103">
        <v>1675.777</v>
      </c>
      <c r="AW142" s="550">
        <f t="shared" si="164"/>
        <v>1675.777</v>
      </c>
      <c r="AX142" s="1102">
        <v>1688.2629999999999</v>
      </c>
      <c r="AY142" s="523">
        <v>1691.3030000000001</v>
      </c>
      <c r="AZ142" s="523">
        <v>1701.921</v>
      </c>
      <c r="BA142" s="1103">
        <v>1711.518</v>
      </c>
      <c r="BB142" s="550">
        <f t="shared" si="165"/>
        <v>1711.518</v>
      </c>
      <c r="BC142" s="1102">
        <v>1723.06</v>
      </c>
      <c r="BD142" s="523">
        <v>1735.3</v>
      </c>
      <c r="BE142" s="523">
        <v>1748.732</v>
      </c>
      <c r="BF142" s="1167">
        <v>1756.5340000000001</v>
      </c>
      <c r="BG142" s="577">
        <f t="shared" si="166"/>
        <v>1756.5340000000001</v>
      </c>
      <c r="BH142" s="1102">
        <v>1773.0889999999999</v>
      </c>
      <c r="BI142" s="523">
        <v>1794.4570000000001</v>
      </c>
      <c r="BJ142" s="523">
        <v>1804.1559999999999</v>
      </c>
      <c r="BK142" s="1167">
        <v>1811.4590000000001</v>
      </c>
      <c r="BL142" s="550">
        <f>BK142</f>
        <v>1811.4590000000001</v>
      </c>
      <c r="BM142" s="1102">
        <v>1817.4290000000001</v>
      </c>
      <c r="BN142" s="523">
        <v>1835.7460000000001</v>
      </c>
      <c r="BO142" s="523">
        <v>1841.499</v>
      </c>
      <c r="BP142" s="1103">
        <v>1843.3530000000001</v>
      </c>
      <c r="BQ142" s="550">
        <f>BP142</f>
        <v>1843.3530000000001</v>
      </c>
      <c r="BR142" s="1102">
        <v>1849.7370000000001</v>
      </c>
      <c r="BS142" s="523">
        <v>1867.9480000000001</v>
      </c>
      <c r="BT142" s="523">
        <v>1876.7280000000001</v>
      </c>
      <c r="BU142" s="1103">
        <v>1883.356</v>
      </c>
      <c r="BV142" s="550">
        <f>BU142</f>
        <v>1883.356</v>
      </c>
      <c r="BW142" s="1102">
        <v>1890.886</v>
      </c>
      <c r="BX142" s="523">
        <v>1907.049</v>
      </c>
      <c r="BY142" s="523">
        <v>1913.24</v>
      </c>
      <c r="BZ142" s="1103">
        <v>1918.97</v>
      </c>
      <c r="CA142" s="550">
        <f>BZ142</f>
        <v>1918.97</v>
      </c>
      <c r="CB142" s="1102">
        <v>1925.2550000000001</v>
      </c>
      <c r="CC142" s="523">
        <v>1943.886</v>
      </c>
      <c r="CD142" s="523">
        <v>1954.451</v>
      </c>
      <c r="CE142" s="1103">
        <v>1974.672</v>
      </c>
      <c r="CF142" s="550">
        <f>CE142</f>
        <v>1974.672</v>
      </c>
      <c r="CG142" s="1102">
        <v>1986.9829999999999</v>
      </c>
      <c r="CH142" s="523">
        <v>2004.079</v>
      </c>
      <c r="CI142" s="523">
        <v>2013.1579999999999</v>
      </c>
      <c r="CJ142" s="1103">
        <v>2021.3389999999999</v>
      </c>
      <c r="CK142" s="550">
        <f>CJ142</f>
        <v>2021.3389999999999</v>
      </c>
      <c r="CL142" s="1102">
        <v>2041.297</v>
      </c>
      <c r="CM142" s="550">
        <f>CL142+CM218</f>
        <v>2041.297</v>
      </c>
      <c r="CN142" s="550">
        <f>CM142+CN218</f>
        <v>2041.297</v>
      </c>
      <c r="CO142" s="890">
        <f>CN142+CO218</f>
        <v>2041.297</v>
      </c>
      <c r="CP142" s="550">
        <f>CO142</f>
        <v>2041.297</v>
      </c>
      <c r="CQ142" s="889">
        <f>CP142+CQ218</f>
        <v>2041.297</v>
      </c>
      <c r="CR142" s="550">
        <f>CQ142+CR218</f>
        <v>2041.297</v>
      </c>
      <c r="CS142" s="550">
        <f>CR142+CS218</f>
        <v>2041.297</v>
      </c>
      <c r="CT142" s="890">
        <f>CS142+CT218</f>
        <v>2041.297</v>
      </c>
      <c r="CU142" s="550">
        <f>CT142</f>
        <v>2041.297</v>
      </c>
      <c r="CV142" s="889">
        <f>CU142+CV218</f>
        <v>2041.297</v>
      </c>
      <c r="CW142" s="550">
        <f>CV142+CW218</f>
        <v>2041.297</v>
      </c>
      <c r="CX142" s="550">
        <f>CW142+CX218</f>
        <v>2041.297</v>
      </c>
      <c r="CY142" s="890">
        <f>CX142+CY218</f>
        <v>2041.297</v>
      </c>
      <c r="CZ142" s="550">
        <f>CY142</f>
        <v>2041.297</v>
      </c>
    </row>
    <row r="143" spans="1:104" ht="13.5" customHeight="1">
      <c r="A143" s="362"/>
      <c r="B143" s="362" t="s">
        <v>76</v>
      </c>
      <c r="C143" s="369"/>
      <c r="D143" s="362"/>
      <c r="E143" s="91"/>
      <c r="F143" s="91"/>
      <c r="G143" s="91"/>
      <c r="H143" s="91"/>
      <c r="I143" s="91"/>
      <c r="J143" s="75">
        <v>2544.3202329999999</v>
      </c>
      <c r="K143" s="75">
        <v>2589.2162950000002</v>
      </c>
      <c r="L143" s="75">
        <v>2613.5447549999999</v>
      </c>
      <c r="M143" s="75">
        <v>2641.5811520000002</v>
      </c>
      <c r="N143" s="75">
        <f t="shared" si="157"/>
        <v>2641.5811520000002</v>
      </c>
      <c r="O143" s="75">
        <v>2643.7259960000001</v>
      </c>
      <c r="P143" s="75">
        <v>2636.5099540000001</v>
      </c>
      <c r="Q143" s="75">
        <v>2636.8738680000001</v>
      </c>
      <c r="R143" s="75">
        <v>2641.7084279999999</v>
      </c>
      <c r="S143" s="75">
        <f t="shared" si="158"/>
        <v>2641.7084279999999</v>
      </c>
      <c r="T143" s="75">
        <v>2738.373</v>
      </c>
      <c r="U143" s="75">
        <v>2973.1669999999999</v>
      </c>
      <c r="V143" s="75">
        <v>3367.8739999999998</v>
      </c>
      <c r="W143" s="75">
        <v>3688.5549999999998</v>
      </c>
      <c r="X143" s="75">
        <f t="shared" si="159"/>
        <v>3688.5549999999998</v>
      </c>
      <c r="Y143" s="75">
        <v>3979.1410000000001</v>
      </c>
      <c r="Z143" s="75">
        <v>4239.326</v>
      </c>
      <c r="AA143" s="75">
        <v>4468.93</v>
      </c>
      <c r="AB143" s="75">
        <v>4709.1109999999999</v>
      </c>
      <c r="AC143" s="75">
        <f t="shared" si="160"/>
        <v>4709.1109999999999</v>
      </c>
      <c r="AD143" s="75">
        <v>4979.1670000000004</v>
      </c>
      <c r="AE143" s="75">
        <v>5246.2650000000003</v>
      </c>
      <c r="AF143" s="75">
        <v>5581.8779999999997</v>
      </c>
      <c r="AG143" s="75">
        <v>5808.7049999999999</v>
      </c>
      <c r="AH143" s="75">
        <f t="shared" si="161"/>
        <v>5808.7049999999999</v>
      </c>
      <c r="AI143" s="92">
        <v>6067.6149999999998</v>
      </c>
      <c r="AJ143" s="75">
        <v>6228.7309999999998</v>
      </c>
      <c r="AK143" s="75">
        <v>6433.3739999999998</v>
      </c>
      <c r="AL143" s="75">
        <v>6621.6459999999997</v>
      </c>
      <c r="AM143" s="75">
        <f t="shared" si="162"/>
        <v>6621.6459999999997</v>
      </c>
      <c r="AN143" s="75">
        <v>6880.58</v>
      </c>
      <c r="AO143" s="92">
        <v>7461.3220000000001</v>
      </c>
      <c r="AP143" s="75">
        <v>7865.3649999999998</v>
      </c>
      <c r="AQ143" s="75">
        <v>7860.6289999999999</v>
      </c>
      <c r="AR143" s="75">
        <f t="shared" si="163"/>
        <v>7860.6289999999999</v>
      </c>
      <c r="AS143" s="1102">
        <v>7560.36</v>
      </c>
      <c r="AT143" s="523">
        <v>7316.0540000000001</v>
      </c>
      <c r="AU143" s="523">
        <v>7175.4880000000003</v>
      </c>
      <c r="AV143" s="1103">
        <v>7120.2179999999998</v>
      </c>
      <c r="AW143" s="550">
        <f t="shared" si="164"/>
        <v>7120.2179999999998</v>
      </c>
      <c r="AX143" s="1102">
        <v>7036.9070000000002</v>
      </c>
      <c r="AY143" s="523">
        <v>7013.5280000000002</v>
      </c>
      <c r="AZ143" s="523">
        <v>6922.58</v>
      </c>
      <c r="BA143" s="1103">
        <v>6795.9880000000003</v>
      </c>
      <c r="BB143" s="550">
        <f t="shared" si="165"/>
        <v>6795.9880000000003</v>
      </c>
      <c r="BC143" s="1102">
        <v>6840.5020000000004</v>
      </c>
      <c r="BD143" s="523">
        <v>7024.83</v>
      </c>
      <c r="BE143" s="523">
        <v>7090.8360000000002</v>
      </c>
      <c r="BF143" s="1167">
        <v>7111.5659999999998</v>
      </c>
      <c r="BG143" s="577">
        <f t="shared" si="166"/>
        <v>7111.5659999999998</v>
      </c>
      <c r="BH143" s="1102">
        <v>7140.2280000000001</v>
      </c>
      <c r="BI143" s="523">
        <v>7135.7529999999997</v>
      </c>
      <c r="BJ143" s="523">
        <v>7129.2359999999999</v>
      </c>
      <c r="BK143" s="1167">
        <v>7124.5230000000001</v>
      </c>
      <c r="BL143" s="550">
        <f>BK143</f>
        <v>7124.5230000000001</v>
      </c>
      <c r="BM143" s="1102">
        <v>7091.6450000000004</v>
      </c>
      <c r="BN143" s="523">
        <v>7058.9110000000001</v>
      </c>
      <c r="BO143" s="523">
        <v>7088.63</v>
      </c>
      <c r="BP143" s="1103">
        <v>7140.44</v>
      </c>
      <c r="BQ143" s="550">
        <f>BP143</f>
        <v>7140.44</v>
      </c>
      <c r="BR143" s="1102">
        <v>7132.7759999999998</v>
      </c>
      <c r="BS143" s="523">
        <v>7160.9520000000002</v>
      </c>
      <c r="BT143" s="523">
        <v>7287.5</v>
      </c>
      <c r="BU143" s="1103">
        <v>7378.2139999999999</v>
      </c>
      <c r="BV143" s="550">
        <f>BU143</f>
        <v>7378.2139999999999</v>
      </c>
      <c r="BW143" s="1102">
        <v>7326.2439999999997</v>
      </c>
      <c r="BX143" s="523">
        <v>7331.0060000000003</v>
      </c>
      <c r="BY143" s="523">
        <v>7438.1549999999997</v>
      </c>
      <c r="BZ143" s="1103">
        <v>7255.9719999999998</v>
      </c>
      <c r="CA143" s="550">
        <f>BZ143</f>
        <v>7255.9719999999998</v>
      </c>
      <c r="CB143" s="1102">
        <v>7206.57</v>
      </c>
      <c r="CC143" s="523">
        <v>7319.9610000000002</v>
      </c>
      <c r="CD143" s="523">
        <v>7469.58</v>
      </c>
      <c r="CE143" s="1103">
        <v>7630.9160000000002</v>
      </c>
      <c r="CF143" s="550">
        <f>CE143</f>
        <v>7630.9160000000002</v>
      </c>
      <c r="CG143" s="1102">
        <v>7866.4049999999997</v>
      </c>
      <c r="CH143" s="523">
        <v>8067.8459999999995</v>
      </c>
      <c r="CI143" s="523">
        <v>8215.3169999999991</v>
      </c>
      <c r="CJ143" s="1103">
        <v>8463.7090000000007</v>
      </c>
      <c r="CK143" s="550">
        <f>CJ143</f>
        <v>8463.7090000000007</v>
      </c>
      <c r="CL143" s="1102">
        <v>8696.0069999999996</v>
      </c>
      <c r="CM143" s="550">
        <f>CL143+CM90+CM224</f>
        <v>9117.6407824855887</v>
      </c>
      <c r="CN143" s="550">
        <f>CM143+CN90+CN224</f>
        <v>9554.8095946109897</v>
      </c>
      <c r="CO143" s="890">
        <f>CN143+CO90+CO224</f>
        <v>9945.0705519206149</v>
      </c>
      <c r="CP143" s="550">
        <f>CO143</f>
        <v>9945.0705519206149</v>
      </c>
      <c r="CQ143" s="889">
        <f>CP143+CQ90+CQ224</f>
        <v>10383.646048833725</v>
      </c>
      <c r="CR143" s="550">
        <f>CQ143+CR90+CR224</f>
        <v>10787.622152215374</v>
      </c>
      <c r="CS143" s="550">
        <f>CR143+CS90+CS224</f>
        <v>11133.689442217536</v>
      </c>
      <c r="CT143" s="890">
        <f>CS143+CT90+CT224</f>
        <v>11391.144383179882</v>
      </c>
      <c r="CU143" s="550">
        <f>CT143</f>
        <v>11391.144383179882</v>
      </c>
      <c r="CV143" s="889">
        <f>CU143+CV90+CV224</f>
        <v>11732.159368052409</v>
      </c>
      <c r="CW143" s="550">
        <f>CV143+CW90+CW224</f>
        <v>12091.673966247887</v>
      </c>
      <c r="CX143" s="550">
        <f>CW143+CX90+CX224</f>
        <v>12415.511544375771</v>
      </c>
      <c r="CY143" s="890">
        <f>CX143+CY90+CY224</f>
        <v>12745.56716342998</v>
      </c>
      <c r="CZ143" s="550">
        <f>CY143</f>
        <v>12745.56716342998</v>
      </c>
    </row>
    <row r="144" spans="1:104" ht="13.5" customHeight="1">
      <c r="A144" s="362"/>
      <c r="B144" s="362" t="s">
        <v>481</v>
      </c>
      <c r="C144" s="369"/>
      <c r="D144" s="362"/>
      <c r="E144" s="91"/>
      <c r="F144" s="91"/>
      <c r="G144" s="91"/>
      <c r="H144" s="91"/>
      <c r="I144" s="91"/>
      <c r="J144" s="75">
        <v>0</v>
      </c>
      <c r="K144" s="75">
        <v>0</v>
      </c>
      <c r="L144" s="75">
        <v>0</v>
      </c>
      <c r="M144" s="75">
        <v>0</v>
      </c>
      <c r="N144" s="75">
        <f t="shared" si="157"/>
        <v>0</v>
      </c>
      <c r="O144" s="75"/>
      <c r="P144" s="75"/>
      <c r="Q144" s="75"/>
      <c r="R144" s="75"/>
      <c r="S144" s="75">
        <f t="shared" si="158"/>
        <v>0</v>
      </c>
      <c r="T144" s="75">
        <v>-0.49199999999999999</v>
      </c>
      <c r="U144" s="75">
        <v>-0.49199999999999999</v>
      </c>
      <c r="V144" s="75">
        <v>-0.39200000000000002</v>
      </c>
      <c r="W144" s="75">
        <v>-0.39200000000000002</v>
      </c>
      <c r="X144" s="75">
        <f t="shared" si="159"/>
        <v>-0.39200000000000002</v>
      </c>
      <c r="Y144" s="75">
        <v>-4.9870000000000001</v>
      </c>
      <c r="Z144" s="75">
        <v>-4.3869999999999996</v>
      </c>
      <c r="AA144" s="75">
        <v>-3.887</v>
      </c>
      <c r="AB144" s="75">
        <v>-3.2869999999999999</v>
      </c>
      <c r="AC144" s="75">
        <f t="shared" si="160"/>
        <v>-3.2869999999999999</v>
      </c>
      <c r="AD144" s="75"/>
      <c r="AE144" s="75"/>
      <c r="AF144" s="75"/>
      <c r="AG144" s="75"/>
      <c r="AH144" s="75"/>
      <c r="AI144" s="92"/>
      <c r="AJ144" s="75"/>
      <c r="AK144" s="75"/>
      <c r="AL144" s="75"/>
      <c r="AM144" s="75"/>
      <c r="AN144" s="75"/>
      <c r="AO144" s="92"/>
      <c r="AP144" s="75"/>
      <c r="AQ144" s="75"/>
      <c r="AR144" s="75"/>
      <c r="AS144" s="891"/>
      <c r="AT144" s="92"/>
      <c r="AU144" s="75"/>
      <c r="AV144" s="892"/>
      <c r="AW144" s="75"/>
      <c r="AX144" s="891"/>
      <c r="AY144" s="75"/>
      <c r="AZ144" s="75"/>
      <c r="BA144" s="892"/>
      <c r="BB144" s="75"/>
      <c r="BC144" s="891"/>
      <c r="BD144" s="75"/>
      <c r="BE144" s="75"/>
      <c r="BF144" s="1155"/>
      <c r="BG144" s="379"/>
      <c r="BH144" s="891"/>
      <c r="BI144" s="75"/>
      <c r="BJ144" s="75"/>
      <c r="BK144" s="1155"/>
      <c r="BL144" s="75"/>
      <c r="BM144" s="891"/>
      <c r="BN144" s="75"/>
      <c r="BO144" s="75"/>
      <c r="BP144" s="892"/>
      <c r="BQ144" s="75"/>
      <c r="BR144" s="1102"/>
      <c r="BS144" s="523"/>
      <c r="BT144" s="523"/>
      <c r="BU144" s="1103"/>
      <c r="BV144" s="75"/>
      <c r="BW144" s="1102"/>
      <c r="BX144" s="523"/>
      <c r="BY144" s="523"/>
      <c r="BZ144" s="892"/>
      <c r="CA144" s="75"/>
      <c r="CB144" s="1102"/>
      <c r="CC144" s="75"/>
      <c r="CD144" s="75"/>
      <c r="CE144" s="892"/>
      <c r="CF144" s="75"/>
      <c r="CG144" s="891"/>
      <c r="CH144" s="75"/>
      <c r="CI144" s="75"/>
      <c r="CJ144" s="1103"/>
      <c r="CK144" s="75"/>
      <c r="CL144" s="891"/>
      <c r="CM144" s="75"/>
      <c r="CN144" s="75"/>
      <c r="CO144" s="892"/>
      <c r="CP144" s="75"/>
      <c r="CQ144" s="891"/>
      <c r="CR144" s="75"/>
      <c r="CS144" s="75"/>
      <c r="CT144" s="892"/>
      <c r="CU144" s="75"/>
      <c r="CV144" s="891"/>
      <c r="CW144" s="75"/>
      <c r="CX144" s="75"/>
      <c r="CY144" s="892"/>
      <c r="CZ144" s="75"/>
    </row>
    <row r="145" spans="1:104" ht="13.5" customHeight="1">
      <c r="A145" s="362"/>
      <c r="B145" s="362" t="s">
        <v>77</v>
      </c>
      <c r="C145" s="369"/>
      <c r="D145" s="362"/>
      <c r="E145" s="91"/>
      <c r="F145" s="91"/>
      <c r="G145" s="91"/>
      <c r="H145" s="91"/>
      <c r="I145" s="91"/>
      <c r="J145" s="75">
        <v>0</v>
      </c>
      <c r="K145" s="75">
        <v>0</v>
      </c>
      <c r="L145" s="75">
        <v>0</v>
      </c>
      <c r="M145" s="75">
        <v>0</v>
      </c>
      <c r="N145" s="75">
        <f t="shared" si="157"/>
        <v>0</v>
      </c>
      <c r="O145" s="75">
        <v>0</v>
      </c>
      <c r="P145" s="75">
        <v>0</v>
      </c>
      <c r="Q145" s="75">
        <v>0</v>
      </c>
      <c r="R145" s="75">
        <v>0</v>
      </c>
      <c r="S145" s="75">
        <f t="shared" si="158"/>
        <v>0</v>
      </c>
      <c r="T145" s="75">
        <v>0</v>
      </c>
      <c r="U145" s="75">
        <v>0</v>
      </c>
      <c r="V145" s="75">
        <v>0</v>
      </c>
      <c r="W145" s="75">
        <v>-1.177</v>
      </c>
      <c r="X145" s="75">
        <f t="shared" si="159"/>
        <v>-1.177</v>
      </c>
      <c r="Y145" s="75">
        <v>17.2</v>
      </c>
      <c r="Z145" s="75">
        <v>20.7</v>
      </c>
      <c r="AA145" s="75">
        <v>71.099999999999994</v>
      </c>
      <c r="AB145" s="75">
        <v>46.6</v>
      </c>
      <c r="AC145" s="75">
        <f t="shared" si="160"/>
        <v>46.6</v>
      </c>
      <c r="AD145" s="75">
        <v>29.222000000000001</v>
      </c>
      <c r="AE145" s="75">
        <v>18.37</v>
      </c>
      <c r="AF145" s="75">
        <v>4.3209999999999997</v>
      </c>
      <c r="AG145" s="75">
        <v>4.47</v>
      </c>
      <c r="AH145" s="75">
        <f t="shared" si="161"/>
        <v>4.47</v>
      </c>
      <c r="AI145" s="92">
        <v>23.064</v>
      </c>
      <c r="AJ145" s="75">
        <v>46.88</v>
      </c>
      <c r="AK145" s="75">
        <v>139.59899999999999</v>
      </c>
      <c r="AL145" s="75">
        <v>163.36199999999999</v>
      </c>
      <c r="AM145" s="75">
        <f t="shared" si="162"/>
        <v>163.36199999999999</v>
      </c>
      <c r="AN145" s="75">
        <v>186.49600000000001</v>
      </c>
      <c r="AO145" s="92">
        <v>260.26100000000002</v>
      </c>
      <c r="AP145" s="75">
        <v>63.279000000000003</v>
      </c>
      <c r="AQ145" s="75">
        <v>-190.262</v>
      </c>
      <c r="AR145" s="75">
        <f t="shared" si="163"/>
        <v>-190.262</v>
      </c>
      <c r="AS145" s="1102">
        <v>-249.05500000000001</v>
      </c>
      <c r="AT145" s="523">
        <v>-151.203</v>
      </c>
      <c r="AU145" s="523">
        <v>-63.295000000000002</v>
      </c>
      <c r="AV145" s="1103">
        <v>-41.055999999999997</v>
      </c>
      <c r="AW145" s="550">
        <f t="shared" si="164"/>
        <v>-41.055999999999997</v>
      </c>
      <c r="AX145" s="1102">
        <v>-58.607999999999997</v>
      </c>
      <c r="AY145" s="523">
        <v>-98.346000000000004</v>
      </c>
      <c r="AZ145" s="523">
        <v>-37.356000000000002</v>
      </c>
      <c r="BA145" s="1103">
        <v>-27.776</v>
      </c>
      <c r="BB145" s="550">
        <f t="shared" si="165"/>
        <v>-27.776</v>
      </c>
      <c r="BC145" s="1102">
        <v>44.319000000000003</v>
      </c>
      <c r="BD145" s="523">
        <v>60.421999999999997</v>
      </c>
      <c r="BE145" s="523">
        <v>-21.599</v>
      </c>
      <c r="BF145" s="1167">
        <v>-38.177</v>
      </c>
      <c r="BG145" s="577">
        <f t="shared" si="166"/>
        <v>-38.177</v>
      </c>
      <c r="BH145" s="1102">
        <v>24.494</v>
      </c>
      <c r="BI145" s="523">
        <v>-20.350999999999999</v>
      </c>
      <c r="BJ145" s="523">
        <v>51.313000000000002</v>
      </c>
      <c r="BK145" s="1167">
        <v>56.761000000000003</v>
      </c>
      <c r="BL145" s="550">
        <f>BK145</f>
        <v>56.761000000000003</v>
      </c>
      <c r="BM145" s="1102">
        <v>6.2480000000000002</v>
      </c>
      <c r="BN145" s="523">
        <v>-9.3339999999999996</v>
      </c>
      <c r="BO145" s="523">
        <v>22.545000000000002</v>
      </c>
      <c r="BP145" s="1103">
        <v>9.08</v>
      </c>
      <c r="BQ145" s="550">
        <f>BP145</f>
        <v>9.08</v>
      </c>
      <c r="BR145" s="1102">
        <v>-35.796999999999997</v>
      </c>
      <c r="BS145" s="523">
        <v>-3.952</v>
      </c>
      <c r="BT145" s="523">
        <v>-85.340999999999994</v>
      </c>
      <c r="BU145" s="1103">
        <v>-145.708</v>
      </c>
      <c r="BV145" s="550">
        <f>BU145</f>
        <v>-145.708</v>
      </c>
      <c r="BW145" s="1102">
        <v>-264.50299999999999</v>
      </c>
      <c r="BX145" s="523">
        <v>-236.708</v>
      </c>
      <c r="BY145" s="523">
        <v>-301.911</v>
      </c>
      <c r="BZ145" s="1103">
        <v>-351.36200000000002</v>
      </c>
      <c r="CA145" s="550">
        <f>BZ145</f>
        <v>-351.36200000000002</v>
      </c>
      <c r="CB145" s="1102">
        <v>-296.16399999999999</v>
      </c>
      <c r="CC145" s="523">
        <v>-281.37799999999999</v>
      </c>
      <c r="CD145" s="523">
        <v>-288.584</v>
      </c>
      <c r="CE145" s="1103">
        <v>-317.84300000000002</v>
      </c>
      <c r="CF145" s="550">
        <f>CE145</f>
        <v>-317.84300000000002</v>
      </c>
      <c r="CG145" s="1102">
        <v>-316.99200000000002</v>
      </c>
      <c r="CH145" s="523">
        <v>-292.935</v>
      </c>
      <c r="CI145" s="523">
        <v>-217.85599999999999</v>
      </c>
      <c r="CJ145" s="1103">
        <v>-254.68100000000001</v>
      </c>
      <c r="CK145" s="550">
        <f t="shared" ref="CK145" si="169">CJ145</f>
        <v>-254.68100000000001</v>
      </c>
      <c r="CL145" s="1102">
        <v>-249.36600000000001</v>
      </c>
      <c r="CM145" s="550">
        <f t="shared" ref="CM145:CZ145" si="170">CL145</f>
        <v>-249.36600000000001</v>
      </c>
      <c r="CN145" s="550">
        <f t="shared" si="170"/>
        <v>-249.36600000000001</v>
      </c>
      <c r="CO145" s="890">
        <f t="shared" si="170"/>
        <v>-249.36600000000001</v>
      </c>
      <c r="CP145" s="550">
        <f t="shared" si="170"/>
        <v>-249.36600000000001</v>
      </c>
      <c r="CQ145" s="889">
        <f t="shared" si="170"/>
        <v>-249.36600000000001</v>
      </c>
      <c r="CR145" s="550">
        <f t="shared" si="170"/>
        <v>-249.36600000000001</v>
      </c>
      <c r="CS145" s="550">
        <f t="shared" si="170"/>
        <v>-249.36600000000001</v>
      </c>
      <c r="CT145" s="890">
        <f t="shared" si="170"/>
        <v>-249.36600000000001</v>
      </c>
      <c r="CU145" s="550">
        <f t="shared" si="170"/>
        <v>-249.36600000000001</v>
      </c>
      <c r="CV145" s="889">
        <f t="shared" si="170"/>
        <v>-249.36600000000001</v>
      </c>
      <c r="CW145" s="550">
        <f t="shared" si="170"/>
        <v>-249.36600000000001</v>
      </c>
      <c r="CX145" s="550">
        <f t="shared" si="170"/>
        <v>-249.36600000000001</v>
      </c>
      <c r="CY145" s="890">
        <f t="shared" si="170"/>
        <v>-249.36600000000001</v>
      </c>
      <c r="CZ145" s="550">
        <f t="shared" si="170"/>
        <v>-249.36600000000001</v>
      </c>
    </row>
    <row r="146" spans="1:104" ht="13.5" customHeight="1">
      <c r="A146" s="362"/>
      <c r="B146" s="362" t="s">
        <v>78</v>
      </c>
      <c r="C146" s="369"/>
      <c r="D146" s="362"/>
      <c r="E146" s="91"/>
      <c r="F146" s="91"/>
      <c r="G146" s="91"/>
      <c r="H146" s="91"/>
      <c r="I146" s="91"/>
      <c r="J146" s="75">
        <v>-454.63569000000001</v>
      </c>
      <c r="K146" s="75">
        <v>-454.48501900000002</v>
      </c>
      <c r="L146" s="75">
        <v>-454.355795</v>
      </c>
      <c r="M146" s="75">
        <v>-454.25892199999998</v>
      </c>
      <c r="N146" s="75">
        <f t="shared" si="157"/>
        <v>-454.25892199999998</v>
      </c>
      <c r="O146" s="75">
        <v>-454.09661899999998</v>
      </c>
      <c r="P146" s="75">
        <v>-453.86507</v>
      </c>
      <c r="Q146" s="75">
        <v>-453.609893</v>
      </c>
      <c r="R146" s="75">
        <v>-453.45667700000001</v>
      </c>
      <c r="S146" s="75">
        <f t="shared" si="158"/>
        <v>-453.45667700000001</v>
      </c>
      <c r="T146" s="75">
        <v>-452.49</v>
      </c>
      <c r="U146" s="75">
        <v>-452.26299999999998</v>
      </c>
      <c r="V146" s="75">
        <v>-452.029</v>
      </c>
      <c r="W146" s="75">
        <v>-451.96</v>
      </c>
      <c r="X146" s="75">
        <f t="shared" si="159"/>
        <v>-451.96</v>
      </c>
      <c r="Y146" s="75">
        <v>-447.68200000000002</v>
      </c>
      <c r="Z146" s="75">
        <v>-653.42600000000004</v>
      </c>
      <c r="AA146" s="75">
        <v>-692.61900000000003</v>
      </c>
      <c r="AB146" s="75">
        <v>-738.60599999999999</v>
      </c>
      <c r="AC146" s="75">
        <f t="shared" si="160"/>
        <v>-738.60599999999999</v>
      </c>
      <c r="AD146" s="75">
        <v>-742.87699999999995</v>
      </c>
      <c r="AE146" s="75">
        <v>-929.18600000000004</v>
      </c>
      <c r="AF146" s="75">
        <v>-1247.328</v>
      </c>
      <c r="AG146" s="75">
        <v>-1331.7349999999999</v>
      </c>
      <c r="AH146" s="75">
        <f t="shared" si="161"/>
        <v>-1331.7349999999999</v>
      </c>
      <c r="AI146" s="92">
        <v>-1324.367</v>
      </c>
      <c r="AJ146" s="75">
        <v>-1478.4359999999999</v>
      </c>
      <c r="AK146" s="75">
        <v>-2077.915</v>
      </c>
      <c r="AL146" s="75">
        <v>-2077.799</v>
      </c>
      <c r="AM146" s="75">
        <f t="shared" si="162"/>
        <v>-2077.799</v>
      </c>
      <c r="AN146" s="75">
        <v>-2071.7930000000001</v>
      </c>
      <c r="AO146" s="92">
        <v>-1397.325</v>
      </c>
      <c r="AP146" s="75">
        <v>-1521.037</v>
      </c>
      <c r="AQ146" s="75">
        <v>-1520.7719999999999</v>
      </c>
      <c r="AR146" s="75">
        <f t="shared" si="163"/>
        <v>-1520.7719999999999</v>
      </c>
      <c r="AS146" s="1102">
        <v>-1515.3869999999999</v>
      </c>
      <c r="AT146" s="523">
        <v>-1514.6949999999999</v>
      </c>
      <c r="AU146" s="523">
        <v>-1514.4649999999999</v>
      </c>
      <c r="AV146" s="1103">
        <v>-1514.29</v>
      </c>
      <c r="AW146" s="550">
        <f t="shared" si="164"/>
        <v>-1514.29</v>
      </c>
      <c r="AX146" s="1102">
        <v>-1510.856</v>
      </c>
      <c r="AY146" s="523">
        <v>-1510.1859999999999</v>
      </c>
      <c r="AZ146" s="523">
        <v>-1509.9860000000001</v>
      </c>
      <c r="BA146" s="1103">
        <v>-1509.8409999999999</v>
      </c>
      <c r="BB146" s="550">
        <f t="shared" si="165"/>
        <v>-1509.8409999999999</v>
      </c>
      <c r="BC146" s="1102">
        <v>-1506.7470000000001</v>
      </c>
      <c r="BD146" s="523">
        <v>-1506.009</v>
      </c>
      <c r="BE146" s="523">
        <v>-1505.713</v>
      </c>
      <c r="BF146" s="1167">
        <v>-1505.5340000000001</v>
      </c>
      <c r="BG146" s="577">
        <f t="shared" si="166"/>
        <v>-1505.5340000000001</v>
      </c>
      <c r="BH146" s="1102">
        <v>-1502.8009999999999</v>
      </c>
      <c r="BI146" s="523">
        <v>-1502.425</v>
      </c>
      <c r="BJ146" s="523">
        <v>-1502.1590000000001</v>
      </c>
      <c r="BK146" s="1167">
        <v>-1501.9770000000001</v>
      </c>
      <c r="BL146" s="550">
        <f>BK146</f>
        <v>-1501.9770000000001</v>
      </c>
      <c r="BM146" s="1102">
        <v>-1499.0329999999999</v>
      </c>
      <c r="BN146" s="523">
        <v>-1498.6559999999999</v>
      </c>
      <c r="BO146" s="523">
        <v>-1498.4359999999999</v>
      </c>
      <c r="BP146" s="1103">
        <v>-1498.114</v>
      </c>
      <c r="BQ146" s="550">
        <f>BP146</f>
        <v>-1498.114</v>
      </c>
      <c r="BR146" s="1102">
        <v>-1495.586</v>
      </c>
      <c r="BS146" s="523">
        <v>-1495.298</v>
      </c>
      <c r="BT146" s="523">
        <v>-1494.8320000000001</v>
      </c>
      <c r="BU146" s="1103">
        <v>-1494.6289999999999</v>
      </c>
      <c r="BV146" s="550">
        <f>BU146</f>
        <v>-1494.6289999999999</v>
      </c>
      <c r="BW146" s="1102">
        <v>-1492.357</v>
      </c>
      <c r="BX146" s="523">
        <v>-1492.067</v>
      </c>
      <c r="BY146" s="523">
        <v>-1491.8219999999999</v>
      </c>
      <c r="BZ146" s="1103">
        <v>-1558.1279999999999</v>
      </c>
      <c r="CA146" s="550">
        <f>BZ146</f>
        <v>-1558.1279999999999</v>
      </c>
      <c r="CB146" s="1102">
        <v>-1560.6189999999999</v>
      </c>
      <c r="CC146" s="523">
        <v>-1560.298</v>
      </c>
      <c r="CD146" s="523">
        <v>-1559.838</v>
      </c>
      <c r="CE146" s="1103">
        <v>-1559.614</v>
      </c>
      <c r="CF146" s="550">
        <f>CE146</f>
        <v>-1559.614</v>
      </c>
      <c r="CG146" s="1102">
        <v>-1554.1479999999999</v>
      </c>
      <c r="CH146" s="523">
        <v>-1553.845</v>
      </c>
      <c r="CI146" s="523">
        <v>-1643.527</v>
      </c>
      <c r="CJ146" s="1103">
        <v>-1643.2909999999999</v>
      </c>
      <c r="CK146" s="550">
        <f>CJ146</f>
        <v>-1643.2909999999999</v>
      </c>
      <c r="CL146" s="1102">
        <v>-1663.972</v>
      </c>
      <c r="CM146" s="550">
        <f>CL146+CM219</f>
        <v>-1663.972</v>
      </c>
      <c r="CN146" s="550">
        <f>CM146+CN219</f>
        <v>-1663.972</v>
      </c>
      <c r="CO146" s="890">
        <f>CN146+CO219</f>
        <v>-1663.972</v>
      </c>
      <c r="CP146" s="550">
        <f>CO146</f>
        <v>-1663.972</v>
      </c>
      <c r="CQ146" s="889">
        <f>CP146+CQ219</f>
        <v>-1663.972</v>
      </c>
      <c r="CR146" s="550">
        <f>CQ146+CR219</f>
        <v>-1663.972</v>
      </c>
      <c r="CS146" s="550">
        <f>CR146+CS219</f>
        <v>-1663.972</v>
      </c>
      <c r="CT146" s="890">
        <f>CS146+CT219</f>
        <v>-1663.972</v>
      </c>
      <c r="CU146" s="550">
        <f>CT146</f>
        <v>-1663.972</v>
      </c>
      <c r="CV146" s="889">
        <f>CU146+CV219</f>
        <v>-1663.972</v>
      </c>
      <c r="CW146" s="550">
        <f>CV146+CW219</f>
        <v>-1663.972</v>
      </c>
      <c r="CX146" s="550">
        <f>CW146+CX219</f>
        <v>-1663.972</v>
      </c>
      <c r="CY146" s="890">
        <f>CX146+CY219</f>
        <v>-1663.972</v>
      </c>
      <c r="CZ146" s="550">
        <f>CY146</f>
        <v>-1663.972</v>
      </c>
    </row>
    <row r="147" spans="1:104" ht="13.5" customHeight="1">
      <c r="A147" s="362"/>
      <c r="B147" s="362" t="s">
        <v>547</v>
      </c>
      <c r="C147" s="369"/>
      <c r="D147" s="362"/>
      <c r="E147" s="174"/>
      <c r="F147" s="174"/>
      <c r="G147" s="174"/>
      <c r="H147" s="174"/>
      <c r="I147" s="174"/>
      <c r="J147" s="75">
        <v>204.56322800000001</v>
      </c>
      <c r="K147" s="75">
        <v>204.6267</v>
      </c>
      <c r="L147" s="75">
        <v>206.53771</v>
      </c>
      <c r="M147" s="75">
        <v>216.65450100000001</v>
      </c>
      <c r="N147" s="75">
        <f>M147</f>
        <v>216.65450100000001</v>
      </c>
      <c r="O147" s="75">
        <v>173.59842499999999</v>
      </c>
      <c r="P147" s="75">
        <v>168.09746699999999</v>
      </c>
      <c r="Q147" s="75">
        <v>172.69306399999999</v>
      </c>
      <c r="R147" s="75">
        <v>177.27866599999999</v>
      </c>
      <c r="S147" s="75">
        <f>R147</f>
        <v>177.27866599999999</v>
      </c>
      <c r="T147" s="75">
        <v>138.68899999999999</v>
      </c>
      <c r="U147" s="75">
        <v>146.601</v>
      </c>
      <c r="V147" s="75">
        <v>165.84899999999999</v>
      </c>
      <c r="W147" s="75">
        <v>173.31299999999999</v>
      </c>
      <c r="X147" s="75">
        <f>W147</f>
        <v>173.31299999999999</v>
      </c>
      <c r="Y147" s="75">
        <v>202.29300000000001</v>
      </c>
      <c r="Z147" s="75">
        <v>195.21</v>
      </c>
      <c r="AA147" s="75">
        <v>169.25700000000001</v>
      </c>
      <c r="AB147" s="75">
        <v>194.09</v>
      </c>
      <c r="AC147" s="75">
        <f>AB147</f>
        <v>194.09</v>
      </c>
      <c r="AD147" s="75">
        <v>184.27</v>
      </c>
      <c r="AE147" s="75">
        <v>201.33099999999999</v>
      </c>
      <c r="AF147" s="75">
        <v>190.70099999999999</v>
      </c>
      <c r="AG147" s="75">
        <v>238.58799999999999</v>
      </c>
      <c r="AH147" s="75">
        <f>AG147</f>
        <v>238.58799999999999</v>
      </c>
      <c r="AI147" s="92">
        <v>201.86</v>
      </c>
      <c r="AJ147" s="75">
        <v>235.33099999999999</v>
      </c>
      <c r="AK147" s="75">
        <v>230.27799999999999</v>
      </c>
      <c r="AL147" s="75">
        <v>287.44600000000003</v>
      </c>
      <c r="AM147" s="75">
        <f>AL147</f>
        <v>287.44600000000003</v>
      </c>
      <c r="AN147" s="75">
        <v>287.18099999999998</v>
      </c>
      <c r="AO147" s="92">
        <v>315.36799999999999</v>
      </c>
      <c r="AP147" s="75">
        <v>292.17399999999998</v>
      </c>
      <c r="AQ147" s="75">
        <v>327.47699999999998</v>
      </c>
      <c r="AR147" s="75">
        <f>AQ147</f>
        <v>327.47699999999998</v>
      </c>
      <c r="AS147" s="1102">
        <v>277.238</v>
      </c>
      <c r="AT147" s="523">
        <v>249.02600000000001</v>
      </c>
      <c r="AU147" s="523">
        <v>170.46700000000001</v>
      </c>
      <c r="AV147" s="1103">
        <v>193.76300000000001</v>
      </c>
      <c r="AW147" s="550">
        <f>AV147</f>
        <v>193.76300000000001</v>
      </c>
      <c r="AX147" s="1102">
        <v>203.70599999999999</v>
      </c>
      <c r="AY147" s="523">
        <v>208.714</v>
      </c>
      <c r="AZ147" s="523">
        <v>203.03200000000001</v>
      </c>
      <c r="BA147" s="1103">
        <v>210.624</v>
      </c>
      <c r="BB147" s="550">
        <f>BA147</f>
        <v>210.624</v>
      </c>
      <c r="BC147" s="1102">
        <v>202.21700000000001</v>
      </c>
      <c r="BD147" s="523">
        <v>210.44300000000001</v>
      </c>
      <c r="BE147" s="523">
        <v>216.44499999999999</v>
      </c>
      <c r="BF147" s="1167">
        <v>231.69499999999999</v>
      </c>
      <c r="BG147" s="577">
        <f>BF147</f>
        <v>231.69499999999999</v>
      </c>
      <c r="BH147" s="1102">
        <v>210.11799999999999</v>
      </c>
      <c r="BI147" s="523">
        <v>224.39500000000001</v>
      </c>
      <c r="BJ147" s="523">
        <v>230.23</v>
      </c>
      <c r="BK147" s="1167">
        <v>243.803</v>
      </c>
      <c r="BL147" s="550">
        <f>BK147</f>
        <v>243.803</v>
      </c>
      <c r="BM147" s="1102">
        <v>235.14699999999999</v>
      </c>
      <c r="BN147" s="523">
        <v>233.601</v>
      </c>
      <c r="BO147" s="523">
        <v>258.06700000000001</v>
      </c>
      <c r="BP147" s="1103">
        <v>264.50900000000001</v>
      </c>
      <c r="BQ147" s="550">
        <f>BP147</f>
        <v>264.50900000000001</v>
      </c>
      <c r="BR147" s="1102">
        <v>258.38</v>
      </c>
      <c r="BS147" s="523">
        <v>265.19099999999997</v>
      </c>
      <c r="BT147" s="523">
        <v>280.42099999999999</v>
      </c>
      <c r="BU147" s="1103">
        <v>302.64800000000002</v>
      </c>
      <c r="BV147" s="550">
        <f>BU147</f>
        <v>302.64800000000002</v>
      </c>
      <c r="BW147" s="1102">
        <v>294.15899999999999</v>
      </c>
      <c r="BX147" s="523">
        <v>314.38200000000001</v>
      </c>
      <c r="BY147" s="523">
        <v>338.25400000000002</v>
      </c>
      <c r="BZ147" s="1103">
        <v>369.13499999999999</v>
      </c>
      <c r="CA147" s="550">
        <f>BZ147</f>
        <v>369.13499999999999</v>
      </c>
      <c r="CB147" s="1102">
        <v>351.60399999999998</v>
      </c>
      <c r="CC147" s="523">
        <v>346.94600000000003</v>
      </c>
      <c r="CD147" s="523">
        <v>363.27</v>
      </c>
      <c r="CE147" s="1103">
        <v>374.84300000000002</v>
      </c>
      <c r="CF147" s="550">
        <f>CE147</f>
        <v>374.84300000000002</v>
      </c>
      <c r="CG147" s="1102">
        <v>334.048</v>
      </c>
      <c r="CH147" s="523">
        <v>334.84800000000001</v>
      </c>
      <c r="CI147" s="523">
        <v>340.42899999999997</v>
      </c>
      <c r="CJ147" s="1103">
        <v>345.75200000000001</v>
      </c>
      <c r="CK147" s="550">
        <f>CJ147</f>
        <v>345.75200000000001</v>
      </c>
      <c r="CL147" s="1102">
        <v>346.892</v>
      </c>
      <c r="CM147" s="550">
        <f>CL147+CM204+CM225+CM55</f>
        <v>354.01599999999996</v>
      </c>
      <c r="CN147" s="550">
        <f>CM147+CN204+CN225+CN55</f>
        <v>371.34199999999998</v>
      </c>
      <c r="CO147" s="890">
        <f>CN147+CO204+CO225+CO55</f>
        <v>387.46199999999999</v>
      </c>
      <c r="CP147" s="550">
        <f>CO147</f>
        <v>387.46199999999999</v>
      </c>
      <c r="CQ147" s="889">
        <f>CO147+CQ204+CQ225+CQ55</f>
        <v>384.66899999999998</v>
      </c>
      <c r="CR147" s="550">
        <f>CQ147+CR204+CR225+CR55</f>
        <v>388.79300000000001</v>
      </c>
      <c r="CS147" s="550">
        <f>CR147+CS204+CS225+CS55</f>
        <v>405.11900000000003</v>
      </c>
      <c r="CT147" s="890">
        <f>CS147+CT204+CT225+CT55</f>
        <v>421.23900000000003</v>
      </c>
      <c r="CU147" s="550">
        <f>CT147</f>
        <v>421.23900000000003</v>
      </c>
      <c r="CV147" s="889">
        <f>CT147+CV204+CV225+CV55</f>
        <v>418.44600000000003</v>
      </c>
      <c r="CW147" s="550">
        <f>CV147+CW204+CW225+CW55</f>
        <v>424.57000000000005</v>
      </c>
      <c r="CX147" s="550">
        <f>CW147+CX204+CX225+CX55</f>
        <v>438.89600000000007</v>
      </c>
      <c r="CY147" s="890">
        <f>CX147+CY204+CY225+CY55</f>
        <v>453.01600000000008</v>
      </c>
      <c r="CZ147" s="550">
        <f>CY147</f>
        <v>453.01600000000008</v>
      </c>
    </row>
    <row r="148" spans="1:104" ht="6.2" customHeight="1">
      <c r="A148" s="362"/>
      <c r="B148" s="362"/>
      <c r="C148" s="369"/>
      <c r="D148" s="362"/>
      <c r="E148" s="91"/>
      <c r="F148" s="91"/>
      <c r="G148" s="91"/>
      <c r="H148" s="91"/>
      <c r="I148" s="91"/>
      <c r="J148" s="84"/>
      <c r="K148" s="84"/>
      <c r="L148" s="84"/>
      <c r="M148" s="84"/>
      <c r="N148" s="84"/>
      <c r="O148" s="84"/>
      <c r="P148" s="84"/>
      <c r="Q148" s="84"/>
      <c r="R148" s="84"/>
      <c r="S148" s="84"/>
      <c r="T148" s="84"/>
      <c r="U148" s="84"/>
      <c r="V148" s="84"/>
      <c r="W148" s="84"/>
      <c r="X148" s="84"/>
      <c r="Y148" s="84"/>
      <c r="Z148" s="84"/>
      <c r="AA148" s="84"/>
      <c r="AB148" s="84"/>
      <c r="AC148" s="84"/>
      <c r="AD148" s="84"/>
      <c r="AE148" s="84"/>
      <c r="AF148" s="84"/>
      <c r="AG148" s="84"/>
      <c r="AH148" s="84"/>
      <c r="AI148" s="175"/>
      <c r="AJ148" s="84"/>
      <c r="AK148" s="84"/>
      <c r="AL148" s="84"/>
      <c r="AM148" s="84"/>
      <c r="AN148" s="84"/>
      <c r="AO148" s="175"/>
      <c r="AP148" s="84"/>
      <c r="AQ148" s="84"/>
      <c r="AR148" s="84"/>
      <c r="AS148" s="1122"/>
      <c r="AT148" s="175"/>
      <c r="AU148" s="84"/>
      <c r="AV148" s="1123"/>
      <c r="AW148" s="84"/>
      <c r="AX148" s="1122"/>
      <c r="AY148" s="84"/>
      <c r="AZ148" s="84"/>
      <c r="BA148" s="1123"/>
      <c r="BB148" s="84"/>
      <c r="BC148" s="1122"/>
      <c r="BD148" s="84"/>
      <c r="BE148" s="84"/>
      <c r="BF148" s="1177"/>
      <c r="BG148" s="383"/>
      <c r="BH148" s="1122"/>
      <c r="BI148" s="84"/>
      <c r="BJ148" s="84"/>
      <c r="BK148" s="1177"/>
      <c r="BL148" s="84"/>
      <c r="BM148" s="1122"/>
      <c r="BN148" s="84"/>
      <c r="BO148" s="84"/>
      <c r="BP148" s="1123"/>
      <c r="BQ148" s="84"/>
      <c r="BR148" s="1122"/>
      <c r="BS148" s="84"/>
      <c r="BT148" s="84"/>
      <c r="BU148" s="1123"/>
      <c r="BV148" s="84"/>
      <c r="BW148" s="1122"/>
      <c r="BX148" s="84"/>
      <c r="BY148" s="84"/>
      <c r="BZ148" s="1123"/>
      <c r="CA148" s="84"/>
      <c r="CB148" s="1122"/>
      <c r="CC148" s="84"/>
      <c r="CD148" s="84"/>
      <c r="CE148" s="1123"/>
      <c r="CF148" s="84"/>
      <c r="CG148" s="1122"/>
      <c r="CH148" s="84"/>
      <c r="CI148" s="84"/>
      <c r="CJ148" s="1123"/>
      <c r="CK148" s="84"/>
      <c r="CL148" s="1122"/>
      <c r="CM148" s="84"/>
      <c r="CN148" s="84"/>
      <c r="CO148" s="1123"/>
      <c r="CP148" s="84"/>
      <c r="CQ148" s="1122"/>
      <c r="CR148" s="84"/>
      <c r="CS148" s="84"/>
      <c r="CT148" s="1123"/>
      <c r="CU148" s="84"/>
      <c r="CV148" s="1122"/>
      <c r="CW148" s="84"/>
      <c r="CX148" s="84"/>
      <c r="CY148" s="1123"/>
      <c r="CZ148" s="84"/>
    </row>
    <row r="149" spans="1:104" ht="13.5" customHeight="1">
      <c r="A149" s="362"/>
      <c r="B149" s="374"/>
      <c r="C149" s="411" t="s">
        <v>405</v>
      </c>
      <c r="D149" s="362"/>
      <c r="E149" s="80"/>
      <c r="F149" s="80"/>
      <c r="G149" s="80"/>
      <c r="H149" s="80"/>
      <c r="I149" s="80"/>
      <c r="J149" s="80">
        <f t="shared" ref="J149:AM149" si="171">SUM(J141:J147)</f>
        <v>2421.4259949999996</v>
      </c>
      <c r="K149" s="80">
        <f t="shared" si="171"/>
        <v>2472.943898</v>
      </c>
      <c r="L149" s="80">
        <f t="shared" si="171"/>
        <v>2499.3788810000001</v>
      </c>
      <c r="M149" s="80">
        <f t="shared" si="171"/>
        <v>2539.64399</v>
      </c>
      <c r="N149" s="80">
        <f t="shared" si="171"/>
        <v>2539.64399</v>
      </c>
      <c r="O149" s="80">
        <f t="shared" si="171"/>
        <v>2498.9148970000006</v>
      </c>
      <c r="P149" s="80">
        <f t="shared" si="171"/>
        <v>2487.1454000000003</v>
      </c>
      <c r="Q149" s="80">
        <f t="shared" si="171"/>
        <v>2495.5085590000003</v>
      </c>
      <c r="R149" s="80">
        <f t="shared" si="171"/>
        <v>2519.3564539999998</v>
      </c>
      <c r="S149" s="80">
        <f t="shared" si="171"/>
        <v>2519.3564539999998</v>
      </c>
      <c r="T149" s="80">
        <f t="shared" si="171"/>
        <v>2593.1950000000002</v>
      </c>
      <c r="U149" s="80">
        <f t="shared" si="171"/>
        <v>2852.1959999999999</v>
      </c>
      <c r="V149" s="80">
        <f t="shared" si="171"/>
        <v>3280.4690000000001</v>
      </c>
      <c r="W149" s="80">
        <f t="shared" si="171"/>
        <v>3629.2979999999998</v>
      </c>
      <c r="X149" s="80">
        <f t="shared" si="171"/>
        <v>3629.2979999999998</v>
      </c>
      <c r="Y149" s="80">
        <f t="shared" si="171"/>
        <v>3987.9079999999999</v>
      </c>
      <c r="Z149" s="80">
        <f t="shared" si="171"/>
        <v>4040.4100000000003</v>
      </c>
      <c r="AA149" s="80">
        <f t="shared" si="171"/>
        <v>4259.0090000000009</v>
      </c>
      <c r="AB149" s="80">
        <f t="shared" si="171"/>
        <v>4473.8780000000006</v>
      </c>
      <c r="AC149" s="80">
        <f t="shared" si="171"/>
        <v>4473.8780000000006</v>
      </c>
      <c r="AD149" s="80">
        <f t="shared" si="171"/>
        <v>4749.1490000000013</v>
      </c>
      <c r="AE149" s="80">
        <f t="shared" si="171"/>
        <v>4852.1640000000007</v>
      </c>
      <c r="AF149" s="80">
        <f t="shared" si="171"/>
        <v>4856.1410000000005</v>
      </c>
      <c r="AG149" s="80">
        <f t="shared" si="171"/>
        <v>5064.5770000000002</v>
      </c>
      <c r="AH149" s="80">
        <f t="shared" si="171"/>
        <v>5064.5770000000002</v>
      </c>
      <c r="AI149" s="80">
        <f t="shared" si="171"/>
        <v>5338.5229999999992</v>
      </c>
      <c r="AJ149" s="80">
        <f t="shared" si="171"/>
        <v>5417.92</v>
      </c>
      <c r="AK149" s="80">
        <f t="shared" si="171"/>
        <v>5118.8620000000001</v>
      </c>
      <c r="AL149" s="80">
        <f t="shared" si="171"/>
        <v>5400.3629999999994</v>
      </c>
      <c r="AM149" s="80">
        <f t="shared" si="171"/>
        <v>5400.3629999999994</v>
      </c>
      <c r="AN149" s="80">
        <f t="shared" ref="AN149:BS149" si="172">SUM(AN141:AN147)</f>
        <v>5712.8749999999991</v>
      </c>
      <c r="AO149" s="80">
        <f t="shared" si="172"/>
        <v>8395.7330000000002</v>
      </c>
      <c r="AP149" s="80">
        <f t="shared" si="172"/>
        <v>8468.6470000000008</v>
      </c>
      <c r="AQ149" s="80">
        <f t="shared" si="172"/>
        <v>8256.6809999999987</v>
      </c>
      <c r="AR149" s="80">
        <f t="shared" si="172"/>
        <v>8256.6809999999987</v>
      </c>
      <c r="AS149" s="1116">
        <f t="shared" si="172"/>
        <v>7864.4879999999994</v>
      </c>
      <c r="AT149" s="86">
        <f t="shared" si="172"/>
        <v>7704.2440000000006</v>
      </c>
      <c r="AU149" s="86">
        <f t="shared" si="172"/>
        <v>7583.9199999999992</v>
      </c>
      <c r="AV149" s="1117">
        <f t="shared" si="172"/>
        <v>7584.2889999999989</v>
      </c>
      <c r="AW149" s="86">
        <f t="shared" si="172"/>
        <v>7584.2889999999989</v>
      </c>
      <c r="AX149" s="1116">
        <f t="shared" si="172"/>
        <v>7509.3420000000006</v>
      </c>
      <c r="AY149" s="86">
        <f t="shared" si="172"/>
        <v>7455.1070000000018</v>
      </c>
      <c r="AZ149" s="86">
        <f t="shared" si="172"/>
        <v>7430.3490000000002</v>
      </c>
      <c r="BA149" s="1117">
        <f t="shared" si="172"/>
        <v>7330.6939999999995</v>
      </c>
      <c r="BB149" s="86">
        <f t="shared" si="172"/>
        <v>7330.6939999999995</v>
      </c>
      <c r="BC149" s="1116">
        <f t="shared" si="172"/>
        <v>7453.5909999999985</v>
      </c>
      <c r="BD149" s="86">
        <f t="shared" si="172"/>
        <v>7675.3910000000005</v>
      </c>
      <c r="BE149" s="86">
        <f t="shared" si="172"/>
        <v>7679.1810000000005</v>
      </c>
      <c r="BF149" s="1117">
        <f t="shared" si="172"/>
        <v>7706.58</v>
      </c>
      <c r="BG149" s="86">
        <f t="shared" si="172"/>
        <v>7706.58</v>
      </c>
      <c r="BH149" s="1116">
        <f t="shared" si="172"/>
        <v>7795.7020000000011</v>
      </c>
      <c r="BI149" s="86">
        <f t="shared" si="172"/>
        <v>7782.5590000000002</v>
      </c>
      <c r="BJ149" s="86">
        <f t="shared" si="172"/>
        <v>7863.5740000000005</v>
      </c>
      <c r="BK149" s="1117">
        <f t="shared" si="172"/>
        <v>7885.3740000000007</v>
      </c>
      <c r="BL149" s="86">
        <f t="shared" si="172"/>
        <v>7885.3740000000007</v>
      </c>
      <c r="BM149" s="1116">
        <f t="shared" si="172"/>
        <v>7802.2430000000013</v>
      </c>
      <c r="BN149" s="86">
        <f t="shared" si="172"/>
        <v>7771.23</v>
      </c>
      <c r="BO149" s="86">
        <f t="shared" si="172"/>
        <v>7863.2730000000001</v>
      </c>
      <c r="BP149" s="1117">
        <f t="shared" si="172"/>
        <v>7910.2780000000002</v>
      </c>
      <c r="BQ149" s="86">
        <f t="shared" si="172"/>
        <v>7910.2780000000002</v>
      </c>
      <c r="BR149" s="1116">
        <f t="shared" si="172"/>
        <v>7860.5349999999999</v>
      </c>
      <c r="BS149" s="86">
        <f t="shared" si="172"/>
        <v>7946.0130000000008</v>
      </c>
      <c r="BT149" s="86">
        <f t="shared" ref="BT149:CZ149" si="173">SUM(BT141:BT147)</f>
        <v>8015.7029999999995</v>
      </c>
      <c r="BU149" s="1117">
        <f t="shared" si="173"/>
        <v>8075.1180000000004</v>
      </c>
      <c r="BV149" s="86">
        <f t="shared" si="173"/>
        <v>8075.1180000000004</v>
      </c>
      <c r="BW149" s="1116">
        <f t="shared" si="173"/>
        <v>7905.6709999999985</v>
      </c>
      <c r="BX149" s="86">
        <f t="shared" si="173"/>
        <v>7975.0849999999982</v>
      </c>
      <c r="BY149" s="86">
        <f t="shared" si="173"/>
        <v>8047.3409999999994</v>
      </c>
      <c r="BZ149" s="1117">
        <f t="shared" si="173"/>
        <v>7786.0130000000017</v>
      </c>
      <c r="CA149" s="86">
        <f t="shared" si="173"/>
        <v>7786.0130000000017</v>
      </c>
      <c r="CB149" s="1116">
        <f t="shared" si="173"/>
        <v>7778.0720000000001</v>
      </c>
      <c r="CC149" s="86">
        <f t="shared" si="173"/>
        <v>7920.7089999999998</v>
      </c>
      <c r="CD149" s="86">
        <f t="shared" si="173"/>
        <v>8090.5159999999996</v>
      </c>
      <c r="CE149" s="1117">
        <f t="shared" si="173"/>
        <v>8254.7080000000005</v>
      </c>
      <c r="CF149" s="86">
        <f t="shared" si="173"/>
        <v>8254.7080000000005</v>
      </c>
      <c r="CG149" s="1116">
        <f t="shared" si="173"/>
        <v>8468.0709999999999</v>
      </c>
      <c r="CH149" s="86">
        <f t="shared" si="173"/>
        <v>8711.9130000000005</v>
      </c>
      <c r="CI149" s="86">
        <f t="shared" si="173"/>
        <v>8859.4639999999999</v>
      </c>
      <c r="CJ149" s="1117">
        <f t="shared" si="173"/>
        <v>9084.7880000000023</v>
      </c>
      <c r="CK149" s="86">
        <f t="shared" si="173"/>
        <v>9084.7880000000023</v>
      </c>
      <c r="CL149" s="1116">
        <f t="shared" si="173"/>
        <v>9322.9189999999999</v>
      </c>
      <c r="CM149" s="86">
        <f t="shared" si="173"/>
        <v>9751.6767824855888</v>
      </c>
      <c r="CN149" s="86">
        <f t="shared" si="173"/>
        <v>10206.171594610991</v>
      </c>
      <c r="CO149" s="1117">
        <f t="shared" si="173"/>
        <v>10612.552551920615</v>
      </c>
      <c r="CP149" s="86">
        <f t="shared" si="173"/>
        <v>10612.552551920615</v>
      </c>
      <c r="CQ149" s="1116">
        <f t="shared" si="173"/>
        <v>11048.335048833726</v>
      </c>
      <c r="CR149" s="86">
        <f t="shared" si="173"/>
        <v>11456.435152215374</v>
      </c>
      <c r="CS149" s="86">
        <f t="shared" si="173"/>
        <v>11818.828442217537</v>
      </c>
      <c r="CT149" s="1117">
        <f t="shared" si="173"/>
        <v>12092.403383179882</v>
      </c>
      <c r="CU149" s="86">
        <f t="shared" si="173"/>
        <v>12092.403383179882</v>
      </c>
      <c r="CV149" s="1116">
        <f t="shared" si="173"/>
        <v>12430.62536805241</v>
      </c>
      <c r="CW149" s="86">
        <f t="shared" si="173"/>
        <v>12796.263966247887</v>
      </c>
      <c r="CX149" s="86">
        <f t="shared" si="173"/>
        <v>13134.427544375772</v>
      </c>
      <c r="CY149" s="1117">
        <f t="shared" si="173"/>
        <v>13478.60316342998</v>
      </c>
      <c r="CZ149" s="86">
        <f t="shared" si="173"/>
        <v>13478.60316342998</v>
      </c>
    </row>
    <row r="150" spans="1:104" ht="13.5" customHeight="1">
      <c r="A150" s="411"/>
      <c r="B150" s="414"/>
      <c r="C150" s="411" t="s">
        <v>226</v>
      </c>
      <c r="D150" s="411"/>
      <c r="E150" s="88"/>
      <c r="F150" s="88"/>
      <c r="G150" s="88"/>
      <c r="H150" s="88"/>
      <c r="I150" s="88"/>
      <c r="J150" s="85">
        <f t="shared" ref="J150:S150" si="174">J149+J139</f>
        <v>3755.8058639999995</v>
      </c>
      <c r="K150" s="85">
        <f t="shared" si="174"/>
        <v>3874.9612299999999</v>
      </c>
      <c r="L150" s="85">
        <f t="shared" si="174"/>
        <v>4020.4894100000001</v>
      </c>
      <c r="M150" s="85">
        <f t="shared" si="174"/>
        <v>4381.001217</v>
      </c>
      <c r="N150" s="85">
        <f t="shared" si="174"/>
        <v>4381.001217</v>
      </c>
      <c r="O150" s="85">
        <f t="shared" si="174"/>
        <v>4382.3308050000005</v>
      </c>
      <c r="P150" s="85">
        <f t="shared" si="174"/>
        <v>4350.4194420000003</v>
      </c>
      <c r="Q150" s="85">
        <f t="shared" si="174"/>
        <v>4440.552635</v>
      </c>
      <c r="R150" s="85">
        <f t="shared" si="174"/>
        <v>4492.3530539999992</v>
      </c>
      <c r="S150" s="85">
        <f t="shared" si="174"/>
        <v>4492.3530539999992</v>
      </c>
      <c r="T150" s="85">
        <f t="shared" ref="T150:AH150" si="175">T139+T149</f>
        <v>4829.0680000000002</v>
      </c>
      <c r="U150" s="85">
        <f t="shared" si="175"/>
        <v>5110.866</v>
      </c>
      <c r="V150" s="85">
        <f t="shared" si="175"/>
        <v>5885.4160000000002</v>
      </c>
      <c r="W150" s="85">
        <f t="shared" si="175"/>
        <v>6133.2069999999994</v>
      </c>
      <c r="X150" s="85">
        <f t="shared" si="175"/>
        <v>6133.2069999999994</v>
      </c>
      <c r="Y150" s="85">
        <f t="shared" si="175"/>
        <v>6613.134</v>
      </c>
      <c r="Z150" s="85">
        <f t="shared" si="175"/>
        <v>6462.505000000001</v>
      </c>
      <c r="AA150" s="85">
        <f t="shared" si="175"/>
        <v>6958.875</v>
      </c>
      <c r="AB150" s="85">
        <f t="shared" si="175"/>
        <v>7138.7870000000003</v>
      </c>
      <c r="AC150" s="85">
        <f t="shared" si="175"/>
        <v>7138.7870000000003</v>
      </c>
      <c r="AD150" s="85">
        <f t="shared" si="175"/>
        <v>7504.1460000000006</v>
      </c>
      <c r="AE150" s="85">
        <f t="shared" si="175"/>
        <v>7745.7530000000006</v>
      </c>
      <c r="AF150" s="85">
        <f t="shared" si="175"/>
        <v>7895.6669999999995</v>
      </c>
      <c r="AG150" s="85">
        <f t="shared" si="175"/>
        <v>7884.9889999999996</v>
      </c>
      <c r="AH150" s="85">
        <f t="shared" si="175"/>
        <v>7884.9889999999996</v>
      </c>
      <c r="AI150" s="85">
        <f>AI139+AI149</f>
        <v>8485.7339999999986</v>
      </c>
      <c r="AJ150" s="85">
        <f>AJ139+AJ149</f>
        <v>8468.3070000000007</v>
      </c>
      <c r="AK150" s="85">
        <f>AK139+AK149</f>
        <v>8300.2429999999986</v>
      </c>
      <c r="AL150" s="85">
        <f>AL139+AL149</f>
        <v>9826.1219999999994</v>
      </c>
      <c r="AM150" s="85">
        <f>AM139+AM149</f>
        <v>9826.1219999999994</v>
      </c>
      <c r="AN150" s="85">
        <f t="shared" ref="AN150:BS150" si="176">AN139+AN149</f>
        <v>11340.520999999999</v>
      </c>
      <c r="AO150" s="85">
        <f t="shared" si="176"/>
        <v>14992.456</v>
      </c>
      <c r="AP150" s="85">
        <f t="shared" si="176"/>
        <v>15336.547</v>
      </c>
      <c r="AQ150" s="85">
        <f t="shared" si="176"/>
        <v>13874.442999999999</v>
      </c>
      <c r="AR150" s="85">
        <f t="shared" si="176"/>
        <v>13874.442999999999</v>
      </c>
      <c r="AS150" s="1116">
        <f t="shared" si="176"/>
        <v>12586.473999999998</v>
      </c>
      <c r="AT150" s="86">
        <f t="shared" si="176"/>
        <v>12411.047</v>
      </c>
      <c r="AU150" s="86">
        <f t="shared" si="176"/>
        <v>12670.011999999999</v>
      </c>
      <c r="AV150" s="1117">
        <f t="shared" si="176"/>
        <v>12571.903999999999</v>
      </c>
      <c r="AW150" s="85">
        <f t="shared" si="176"/>
        <v>12571.903999999999</v>
      </c>
      <c r="AX150" s="1116">
        <f t="shared" si="176"/>
        <v>12802.702000000001</v>
      </c>
      <c r="AY150" s="86">
        <f t="shared" si="176"/>
        <v>12688.18</v>
      </c>
      <c r="AZ150" s="86">
        <f t="shared" si="176"/>
        <v>13260.924999999999</v>
      </c>
      <c r="BA150" s="1117">
        <f t="shared" si="176"/>
        <v>13921.91</v>
      </c>
      <c r="BB150" s="85">
        <f t="shared" si="176"/>
        <v>13921.91</v>
      </c>
      <c r="BC150" s="1116">
        <f t="shared" si="176"/>
        <v>14344.445999999998</v>
      </c>
      <c r="BD150" s="86">
        <f t="shared" si="176"/>
        <v>14733.549000000001</v>
      </c>
      <c r="BE150" s="86">
        <f t="shared" si="176"/>
        <v>14807.264999999999</v>
      </c>
      <c r="BF150" s="1174">
        <f t="shared" si="176"/>
        <v>14570.35</v>
      </c>
      <c r="BG150" s="384">
        <f t="shared" si="176"/>
        <v>14570.35</v>
      </c>
      <c r="BH150" s="1116">
        <f t="shared" si="176"/>
        <v>14814.465</v>
      </c>
      <c r="BI150" s="86">
        <f t="shared" si="176"/>
        <v>14766.565999999999</v>
      </c>
      <c r="BJ150" s="86">
        <f t="shared" si="176"/>
        <v>14997.246999999999</v>
      </c>
      <c r="BK150" s="1174">
        <f t="shared" si="176"/>
        <v>14087.859</v>
      </c>
      <c r="BL150" s="85">
        <f t="shared" si="176"/>
        <v>14087.859</v>
      </c>
      <c r="BM150" s="1116">
        <f t="shared" si="176"/>
        <v>14039.010000000002</v>
      </c>
      <c r="BN150" s="86">
        <f t="shared" si="176"/>
        <v>13766.651</v>
      </c>
      <c r="BO150" s="86">
        <f t="shared" si="176"/>
        <v>15091.776000000002</v>
      </c>
      <c r="BP150" s="1117">
        <f t="shared" si="176"/>
        <v>15203.282999999999</v>
      </c>
      <c r="BQ150" s="85">
        <f t="shared" si="176"/>
        <v>15203.282999999999</v>
      </c>
      <c r="BR150" s="1116">
        <f t="shared" si="176"/>
        <v>15118.010999999999</v>
      </c>
      <c r="BS150" s="86">
        <f t="shared" si="176"/>
        <v>15310.887999999999</v>
      </c>
      <c r="BT150" s="86">
        <f t="shared" ref="BT150:CY150" si="177">BT139+BT149</f>
        <v>15493.594000000001</v>
      </c>
      <c r="BU150" s="1117">
        <f t="shared" si="177"/>
        <v>15615.927</v>
      </c>
      <c r="BV150" s="85">
        <f t="shared" si="177"/>
        <v>15615.927</v>
      </c>
      <c r="BW150" s="1116">
        <f t="shared" si="177"/>
        <v>14855.437999999998</v>
      </c>
      <c r="BX150" s="86">
        <f t="shared" si="177"/>
        <v>15068.176999999998</v>
      </c>
      <c r="BY150" s="86">
        <f t="shared" si="177"/>
        <v>15269.468000000001</v>
      </c>
      <c r="BZ150" s="1117">
        <f t="shared" si="177"/>
        <v>14250.399000000003</v>
      </c>
      <c r="CA150" s="85">
        <f t="shared" si="177"/>
        <v>14250.399000000003</v>
      </c>
      <c r="CB150" s="1116">
        <f t="shared" si="177"/>
        <v>14395.103999999999</v>
      </c>
      <c r="CC150" s="86">
        <f t="shared" si="177"/>
        <v>14924.582999999999</v>
      </c>
      <c r="CD150" s="86">
        <f t="shared" si="177"/>
        <v>15113.679</v>
      </c>
      <c r="CE150" s="1117">
        <f t="shared" si="177"/>
        <v>15223.518</v>
      </c>
      <c r="CF150" s="85">
        <f t="shared" si="177"/>
        <v>15223.518</v>
      </c>
      <c r="CG150" s="1116">
        <f t="shared" si="177"/>
        <v>15875.46</v>
      </c>
      <c r="CH150" s="86">
        <f t="shared" si="177"/>
        <v>16112.725</v>
      </c>
      <c r="CI150" s="86">
        <f t="shared" si="177"/>
        <v>16503.833999999999</v>
      </c>
      <c r="CJ150" s="1117">
        <f t="shared" si="177"/>
        <v>15841.258000000002</v>
      </c>
      <c r="CK150" s="85">
        <f t="shared" si="177"/>
        <v>15841.258000000002</v>
      </c>
      <c r="CL150" s="1116">
        <f t="shared" si="177"/>
        <v>16121.245999999999</v>
      </c>
      <c r="CM150" s="86">
        <f t="shared" si="177"/>
        <v>17475.500251190431</v>
      </c>
      <c r="CN150" s="86">
        <f t="shared" si="177"/>
        <v>18060.059386617395</v>
      </c>
      <c r="CO150" s="1117">
        <f t="shared" si="177"/>
        <v>18263.734636605397</v>
      </c>
      <c r="CP150" s="85">
        <f t="shared" si="177"/>
        <v>18263.734636605397</v>
      </c>
      <c r="CQ150" s="1116">
        <f t="shared" si="177"/>
        <v>18935.295528262584</v>
      </c>
      <c r="CR150" s="86">
        <f t="shared" si="177"/>
        <v>19295.398969441849</v>
      </c>
      <c r="CS150" s="86">
        <f t="shared" si="177"/>
        <v>19691.038472528067</v>
      </c>
      <c r="CT150" s="1117">
        <f t="shared" si="177"/>
        <v>19723.335494427272</v>
      </c>
      <c r="CU150" s="85">
        <f t="shared" si="177"/>
        <v>19723.335494427272</v>
      </c>
      <c r="CV150" s="1116">
        <f t="shared" si="177"/>
        <v>20276.749294178298</v>
      </c>
      <c r="CW150" s="86">
        <f t="shared" si="177"/>
        <v>20566.366040606299</v>
      </c>
      <c r="CX150" s="86">
        <f t="shared" si="177"/>
        <v>20931.168652932934</v>
      </c>
      <c r="CY150" s="1117">
        <f t="shared" si="177"/>
        <v>21059.937846174827</v>
      </c>
      <c r="CZ150" s="85">
        <f t="shared" ref="CZ150" si="178">CZ139+CZ149</f>
        <v>21059.937846174827</v>
      </c>
    </row>
    <row r="151" spans="1:104" ht="6.2" customHeight="1">
      <c r="A151" s="411"/>
      <c r="B151" s="414"/>
      <c r="C151" s="411"/>
      <c r="D151" s="411"/>
      <c r="E151" s="88"/>
      <c r="F151" s="88"/>
      <c r="G151" s="88"/>
      <c r="H151" s="88"/>
      <c r="I151" s="88"/>
      <c r="J151" s="85"/>
      <c r="K151" s="87"/>
      <c r="L151" s="85"/>
      <c r="M151" s="85"/>
      <c r="N151" s="85"/>
      <c r="O151" s="85"/>
      <c r="P151" s="85"/>
      <c r="Q151" s="85"/>
      <c r="R151" s="85"/>
      <c r="S151" s="85"/>
      <c r="T151" s="88"/>
      <c r="U151" s="88"/>
      <c r="V151" s="88"/>
      <c r="W151" s="88"/>
      <c r="X151" s="88"/>
      <c r="Y151" s="88"/>
      <c r="Z151" s="88"/>
      <c r="AA151" s="88"/>
      <c r="AB151" s="88"/>
      <c r="AC151" s="88"/>
      <c r="AD151" s="88"/>
      <c r="AE151" s="88"/>
      <c r="AF151" s="88"/>
      <c r="AG151" s="88"/>
      <c r="AH151" s="88"/>
      <c r="AI151" s="177"/>
      <c r="AJ151" s="88"/>
      <c r="AK151" s="88"/>
      <c r="AL151" s="88"/>
      <c r="AM151" s="88"/>
      <c r="AN151" s="88"/>
      <c r="AO151" s="177"/>
      <c r="AP151" s="88"/>
      <c r="AQ151" s="88"/>
      <c r="AR151" s="88"/>
      <c r="AS151" s="1124"/>
      <c r="AT151" s="177"/>
      <c r="AU151" s="88"/>
      <c r="AV151" s="1125"/>
      <c r="AW151" s="88"/>
      <c r="AX151" s="1124"/>
      <c r="AY151" s="88"/>
      <c r="AZ151" s="88"/>
      <c r="BA151" s="1125"/>
      <c r="BB151" s="88"/>
      <c r="BC151" s="1124"/>
      <c r="BD151" s="88"/>
      <c r="BE151" s="88"/>
      <c r="BF151" s="1178"/>
      <c r="BG151" s="385"/>
      <c r="BH151" s="1124"/>
      <c r="BI151" s="88"/>
      <c r="BJ151" s="88"/>
      <c r="BK151" s="1125"/>
      <c r="BL151" s="88"/>
      <c r="BM151" s="1124"/>
      <c r="BN151" s="88"/>
      <c r="BO151" s="88"/>
      <c r="BP151" s="1125"/>
      <c r="BQ151" s="88"/>
      <c r="BR151" s="1124"/>
      <c r="BS151" s="88"/>
      <c r="BT151" s="88"/>
      <c r="BU151" s="1125"/>
      <c r="BV151" s="88"/>
      <c r="BW151" s="1124"/>
      <c r="BX151" s="88"/>
      <c r="BY151" s="88"/>
      <c r="BZ151" s="1125"/>
      <c r="CA151" s="88"/>
      <c r="CB151" s="1124"/>
      <c r="CC151" s="88"/>
      <c r="CD151" s="88"/>
      <c r="CE151" s="1125"/>
      <c r="CF151" s="88"/>
      <c r="CG151" s="1124"/>
      <c r="CH151" s="88"/>
      <c r="CI151" s="88"/>
      <c r="CJ151" s="1125"/>
      <c r="CK151" s="88"/>
      <c r="CL151" s="1124"/>
      <c r="CM151" s="88"/>
      <c r="CN151" s="88"/>
      <c r="CO151" s="1125"/>
      <c r="CP151" s="88"/>
      <c r="CQ151" s="1124"/>
      <c r="CR151" s="88"/>
      <c r="CS151" s="88"/>
      <c r="CT151" s="1125"/>
      <c r="CU151" s="88"/>
      <c r="CV151" s="1124"/>
      <c r="CW151" s="88"/>
      <c r="CX151" s="88"/>
      <c r="CY151" s="1125"/>
      <c r="CZ151" s="88"/>
    </row>
    <row r="152" spans="1:104" ht="13.5" customHeight="1">
      <c r="A152" s="415"/>
      <c r="B152" s="416" t="s">
        <v>48</v>
      </c>
      <c r="C152" s="417"/>
      <c r="D152" s="417"/>
      <c r="E152" s="295"/>
      <c r="F152" s="295"/>
      <c r="G152" s="295"/>
      <c r="H152" s="295"/>
      <c r="I152" s="295"/>
      <c r="J152" s="295">
        <f t="shared" ref="J152:AM152" si="179">J126-J150</f>
        <v>0</v>
      </c>
      <c r="K152" s="295">
        <f t="shared" si="179"/>
        <v>0</v>
      </c>
      <c r="L152" s="295">
        <f t="shared" si="179"/>
        <v>0</v>
      </c>
      <c r="M152" s="295">
        <f t="shared" si="179"/>
        <v>0</v>
      </c>
      <c r="N152" s="295">
        <f t="shared" si="179"/>
        <v>0</v>
      </c>
      <c r="O152" s="295">
        <f t="shared" si="179"/>
        <v>0</v>
      </c>
      <c r="P152" s="295">
        <f t="shared" si="179"/>
        <v>0</v>
      </c>
      <c r="Q152" s="295">
        <f t="shared" si="179"/>
        <v>0</v>
      </c>
      <c r="R152" s="295">
        <f t="shared" si="179"/>
        <v>0</v>
      </c>
      <c r="S152" s="295">
        <f t="shared" si="179"/>
        <v>0</v>
      </c>
      <c r="T152" s="295">
        <f t="shared" si="179"/>
        <v>0</v>
      </c>
      <c r="U152" s="295">
        <f t="shared" si="179"/>
        <v>0</v>
      </c>
      <c r="V152" s="295">
        <f t="shared" si="179"/>
        <v>0</v>
      </c>
      <c r="W152" s="295">
        <f t="shared" si="179"/>
        <v>0</v>
      </c>
      <c r="X152" s="295">
        <f t="shared" si="179"/>
        <v>0</v>
      </c>
      <c r="Y152" s="295">
        <f t="shared" si="179"/>
        <v>0</v>
      </c>
      <c r="Z152" s="295">
        <f t="shared" si="179"/>
        <v>0</v>
      </c>
      <c r="AA152" s="295">
        <f t="shared" si="179"/>
        <v>0</v>
      </c>
      <c r="AB152" s="295">
        <f t="shared" si="179"/>
        <v>0</v>
      </c>
      <c r="AC152" s="295">
        <f t="shared" si="179"/>
        <v>0</v>
      </c>
      <c r="AD152" s="295">
        <f t="shared" si="179"/>
        <v>0</v>
      </c>
      <c r="AE152" s="295">
        <f t="shared" si="179"/>
        <v>0</v>
      </c>
      <c r="AF152" s="295">
        <f t="shared" si="179"/>
        <v>0</v>
      </c>
      <c r="AG152" s="295">
        <f t="shared" si="179"/>
        <v>0</v>
      </c>
      <c r="AH152" s="295">
        <f t="shared" si="179"/>
        <v>0</v>
      </c>
      <c r="AI152" s="295">
        <f t="shared" si="179"/>
        <v>0</v>
      </c>
      <c r="AJ152" s="295">
        <f t="shared" si="179"/>
        <v>0</v>
      </c>
      <c r="AK152" s="295">
        <f t="shared" si="179"/>
        <v>0</v>
      </c>
      <c r="AL152" s="295">
        <f t="shared" si="179"/>
        <v>0</v>
      </c>
      <c r="AM152" s="295">
        <f t="shared" si="179"/>
        <v>0</v>
      </c>
      <c r="AN152" s="295">
        <f t="shared" ref="AN152:BS152" si="180">AN126-AN150</f>
        <v>0</v>
      </c>
      <c r="AO152" s="295">
        <f t="shared" si="180"/>
        <v>0</v>
      </c>
      <c r="AP152" s="295">
        <f t="shared" si="180"/>
        <v>0</v>
      </c>
      <c r="AQ152" s="295">
        <f t="shared" si="180"/>
        <v>0</v>
      </c>
      <c r="AR152" s="295">
        <f t="shared" si="180"/>
        <v>0</v>
      </c>
      <c r="AS152" s="921">
        <f t="shared" si="180"/>
        <v>0</v>
      </c>
      <c r="AT152" s="587">
        <f t="shared" si="180"/>
        <v>0</v>
      </c>
      <c r="AU152" s="587">
        <f t="shared" si="180"/>
        <v>0</v>
      </c>
      <c r="AV152" s="922">
        <f t="shared" si="180"/>
        <v>0</v>
      </c>
      <c r="AW152" s="587">
        <f t="shared" si="180"/>
        <v>0</v>
      </c>
      <c r="AX152" s="921">
        <f t="shared" si="180"/>
        <v>0</v>
      </c>
      <c r="AY152" s="587">
        <f t="shared" si="180"/>
        <v>0</v>
      </c>
      <c r="AZ152" s="587">
        <f t="shared" si="180"/>
        <v>0</v>
      </c>
      <c r="BA152" s="922">
        <f t="shared" si="180"/>
        <v>0</v>
      </c>
      <c r="BB152" s="587">
        <f t="shared" si="180"/>
        <v>0</v>
      </c>
      <c r="BC152" s="921">
        <f t="shared" si="180"/>
        <v>0</v>
      </c>
      <c r="BD152" s="587">
        <f t="shared" si="180"/>
        <v>0</v>
      </c>
      <c r="BE152" s="587">
        <f t="shared" si="180"/>
        <v>0</v>
      </c>
      <c r="BF152" s="1179">
        <f t="shared" si="180"/>
        <v>0</v>
      </c>
      <c r="BG152" s="588">
        <f t="shared" si="180"/>
        <v>0</v>
      </c>
      <c r="BH152" s="921">
        <f t="shared" si="180"/>
        <v>0</v>
      </c>
      <c r="BI152" s="587">
        <f t="shared" si="180"/>
        <v>0</v>
      </c>
      <c r="BJ152" s="587">
        <f t="shared" si="180"/>
        <v>0</v>
      </c>
      <c r="BK152" s="922">
        <f t="shared" si="180"/>
        <v>0</v>
      </c>
      <c r="BL152" s="587">
        <f t="shared" si="180"/>
        <v>0</v>
      </c>
      <c r="BM152" s="921">
        <f t="shared" si="180"/>
        <v>0</v>
      </c>
      <c r="BN152" s="587">
        <f t="shared" si="180"/>
        <v>0</v>
      </c>
      <c r="BO152" s="587">
        <f t="shared" si="180"/>
        <v>0</v>
      </c>
      <c r="BP152" s="922">
        <f t="shared" si="180"/>
        <v>0</v>
      </c>
      <c r="BQ152" s="587">
        <f t="shared" si="180"/>
        <v>0</v>
      </c>
      <c r="BR152" s="921">
        <f t="shared" si="180"/>
        <v>0</v>
      </c>
      <c r="BS152" s="587">
        <f t="shared" si="180"/>
        <v>0</v>
      </c>
      <c r="BT152" s="587">
        <f t="shared" ref="BT152:CZ152" si="181">BT126-BT150</f>
        <v>0</v>
      </c>
      <c r="BU152" s="922">
        <f t="shared" si="181"/>
        <v>0</v>
      </c>
      <c r="BV152" s="587">
        <f t="shared" si="181"/>
        <v>0</v>
      </c>
      <c r="BW152" s="921">
        <f t="shared" si="181"/>
        <v>0</v>
      </c>
      <c r="BX152" s="587">
        <f t="shared" si="181"/>
        <v>0</v>
      </c>
      <c r="BY152" s="587">
        <f t="shared" si="181"/>
        <v>0</v>
      </c>
      <c r="BZ152" s="922">
        <f t="shared" si="181"/>
        <v>0</v>
      </c>
      <c r="CA152" s="587">
        <f t="shared" si="181"/>
        <v>0</v>
      </c>
      <c r="CB152" s="921">
        <f t="shared" si="181"/>
        <v>0</v>
      </c>
      <c r="CC152" s="587">
        <f t="shared" si="181"/>
        <v>0</v>
      </c>
      <c r="CD152" s="587">
        <f t="shared" si="181"/>
        <v>0</v>
      </c>
      <c r="CE152" s="922">
        <f t="shared" si="181"/>
        <v>0</v>
      </c>
      <c r="CF152" s="587">
        <f t="shared" si="181"/>
        <v>0</v>
      </c>
      <c r="CG152" s="921">
        <f t="shared" si="181"/>
        <v>0</v>
      </c>
      <c r="CH152" s="587">
        <f t="shared" si="181"/>
        <v>0</v>
      </c>
      <c r="CI152" s="587">
        <f t="shared" si="181"/>
        <v>0</v>
      </c>
      <c r="CJ152" s="922">
        <f t="shared" si="181"/>
        <v>0</v>
      </c>
      <c r="CK152" s="587">
        <f t="shared" si="181"/>
        <v>0</v>
      </c>
      <c r="CL152" s="921">
        <f t="shared" si="181"/>
        <v>0</v>
      </c>
      <c r="CM152" s="587">
        <f t="shared" si="181"/>
        <v>0</v>
      </c>
      <c r="CN152" s="587">
        <f t="shared" si="181"/>
        <v>0</v>
      </c>
      <c r="CO152" s="922">
        <f t="shared" si="181"/>
        <v>0</v>
      </c>
      <c r="CP152" s="587">
        <f t="shared" si="181"/>
        <v>0</v>
      </c>
      <c r="CQ152" s="921">
        <f t="shared" si="181"/>
        <v>0</v>
      </c>
      <c r="CR152" s="587">
        <f t="shared" si="181"/>
        <v>0</v>
      </c>
      <c r="CS152" s="587">
        <f t="shared" si="181"/>
        <v>0</v>
      </c>
      <c r="CT152" s="922">
        <f t="shared" si="181"/>
        <v>0</v>
      </c>
      <c r="CU152" s="587">
        <f t="shared" si="181"/>
        <v>0</v>
      </c>
      <c r="CV152" s="921">
        <f t="shared" si="181"/>
        <v>0</v>
      </c>
      <c r="CW152" s="587">
        <f t="shared" si="181"/>
        <v>0</v>
      </c>
      <c r="CX152" s="587">
        <f t="shared" si="181"/>
        <v>0</v>
      </c>
      <c r="CY152" s="922">
        <f t="shared" si="181"/>
        <v>0</v>
      </c>
      <c r="CZ152" s="587">
        <f t="shared" si="181"/>
        <v>0</v>
      </c>
    </row>
    <row r="153" spans="1:104" ht="6.2" customHeight="1">
      <c r="A153" s="411"/>
      <c r="B153" s="414"/>
      <c r="C153" s="411"/>
      <c r="D153" s="411"/>
      <c r="E153" s="88"/>
      <c r="F153" s="88"/>
      <c r="G153" s="88"/>
      <c r="H153" s="88"/>
      <c r="I153" s="88"/>
      <c r="J153" s="85"/>
      <c r="K153" s="89"/>
      <c r="L153" s="85"/>
      <c r="M153" s="85"/>
      <c r="N153" s="85"/>
      <c r="O153" s="85"/>
      <c r="P153" s="85"/>
      <c r="Q153" s="85"/>
      <c r="R153" s="85"/>
      <c r="S153" s="85"/>
      <c r="T153" s="179"/>
      <c r="U153" s="88"/>
      <c r="V153" s="88"/>
      <c r="W153" s="88"/>
      <c r="X153" s="88"/>
      <c r="Y153" s="88"/>
      <c r="Z153" s="88"/>
      <c r="AA153" s="88"/>
      <c r="AB153" s="88"/>
      <c r="AC153" s="88"/>
      <c r="AD153" s="88"/>
      <c r="AE153" s="88"/>
      <c r="AF153" s="88"/>
      <c r="AG153" s="88"/>
      <c r="AH153" s="88"/>
      <c r="AI153" s="177"/>
      <c r="AJ153" s="88"/>
      <c r="AK153" s="88"/>
      <c r="AL153" s="88"/>
      <c r="AM153" s="88"/>
      <c r="AN153" s="88"/>
      <c r="AO153" s="177"/>
      <c r="AP153" s="88"/>
      <c r="AQ153" s="88"/>
      <c r="AR153" s="88"/>
      <c r="AS153" s="1124"/>
      <c r="AT153" s="177"/>
      <c r="AU153" s="88"/>
      <c r="AV153" s="1125"/>
      <c r="AW153" s="88"/>
      <c r="AX153" s="1124"/>
      <c r="AY153" s="88"/>
      <c r="AZ153" s="88"/>
      <c r="BA153" s="1125"/>
      <c r="BB153" s="88"/>
      <c r="BC153" s="1124"/>
      <c r="BD153" s="88"/>
      <c r="BE153" s="88"/>
      <c r="BF153" s="1178"/>
      <c r="BG153" s="385"/>
      <c r="BH153" s="1124"/>
      <c r="BI153" s="88"/>
      <c r="BJ153" s="88"/>
      <c r="BK153" s="1125"/>
      <c r="BL153" s="88"/>
      <c r="BM153" s="1124"/>
      <c r="BN153" s="88"/>
      <c r="BO153" s="88"/>
      <c r="BP153" s="1125"/>
      <c r="BQ153" s="88"/>
      <c r="BR153" s="1124"/>
      <c r="BS153" s="88"/>
      <c r="BT153" s="88"/>
      <c r="BU153" s="1125"/>
      <c r="BV153" s="88"/>
      <c r="BW153" s="1124"/>
      <c r="BX153" s="88"/>
      <c r="BY153" s="88"/>
      <c r="BZ153" s="1125"/>
      <c r="CA153" s="88"/>
      <c r="CB153" s="1124"/>
      <c r="CC153" s="88"/>
      <c r="CD153" s="88"/>
      <c r="CE153" s="1125"/>
      <c r="CF153" s="88"/>
      <c r="CG153" s="1124"/>
      <c r="CH153" s="88"/>
      <c r="CI153" s="88"/>
      <c r="CJ153" s="1125"/>
      <c r="CK153" s="88"/>
      <c r="CL153" s="1124"/>
      <c r="CM153" s="88"/>
      <c r="CN153" s="88"/>
      <c r="CO153" s="1125"/>
      <c r="CP153" s="88"/>
      <c r="CQ153" s="1124"/>
      <c r="CR153" s="88"/>
      <c r="CS153" s="88"/>
      <c r="CT153" s="1125"/>
      <c r="CU153" s="88"/>
      <c r="CV153" s="1124"/>
      <c r="CW153" s="88"/>
      <c r="CX153" s="88"/>
      <c r="CY153" s="1125"/>
      <c r="CZ153" s="88"/>
    </row>
    <row r="154" spans="1:104" ht="13.5" customHeight="1">
      <c r="A154" s="418"/>
      <c r="B154" s="90" t="s">
        <v>614</v>
      </c>
      <c r="C154" s="418"/>
      <c r="D154" s="418"/>
      <c r="E154" s="88"/>
      <c r="F154" s="88"/>
      <c r="G154" s="88"/>
      <c r="H154" s="88"/>
      <c r="I154" s="88"/>
      <c r="J154" s="85"/>
      <c r="K154" s="87"/>
      <c r="L154" s="85"/>
      <c r="M154" s="85"/>
      <c r="N154" s="85"/>
      <c r="O154" s="85"/>
      <c r="P154" s="85"/>
      <c r="Q154" s="85"/>
      <c r="R154" s="85"/>
      <c r="S154" s="85"/>
      <c r="T154" s="179"/>
      <c r="U154" s="88"/>
      <c r="V154" s="88"/>
      <c r="W154" s="88"/>
      <c r="X154" s="88"/>
      <c r="Y154" s="88"/>
      <c r="Z154" s="88"/>
      <c r="AA154" s="88"/>
      <c r="AB154" s="88"/>
      <c r="AC154" s="88"/>
      <c r="AD154" s="88"/>
      <c r="AE154" s="88"/>
      <c r="AF154" s="88"/>
      <c r="AG154" s="88"/>
      <c r="AH154" s="88"/>
      <c r="AI154" s="177"/>
      <c r="AJ154" s="88"/>
      <c r="AK154" s="88"/>
      <c r="AL154" s="88"/>
      <c r="AM154" s="88"/>
      <c r="AN154" s="88"/>
      <c r="AO154" s="177"/>
      <c r="AP154" s="88"/>
      <c r="AQ154" s="88"/>
      <c r="AR154" s="88"/>
      <c r="AS154" s="1124"/>
      <c r="AT154" s="177"/>
      <c r="AU154" s="88"/>
      <c r="AV154" s="1125"/>
      <c r="AW154" s="88"/>
      <c r="AX154" s="1124"/>
      <c r="AY154" s="88"/>
      <c r="AZ154" s="88"/>
      <c r="BA154" s="1125"/>
      <c r="BB154" s="88"/>
      <c r="BC154" s="1124"/>
      <c r="BD154" s="88"/>
      <c r="BE154" s="88"/>
      <c r="BF154" s="1178"/>
      <c r="BG154" s="385"/>
      <c r="BH154" s="1124"/>
      <c r="BI154" s="88"/>
      <c r="BJ154" s="88"/>
      <c r="BK154" s="1125"/>
      <c r="BL154" s="88"/>
      <c r="BM154" s="1124"/>
      <c r="BN154" s="88"/>
      <c r="BO154" s="88"/>
      <c r="BP154" s="1125"/>
      <c r="BQ154" s="88"/>
      <c r="BR154" s="1124"/>
      <c r="BS154" s="88"/>
      <c r="BT154" s="88"/>
      <c r="BU154" s="1125"/>
      <c r="BV154" s="88"/>
      <c r="BW154" s="1124"/>
      <c r="BX154" s="88"/>
      <c r="BY154" s="88"/>
      <c r="BZ154" s="1125"/>
      <c r="CA154" s="88"/>
      <c r="CB154" s="1124"/>
      <c r="CC154" s="88"/>
      <c r="CD154" s="88"/>
      <c r="CE154" s="1125"/>
      <c r="CF154" s="88"/>
      <c r="CG154" s="1124"/>
      <c r="CH154" s="88"/>
      <c r="CI154" s="88"/>
      <c r="CJ154" s="1125"/>
      <c r="CK154" s="88"/>
      <c r="CL154" s="1124"/>
      <c r="CM154" s="88"/>
      <c r="CN154" s="88"/>
      <c r="CO154" s="1125"/>
      <c r="CP154" s="88"/>
      <c r="CQ154" s="1124"/>
      <c r="CR154" s="88"/>
      <c r="CS154" s="88"/>
      <c r="CT154" s="1125"/>
      <c r="CU154" s="88"/>
      <c r="CV154" s="1124"/>
      <c r="CW154" s="88"/>
      <c r="CX154" s="88"/>
      <c r="CY154" s="1125"/>
      <c r="CZ154" s="88"/>
    </row>
    <row r="155" spans="1:104" ht="13.5" customHeight="1">
      <c r="A155" s="411"/>
      <c r="B155" s="404" t="s">
        <v>310</v>
      </c>
      <c r="C155" s="362"/>
      <c r="D155" s="362"/>
      <c r="E155" s="88"/>
      <c r="F155" s="88"/>
      <c r="G155" s="88"/>
      <c r="H155" s="88"/>
      <c r="I155" s="88"/>
      <c r="J155" s="811">
        <v>2280.7840769999993</v>
      </c>
      <c r="K155" s="91">
        <f>+J162</f>
        <v>2216.8627669999996</v>
      </c>
      <c r="L155" s="91">
        <f>+K162</f>
        <v>2268.3171980000002</v>
      </c>
      <c r="M155" s="91">
        <f>+L162</f>
        <v>2292.841171</v>
      </c>
      <c r="N155" s="91">
        <f>+J155</f>
        <v>2280.7840769999993</v>
      </c>
      <c r="O155" s="91">
        <f>+N162</f>
        <v>2322.989489</v>
      </c>
      <c r="P155" s="91">
        <f>+O162</f>
        <v>2325.3164720000004</v>
      </c>
      <c r="Q155" s="91">
        <f>+P162</f>
        <v>2319.0479330000003</v>
      </c>
      <c r="R155" s="91">
        <f>+Q162</f>
        <v>2322.8154950000003</v>
      </c>
      <c r="S155" s="91">
        <f>+O155</f>
        <v>2322.989489</v>
      </c>
      <c r="T155" s="91">
        <f>+S162</f>
        <v>2342.0777879999996</v>
      </c>
      <c r="U155" s="91">
        <f>+T162</f>
        <v>2454.5060000000003</v>
      </c>
      <c r="V155" s="91">
        <f>+U162</f>
        <v>2705.5949999999998</v>
      </c>
      <c r="W155" s="91">
        <f>+V162</f>
        <v>3114.62</v>
      </c>
      <c r="X155" s="91">
        <f>+T155</f>
        <v>2342.0777879999996</v>
      </c>
      <c r="Y155" s="91">
        <f>+X162</f>
        <v>3455.9849999999997</v>
      </c>
      <c r="Z155" s="91">
        <f>+Y162</f>
        <v>3785.6149999999998</v>
      </c>
      <c r="AA155" s="91">
        <f>+Z162</f>
        <v>3845.2000000000003</v>
      </c>
      <c r="AB155" s="91">
        <f>+AA162</f>
        <v>4089.7520000000009</v>
      </c>
      <c r="AC155" s="91">
        <f>+Y155</f>
        <v>3455.9849999999997</v>
      </c>
      <c r="AD155" s="91">
        <f>+AC162</f>
        <v>4279.7880000000005</v>
      </c>
      <c r="AE155" s="91">
        <f>+AD162</f>
        <v>4564.8790000000008</v>
      </c>
      <c r="AF155" s="91">
        <f>+AE162</f>
        <v>4650.8330000000005</v>
      </c>
      <c r="AG155" s="91">
        <f>+AF162</f>
        <v>4665.4400000000005</v>
      </c>
      <c r="AH155" s="91">
        <f>+AD155</f>
        <v>4279.7880000000005</v>
      </c>
      <c r="AI155" s="178">
        <f>+AH162</f>
        <v>4825.9890000000005</v>
      </c>
      <c r="AJ155" s="91">
        <f>+AI162</f>
        <v>5136.6629999999996</v>
      </c>
      <c r="AK155" s="91">
        <f>+AJ162</f>
        <v>5182.5889999999999</v>
      </c>
      <c r="AL155" s="91">
        <f>+AK162</f>
        <v>4888.5839999999998</v>
      </c>
      <c r="AM155" s="91">
        <f>+AI155</f>
        <v>4825.9890000000005</v>
      </c>
      <c r="AN155" s="178">
        <f>+AM162</f>
        <v>5112.9169999999995</v>
      </c>
      <c r="AO155" s="91">
        <f>+AN162</f>
        <v>5425.6939999999995</v>
      </c>
      <c r="AP155" s="91">
        <f>+AO162</f>
        <v>8080.3649999999998</v>
      </c>
      <c r="AQ155" s="91">
        <f>+AP162</f>
        <v>8176.4730000000009</v>
      </c>
      <c r="AR155" s="91">
        <f>+AN155</f>
        <v>5112.9169999999995</v>
      </c>
      <c r="AS155" s="921">
        <f>+AR162</f>
        <v>7929.2039999999988</v>
      </c>
      <c r="AT155" s="587">
        <f>+AS162</f>
        <v>7587.2499999999991</v>
      </c>
      <c r="AU155" s="587">
        <f>+AT162</f>
        <v>7455.2180000000008</v>
      </c>
      <c r="AV155" s="922">
        <f>+AU162</f>
        <v>7413.4529999999995</v>
      </c>
      <c r="AW155" s="587">
        <f>+AS155</f>
        <v>7929.2039999999988</v>
      </c>
      <c r="AX155" s="921">
        <f>+AW162</f>
        <v>7390.5259999999989</v>
      </c>
      <c r="AY155" s="587">
        <f>+AX162</f>
        <v>7305.6360000000004</v>
      </c>
      <c r="AZ155" s="587">
        <f>+AY162</f>
        <v>7246.3930000000018</v>
      </c>
      <c r="BA155" s="922">
        <f>+AZ162</f>
        <v>7227.317</v>
      </c>
      <c r="BB155" s="587">
        <f>+AW162</f>
        <v>7390.5259999999989</v>
      </c>
      <c r="BC155" s="921">
        <f>+BB162</f>
        <v>7120.07</v>
      </c>
      <c r="BD155" s="587">
        <f>+BC162</f>
        <v>7251.3739999999989</v>
      </c>
      <c r="BE155" s="587">
        <f>+BD162</f>
        <v>7464.9480000000003</v>
      </c>
      <c r="BF155" s="1179">
        <f>+BE162</f>
        <v>7462.7360000000008</v>
      </c>
      <c r="BG155" s="588">
        <f>+BB162</f>
        <v>7120.07</v>
      </c>
      <c r="BH155" s="921">
        <f>+BG162</f>
        <v>7474.8850000000002</v>
      </c>
      <c r="BI155" s="587">
        <f>+BH162</f>
        <v>7585.5840000000007</v>
      </c>
      <c r="BJ155" s="587">
        <f>+BI162</f>
        <v>7558.1639999999998</v>
      </c>
      <c r="BK155" s="1179">
        <f>+BJ162</f>
        <v>7633.344000000001</v>
      </c>
      <c r="BL155" s="588">
        <f>+BG162</f>
        <v>7474.8850000000002</v>
      </c>
      <c r="BM155" s="921">
        <f>+BL162</f>
        <v>7641.5710000000008</v>
      </c>
      <c r="BN155" s="587">
        <f>+BM162</f>
        <v>7567.0960000000014</v>
      </c>
      <c r="BO155" s="587">
        <f>+BN162</f>
        <v>7537.6289999999999</v>
      </c>
      <c r="BP155" s="922">
        <f>+BO162</f>
        <v>7605.2060000000001</v>
      </c>
      <c r="BQ155" s="587">
        <f>+BL162</f>
        <v>7641.5710000000008</v>
      </c>
      <c r="BR155" s="921">
        <f>+BQ162</f>
        <v>7645.7690000000002</v>
      </c>
      <c r="BS155" s="587">
        <f>+BR162</f>
        <v>7602.1549999999997</v>
      </c>
      <c r="BT155" s="587">
        <f>+BS162</f>
        <v>7680.822000000001</v>
      </c>
      <c r="BU155" s="922">
        <f>+BT162</f>
        <v>7735.2819999999992</v>
      </c>
      <c r="BV155" s="587">
        <f>+BQ162</f>
        <v>7645.7690000000002</v>
      </c>
      <c r="BW155" s="921">
        <f>+BV162</f>
        <v>7772.47</v>
      </c>
      <c r="BX155" s="587">
        <f>+BW162</f>
        <v>7611.5119999999988</v>
      </c>
      <c r="BY155" s="587">
        <f>+BX162</f>
        <v>7660.7029999999986</v>
      </c>
      <c r="BZ155" s="922">
        <f>+BY162</f>
        <v>7709.0869999999995</v>
      </c>
      <c r="CA155" s="587">
        <f>+BV162</f>
        <v>7772.47</v>
      </c>
      <c r="CB155" s="921">
        <f>+CA162</f>
        <v>7416.8780000000015</v>
      </c>
      <c r="CC155" s="587">
        <f>+CB162</f>
        <v>7426.4679999999998</v>
      </c>
      <c r="CD155" s="587">
        <f>+CC162</f>
        <v>7573.7629999999999</v>
      </c>
      <c r="CE155" s="922">
        <f>+CD162</f>
        <v>7727.2459999999992</v>
      </c>
      <c r="CF155" s="587">
        <f>+CA162</f>
        <v>7416.8780000000015</v>
      </c>
      <c r="CG155" s="921">
        <f>+CF162</f>
        <v>7879.8650000000007</v>
      </c>
      <c r="CH155" s="587">
        <f>+CG162</f>
        <v>8134.0230000000001</v>
      </c>
      <c r="CI155" s="587">
        <f>+CH162</f>
        <v>8377.0650000000005</v>
      </c>
      <c r="CJ155" s="922">
        <f>+CI162</f>
        <v>8519.0349999999999</v>
      </c>
      <c r="CK155" s="587">
        <f>+CF162</f>
        <v>7879.8650000000007</v>
      </c>
      <c r="CL155" s="921">
        <f>+CK162</f>
        <v>8739.0360000000019</v>
      </c>
      <c r="CM155" s="587">
        <f>+CL162</f>
        <v>8976.027</v>
      </c>
      <c r="CN155" s="587">
        <f>+CM162</f>
        <v>9397.6607824855892</v>
      </c>
      <c r="CO155" s="922">
        <f>+CN162</f>
        <v>9834.8295946109902</v>
      </c>
      <c r="CP155" s="587">
        <f>+CK162</f>
        <v>8739.0360000000019</v>
      </c>
      <c r="CQ155" s="921">
        <f>+CP162</f>
        <v>10225.090551920615</v>
      </c>
      <c r="CR155" s="587">
        <f>+CQ162</f>
        <v>10663.666048833726</v>
      </c>
      <c r="CS155" s="587">
        <f>+CR162</f>
        <v>11067.642152215374</v>
      </c>
      <c r="CT155" s="922">
        <f>+CS162</f>
        <v>11413.709442217536</v>
      </c>
      <c r="CU155" s="587">
        <f>+CP162</f>
        <v>10225.090551920615</v>
      </c>
      <c r="CV155" s="921">
        <f>+CU162</f>
        <v>11671.164383179883</v>
      </c>
      <c r="CW155" s="587">
        <f>+CV162</f>
        <v>12012.17936805241</v>
      </c>
      <c r="CX155" s="587">
        <f>+CW162</f>
        <v>12371.693966247887</v>
      </c>
      <c r="CY155" s="922">
        <f>+CX162</f>
        <v>12695.531544375772</v>
      </c>
      <c r="CZ155" s="587">
        <f>+CU162</f>
        <v>11671.164383179883</v>
      </c>
    </row>
    <row r="156" spans="1:104" ht="13.5" customHeight="1">
      <c r="A156" s="411"/>
      <c r="B156" s="404" t="s">
        <v>300</v>
      </c>
      <c r="C156" s="362"/>
      <c r="D156" s="362"/>
      <c r="E156" s="85"/>
      <c r="F156" s="85"/>
      <c r="G156" s="85"/>
      <c r="H156" s="85"/>
      <c r="I156" s="85"/>
      <c r="J156" s="811">
        <v>9.9661989999999605</v>
      </c>
      <c r="K156" s="92">
        <f>IF(K146-J146&gt;0,+K141+K142-J141-J142+K146-J146,+K141+K142-J141-J142)</f>
        <v>6.5583689999999706</v>
      </c>
      <c r="L156" s="92">
        <f>IF(L146-K146&gt;0,+L141+L142-K141-K142+L146-K146,+L141+L142-K141-K142)</f>
        <v>0.19551300000000538</v>
      </c>
      <c r="M156" s="92">
        <f>IF(M146-L146&gt;0,+M141+M142-L141-L142+M146-L146,+M141+M142-L141-L142)</f>
        <v>2.1119209999999953</v>
      </c>
      <c r="N156" s="523">
        <v>18.832001999999989</v>
      </c>
      <c r="O156" s="92">
        <f>IF(O146-N146&gt;0,+O141+O142-N141-N142+O146-N146,+O141+O142-N141-N142)</f>
        <v>0.18213900000000649</v>
      </c>
      <c r="P156" s="92">
        <f>IF(P146-O146&gt;0,+P141+P142-O141-O142+P146-O146,+P141+P142-O141-O142)</f>
        <v>0.94750299999998333</v>
      </c>
      <c r="Q156" s="92">
        <f>IF(Q146-P146&gt;0,+Q141+Q142-P141-P142+Q146-P146,+Q141+Q142-P141-P142)</f>
        <v>3.4036479999999756</v>
      </c>
      <c r="R156" s="92">
        <f>IF(R146-Q146&gt;0,+R141+R142-Q141-Q142+R146-Q146,+R141+R142-Q141-Q142)</f>
        <v>14.427732999999989</v>
      </c>
      <c r="S156" s="92">
        <f>+S141+S142-N141-N142</f>
        <v>18.158778000000012</v>
      </c>
      <c r="T156" s="92">
        <f>IF(T146-S146&gt;0,+T141+T142-S141-S142+T146-S146,+T141+T142-S141-S142)</f>
        <v>16.255640000000028</v>
      </c>
      <c r="U156" s="92">
        <f>IF(U146-T146&gt;0,+U141+U142-T141-T142+U146-T146,+U141+U142-T141-T142)</f>
        <v>16.295000000000016</v>
      </c>
      <c r="V156" s="92">
        <f>IF(V146-U146&gt;0,+V141+V142-U141-U142+V146-U146,+V141+V142-U141-U142)</f>
        <v>14.218000000000018</v>
      </c>
      <c r="W156" s="92">
        <f>IF(W146-V146&gt;0,+W141+W142-V141-V142+W146-V146,+W141+W142-V141-V142)</f>
        <v>21.861000000000047</v>
      </c>
      <c r="X156" s="92">
        <f>+X141+X142-S141-S142</f>
        <v>67.132963000000004</v>
      </c>
      <c r="Y156" s="92">
        <f>IF(Y146-X146&gt;0,+Y141+Y142-X141-X142+Y146-X146,+Y141+Y142-X141-X142)</f>
        <v>25.262</v>
      </c>
      <c r="Z156" s="92">
        <f>IF(Z146-Y146&gt;0,+Z141+Z142-Y141-Y142+Z146-Y146,+Z141+Z142-Y141-Y142)</f>
        <v>1.0440000000000111</v>
      </c>
      <c r="AA156" s="92">
        <f>IF(AA146-Z146&gt;0,+AA141+AA142-Z141-Z142+AA146-Z146,+AA141+AA142-Z141-Z142)</f>
        <v>3.2410000000000139</v>
      </c>
      <c r="AB156" s="92">
        <f>IF(AB146-AA146&gt;0,+AB141+AB142-AA141-AA142+AB146-AA146,+AB141+AB142-AA141-AA142)</f>
        <v>19.742000000000019</v>
      </c>
      <c r="AC156" s="92">
        <f>+AC141+AC142-X141-X142</f>
        <v>45.011000000000053</v>
      </c>
      <c r="AD156" s="92">
        <f>IF(AD146-AC146&gt;0,+AD141+AD142-AC141-AC142+AD146-AC146,+AD141+AD142-AC141-AC142)</f>
        <v>33.39700000000002</v>
      </c>
      <c r="AE156" s="92">
        <f>IF(AE146-AD146&gt;0,+AE141+AE142-AD141-AD142+AE146-AD146,+AE141+AE142-AD141-AD142)</f>
        <v>16.017000000000024</v>
      </c>
      <c r="AF156" s="92">
        <f>IF(AF146-AE146&gt;0,+AF141+AF142-AE141-AE142+AF146-AE146,+AF141+AF142-AE141-AE142)</f>
        <v>11.184999999999945</v>
      </c>
      <c r="AG156" s="92">
        <f>IF(AG146-AF146&gt;0,+AG141+AG142-AF141-AF142+AG146-AF146,+AG141+AG142-AF141-AF142)</f>
        <v>17.97999999999999</v>
      </c>
      <c r="AH156" s="92">
        <f>+AH141+AH142-AC141-AC142</f>
        <v>78.578999999999979</v>
      </c>
      <c r="AI156" s="92">
        <f>IF(AI146-AH146&gt;0,+AI141+AI142-AH141-AH142+AI146-AH146,+AI141+AI142-AH141-AH142)</f>
        <v>33.169999999999845</v>
      </c>
      <c r="AJ156" s="92">
        <f>IF(AJ146-AI146&gt;0,+AJ141+AJ142-AI141-AI142+AJ146-AI146,+AJ141+AJ142-AI141-AI142)</f>
        <v>15.062999999999988</v>
      </c>
      <c r="AK156" s="92">
        <f>IF(AK146-AJ146&gt;0,+AK141+AK142-AJ141-AJ142+AK146-AJ146,+AK141+AK142-AJ141-AJ142)</f>
        <v>8.1119999999999663</v>
      </c>
      <c r="AL156" s="92">
        <f>IF(AL146-AK146&gt;0,+AL141+AL142-AK141-AK142+AL146-AK146,+AL141+AL142-AK141-AK142)</f>
        <v>12.297999999999774</v>
      </c>
      <c r="AM156" s="92">
        <f>+AM141+AM142-AH141-AH142</f>
        <v>61.158999999999992</v>
      </c>
      <c r="AN156" s="92">
        <f>IF(AN146-AM146&gt;0,+AN141+AN142-AM141-AM142+AN146-AM146,+AN141+AN142-AM141-AM142)</f>
        <v>30.708999999999833</v>
      </c>
      <c r="AO156" s="92">
        <f>IF(AO146-AN146&gt;0,+AO141+AO142-AN141-AN142+AO146-AN146,+AO141+AO142-AN141-AN142)</f>
        <v>2000.164</v>
      </c>
      <c r="AP156" s="92">
        <f>IF(AP146-AO146&gt;0,+AP141+AP142-AO141-AO142+AP146-AO146,+AP141+AP142-AO141-AO142)</f>
        <v>12.759000000000015</v>
      </c>
      <c r="AQ156" s="92">
        <f>IF(AQ146-AP146&gt;0,+AQ141+AQ142-AP141-AP142+AQ146-AP146,+AQ141+AQ142-AP141-AP142)</f>
        <v>11.008000000000038</v>
      </c>
      <c r="AR156" s="92">
        <f>+AR141+AR142-AM141-AM142</f>
        <v>1373.9010000000001</v>
      </c>
      <c r="AS156" s="889">
        <f>IF(AS146-AR146&gt;0,+AS141+AS142-AR141-AR142+AS146-AR146,+AS141+AS142-AR141-AR142)</f>
        <v>17.108000000000175</v>
      </c>
      <c r="AT156" s="550">
        <f>IF(AT146-AS146&gt;0,+AT141+AT142-AS141-AS142+AT146-AS146,+AT141+AT142-AS141-AS142)</f>
        <v>14.421999999999798</v>
      </c>
      <c r="AU156" s="550">
        <f>IF(AU146-AT146&gt;0,+AU141+AU142-AT141-AT142+AU146-AT146,+AU141+AU142-AT141-AT142)</f>
        <v>10.893000000000256</v>
      </c>
      <c r="AV156" s="890">
        <f>IF(AV146-AU146&gt;0,+AV141+AV142-AU141-AU142+AV146-AU146,+AV141+AV142-AU141-AU142)</f>
        <v>10.103999999999814</v>
      </c>
      <c r="AW156" s="550">
        <f>IF(AW146-AR146&gt;0,+AW141+AW142-AR141-AR142+AW146-AR146,+AW141+AW142-AR141-AR142)</f>
        <v>52.527000000000044</v>
      </c>
      <c r="AX156" s="889">
        <f>IF(AX146-AW146&gt;0,+AX141+AX142-AW141-AW142+AX146-AW146,+AX141+AX142-AW141-AW142)</f>
        <v>15.972999999999956</v>
      </c>
      <c r="AY156" s="550">
        <f>IF(AY146-AX146&gt;0,+AY141+AY142-AX141-AX142+AY146-AX146,+AY141+AY142-AX141-AX142)</f>
        <v>3.874000000000251</v>
      </c>
      <c r="AZ156" s="550">
        <f>IF(AZ146-AY146&gt;0,+AZ141+AZ142-AY141-AY142+AZ146-AY146,+AZ141+AZ142-AY141-AY142)</f>
        <v>10.881999999999607</v>
      </c>
      <c r="BA156" s="890">
        <f>IF(BA146-AZ146&gt;0,+BA141+BA142-AZ141-AZ142+BA146-AZ146,+BA141+BA142-AZ141-AZ142)</f>
        <v>9.7650000000003274</v>
      </c>
      <c r="BB156" s="550">
        <f>IF(BB146-AW146&gt;0,+BB141+BB142-AW141-AW142+BB146-AW146,+BB141+BB142-AW141-AW142)</f>
        <v>40.494000000000142</v>
      </c>
      <c r="BC156" s="889">
        <f>IF(BC146-BB146&gt;0,+BC141+BC142-BB141-BB142+BC146-BB146,+BC141+BC142-BB141-BB142)</f>
        <v>14.694999999999709</v>
      </c>
      <c r="BD156" s="550">
        <f>IF(BD146-BC146&gt;0,+BD141+BD142-BC141-BC142+BD146-BC146,+BD141+BD142-BC141-BC142)</f>
        <v>13.143000000000029</v>
      </c>
      <c r="BE156" s="550">
        <f>IF(BE146-BD146&gt;0,+BE141+BE142-BD141-BD142+BE146-BD146,+BE141+BE142-BD141-BD142)</f>
        <v>13.803000000000111</v>
      </c>
      <c r="BF156" s="970">
        <f>IF(BF146-BE146&gt;0,+BF141+BF142-BE141-BE142+BF146-BE146,+BF141+BF142-BE141-BE142)</f>
        <v>7.9970000000000709</v>
      </c>
      <c r="BG156" s="577">
        <f>IF(BG146-BB146&gt;0,+BG141+BG142-BB141-BB142+BG146-BB146,+BG141+BG142-BB141-BB142)</f>
        <v>49.63799999999992</v>
      </c>
      <c r="BH156" s="889">
        <f>IF(BH146-BG146&gt;0,+BH141+BH142-BG141-BG142+BH146-BG146,+BH141+BH142-BG141-BG142)</f>
        <v>19.365999999999985</v>
      </c>
      <c r="BI156" s="550">
        <f>IF(BI146-BH146&gt;0,+BI141+BI142-BH141-BH142+BI146-BH146,+BI141+BI142-BH141-BH142)</f>
        <v>21.900000000000091</v>
      </c>
      <c r="BJ156" s="550">
        <f>IF(BJ146-BI146&gt;0,+BJ141+BJ142-BI141-BI142+BJ146-BI146,+BJ141+BJ142-BI141-BI142)</f>
        <v>10.032999999999674</v>
      </c>
      <c r="BK156" s="970">
        <f>IF(BK146-BJ146&gt;0,+BK141+BK142-BJ141-BJ142+BK146-BJ146,+BK141+BK142-BJ141-BJ142)</f>
        <v>7.4920000000001892</v>
      </c>
      <c r="BL156" s="577">
        <f>IF(BL146-BG146&gt;0,+BL141+BL142-BG141-BG142+BL146-BG146,+BL141+BL142-BG141-BG142)</f>
        <v>58.79099999999994</v>
      </c>
      <c r="BM156" s="889">
        <f>IF(BM146-BL146&gt;0,+BM141+BM142-BL141-BL142+BM146-BL146,+BM141+BM142-BL141-BL142)</f>
        <v>8.9160000000001673</v>
      </c>
      <c r="BN156" s="550">
        <f>IF(BN146-BM146&gt;0,+BN141+BN142-BM141-BM142+BN146-BM146,+BN141+BN142-BM141-BM142)</f>
        <v>18.848999999999933</v>
      </c>
      <c r="BO156" s="550">
        <f>IF(BO146-BN146&gt;0,+BO141+BO142-BN141-BN142+BO146-BN146,+BO141+BO142-BN141-BN142)</f>
        <v>5.9790000000000418</v>
      </c>
      <c r="BP156" s="890">
        <f>IF(BP146-BO146&gt;0,+BP141+BP142-BO141-BO142+BP146-BO146,+BP141+BP142-BO141-BO142)</f>
        <v>2.2179999999998472</v>
      </c>
      <c r="BQ156" s="550">
        <f>IF(BQ146-BL146&gt;0,+BQ141+BQ142-BL141-BL142+BQ146-BL146,+BQ141+BQ142-BL141-BL142)</f>
        <v>35.961999999999989</v>
      </c>
      <c r="BR156" s="889">
        <f>IF(BR146-BQ146&gt;0,+BR141+BR142-BQ141-BQ142+BR146-BQ146,+BR141+BR142-BQ141-BQ142)</f>
        <v>8.9270000000001346</v>
      </c>
      <c r="BS156" s="550">
        <f>IF(BS146-BR146&gt;0,+BS141+BS142-BR141-BR142+BS146-BR146,+BS141+BS142-BR141-BR142)</f>
        <v>18.645999999999958</v>
      </c>
      <c r="BT156" s="550">
        <f>IF(BT146-BS146&gt;0,+BT141+BT142-BS141-BS142+BT146-BS146,+BT141+BT142-BS141-BS142)</f>
        <v>9.3009999999999309</v>
      </c>
      <c r="BU156" s="890">
        <f>IF(BU146-BT146&gt;0,+BU141+BU142-BT141-BT142+BU146-BT146,+BU141+BU142-BT141-BT142)</f>
        <v>6.8410000000001219</v>
      </c>
      <c r="BV156" s="550">
        <f>IF(BV146-BQ146&gt;0,+BV141+BV142-BQ141-BQ142+BV146-BQ146,+BV141+BV142-BQ141-BQ142)</f>
        <v>43.715000000000146</v>
      </c>
      <c r="BW156" s="889">
        <f>IF(BW146-BV146&gt;0,+BW141+BW142-BV141-BV142+BW146-BV146,+BW141+BW142-BV141-BV142)</f>
        <v>9.806999999999789</v>
      </c>
      <c r="BX156" s="550">
        <f>IF(BX146-BW146&gt;0,+BX141+BX142-BW141-BW142+BX146-BW146,+BX141+BX142-BW141-BW142)</f>
        <v>16.633999999999787</v>
      </c>
      <c r="BY156" s="550">
        <f>IF(BY146-BX146&gt;0,+BY141+BY142-BX141-BX142+BY146-BX146,+BY141+BY142-BX141-BX142)</f>
        <v>6.4380000000001019</v>
      </c>
      <c r="BZ156" s="890">
        <f>IF(BZ146-BY146&gt;0,+BZ141+BZ142-BY141-BY142+BZ146-BY146,+BZ141+BZ142-BY141-BY142)</f>
        <v>5.7310000000002219</v>
      </c>
      <c r="CA156" s="550">
        <f>IF(CA146-BV146&gt;0,+CA141+CA142-BV141-BV142+CA146-BV146,+CA141+CA142-BV141-BV142)</f>
        <v>35.803000000000111</v>
      </c>
      <c r="CB156" s="889">
        <f>IF(CB146-CA146&gt;0,+CB141+CB142-CA141-CA142+CB146-CA146,+CB141+CB142-CA141-CA142)</f>
        <v>6.2850000000000819</v>
      </c>
      <c r="CC156" s="550">
        <f>IF(CC146-CB146&gt;0,+CC141+CC142-CB141-CB142+CC146-CB146,+CC141+CC142-CB141-CB142)</f>
        <v>19.117999999999938</v>
      </c>
      <c r="CD156" s="550">
        <f>IF(CD146-CC146&gt;0,+CD141+CD142-CC141-CC142+CD146-CC146,+CD141+CD142-CC141-CC142)</f>
        <v>11.070000000000164</v>
      </c>
      <c r="CE156" s="890">
        <f>IF(CE146-CD146&gt;0,+CE141+CE142-CD141-CD142+CE146-CD146,+CE141+CE142-CD141-CD142)</f>
        <v>20.541999999999916</v>
      </c>
      <c r="CF156" s="550">
        <f>IF(CF146-CA146&gt;0,+CF141+CF142-CA141-CA142+CF146-CA146,+CF141+CF142-CA141-CA142)</f>
        <v>56.009999999999991</v>
      </c>
      <c r="CG156" s="889">
        <f>IF(CG146-CF146&gt;0,+CG141+CG142-CF141-CF142+CG146-CF146,+CG141+CG142-CF141-CF142)</f>
        <v>17.817999999999984</v>
      </c>
      <c r="CH156" s="550">
        <f>IF(CH146-CG146&gt;0,+CH141+CH142-CG141-CG142+CH146-CG146,+CH141+CH142-CG141-CG142)</f>
        <v>17.543999999999642</v>
      </c>
      <c r="CI156" s="550">
        <f>IF(CI146-CH146&gt;0,+CI141+CI142-CH141-CH142+CI146-CH146,+CI141+CI142-CH141-CH142)</f>
        <v>9.1020000000000891</v>
      </c>
      <c r="CJ156" s="890">
        <f>IF(CJ146-CI146&gt;0,+CJ141+CJ142-CI141-CI142+CJ146-CI146,+CJ141+CJ142-CI141-CI142)</f>
        <v>8.4340000000001965</v>
      </c>
      <c r="CK156" s="550">
        <f>IF(CK146-CF146&gt;0,+CK141+CK142-CF141-CF142+CK146-CF146,+CK141+CK142-CF141-CF142)</f>
        <v>46.893000000000029</v>
      </c>
      <c r="CL156" s="889">
        <f>IF(CL146-CK146&gt;0,+CL141+CL142-CK141-CK142+CL146-CK146,+CL141+CL142-CK141-CK142)</f>
        <v>20.059000000000196</v>
      </c>
      <c r="CM156" s="550">
        <f>IF(CM146-CL146&gt;0,+CM141+CM142-CL141-CL142+CM146-CL146,+CM141+CM142-CL141-CL142)</f>
        <v>2.2737367544323206E-13</v>
      </c>
      <c r="CN156" s="550">
        <f>IF(CN146-CM146&gt;0,+CN141+CN142-CM141-CM142+CN146-CM146,+CN141+CN142-CM141-CM142)</f>
        <v>2.2737367544323206E-13</v>
      </c>
      <c r="CO156" s="890">
        <f>IF(CO146-CN146&gt;0,+CO141+CO142-CN141-CN142+CO146-CN146,+CO141+CO142-CN141-CN142)</f>
        <v>2.2737367544323206E-13</v>
      </c>
      <c r="CP156" s="550">
        <f>IF(CP146-CK146&gt;0,+CP141+CP142-CK141-CK142+CP146-CK146,+CP141+CP142-CK141-CK142)</f>
        <v>20.059000000000196</v>
      </c>
      <c r="CQ156" s="889">
        <f>IF(CQ146-CP146&gt;0,+CQ141+CQ142-CP141-CP142+CQ146-CP146,+CQ141+CQ142-CP141-CP142)</f>
        <v>2.2737367544323206E-13</v>
      </c>
      <c r="CR156" s="550">
        <f>IF(CR146-CQ146&gt;0,+CR141+CR142-CQ141-CQ142+CR146-CQ146,+CR141+CR142-CQ141-CQ142)</f>
        <v>2.2737367544323206E-13</v>
      </c>
      <c r="CS156" s="550">
        <f>IF(CS146-CR146&gt;0,+CS141+CS142-CR141-CR142+CS146-CR146,+CS141+CS142-CR141-CR142)</f>
        <v>2.2737367544323206E-13</v>
      </c>
      <c r="CT156" s="890">
        <f>IF(CT146-CS146&gt;0,+CT141+CT142-CS141-CS142+CT146-CS146,+CT141+CT142-CS141-CS142)</f>
        <v>2.2737367544323206E-13</v>
      </c>
      <c r="CU156" s="550">
        <f>IF(CU146-CP146&gt;0,+CU141+CU142-CP141-CP142+CU146-CP146,+CU141+CU142-CP141-CP142)</f>
        <v>2.2737367544323206E-13</v>
      </c>
      <c r="CV156" s="889">
        <f>IF(CV146-CU146&gt;0,+CV141+CV142-CU141-CU142+CV146-CU146,+CV141+CV142-CU141-CU142)</f>
        <v>2.2737367544323206E-13</v>
      </c>
      <c r="CW156" s="550">
        <f>IF(CW146-CV146&gt;0,+CW141+CW142-CV141-CV142+CW146-CV146,+CW141+CW142-CV141-CV142)</f>
        <v>2.2737367544323206E-13</v>
      </c>
      <c r="CX156" s="550">
        <f>IF(CX146-CW146&gt;0,+CX141+CX142-CW141-CW142+CX146-CW146,+CX141+CX142-CW141-CW142)</f>
        <v>2.2737367544323206E-13</v>
      </c>
      <c r="CY156" s="890">
        <f>IF(CY146-CX146&gt;0,+CY141+CY142-CX141-CX142+CY146-CX146,+CY141+CY142-CX141-CX142)</f>
        <v>2.2737367544323206E-13</v>
      </c>
      <c r="CZ156" s="550">
        <f>IF(CZ146-CU146&gt;0,+CZ141+CZ142-CU141-CU142+CZ146-CU146,+CZ141+CZ142-CU141-CU142)</f>
        <v>2.2737367544323206E-13</v>
      </c>
    </row>
    <row r="157" spans="1:104" ht="13.5" customHeight="1">
      <c r="A157" s="411"/>
      <c r="B157" s="404" t="s">
        <v>301</v>
      </c>
      <c r="C157" s="362"/>
      <c r="D157" s="362"/>
      <c r="E157" s="88"/>
      <c r="F157" s="88"/>
      <c r="G157" s="88"/>
      <c r="H157" s="88"/>
      <c r="I157" s="88"/>
      <c r="J157" s="91">
        <f t="shared" ref="J157:R157" si="182">J224</f>
        <v>-14.826055999999999</v>
      </c>
      <c r="K157" s="91">
        <f t="shared" si="182"/>
        <v>-14.85224</v>
      </c>
      <c r="L157" s="91">
        <f t="shared" si="182"/>
        <v>-14.850339999999997</v>
      </c>
      <c r="M157" s="91">
        <f t="shared" si="182"/>
        <v>-14.854221000000004</v>
      </c>
      <c r="N157" s="91">
        <f t="shared" si="182"/>
        <v>-59.382857000000001</v>
      </c>
      <c r="O157" s="91">
        <f t="shared" si="182"/>
        <v>-15.636915</v>
      </c>
      <c r="P157" s="91">
        <f t="shared" si="182"/>
        <v>-15.641132000000001</v>
      </c>
      <c r="Q157" s="91">
        <f t="shared" si="182"/>
        <v>-15.657865000000003</v>
      </c>
      <c r="R157" s="91">
        <f t="shared" si="182"/>
        <v>-15.718034999999999</v>
      </c>
      <c r="S157" s="91">
        <v>0</v>
      </c>
      <c r="T157" s="91">
        <f t="shared" ref="T157:AA157" si="183">T224</f>
        <v>-16.573</v>
      </c>
      <c r="U157" s="91">
        <f t="shared" si="183"/>
        <v>-16.647999999999996</v>
      </c>
      <c r="V157" s="91">
        <f t="shared" si="183"/>
        <v>-20.680000000000007</v>
      </c>
      <c r="W157" s="91">
        <f t="shared" si="183"/>
        <v>-20.737000000000002</v>
      </c>
      <c r="X157" s="91">
        <f t="shared" si="183"/>
        <v>-74.638000000000005</v>
      </c>
      <c r="Y157" s="91">
        <f t="shared" si="183"/>
        <v>-64.08</v>
      </c>
      <c r="Z157" s="91">
        <f t="shared" si="183"/>
        <v>-62.522000000000006</v>
      </c>
      <c r="AA157" s="91">
        <f t="shared" si="183"/>
        <v>-62.272999999999996</v>
      </c>
      <c r="AB157" s="92">
        <f>AC157-SUM(Y157:AA157)</f>
        <v>-100.85300000000001</v>
      </c>
      <c r="AC157" s="91">
        <v>-289.72800000000001</v>
      </c>
      <c r="AD157" s="91">
        <f>AD143-AC143-AD158</f>
        <v>-109.10499999999945</v>
      </c>
      <c r="AE157" s="91">
        <f>AE143-AD143-AE158</f>
        <v>-185.68500000000006</v>
      </c>
      <c r="AF157" s="91">
        <f>AF143-AE143-AF158</f>
        <v>-181.9650000000006</v>
      </c>
      <c r="AG157" s="91">
        <f>AG143-AF143-AG158</f>
        <v>-181.33199999999965</v>
      </c>
      <c r="AH157" s="91">
        <f>AH143-AC143-AH158</f>
        <v>-658.08699999999976</v>
      </c>
      <c r="AI157" s="178">
        <f>AI143-AH143-AI158</f>
        <v>-122.11900000000014</v>
      </c>
      <c r="AJ157" s="178">
        <f>AJ143-AI143-AJ158</f>
        <v>-183.73400000000004</v>
      </c>
      <c r="AK157" s="178">
        <f>AK143-AJ143-AK158</f>
        <v>-176.57899999999921</v>
      </c>
      <c r="AL157" s="178">
        <f>AL143-AK143-AL158</f>
        <v>-176.57400000000007</v>
      </c>
      <c r="AM157" s="91">
        <f>AM143-AH143-AM158</f>
        <v>-659.0059999999994</v>
      </c>
      <c r="AN157" s="178">
        <f>AN143-AM143-AN158</f>
        <v>-150.82000000000005</v>
      </c>
      <c r="AO157" s="178">
        <f>AO143-AN143-AO158</f>
        <v>-1.2000000000170985E-2</v>
      </c>
      <c r="AP157" s="178">
        <f>AP143-AO143-AP158</f>
        <v>-330.54700000000059</v>
      </c>
      <c r="AQ157" s="178">
        <f>AQ143-AP143-AQ158</f>
        <v>-110.62799999999984</v>
      </c>
      <c r="AR157" s="91">
        <f>AR143-AM143-AR158</f>
        <v>-592.00700000000006</v>
      </c>
      <c r="AS157" s="921">
        <f>AS143-AQ143-AS158</f>
        <v>-110.62400000000025</v>
      </c>
      <c r="AT157" s="587">
        <f>AT143-AS143-AT158</f>
        <v>-110.96899999999957</v>
      </c>
      <c r="AU157" s="587">
        <f>AU143-AT143-AU158</f>
        <v>-111.02799999999979</v>
      </c>
      <c r="AV157" s="922">
        <f>AV143-AU143-AV158</f>
        <v>-114.17700000000045</v>
      </c>
      <c r="AW157" s="587">
        <f>AW143-AR143-AW158</f>
        <v>-446.79800000000006</v>
      </c>
      <c r="AX157" s="921">
        <f>AX143-AV143-AX158</f>
        <v>-114.27499999999969</v>
      </c>
      <c r="AY157" s="587">
        <f>AY143-AX143-AY158</f>
        <v>-114.37099999999992</v>
      </c>
      <c r="AZ157" s="587">
        <f>AZ143-AY143-AZ158</f>
        <v>-114.44300000000032</v>
      </c>
      <c r="BA157" s="922">
        <f>BA143-AZ143-BA158</f>
        <v>-115.23299999999965</v>
      </c>
      <c r="BB157" s="587">
        <f>BB143-AW143-BB158</f>
        <v>-458.32199999999966</v>
      </c>
      <c r="BC157" s="921">
        <f>BC143-BA143-BC158</f>
        <v>-115.32699999999988</v>
      </c>
      <c r="BD157" s="587">
        <f>BD143-BC143-BD158</f>
        <v>-115.4450000000005</v>
      </c>
      <c r="BE157" s="587">
        <f>BE143-BD143-BE158</f>
        <v>-115.51199999999969</v>
      </c>
      <c r="BF157" s="1179">
        <f>BF143-BE143-BF158</f>
        <v>-116.32600000000042</v>
      </c>
      <c r="BG157" s="588">
        <f>BG143-BB143-BG158</f>
        <v>-462.61000000000058</v>
      </c>
      <c r="BH157" s="921">
        <f>BH143-BF143-BH158</f>
        <v>-116.44199999999978</v>
      </c>
      <c r="BI157" s="587">
        <f>BI143-BH143-BI158</f>
        <v>-116.7740000000004</v>
      </c>
      <c r="BJ157" s="587">
        <f>BJ143-BI143-BJ158</f>
        <v>-116.82499999999987</v>
      </c>
      <c r="BK157" s="1179">
        <f>BK143-BJ143-BK158</f>
        <v>-141.62099999999973</v>
      </c>
      <c r="BL157" s="588">
        <f>BL143-BG143-BL158</f>
        <v>-491.66199999999992</v>
      </c>
      <c r="BM157" s="921">
        <f>BM143-BK143-BM158</f>
        <v>-117.66699999999975</v>
      </c>
      <c r="BN157" s="587">
        <f>BN143-BM143-BN158</f>
        <v>-117.87900000000037</v>
      </c>
      <c r="BO157" s="587">
        <f>BO143-BN143-BO158</f>
        <v>-117.87799999999993</v>
      </c>
      <c r="BP157" s="922">
        <f>BP143-BO143-BP158</f>
        <v>-118.68400000000057</v>
      </c>
      <c r="BQ157" s="587">
        <f>BQ143-BL143-BQ158</f>
        <v>-472.10800000000035</v>
      </c>
      <c r="BR157" s="921">
        <f>BR143-BP143-BR158</f>
        <v>-118.69499999999977</v>
      </c>
      <c r="BS157" s="587">
        <f>BS143-BR143-BS158</f>
        <v>-118.86499999999964</v>
      </c>
      <c r="BT157" s="587">
        <f>BT143-BS143-BT158</f>
        <v>-118.89900000000029</v>
      </c>
      <c r="BU157" s="922">
        <f>BU143-BT143-BU158</f>
        <v>-119.71300000000005</v>
      </c>
      <c r="BV157" s="587">
        <f>BV143-BQ143-BV158</f>
        <v>-476.17199999999968</v>
      </c>
      <c r="BW157" s="921">
        <f>BW143-BU143-BW158</f>
        <v>-119.77000000000024</v>
      </c>
      <c r="BX157" s="587">
        <f>BX143-BW143-BX158</f>
        <v>-119.99299999999937</v>
      </c>
      <c r="BY157" s="587">
        <f>BY143-BX143-BY158</f>
        <v>-119.97700000000054</v>
      </c>
      <c r="BZ157" s="922">
        <f>BZ143-BY143-BZ158</f>
        <v>-120.161</v>
      </c>
      <c r="CA157" s="587">
        <f>CA143-BV143-CA158</f>
        <v>-479.90100000000029</v>
      </c>
      <c r="CB157" s="921">
        <f>CB143-CA143-CB158</f>
        <v>-120.15600000000006</v>
      </c>
      <c r="CC157" s="587">
        <f>CC143-CB143-CC158</f>
        <v>-120.38099999999949</v>
      </c>
      <c r="CD157" s="587">
        <f>CD143-CC143-CD158</f>
        <v>-120.41700000000031</v>
      </c>
      <c r="CE157" s="922">
        <v>0</v>
      </c>
      <c r="CF157" s="587">
        <f>CF143-CA143-CF158</f>
        <v>-359.25699999999938</v>
      </c>
      <c r="CG157" s="921">
        <f>CG143-CE143-CG158</f>
        <v>-121.41000000000037</v>
      </c>
      <c r="CH157" s="587">
        <f>CH143-CG143-CH158</f>
        <v>-121.60700000000026</v>
      </c>
      <c r="CI157" s="587">
        <f>CI143-CH143-CI158</f>
        <v>-121.02900000000051</v>
      </c>
      <c r="CJ157" s="922">
        <f>CJ143-CI143-CJ158</f>
        <v>-135.49899999999832</v>
      </c>
      <c r="CK157" s="587">
        <f>CK143-CF143-CK158</f>
        <v>-499.54499999999939</v>
      </c>
      <c r="CL157" s="921">
        <f>CL143-CJ143-CL158</f>
        <v>-121.88100000000111</v>
      </c>
      <c r="CM157" s="587">
        <f>CM143-CL143-CM158</f>
        <v>-120.01354443499929</v>
      </c>
      <c r="CN157" s="587">
        <f>CN143-CM143-CN158</f>
        <v>-120.01354443499986</v>
      </c>
      <c r="CO157" s="922">
        <f>CO143-CN143-CO158</f>
        <v>-120.01354443499974</v>
      </c>
      <c r="CP157" s="587">
        <f>CP143-CK143-CP158</f>
        <v>-481.92163330500011</v>
      </c>
      <c r="CQ157" s="921">
        <f>CQ143-CO143-CQ158</f>
        <v>-120.01354443500065</v>
      </c>
      <c r="CR157" s="587">
        <f>CR143-CQ143-CR158</f>
        <v>-120.01354443500054</v>
      </c>
      <c r="CS157" s="587">
        <f>CS143-CR143-CS158</f>
        <v>-120.01354443499952</v>
      </c>
      <c r="CT157" s="922">
        <f>CT143-CS143-CT158</f>
        <v>-120.01354443500071</v>
      </c>
      <c r="CU157" s="587">
        <f>CU143-CP143-CU158</f>
        <v>-480.05417774000102</v>
      </c>
      <c r="CV157" s="921">
        <f>CV143-CT143-CV158</f>
        <v>-120.0135444350002</v>
      </c>
      <c r="CW157" s="587">
        <f>CW143-CV143-CW158</f>
        <v>-120.01354443499974</v>
      </c>
      <c r="CX157" s="587">
        <f>CX143-CW143-CX158</f>
        <v>-120.01354443500054</v>
      </c>
      <c r="CY157" s="922">
        <f>CY143-CX143-CY158</f>
        <v>-120.01354443499974</v>
      </c>
      <c r="CZ157" s="587">
        <f>CZ143-CU143-CZ158</f>
        <v>-480.05417774000011</v>
      </c>
    </row>
    <row r="158" spans="1:104" ht="13.5" customHeight="1">
      <c r="A158" s="411"/>
      <c r="B158" s="404" t="s">
        <v>102</v>
      </c>
      <c r="C158" s="362"/>
      <c r="D158" s="362"/>
      <c r="E158" s="85"/>
      <c r="F158" s="85"/>
      <c r="G158" s="85"/>
      <c r="H158" s="85"/>
      <c r="I158" s="85"/>
      <c r="J158" s="92">
        <f>+J57</f>
        <v>20.262295000000012</v>
      </c>
      <c r="K158" s="92">
        <f>K90</f>
        <v>59.748301999999995</v>
      </c>
      <c r="L158" s="92">
        <f>L90</f>
        <v>39.178799999999995</v>
      </c>
      <c r="M158" s="92">
        <f>M90</f>
        <v>42.890618000000018</v>
      </c>
      <c r="N158" s="92">
        <f>+N90</f>
        <v>162.08001499999995</v>
      </c>
      <c r="O158" s="92">
        <f>O90</f>
        <v>17.781759000000008</v>
      </c>
      <c r="P158" s="92">
        <f>P90</f>
        <v>8.4250899999999973</v>
      </c>
      <c r="Q158" s="92">
        <f>Q90</f>
        <v>16.021778999999942</v>
      </c>
      <c r="R158" s="92">
        <f>R90</f>
        <v>20.552595000000004</v>
      </c>
      <c r="S158" s="92">
        <f>+S90</f>
        <v>62.781222999999954</v>
      </c>
      <c r="T158" s="92">
        <f>T90</f>
        <v>113.23800000000003</v>
      </c>
      <c r="U158" s="92">
        <f>U90</f>
        <v>251.44200000000004</v>
      </c>
      <c r="V158" s="92">
        <f>V90</f>
        <v>415.38699999999994</v>
      </c>
      <c r="W158" s="92">
        <f>W90</f>
        <v>341.41800000000001</v>
      </c>
      <c r="X158" s="92">
        <f>+X90</f>
        <v>1121.4849999999997</v>
      </c>
      <c r="Y158" s="92">
        <f>Y90</f>
        <v>354.66599999999994</v>
      </c>
      <c r="Z158" s="92">
        <f>Z90</f>
        <v>322.70699999999999</v>
      </c>
      <c r="AA158" s="92">
        <f>AA90</f>
        <v>291.87700000000007</v>
      </c>
      <c r="AB158" s="91">
        <f>AC158-SUM(Y158:AA158)</f>
        <v>341.03400000000011</v>
      </c>
      <c r="AC158" s="92">
        <f>+AC90</f>
        <v>1310.2840000000001</v>
      </c>
      <c r="AD158" s="92">
        <f>AD90</f>
        <v>379.16099999999994</v>
      </c>
      <c r="AE158" s="92">
        <f>AE90</f>
        <v>452.78300000000002</v>
      </c>
      <c r="AF158" s="92">
        <f>AF90</f>
        <v>517.57799999999997</v>
      </c>
      <c r="AG158" s="92">
        <f>AG90</f>
        <v>408.15899999999988</v>
      </c>
      <c r="AH158" s="92">
        <f>+AH90</f>
        <v>1757.6809999999998</v>
      </c>
      <c r="AI158" s="92">
        <f>AI90</f>
        <v>381.029</v>
      </c>
      <c r="AJ158" s="92">
        <f>AJ90</f>
        <v>344.85</v>
      </c>
      <c r="AK158" s="92">
        <f>AK90</f>
        <v>381.22199999999924</v>
      </c>
      <c r="AL158" s="92">
        <f>AL90</f>
        <v>364.846</v>
      </c>
      <c r="AM158" s="92">
        <f>+AM90</f>
        <v>1471.9469999999992</v>
      </c>
      <c r="AN158" s="92">
        <f>AN90</f>
        <v>409.75400000000025</v>
      </c>
      <c r="AO158" s="92">
        <f>AO90</f>
        <v>580.75400000000036</v>
      </c>
      <c r="AP158" s="92">
        <f>AP90</f>
        <v>734.59000000000026</v>
      </c>
      <c r="AQ158" s="92">
        <f>AQ90</f>
        <v>105.89199999999997</v>
      </c>
      <c r="AR158" s="92">
        <f>+AR90</f>
        <v>1830.9900000000002</v>
      </c>
      <c r="AS158" s="889">
        <f>AS90</f>
        <v>-189.64499999999998</v>
      </c>
      <c r="AT158" s="550">
        <f>AT90</f>
        <v>-133.33700000000002</v>
      </c>
      <c r="AU158" s="550">
        <f>AU90</f>
        <v>-29.538000000000004</v>
      </c>
      <c r="AV158" s="890">
        <f>AV90</f>
        <v>58.907000000000011</v>
      </c>
      <c r="AW158" s="550">
        <f>+AW90</f>
        <v>-293.613</v>
      </c>
      <c r="AX158" s="889">
        <f t="shared" ref="AX158:CC158" si="184">AX90</f>
        <v>30.964000000000002</v>
      </c>
      <c r="AY158" s="550">
        <f t="shared" si="184"/>
        <v>90.992000000000019</v>
      </c>
      <c r="AZ158" s="550">
        <f t="shared" si="184"/>
        <v>23.495000000000008</v>
      </c>
      <c r="BA158" s="890">
        <f t="shared" si="184"/>
        <v>-11.358999999999998</v>
      </c>
      <c r="BB158" s="550">
        <f t="shared" si="184"/>
        <v>134.09200000000013</v>
      </c>
      <c r="BC158" s="889">
        <f t="shared" si="184"/>
        <v>159.84100000000001</v>
      </c>
      <c r="BD158" s="550">
        <f t="shared" si="184"/>
        <v>299.77300000000002</v>
      </c>
      <c r="BE158" s="550">
        <f t="shared" si="184"/>
        <v>181.518</v>
      </c>
      <c r="BF158" s="970">
        <f t="shared" si="184"/>
        <v>137.05599999999998</v>
      </c>
      <c r="BG158" s="577">
        <f t="shared" si="184"/>
        <v>778.1880000000001</v>
      </c>
      <c r="BH158" s="889">
        <f t="shared" si="184"/>
        <v>145.10400000000004</v>
      </c>
      <c r="BI158" s="550">
        <f t="shared" si="184"/>
        <v>112.29900000000004</v>
      </c>
      <c r="BJ158" s="550">
        <f t="shared" si="184"/>
        <v>110.30800000000005</v>
      </c>
      <c r="BK158" s="970">
        <f t="shared" si="184"/>
        <v>136.90799999999999</v>
      </c>
      <c r="BL158" s="577">
        <f t="shared" si="184"/>
        <v>504.61900000000026</v>
      </c>
      <c r="BM158" s="889">
        <f t="shared" si="184"/>
        <v>84.789000000000044</v>
      </c>
      <c r="BN158" s="550">
        <f t="shared" si="184"/>
        <v>85.144999999999996</v>
      </c>
      <c r="BO158" s="550">
        <f t="shared" si="184"/>
        <v>147.59699999999998</v>
      </c>
      <c r="BP158" s="890">
        <f t="shared" si="184"/>
        <v>170.49400000000006</v>
      </c>
      <c r="BQ158" s="550">
        <f t="shared" si="184"/>
        <v>488.02499999999981</v>
      </c>
      <c r="BR158" s="889">
        <f t="shared" si="184"/>
        <v>111.03100000000001</v>
      </c>
      <c r="BS158" s="550">
        <f t="shared" si="184"/>
        <v>147.04100000000003</v>
      </c>
      <c r="BT158" s="550">
        <f t="shared" si="184"/>
        <v>245.44700000000006</v>
      </c>
      <c r="BU158" s="890">
        <f t="shared" si="184"/>
        <v>210.42699999999999</v>
      </c>
      <c r="BV158" s="550">
        <f t="shared" si="184"/>
        <v>713.94600000000003</v>
      </c>
      <c r="BW158" s="889">
        <f t="shared" si="184"/>
        <v>67.799999999999983</v>
      </c>
      <c r="BX158" s="550">
        <f t="shared" si="184"/>
        <v>124.755</v>
      </c>
      <c r="BY158" s="550">
        <f t="shared" si="184"/>
        <v>227.12599999999998</v>
      </c>
      <c r="BZ158" s="890">
        <f t="shared" si="184"/>
        <v>-62.021999999999991</v>
      </c>
      <c r="CA158" s="550">
        <f t="shared" si="184"/>
        <v>357.65900000000011</v>
      </c>
      <c r="CB158" s="889">
        <f t="shared" si="184"/>
        <v>70.754000000000019</v>
      </c>
      <c r="CC158" s="550">
        <f t="shared" si="184"/>
        <v>233.77200000000002</v>
      </c>
      <c r="CD158" s="550">
        <f t="shared" ref="CD158:CZ158" si="185">CD90</f>
        <v>270.036</v>
      </c>
      <c r="CE158" s="890">
        <f t="shared" si="185"/>
        <v>159.63899999999998</v>
      </c>
      <c r="CF158" s="550">
        <f t="shared" si="185"/>
        <v>734.20099999999979</v>
      </c>
      <c r="CG158" s="889">
        <f t="shared" si="185"/>
        <v>356.89899999999994</v>
      </c>
      <c r="CH158" s="550">
        <f t="shared" si="185"/>
        <v>323.04800000000006</v>
      </c>
      <c r="CI158" s="550">
        <f t="shared" si="185"/>
        <v>268.50000000000006</v>
      </c>
      <c r="CJ158" s="890">
        <f t="shared" si="185"/>
        <v>383.89099999999996</v>
      </c>
      <c r="CK158" s="550">
        <f t="shared" si="185"/>
        <v>1332.338</v>
      </c>
      <c r="CL158" s="889">
        <f t="shared" si="185"/>
        <v>354.17899999999997</v>
      </c>
      <c r="CM158" s="550">
        <f t="shared" si="185"/>
        <v>541.6473269205884</v>
      </c>
      <c r="CN158" s="550">
        <f t="shared" si="185"/>
        <v>557.18235656040088</v>
      </c>
      <c r="CO158" s="890">
        <f t="shared" si="185"/>
        <v>510.2745017446249</v>
      </c>
      <c r="CP158" s="550">
        <f t="shared" si="185"/>
        <v>1963.2831852256143</v>
      </c>
      <c r="CQ158" s="889">
        <f t="shared" si="185"/>
        <v>558.58904134811098</v>
      </c>
      <c r="CR158" s="550">
        <f t="shared" si="185"/>
        <v>523.98964781664904</v>
      </c>
      <c r="CS158" s="550">
        <f t="shared" si="185"/>
        <v>466.08083443716134</v>
      </c>
      <c r="CT158" s="890">
        <f t="shared" si="185"/>
        <v>377.46848539734759</v>
      </c>
      <c r="CU158" s="550">
        <f t="shared" si="185"/>
        <v>1926.1280089992686</v>
      </c>
      <c r="CV158" s="889">
        <f t="shared" si="185"/>
        <v>461.02852930752704</v>
      </c>
      <c r="CW158" s="550">
        <f t="shared" si="185"/>
        <v>479.52814263047719</v>
      </c>
      <c r="CX158" s="550">
        <f t="shared" si="185"/>
        <v>443.85112256288517</v>
      </c>
      <c r="CY158" s="890">
        <f t="shared" si="185"/>
        <v>450.06916348920811</v>
      </c>
      <c r="CZ158" s="550">
        <f t="shared" si="185"/>
        <v>1834.4769579900974</v>
      </c>
    </row>
    <row r="159" spans="1:104" ht="13.5" customHeight="1">
      <c r="A159" s="411"/>
      <c r="B159" s="404" t="s">
        <v>302</v>
      </c>
      <c r="C159" s="362"/>
      <c r="D159" s="362"/>
      <c r="E159" s="85"/>
      <c r="F159" s="85"/>
      <c r="G159" s="85"/>
      <c r="H159" s="85"/>
      <c r="I159" s="85"/>
      <c r="J159" s="92"/>
      <c r="K159" s="92">
        <f>+K144+K145-J144-J145</f>
        <v>0</v>
      </c>
      <c r="L159" s="92">
        <f>+L144+L145-K144-K145</f>
        <v>0</v>
      </c>
      <c r="M159" s="92">
        <f>+M144+M145-L144-L145</f>
        <v>0</v>
      </c>
      <c r="N159" s="92">
        <f>N162-N158-N157-N156-N155</f>
        <v>-79.323747999999341</v>
      </c>
      <c r="O159" s="92">
        <f>+O144+O145-N144-N145</f>
        <v>0</v>
      </c>
      <c r="P159" s="92">
        <f>+P144+P145-O144-O145</f>
        <v>0</v>
      </c>
      <c r="Q159" s="92">
        <f>+Q144+Q145-P144-P145</f>
        <v>0</v>
      </c>
      <c r="R159" s="92">
        <f>+R144+R145-Q144-Q145</f>
        <v>0</v>
      </c>
      <c r="S159" s="92">
        <f>+S144+S145-N144-N145+S143-S157-S158-N143</f>
        <v>-62.653947000000244</v>
      </c>
      <c r="T159" s="92">
        <f>+T144+T145-S144-S145</f>
        <v>-0.49199999999999999</v>
      </c>
      <c r="U159" s="92">
        <f>+U144+U145-T144-T145</f>
        <v>0</v>
      </c>
      <c r="V159" s="92">
        <f>+V144+V145-U144-U145</f>
        <v>9.9999999999999978E-2</v>
      </c>
      <c r="W159" s="92">
        <f>+W144+W145-V144-V145</f>
        <v>-1.177</v>
      </c>
      <c r="X159" s="92">
        <f>+X144+X145-S144-S145+X143-X157-X158-S143</f>
        <v>-1.5694279999997889</v>
      </c>
      <c r="Y159" s="92">
        <f>+Y144+Y145-X144-X145</f>
        <v>13.781999999999998</v>
      </c>
      <c r="Z159" s="92">
        <f>+Z144+Z145-Y144-Y145</f>
        <v>4.0999999999999979</v>
      </c>
      <c r="AA159" s="92">
        <f>+AA144+AA145-Z144-Z145</f>
        <v>50.899999999999991</v>
      </c>
      <c r="AB159" s="92">
        <f>+AB144+AB145-AA144-AA145</f>
        <v>-23.899999999999991</v>
      </c>
      <c r="AC159" s="92">
        <f>+AC144+AC145-X144-X145+AC143-AC157-AC158-X143</f>
        <v>44.881999999999607</v>
      </c>
      <c r="AD159" s="92">
        <f>+AD144+AD145-AC144-AC145</f>
        <v>-14.091000000000001</v>
      </c>
      <c r="AE159" s="92">
        <f>+AE144+AE145-AD144-AD145</f>
        <v>-10.852</v>
      </c>
      <c r="AF159" s="92">
        <f>+AF144+AF145-AE144-AE145</f>
        <v>-14.049000000000001</v>
      </c>
      <c r="AG159" s="92">
        <f>+AG144+AG145-AF144-AF145</f>
        <v>0.14900000000000002</v>
      </c>
      <c r="AH159" s="92">
        <f>+AH144+AH145-AC144-AC145+AH143-AH157-AH158-AC143</f>
        <v>-38.842999999999847</v>
      </c>
      <c r="AI159" s="92">
        <f>+AI144+AI145-AH144-AH145</f>
        <v>18.594000000000001</v>
      </c>
      <c r="AJ159" s="92">
        <f>+AJ144+AJ145-AI144-AI145</f>
        <v>23.816000000000003</v>
      </c>
      <c r="AK159" s="92">
        <f>+AK144+AK145-AJ144-AJ145</f>
        <v>92.718999999999994</v>
      </c>
      <c r="AL159" s="92">
        <f>+AL144+AL145-AK144-AK145</f>
        <v>23.763000000000005</v>
      </c>
      <c r="AM159" s="92">
        <f>+AM144+AM145-AH144-AH145+AM143-AM157-AM158-AH143</f>
        <v>158.89199999999983</v>
      </c>
      <c r="AN159" s="92">
        <f>+AN144+AN145-AM144-AM145</f>
        <v>23.134000000000015</v>
      </c>
      <c r="AO159" s="92">
        <f>+AO144+AO145-AN144-AN145</f>
        <v>73.765000000000015</v>
      </c>
      <c r="AP159" s="92">
        <f>+AP144+AP145-AO144-AO145</f>
        <v>-196.98200000000003</v>
      </c>
      <c r="AQ159" s="92">
        <f>+AQ144+AQ145-AP144-AP145</f>
        <v>-253.541</v>
      </c>
      <c r="AR159" s="92">
        <f>+AR144+AR145-AM144-AM145+AR143-AR157-AR158-AM143</f>
        <v>-353.62399999999889</v>
      </c>
      <c r="AS159" s="889">
        <f>+AS144+AS145-AR144-AR145</f>
        <v>-58.793000000000006</v>
      </c>
      <c r="AT159" s="550">
        <f>+AT144+AT145-AS144-AS145</f>
        <v>97.852000000000004</v>
      </c>
      <c r="AU159" s="550">
        <f>+AU144+AU145-AT144-AT145</f>
        <v>87.908000000000001</v>
      </c>
      <c r="AV159" s="890">
        <f>+AV144+AV145-AU144-AU145</f>
        <v>22.239000000000004</v>
      </c>
      <c r="AW159" s="550">
        <f>+AW144+AW145-AR144-AR145+AW143-AW157-AW158-AR143</f>
        <v>149.20600000000013</v>
      </c>
      <c r="AX159" s="889">
        <f>+AX144+AX145-AW144-AW145</f>
        <v>-17.552</v>
      </c>
      <c r="AY159" s="550">
        <f>+AY144+AY145-AX144-AX145</f>
        <v>-39.738000000000007</v>
      </c>
      <c r="AZ159" s="550">
        <f>+AZ144+AZ145-AY144-AY145</f>
        <v>60.99</v>
      </c>
      <c r="BA159" s="890">
        <f>+BA144+BA145-AZ144-AZ145</f>
        <v>9.5800000000000018</v>
      </c>
      <c r="BB159" s="550">
        <f>+BB144+BB145-AW144-AW145+BB143-BB157-BB158-AW143</f>
        <v>13.279999999999745</v>
      </c>
      <c r="BC159" s="889">
        <f>+BC144+BC145-BB144-BB145</f>
        <v>72.094999999999999</v>
      </c>
      <c r="BD159" s="550">
        <f>+BD144+BD145-BC144-BC145</f>
        <v>16.102999999999994</v>
      </c>
      <c r="BE159" s="550">
        <f>+BE144+BE145-BD144-BD145</f>
        <v>-82.021000000000001</v>
      </c>
      <c r="BF159" s="890">
        <f>+BF144+BF145-BE144-BE145</f>
        <v>-16.577999999999999</v>
      </c>
      <c r="BG159" s="550">
        <f>+BG144+BG145-BB144-BB145+BG143-BG157-BG158-BB143</f>
        <v>-10.40099999999984</v>
      </c>
      <c r="BH159" s="889">
        <f>+BH144+BH145-BG144-BG145</f>
        <v>62.670999999999999</v>
      </c>
      <c r="BI159" s="550">
        <f>+BI144+BI145-BH144-BH145</f>
        <v>-44.844999999999999</v>
      </c>
      <c r="BJ159" s="550">
        <f>+BJ144+BJ145-BI144-BI145</f>
        <v>71.664000000000001</v>
      </c>
      <c r="BK159" s="890">
        <f>+BK144+BK145-BJ144-BJ145</f>
        <v>5.4480000000000004</v>
      </c>
      <c r="BL159" s="550">
        <f>+BL144+BL145-BG144-BG145+BL143-BL157-BL158-BG143</f>
        <v>94.938000000000102</v>
      </c>
      <c r="BM159" s="889">
        <f>+BM144+BM145-BL144-BL145</f>
        <v>-50.513000000000005</v>
      </c>
      <c r="BN159" s="550">
        <f>+BN144+BN145-BM144-BM145</f>
        <v>-15.582000000000001</v>
      </c>
      <c r="BO159" s="550">
        <f>+BO144+BO145-BN144-BN145</f>
        <v>31.879000000000001</v>
      </c>
      <c r="BP159" s="890">
        <f>+BP144+BP145-BO144-BO145</f>
        <v>-13.465000000000002</v>
      </c>
      <c r="BQ159" s="550">
        <f>+BQ144+BQ145-BL144-BL145+BQ143-BQ157-BQ158-BL143</f>
        <v>-47.680999999999585</v>
      </c>
      <c r="BR159" s="889">
        <f>+BR144+BR145-BQ144-BQ145</f>
        <v>-44.876999999999995</v>
      </c>
      <c r="BS159" s="550">
        <f>+BS144+BS145-BR144-BR145</f>
        <v>31.844999999999999</v>
      </c>
      <c r="BT159" s="550">
        <f>+BT144+BT145-BS144-BS145</f>
        <v>-81.388999999999996</v>
      </c>
      <c r="BU159" s="890">
        <f>+BU144+BU145-BT144-BT145</f>
        <v>-60.367000000000004</v>
      </c>
      <c r="BV159" s="550">
        <f>+BV144+BV145-BQ144-BQ145+BV143-BV157-BV158-BQ143</f>
        <v>-154.78800000000047</v>
      </c>
      <c r="BW159" s="889">
        <f>+BW144+BW145-BV144-BV145</f>
        <v>-118.79499999999999</v>
      </c>
      <c r="BX159" s="550">
        <f>+BX144+BX145-BW144-BW145</f>
        <v>27.794999999999987</v>
      </c>
      <c r="BY159" s="550">
        <f>+BY144+BY145-BX144-BX145</f>
        <v>-65.203000000000003</v>
      </c>
      <c r="BZ159" s="890">
        <f>+BZ144+BZ145-BY144-BY145</f>
        <v>-49.451000000000022</v>
      </c>
      <c r="CA159" s="550">
        <f>+CA144+CA145-BV144-BV145+CA143-CA157-CA158-BV143</f>
        <v>-205.65400000000045</v>
      </c>
      <c r="CB159" s="889">
        <f>+CB144+CB145-CA144-CA145</f>
        <v>55.198000000000036</v>
      </c>
      <c r="CC159" s="550">
        <f>+CC144+CC145-CB144-CB145</f>
        <v>14.786000000000001</v>
      </c>
      <c r="CD159" s="550">
        <f>+CD144+CD145-CC144-CC145</f>
        <v>-7.2060000000000173</v>
      </c>
      <c r="CE159" s="890">
        <f>+CE144+CE145-CD144-CD145+1.697</f>
        <v>-27.562000000000015</v>
      </c>
      <c r="CF159" s="550">
        <f>+CF144+CF145-CA144-CA145+CF143-CF157-CF158-CA143</f>
        <v>33.519000000000233</v>
      </c>
      <c r="CG159" s="889">
        <f>+CG144+CG145-CF144-CF145</f>
        <v>0.85099999999999909</v>
      </c>
      <c r="CH159" s="550">
        <f>+CH144+CH145-CG144-CG145</f>
        <v>24.057000000000016</v>
      </c>
      <c r="CI159" s="550">
        <f>+CI144+CI145-CH144-CH145</f>
        <v>75.079000000000008</v>
      </c>
      <c r="CJ159" s="890">
        <f>+CJ144+CJ145-CI144-CI145</f>
        <v>-36.825000000000017</v>
      </c>
      <c r="CK159" s="550">
        <f>+CK144+CK145-CF144-CF145+CK143-CK157-CK158-CF143</f>
        <v>63.162000000001171</v>
      </c>
      <c r="CL159" s="889">
        <f>+CL144+CL145-CK144-CK145</f>
        <v>5.3149999999999977</v>
      </c>
      <c r="CM159" s="550">
        <f>+CM144+CM145-CL144-CL145</f>
        <v>0</v>
      </c>
      <c r="CN159" s="550">
        <f>+CN144+CN145-CM144-CM145</f>
        <v>0</v>
      </c>
      <c r="CO159" s="890">
        <f>+CO144+CO145-CN144-CN145</f>
        <v>0</v>
      </c>
      <c r="CP159" s="550">
        <f>+CP144+CP145-CK144-CK145+CP143-CP157-CP158-CK143</f>
        <v>5.3150000000005093</v>
      </c>
      <c r="CQ159" s="889">
        <f>+CQ144+CQ145-CP144-CP145</f>
        <v>0</v>
      </c>
      <c r="CR159" s="550">
        <f>+CR144+CR145-CQ144-CQ145</f>
        <v>0</v>
      </c>
      <c r="CS159" s="550">
        <f>+CS144+CS145-CR144-CR145</f>
        <v>0</v>
      </c>
      <c r="CT159" s="890">
        <f>+CT144+CT145-CS144-CS145</f>
        <v>0</v>
      </c>
      <c r="CU159" s="550">
        <f>+CU144+CU145-CP144-CP145+CU143-CU157-CU158-CP143</f>
        <v>0</v>
      </c>
      <c r="CV159" s="889">
        <f>+CV144+CV145-CU144-CU145</f>
        <v>0</v>
      </c>
      <c r="CW159" s="550">
        <f>+CW144+CW145-CV144-CV145</f>
        <v>0</v>
      </c>
      <c r="CX159" s="550">
        <f>+CX144+CX145-CW144-CW145</f>
        <v>0</v>
      </c>
      <c r="CY159" s="890">
        <f>+CY144+CY145-CX144-CX145</f>
        <v>0</v>
      </c>
      <c r="CZ159" s="550">
        <f>+CZ144+CZ145-CU144-CU145+CZ143-CZ157-CZ158-CU143</f>
        <v>0</v>
      </c>
    </row>
    <row r="160" spans="1:104" ht="13.5" customHeight="1">
      <c r="A160" s="411"/>
      <c r="B160" s="404" t="s">
        <v>303</v>
      </c>
      <c r="C160" s="362"/>
      <c r="D160" s="362"/>
      <c r="E160" s="85"/>
      <c r="F160" s="85"/>
      <c r="G160" s="85"/>
      <c r="H160" s="85"/>
      <c r="I160" s="85"/>
      <c r="J160" s="92"/>
      <c r="K160" s="92">
        <f>IF(+K146-J146&gt;0,0,K146-J146)</f>
        <v>0</v>
      </c>
      <c r="L160" s="92">
        <f>IF(+L146-K146&gt;0,0,L146-K146)</f>
        <v>0</v>
      </c>
      <c r="M160" s="92">
        <f>IF(+M146-L146&gt;0,0,M146-L146)</f>
        <v>0</v>
      </c>
      <c r="N160" s="92"/>
      <c r="O160" s="92">
        <f>IF(+O146-N146&gt;0,0,O146-N146)</f>
        <v>0</v>
      </c>
      <c r="P160" s="92">
        <f>IF(+P146-O146&gt;0,0,P146-O146)</f>
        <v>0</v>
      </c>
      <c r="Q160" s="92">
        <f>IF(+Q146-P146&gt;0,0,Q146-P146)</f>
        <v>0</v>
      </c>
      <c r="R160" s="92">
        <f>IF(+R146-Q146&gt;0,0,R146-Q146)</f>
        <v>0</v>
      </c>
      <c r="S160" s="92">
        <f>+S146-N146</f>
        <v>0.80224499999997079</v>
      </c>
      <c r="T160" s="92">
        <f>IF(+T146-S146&gt;0,0,T146-S146)</f>
        <v>0</v>
      </c>
      <c r="U160" s="92">
        <f>IF(+U146-T146&gt;0,0,U146-T146)</f>
        <v>0</v>
      </c>
      <c r="V160" s="92">
        <f>IF(+V146-U146&gt;0,0,V146-U146)</f>
        <v>0</v>
      </c>
      <c r="W160" s="92">
        <f>IF(+W146-V146&gt;0,0,W146-V146)</f>
        <v>0</v>
      </c>
      <c r="X160" s="92">
        <f>+X146-S146</f>
        <v>1.4966770000000338</v>
      </c>
      <c r="Y160" s="92">
        <f>IF(+Y146-X146&gt;0,0,Y146-X146)</f>
        <v>0</v>
      </c>
      <c r="Z160" s="92">
        <f>IF(+Z146-Y146&gt;0,0,Z146-Y146)</f>
        <v>-205.74400000000003</v>
      </c>
      <c r="AA160" s="92">
        <f>IF(+AA146-Z146&gt;0,0,AA146-Z146)</f>
        <v>-39.192999999999984</v>
      </c>
      <c r="AB160" s="92">
        <f>IF(+AB146-AA146&gt;0,0,AB146-AA146)</f>
        <v>-45.986999999999966</v>
      </c>
      <c r="AC160" s="92">
        <f>+AC146-X146</f>
        <v>-286.64600000000002</v>
      </c>
      <c r="AD160" s="92">
        <f>IF(+AD146-AC146&gt;0,0,AD146-AC146)</f>
        <v>-4.2709999999999582</v>
      </c>
      <c r="AE160" s="92">
        <f>IF(+AE146-AD146&gt;0,0,AE146-AD146)</f>
        <v>-186.30900000000008</v>
      </c>
      <c r="AF160" s="92">
        <f>IF(+AF146-AE146&gt;0,0,AF146-AE146)</f>
        <v>-318.14199999999994</v>
      </c>
      <c r="AG160" s="92">
        <f>IF(+AG146-AF146&gt;0,0,AG146-AF146)</f>
        <v>-84.406999999999925</v>
      </c>
      <c r="AH160" s="92">
        <f>+AH146-AC146</f>
        <v>-593.12899999999991</v>
      </c>
      <c r="AI160" s="92">
        <f>IF(+AI146-AH146&gt;0,0,AI146-AH146)</f>
        <v>0</v>
      </c>
      <c r="AJ160" s="92">
        <f>IF(+AJ146-AI146&gt;0,0,AJ146-AI146)</f>
        <v>-154.06899999999996</v>
      </c>
      <c r="AK160" s="92">
        <f>IF(+AK146-AJ146&gt;0,0,AK146-AJ146)</f>
        <v>-599.47900000000004</v>
      </c>
      <c r="AL160" s="92">
        <f>IF(+AL146-AK146&gt;0,0,AL146-AK146)</f>
        <v>0</v>
      </c>
      <c r="AM160" s="92">
        <f>+AM146-AH146</f>
        <v>-746.06400000000008</v>
      </c>
      <c r="AN160" s="92">
        <f>IF(+AN146-AM146&gt;0,0,AN146-AM146)</f>
        <v>0</v>
      </c>
      <c r="AO160" s="92">
        <f>IF(+AO146-AN146&gt;0,0,AO146-AN146)</f>
        <v>0</v>
      </c>
      <c r="AP160" s="92">
        <f>IF(+AP146-AO146&gt;0,0,AP146-AO146)</f>
        <v>-123.71199999999999</v>
      </c>
      <c r="AQ160" s="92">
        <f>IF(+AQ146-AP146&gt;0,0,AQ146-AP146)</f>
        <v>0</v>
      </c>
      <c r="AR160" s="550">
        <f>IF(+AR146-AM146&gt;0,0,AR146-AP146)</f>
        <v>0</v>
      </c>
      <c r="AS160" s="889">
        <f>IF(+AS146-AR146&gt;0,0,AS146-AR146)</f>
        <v>0</v>
      </c>
      <c r="AT160" s="550">
        <f>IF(+AT146-AS146&gt;0,0,AT146-AS146)</f>
        <v>0</v>
      </c>
      <c r="AU160" s="550">
        <f>IF(+AU146-AT146&gt;0,0,AU146-AT146)</f>
        <v>0</v>
      </c>
      <c r="AV160" s="890">
        <f>IF(+AV146-AU146&gt;0,0,AV146-AU146)</f>
        <v>0</v>
      </c>
      <c r="AW160" s="550">
        <f>IF(+AW146-AR146&gt;0,0,AW146-AU146)</f>
        <v>0</v>
      </c>
      <c r="AX160" s="889">
        <f>IF(+AX146-AW146&gt;0,0,AX146-AW146)</f>
        <v>0</v>
      </c>
      <c r="AY160" s="550">
        <f>IF(+AY146-AX146&gt;0,0,AY146-AX146)</f>
        <v>0</v>
      </c>
      <c r="AZ160" s="550">
        <f>IF(+AZ146-AY146&gt;0,0,AZ146-AY146)</f>
        <v>0</v>
      </c>
      <c r="BA160" s="890">
        <f>IF(+BA146-AZ146&gt;0,0,BA146-AZ146)</f>
        <v>0</v>
      </c>
      <c r="BB160" s="550">
        <f>IF(+BB146-AW146&gt;0,0,BB146-AW146)</f>
        <v>0</v>
      </c>
      <c r="BC160" s="889">
        <f>IF(+BC146-BB146&gt;0,0,BC146-BB146)</f>
        <v>0</v>
      </c>
      <c r="BD160" s="550">
        <f>IF(+BD146-BC146&gt;0,0,BD146-BC146)</f>
        <v>0</v>
      </c>
      <c r="BE160" s="550">
        <f>IF(+BE146-BD146&gt;0,0,BE146-BD146)</f>
        <v>0</v>
      </c>
      <c r="BF160" s="970">
        <f>IF(+BF146-BE146&gt;0,0,BF146-BE146)</f>
        <v>0</v>
      </c>
      <c r="BG160" s="577">
        <f>IF(+BG146-BB146&gt;0,0,BG146-BB146)</f>
        <v>0</v>
      </c>
      <c r="BH160" s="889">
        <f>IF(+BH146-BG146&gt;0,0,BH146-BG146)</f>
        <v>0</v>
      </c>
      <c r="BI160" s="550">
        <f>IF(+BI146-BH146&gt;0,0,BI146-BH146)</f>
        <v>0</v>
      </c>
      <c r="BJ160" s="550">
        <f>IF(+BJ146-BI146&gt;0,0,BJ146-BI146)</f>
        <v>0</v>
      </c>
      <c r="BK160" s="970">
        <f>IF(+BK146-BJ146&gt;0,0,BK146-BJ146)</f>
        <v>0</v>
      </c>
      <c r="BL160" s="577">
        <f>IF(+BL146-BG146&gt;0,0,BL146-BG146)</f>
        <v>0</v>
      </c>
      <c r="BM160" s="889">
        <f>IF(+BM146-BL146&gt;0,0,BM146-BL146)</f>
        <v>0</v>
      </c>
      <c r="BN160" s="550">
        <f>IF(+BN146-BM146&gt;0,0,BN146-BM146)</f>
        <v>0</v>
      </c>
      <c r="BO160" s="550">
        <f>IF(+BO146-BN146&gt;0,0,BO146-BN146)</f>
        <v>0</v>
      </c>
      <c r="BP160" s="890">
        <f>IF(+BP146-BO146&gt;0,0,BP146-BO146)</f>
        <v>0</v>
      </c>
      <c r="BQ160" s="550">
        <f>IF(+BQ146-BL146&gt;0,0,BQ146-BL146)</f>
        <v>0</v>
      </c>
      <c r="BR160" s="889">
        <f>IF(+BR146-BQ146&gt;0,0,BR146-BQ146)</f>
        <v>0</v>
      </c>
      <c r="BS160" s="550">
        <f>IF(+BS146-BR146&gt;0,0,BS146-BR146)</f>
        <v>0</v>
      </c>
      <c r="BT160" s="550">
        <f>IF(+BT146-BS146&gt;0,0,BT146-BS146)</f>
        <v>0</v>
      </c>
      <c r="BU160" s="890">
        <f>IF(+BU146-BT146&gt;0,0,BU146-BT146)</f>
        <v>0</v>
      </c>
      <c r="BV160" s="550">
        <f>IF(+BV146-BQ146&gt;0,0,BV146-BQ146)</f>
        <v>0</v>
      </c>
      <c r="BW160" s="889">
        <f>IF(+BW146-BV146&gt;0,0,BW146-BV146)</f>
        <v>0</v>
      </c>
      <c r="BX160" s="550">
        <f>IF(+BX146-BW146&gt;0,0,BX146-BW146)</f>
        <v>0</v>
      </c>
      <c r="BY160" s="550">
        <f>IF(+BY146-BX146&gt;0,0,BY146-BX146)</f>
        <v>0</v>
      </c>
      <c r="BZ160" s="890">
        <f>IF(+BZ146-BY146&gt;0,0,BZ146-BY146)</f>
        <v>-66.30600000000004</v>
      </c>
      <c r="CA160" s="550">
        <f>IF(+CA146-BV146&gt;0,0,CA146-BV146)</f>
        <v>-63.499000000000024</v>
      </c>
      <c r="CB160" s="889">
        <f>IF(+CB146-CA146&gt;0,0,CB146-CA146)</f>
        <v>-2.4909999999999854</v>
      </c>
      <c r="CC160" s="550">
        <f>IF(+CC146-CB146&gt;0,0,CC146-CB146)</f>
        <v>0</v>
      </c>
      <c r="CD160" s="550">
        <f>IF(+CD146-CC146&gt;0,0,CD146-CC146)</f>
        <v>0</v>
      </c>
      <c r="CE160" s="890">
        <f>IF(+CE146-CD146&gt;0,0,CE146-CD146)</f>
        <v>0</v>
      </c>
      <c r="CF160" s="550">
        <f>IF(+CF146-CA146&gt;0,0,CF146-CA146)</f>
        <v>-1.4860000000001037</v>
      </c>
      <c r="CG160" s="889">
        <f>IF(+CG146-CF146&gt;0,0,CG146-CF146)</f>
        <v>0</v>
      </c>
      <c r="CH160" s="550">
        <f>IF(+CH146-CG146&gt;0,0,CH146-CG146)</f>
        <v>0</v>
      </c>
      <c r="CI160" s="550">
        <f>IF(+CI146-CH146&gt;0,0,CI146-CH146)</f>
        <v>-89.682000000000016</v>
      </c>
      <c r="CJ160" s="890">
        <f>IF(+CJ146-CI146&gt;0,0,CJ146-CI146)</f>
        <v>0</v>
      </c>
      <c r="CK160" s="550">
        <f>IF(+CK146-CF146&gt;0,0,CK146-CF146)</f>
        <v>-83.676999999999907</v>
      </c>
      <c r="CL160" s="889">
        <f>IF(+CL146-CK146&gt;0,0,CL146-CK146)</f>
        <v>-20.68100000000004</v>
      </c>
      <c r="CM160" s="550">
        <f>IF(+CM146-CL146&gt;0,0,CM146-CL146)</f>
        <v>0</v>
      </c>
      <c r="CN160" s="550">
        <f>IF(+CN146-CM146&gt;0,0,CN146-CM146)</f>
        <v>0</v>
      </c>
      <c r="CO160" s="890">
        <f>IF(+CO146-CN146&gt;0,0,CO146-CN146)</f>
        <v>0</v>
      </c>
      <c r="CP160" s="550">
        <f>IF(+CP146-CK146&gt;0,0,CP146-CK146)</f>
        <v>-20.68100000000004</v>
      </c>
      <c r="CQ160" s="889">
        <f>IF(+CQ146-CP146&gt;0,0,CQ146-CP146)</f>
        <v>0</v>
      </c>
      <c r="CR160" s="550">
        <f>IF(+CR146-CQ146&gt;0,0,CR146-CQ146)</f>
        <v>0</v>
      </c>
      <c r="CS160" s="550">
        <f>IF(+CS146-CR146&gt;0,0,CS146-CR146)</f>
        <v>0</v>
      </c>
      <c r="CT160" s="890">
        <f>IF(+CT146-CS146&gt;0,0,CT146-CS146)</f>
        <v>0</v>
      </c>
      <c r="CU160" s="550">
        <f>IF(+CU146-CP146&gt;0,0,CU146-CP146)</f>
        <v>0</v>
      </c>
      <c r="CV160" s="889">
        <f>IF(+CV146-CU146&gt;0,0,CV146-CU146)</f>
        <v>0</v>
      </c>
      <c r="CW160" s="550">
        <f>IF(+CW146-CV146&gt;0,0,CW146-CV146)</f>
        <v>0</v>
      </c>
      <c r="CX160" s="550">
        <f>IF(+CX146-CW146&gt;0,0,CX146-CW146)</f>
        <v>0</v>
      </c>
      <c r="CY160" s="890">
        <f>IF(+CY146-CX146&gt;0,0,CY146-CX146)</f>
        <v>0</v>
      </c>
      <c r="CZ160" s="550">
        <f>IF(+CZ146-CU146&gt;0,0,CZ146-CU146)</f>
        <v>0</v>
      </c>
    </row>
    <row r="161" spans="1:104" ht="6.2" customHeight="1">
      <c r="A161" s="411"/>
      <c r="B161" s="404"/>
      <c r="C161" s="362"/>
      <c r="D161" s="362"/>
      <c r="E161" s="88"/>
      <c r="F161" s="88"/>
      <c r="G161" s="88"/>
      <c r="H161" s="88"/>
      <c r="I161" s="88"/>
      <c r="J161" s="91"/>
      <c r="K161" s="91"/>
      <c r="L161" s="91"/>
      <c r="M161" s="91"/>
      <c r="N161" s="91"/>
      <c r="O161" s="91"/>
      <c r="P161" s="91"/>
      <c r="Q161" s="91"/>
      <c r="R161" s="91"/>
      <c r="S161" s="91"/>
      <c r="T161" s="91"/>
      <c r="U161" s="91"/>
      <c r="V161" s="91"/>
      <c r="W161" s="91"/>
      <c r="X161" s="91"/>
      <c r="Y161" s="91"/>
      <c r="Z161" s="91"/>
      <c r="AA161" s="91"/>
      <c r="AB161" s="91"/>
      <c r="AC161" s="91"/>
      <c r="AD161" s="91"/>
      <c r="AE161" s="91"/>
      <c r="AF161" s="91"/>
      <c r="AG161" s="91"/>
      <c r="AH161" s="91"/>
      <c r="AI161" s="178"/>
      <c r="AJ161" s="91"/>
      <c r="AK161" s="91"/>
      <c r="AL161" s="91"/>
      <c r="AM161" s="91"/>
      <c r="AN161" s="178"/>
      <c r="AO161" s="178"/>
      <c r="AP161" s="91"/>
      <c r="AQ161" s="91"/>
      <c r="AR161" s="91"/>
      <c r="AS161" s="1126"/>
      <c r="AT161" s="178"/>
      <c r="AU161" s="91"/>
      <c r="AV161" s="1127"/>
      <c r="AW161" s="91"/>
      <c r="AX161" s="1126"/>
      <c r="AY161" s="91"/>
      <c r="AZ161" s="91"/>
      <c r="BA161" s="1127"/>
      <c r="BB161" s="91"/>
      <c r="BC161" s="1126"/>
      <c r="BD161" s="91"/>
      <c r="BE161" s="91"/>
      <c r="BF161" s="1180"/>
      <c r="BG161" s="386"/>
      <c r="BH161" s="1126"/>
      <c r="BI161" s="91"/>
      <c r="BJ161" s="91"/>
      <c r="BK161" s="1180"/>
      <c r="BL161" s="386"/>
      <c r="BM161" s="1126"/>
      <c r="BN161" s="91"/>
      <c r="BO161" s="91"/>
      <c r="BP161" s="1127"/>
      <c r="BQ161" s="91"/>
      <c r="BR161" s="1126"/>
      <c r="BS161" s="91"/>
      <c r="BT161" s="91"/>
      <c r="BU161" s="1127"/>
      <c r="BV161" s="91"/>
      <c r="BW161" s="1126"/>
      <c r="BX161" s="91"/>
      <c r="BY161" s="91"/>
      <c r="BZ161" s="1127"/>
      <c r="CA161" s="91"/>
      <c r="CB161" s="1126"/>
      <c r="CC161" s="91"/>
      <c r="CD161" s="91"/>
      <c r="CE161" s="1127"/>
      <c r="CF161" s="91"/>
      <c r="CG161" s="1126"/>
      <c r="CH161" s="91"/>
      <c r="CI161" s="91"/>
      <c r="CJ161" s="1127"/>
      <c r="CK161" s="91"/>
      <c r="CL161" s="1126"/>
      <c r="CM161" s="91"/>
      <c r="CN161" s="91"/>
      <c r="CO161" s="1127"/>
      <c r="CP161" s="91"/>
      <c r="CQ161" s="1126"/>
      <c r="CR161" s="91"/>
      <c r="CS161" s="91"/>
      <c r="CT161" s="1127"/>
      <c r="CU161" s="91"/>
      <c r="CV161" s="1126"/>
      <c r="CW161" s="91"/>
      <c r="CX161" s="91"/>
      <c r="CY161" s="1127"/>
      <c r="CZ161" s="91"/>
    </row>
    <row r="162" spans="1:104" ht="13.5" customHeight="1">
      <c r="A162" s="411"/>
      <c r="B162" s="404" t="s">
        <v>311</v>
      </c>
      <c r="C162" s="362"/>
      <c r="D162" s="362"/>
      <c r="E162" s="85"/>
      <c r="F162" s="85"/>
      <c r="G162" s="85"/>
      <c r="H162" s="85"/>
      <c r="I162" s="85"/>
      <c r="J162" s="92">
        <f t="shared" ref="J162:AM162" si="186">+J149-J147</f>
        <v>2216.8627669999996</v>
      </c>
      <c r="K162" s="92">
        <f t="shared" si="186"/>
        <v>2268.3171980000002</v>
      </c>
      <c r="L162" s="92">
        <f t="shared" si="186"/>
        <v>2292.841171</v>
      </c>
      <c r="M162" s="92">
        <f t="shared" si="186"/>
        <v>2322.989489</v>
      </c>
      <c r="N162" s="92">
        <f t="shared" si="186"/>
        <v>2322.989489</v>
      </c>
      <c r="O162" s="92">
        <f t="shared" si="186"/>
        <v>2325.3164720000004</v>
      </c>
      <c r="P162" s="92">
        <f t="shared" si="186"/>
        <v>2319.0479330000003</v>
      </c>
      <c r="Q162" s="92">
        <f t="shared" si="186"/>
        <v>2322.8154950000003</v>
      </c>
      <c r="R162" s="92">
        <f t="shared" si="186"/>
        <v>2342.0777879999996</v>
      </c>
      <c r="S162" s="92">
        <f t="shared" si="186"/>
        <v>2342.0777879999996</v>
      </c>
      <c r="T162" s="92">
        <f t="shared" si="186"/>
        <v>2454.5060000000003</v>
      </c>
      <c r="U162" s="92">
        <f t="shared" si="186"/>
        <v>2705.5949999999998</v>
      </c>
      <c r="V162" s="92">
        <f t="shared" si="186"/>
        <v>3114.62</v>
      </c>
      <c r="W162" s="92">
        <f t="shared" si="186"/>
        <v>3455.9849999999997</v>
      </c>
      <c r="X162" s="92">
        <f t="shared" si="186"/>
        <v>3455.9849999999997</v>
      </c>
      <c r="Y162" s="92">
        <f t="shared" si="186"/>
        <v>3785.6149999999998</v>
      </c>
      <c r="Z162" s="92">
        <f t="shared" si="186"/>
        <v>3845.2000000000003</v>
      </c>
      <c r="AA162" s="92">
        <f t="shared" si="186"/>
        <v>4089.7520000000009</v>
      </c>
      <c r="AB162" s="92">
        <f t="shared" si="186"/>
        <v>4279.7880000000005</v>
      </c>
      <c r="AC162" s="92">
        <f t="shared" si="186"/>
        <v>4279.7880000000005</v>
      </c>
      <c r="AD162" s="92">
        <f t="shared" si="186"/>
        <v>4564.8790000000008</v>
      </c>
      <c r="AE162" s="92">
        <f t="shared" si="186"/>
        <v>4650.8330000000005</v>
      </c>
      <c r="AF162" s="92">
        <f t="shared" si="186"/>
        <v>4665.4400000000005</v>
      </c>
      <c r="AG162" s="92">
        <f t="shared" si="186"/>
        <v>4825.9890000000005</v>
      </c>
      <c r="AH162" s="92">
        <f t="shared" si="186"/>
        <v>4825.9890000000005</v>
      </c>
      <c r="AI162" s="92">
        <f t="shared" si="186"/>
        <v>5136.6629999999996</v>
      </c>
      <c r="AJ162" s="92">
        <f t="shared" si="186"/>
        <v>5182.5889999999999</v>
      </c>
      <c r="AK162" s="92">
        <f t="shared" si="186"/>
        <v>4888.5839999999998</v>
      </c>
      <c r="AL162" s="92">
        <f t="shared" si="186"/>
        <v>5112.9169999999995</v>
      </c>
      <c r="AM162" s="92">
        <f t="shared" si="186"/>
        <v>5112.9169999999995</v>
      </c>
      <c r="AN162" s="92">
        <f t="shared" ref="AN162:BS162" si="187">+AN149-AN147</f>
        <v>5425.6939999999995</v>
      </c>
      <c r="AO162" s="92">
        <f t="shared" si="187"/>
        <v>8080.3649999999998</v>
      </c>
      <c r="AP162" s="92">
        <f t="shared" si="187"/>
        <v>8176.4730000000009</v>
      </c>
      <c r="AQ162" s="92">
        <f t="shared" si="187"/>
        <v>7929.2039999999988</v>
      </c>
      <c r="AR162" s="92">
        <f t="shared" si="187"/>
        <v>7929.2039999999988</v>
      </c>
      <c r="AS162" s="889">
        <f t="shared" si="187"/>
        <v>7587.2499999999991</v>
      </c>
      <c r="AT162" s="550">
        <f t="shared" si="187"/>
        <v>7455.2180000000008</v>
      </c>
      <c r="AU162" s="550">
        <f t="shared" si="187"/>
        <v>7413.4529999999995</v>
      </c>
      <c r="AV162" s="890">
        <f t="shared" si="187"/>
        <v>7390.5259999999989</v>
      </c>
      <c r="AW162" s="550">
        <f t="shared" si="187"/>
        <v>7390.5259999999989</v>
      </c>
      <c r="AX162" s="889">
        <f t="shared" si="187"/>
        <v>7305.6360000000004</v>
      </c>
      <c r="AY162" s="550">
        <f t="shared" si="187"/>
        <v>7246.3930000000018</v>
      </c>
      <c r="AZ162" s="550">
        <f t="shared" si="187"/>
        <v>7227.317</v>
      </c>
      <c r="BA162" s="890">
        <f t="shared" si="187"/>
        <v>7120.07</v>
      </c>
      <c r="BB162" s="550">
        <f t="shared" si="187"/>
        <v>7120.07</v>
      </c>
      <c r="BC162" s="889">
        <f t="shared" si="187"/>
        <v>7251.3739999999989</v>
      </c>
      <c r="BD162" s="550">
        <f t="shared" si="187"/>
        <v>7464.9480000000003</v>
      </c>
      <c r="BE162" s="550">
        <f t="shared" si="187"/>
        <v>7462.7360000000008</v>
      </c>
      <c r="BF162" s="890">
        <f t="shared" si="187"/>
        <v>7474.8850000000002</v>
      </c>
      <c r="BG162" s="550">
        <f t="shared" si="187"/>
        <v>7474.8850000000002</v>
      </c>
      <c r="BH162" s="889">
        <f t="shared" si="187"/>
        <v>7585.5840000000007</v>
      </c>
      <c r="BI162" s="550">
        <f t="shared" si="187"/>
        <v>7558.1639999999998</v>
      </c>
      <c r="BJ162" s="550">
        <f t="shared" si="187"/>
        <v>7633.344000000001</v>
      </c>
      <c r="BK162" s="890">
        <f t="shared" si="187"/>
        <v>7641.5710000000008</v>
      </c>
      <c r="BL162" s="550">
        <f t="shared" si="187"/>
        <v>7641.5710000000008</v>
      </c>
      <c r="BM162" s="889">
        <f t="shared" si="187"/>
        <v>7567.0960000000014</v>
      </c>
      <c r="BN162" s="550">
        <f t="shared" si="187"/>
        <v>7537.6289999999999</v>
      </c>
      <c r="BO162" s="550">
        <f t="shared" si="187"/>
        <v>7605.2060000000001</v>
      </c>
      <c r="BP162" s="890">
        <f t="shared" si="187"/>
        <v>7645.7690000000002</v>
      </c>
      <c r="BQ162" s="550">
        <f t="shared" si="187"/>
        <v>7645.7690000000002</v>
      </c>
      <c r="BR162" s="889">
        <f t="shared" si="187"/>
        <v>7602.1549999999997</v>
      </c>
      <c r="BS162" s="550">
        <f t="shared" si="187"/>
        <v>7680.822000000001</v>
      </c>
      <c r="BT162" s="550">
        <f t="shared" ref="BT162:CZ162" si="188">+BT149-BT147</f>
        <v>7735.2819999999992</v>
      </c>
      <c r="BU162" s="890">
        <f t="shared" si="188"/>
        <v>7772.47</v>
      </c>
      <c r="BV162" s="550">
        <f t="shared" si="188"/>
        <v>7772.47</v>
      </c>
      <c r="BW162" s="889">
        <f t="shared" si="188"/>
        <v>7611.5119999999988</v>
      </c>
      <c r="BX162" s="550">
        <f t="shared" si="188"/>
        <v>7660.7029999999986</v>
      </c>
      <c r="BY162" s="550">
        <f t="shared" si="188"/>
        <v>7709.0869999999995</v>
      </c>
      <c r="BZ162" s="890">
        <f t="shared" si="188"/>
        <v>7416.8780000000015</v>
      </c>
      <c r="CA162" s="550">
        <f t="shared" si="188"/>
        <v>7416.8780000000015</v>
      </c>
      <c r="CB162" s="889">
        <f t="shared" si="188"/>
        <v>7426.4679999999998</v>
      </c>
      <c r="CC162" s="550">
        <f t="shared" si="188"/>
        <v>7573.7629999999999</v>
      </c>
      <c r="CD162" s="550">
        <f t="shared" si="188"/>
        <v>7727.2459999999992</v>
      </c>
      <c r="CE162" s="890">
        <f t="shared" si="188"/>
        <v>7879.8650000000007</v>
      </c>
      <c r="CF162" s="550">
        <f t="shared" si="188"/>
        <v>7879.8650000000007</v>
      </c>
      <c r="CG162" s="889">
        <f t="shared" si="188"/>
        <v>8134.0230000000001</v>
      </c>
      <c r="CH162" s="550">
        <f t="shared" si="188"/>
        <v>8377.0650000000005</v>
      </c>
      <c r="CI162" s="550">
        <f t="shared" si="188"/>
        <v>8519.0349999999999</v>
      </c>
      <c r="CJ162" s="890">
        <f t="shared" si="188"/>
        <v>8739.0360000000019</v>
      </c>
      <c r="CK162" s="550">
        <f t="shared" si="188"/>
        <v>8739.0360000000019</v>
      </c>
      <c r="CL162" s="889">
        <f t="shared" si="188"/>
        <v>8976.027</v>
      </c>
      <c r="CM162" s="550">
        <f t="shared" si="188"/>
        <v>9397.6607824855892</v>
      </c>
      <c r="CN162" s="550">
        <f t="shared" si="188"/>
        <v>9834.8295946109902</v>
      </c>
      <c r="CO162" s="890">
        <f t="shared" si="188"/>
        <v>10225.090551920615</v>
      </c>
      <c r="CP162" s="550">
        <f t="shared" si="188"/>
        <v>10225.090551920615</v>
      </c>
      <c r="CQ162" s="889">
        <f t="shared" si="188"/>
        <v>10663.666048833726</v>
      </c>
      <c r="CR162" s="550">
        <f t="shared" si="188"/>
        <v>11067.642152215374</v>
      </c>
      <c r="CS162" s="550">
        <f t="shared" si="188"/>
        <v>11413.709442217536</v>
      </c>
      <c r="CT162" s="890">
        <f t="shared" si="188"/>
        <v>11671.164383179883</v>
      </c>
      <c r="CU162" s="550">
        <f t="shared" si="188"/>
        <v>11671.164383179883</v>
      </c>
      <c r="CV162" s="889">
        <f t="shared" si="188"/>
        <v>12012.17936805241</v>
      </c>
      <c r="CW162" s="550">
        <f t="shared" si="188"/>
        <v>12371.693966247887</v>
      </c>
      <c r="CX162" s="550">
        <f t="shared" si="188"/>
        <v>12695.531544375772</v>
      </c>
      <c r="CY162" s="890">
        <f t="shared" si="188"/>
        <v>13025.58716342998</v>
      </c>
      <c r="CZ162" s="550">
        <f t="shared" si="188"/>
        <v>13025.58716342998</v>
      </c>
    </row>
    <row r="163" spans="1:104" ht="6.2" customHeight="1">
      <c r="A163" s="411"/>
      <c r="B163" s="414"/>
      <c r="C163" s="411"/>
      <c r="D163" s="411"/>
      <c r="E163" s="88"/>
      <c r="F163" s="88"/>
      <c r="G163" s="88"/>
      <c r="H163" s="88"/>
      <c r="I163" s="88"/>
      <c r="J163" s="91"/>
      <c r="K163" s="91"/>
      <c r="L163" s="91"/>
      <c r="M163" s="91"/>
      <c r="N163" s="91"/>
      <c r="O163" s="91"/>
      <c r="P163" s="91"/>
      <c r="Q163" s="91"/>
      <c r="R163" s="91"/>
      <c r="S163" s="91"/>
      <c r="T163" s="91"/>
      <c r="U163" s="91"/>
      <c r="V163" s="91"/>
      <c r="W163" s="91"/>
      <c r="X163" s="91"/>
      <c r="Y163" s="91"/>
      <c r="Z163" s="91"/>
      <c r="AA163" s="91"/>
      <c r="AB163" s="91"/>
      <c r="AC163" s="91"/>
      <c r="AD163" s="91"/>
      <c r="AE163" s="91"/>
      <c r="AF163" s="91"/>
      <c r="AG163" s="91"/>
      <c r="AH163" s="91"/>
      <c r="AI163" s="178"/>
      <c r="AJ163" s="91"/>
      <c r="AK163" s="91"/>
      <c r="AL163" s="91"/>
      <c r="AM163" s="91"/>
      <c r="AN163" s="91"/>
      <c r="AO163" s="178"/>
      <c r="AP163" s="91"/>
      <c r="AQ163" s="91"/>
      <c r="AR163" s="91"/>
      <c r="AS163" s="1126"/>
      <c r="AT163" s="178"/>
      <c r="AU163" s="91"/>
      <c r="AV163" s="1127"/>
      <c r="AW163" s="91"/>
      <c r="AX163" s="1126"/>
      <c r="AY163" s="91"/>
      <c r="AZ163" s="91"/>
      <c r="BA163" s="1127"/>
      <c r="BB163" s="91"/>
      <c r="BC163" s="1126"/>
      <c r="BD163" s="91"/>
      <c r="BE163" s="91"/>
      <c r="BF163" s="1180"/>
      <c r="BG163" s="386"/>
      <c r="BH163" s="1126"/>
      <c r="BI163" s="91"/>
      <c r="BJ163" s="91"/>
      <c r="BK163" s="1127"/>
      <c r="BL163" s="91"/>
      <c r="BM163" s="1126"/>
      <c r="BN163" s="91"/>
      <c r="BO163" s="91"/>
      <c r="BP163" s="1127"/>
      <c r="BQ163" s="91"/>
      <c r="BR163" s="1126"/>
      <c r="BS163" s="91"/>
      <c r="BT163" s="91"/>
      <c r="BU163" s="1127"/>
      <c r="BV163" s="91"/>
      <c r="BW163" s="1126"/>
      <c r="BX163" s="91"/>
      <c r="BY163" s="91"/>
      <c r="BZ163" s="1127"/>
      <c r="CA163" s="91"/>
      <c r="CB163" s="1126"/>
      <c r="CC163" s="91"/>
      <c r="CD163" s="91"/>
      <c r="CE163" s="1127"/>
      <c r="CF163" s="91"/>
      <c r="CG163" s="1126"/>
      <c r="CH163" s="91"/>
      <c r="CI163" s="91"/>
      <c r="CJ163" s="1127"/>
      <c r="CK163" s="91"/>
      <c r="CL163" s="1126"/>
      <c r="CM163" s="91"/>
      <c r="CN163" s="91"/>
      <c r="CO163" s="1127"/>
      <c r="CP163" s="91"/>
      <c r="CQ163" s="1126"/>
      <c r="CR163" s="91"/>
      <c r="CS163" s="91"/>
      <c r="CT163" s="1127"/>
      <c r="CU163" s="91"/>
      <c r="CV163" s="1126"/>
      <c r="CW163" s="91"/>
      <c r="CX163" s="91"/>
      <c r="CY163" s="1127"/>
      <c r="CZ163" s="91"/>
    </row>
    <row r="164" spans="1:104" ht="13.5" customHeight="1">
      <c r="A164" s="417"/>
      <c r="B164" s="416" t="s">
        <v>48</v>
      </c>
      <c r="C164" s="417"/>
      <c r="D164" s="417"/>
      <c r="E164" s="295"/>
      <c r="F164" s="295"/>
      <c r="G164" s="295"/>
      <c r="H164" s="295"/>
      <c r="I164" s="295"/>
      <c r="J164" s="296"/>
      <c r="K164" s="297">
        <f t="shared" ref="K164:AH164" si="189">K162-SUM(K155:K160)</f>
        <v>0</v>
      </c>
      <c r="L164" s="296">
        <f t="shared" si="189"/>
        <v>0</v>
      </c>
      <c r="M164" s="296">
        <f t="shared" si="189"/>
        <v>0</v>
      </c>
      <c r="N164" s="295">
        <f t="shared" si="189"/>
        <v>0</v>
      </c>
      <c r="O164" s="298">
        <f t="shared" si="189"/>
        <v>0</v>
      </c>
      <c r="P164" s="298">
        <f t="shared" si="189"/>
        <v>0</v>
      </c>
      <c r="Q164" s="298">
        <f t="shared" si="189"/>
        <v>0</v>
      </c>
      <c r="R164" s="298">
        <f t="shared" si="189"/>
        <v>0</v>
      </c>
      <c r="S164" s="298">
        <f t="shared" si="189"/>
        <v>0</v>
      </c>
      <c r="T164" s="295">
        <f>ROUND(T162-SUM(T155:T160),3)</f>
        <v>0</v>
      </c>
      <c r="U164" s="295">
        <f t="shared" si="189"/>
        <v>0</v>
      </c>
      <c r="V164" s="295">
        <f t="shared" si="189"/>
        <v>0</v>
      </c>
      <c r="W164" s="295">
        <f t="shared" si="189"/>
        <v>0</v>
      </c>
      <c r="X164" s="295">
        <f t="shared" si="189"/>
        <v>0</v>
      </c>
      <c r="Y164" s="295">
        <f t="shared" si="189"/>
        <v>0</v>
      </c>
      <c r="Z164" s="295">
        <f t="shared" si="189"/>
        <v>0</v>
      </c>
      <c r="AA164" s="295">
        <f t="shared" si="189"/>
        <v>0</v>
      </c>
      <c r="AB164" s="295">
        <f t="shared" si="189"/>
        <v>0</v>
      </c>
      <c r="AC164" s="296">
        <f t="shared" si="189"/>
        <v>0</v>
      </c>
      <c r="AD164" s="295">
        <f t="shared" si="189"/>
        <v>0</v>
      </c>
      <c r="AE164" s="295">
        <f t="shared" si="189"/>
        <v>0</v>
      </c>
      <c r="AF164" s="295">
        <f t="shared" si="189"/>
        <v>0</v>
      </c>
      <c r="AG164" s="295">
        <f t="shared" si="189"/>
        <v>0</v>
      </c>
      <c r="AH164" s="295">
        <f t="shared" si="189"/>
        <v>0</v>
      </c>
      <c r="AI164" s="295">
        <f>AI162-SUM(AI155:AI160)</f>
        <v>0</v>
      </c>
      <c r="AJ164" s="295">
        <f>AJ162-SUM(AJ155:AJ160)</f>
        <v>0</v>
      </c>
      <c r="AK164" s="295">
        <f>AK162-SUM(AK155:AK160)</f>
        <v>0</v>
      </c>
      <c r="AL164" s="295">
        <f>AL162-SUM(AL155:AL160)</f>
        <v>0</v>
      </c>
      <c r="AM164" s="295">
        <f>AM162-SUM(AM155:AM160)</f>
        <v>0</v>
      </c>
      <c r="AN164" s="295">
        <f t="shared" ref="AN164:BS164" si="190">AN162-SUM(AN155:AN160)</f>
        <v>0</v>
      </c>
      <c r="AO164" s="295">
        <f t="shared" si="190"/>
        <v>0</v>
      </c>
      <c r="AP164" s="295">
        <f t="shared" si="190"/>
        <v>0</v>
      </c>
      <c r="AQ164" s="295">
        <f t="shared" si="190"/>
        <v>0</v>
      </c>
      <c r="AR164" s="295">
        <f t="shared" si="190"/>
        <v>557.02699999999822</v>
      </c>
      <c r="AS164" s="921">
        <f t="shared" si="190"/>
        <v>0</v>
      </c>
      <c r="AT164" s="587">
        <f t="shared" si="190"/>
        <v>0</v>
      </c>
      <c r="AU164" s="587">
        <f t="shared" si="190"/>
        <v>0</v>
      </c>
      <c r="AV164" s="922">
        <f t="shared" si="190"/>
        <v>0</v>
      </c>
      <c r="AW164" s="587">
        <f t="shared" si="190"/>
        <v>0</v>
      </c>
      <c r="AX164" s="921">
        <f t="shared" si="190"/>
        <v>0</v>
      </c>
      <c r="AY164" s="587">
        <f t="shared" si="190"/>
        <v>0</v>
      </c>
      <c r="AZ164" s="587">
        <f t="shared" si="190"/>
        <v>0</v>
      </c>
      <c r="BA164" s="922">
        <f t="shared" si="190"/>
        <v>0</v>
      </c>
      <c r="BB164" s="587">
        <f t="shared" si="190"/>
        <v>0</v>
      </c>
      <c r="BC164" s="921">
        <f t="shared" si="190"/>
        <v>0</v>
      </c>
      <c r="BD164" s="587">
        <f t="shared" si="190"/>
        <v>0</v>
      </c>
      <c r="BE164" s="587">
        <f t="shared" si="190"/>
        <v>0</v>
      </c>
      <c r="BF164" s="1179">
        <f t="shared" si="190"/>
        <v>0</v>
      </c>
      <c r="BG164" s="588">
        <f t="shared" si="190"/>
        <v>0</v>
      </c>
      <c r="BH164" s="921">
        <f t="shared" si="190"/>
        <v>0</v>
      </c>
      <c r="BI164" s="587">
        <f t="shared" si="190"/>
        <v>0</v>
      </c>
      <c r="BJ164" s="587">
        <f t="shared" si="190"/>
        <v>0</v>
      </c>
      <c r="BK164" s="922">
        <f t="shared" si="190"/>
        <v>0</v>
      </c>
      <c r="BL164" s="587">
        <f t="shared" si="190"/>
        <v>0</v>
      </c>
      <c r="BM164" s="921">
        <f t="shared" si="190"/>
        <v>0</v>
      </c>
      <c r="BN164" s="587">
        <f t="shared" si="190"/>
        <v>0</v>
      </c>
      <c r="BO164" s="587">
        <f t="shared" si="190"/>
        <v>0</v>
      </c>
      <c r="BP164" s="922">
        <f t="shared" si="190"/>
        <v>0</v>
      </c>
      <c r="BQ164" s="587">
        <f t="shared" si="190"/>
        <v>0</v>
      </c>
      <c r="BR164" s="921">
        <f t="shared" si="190"/>
        <v>0</v>
      </c>
      <c r="BS164" s="587">
        <f t="shared" si="190"/>
        <v>0</v>
      </c>
      <c r="BT164" s="587">
        <f t="shared" ref="BT164:CZ164" si="191">BT162-SUM(BT155:BT160)</f>
        <v>0</v>
      </c>
      <c r="BU164" s="922">
        <f t="shared" si="191"/>
        <v>0</v>
      </c>
      <c r="BV164" s="587">
        <f t="shared" si="191"/>
        <v>0</v>
      </c>
      <c r="BW164" s="921">
        <f t="shared" si="191"/>
        <v>0</v>
      </c>
      <c r="BX164" s="587">
        <f t="shared" si="191"/>
        <v>0</v>
      </c>
      <c r="BY164" s="587">
        <f t="shared" si="191"/>
        <v>0</v>
      </c>
      <c r="BZ164" s="922">
        <f t="shared" si="191"/>
        <v>0</v>
      </c>
      <c r="CA164" s="587">
        <f t="shared" si="191"/>
        <v>0</v>
      </c>
      <c r="CB164" s="921">
        <f t="shared" si="191"/>
        <v>0</v>
      </c>
      <c r="CC164" s="587">
        <f t="shared" si="191"/>
        <v>0</v>
      </c>
      <c r="CD164" s="587">
        <f t="shared" si="191"/>
        <v>0</v>
      </c>
      <c r="CE164" s="922">
        <f t="shared" si="191"/>
        <v>0</v>
      </c>
      <c r="CF164" s="587">
        <f t="shared" si="191"/>
        <v>0</v>
      </c>
      <c r="CG164" s="921">
        <f t="shared" si="191"/>
        <v>0</v>
      </c>
      <c r="CH164" s="587">
        <f t="shared" si="191"/>
        <v>0</v>
      </c>
      <c r="CI164" s="587">
        <f t="shared" si="191"/>
        <v>0</v>
      </c>
      <c r="CJ164" s="922">
        <f t="shared" si="191"/>
        <v>0</v>
      </c>
      <c r="CK164" s="587">
        <f t="shared" si="191"/>
        <v>0</v>
      </c>
      <c r="CL164" s="921">
        <f t="shared" si="191"/>
        <v>0</v>
      </c>
      <c r="CM164" s="587">
        <f t="shared" si="191"/>
        <v>0</v>
      </c>
      <c r="CN164" s="587">
        <f t="shared" si="191"/>
        <v>0</v>
      </c>
      <c r="CO164" s="922">
        <f t="shared" si="191"/>
        <v>0</v>
      </c>
      <c r="CP164" s="587">
        <f t="shared" si="191"/>
        <v>0</v>
      </c>
      <c r="CQ164" s="921">
        <f t="shared" si="191"/>
        <v>0</v>
      </c>
      <c r="CR164" s="587">
        <f t="shared" si="191"/>
        <v>0</v>
      </c>
      <c r="CS164" s="587">
        <f t="shared" si="191"/>
        <v>0</v>
      </c>
      <c r="CT164" s="922">
        <f t="shared" si="191"/>
        <v>0</v>
      </c>
      <c r="CU164" s="587">
        <f t="shared" si="191"/>
        <v>0</v>
      </c>
      <c r="CV164" s="921">
        <f t="shared" si="191"/>
        <v>0</v>
      </c>
      <c r="CW164" s="587">
        <f t="shared" si="191"/>
        <v>0</v>
      </c>
      <c r="CX164" s="587">
        <f t="shared" si="191"/>
        <v>0</v>
      </c>
      <c r="CY164" s="922">
        <f t="shared" si="191"/>
        <v>0</v>
      </c>
      <c r="CZ164" s="587">
        <f t="shared" si="191"/>
        <v>0</v>
      </c>
    </row>
    <row r="165" spans="1:104" ht="6.2" customHeight="1">
      <c r="A165" s="411"/>
      <c r="B165" s="414"/>
      <c r="C165" s="411"/>
      <c r="D165" s="411"/>
      <c r="E165" s="88"/>
      <c r="F165" s="88"/>
      <c r="G165" s="88"/>
      <c r="H165" s="88"/>
      <c r="I165" s="88"/>
      <c r="J165" s="85"/>
      <c r="K165" s="85"/>
      <c r="L165" s="85"/>
      <c r="M165" s="85"/>
      <c r="N165" s="85"/>
      <c r="O165" s="85"/>
      <c r="P165" s="85"/>
      <c r="Q165" s="85"/>
      <c r="R165" s="85"/>
      <c r="S165" s="85"/>
      <c r="T165" s="88"/>
      <c r="U165" s="88"/>
      <c r="V165" s="88"/>
      <c r="W165" s="88"/>
      <c r="X165" s="88"/>
      <c r="Y165" s="88"/>
      <c r="Z165" s="88"/>
      <c r="AA165" s="88"/>
      <c r="AB165" s="88"/>
      <c r="AC165" s="88"/>
      <c r="AD165" s="88"/>
      <c r="AE165" s="88"/>
      <c r="AF165" s="88"/>
      <c r="AG165" s="88"/>
      <c r="AH165" s="88"/>
      <c r="AI165" s="177"/>
      <c r="AJ165" s="88"/>
      <c r="AK165" s="88"/>
      <c r="AL165" s="88"/>
      <c r="AM165" s="88"/>
      <c r="AN165" s="88"/>
      <c r="AO165" s="177"/>
      <c r="AP165" s="88"/>
      <c r="AQ165" s="88"/>
      <c r="AR165" s="88"/>
      <c r="AS165" s="1124"/>
      <c r="AT165" s="177"/>
      <c r="AU165" s="88"/>
      <c r="AV165" s="1125"/>
      <c r="AW165" s="88"/>
      <c r="AX165" s="1124"/>
      <c r="AY165" s="88"/>
      <c r="AZ165" s="88"/>
      <c r="BA165" s="1125"/>
      <c r="BB165" s="88"/>
      <c r="BC165" s="1124"/>
      <c r="BD165" s="88"/>
      <c r="BE165" s="88"/>
      <c r="BF165" s="1178"/>
      <c r="BG165" s="385"/>
      <c r="BH165" s="1124"/>
      <c r="BI165" s="88"/>
      <c r="BJ165" s="88"/>
      <c r="BK165" s="1125"/>
      <c r="BL165" s="88"/>
      <c r="BM165" s="1124"/>
      <c r="BN165" s="88"/>
      <c r="BO165" s="88"/>
      <c r="BP165" s="1125"/>
      <c r="BQ165" s="88"/>
      <c r="BR165" s="1124"/>
      <c r="BS165" s="88"/>
      <c r="BT165" s="88"/>
      <c r="BU165" s="1125"/>
      <c r="BV165" s="88"/>
      <c r="BW165" s="1124"/>
      <c r="BX165" s="88"/>
      <c r="BY165" s="88"/>
      <c r="BZ165" s="1125"/>
      <c r="CA165" s="88"/>
      <c r="CB165" s="1124"/>
      <c r="CC165" s="88"/>
      <c r="CD165" s="88"/>
      <c r="CE165" s="1125"/>
      <c r="CF165" s="88"/>
      <c r="CG165" s="1124"/>
      <c r="CH165" s="88"/>
      <c r="CI165" s="88"/>
      <c r="CJ165" s="1125"/>
      <c r="CK165" s="88"/>
      <c r="CL165" s="1124"/>
      <c r="CM165" s="88"/>
      <c r="CN165" s="88"/>
      <c r="CO165" s="1125"/>
      <c r="CP165" s="88"/>
      <c r="CQ165" s="1124"/>
      <c r="CR165" s="88"/>
      <c r="CS165" s="88"/>
      <c r="CT165" s="1125"/>
      <c r="CU165" s="88"/>
      <c r="CV165" s="1124"/>
      <c r="CW165" s="88"/>
      <c r="CX165" s="88"/>
      <c r="CY165" s="1125"/>
      <c r="CZ165" s="88"/>
    </row>
    <row r="166" spans="1:104" ht="13.5" customHeight="1">
      <c r="A166" s="411" t="s">
        <v>362</v>
      </c>
      <c r="B166" s="404"/>
      <c r="C166" s="362"/>
      <c r="D166" s="362"/>
      <c r="E166" s="20"/>
      <c r="F166" s="20"/>
      <c r="G166" s="20"/>
      <c r="H166" s="20"/>
      <c r="I166" s="20"/>
      <c r="J166" s="180"/>
      <c r="K166" s="180"/>
      <c r="L166" s="180"/>
      <c r="M166" s="180"/>
      <c r="N166" s="180"/>
      <c r="O166" s="180"/>
      <c r="P166" s="180"/>
      <c r="Q166" s="180"/>
      <c r="R166" s="180"/>
      <c r="S166" s="76"/>
      <c r="T166" s="20"/>
      <c r="U166" s="20"/>
      <c r="V166" s="76"/>
      <c r="W166" s="91"/>
      <c r="X166" s="76"/>
      <c r="Y166" s="20"/>
      <c r="Z166" s="20"/>
      <c r="AA166" s="93"/>
      <c r="AB166" s="93"/>
      <c r="AC166" s="20"/>
      <c r="AD166" s="181"/>
      <c r="AE166" s="20"/>
      <c r="AF166" s="20"/>
      <c r="AG166" s="20"/>
      <c r="AH166" s="20"/>
      <c r="AI166" s="99"/>
      <c r="AJ166" s="20"/>
      <c r="AK166" s="20"/>
      <c r="AL166" s="20"/>
      <c r="AM166" s="20"/>
      <c r="AN166" s="99"/>
      <c r="AO166" s="20"/>
      <c r="AP166" s="20"/>
      <c r="AQ166" s="66"/>
      <c r="AR166" s="66"/>
      <c r="AS166" s="840"/>
      <c r="AT166" s="20"/>
      <c r="AU166" s="20"/>
      <c r="AV166" s="860"/>
      <c r="AW166" s="66"/>
      <c r="AX166" s="840"/>
      <c r="AY166" s="20"/>
      <c r="AZ166" s="20"/>
      <c r="BA166" s="860"/>
      <c r="BB166" s="66"/>
      <c r="BC166" s="840"/>
      <c r="BD166" s="20"/>
      <c r="BE166" s="20"/>
      <c r="BF166" s="954"/>
      <c r="BG166" s="362"/>
      <c r="BH166" s="840"/>
      <c r="BI166" s="20"/>
      <c r="BJ166" s="20"/>
      <c r="BK166" s="860"/>
      <c r="BL166" s="66"/>
      <c r="BM166" s="840"/>
      <c r="BN166" s="20"/>
      <c r="BO166" s="20"/>
      <c r="BP166" s="860"/>
      <c r="BQ166" s="66"/>
      <c r="BR166" s="840"/>
      <c r="BS166" s="20"/>
      <c r="BT166" s="20"/>
      <c r="BU166" s="860"/>
      <c r="BV166" s="66"/>
      <c r="BW166" s="840"/>
      <c r="BX166" s="20"/>
      <c r="BY166" s="20"/>
      <c r="BZ166" s="860"/>
      <c r="CA166" s="66"/>
      <c r="CB166" s="840"/>
      <c r="CC166" s="20"/>
      <c r="CD166" s="495"/>
      <c r="CE166" s="944"/>
      <c r="CF166" s="453"/>
      <c r="CG166" s="838"/>
      <c r="CH166" s="495"/>
      <c r="CI166" s="20"/>
      <c r="CJ166" s="944"/>
      <c r="CK166" s="453"/>
      <c r="CL166" s="840"/>
      <c r="CM166" s="20"/>
      <c r="CN166" s="20"/>
      <c r="CO166" s="860"/>
      <c r="CP166" s="66"/>
      <c r="CQ166" s="859"/>
      <c r="CR166" s="20"/>
      <c r="CS166" s="20"/>
      <c r="CT166" s="860"/>
      <c r="CU166" s="66"/>
      <c r="CV166" s="859"/>
      <c r="CW166" s="20"/>
      <c r="CX166" s="20"/>
      <c r="CY166" s="860"/>
      <c r="CZ166" s="66"/>
    </row>
    <row r="167" spans="1:104" ht="13.5" customHeight="1">
      <c r="A167" s="411"/>
      <c r="B167" s="404" t="s">
        <v>60</v>
      </c>
      <c r="C167" s="362"/>
      <c r="D167" s="362"/>
      <c r="E167" s="94"/>
      <c r="F167" s="94"/>
      <c r="G167" s="94"/>
      <c r="H167" s="94"/>
      <c r="I167" s="94"/>
      <c r="J167" s="94">
        <f t="shared" ref="J167:AM167" si="192">J130+J136</f>
        <v>460.45</v>
      </c>
      <c r="K167" s="94">
        <f t="shared" si="192"/>
        <v>458.55</v>
      </c>
      <c r="L167" s="94">
        <f t="shared" si="192"/>
        <v>544.54999999999995</v>
      </c>
      <c r="M167" s="94">
        <f t="shared" si="192"/>
        <v>894.55</v>
      </c>
      <c r="N167" s="94">
        <f t="shared" si="192"/>
        <v>894.55</v>
      </c>
      <c r="O167" s="94">
        <f t="shared" si="192"/>
        <v>878.55</v>
      </c>
      <c r="P167" s="94">
        <f t="shared" si="192"/>
        <v>878.55</v>
      </c>
      <c r="Q167" s="94">
        <f t="shared" si="192"/>
        <v>903.55</v>
      </c>
      <c r="R167" s="94">
        <f t="shared" si="192"/>
        <v>903.55</v>
      </c>
      <c r="S167" s="94">
        <f t="shared" si="192"/>
        <v>903.55</v>
      </c>
      <c r="T167" s="94">
        <f t="shared" si="192"/>
        <v>903.55</v>
      </c>
      <c r="U167" s="94">
        <f t="shared" si="192"/>
        <v>903.55</v>
      </c>
      <c r="V167" s="94">
        <f t="shared" si="192"/>
        <v>923.55</v>
      </c>
      <c r="W167" s="94">
        <f t="shared" si="192"/>
        <v>923.55</v>
      </c>
      <c r="X167" s="94">
        <f t="shared" si="192"/>
        <v>923.55</v>
      </c>
      <c r="Y167" s="94">
        <f t="shared" si="192"/>
        <v>923.55</v>
      </c>
      <c r="Z167" s="94">
        <f t="shared" si="192"/>
        <v>923.55</v>
      </c>
      <c r="AA167" s="94">
        <f t="shared" si="192"/>
        <v>923.55</v>
      </c>
      <c r="AB167" s="94">
        <f t="shared" si="192"/>
        <v>923.55</v>
      </c>
      <c r="AC167" s="94">
        <f t="shared" si="192"/>
        <v>923.55</v>
      </c>
      <c r="AD167" s="94">
        <f t="shared" si="192"/>
        <v>923.55</v>
      </c>
      <c r="AE167" s="94">
        <f t="shared" si="192"/>
        <v>923.55</v>
      </c>
      <c r="AF167" s="94">
        <f t="shared" si="192"/>
        <v>922.3</v>
      </c>
      <c r="AG167" s="94">
        <f t="shared" si="192"/>
        <v>922.3</v>
      </c>
      <c r="AH167" s="94">
        <f t="shared" si="192"/>
        <v>922.3</v>
      </c>
      <c r="AI167" s="116">
        <f t="shared" si="192"/>
        <v>1015.074</v>
      </c>
      <c r="AJ167" s="94">
        <f t="shared" si="192"/>
        <v>945.83999999999992</v>
      </c>
      <c r="AK167" s="94">
        <f t="shared" si="192"/>
        <v>944.56499999999994</v>
      </c>
      <c r="AL167" s="94">
        <f t="shared" si="192"/>
        <v>2273.1680000000001</v>
      </c>
      <c r="AM167" s="94">
        <f t="shared" si="192"/>
        <v>2273.1680000000001</v>
      </c>
      <c r="AN167" s="94">
        <f t="shared" ref="AN167:BS167" si="193">AN130+AN136</f>
        <v>2678.9670000000001</v>
      </c>
      <c r="AO167" s="116">
        <f t="shared" si="193"/>
        <v>3093.0389999999998</v>
      </c>
      <c r="AP167" s="94">
        <f t="shared" si="193"/>
        <v>3281.5789999999997</v>
      </c>
      <c r="AQ167" s="94">
        <f t="shared" si="193"/>
        <v>3275.2219999999998</v>
      </c>
      <c r="AR167" s="94">
        <f t="shared" si="193"/>
        <v>3275.2219999999998</v>
      </c>
      <c r="AS167" s="1074">
        <f t="shared" si="193"/>
        <v>3097.8989999999999</v>
      </c>
      <c r="AT167" s="565">
        <f t="shared" si="193"/>
        <v>3097.5419999999999</v>
      </c>
      <c r="AU167" s="565">
        <f t="shared" si="193"/>
        <v>3089.6279999999997</v>
      </c>
      <c r="AV167" s="1075">
        <f t="shared" si="193"/>
        <v>3087.9479999999999</v>
      </c>
      <c r="AW167" s="565">
        <f t="shared" si="193"/>
        <v>3087.9479999999999</v>
      </c>
      <c r="AX167" s="1074">
        <f t="shared" si="193"/>
        <v>3095.2749999999996</v>
      </c>
      <c r="AY167" s="565">
        <f t="shared" si="193"/>
        <v>3082.799</v>
      </c>
      <c r="AZ167" s="565">
        <f t="shared" si="193"/>
        <v>3683.2919999999999</v>
      </c>
      <c r="BA167" s="1075">
        <f t="shared" si="193"/>
        <v>4293.5280000000002</v>
      </c>
      <c r="BB167" s="565">
        <f t="shared" si="193"/>
        <v>4293.5280000000002</v>
      </c>
      <c r="BC167" s="1074">
        <f t="shared" si="193"/>
        <v>4297.165</v>
      </c>
      <c r="BD167" s="565">
        <f t="shared" si="193"/>
        <v>4294.8729999999996</v>
      </c>
      <c r="BE167" s="565">
        <f t="shared" si="193"/>
        <v>4287.8239999999996</v>
      </c>
      <c r="BF167" s="1153">
        <f t="shared" si="193"/>
        <v>4282.0259999999998</v>
      </c>
      <c r="BG167" s="567">
        <f t="shared" si="193"/>
        <v>4282.0259999999998</v>
      </c>
      <c r="BH167" s="1074">
        <f t="shared" si="193"/>
        <v>4288.24</v>
      </c>
      <c r="BI167" s="565">
        <f t="shared" si="193"/>
        <v>4287.3090000000002</v>
      </c>
      <c r="BJ167" s="565">
        <f t="shared" si="193"/>
        <v>4311.0649999999996</v>
      </c>
      <c r="BK167" s="1153">
        <f t="shared" si="193"/>
        <v>3660.1119999999996</v>
      </c>
      <c r="BL167" s="567">
        <f t="shared" si="193"/>
        <v>3660.1119999999996</v>
      </c>
      <c r="BM167" s="1074">
        <f t="shared" si="193"/>
        <v>3672.5839999999998</v>
      </c>
      <c r="BN167" s="565">
        <f t="shared" si="193"/>
        <v>3411.8679999999999</v>
      </c>
      <c r="BO167" s="565">
        <f t="shared" si="193"/>
        <v>4418.4030000000002</v>
      </c>
      <c r="BP167" s="1075">
        <f t="shared" si="193"/>
        <v>4409.402</v>
      </c>
      <c r="BQ167" s="565">
        <f t="shared" si="193"/>
        <v>4409.402</v>
      </c>
      <c r="BR167" s="1074">
        <f t="shared" si="193"/>
        <v>4407.2719999999999</v>
      </c>
      <c r="BS167" s="565">
        <f t="shared" si="193"/>
        <v>4422.6139999999996</v>
      </c>
      <c r="BT167" s="565">
        <f t="shared" ref="BT167:CZ167" si="194">BT130+BT136</f>
        <v>4418.0010000000002</v>
      </c>
      <c r="BU167" s="1075">
        <f t="shared" si="194"/>
        <v>4584.4110000000001</v>
      </c>
      <c r="BV167" s="565">
        <f t="shared" si="194"/>
        <v>4584.4110000000001</v>
      </c>
      <c r="BW167" s="1074">
        <f t="shared" si="194"/>
        <v>4403.7910000000002</v>
      </c>
      <c r="BX167" s="565">
        <f t="shared" si="194"/>
        <v>4411.5640000000003</v>
      </c>
      <c r="BY167" s="565">
        <f t="shared" si="194"/>
        <v>4415.201</v>
      </c>
      <c r="BZ167" s="1075">
        <f t="shared" si="194"/>
        <v>4411.915</v>
      </c>
      <c r="CA167" s="565">
        <f t="shared" si="194"/>
        <v>4411.915</v>
      </c>
      <c r="CB167" s="1074">
        <f t="shared" si="194"/>
        <v>4374.53</v>
      </c>
      <c r="CC167" s="565">
        <f t="shared" si="194"/>
        <v>4357.5119999999997</v>
      </c>
      <c r="CD167" s="565">
        <f t="shared" si="194"/>
        <v>4368.1419999999998</v>
      </c>
      <c r="CE167" s="1075">
        <f t="shared" si="194"/>
        <v>4357.1000000000004</v>
      </c>
      <c r="CF167" s="565">
        <f t="shared" si="194"/>
        <v>4357.1000000000004</v>
      </c>
      <c r="CG167" s="1074">
        <f t="shared" si="194"/>
        <v>4388.0609999999997</v>
      </c>
      <c r="CH167" s="565">
        <f t="shared" si="194"/>
        <v>4379.8909999999996</v>
      </c>
      <c r="CI167" s="565">
        <f t="shared" si="194"/>
        <v>4391.8580000000002</v>
      </c>
      <c r="CJ167" s="1075">
        <f t="shared" si="194"/>
        <v>3795.0750000000003</v>
      </c>
      <c r="CK167" s="565">
        <f t="shared" si="194"/>
        <v>3795.0750000000003</v>
      </c>
      <c r="CL167" s="1074">
        <f t="shared" si="194"/>
        <v>3816.9009999999998</v>
      </c>
      <c r="CM167" s="565">
        <f t="shared" si="194"/>
        <v>4360.6000000000004</v>
      </c>
      <c r="CN167" s="565">
        <f t="shared" si="194"/>
        <v>4360.6000000000004</v>
      </c>
      <c r="CO167" s="1075">
        <f t="shared" si="194"/>
        <v>4360.6000000000004</v>
      </c>
      <c r="CP167" s="565">
        <f t="shared" si="194"/>
        <v>4360.6000000000004</v>
      </c>
      <c r="CQ167" s="1074">
        <f t="shared" si="194"/>
        <v>4360.6000000000004</v>
      </c>
      <c r="CR167" s="565">
        <f t="shared" si="194"/>
        <v>4360.6000000000004</v>
      </c>
      <c r="CS167" s="565">
        <f t="shared" si="194"/>
        <v>4360.6000000000004</v>
      </c>
      <c r="CT167" s="1075">
        <f t="shared" si="194"/>
        <v>4360.6000000000004</v>
      </c>
      <c r="CU167" s="565">
        <f t="shared" si="194"/>
        <v>4360.6000000000004</v>
      </c>
      <c r="CV167" s="1074">
        <f t="shared" si="194"/>
        <v>4360.6000000000004</v>
      </c>
      <c r="CW167" s="565">
        <f t="shared" si="194"/>
        <v>4360.6000000000004</v>
      </c>
      <c r="CX167" s="565">
        <f t="shared" si="194"/>
        <v>4360.6000000000004</v>
      </c>
      <c r="CY167" s="1075">
        <f t="shared" si="194"/>
        <v>4360.6000000000004</v>
      </c>
      <c r="CZ167" s="565">
        <f t="shared" si="194"/>
        <v>4360.6000000000004</v>
      </c>
    </row>
    <row r="168" spans="1:104" ht="13.5" customHeight="1">
      <c r="A168" s="362"/>
      <c r="B168" s="362" t="s">
        <v>362</v>
      </c>
      <c r="C168" s="369"/>
      <c r="D168" s="362"/>
      <c r="E168" s="95"/>
      <c r="F168" s="95"/>
      <c r="G168" s="95"/>
      <c r="H168" s="95"/>
      <c r="I168" s="95"/>
      <c r="J168" s="182">
        <v>3.9E-2</v>
      </c>
      <c r="K168" s="182">
        <v>3.9E-2</v>
      </c>
      <c r="L168" s="182">
        <v>3.9E-2</v>
      </c>
      <c r="M168" s="95">
        <f>(M44*4)/(AVERAGE(K167:M167))</f>
        <v>-3.6106824756936204E-2</v>
      </c>
      <c r="N168" s="95">
        <f>-N44/AVERAGE(D167:M167)</f>
        <v>2.4232957041686102E-2</v>
      </c>
      <c r="O168" s="182">
        <v>0.03</v>
      </c>
      <c r="P168" s="182">
        <v>0.03</v>
      </c>
      <c r="Q168" s="182">
        <v>0.03</v>
      </c>
      <c r="R168" s="95">
        <f>-(R44*4)/(AVERAGE(Q167:R167))</f>
        <v>2.0555364949366391E-2</v>
      </c>
      <c r="S168" s="95">
        <f>-S44/AVERAGE(N167:R167)</f>
        <v>2.7616333052985702E-2</v>
      </c>
      <c r="T168" s="95">
        <f>-(T44*4)/(AVERAGE(S167:T167))</f>
        <v>2.949255713574235E-2</v>
      </c>
      <c r="U168" s="95">
        <f>-(U44*4)/(AVERAGE(T167:U167))</f>
        <v>2.7075424713629573E-2</v>
      </c>
      <c r="V168" s="95">
        <f>-(V44*4)/(AVERAGE(U167:V167))</f>
        <v>2.2124678452191997E-2</v>
      </c>
      <c r="W168" s="95">
        <f>-(W44*4)/(AVERAGE(V167:W167))</f>
        <v>1.9580964755562782E-2</v>
      </c>
      <c r="X168" s="95">
        <f>-X44/AVERAGE(S167:W167)</f>
        <v>2.4520871043826453E-2</v>
      </c>
      <c r="Y168" s="95">
        <f>-(Y44*4)/(AVERAGE(X167:Y167))</f>
        <v>1.7900492664176277E-2</v>
      </c>
      <c r="Z168" s="95">
        <f>-(Z44*4)/(AVERAGE(Y167:Z167))</f>
        <v>1.013913702560771E-2</v>
      </c>
      <c r="AA168" s="95">
        <f>-(AA44*4)/(AVERAGE(Z167:AA167))</f>
        <v>3.9932867738617294E-3</v>
      </c>
      <c r="AB168" s="95">
        <f>-(AB44*4)/(AVERAGE(AA167:AB167))</f>
        <v>0</v>
      </c>
      <c r="AC168" s="95">
        <f>-AC44/AVERAGE(X167:AB167)</f>
        <v>4.5487520978831682E-3</v>
      </c>
      <c r="AD168" s="95">
        <f>-(AD44*4)/(AVERAGE(AC167:AD167))</f>
        <v>4.2124411239239885E-2</v>
      </c>
      <c r="AE168" s="95">
        <f>-(AE44*4)/(AVERAGE(AD167:AE167))</f>
        <v>4.4194683558009859E-2</v>
      </c>
      <c r="AF168" s="95">
        <f>-(AF44*4)/(AVERAGE(AE167:AF167))</f>
        <v>4.4059918194869575E-2</v>
      </c>
      <c r="AG168" s="95">
        <f>-(AG44*4)/(AVERAGE(AF167:AG167))</f>
        <v>4.4475767103979179E-2</v>
      </c>
      <c r="AH168" s="95">
        <f>AVERAGE(AD168:AG168)</f>
        <v>4.3713695024024626E-2</v>
      </c>
      <c r="AI168" s="114">
        <f>-(AI44*4)/(AVERAGE(AH167:AI167))</f>
        <v>4.3320494648942331E-2</v>
      </c>
      <c r="AJ168" s="95">
        <f>-(AJ44*4)/(AVERAGE(AI167:AJ167))</f>
        <v>6.4055843346521077E-2</v>
      </c>
      <c r="AK168" s="95">
        <f>-(AK44*4)/(AVERAGE(AJ167:AK167))</f>
        <v>4.4231791600212657E-2</v>
      </c>
      <c r="AL168" s="95">
        <f>-(AL44*4)/(AVERAGE(AK167:AL167))</f>
        <v>3.5955748969849273E-2</v>
      </c>
      <c r="AM168" s="95">
        <f>AVERAGE(AI168:AL168)</f>
        <v>4.6890969641381335E-2</v>
      </c>
      <c r="AN168" s="114">
        <f>-(AN44*4)/(AVERAGE(AM167:AN167))</f>
        <v>4.8115004942312765E-2</v>
      </c>
      <c r="AO168" s="95">
        <f>-(AO44*4)/(AVERAGE(AN167:AO167))</f>
        <v>4.7523166122834935E-2</v>
      </c>
      <c r="AP168" s="95">
        <f>-(AP44*4)/(AVERAGE(AO167:AP167))</f>
        <v>4.6429135047778555E-2</v>
      </c>
      <c r="AQ168" s="95">
        <f>-(AQ44*4)/(AVERAGE(AP167:AQ167))</f>
        <v>4.085650914218688E-2</v>
      </c>
      <c r="AR168" s="95">
        <f>AVERAGE(AN168:AQ168)</f>
        <v>4.5730953813778286E-2</v>
      </c>
      <c r="AS168" s="861">
        <f>-(AS44*4)/(AVERAGE(AR167:AS167))</f>
        <v>4.9811701362644782E-2</v>
      </c>
      <c r="AT168" s="589">
        <f>-(AT44*4)/(AVERAGE(AS167:AT167))</f>
        <v>4.5810459658965359E-2</v>
      </c>
      <c r="AU168" s="589">
        <f>-(AU44*4)/(AVERAGE(AT167:AU167))</f>
        <v>4.8058159061412566E-2</v>
      </c>
      <c r="AV168" s="862">
        <f>-(AV44*4)/(AVERAGE(AU167:AV167))</f>
        <v>4.8685762829951428E-2</v>
      </c>
      <c r="AW168" s="589">
        <f>AVERAGE(AS168:AV168)</f>
        <v>4.8091520728243534E-2</v>
      </c>
      <c r="AX168" s="861">
        <f>-(AX44*4)/(AVERAGE(AW167:AX167))</f>
        <v>5.0892552314545342E-2</v>
      </c>
      <c r="AY168" s="589">
        <f>-(AY44*4)/(AVERAGE(AX167:AY167))</f>
        <v>5.020334816319779E-2</v>
      </c>
      <c r="AZ168" s="589">
        <f>-(AZ44*4)/(AVERAGE(AY167:AZ167))</f>
        <v>4.6842999894621574E-2</v>
      </c>
      <c r="BA168" s="862">
        <f>-(BA44*4)/(AVERAGE(AZ167:BA167))</f>
        <v>4.3543166324425023E-2</v>
      </c>
      <c r="BB168" s="589">
        <f>AVERAGE(AX168:BA168)</f>
        <v>4.7870516674197436E-2</v>
      </c>
      <c r="BC168" s="861">
        <f>-(BC44*4)/(AVERAGE(BB167:BC167))</f>
        <v>4.2495291124941846E-2</v>
      </c>
      <c r="BD168" s="589">
        <f>-(BD44*4)/(AVERAGE(BC167:BD167))</f>
        <v>4.2978394648627016E-2</v>
      </c>
      <c r="BE168" s="589">
        <f>-(BE44*4)/(AVERAGE(BD167:BE167))</f>
        <v>4.1463889497671887E-2</v>
      </c>
      <c r="BF168" s="953">
        <f>-(BF44*4)/(AVERAGE(BE167:BF167))</f>
        <v>3.9707579479220767E-2</v>
      </c>
      <c r="BG168" s="590">
        <f>AVERAGE(BC168:BF168)</f>
        <v>4.1661288687615379E-2</v>
      </c>
      <c r="BH168" s="861">
        <f>-(BH44*4)/(AVERAGE(BG167:BH167))</f>
        <v>4.198889509380456E-2</v>
      </c>
      <c r="BI168" s="589">
        <f>-(BI44*4)/(AVERAGE(BH167:BI167))</f>
        <v>4.1343592112878143E-2</v>
      </c>
      <c r="BJ168" s="589">
        <f>-(BJ44*4)/(AVERAGE(BI167:BJ167))</f>
        <v>3.9964765431231536E-2</v>
      </c>
      <c r="BK168" s="953">
        <f>-(BK44*4)/(AVERAGE(BJ167:BK167))</f>
        <v>4.1398152368213627E-2</v>
      </c>
      <c r="BL168" s="590">
        <f>AVERAGE(BH168:BK168)</f>
        <v>4.1173851251531966E-2</v>
      </c>
      <c r="BM168" s="861">
        <f>-(BM44*4)/(AVERAGE(BL167:BM167))</f>
        <v>3.6745011657376765E-2</v>
      </c>
      <c r="BN168" s="589">
        <f>-(BN44*4)/(AVERAGE(BM167:BN167))</f>
        <v>4.5932698817071529E-2</v>
      </c>
      <c r="BO168" s="589">
        <f>-(BO44*4)/(AVERAGE(BN167:BO167))</f>
        <v>3.9458149021917632E-2</v>
      </c>
      <c r="BP168" s="862">
        <f>-(BP44*4)/(AVERAGE(BO167:BP167))</f>
        <v>3.535103006919612E-2</v>
      </c>
      <c r="BQ168" s="589">
        <f>AVERAGE(BM168:BP168)</f>
        <v>3.9371722391390515E-2</v>
      </c>
      <c r="BR168" s="861">
        <f>-(BR44*4)/(AVERAGE(BQ167:BR167))</f>
        <v>3.8012520367657919E-2</v>
      </c>
      <c r="BS168" s="589">
        <f>-(BS44*4)/(AVERAGE(BR167:BS167))</f>
        <v>4.1566108554515889E-2</v>
      </c>
      <c r="BT168" s="589">
        <f>-(BT44*4)/(AVERAGE(BS167:BT167))</f>
        <v>4.2190729943561621E-2</v>
      </c>
      <c r="BU168" s="862">
        <f>-(BU44*4)/(AVERAGE(BT167:BU167))</f>
        <v>3.5321200584909895E-2</v>
      </c>
      <c r="BV168" s="589">
        <f>AVERAGE(BR168:BU168)</f>
        <v>3.9272639862661329E-2</v>
      </c>
      <c r="BW168" s="861">
        <f>-(BW44*4)/(AVERAGE(BV167:BW167))</f>
        <v>4.0113028167368725E-2</v>
      </c>
      <c r="BX168" s="589">
        <f>-(BX44*4)/(AVERAGE(BW167:BX167))</f>
        <v>3.9158944818444633E-2</v>
      </c>
      <c r="BY168" s="589">
        <f>-(BY44*4)/(AVERAGE(BX167:BY167))</f>
        <v>4.2059350169626135E-2</v>
      </c>
      <c r="BZ168" s="862">
        <f>-(BZ44*4)/(AVERAGE(BY167:BZ167))</f>
        <v>3.8897415645155232E-2</v>
      </c>
      <c r="CA168" s="589">
        <f>AVERAGE(BW168:BZ168)</f>
        <v>4.0057184700148678E-2</v>
      </c>
      <c r="CB168" s="861">
        <f>-(CB44*4)/(AVERAGE(CA167:CB167))</f>
        <v>4.3133713350507516E-2</v>
      </c>
      <c r="CC168" s="589">
        <f>-(CC44*4)/(AVERAGE(CB167:CC167))</f>
        <v>3.9832149226950581E-2</v>
      </c>
      <c r="CD168" s="589">
        <f>-(CD44*4)/(AVERAGE(CC167:CD167))</f>
        <v>4.2650327413853453E-2</v>
      </c>
      <c r="CE168" s="862">
        <f>-(CE44*4)/(AVERAGE(CD167:CE167))</f>
        <v>4.0167596497610036E-2</v>
      </c>
      <c r="CF168" s="589">
        <f>AVERAGE(CB168:CE168)</f>
        <v>4.1445946622230397E-2</v>
      </c>
      <c r="CG168" s="861">
        <f>-(CG44*4)/(AVERAGE(CF167:CG167))</f>
        <v>4.2354852014731346E-2</v>
      </c>
      <c r="CH168" s="589">
        <f>-(CH44*4)/(AVERAGE(CG167:CH167))</f>
        <v>4.3398960213285841E-2</v>
      </c>
      <c r="CI168" s="589">
        <f>-(CI44*4)/(AVERAGE(CH167:CI167))</f>
        <v>4.3431247291731673E-2</v>
      </c>
      <c r="CJ168" s="862">
        <f>-(CJ44*4)/(AVERAGE(CI167:CJ167))</f>
        <v>4.112406929432548E-2</v>
      </c>
      <c r="CK168" s="589">
        <f>AVERAGE(CG168:CJ168)</f>
        <v>4.2577282203518585E-2</v>
      </c>
      <c r="CL168" s="861">
        <f>-(CL44*4)/(AVERAGE(CK167:CL167))</f>
        <v>3.9005903329174967E-2</v>
      </c>
      <c r="CM168" s="589">
        <f>-(CM44*4)/(AVERAGE(CL167:CM167))</f>
        <v>4.4305296490945091E-2</v>
      </c>
      <c r="CN168" s="589">
        <f>-(CN44*4)/(AVERAGE(CM167:CN167))</f>
        <v>4.1543205792780806E-2</v>
      </c>
      <c r="CO168" s="862">
        <f>-(CO44*4)/(AVERAGE(CN167:CO167))</f>
        <v>4.1543205792780806E-2</v>
      </c>
      <c r="CP168" s="589">
        <f>AVERAGE(CL168:CO168)</f>
        <v>4.1599402851420421E-2</v>
      </c>
      <c r="CQ168" s="861">
        <f>-(CQ44*4)/(AVERAGE(CP167:CQ167))</f>
        <v>4.1543205792780806E-2</v>
      </c>
      <c r="CR168" s="589">
        <f>-(CR44*4)/(AVERAGE(CQ167:CR167))</f>
        <v>4.1543205792780806E-2</v>
      </c>
      <c r="CS168" s="589">
        <f>-(CS44*4)/(AVERAGE(CR167:CS167))</f>
        <v>4.1543205792780806E-2</v>
      </c>
      <c r="CT168" s="862">
        <f>-(CT44*4)/(AVERAGE(CS167:CT167))</f>
        <v>4.1543205792780806E-2</v>
      </c>
      <c r="CU168" s="589">
        <f>AVERAGE(CQ168:CT168)</f>
        <v>4.1543205792780806E-2</v>
      </c>
      <c r="CV168" s="861">
        <f>-(CV44*4)/(AVERAGE(CU167:CV167))</f>
        <v>4.1543205792780806E-2</v>
      </c>
      <c r="CW168" s="589">
        <f>-(CW44*4)/(AVERAGE(CV167:CW167))</f>
        <v>4.1543205792780806E-2</v>
      </c>
      <c r="CX168" s="589">
        <f>-(CX44*4)/(AVERAGE(CW167:CX167))</f>
        <v>4.1543205792780806E-2</v>
      </c>
      <c r="CY168" s="862">
        <f>-(CY44*4)/(AVERAGE(CX167:CY167))</f>
        <v>4.1543205792780806E-2</v>
      </c>
      <c r="CZ168" s="589">
        <f>AVERAGE(CV168:CY168)</f>
        <v>4.1543205792780806E-2</v>
      </c>
    </row>
    <row r="169" spans="1:104" ht="13.5" customHeight="1">
      <c r="A169" s="362"/>
      <c r="B169" s="369" t="s">
        <v>142</v>
      </c>
      <c r="C169" s="369"/>
      <c r="D169" s="362"/>
      <c r="E169" s="94"/>
      <c r="F169" s="94"/>
      <c r="G169" s="94"/>
      <c r="H169" s="94"/>
      <c r="I169" s="94"/>
      <c r="J169" s="94">
        <f>J130+J136-J113-J114</f>
        <v>4.2330860000000143</v>
      </c>
      <c r="K169" s="94">
        <f>K130+K136-K113-K114</f>
        <v>-79.028351999999984</v>
      </c>
      <c r="L169" s="94">
        <f>L130+L136-L113-L114</f>
        <v>21.542552999999998</v>
      </c>
      <c r="M169" s="94">
        <f>M130+M136-M113-M114</f>
        <v>675.54513199999997</v>
      </c>
      <c r="N169" s="94">
        <f>N130+N136-N113</f>
        <v>675.54513199999997</v>
      </c>
      <c r="O169" s="94">
        <f>O130+O136-O113-O114</f>
        <v>696.83959899999991</v>
      </c>
      <c r="P169" s="94">
        <f>P130+P136-P113</f>
        <v>696.27377299999989</v>
      </c>
      <c r="Q169" s="94">
        <f>Q130+Q136-Q113</f>
        <v>618.610187</v>
      </c>
      <c r="R169" s="94">
        <f>R130+R136-R113</f>
        <v>553.21775699999989</v>
      </c>
      <c r="S169" s="94">
        <f>S130+S136-S113</f>
        <v>553.21775699999989</v>
      </c>
      <c r="T169" s="94">
        <f t="shared" ref="T169:AM169" si="195">T130+T136-T113-T114</f>
        <v>505.63599999999997</v>
      </c>
      <c r="U169" s="94">
        <f t="shared" si="195"/>
        <v>401.49999999999994</v>
      </c>
      <c r="V169" s="94">
        <f t="shared" si="195"/>
        <v>165.39799999999991</v>
      </c>
      <c r="W169" s="94">
        <f t="shared" si="195"/>
        <v>144.50099999999998</v>
      </c>
      <c r="X169" s="94">
        <f t="shared" si="195"/>
        <v>144.50099999999998</v>
      </c>
      <c r="Y169" s="94">
        <f t="shared" si="195"/>
        <v>-279.16100000000006</v>
      </c>
      <c r="Z169" s="94">
        <f t="shared" si="195"/>
        <v>-137.20500000000015</v>
      </c>
      <c r="AA169" s="94">
        <f t="shared" si="195"/>
        <v>-683.6880000000001</v>
      </c>
      <c r="AB169" s="94">
        <f t="shared" si="195"/>
        <v>-913.96</v>
      </c>
      <c r="AC169" s="94">
        <f t="shared" si="195"/>
        <v>-913.96</v>
      </c>
      <c r="AD169" s="94">
        <f t="shared" si="195"/>
        <v>-1281.451</v>
      </c>
      <c r="AE169" s="94">
        <f t="shared" si="195"/>
        <v>-1230.5790000000002</v>
      </c>
      <c r="AF169" s="94">
        <f t="shared" si="195"/>
        <v>-1299.2350000000001</v>
      </c>
      <c r="AG169" s="94">
        <f t="shared" si="195"/>
        <v>-1273.9839999999999</v>
      </c>
      <c r="AH169" s="94">
        <f t="shared" si="195"/>
        <v>-1273.9839999999999</v>
      </c>
      <c r="AI169" s="94">
        <f t="shared" si="195"/>
        <v>-353.99700000000001</v>
      </c>
      <c r="AJ169" s="94">
        <f t="shared" si="195"/>
        <v>-29.481000000000108</v>
      </c>
      <c r="AK169" s="94">
        <f t="shared" si="195"/>
        <v>672.30899999999997</v>
      </c>
      <c r="AL169" s="94">
        <f t="shared" si="195"/>
        <v>696.77500000000009</v>
      </c>
      <c r="AM169" s="94">
        <f t="shared" si="195"/>
        <v>696.77500000000009</v>
      </c>
      <c r="AN169" s="94">
        <f t="shared" ref="AN169:BS169" si="196">AN130+AN136-AN113-AN114</f>
        <v>1944.9720000000002</v>
      </c>
      <c r="AO169" s="116">
        <f t="shared" si="196"/>
        <v>301.15899999999965</v>
      </c>
      <c r="AP169" s="94">
        <f t="shared" si="196"/>
        <v>1602.3869999999997</v>
      </c>
      <c r="AQ169" s="94">
        <f t="shared" si="196"/>
        <v>920.09199999999964</v>
      </c>
      <c r="AR169" s="94">
        <f t="shared" si="196"/>
        <v>920.09199999999964</v>
      </c>
      <c r="AS169" s="1074">
        <f t="shared" si="196"/>
        <v>1197.82</v>
      </c>
      <c r="AT169" s="565">
        <f t="shared" si="196"/>
        <v>900.94999999999993</v>
      </c>
      <c r="AU169" s="565">
        <f t="shared" si="196"/>
        <v>868.48499999999967</v>
      </c>
      <c r="AV169" s="1075">
        <f t="shared" si="196"/>
        <v>845.96699999999987</v>
      </c>
      <c r="AW169" s="565">
        <f t="shared" si="196"/>
        <v>845.96699999999987</v>
      </c>
      <c r="AX169" s="1074">
        <f t="shared" si="196"/>
        <v>1095.1909999999998</v>
      </c>
      <c r="AY169" s="565">
        <f t="shared" si="196"/>
        <v>1940.8000000000002</v>
      </c>
      <c r="AZ169" s="565">
        <f t="shared" si="196"/>
        <v>1676.7039999999997</v>
      </c>
      <c r="BA169" s="1075">
        <f t="shared" si="196"/>
        <v>1814.4990000000003</v>
      </c>
      <c r="BB169" s="565">
        <f t="shared" si="196"/>
        <v>1814.4990000000003</v>
      </c>
      <c r="BC169" s="1074">
        <f t="shared" si="196"/>
        <v>2001.1479999999999</v>
      </c>
      <c r="BD169" s="565">
        <f t="shared" si="196"/>
        <v>2012.6449999999998</v>
      </c>
      <c r="BE169" s="565">
        <f t="shared" si="196"/>
        <v>1873.8359999999998</v>
      </c>
      <c r="BF169" s="1153">
        <f t="shared" si="196"/>
        <v>1718.7399999999998</v>
      </c>
      <c r="BG169" s="567">
        <f t="shared" si="196"/>
        <v>1718.7399999999998</v>
      </c>
      <c r="BH169" s="1074">
        <f t="shared" si="196"/>
        <v>1910.1369999999995</v>
      </c>
      <c r="BI169" s="565">
        <f t="shared" si="196"/>
        <v>2605.8990000000003</v>
      </c>
      <c r="BJ169" s="565">
        <f t="shared" si="196"/>
        <v>2187.6019999999994</v>
      </c>
      <c r="BK169" s="1153">
        <f t="shared" si="196"/>
        <v>2503.0829999999996</v>
      </c>
      <c r="BL169" s="567">
        <f t="shared" si="196"/>
        <v>2503.0829999999996</v>
      </c>
      <c r="BM169" s="1074">
        <f t="shared" si="196"/>
        <v>2740.3809999999999</v>
      </c>
      <c r="BN169" s="565">
        <f t="shared" si="196"/>
        <v>2733.7449999999999</v>
      </c>
      <c r="BO169" s="565">
        <f t="shared" si="196"/>
        <v>2647.018</v>
      </c>
      <c r="BP169" s="1075">
        <f t="shared" si="196"/>
        <v>2897.9590000000003</v>
      </c>
      <c r="BQ169" s="565">
        <f t="shared" si="196"/>
        <v>2897.9590000000003</v>
      </c>
      <c r="BR169" s="1074">
        <f t="shared" si="196"/>
        <v>3154.73</v>
      </c>
      <c r="BS169" s="565">
        <f t="shared" si="196"/>
        <v>3255.0529999999999</v>
      </c>
      <c r="BT169" s="565">
        <f t="shared" ref="BT169:CZ169" si="197">BT130+BT136-BT113-BT114</f>
        <v>3022.0560000000005</v>
      </c>
      <c r="BU169" s="1075">
        <f t="shared" si="197"/>
        <v>3460.2669999999998</v>
      </c>
      <c r="BV169" s="565">
        <f t="shared" si="197"/>
        <v>3460.2669999999998</v>
      </c>
      <c r="BW169" s="1074">
        <f t="shared" si="197"/>
        <v>3137.9270000000001</v>
      </c>
      <c r="BX169" s="565">
        <f t="shared" si="197"/>
        <v>2722.8320000000003</v>
      </c>
      <c r="BY169" s="565">
        <f t="shared" si="197"/>
        <v>2419.7759999999998</v>
      </c>
      <c r="BZ169" s="1075">
        <f t="shared" si="197"/>
        <v>2372.4459999999999</v>
      </c>
      <c r="CA169" s="565">
        <f t="shared" si="197"/>
        <v>2372.4459999999999</v>
      </c>
      <c r="CB169" s="1074">
        <f t="shared" si="197"/>
        <v>2046.0419999999999</v>
      </c>
      <c r="CC169" s="565">
        <f t="shared" si="197"/>
        <v>2026.3619999999996</v>
      </c>
      <c r="CD169" s="565">
        <f t="shared" si="197"/>
        <v>2013.4349999999995</v>
      </c>
      <c r="CE169" s="1075">
        <f t="shared" si="197"/>
        <v>2161.1390000000001</v>
      </c>
      <c r="CF169" s="565">
        <f t="shared" si="197"/>
        <v>2161.1390000000001</v>
      </c>
      <c r="CG169" s="1074">
        <f t="shared" si="197"/>
        <v>2680.3019999999997</v>
      </c>
      <c r="CH169" s="565">
        <f t="shared" si="197"/>
        <v>2818.5379999999996</v>
      </c>
      <c r="CI169" s="565">
        <f t="shared" si="197"/>
        <v>2765.9140000000002</v>
      </c>
      <c r="CJ169" s="1075">
        <f t="shared" si="197"/>
        <v>2795.9710000000005</v>
      </c>
      <c r="CK169" s="565">
        <f t="shared" si="197"/>
        <v>2795.9710000000005</v>
      </c>
      <c r="CL169" s="1074">
        <f t="shared" si="197"/>
        <v>3056.6469999999999</v>
      </c>
      <c r="CM169" s="565">
        <f t="shared" si="197"/>
        <v>3267.6885626861476</v>
      </c>
      <c r="CN169" s="565">
        <f t="shared" si="197"/>
        <v>3080.7952675317138</v>
      </c>
      <c r="CO169" s="1075">
        <f t="shared" si="197"/>
        <v>2685.800747371256</v>
      </c>
      <c r="CP169" s="565">
        <f t="shared" si="197"/>
        <v>2685.800747371256</v>
      </c>
      <c r="CQ169" s="1074">
        <f t="shared" si="197"/>
        <v>2726.1057785624785</v>
      </c>
      <c r="CR169" s="565">
        <f t="shared" si="197"/>
        <v>2022.9742765615474</v>
      </c>
      <c r="CS169" s="565">
        <f t="shared" si="197"/>
        <v>1697.4257158567239</v>
      </c>
      <c r="CT169" s="1075">
        <f t="shared" si="197"/>
        <v>1326.6263932774959</v>
      </c>
      <c r="CU169" s="565">
        <f t="shared" si="197"/>
        <v>1326.6263932774959</v>
      </c>
      <c r="CV169" s="1074">
        <f t="shared" si="197"/>
        <v>1354.0951579512953</v>
      </c>
      <c r="CW169" s="565">
        <f t="shared" si="197"/>
        <v>581.33720992847793</v>
      </c>
      <c r="CX169" s="565">
        <f t="shared" si="197"/>
        <v>203.81852294294004</v>
      </c>
      <c r="CY169" s="1075">
        <f t="shared" si="197"/>
        <v>-255.01220402723175</v>
      </c>
      <c r="CZ169" s="565">
        <f t="shared" si="197"/>
        <v>-255.01220402723175</v>
      </c>
    </row>
    <row r="170" spans="1:104" ht="13.5" customHeight="1">
      <c r="A170" s="362"/>
      <c r="B170" s="369" t="s">
        <v>406</v>
      </c>
      <c r="C170" s="369"/>
      <c r="D170" s="362"/>
      <c r="E170" s="94"/>
      <c r="F170" s="94"/>
      <c r="G170" s="94"/>
      <c r="H170" s="94"/>
      <c r="I170" s="94"/>
      <c r="J170" s="94">
        <f>J119-J134</f>
        <v>845.42385999999999</v>
      </c>
      <c r="K170" s="94">
        <f>K119-K134</f>
        <v>934.03615799999977</v>
      </c>
      <c r="L170" s="94">
        <f>L119-L134</f>
        <v>941.41796700000009</v>
      </c>
      <c r="M170" s="94">
        <f>M119-M134</f>
        <v>823.82582000000002</v>
      </c>
      <c r="N170" s="94">
        <f>SUM(N115:N117)-SUM(N129,N132)</f>
        <v>629.76995100000011</v>
      </c>
      <c r="O170" s="94">
        <f>O119-O134</f>
        <v>792.37321499999996</v>
      </c>
      <c r="P170" s="94">
        <f>SUM(P115:P117)-SUM(P129,P132)</f>
        <v>645.74237300000004</v>
      </c>
      <c r="Q170" s="94">
        <f>SUM(Q115:Q117)-SUM(Q129,Q132)</f>
        <v>598.52664900000013</v>
      </c>
      <c r="R170" s="94">
        <f>SUM(R115:R117)-SUM(R129,R132)</f>
        <v>640.63281900000015</v>
      </c>
      <c r="S170" s="94">
        <f>SUM(S115:S117)-SUM(S129,S132)</f>
        <v>640.63281900000015</v>
      </c>
      <c r="T170" s="94">
        <f t="shared" ref="T170:AM170" si="198">T119-T134</f>
        <v>1054.434</v>
      </c>
      <c r="U170" s="94">
        <f t="shared" si="198"/>
        <v>1342.4780000000001</v>
      </c>
      <c r="V170" s="94">
        <f t="shared" si="198"/>
        <v>1654.2310000000004</v>
      </c>
      <c r="W170" s="94">
        <f t="shared" si="198"/>
        <v>2109.1579999999999</v>
      </c>
      <c r="X170" s="94">
        <f t="shared" si="198"/>
        <v>2109.1579999999999</v>
      </c>
      <c r="Y170" s="94">
        <f t="shared" si="198"/>
        <v>2407.7260000000006</v>
      </c>
      <c r="Z170" s="94">
        <f t="shared" si="198"/>
        <v>2359.6480000000001</v>
      </c>
      <c r="AA170" s="94">
        <f t="shared" si="198"/>
        <v>2545.415</v>
      </c>
      <c r="AB170" s="94">
        <f t="shared" si="198"/>
        <v>2815.8540000000003</v>
      </c>
      <c r="AC170" s="94">
        <f t="shared" si="198"/>
        <v>2815.8540000000003</v>
      </c>
      <c r="AD170" s="94">
        <f t="shared" si="198"/>
        <v>3089.786000000001</v>
      </c>
      <c r="AE170" s="94">
        <f t="shared" si="198"/>
        <v>3182.7460000000001</v>
      </c>
      <c r="AF170" s="94">
        <f t="shared" si="198"/>
        <v>3173.3399999999997</v>
      </c>
      <c r="AG170" s="94">
        <f t="shared" si="198"/>
        <v>3225.0079999999994</v>
      </c>
      <c r="AH170" s="94">
        <f t="shared" si="198"/>
        <v>3225.0079999999994</v>
      </c>
      <c r="AI170" s="116">
        <f t="shared" si="198"/>
        <v>2749.0550000000003</v>
      </c>
      <c r="AJ170" s="94">
        <f t="shared" si="198"/>
        <v>2822.9710000000005</v>
      </c>
      <c r="AK170" s="94">
        <f t="shared" si="198"/>
        <v>2095.5149999999999</v>
      </c>
      <c r="AL170" s="94">
        <f t="shared" si="198"/>
        <v>3491.2129999999997</v>
      </c>
      <c r="AM170" s="94">
        <f t="shared" si="198"/>
        <v>3491.2129999999997</v>
      </c>
      <c r="AN170" s="94">
        <f t="shared" ref="AN170:BS170" si="199">AN119-AN134</f>
        <v>2504.9970000000008</v>
      </c>
      <c r="AO170" s="116">
        <f t="shared" si="199"/>
        <v>5381.3910000000005</v>
      </c>
      <c r="AP170" s="94">
        <f t="shared" si="199"/>
        <v>4511.0059999999994</v>
      </c>
      <c r="AQ170" s="94">
        <f t="shared" si="199"/>
        <v>4543.2939999999999</v>
      </c>
      <c r="AR170" s="94">
        <f t="shared" si="199"/>
        <v>4543.2939999999999</v>
      </c>
      <c r="AS170" s="1074">
        <f t="shared" si="199"/>
        <v>4249.6710000000003</v>
      </c>
      <c r="AT170" s="565">
        <f t="shared" si="199"/>
        <v>3978.6410000000005</v>
      </c>
      <c r="AU170" s="565">
        <f t="shared" si="199"/>
        <v>3890.0009999999997</v>
      </c>
      <c r="AV170" s="1075">
        <f t="shared" si="199"/>
        <v>3955.1909999999998</v>
      </c>
      <c r="AW170" s="565">
        <f t="shared" si="199"/>
        <v>3955.1909999999998</v>
      </c>
      <c r="AX170" s="1074">
        <f t="shared" si="199"/>
        <v>3920.6299999999992</v>
      </c>
      <c r="AY170" s="565">
        <f t="shared" si="199"/>
        <v>3674.9759999999992</v>
      </c>
      <c r="AZ170" s="565">
        <f t="shared" si="199"/>
        <v>4282.848</v>
      </c>
      <c r="BA170" s="1075">
        <f t="shared" si="199"/>
        <v>4356.7370000000001</v>
      </c>
      <c r="BB170" s="565">
        <f t="shared" si="199"/>
        <v>4356.7370000000001</v>
      </c>
      <c r="BC170" s="1074">
        <f t="shared" si="199"/>
        <v>4507.9839999999995</v>
      </c>
      <c r="BD170" s="565">
        <f t="shared" si="199"/>
        <v>4713.8099999999995</v>
      </c>
      <c r="BE170" s="565">
        <f t="shared" si="199"/>
        <v>4535.8109999999988</v>
      </c>
      <c r="BF170" s="1153">
        <f t="shared" si="199"/>
        <v>4312.0220000000008</v>
      </c>
      <c r="BG170" s="567">
        <f t="shared" si="199"/>
        <v>4312.0220000000008</v>
      </c>
      <c r="BH170" s="1074">
        <f t="shared" si="199"/>
        <v>4310.4380000000001</v>
      </c>
      <c r="BI170" s="565">
        <f t="shared" si="199"/>
        <v>3729.0559999999991</v>
      </c>
      <c r="BJ170" s="565">
        <f t="shared" si="199"/>
        <v>3735.0459999999998</v>
      </c>
      <c r="BK170" s="1153">
        <f t="shared" si="199"/>
        <v>3567.5959999999995</v>
      </c>
      <c r="BL170" s="567">
        <f t="shared" si="199"/>
        <v>3567.5959999999995</v>
      </c>
      <c r="BM170" s="1074">
        <f t="shared" si="199"/>
        <v>3559.7540000000008</v>
      </c>
      <c r="BN170" s="565">
        <f t="shared" si="199"/>
        <v>3442.5869999999995</v>
      </c>
      <c r="BO170" s="565">
        <f t="shared" si="199"/>
        <v>4475.3880000000008</v>
      </c>
      <c r="BP170" s="1075">
        <f t="shared" si="199"/>
        <v>4449.83</v>
      </c>
      <c r="BQ170" s="565">
        <f t="shared" si="199"/>
        <v>4449.83</v>
      </c>
      <c r="BR170" s="1074">
        <f t="shared" si="199"/>
        <v>4413.9050000000007</v>
      </c>
      <c r="BS170" s="565">
        <f t="shared" si="199"/>
        <v>4477.5639999999994</v>
      </c>
      <c r="BT170" s="565">
        <f t="shared" ref="BT170:CZ170" si="200">BT119-BT134</f>
        <v>4639.7479999999996</v>
      </c>
      <c r="BU170" s="1075">
        <f t="shared" si="200"/>
        <v>4344.1120000000001</v>
      </c>
      <c r="BV170" s="565">
        <f t="shared" si="200"/>
        <v>4344.1120000000001</v>
      </c>
      <c r="BW170" s="1074">
        <f t="shared" si="200"/>
        <v>4338.1830000000009</v>
      </c>
      <c r="BX170" s="565">
        <f t="shared" si="200"/>
        <v>4464.66</v>
      </c>
      <c r="BY170" s="565">
        <f t="shared" si="200"/>
        <v>4618.32</v>
      </c>
      <c r="BZ170" s="1075">
        <f t="shared" si="200"/>
        <v>4369.2070000000003</v>
      </c>
      <c r="CA170" s="565">
        <f t="shared" si="200"/>
        <v>4369.2070000000003</v>
      </c>
      <c r="CB170" s="1074">
        <f t="shared" si="200"/>
        <v>4456.0190000000002</v>
      </c>
      <c r="CC170" s="565">
        <f t="shared" si="200"/>
        <v>4602.3900000000003</v>
      </c>
      <c r="CD170" s="565">
        <f t="shared" si="200"/>
        <v>4801.9350000000004</v>
      </c>
      <c r="CE170" s="1075">
        <f t="shared" si="200"/>
        <v>4116.4269999999997</v>
      </c>
      <c r="CF170" s="565">
        <f t="shared" si="200"/>
        <v>4116.4269999999997</v>
      </c>
      <c r="CG170" s="1074">
        <f t="shared" si="200"/>
        <v>4040.3970000000004</v>
      </c>
      <c r="CH170" s="565">
        <f t="shared" si="200"/>
        <v>3857.3860000000004</v>
      </c>
      <c r="CI170" s="565">
        <f t="shared" si="200"/>
        <v>3965.4309999999991</v>
      </c>
      <c r="CJ170" s="1075">
        <f t="shared" si="200"/>
        <v>3999.6560000000009</v>
      </c>
      <c r="CK170" s="565">
        <f t="shared" si="200"/>
        <v>3999.6560000000009</v>
      </c>
      <c r="CL170" s="1074">
        <f t="shared" si="200"/>
        <v>4234.6349999999993</v>
      </c>
      <c r="CM170" s="565">
        <f t="shared" si="200"/>
        <v>5545.4924063250282</v>
      </c>
      <c r="CN170" s="565">
        <f t="shared" si="200"/>
        <v>5902.3174642994409</v>
      </c>
      <c r="CO170" s="1075">
        <f t="shared" si="200"/>
        <v>6257.1512681256763</v>
      </c>
      <c r="CP170" s="565">
        <f t="shared" si="200"/>
        <v>6257.1512681256763</v>
      </c>
      <c r="CQ170" s="1074">
        <f t="shared" si="200"/>
        <v>6595.9946798099527</v>
      </c>
      <c r="CR170" s="565">
        <f t="shared" si="200"/>
        <v>6975.5698642066654</v>
      </c>
      <c r="CS170" s="565">
        <f t="shared" si="200"/>
        <v>7318.243536373162</v>
      </c>
      <c r="CT170" s="1075">
        <f t="shared" si="200"/>
        <v>7592.5157877528673</v>
      </c>
      <c r="CU170" s="565">
        <f t="shared" si="200"/>
        <v>7592.5157877528673</v>
      </c>
      <c r="CV170" s="1074">
        <f t="shared" si="200"/>
        <v>7902.9429881866336</v>
      </c>
      <c r="CW170" s="565">
        <f t="shared" si="200"/>
        <v>8309.3061652557881</v>
      </c>
      <c r="CX170" s="565">
        <f t="shared" si="200"/>
        <v>8693.3527266298697</v>
      </c>
      <c r="CY170" s="1075">
        <f t="shared" si="200"/>
        <v>9084.5404976660211</v>
      </c>
      <c r="CZ170" s="565">
        <f t="shared" si="200"/>
        <v>9084.5404976660211</v>
      </c>
    </row>
    <row r="171" spans="1:104" ht="13.5" customHeight="1">
      <c r="A171" s="362"/>
      <c r="B171" s="374"/>
      <c r="C171" s="369" t="s">
        <v>407</v>
      </c>
      <c r="D171" s="362"/>
      <c r="E171" s="76"/>
      <c r="F171" s="76"/>
      <c r="G171" s="76"/>
      <c r="H171" s="76"/>
      <c r="I171" s="76"/>
      <c r="J171" s="76">
        <f>J170/(J15*4)</f>
        <v>0.19558461233153007</v>
      </c>
      <c r="K171" s="76">
        <f>K170/(K15*4)</f>
        <v>0.19491048598738583</v>
      </c>
      <c r="L171" s="76">
        <f>L170/(L15*4)</f>
        <v>0.19157415959585042</v>
      </c>
      <c r="M171" s="76">
        <f>M170/(M15*4)</f>
        <v>0.15909158553110411</v>
      </c>
      <c r="N171" s="76">
        <f>N170/N15</f>
        <v>0.13115353164548985</v>
      </c>
      <c r="O171" s="76">
        <f>O170/(O15*4)</f>
        <v>0.13382232408098935</v>
      </c>
      <c r="P171" s="76">
        <f>P170/(P15*4)</f>
        <v>0.10617543334972109</v>
      </c>
      <c r="Q171" s="76">
        <f>Q170/(Q15*4)</f>
        <v>9.3285912727310502E-2</v>
      </c>
      <c r="R171" s="76">
        <f>R170/(R15*4)</f>
        <v>9.6418128855863483E-2</v>
      </c>
      <c r="S171" s="76">
        <f>S170/S15</f>
        <v>0.10224240598561436</v>
      </c>
      <c r="T171" s="76">
        <f>T170/(T15*4)</f>
        <v>0.11529332369962421</v>
      </c>
      <c r="U171" s="76">
        <f>U170/(U15*4)</f>
        <v>0.12152104661343129</v>
      </c>
      <c r="V171" s="76">
        <f>V170/(V15*4)</f>
        <v>0.1276573562349827</v>
      </c>
      <c r="W171" s="76">
        <f>W170/(W15*4)</f>
        <v>0.17069920407847464</v>
      </c>
      <c r="X171" s="76">
        <f>X170/X15</f>
        <v>0.18539069062132257</v>
      </c>
      <c r="Y171" s="76">
        <f>Y170/(Y15*4)</f>
        <v>0.18121171579758941</v>
      </c>
      <c r="Z171" s="76">
        <f>Z170/(Z15*4)</f>
        <v>0.18757120422460646</v>
      </c>
      <c r="AA171" s="76">
        <f>AA170/(AA15*4)</f>
        <v>0.2103015422462855</v>
      </c>
      <c r="AB171" s="76">
        <f>AB170/(AB15*4)</f>
        <v>0.21941386655329692</v>
      </c>
      <c r="AC171" s="76">
        <f>AC170/AC15</f>
        <v>0.22170334790200363</v>
      </c>
      <c r="AD171" s="76">
        <f>AD170/(AD15*4)</f>
        <v>0.21789149916067188</v>
      </c>
      <c r="AE171" s="76">
        <f>AE170/(AE15*4)</f>
        <v>0.20904186425315591</v>
      </c>
      <c r="AF171" s="76">
        <f>AF170/(AF15*4)</f>
        <v>0.20180309841721411</v>
      </c>
      <c r="AG171" s="76">
        <f>AG170/(AG15*4)</f>
        <v>0.23244373073785021</v>
      </c>
      <c r="AH171" s="76">
        <f>AH170/AH15</f>
        <v>0.21862578611875447</v>
      </c>
      <c r="AI171" s="143">
        <f>AI170/(AI15*4)</f>
        <v>0.18235200861793344</v>
      </c>
      <c r="AJ171" s="76">
        <f>AJ170/(AJ15*4)</f>
        <v>0.16859154441713195</v>
      </c>
      <c r="AK171" s="76">
        <f>AK170/(AK15*4)</f>
        <v>0.12299872441462888</v>
      </c>
      <c r="AL171" s="76">
        <f>AL170/(AL15*4)</f>
        <v>0.19851055095115491</v>
      </c>
      <c r="AM171" s="76">
        <f>AM170/AM15</f>
        <v>0.21017506737713662</v>
      </c>
      <c r="AN171" s="76">
        <f>AN170/(AN15*4)</f>
        <v>0.12589774497519135</v>
      </c>
      <c r="AO171" s="143">
        <f>AO170/(AO15*4)</f>
        <v>0.18973682618351426</v>
      </c>
      <c r="AP171" s="76">
        <f>AP170/(AP15*4)</f>
        <v>0.1514264479987969</v>
      </c>
      <c r="AQ171" s="76">
        <f>AQ170/(AQ15*4)</f>
        <v>0.27363069437832815</v>
      </c>
      <c r="AR171" s="76">
        <f>AR170/AR15</f>
        <v>0.19199728660267673</v>
      </c>
      <c r="AS171" s="877">
        <f>AS170/(AS15*4)</f>
        <v>0.40026001019470536</v>
      </c>
      <c r="AT171" s="578">
        <f>AT170/(AT15*4)</f>
        <v>0.40139185271514294</v>
      </c>
      <c r="AU171" s="578">
        <f>AU170/(AU15*4)</f>
        <v>0.31169829856041892</v>
      </c>
      <c r="AV171" s="878">
        <f>AV170/(AV15*4)</f>
        <v>0.33656112914337372</v>
      </c>
      <c r="AW171" s="578">
        <f>AW170/AW15</f>
        <v>0.35344829126950711</v>
      </c>
      <c r="AX171" s="877">
        <f>AX170/(AX15*4)</f>
        <v>0.26818053967859617</v>
      </c>
      <c r="AY171" s="578">
        <f>AY170/(AY15*4)</f>
        <v>0.21895887621587012</v>
      </c>
      <c r="AZ171" s="578">
        <f>AZ170/(AZ15*4)</f>
        <v>0.25862177659357849</v>
      </c>
      <c r="BA171" s="878">
        <f>BA170/(BA15*4)</f>
        <v>0.2826297113201427</v>
      </c>
      <c r="BB171" s="578">
        <f>BB170/BB15</f>
        <v>0.27496620778766195</v>
      </c>
      <c r="BC171" s="877">
        <f>BC170/(BC15*4)</f>
        <v>0.23314261220777938</v>
      </c>
      <c r="BD171" s="578">
        <f>BD170/(BD15*4)</f>
        <v>0.23071585096466996</v>
      </c>
      <c r="BE171" s="578">
        <f>BE170/(BE15*4)</f>
        <v>0.21590282939690908</v>
      </c>
      <c r="BF171" s="964">
        <f>BF170/(BF15*4)</f>
        <v>0.22320447102363167</v>
      </c>
      <c r="BG171" s="579">
        <f>BG170/BG15</f>
        <v>0.21534737771957085</v>
      </c>
      <c r="BH171" s="877">
        <f>BH170/(BH15*4)</f>
        <v>0.21243756153163451</v>
      </c>
      <c r="BI171" s="578">
        <f>BI170/(BI15*4)</f>
        <v>0.18264648380676377</v>
      </c>
      <c r="BJ171" s="578">
        <f>BJ170/(BJ15*4)</f>
        <v>0.19448478153197341</v>
      </c>
      <c r="BK171" s="964">
        <f>BK170/(BK15*4)</f>
        <v>0.20036937739622404</v>
      </c>
      <c r="BL171" s="579">
        <f>BL170/BL15</f>
        <v>0.18361963414688751</v>
      </c>
      <c r="BM171" s="877">
        <f>BM170/(BM15*4)</f>
        <v>0.19555769878165732</v>
      </c>
      <c r="BN171" s="578">
        <f>BN170/(BN15*4)</f>
        <v>0.18446694178740169</v>
      </c>
      <c r="BO171" s="578">
        <f>BO170/(BO15*4)</f>
        <v>0.22644434171986852</v>
      </c>
      <c r="BP171" s="878">
        <f>BP170/(BP15*4)</f>
        <v>0.22727565248480514</v>
      </c>
      <c r="BQ171" s="578">
        <f>BQ170/BQ15</f>
        <v>0.23356179173617364</v>
      </c>
      <c r="BR171" s="877">
        <f>BR170/(BR15*4)</f>
        <v>0.21601024695582452</v>
      </c>
      <c r="BS171" s="578">
        <f>BS170/(BS15*4)</f>
        <v>0.21156211166917874</v>
      </c>
      <c r="BT171" s="578">
        <f>BT170/(BT15*4)</f>
        <v>0.20343101533900551</v>
      </c>
      <c r="BU171" s="878">
        <f>BU170/(BU15*4)</f>
        <v>0.21704268775856844</v>
      </c>
      <c r="BV171" s="578">
        <f>BV170/BV15</f>
        <v>0.20583193450354106</v>
      </c>
      <c r="BW171" s="877">
        <f>BW170/(BW15*4)</f>
        <v>0.24651904560580445</v>
      </c>
      <c r="BX171" s="578">
        <f>BX170/(BX15*4)</f>
        <v>0.25614161343984737</v>
      </c>
      <c r="BY171" s="578">
        <f>BY170/(BY15*4)</f>
        <v>0.27324013125977098</v>
      </c>
      <c r="BZ171" s="878">
        <f>BZ170/(BZ15*4)</f>
        <v>0.31599434202376653</v>
      </c>
      <c r="CA171" s="578">
        <f>CA170/CA15</f>
        <v>0.26577855375139392</v>
      </c>
      <c r="CB171" s="877">
        <f>CB170/(CB15*4)</f>
        <v>0.29982020284338151</v>
      </c>
      <c r="CC171" s="578">
        <f>CC170/(CC15*4)</f>
        <v>0.27099841913319889</v>
      </c>
      <c r="CD171" s="578">
        <f>CD170/(CD15*4)</f>
        <v>0.27981764872608411</v>
      </c>
      <c r="CE171" s="878">
        <f>CE170/(CE15*4)</f>
        <v>0.2601028348520853</v>
      </c>
      <c r="CF171" s="578">
        <f>CF170/CF15</f>
        <v>0.25397310064670042</v>
      </c>
      <c r="CG171" s="877">
        <f>CG170/(CG15*4)</f>
        <v>0.20977397724985927</v>
      </c>
      <c r="CH171" s="578">
        <f>CH170/(CH15*4)</f>
        <v>0.18635546823442747</v>
      </c>
      <c r="CI171" s="578">
        <f>CI170/(CI15*4)</f>
        <v>0.19174764323515303</v>
      </c>
      <c r="CJ171" s="878">
        <f>CJ170/(CJ15*4)</f>
        <v>0.19635695108406218</v>
      </c>
      <c r="CK171" s="578">
        <f>CK170/CK15</f>
        <v>0.19749053852549675</v>
      </c>
      <c r="CL171" s="877">
        <f>CL170/(CL15*4)</f>
        <v>0.19011837112113866</v>
      </c>
      <c r="CM171" s="578">
        <f>CM170/(CM15*4)</f>
        <v>0.21012312337251771</v>
      </c>
      <c r="CN171" s="578">
        <f>CN170/(CN15*4)</f>
        <v>0.21900483225211731</v>
      </c>
      <c r="CO171" s="878">
        <f>CO170/(CO15*4)</f>
        <v>0.23773515119562569</v>
      </c>
      <c r="CP171" s="578">
        <f>CP170/CP15</f>
        <v>0.24553307932837595</v>
      </c>
      <c r="CQ171" s="877">
        <f>CQ170/(CQ15*4)</f>
        <v>0.23785977902226843</v>
      </c>
      <c r="CR171" s="578">
        <f>CR170/(CR15*4)</f>
        <v>0.25480092184941844</v>
      </c>
      <c r="CS171" s="578">
        <f>CS170/(CS15*4)</f>
        <v>0.27311612947607794</v>
      </c>
      <c r="CT171" s="878">
        <f>CT170/(CT15*4)</f>
        <v>0.2955725638869281</v>
      </c>
      <c r="CU171" s="578">
        <f>CU170/CU15</f>
        <v>0.28227591876531921</v>
      </c>
      <c r="CV171" s="877">
        <f>CV170/(CV15*4)</f>
        <v>0.29244614358523735</v>
      </c>
      <c r="CW171" s="578">
        <f>CW170/(CW15*4)</f>
        <v>0.31247206738485045</v>
      </c>
      <c r="CX171" s="578">
        <f>CX170/(CX15*4)</f>
        <v>0.33400435510072696</v>
      </c>
      <c r="CY171" s="878">
        <f>CY170/(CY15*4)</f>
        <v>0.35718038437739547</v>
      </c>
      <c r="CZ171" s="578">
        <f>CZ170/CZ15</f>
        <v>0.34582266585152277</v>
      </c>
    </row>
    <row r="172" spans="1:104" ht="6.2" customHeight="1">
      <c r="A172" s="362"/>
      <c r="B172" s="374"/>
      <c r="C172" s="369"/>
      <c r="D172" s="362"/>
      <c r="E172" s="76"/>
      <c r="F172" s="76"/>
      <c r="G172" s="76"/>
      <c r="H172" s="76"/>
      <c r="I172" s="76"/>
      <c r="J172" s="76"/>
      <c r="K172" s="76"/>
      <c r="L172" s="76"/>
      <c r="M172" s="76"/>
      <c r="N172" s="76"/>
      <c r="O172" s="76"/>
      <c r="P172" s="76"/>
      <c r="Q172" s="94"/>
      <c r="R172" s="94"/>
      <c r="S172" s="76"/>
      <c r="T172" s="20"/>
      <c r="U172" s="20"/>
      <c r="V172" s="76"/>
      <c r="W172" s="76"/>
      <c r="X172" s="76"/>
      <c r="Y172" s="20"/>
      <c r="Z172" s="20"/>
      <c r="AA172" s="20"/>
      <c r="AB172" s="20"/>
      <c r="AC172" s="76"/>
      <c r="AD172" s="20"/>
      <c r="AE172" s="20"/>
      <c r="AF172" s="20"/>
      <c r="AG172" s="20"/>
      <c r="AH172" s="76"/>
      <c r="AI172" s="20"/>
      <c r="AJ172" s="20"/>
      <c r="AK172" s="20"/>
      <c r="AL172" s="20"/>
      <c r="AM172" s="76"/>
      <c r="AN172" s="20"/>
      <c r="AO172" s="20"/>
      <c r="AP172" s="20"/>
      <c r="AQ172" s="66"/>
      <c r="AR172" s="76"/>
      <c r="AS172" s="859"/>
      <c r="AT172" s="20"/>
      <c r="AU172" s="20"/>
      <c r="AV172" s="860"/>
      <c r="AW172" s="76"/>
      <c r="AX172" s="859"/>
      <c r="AY172" s="20"/>
      <c r="AZ172" s="20"/>
      <c r="BA172" s="860"/>
      <c r="BB172" s="76"/>
      <c r="BC172" s="859"/>
      <c r="BD172" s="20"/>
      <c r="BE172" s="20"/>
      <c r="BF172" s="954"/>
      <c r="BG172" s="380"/>
      <c r="BH172" s="859"/>
      <c r="BI172" s="20"/>
      <c r="BJ172" s="20"/>
      <c r="BK172" s="954"/>
      <c r="BL172" s="380"/>
      <c r="BM172" s="859"/>
      <c r="BN172" s="20"/>
      <c r="BO172" s="20"/>
      <c r="BP172" s="860"/>
      <c r="BQ172" s="76"/>
      <c r="BR172" s="859"/>
      <c r="BS172" s="20"/>
      <c r="BT172" s="20"/>
      <c r="BU172" s="860"/>
      <c r="BV172" s="76"/>
      <c r="BW172" s="1130"/>
      <c r="BX172" s="76"/>
      <c r="BY172" s="76"/>
      <c r="BZ172" s="1131"/>
      <c r="CA172" s="76"/>
      <c r="CB172" s="1130"/>
      <c r="CC172" s="76"/>
      <c r="CD172" s="76"/>
      <c r="CE172" s="1131"/>
      <c r="CF172" s="76"/>
      <c r="CG172" s="1130"/>
      <c r="CH172" s="76"/>
      <c r="CI172" s="76"/>
      <c r="CJ172" s="1131"/>
      <c r="CK172" s="76"/>
      <c r="CL172" s="1130"/>
      <c r="CM172" s="76"/>
      <c r="CN172" s="76"/>
      <c r="CO172" s="1131"/>
      <c r="CP172" s="76"/>
      <c r="CQ172" s="1130"/>
      <c r="CR172" s="76"/>
      <c r="CS172" s="76"/>
      <c r="CT172" s="1131"/>
      <c r="CU172" s="76"/>
      <c r="CV172" s="1130"/>
      <c r="CW172" s="76"/>
      <c r="CX172" s="76"/>
      <c r="CY172" s="1131"/>
      <c r="CZ172" s="76"/>
    </row>
    <row r="173" spans="1:104" ht="13.5" customHeight="1">
      <c r="A173" s="411" t="s">
        <v>306</v>
      </c>
      <c r="B173" s="374"/>
      <c r="C173" s="369"/>
      <c r="D173" s="362"/>
      <c r="E173" s="76"/>
      <c r="F173" s="76"/>
      <c r="G173" s="76"/>
      <c r="H173" s="76"/>
      <c r="I173" s="76"/>
      <c r="J173" s="76"/>
      <c r="K173" s="76"/>
      <c r="L173" s="76"/>
      <c r="M173" s="76"/>
      <c r="N173" s="76"/>
      <c r="O173" s="76"/>
      <c r="P173" s="76"/>
      <c r="Q173" s="76"/>
      <c r="R173" s="76"/>
      <c r="S173" s="76"/>
      <c r="T173" s="20"/>
      <c r="U173" s="20"/>
      <c r="V173" s="76"/>
      <c r="W173" s="76"/>
      <c r="X173" s="76"/>
      <c r="Y173" s="20"/>
      <c r="Z173" s="20"/>
      <c r="AA173" s="20"/>
      <c r="AB173" s="20"/>
      <c r="AC173" s="76"/>
      <c r="AD173" s="20"/>
      <c r="AE173" s="20"/>
      <c r="AF173" s="20"/>
      <c r="AG173" s="20"/>
      <c r="AH173" s="76"/>
      <c r="AI173" s="20"/>
      <c r="AJ173" s="20"/>
      <c r="AK173" s="20"/>
      <c r="AL173" s="20"/>
      <c r="AM173" s="76"/>
      <c r="AN173" s="20"/>
      <c r="AO173" s="20"/>
      <c r="AP173" s="20"/>
      <c r="AQ173" s="66"/>
      <c r="AR173" s="76"/>
      <c r="AS173" s="859"/>
      <c r="AT173" s="20"/>
      <c r="AU173" s="20"/>
      <c r="AV173" s="860"/>
      <c r="AW173" s="76"/>
      <c r="AX173" s="859"/>
      <c r="AY173" s="20"/>
      <c r="AZ173" s="20"/>
      <c r="BA173" s="860"/>
      <c r="BB173" s="76"/>
      <c r="BC173" s="859"/>
      <c r="BD173" s="20"/>
      <c r="BE173" s="20"/>
      <c r="BF173" s="954"/>
      <c r="BG173" s="380"/>
      <c r="BH173" s="859"/>
      <c r="BI173" s="20"/>
      <c r="BJ173" s="20"/>
      <c r="BK173" s="954"/>
      <c r="BL173" s="380"/>
      <c r="BM173" s="859"/>
      <c r="BN173" s="20"/>
      <c r="BO173" s="20"/>
      <c r="BP173" s="860"/>
      <c r="BQ173" s="76"/>
      <c r="BR173" s="859"/>
      <c r="BS173" s="20"/>
      <c r="BT173" s="20"/>
      <c r="BU173" s="860"/>
      <c r="BV173" s="76"/>
      <c r="BW173" s="1130"/>
      <c r="BX173" s="76"/>
      <c r="BY173" s="76"/>
      <c r="BZ173" s="1131"/>
      <c r="CA173" s="76"/>
      <c r="CB173" s="1130"/>
      <c r="CC173" s="76"/>
      <c r="CD173" s="76"/>
      <c r="CE173" s="1131"/>
      <c r="CF173" s="76"/>
      <c r="CG173" s="1130"/>
      <c r="CH173" s="76"/>
      <c r="CI173" s="76"/>
      <c r="CJ173" s="1131"/>
      <c r="CK173" s="76"/>
      <c r="CL173" s="1130"/>
      <c r="CM173" s="76"/>
      <c r="CN173" s="76"/>
      <c r="CO173" s="1131"/>
      <c r="CP173" s="76"/>
      <c r="CQ173" s="1130"/>
      <c r="CR173" s="76"/>
      <c r="CS173" s="76"/>
      <c r="CT173" s="1131"/>
      <c r="CU173" s="76"/>
      <c r="CV173" s="1130"/>
      <c r="CW173" s="76"/>
      <c r="CX173" s="76"/>
      <c r="CY173" s="1131"/>
      <c r="CZ173" s="76"/>
    </row>
    <row r="174" spans="1:104" ht="13.5" customHeight="1">
      <c r="A174" s="411"/>
      <c r="B174" s="410" t="s">
        <v>307</v>
      </c>
      <c r="C174" s="369"/>
      <c r="D174" s="362"/>
      <c r="E174" s="76"/>
      <c r="F174" s="76"/>
      <c r="G174" s="76"/>
      <c r="H174" s="76"/>
      <c r="I174" s="76"/>
      <c r="J174" s="76">
        <f t="shared" ref="J174:AM174" si="201">(J169)/(J169+J149)</f>
        <v>1.7451281728572041E-3</v>
      </c>
      <c r="K174" s="76">
        <f t="shared" si="201"/>
        <v>-3.3012172101078784E-2</v>
      </c>
      <c r="L174" s="76">
        <f t="shared" si="201"/>
        <v>8.5455074916071343E-3</v>
      </c>
      <c r="M174" s="76">
        <f t="shared" si="201"/>
        <v>0.21011054291567735</v>
      </c>
      <c r="N174" s="76">
        <f t="shared" si="201"/>
        <v>0.21011054291567735</v>
      </c>
      <c r="O174" s="76">
        <f t="shared" si="201"/>
        <v>0.21805166819672991</v>
      </c>
      <c r="P174" s="76">
        <f t="shared" si="201"/>
        <v>0.21871884761686702</v>
      </c>
      <c r="Q174" s="76">
        <f t="shared" si="201"/>
        <v>0.19864694876988481</v>
      </c>
      <c r="R174" s="76">
        <f t="shared" si="201"/>
        <v>0.1800502507049129</v>
      </c>
      <c r="S174" s="76">
        <f t="shared" si="201"/>
        <v>0.1800502507049129</v>
      </c>
      <c r="T174" s="76">
        <f t="shared" si="201"/>
        <v>0.16316991794647723</v>
      </c>
      <c r="U174" s="76">
        <f t="shared" si="201"/>
        <v>0.123398129388855</v>
      </c>
      <c r="V174" s="76">
        <f t="shared" si="201"/>
        <v>4.7998950626939429E-2</v>
      </c>
      <c r="W174" s="76">
        <f t="shared" si="201"/>
        <v>3.8290592583229782E-2</v>
      </c>
      <c r="X174" s="76">
        <f t="shared" si="201"/>
        <v>3.8290592583229782E-2</v>
      </c>
      <c r="Y174" s="76">
        <f t="shared" si="201"/>
        <v>-7.5270974267050317E-2</v>
      </c>
      <c r="Z174" s="76">
        <f t="shared" si="201"/>
        <v>-3.5151881594740773E-2</v>
      </c>
      <c r="AA174" s="76">
        <f t="shared" si="201"/>
        <v>-0.19122422853780122</v>
      </c>
      <c r="AB174" s="76">
        <f t="shared" si="201"/>
        <v>-0.2567362506664479</v>
      </c>
      <c r="AC174" s="76">
        <f t="shared" si="201"/>
        <v>-0.2567362506664479</v>
      </c>
      <c r="AD174" s="76">
        <f t="shared" si="201"/>
        <v>-0.36953938895486271</v>
      </c>
      <c r="AE174" s="76">
        <f t="shared" si="201"/>
        <v>-0.33979017474393119</v>
      </c>
      <c r="AF174" s="76">
        <f t="shared" si="201"/>
        <v>-0.36527110921683059</v>
      </c>
      <c r="AG174" s="76">
        <f t="shared" si="201"/>
        <v>-0.33609094935805556</v>
      </c>
      <c r="AH174" s="76">
        <f t="shared" si="201"/>
        <v>-0.33609094935805556</v>
      </c>
      <c r="AI174" s="143">
        <f t="shared" si="201"/>
        <v>-7.1019190189799408E-2</v>
      </c>
      <c r="AJ174" s="76">
        <f t="shared" si="201"/>
        <v>-5.4711577879976202E-3</v>
      </c>
      <c r="AK174" s="76">
        <f t="shared" si="201"/>
        <v>0.11609206497269722</v>
      </c>
      <c r="AL174" s="76">
        <f t="shared" si="201"/>
        <v>0.11427902730756631</v>
      </c>
      <c r="AM174" s="76">
        <f t="shared" si="201"/>
        <v>0.11427902730756631</v>
      </c>
      <c r="AN174" s="76">
        <f t="shared" ref="AN174:BS174" si="202">(AN169)/(AN169+AN149)</f>
        <v>0.25398418119348692</v>
      </c>
      <c r="AO174" s="135">
        <f t="shared" si="202"/>
        <v>3.4628347690186294E-2</v>
      </c>
      <c r="AP174" s="76">
        <f t="shared" si="202"/>
        <v>0.15910848876093556</v>
      </c>
      <c r="AQ174" s="76">
        <f t="shared" si="202"/>
        <v>0.10026313171307603</v>
      </c>
      <c r="AR174" s="76">
        <f t="shared" si="202"/>
        <v>0.10026313171307603</v>
      </c>
      <c r="AS174" s="877">
        <f t="shared" si="202"/>
        <v>0.13217604168827632</v>
      </c>
      <c r="AT174" s="578">
        <f t="shared" si="202"/>
        <v>0.10469839494612206</v>
      </c>
      <c r="AU174" s="578">
        <f t="shared" si="202"/>
        <v>0.10275004569705307</v>
      </c>
      <c r="AV174" s="878">
        <f t="shared" si="202"/>
        <v>0.10034890992634149</v>
      </c>
      <c r="AW174" s="578">
        <f t="shared" si="202"/>
        <v>0.10034890992634149</v>
      </c>
      <c r="AX174" s="877">
        <f t="shared" si="202"/>
        <v>0.12728070192769322</v>
      </c>
      <c r="AY174" s="578">
        <f t="shared" si="202"/>
        <v>0.20655802574461407</v>
      </c>
      <c r="AZ174" s="578">
        <f t="shared" si="202"/>
        <v>0.18411049106664909</v>
      </c>
      <c r="BA174" s="878">
        <f t="shared" si="202"/>
        <v>0.19841013743504379</v>
      </c>
      <c r="BB174" s="578">
        <f t="shared" si="202"/>
        <v>0.19841013743504379</v>
      </c>
      <c r="BC174" s="877">
        <f t="shared" si="202"/>
        <v>0.21165555178202172</v>
      </c>
      <c r="BD174" s="578">
        <f t="shared" si="202"/>
        <v>0.20774540887337742</v>
      </c>
      <c r="BE174" s="578">
        <f t="shared" si="202"/>
        <v>0.19615122636126364</v>
      </c>
      <c r="BF174" s="964">
        <f t="shared" si="202"/>
        <v>0.1823534903854723</v>
      </c>
      <c r="BG174" s="579">
        <f t="shared" si="202"/>
        <v>0.1823534903854723</v>
      </c>
      <c r="BH174" s="877">
        <f t="shared" si="202"/>
        <v>0.1968028729922266</v>
      </c>
      <c r="BI174" s="578">
        <f t="shared" si="202"/>
        <v>0.25084560191705063</v>
      </c>
      <c r="BJ174" s="578">
        <f t="shared" si="202"/>
        <v>0.21764637292193467</v>
      </c>
      <c r="BK174" s="964">
        <f t="shared" si="202"/>
        <v>0.24094848734513696</v>
      </c>
      <c r="BL174" s="579">
        <f t="shared" si="202"/>
        <v>0.24094848734513696</v>
      </c>
      <c r="BM174" s="877">
        <f t="shared" si="202"/>
        <v>0.2599334852499719</v>
      </c>
      <c r="BN174" s="578">
        <f t="shared" si="202"/>
        <v>0.26023336561962312</v>
      </c>
      <c r="BO174" s="578">
        <f t="shared" si="202"/>
        <v>0.25185011528225049</v>
      </c>
      <c r="BP174" s="878">
        <f t="shared" si="202"/>
        <v>0.26812504203969623</v>
      </c>
      <c r="BQ174" s="578">
        <f t="shared" si="202"/>
        <v>0.26812504203969623</v>
      </c>
      <c r="BR174" s="877">
        <f t="shared" si="202"/>
        <v>0.28639619655087739</v>
      </c>
      <c r="BS174" s="578">
        <f t="shared" si="202"/>
        <v>0.29060207305268976</v>
      </c>
      <c r="BT174" s="578">
        <f t="shared" ref="BT174:CZ174" si="203">(BT169)/(BT169+BT149)</f>
        <v>0.27379253343001969</v>
      </c>
      <c r="BU174" s="878">
        <f t="shared" si="203"/>
        <v>0.29996978861130336</v>
      </c>
      <c r="BV174" s="578">
        <f t="shared" si="203"/>
        <v>0.29996978861130336</v>
      </c>
      <c r="BW174" s="877">
        <f t="shared" si="203"/>
        <v>0.28413991527036758</v>
      </c>
      <c r="BX174" s="578">
        <f t="shared" si="203"/>
        <v>0.25451982848623717</v>
      </c>
      <c r="BY174" s="578">
        <f t="shared" si="203"/>
        <v>0.23117884322875154</v>
      </c>
      <c r="BZ174" s="878">
        <f t="shared" si="203"/>
        <v>0.23354388692221914</v>
      </c>
      <c r="CA174" s="578">
        <f t="shared" si="203"/>
        <v>0.23354388692221914</v>
      </c>
      <c r="CB174" s="877">
        <f t="shared" si="203"/>
        <v>0.20826733077405249</v>
      </c>
      <c r="CC174" s="578">
        <f t="shared" si="203"/>
        <v>0.20371444016032456</v>
      </c>
      <c r="CD174" s="578">
        <f t="shared" si="203"/>
        <v>0.19927204714274641</v>
      </c>
      <c r="CE174" s="878">
        <f t="shared" si="203"/>
        <v>0.20748567063245071</v>
      </c>
      <c r="CF174" s="578">
        <f t="shared" si="203"/>
        <v>0.20748567063245071</v>
      </c>
      <c r="CG174" s="877">
        <f t="shared" si="203"/>
        <v>0.24042091164334023</v>
      </c>
      <c r="CH174" s="578">
        <f t="shared" si="203"/>
        <v>0.24444299706923861</v>
      </c>
      <c r="CI174" s="578">
        <f t="shared" si="203"/>
        <v>0.23792034977271279</v>
      </c>
      <c r="CJ174" s="878">
        <f t="shared" si="203"/>
        <v>0.23533605891677459</v>
      </c>
      <c r="CK174" s="578">
        <f t="shared" si="203"/>
        <v>0.23533605891677459</v>
      </c>
      <c r="CL174" s="877">
        <f t="shared" si="203"/>
        <v>0.24691067522076302</v>
      </c>
      <c r="CM174" s="578">
        <f t="shared" si="203"/>
        <v>0.25098677823784843</v>
      </c>
      <c r="CN174" s="578">
        <f t="shared" si="203"/>
        <v>0.23186595552590197</v>
      </c>
      <c r="CO174" s="878">
        <f t="shared" si="203"/>
        <v>0.20196491151383933</v>
      </c>
      <c r="CP174" s="578">
        <f t="shared" si="203"/>
        <v>0.20196491151383933</v>
      </c>
      <c r="CQ174" s="877">
        <f t="shared" si="203"/>
        <v>0.1979104497033726</v>
      </c>
      <c r="CR174" s="578">
        <f t="shared" si="203"/>
        <v>0.15007885080207892</v>
      </c>
      <c r="CS174" s="578">
        <f t="shared" si="203"/>
        <v>0.12558403356470815</v>
      </c>
      <c r="CT174" s="878">
        <f t="shared" si="203"/>
        <v>9.8861573107539902E-2</v>
      </c>
      <c r="CU174" s="578">
        <f t="shared" si="203"/>
        <v>9.8861573107539902E-2</v>
      </c>
      <c r="CV174" s="877">
        <f t="shared" si="203"/>
        <v>9.82316003720866E-2</v>
      </c>
      <c r="CW174" s="578">
        <f t="shared" si="203"/>
        <v>4.3456012948252493E-2</v>
      </c>
      <c r="CX174" s="578">
        <f t="shared" si="203"/>
        <v>1.528075894793506E-2</v>
      </c>
      <c r="CY174" s="878">
        <f t="shared" si="203"/>
        <v>-1.9284640973101421E-2</v>
      </c>
      <c r="CZ174" s="578">
        <f t="shared" si="203"/>
        <v>-1.9284640973101421E-2</v>
      </c>
    </row>
    <row r="175" spans="1:104" ht="13.5" customHeight="1">
      <c r="A175" s="411"/>
      <c r="B175" s="494" t="s">
        <v>615</v>
      </c>
      <c r="C175" s="369"/>
      <c r="D175" s="362"/>
      <c r="E175" s="76"/>
      <c r="F175" s="76"/>
      <c r="G175" s="76"/>
      <c r="H175" s="76"/>
      <c r="I175" s="76"/>
      <c r="J175" s="76">
        <f t="shared" ref="J175:AM175" si="204">J136/(J149+J136+J130)</f>
        <v>0.15977439723252218</v>
      </c>
      <c r="K175" s="76">
        <f t="shared" si="204"/>
        <v>0.15642195275004458</v>
      </c>
      <c r="L175" s="76">
        <f t="shared" si="204"/>
        <v>0.17889708376534175</v>
      </c>
      <c r="M175" s="76">
        <f t="shared" si="204"/>
        <v>0.25582422034347568</v>
      </c>
      <c r="N175" s="76">
        <f t="shared" si="204"/>
        <v>0.25582422034347568</v>
      </c>
      <c r="O175" s="76">
        <f t="shared" si="204"/>
        <v>0.26012113428043715</v>
      </c>
      <c r="P175" s="76">
        <f t="shared" si="204"/>
        <v>0.26103075162416656</v>
      </c>
      <c r="Q175" s="76">
        <f t="shared" si="204"/>
        <v>0.26582360507075925</v>
      </c>
      <c r="R175" s="76">
        <f t="shared" si="204"/>
        <v>0.2639715727387506</v>
      </c>
      <c r="S175" s="76">
        <f t="shared" si="204"/>
        <v>0.2639715727387506</v>
      </c>
      <c r="T175" s="76">
        <f t="shared" si="204"/>
        <v>0.25839745248795665</v>
      </c>
      <c r="U175" s="76">
        <f t="shared" si="204"/>
        <v>0.2405780369599009</v>
      </c>
      <c r="V175" s="76">
        <f t="shared" si="204"/>
        <v>0.21968264177683305</v>
      </c>
      <c r="W175" s="76">
        <f t="shared" si="204"/>
        <v>0.20285105059514397</v>
      </c>
      <c r="X175" s="76">
        <f t="shared" si="204"/>
        <v>0.20285105059514397</v>
      </c>
      <c r="Y175" s="76">
        <f t="shared" si="204"/>
        <v>0.18803988550853942</v>
      </c>
      <c r="Z175" s="76">
        <f t="shared" si="204"/>
        <v>0.18579924092861344</v>
      </c>
      <c r="AA175" s="76">
        <f t="shared" si="204"/>
        <v>0.17796227693693401</v>
      </c>
      <c r="AB175" s="76">
        <f t="shared" si="204"/>
        <v>0.17087768470464076</v>
      </c>
      <c r="AC175" s="76">
        <f t="shared" si="204"/>
        <v>0.17087768470464076</v>
      </c>
      <c r="AD175" s="76">
        <f t="shared" si="204"/>
        <v>0.16258574622062616</v>
      </c>
      <c r="AE175" s="76">
        <f t="shared" si="204"/>
        <v>0.15968588472351641</v>
      </c>
      <c r="AF175" s="76">
        <f t="shared" si="204"/>
        <v>0.15961052470726964</v>
      </c>
      <c r="AG175" s="76">
        <f t="shared" si="204"/>
        <v>0.15405360758204986</v>
      </c>
      <c r="AH175" s="76">
        <f t="shared" si="204"/>
        <v>0.15405360758204986</v>
      </c>
      <c r="AI175" s="76">
        <f t="shared" si="204"/>
        <v>0.14516186657731045</v>
      </c>
      <c r="AJ175" s="76">
        <f t="shared" si="204"/>
        <v>0.14493004135919643</v>
      </c>
      <c r="AK175" s="76">
        <f t="shared" si="204"/>
        <v>0.15210870024492748</v>
      </c>
      <c r="AL175" s="76">
        <f t="shared" si="204"/>
        <v>0.29325482623319044</v>
      </c>
      <c r="AM175" s="76">
        <f t="shared" si="204"/>
        <v>0.29325482623319044</v>
      </c>
      <c r="AN175" s="76">
        <f t="shared" ref="AN175:BS175" si="205">AN136/(AN149+AN136+AN130)</f>
        <v>0.2969074012594613</v>
      </c>
      <c r="AO175" s="76">
        <f t="shared" si="205"/>
        <v>0.26909751538284504</v>
      </c>
      <c r="AP175" s="76">
        <f t="shared" si="205"/>
        <v>0.26265026732251784</v>
      </c>
      <c r="AQ175" s="76">
        <f t="shared" si="205"/>
        <v>0.2676227852419501</v>
      </c>
      <c r="AR175" s="76">
        <f t="shared" si="205"/>
        <v>0.2676227852419501</v>
      </c>
      <c r="AS175" s="877">
        <f t="shared" si="205"/>
        <v>0.28152627707815825</v>
      </c>
      <c r="AT175" s="578">
        <f t="shared" si="205"/>
        <v>0.28571201095818782</v>
      </c>
      <c r="AU175" s="578">
        <f t="shared" si="205"/>
        <v>0.28914471551540316</v>
      </c>
      <c r="AV175" s="878">
        <f t="shared" si="205"/>
        <v>0.28861802825405775</v>
      </c>
      <c r="AW175" s="578">
        <f t="shared" si="205"/>
        <v>0.28861802825405775</v>
      </c>
      <c r="AX175" s="877">
        <f t="shared" si="205"/>
        <v>0.29045839184951228</v>
      </c>
      <c r="AY175" s="578">
        <f t="shared" si="205"/>
        <v>0.29229716036563619</v>
      </c>
      <c r="AZ175" s="578">
        <f t="shared" si="205"/>
        <v>0.33114260214091851</v>
      </c>
      <c r="BA175" s="878">
        <f t="shared" si="205"/>
        <v>0.36821388992742909</v>
      </c>
      <c r="BB175" s="578">
        <f t="shared" si="205"/>
        <v>0.36821388992742909</v>
      </c>
      <c r="BC175" s="877">
        <f t="shared" si="205"/>
        <v>0.36424890449601716</v>
      </c>
      <c r="BD175" s="578">
        <f t="shared" si="205"/>
        <v>0.35756939028245321</v>
      </c>
      <c r="BE175" s="578">
        <f t="shared" si="205"/>
        <v>0.32841968395601068</v>
      </c>
      <c r="BF175" s="878">
        <f t="shared" si="205"/>
        <v>0.30280417923485015</v>
      </c>
      <c r="BG175" s="578">
        <f t="shared" si="205"/>
        <v>0.30280417923485015</v>
      </c>
      <c r="BH175" s="877">
        <f t="shared" si="205"/>
        <v>0.30041521218820805</v>
      </c>
      <c r="BI175" s="578">
        <f t="shared" si="205"/>
        <v>0.28005277273951956</v>
      </c>
      <c r="BJ175" s="578">
        <f t="shared" si="205"/>
        <v>0.27764272928338979</v>
      </c>
      <c r="BK175" s="878">
        <f t="shared" si="205"/>
        <v>0.29277243071448006</v>
      </c>
      <c r="BL175" s="578">
        <f t="shared" si="205"/>
        <v>0.29277243071448006</v>
      </c>
      <c r="BM175" s="877">
        <f t="shared" si="205"/>
        <v>0.29457524719109052</v>
      </c>
      <c r="BN175" s="578">
        <f t="shared" si="205"/>
        <v>0.30225971372154653</v>
      </c>
      <c r="BO175" s="578">
        <f t="shared" si="205"/>
        <v>0.35664513540334397</v>
      </c>
      <c r="BP175" s="878">
        <f t="shared" si="205"/>
        <v>0.35527708511909395</v>
      </c>
      <c r="BQ175" s="578">
        <f t="shared" si="205"/>
        <v>0.35527708511909395</v>
      </c>
      <c r="BR175" s="877">
        <f t="shared" si="205"/>
        <v>0.35677933309514898</v>
      </c>
      <c r="BS175" s="578">
        <f t="shared" si="205"/>
        <v>0.35322433120507229</v>
      </c>
      <c r="BT175" s="578">
        <f t="shared" ref="BT175:CZ175" si="206">BT136/(BT149+BT136+BT130)</f>
        <v>0.35070804323474331</v>
      </c>
      <c r="BU175" s="878">
        <f t="shared" si="206"/>
        <v>0.34445199343514282</v>
      </c>
      <c r="BV175" s="578">
        <f t="shared" si="206"/>
        <v>0.34445199343514282</v>
      </c>
      <c r="BW175" s="877">
        <f t="shared" si="206"/>
        <v>0.35424781359250312</v>
      </c>
      <c r="BX175" s="578">
        <f t="shared" si="206"/>
        <v>0.35204032987452871</v>
      </c>
      <c r="BY175" s="578">
        <f t="shared" si="206"/>
        <v>0.34989651388938153</v>
      </c>
      <c r="BZ175" s="878">
        <f t="shared" si="206"/>
        <v>0.35748694368420603</v>
      </c>
      <c r="CA175" s="578">
        <f t="shared" si="206"/>
        <v>0.35748694368420603</v>
      </c>
      <c r="CB175" s="877">
        <f t="shared" si="206"/>
        <v>0.35695030578636572</v>
      </c>
      <c r="CC175" s="578">
        <f t="shared" si="206"/>
        <v>0.35327275832549354</v>
      </c>
      <c r="CD175" s="578">
        <f t="shared" si="206"/>
        <v>0.34821944707046298</v>
      </c>
      <c r="CE175" s="878">
        <f t="shared" si="206"/>
        <v>0.29647937869019253</v>
      </c>
      <c r="CF175" s="578">
        <f t="shared" si="206"/>
        <v>0.29647937869019253</v>
      </c>
      <c r="CG175" s="877">
        <f t="shared" si="206"/>
        <v>0.29090460489982523</v>
      </c>
      <c r="CH175" s="578">
        <f t="shared" si="206"/>
        <v>0.24753609204659649</v>
      </c>
      <c r="CI175" s="578">
        <f t="shared" si="206"/>
        <v>0.24461619753863048</v>
      </c>
      <c r="CJ175" s="878">
        <f t="shared" si="206"/>
        <v>0.25172954091204225</v>
      </c>
      <c r="CK175" s="578">
        <f t="shared" si="206"/>
        <v>0.25172954091204225</v>
      </c>
      <c r="CL175" s="877">
        <f t="shared" si="206"/>
        <v>0.24679675977296492</v>
      </c>
      <c r="CM175" s="578">
        <f t="shared" si="206"/>
        <v>0.30899337273570465</v>
      </c>
      <c r="CN175" s="578">
        <f t="shared" si="206"/>
        <v>0.29935253475198403</v>
      </c>
      <c r="CO175" s="878">
        <f t="shared" si="206"/>
        <v>0.29122791508864065</v>
      </c>
      <c r="CP175" s="578">
        <f t="shared" si="206"/>
        <v>0.29122791508864065</v>
      </c>
      <c r="CQ175" s="877">
        <f t="shared" si="206"/>
        <v>0.28299165297150408</v>
      </c>
      <c r="CR175" s="578">
        <f t="shared" si="206"/>
        <v>0.27569009982185211</v>
      </c>
      <c r="CS175" s="578">
        <f t="shared" si="206"/>
        <v>0.2695150830311</v>
      </c>
      <c r="CT175" s="878">
        <f t="shared" si="206"/>
        <v>0.26503367795194754</v>
      </c>
      <c r="CU175" s="578">
        <f t="shared" si="206"/>
        <v>0.26503367795194754</v>
      </c>
      <c r="CV175" s="877">
        <f t="shared" si="206"/>
        <v>0.25969516246840657</v>
      </c>
      <c r="CW175" s="578">
        <f t="shared" si="206"/>
        <v>0.25416066762424994</v>
      </c>
      <c r="CX175" s="578">
        <f t="shared" si="206"/>
        <v>0.24924796425381041</v>
      </c>
      <c r="CY175" s="878">
        <f t="shared" si="206"/>
        <v>0.24443916917427938</v>
      </c>
      <c r="CZ175" s="578">
        <f t="shared" si="206"/>
        <v>0.24443916917427938</v>
      </c>
    </row>
    <row r="176" spans="1:104" ht="13.5" customHeight="1">
      <c r="A176" s="411"/>
      <c r="B176" s="410" t="s">
        <v>551</v>
      </c>
      <c r="C176" s="369"/>
      <c r="D176" s="362"/>
      <c r="E176" s="96"/>
      <c r="F176" s="96"/>
      <c r="G176" s="96"/>
      <c r="H176" s="96"/>
      <c r="I176" s="96"/>
      <c r="J176" s="96"/>
      <c r="K176" s="96"/>
      <c r="L176" s="96"/>
      <c r="M176" s="96">
        <f>M169/SUM(J97:M97)</f>
        <v>1.1240129205296989</v>
      </c>
      <c r="N176" s="96">
        <f>N169/((N97))</f>
        <v>1.1240129205296989</v>
      </c>
      <c r="O176" s="96">
        <f>O169/SUM(O97,K97:M97)</f>
        <v>1.1875512062945512</v>
      </c>
      <c r="P176" s="96">
        <f>P169/SUM(O97:P97,L97:M97)</f>
        <v>1.2835511828298707</v>
      </c>
      <c r="Q176" s="96">
        <f>Q169/SUM(O97:Q97,M97)</f>
        <v>1.2140147920379807</v>
      </c>
      <c r="R176" s="96">
        <f>R169/SUM(O97:R97)</f>
        <v>1.1641318512755157</v>
      </c>
      <c r="S176" s="96">
        <f>S169/((S97))</f>
        <v>1.1641318512755157</v>
      </c>
      <c r="T176" s="96">
        <f>T169/SUM(T97,P97:R97)</f>
        <v>0.7912304892067813</v>
      </c>
      <c r="U176" s="96">
        <f>U169/SUM(T97:U97,Q97:R97)</f>
        <v>0.38297365042656228</v>
      </c>
      <c r="V176" s="96">
        <f>V169/SUM(T97:V97,R97)</f>
        <v>9.7094162467989922E-2</v>
      </c>
      <c r="W176" s="96">
        <f>W169/SUM(T97:W97)</f>
        <v>6.481519275546091E-2</v>
      </c>
      <c r="X176" s="96">
        <f>X169/((X97))</f>
        <v>6.4815192755460924E-2</v>
      </c>
      <c r="Y176" s="96">
        <f>Y169/SUM(Y97,U97:W97)</f>
        <v>-0.10702634895234096</v>
      </c>
      <c r="Z176" s="96">
        <f>Z169/SUM(Y97:Z97,V97:W97)</f>
        <v>-5.0889589563711909E-2</v>
      </c>
      <c r="AA176" s="96">
        <f>AA169/SUM(Y97:AA97,W97)</f>
        <v>-0.27432704032561916</v>
      </c>
      <c r="AB176" s="96">
        <f>AB169/SUM(Y97:AB97)</f>
        <v>-0.36600900966201955</v>
      </c>
      <c r="AC176" s="96">
        <f>AC169/((AC97))</f>
        <v>-0.36600900966201955</v>
      </c>
      <c r="AD176" s="96">
        <f>AD169/SUM(AD97,Z97:AB97)</f>
        <v>-0.50392835331624275</v>
      </c>
      <c r="AE176" s="96">
        <f>AE169/SUM(AD97:AE97,AA97:AB97)</f>
        <v>-0.44714409360753993</v>
      </c>
      <c r="AF176" s="96">
        <f>AF169/SUM(AD97:AF97,AB97)</f>
        <v>-0.4165909147021658</v>
      </c>
      <c r="AG176" s="96">
        <f>AG169/SUM(AD97:AG97)</f>
        <v>-0.39325227419349862</v>
      </c>
      <c r="AH176" s="96">
        <f>AH169/((AH97))</f>
        <v>-0.39325227419349856</v>
      </c>
      <c r="AI176" s="96">
        <f>AI169/SUM(AI97,AE97:AG97)</f>
        <v>-0.10840816571522895</v>
      </c>
      <c r="AJ176" s="96">
        <f>AJ169/SUM(AI97:AJ97,AF97:AG97)</f>
        <v>-9.3501427212179227E-3</v>
      </c>
      <c r="AK176" s="96">
        <f>AK169/SUM(AI97:AK97,AG97)</f>
        <v>0.22412683215315229</v>
      </c>
      <c r="AL176" s="96">
        <f>AL169/SUM(AI97:AL97)</f>
        <v>0.23382959023652611</v>
      </c>
      <c r="AM176" s="96">
        <f>AM169/((AM97))</f>
        <v>0.23382959023652611</v>
      </c>
      <c r="AN176" s="96">
        <f>AN169/SUM(AN97,AJ97:AL97)</f>
        <v>0.62814018094573132</v>
      </c>
      <c r="AO176" s="96">
        <f>AO169/SUM(AN97:AO97,AK97:AL97)</f>
        <v>8.5693643921182894E-2</v>
      </c>
      <c r="AP176" s="96">
        <f>AP169/SUM(AN97:AP97,AL97)</f>
        <v>0.38933371495992425</v>
      </c>
      <c r="AQ176" s="96">
        <f>AQ169/SUM(AN97:AQ97)</f>
        <v>0.23644459886045086</v>
      </c>
      <c r="AR176" s="96">
        <f>AR169/((AR97))</f>
        <v>0.23644459886045086</v>
      </c>
      <c r="AS176" s="1128">
        <f>AS169/SUM(AS97,AO97:AQ97)</f>
        <v>0.40968086605458393</v>
      </c>
      <c r="AT176" s="591">
        <f>AT169/SUM(AS97:AT97,AP97:AQ97)</f>
        <v>0.51056173407947858</v>
      </c>
      <c r="AU176" s="591">
        <f>AU169/SUM(AS97:AU97,AQ97)</f>
        <v>1.6140233828358606</v>
      </c>
      <c r="AV176" s="1129">
        <f>AV169/SUM(AS97:AV97)</f>
        <v>2.9455983175311715</v>
      </c>
      <c r="AW176" s="591">
        <f>AW169/((AW97))</f>
        <v>2.9455983175311715</v>
      </c>
      <c r="AX176" s="1128">
        <f>AX169/SUM(AX97,AT97:AV97)</f>
        <v>1.6935986948419968</v>
      </c>
      <c r="AY176" s="591">
        <f>AY169/SUM(AX97:AY97,AU97:AV97)</f>
        <v>1.9163871441704134</v>
      </c>
      <c r="AZ176" s="591">
        <f>AZ169/SUM(AX97:AZ97,AV97)</f>
        <v>1.5257605124985212</v>
      </c>
      <c r="BA176" s="1129">
        <f>BA169/SUM(AX97:BA97)</f>
        <v>1.7915492540555487</v>
      </c>
      <c r="BB176" s="591">
        <f>BB169/((BB97))</f>
        <v>1.7915492540555484</v>
      </c>
      <c r="BC176" s="1128">
        <f>BC169/SUM(BC97,AY97:BA97)</f>
        <v>1.642481054590194</v>
      </c>
      <c r="BD176" s="591">
        <f>BD169/SUM(BC97:BD97,AZ97:BA97)</f>
        <v>1.3009945022802121</v>
      </c>
      <c r="BE176" s="591">
        <f>BE169/SUM(BC97:BE97,BA97)</f>
        <v>1.0520454361710727</v>
      </c>
      <c r="BF176" s="1181">
        <f>BF169/SUM(BC97:BF97)</f>
        <v>0.86835486781730542</v>
      </c>
      <c r="BG176" s="592">
        <f>BG169/((BG97))</f>
        <v>0.86835486781730553</v>
      </c>
      <c r="BH176" s="1128">
        <f>BH169/SUM(BH97,BD97:BF97)</f>
        <v>0.98436568365992827</v>
      </c>
      <c r="BI176" s="591">
        <f>BI169/SUM(BH97:BI97,BE97:BF97)</f>
        <v>1.5187281120708598</v>
      </c>
      <c r="BJ176" s="591">
        <f>BJ169/SUM(BH97:BJ97,BF97)</f>
        <v>1.3094316583365753</v>
      </c>
      <c r="BK176" s="1181">
        <f>BK169/SUM(BH97:BK97)</f>
        <v>1.4564358014146099</v>
      </c>
      <c r="BL176" s="592">
        <f>BL169/((BL97))</f>
        <v>1.4564358014146097</v>
      </c>
      <c r="BM176" s="1128">
        <f>BM169/SUM(BM97,BI97:BK97)</f>
        <v>1.6717060988048353</v>
      </c>
      <c r="BN176" s="591">
        <f>BN169/SUM(BM97:BN97,BJ97:BK97)</f>
        <v>1.7804634847194107</v>
      </c>
      <c r="BO176" s="591">
        <f>BO169/SUM(BM97:BO97,BK97)</f>
        <v>1.7037261595814797</v>
      </c>
      <c r="BP176" s="1129">
        <f>BP169/SUM(BM97:BP97)</f>
        <v>1.8550190561416851</v>
      </c>
      <c r="BQ176" s="591">
        <f>BQ169/((BQ97))</f>
        <v>1.8550190561416855</v>
      </c>
      <c r="BR176" s="1128">
        <f>BR169/SUM(BR97,BN97:BP97)</f>
        <v>1.8957711371033263</v>
      </c>
      <c r="BS176" s="591">
        <f>BS169/SUM(BR97:BS97,BO97:BP97)</f>
        <v>1.813325244530309</v>
      </c>
      <c r="BT176" s="591">
        <f>BT169/SUM(BR97:BT97,BP97)</f>
        <v>1.5226189366552885</v>
      </c>
      <c r="BU176" s="1129">
        <f>BU169/SUM(BR97:BU97)</f>
        <v>1.6323892938621238</v>
      </c>
      <c r="BV176" s="591">
        <f>BV169/((BV97))</f>
        <v>1.6323892938621238</v>
      </c>
      <c r="BW176" s="1128">
        <f>BW169/SUM(BW97,BS97:BU97)</f>
        <v>1.5513916623365454</v>
      </c>
      <c r="BX176" s="591">
        <f>BX169/SUM(BW97:BX97,BT97:BU97)</f>
        <v>1.370426554596472</v>
      </c>
      <c r="BY176" s="591">
        <f>BY169/SUM(BW97:BY97,BU97)</f>
        <v>1.2602954051730018</v>
      </c>
      <c r="BZ176" s="1129">
        <f>BZ169/SUM(BW97:BZ97)</f>
        <v>1.3035997755944082</v>
      </c>
      <c r="CA176" s="591">
        <f>CA169/((CA97))</f>
        <v>1.3035997755944084</v>
      </c>
      <c r="CB176" s="1128">
        <f>CB169/SUM(CB97,BX97:BZ97)</f>
        <v>1.1139911917010994</v>
      </c>
      <c r="CC176" s="591">
        <f>CC169/SUM(CB97:CC97,BY97:BZ97)</f>
        <v>1.0202595608330596</v>
      </c>
      <c r="CD176" s="591">
        <f>CD169/SUM(CB97:CD97,BZ97)</f>
        <v>0.98034761955538907</v>
      </c>
      <c r="CE176" s="1129">
        <f>CE169/SUM(CB97:CE97)</f>
        <v>1.0728343642338738</v>
      </c>
      <c r="CF176" s="591">
        <f>CF169/((CF97))</f>
        <v>1.072834364233874</v>
      </c>
      <c r="CG176" s="1128">
        <f>CG169/SUM(CG97,CC97:CE97)</f>
        <v>1.0980865948566174</v>
      </c>
      <c r="CH176" s="591">
        <f>CH169/SUM(CG97:CH97,CD97:CE97)</f>
        <v>1.0866669288357456</v>
      </c>
      <c r="CI176" s="591">
        <f>CI169/SUM(CG97:CI97,CE97)</f>
        <v>1.0832172474225794</v>
      </c>
      <c r="CJ176" s="1129">
        <f>CJ169/SUM(CG97:CJ97)</f>
        <v>1.0481820076717523</v>
      </c>
      <c r="CK176" s="591">
        <f>CK169/((CK97))</f>
        <v>1.0481820076717523</v>
      </c>
      <c r="CL176" s="1128">
        <f>CL169/SUM(CL97,CH97:CJ97)</f>
        <v>1.1608985336503861</v>
      </c>
      <c r="CM176" s="591">
        <f>CM169/SUM(CL97:CM97,CI97:CJ97)</f>
        <v>1.1425272151233601</v>
      </c>
      <c r="CN176" s="591">
        <f>CN169/SUM(CL97:CN97,CJ97)</f>
        <v>0.95115613306412816</v>
      </c>
      <c r="CO176" s="1129">
        <f>CO169/SUM(CL97:CO97)</f>
        <v>0.74468230441723837</v>
      </c>
      <c r="CP176" s="591">
        <f>CP169/((CP97))</f>
        <v>0.74468230441723837</v>
      </c>
      <c r="CQ176" s="1128">
        <f>CQ169/SUM(CQ97,CM97:CO97)</f>
        <v>0.71066169882161845</v>
      </c>
      <c r="CR176" s="591">
        <f>CR169/SUM(CQ97:CR97,CN97:CO97)</f>
        <v>0.53149354390600745</v>
      </c>
      <c r="CS176" s="591">
        <f>CS169/SUM(CQ97:CS97,CO97)</f>
        <v>0.46109581463945709</v>
      </c>
      <c r="CT176" s="1129">
        <f>CT169/SUM(CQ97:CT97)</f>
        <v>0.37877730404618898</v>
      </c>
      <c r="CU176" s="591">
        <f>CU169/((CU97))</f>
        <v>0.37877730404618898</v>
      </c>
      <c r="CV176" s="1128">
        <f>CV169/SUM(CV97,CR97:CT97)</f>
        <v>0.40181522936880143</v>
      </c>
      <c r="CW176" s="591">
        <f>CW169/SUM(CV97:CW97,CS97:CT97)</f>
        <v>0.17563278413523919</v>
      </c>
      <c r="CX176" s="591">
        <f>CX169/SUM(CV97:CX97,CT97)</f>
        <v>6.2258382639050855E-2</v>
      </c>
      <c r="CY176" s="1129">
        <f>CY169/SUM(CV97:CY97)</f>
        <v>-7.5847569850377272E-2</v>
      </c>
      <c r="CZ176" s="591">
        <f>CZ169/((CZ97))</f>
        <v>-7.5847569850377286E-2</v>
      </c>
    </row>
    <row r="177" spans="1:104" ht="6.2" customHeight="1">
      <c r="A177" s="362"/>
      <c r="B177" s="410"/>
      <c r="C177" s="369"/>
      <c r="D177" s="362"/>
      <c r="E177" s="76"/>
      <c r="F177" s="76"/>
      <c r="G177" s="76"/>
      <c r="H177" s="76"/>
      <c r="I177" s="76"/>
      <c r="J177" s="76"/>
      <c r="K177" s="76"/>
      <c r="L177" s="76"/>
      <c r="M177" s="76"/>
      <c r="N177" s="76"/>
      <c r="O177" s="76"/>
      <c r="P177" s="76"/>
      <c r="Q177" s="76"/>
      <c r="R177" s="76"/>
      <c r="S177" s="76"/>
      <c r="T177" s="76"/>
      <c r="U177" s="76"/>
      <c r="V177" s="76"/>
      <c r="W177" s="76"/>
      <c r="X177" s="76"/>
      <c r="Y177" s="76"/>
      <c r="Z177" s="76"/>
      <c r="AA177" s="76"/>
      <c r="AB177" s="76"/>
      <c r="AC177" s="76"/>
      <c r="AD177" s="76"/>
      <c r="AE177" s="76"/>
      <c r="AF177" s="76"/>
      <c r="AG177" s="76"/>
      <c r="AH177" s="76"/>
      <c r="AI177" s="76"/>
      <c r="AJ177" s="76"/>
      <c r="AK177" s="76"/>
      <c r="AL177" s="76"/>
      <c r="AM177" s="76"/>
      <c r="AN177" s="76"/>
      <c r="AO177" s="76"/>
      <c r="AP177" s="76"/>
      <c r="AQ177" s="76"/>
      <c r="AR177" s="76"/>
      <c r="AS177" s="1130"/>
      <c r="AT177" s="143"/>
      <c r="AU177" s="76"/>
      <c r="AV177" s="1131"/>
      <c r="AW177" s="76"/>
      <c r="AX177" s="1130"/>
      <c r="AY177" s="76"/>
      <c r="AZ177" s="76"/>
      <c r="BA177" s="1131"/>
      <c r="BB177" s="76"/>
      <c r="BC177" s="1130"/>
      <c r="BD177" s="76"/>
      <c r="BE177" s="76"/>
      <c r="BF177" s="1182"/>
      <c r="BG177" s="380"/>
      <c r="BH177" s="1130"/>
      <c r="BI177" s="76"/>
      <c r="BJ177" s="76"/>
      <c r="BK177" s="1182"/>
      <c r="BL177" s="380"/>
      <c r="BM177" s="1130"/>
      <c r="BN177" s="76"/>
      <c r="BO177" s="76"/>
      <c r="BP177" s="1131"/>
      <c r="BQ177" s="76"/>
      <c r="BR177" s="1130"/>
      <c r="BS177" s="76"/>
      <c r="BT177" s="76"/>
      <c r="BU177" s="1131"/>
      <c r="BV177" s="76"/>
      <c r="BW177" s="1130"/>
      <c r="BX177" s="76"/>
      <c r="BY177" s="76"/>
      <c r="BZ177" s="1131"/>
      <c r="CA177" s="76"/>
      <c r="CB177" s="1130"/>
      <c r="CC177" s="76"/>
      <c r="CD177" s="76"/>
      <c r="CE177" s="1131"/>
      <c r="CF177" s="76"/>
      <c r="CG177" s="1130"/>
      <c r="CH177" s="76"/>
      <c r="CI177" s="76"/>
      <c r="CJ177" s="1131"/>
      <c r="CK177" s="76"/>
      <c r="CL177" s="1130"/>
      <c r="CM177" s="76"/>
      <c r="CN177" s="76"/>
      <c r="CO177" s="1131"/>
      <c r="CP177" s="76"/>
      <c r="CQ177" s="1130"/>
      <c r="CR177" s="76"/>
      <c r="CS177" s="76"/>
      <c r="CT177" s="1131"/>
      <c r="CU177" s="76"/>
      <c r="CV177" s="1130"/>
      <c r="CW177" s="76"/>
      <c r="CX177" s="76"/>
      <c r="CY177" s="1131"/>
      <c r="CZ177" s="76"/>
    </row>
    <row r="178" spans="1:104" ht="13.5" customHeight="1">
      <c r="A178" s="362"/>
      <c r="B178" s="362" t="s">
        <v>399</v>
      </c>
      <c r="C178" s="369"/>
      <c r="D178" s="362"/>
      <c r="E178" s="96"/>
      <c r="F178" s="96"/>
      <c r="G178" s="96"/>
      <c r="H178" s="96"/>
      <c r="I178" s="96"/>
      <c r="J178" s="96"/>
      <c r="K178" s="96"/>
      <c r="L178" s="96"/>
      <c r="M178" s="96"/>
      <c r="N178" s="96"/>
      <c r="O178" s="96"/>
      <c r="P178" s="96"/>
      <c r="Q178" s="96"/>
      <c r="R178" s="96"/>
      <c r="S178" s="96"/>
      <c r="T178" s="96"/>
      <c r="U178" s="96"/>
      <c r="V178" s="96"/>
      <c r="W178" s="96"/>
      <c r="X178" s="96"/>
      <c r="Y178" s="96"/>
      <c r="Z178" s="96"/>
      <c r="AA178" s="96"/>
      <c r="AB178" s="96"/>
      <c r="AC178" s="96"/>
      <c r="AD178" s="96">
        <f>-SUM(AD94,Z94:AB94)/SUM(AD44,Z44:AB44)</f>
        <v>166.93617676495495</v>
      </c>
      <c r="AE178" s="96">
        <f>-SUM(AD94:AE94,AA94:AB94)/SUM(AD44:AE44,AA44:AB44)</f>
        <v>114.12886054095533</v>
      </c>
      <c r="AF178" s="96">
        <f>-SUM(AD94:AF94,AB94)/SUM(AD44:AF44,AB44)</f>
        <v>91.42404306220098</v>
      </c>
      <c r="AG178" s="96">
        <f>-SUM(AD94:AG94)/SUM(AD44:AG44)</f>
        <v>71.266486580258231</v>
      </c>
      <c r="AH178" s="96">
        <f>-AH94/AH44</f>
        <v>71.266486580258231</v>
      </c>
      <c r="AI178" s="96">
        <f>-SUM(AI94,AE94:AG94)/SUM(AI44,AE44:AG44)</f>
        <v>70.383694911956411</v>
      </c>
      <c r="AJ178" s="96">
        <f>-SUM(AI94:AJ94,AF94:AG94)/SUM(AI44:AJ44,AF44:AG44)</f>
        <v>59.541394031707895</v>
      </c>
      <c r="AK178" s="96">
        <f>-SUM(AI94:AK94,AG94)/SUM(AI44:AK44,AG44)</f>
        <v>55.346723810742219</v>
      </c>
      <c r="AL178" s="96">
        <f>-SUM(AI94:AL94)/SUM(AI44:AL44)</f>
        <v>49.94100497006221</v>
      </c>
      <c r="AM178" s="96">
        <f>-AM94/AM44</f>
        <v>49.94100497006221</v>
      </c>
      <c r="AN178" s="96">
        <f>-SUM(AN94,AJ94:AL94)/SUM(AN44,AJ44:AL44)</f>
        <v>37.559780678702822</v>
      </c>
      <c r="AO178" s="96">
        <f>-SUM(AN94:AO94,AK94:AL94)/SUM(AN44:AO44,AK44:AL44)</f>
        <v>33.934135706740378</v>
      </c>
      <c r="AP178" s="96">
        <f>-SUM(AN94:AP94,AL94)/SUM(AN44:AP44,AL44)</f>
        <v>31.130701982169136</v>
      </c>
      <c r="AQ178" s="96">
        <f>-SUM(AN94:AQ94)/SUM(AN44:AQ44)</f>
        <v>24.841008071108998</v>
      </c>
      <c r="AR178" s="96">
        <f>-AR94/AR44</f>
        <v>24.841008071108998</v>
      </c>
      <c r="AS178" s="1128">
        <f>-SUM(AS94,AO94:AQ94)/SUM(AS44,AO44:AQ44)</f>
        <v>16.338389222717588</v>
      </c>
      <c r="AT178" s="591">
        <f>-SUM(AS94:AT94,AP94:AQ94)/SUM(AS44:AT44,AP44:AQ44)</f>
        <v>8.2431458174552503</v>
      </c>
      <c r="AU178" s="591">
        <f>-SUM(AS94:AU94,AQ94)/SUM(AS44:AU44,AQ44)</f>
        <v>-0.18912579811127991</v>
      </c>
      <c r="AV178" s="1129">
        <f>-SUM(AS94:AV94)/SUM(AS44:AV44)</f>
        <v>-1.8624751537466149</v>
      </c>
      <c r="AW178" s="591">
        <f>-AW94/AW44</f>
        <v>-1.8624751537466149</v>
      </c>
      <c r="AX178" s="1128">
        <f>-SUM(AX94,AT94:AV94)/SUM(AX44,AT44:AV44)</f>
        <v>0.48122346648838371</v>
      </c>
      <c r="AY178" s="591">
        <f>-SUM(AX94:AY94,AU94:AV94)/SUM(AX44:AY44,AU44:AV44)</f>
        <v>2.8369246670329957</v>
      </c>
      <c r="AZ178" s="591">
        <f>-SUM(AX94:AZ94,AV94)/SUM(AX44:AZ44,AV44)</f>
        <v>3.3230275949986474</v>
      </c>
      <c r="BA178" s="1129">
        <f>-SUM(AX94:BA94)/SUM(AX44:BA44)</f>
        <v>2.6697778329403001</v>
      </c>
      <c r="BB178" s="591">
        <f>-BB94/BB44</f>
        <v>2.669777832940301</v>
      </c>
      <c r="BC178" s="1128">
        <f>-SUM(BC94,AY94:BA94)/SUM(BC44,AY44:BA44)</f>
        <v>3.8056176017391512</v>
      </c>
      <c r="BD178" s="591">
        <f>-SUM(BC94:BD94,AZ94:BA94)/SUM(BC44:BD44,AZ44:BA44)</f>
        <v>5.5184897069674594</v>
      </c>
      <c r="BE178" s="591">
        <f>-SUM(BC94:BE94,BA94)/SUM(BC44:BE44,BA44)</f>
        <v>6.6418669619851638</v>
      </c>
      <c r="BF178" s="1181">
        <f>-SUM(BC94:BF94)/SUM(BC44:BF44)</f>
        <v>7.7674093461288942</v>
      </c>
      <c r="BG178" s="592">
        <f>-BG94/BG44</f>
        <v>7.767409346128896</v>
      </c>
      <c r="BH178" s="1128">
        <f>-SUM(BH94,BD94:BF94)/SUM(BH44,BD44:BF44)</f>
        <v>7.5595612956819949</v>
      </c>
      <c r="BI178" s="591">
        <f>-SUM(BH94:BI94,BE94:BF94)/SUM(BH44:BI44,BE44:BF44)</f>
        <v>6.3639519056261351</v>
      </c>
      <c r="BJ178" s="591">
        <f>-SUM(BH94:BJ94,BF94)/SUM(BH44:BJ44,BF44)</f>
        <v>6.1534641569883881</v>
      </c>
      <c r="BK178" s="1181">
        <f>-SUM(BH94:BK94)/SUM(BH44:BK44)</f>
        <v>6.4068920998484193</v>
      </c>
      <c r="BL178" s="592">
        <f>-BL94/BL44</f>
        <v>6.4068920998484193</v>
      </c>
      <c r="BM178" s="1128">
        <f>-SUM(BM94,BI94:BK94)/SUM(BM44,BI44:BK44)</f>
        <v>6.3544614398184978</v>
      </c>
      <c r="BN178" s="591">
        <f>-SUM(BM94:BN94,BJ94:BK94)/SUM(BM44:BN44,BJ44:BK44)</f>
        <v>5.8433516861231469</v>
      </c>
      <c r="BO178" s="591">
        <f>-SUM(BM94:BO94,BK94)/SUM(BM44:BO44,BK44)</f>
        <v>6.1488011100592646</v>
      </c>
      <c r="BP178" s="1129">
        <f>-SUM(BM94:BP94)/SUM(BM44:BP44)</f>
        <v>6.2638532496414152</v>
      </c>
      <c r="BQ178" s="591">
        <f>-BQ94/BQ44</f>
        <v>6.2638532496414134</v>
      </c>
      <c r="BR178" s="1128">
        <f>-SUM(BR94,BN94:BP94)/SUM(BR44,BN44:BP44)</f>
        <v>6.3885604779056058</v>
      </c>
      <c r="BS178" s="591">
        <f>-SUM(BR94:BS94,BO94:BP94)/SUM(BR44:BS44,BO44:BP44)</f>
        <v>6.7601586447482198</v>
      </c>
      <c r="BT178" s="591">
        <f>-SUM(BR94:BT94,BP94)/SUM(BR44:BT44,BP44)</f>
        <v>7.3833475583031545</v>
      </c>
      <c r="BU178" s="1129">
        <f>-SUM(BR94:BU94)/SUM(BR44:BU44)</f>
        <v>8.0126161408505716</v>
      </c>
      <c r="BV178" s="591">
        <f>-BV94/BV44</f>
        <v>8.0126161408505698</v>
      </c>
      <c r="BW178" s="1128">
        <f>-SUM(BW94,BS94:BU94)/SUM(BW44,BS44:BU44)</f>
        <v>7.3402606631061884</v>
      </c>
      <c r="BX178" s="591">
        <f>-SUM(BW94:BX94,BT94:BU94)/SUM(BW44:BX44,BT44:BU44)</f>
        <v>7.295448166837545</v>
      </c>
      <c r="BY178" s="591">
        <f>-SUM(BW94:BY94,BU94)/SUM(BW44:BY44,BU44)</f>
        <v>6.9477321343572047</v>
      </c>
      <c r="BZ178" s="1129">
        <f>-SUM(BW94:BZ94)/SUM(BW44:BZ44)</f>
        <v>6.3077789605898289</v>
      </c>
      <c r="CA178" s="591">
        <f>-CA94/CA44</f>
        <v>6.3077789605898289</v>
      </c>
      <c r="CB178" s="1128">
        <f>-SUM(CB94,BX94:BZ94)/SUM(CB44,BX44:BZ44)</f>
        <v>6.3547086722750752</v>
      </c>
      <c r="CC178" s="591">
        <f>-SUM(CB94:CC94,BY94:BZ94)/SUM(CB44:CC44,BY44:BZ44)</f>
        <v>7.1921232572595688</v>
      </c>
      <c r="CD178" s="591">
        <f>-SUM(CB94:CD94,BZ94)/SUM(CB44:CD44,BZ44)</f>
        <v>7.5740450055189168</v>
      </c>
      <c r="CE178" s="1129">
        <f>-SUM(CB94:CE94)/SUM(CB44:CE44)</f>
        <v>7.3262684969008545</v>
      </c>
      <c r="CF178" s="591">
        <f>-CF94/CF44</f>
        <v>7.3262684969008536</v>
      </c>
      <c r="CG178" s="1128">
        <f>-SUM(CG94,CC94:CE94)/SUM(CG44,CC44:CE44)</f>
        <v>9.6793426057022298</v>
      </c>
      <c r="CH178" s="591">
        <f>-SUM(CG94:CH94,CD94:CE94)/SUM(CG44:CH44,CD44:CE44)</f>
        <v>10.231908921620258</v>
      </c>
      <c r="CI178" s="591">
        <f>-SUM(CG94:CI94,CE94)/SUM(CG44:CI44,CE44)</f>
        <v>9.9103051890229104</v>
      </c>
      <c r="CJ178" s="1129">
        <f>-SUM(CG94:CJ94)/SUM(CG44:CJ44)</f>
        <v>10.570226233991209</v>
      </c>
      <c r="CK178" s="591">
        <f>-CK94/CK44</f>
        <v>10.570226233991207</v>
      </c>
      <c r="CL178" s="1128">
        <f>-SUM(CL94,CH94:CJ94)/SUM(CL44,CH44:CJ44)</f>
        <v>10.969022565014193</v>
      </c>
      <c r="CM178" s="591">
        <f>-SUM(CL94:CM94,CI94:CJ94)/SUM(CL44:CM44,CI44:CJ44)</f>
        <v>12.484655474528061</v>
      </c>
      <c r="CN178" s="591">
        <f>-SUM(CL94:CN94,CJ94)/SUM(CL44:CN44,CJ44)</f>
        <v>14.920605853590761</v>
      </c>
      <c r="CO178" s="1129">
        <f>-SUM(CL94:CO94)/SUM(CL44:CO44)</f>
        <v>16.826551544101211</v>
      </c>
      <c r="CP178" s="591">
        <f>-CP94/CP44</f>
        <v>16.826551544101211</v>
      </c>
      <c r="CQ178" s="1128">
        <f>-SUM(CQ94,CM94:CO94)/SUM(CQ44,CM44:CO44)</f>
        <v>17.333443558983657</v>
      </c>
      <c r="CR178" s="591">
        <f>-SUM(CQ94:CR94,CN94:CO94)/SUM(CQ44:CR44,CN44:CO44)</f>
        <v>17.168920600490271</v>
      </c>
      <c r="CS178" s="591">
        <f>-SUM(CQ94:CS94,CO94)/SUM(CQ44:CS44,CO44)</f>
        <v>16.479336949595975</v>
      </c>
      <c r="CT178" s="1129">
        <f>-SUM(CQ94:CT94)/SUM(CQ44:CT44)</f>
        <v>15.491803938238464</v>
      </c>
      <c r="CU178" s="591">
        <f>-CU94/CU44</f>
        <v>15.491803938238464</v>
      </c>
      <c r="CV178" s="1128">
        <f>-SUM(CV94,CR94:CT94)/SUM(CV44,CR44:CT44)</f>
        <v>14.760673920029966</v>
      </c>
      <c r="CW178" s="591">
        <f>-SUM(CV94:CW94,CS94:CT94)/SUM(CV44:CW44,CS44:CT44)</f>
        <v>14.429537626241377</v>
      </c>
      <c r="CX178" s="591">
        <f>-SUM(CV94:CX94,CT94)/SUM(CV44:CX44,CT44)</f>
        <v>14.229673144617779</v>
      </c>
      <c r="CY178" s="1129">
        <f>-SUM(CV94:CY94)/SUM(CV44:CY44)</f>
        <v>14.717739362221577</v>
      </c>
      <c r="CZ178" s="591">
        <f>-CZ94/CZ44</f>
        <v>14.717739362221575</v>
      </c>
    </row>
    <row r="179" spans="1:104" ht="13.5" customHeight="1">
      <c r="A179" s="362"/>
      <c r="B179" s="362" t="s">
        <v>400</v>
      </c>
      <c r="C179" s="369"/>
      <c r="D179" s="362"/>
      <c r="E179" s="96"/>
      <c r="F179" s="96"/>
      <c r="G179" s="96"/>
      <c r="H179" s="96"/>
      <c r="I179" s="96"/>
      <c r="J179" s="96"/>
      <c r="K179" s="96"/>
      <c r="L179" s="96"/>
      <c r="M179" s="96"/>
      <c r="N179" s="96"/>
      <c r="O179" s="96"/>
      <c r="P179" s="96"/>
      <c r="Q179" s="96"/>
      <c r="R179" s="96"/>
      <c r="S179" s="96"/>
      <c r="T179" s="96"/>
      <c r="U179" s="96"/>
      <c r="V179" s="96"/>
      <c r="W179" s="96"/>
      <c r="X179" s="96"/>
      <c r="Y179" s="96"/>
      <c r="Z179" s="96"/>
      <c r="AA179" s="96"/>
      <c r="AB179" s="96"/>
      <c r="AC179" s="96"/>
      <c r="AD179" s="96">
        <f>-SUM(AD97,Z97:AB97)/SUM(AD44,Z44:AB44)</f>
        <v>195.77511740703673</v>
      </c>
      <c r="AE179" s="96">
        <f>-SUM(AD97:AE97,AA97:AB97)/SUM(AD44:AE44,AA44:AB44)</f>
        <v>131.98187224247076</v>
      </c>
      <c r="AF179" s="96">
        <f>-SUM(AD97:AF97,AB97)/SUM(AD44:AF44,AB44)</f>
        <v>103.62609649122807</v>
      </c>
      <c r="AG179" s="96">
        <f>-SUM(AD97:AG97)/SUM(AD44:AG44)</f>
        <v>80.285742608609439</v>
      </c>
      <c r="AH179" s="96">
        <f>-AH97/AH44</f>
        <v>80.285742608609453</v>
      </c>
      <c r="AI179" s="96">
        <f>-SUM(AI97,AE97:AG97)/SUM(AI44,AE44:AG44)</f>
        <v>79.419423095631856</v>
      </c>
      <c r="AJ179" s="96">
        <f>-SUM(AI97:AJ97,AF97:AG97)/SUM(AI44:AJ44,AF44:AG44)</f>
        <v>67.642074099500135</v>
      </c>
      <c r="AK179" s="96">
        <f>-SUM(AI97:AK97,AG97)/SUM(AI44:AK44,AG44)</f>
        <v>63.96044691784472</v>
      </c>
      <c r="AL179" s="96">
        <f>-SUM(AI97:AL97)/SUM(AI44:AL44)</f>
        <v>58.307067663288052</v>
      </c>
      <c r="AM179" s="96">
        <f>-AM97/AM44</f>
        <v>58.307067663288052</v>
      </c>
      <c r="AN179" s="96">
        <f>-SUM(AN97,AJ97:AL97)/SUM(AN44,AJ44:AL44)</f>
        <v>43.983550902711677</v>
      </c>
      <c r="AO179" s="96">
        <f>-SUM(AN97:AO97,AK97:AL97)/SUM(AN44:AO44,AK44:AL44)</f>
        <v>39.493493358505823</v>
      </c>
      <c r="AP179" s="96">
        <f>-SUM(AN97:AP97,AL97)/SUM(AN44:AP44,AL44)</f>
        <v>35.624651605643557</v>
      </c>
      <c r="AQ179" s="96">
        <f>-SUM(AN97:AQ97)/SUM(AN44:AQ44)</f>
        <v>28.920463159772282</v>
      </c>
      <c r="AR179" s="96">
        <f>-AR97/AR44</f>
        <v>28.920463159772289</v>
      </c>
      <c r="AS179" s="1128">
        <f>-SUM(AS97,AO97:AQ97)/SUM(AS44,AO44:AQ44)</f>
        <v>20.240550494281841</v>
      </c>
      <c r="AT179" s="591">
        <f>-SUM(AS97:AT97,AP97:AQ97)/SUM(AS44:AT44,AP44:AQ44)</f>
        <v>12.116265337370658</v>
      </c>
      <c r="AU179" s="591">
        <f>-SUM(AS97:AU97,AQ97)/SUM(AS44:AU44,AQ44)</f>
        <v>3.69025395540864</v>
      </c>
      <c r="AV179" s="1129">
        <f>-SUM(AS97:AV97)/SUM(AS44:AV44)</f>
        <v>1.9156428009231468</v>
      </c>
      <c r="AW179" s="591">
        <f>-AW97/AW44</f>
        <v>1.9156428009231468</v>
      </c>
      <c r="AX179" s="1128">
        <f>-SUM(AX97,AT97:AV97)/SUM(AX44,AT44:AV44)</f>
        <v>4.3233494902222969</v>
      </c>
      <c r="AY179" s="591">
        <f>-SUM(AX97:AY97,AU97:AV97)/SUM(AX44:AY44,AU44:AV44)</f>
        <v>6.6249247716984581</v>
      </c>
      <c r="AZ179" s="591">
        <f>-SUM(AX97:AZ97,AV97)/SUM(AX44:AZ44,AV44)</f>
        <v>7.0753550779690686</v>
      </c>
      <c r="BA179" s="1129">
        <f>-SUM(AX97:BA97)/SUM(AX44:BA44)</f>
        <v>6.2852798808489512</v>
      </c>
      <c r="BB179" s="591">
        <f>-BB97/BB44</f>
        <v>6.2852798808489529</v>
      </c>
      <c r="BC179" s="1128">
        <f>-SUM(BC97,AY97:BA97)/SUM(BC44,AY44:BA44)</f>
        <v>7.2765381812969565</v>
      </c>
      <c r="BD179" s="591">
        <f>-SUM(BC97:BD97,AZ97:BA97)/SUM(BC44:BD44,AZ44:BA44)</f>
        <v>8.8487762187762762</v>
      </c>
      <c r="BE179" s="591">
        <f>-SUM(BC97:BE97,BA97)/SUM(BC44:BE44,BA44)</f>
        <v>9.9121056468532451</v>
      </c>
      <c r="BF179" s="1181">
        <f>-SUM(BC97:BF97)/SUM(BC44:BF44)</f>
        <v>11.069201172180838</v>
      </c>
      <c r="BG179" s="592">
        <f>-BG97/BG44</f>
        <v>11.069201172180838</v>
      </c>
      <c r="BH179" s="1128">
        <f>-SUM(BH97,BD97:BF97)/SUM(BH44,BD44:BF44)</f>
        <v>10.891693468267466</v>
      </c>
      <c r="BI179" s="591">
        <f>-SUM(BH97:BI97,BE97:BF97)/SUM(BH44:BI44,BE44:BF44)</f>
        <v>9.731414473684211</v>
      </c>
      <c r="BJ179" s="591">
        <f>-SUM(BH97:BJ97,BF97)/SUM(BH44:BJ44,BF44)</f>
        <v>9.5580410778648677</v>
      </c>
      <c r="BK179" s="1181">
        <f>-SUM(BH97:BK97)/SUM(BH44:BK44)</f>
        <v>9.9055117202584402</v>
      </c>
      <c r="BL179" s="592">
        <f>-BL97/BL44</f>
        <v>9.905511720258442</v>
      </c>
      <c r="BM179" s="1128">
        <f>-SUM(BM97,BI97:BK97)/SUM(BM44,BI44:BK44)</f>
        <v>10.106423511568979</v>
      </c>
      <c r="BN179" s="591">
        <f>-SUM(BM97:BN97,BJ97:BK97)/SUM(BM44:BN44,BJ44:BK44)</f>
        <v>9.6835373583334921</v>
      </c>
      <c r="BO179" s="591">
        <f>-SUM(BM97:BO97,BK97)/SUM(BM44:BO44,BK44)</f>
        <v>10.073943433662288</v>
      </c>
      <c r="BP179" s="1129">
        <f>-SUM(BM97:BP97)/SUM(BM44:BP44)</f>
        <v>10.278749358493547</v>
      </c>
      <c r="BQ179" s="591">
        <f>-BQ97/BQ44</f>
        <v>10.278749358493544</v>
      </c>
      <c r="BR179" s="1128">
        <f>-SUM(BR97,BN97:BP97)/SUM(BR44,BN44:BP44)</f>
        <v>10.387630384709018</v>
      </c>
      <c r="BS179" s="591">
        <f>-SUM(BR97:BS97,BO97:BP97)/SUM(BR44:BS44,BO44:BP44)</f>
        <v>10.852860623575433</v>
      </c>
      <c r="BT179" s="591">
        <f>-SUM(BR97:BT97,BP97)/SUM(BR44:BT44,BP44)</f>
        <v>11.445958570736547</v>
      </c>
      <c r="BU179" s="1129">
        <f>-SUM(BR97:BU97)/SUM(BR44:BU44)</f>
        <v>12.172571809213171</v>
      </c>
      <c r="BV179" s="591">
        <f>-BV97/BV44</f>
        <v>12.172571809213171</v>
      </c>
      <c r="BW179" s="1128">
        <f>-SUM(BW97,BS97:BU97)/SUM(BW44,BS44:BU44)</f>
        <v>11.406988613612908</v>
      </c>
      <c r="BX179" s="591">
        <f>-SUM(BW97:BX97,BT97:BU97)/SUM(BW44:BX44,BT44:BU44)</f>
        <v>11.380155679911107</v>
      </c>
      <c r="BY179" s="591">
        <f>-SUM(BW97:BY97,BU97)/SUM(BW44:BY44,BU44)</f>
        <v>11.011045414661844</v>
      </c>
      <c r="BZ179" s="1129">
        <f>-SUM(BW97:BZ97)/SUM(BW44:BZ44)</f>
        <v>10.25058154925849</v>
      </c>
      <c r="CA179" s="591">
        <f>-CA97/CA44</f>
        <v>10.250581549258488</v>
      </c>
      <c r="CB179" s="1128">
        <f>-SUM(CB97,BX97:BZ97)/SUM(CB44,BX44:BZ44)</f>
        <v>10.212328119700414</v>
      </c>
      <c r="CC179" s="591">
        <f>-SUM(CB97:CC97,BY97:BZ97)/SUM(CB44:CC44,BY44:BZ44)</f>
        <v>11.023243939259389</v>
      </c>
      <c r="CD179" s="591">
        <f>-SUM(CB97:CD97,BZ97)/SUM(CB44:CD44,BZ44)</f>
        <v>11.391693336809233</v>
      </c>
      <c r="CE179" s="1129">
        <f>-SUM(CB97:CE97)/SUM(CB44:CE44)</f>
        <v>11.118396723682105</v>
      </c>
      <c r="CF179" s="591">
        <f>-CF97/CF44</f>
        <v>11.118396723682102</v>
      </c>
      <c r="CG179" s="1128">
        <f>-SUM(CG97,CC97:CE97)/SUM(CG44,CC44:CE44)</f>
        <v>13.552561006079788</v>
      </c>
      <c r="CH179" s="591">
        <f>-SUM(CG97:CH97,CD97:CE97)/SUM(CG44:CH44,CD44:CE44)</f>
        <v>14.081675199383257</v>
      </c>
      <c r="CI179" s="591">
        <f>-SUM(CG97:CI97,CE97)/SUM(CG44:CI44,CE44)</f>
        <v>13.780323268301899</v>
      </c>
      <c r="CJ179" s="1129">
        <f>-SUM(CG97:CJ97)/SUM(CG44:CJ44)</f>
        <v>14.530879060418039</v>
      </c>
      <c r="CK179" s="591">
        <f>-CK97/CK44</f>
        <v>14.530879060418039</v>
      </c>
      <c r="CL179" s="1128">
        <f>-SUM(CL97,CH97:CJ97)/SUM(CL44,CH44:CJ44)</f>
        <v>15.098781431889208</v>
      </c>
      <c r="CM179" s="591">
        <f>-SUM(CL97:CM97,CI97:CJ97)/SUM(CL44:CM44,CI44:CJ44)</f>
        <v>16.617750121252381</v>
      </c>
      <c r="CN179" s="591">
        <f>-SUM(CL97:CN97,CJ97)/SUM(CL44:CN44,CJ44)</f>
        <v>19.078121924885728</v>
      </c>
      <c r="CO179" s="1129">
        <f>-SUM(CL97:CO97)/SUM(CL44:CO44)</f>
        <v>20.850161872487593</v>
      </c>
      <c r="CP179" s="591">
        <f>-CP97/CP44</f>
        <v>20.850161872487593</v>
      </c>
      <c r="CQ179" s="1128">
        <f>-SUM(CQ97,CM97:CO97)/SUM(CQ44,CM44:CO44)</f>
        <v>21.175493291350012</v>
      </c>
      <c r="CR179" s="591">
        <f>-SUM(CQ97:CR97,CN97:CO97)/SUM(CQ44:CR44,CN44:CO44)</f>
        <v>21.010970332856626</v>
      </c>
      <c r="CS179" s="591">
        <f>-SUM(CQ97:CS97,CO97)/SUM(CQ44:CS44,CO44)</f>
        <v>20.321386681962331</v>
      </c>
      <c r="CT179" s="1129">
        <f>-SUM(CQ97:CT97)/SUM(CQ44:CT44)</f>
        <v>19.333853670604817</v>
      </c>
      <c r="CU179" s="591">
        <f>-CU97/CU44</f>
        <v>19.333853670604817</v>
      </c>
      <c r="CV179" s="1128">
        <f>-SUM(CV97,CR97:CT97)/SUM(CV44,CR44:CT44)</f>
        <v>18.602723652396321</v>
      </c>
      <c r="CW179" s="591">
        <f>-SUM(CV97:CW97,CS97:CT97)/SUM(CV44:CW44,CS44:CT44)</f>
        <v>18.271587358607732</v>
      </c>
      <c r="CX179" s="591">
        <f>-SUM(CV97:CX97,CT97)/SUM(CV44:CX44,CT44)</f>
        <v>18.071722876984133</v>
      </c>
      <c r="CY179" s="1129">
        <f>-SUM(CV97:CY97)/SUM(CV44:CY44)</f>
        <v>18.559789094587931</v>
      </c>
      <c r="CZ179" s="591">
        <f>-CZ97/CZ44</f>
        <v>18.559789094587927</v>
      </c>
    </row>
    <row r="180" spans="1:104" ht="6.2" customHeight="1">
      <c r="A180" s="362"/>
      <c r="B180" s="362"/>
      <c r="C180" s="369"/>
      <c r="D180" s="362"/>
      <c r="E180" s="20"/>
      <c r="F180" s="20"/>
      <c r="G180" s="20"/>
      <c r="H180" s="20"/>
      <c r="I180" s="20"/>
      <c r="J180" s="96"/>
      <c r="K180" s="96"/>
      <c r="L180" s="96"/>
      <c r="M180" s="96"/>
      <c r="N180" s="96"/>
      <c r="O180" s="96"/>
      <c r="P180" s="96"/>
      <c r="Q180" s="96"/>
      <c r="R180" s="96"/>
      <c r="S180" s="96"/>
      <c r="T180" s="20"/>
      <c r="U180" s="20"/>
      <c r="V180" s="96"/>
      <c r="W180" s="96"/>
      <c r="X180" s="96"/>
      <c r="Y180" s="20"/>
      <c r="Z180" s="20"/>
      <c r="AA180" s="20"/>
      <c r="AB180" s="20"/>
      <c r="AC180" s="20"/>
      <c r="AD180" s="20"/>
      <c r="AE180" s="20"/>
      <c r="AF180" s="20"/>
      <c r="AG180" s="20"/>
      <c r="AH180" s="20"/>
      <c r="AI180" s="20"/>
      <c r="AJ180" s="20"/>
      <c r="AK180" s="20"/>
      <c r="AL180" s="20"/>
      <c r="AM180" s="20"/>
      <c r="AN180" s="20"/>
      <c r="AO180" s="20"/>
      <c r="AP180" s="20"/>
      <c r="AQ180" s="66"/>
      <c r="AR180" s="66"/>
      <c r="AS180" s="859"/>
      <c r="AT180" s="20"/>
      <c r="AU180" s="20"/>
      <c r="AV180" s="860"/>
      <c r="AW180" s="66"/>
      <c r="AX180" s="859"/>
      <c r="AY180" s="20"/>
      <c r="AZ180" s="20"/>
      <c r="BA180" s="860"/>
      <c r="BB180" s="66"/>
      <c r="BC180" s="859"/>
      <c r="BD180" s="20"/>
      <c r="BE180" s="20"/>
      <c r="BF180" s="954"/>
      <c r="BG180" s="362"/>
      <c r="BH180" s="859"/>
      <c r="BI180" s="20"/>
      <c r="BJ180" s="20"/>
      <c r="BK180" s="954"/>
      <c r="BL180" s="362"/>
      <c r="BM180" s="859"/>
      <c r="BN180" s="20"/>
      <c r="BO180" s="20"/>
      <c r="BP180" s="860"/>
      <c r="BQ180" s="66"/>
      <c r="BR180" s="859"/>
      <c r="BS180" s="20"/>
      <c r="BT180" s="20"/>
      <c r="BU180" s="860"/>
      <c r="BV180" s="66"/>
      <c r="BW180" s="859"/>
      <c r="BX180" s="20"/>
      <c r="BY180" s="20"/>
      <c r="BZ180" s="860"/>
      <c r="CA180" s="66"/>
      <c r="CB180" s="859"/>
      <c r="CC180" s="20"/>
      <c r="CD180" s="495"/>
      <c r="CE180" s="944"/>
      <c r="CF180" s="453"/>
      <c r="CG180" s="981"/>
      <c r="CH180" s="495"/>
      <c r="CI180" s="20"/>
      <c r="CJ180" s="944"/>
      <c r="CK180" s="453"/>
      <c r="CL180" s="859"/>
      <c r="CM180" s="20"/>
      <c r="CN180" s="20"/>
      <c r="CO180" s="860"/>
      <c r="CP180" s="66"/>
      <c r="CQ180" s="859"/>
      <c r="CR180" s="20"/>
      <c r="CS180" s="20"/>
      <c r="CT180" s="860"/>
      <c r="CU180" s="66"/>
      <c r="CV180" s="859"/>
      <c r="CW180" s="20"/>
      <c r="CX180" s="20"/>
      <c r="CY180" s="860"/>
      <c r="CZ180" s="66"/>
    </row>
    <row r="181" spans="1:104" ht="13.5" customHeight="1">
      <c r="A181" s="411" t="s">
        <v>97</v>
      </c>
      <c r="B181" s="362"/>
      <c r="C181" s="369"/>
      <c r="D181" s="362"/>
      <c r="E181" s="20"/>
      <c r="F181" s="20"/>
      <c r="G181" s="20"/>
      <c r="H181" s="20"/>
      <c r="I181" s="20"/>
      <c r="J181" s="96"/>
      <c r="K181" s="96"/>
      <c r="L181" s="96"/>
      <c r="M181" s="96"/>
      <c r="N181" s="96"/>
      <c r="O181" s="96"/>
      <c r="P181" s="96"/>
      <c r="Q181" s="96"/>
      <c r="R181" s="96"/>
      <c r="S181" s="96"/>
      <c r="T181" s="20"/>
      <c r="U181" s="20"/>
      <c r="V181" s="96"/>
      <c r="W181" s="96"/>
      <c r="X181" s="96"/>
      <c r="Y181" s="20"/>
      <c r="Z181" s="20"/>
      <c r="AA181" s="20"/>
      <c r="AB181" s="20"/>
      <c r="AC181" s="20"/>
      <c r="AD181" s="20"/>
      <c r="AE181" s="20"/>
      <c r="AF181" s="20"/>
      <c r="AG181" s="20"/>
      <c r="AH181" s="20"/>
      <c r="AI181" s="20"/>
      <c r="AJ181" s="20"/>
      <c r="AK181" s="20"/>
      <c r="AL181" s="20"/>
      <c r="AM181" s="20"/>
      <c r="AN181" s="20"/>
      <c r="AO181" s="20"/>
      <c r="AP181" s="20"/>
      <c r="AQ181" s="66"/>
      <c r="AR181" s="66"/>
      <c r="AS181" s="859"/>
      <c r="AT181" s="20"/>
      <c r="AU181" s="20"/>
      <c r="AV181" s="860"/>
      <c r="AW181" s="66"/>
      <c r="AX181" s="859"/>
      <c r="AY181" s="20"/>
      <c r="AZ181" s="20"/>
      <c r="BA181" s="860"/>
      <c r="BB181" s="66"/>
      <c r="BC181" s="859"/>
      <c r="BD181" s="20"/>
      <c r="BE181" s="20"/>
      <c r="BF181" s="954"/>
      <c r="BG181" s="362"/>
      <c r="BH181" s="859"/>
      <c r="BI181" s="20"/>
      <c r="BJ181" s="20"/>
      <c r="BK181" s="954"/>
      <c r="BL181" s="362"/>
      <c r="BM181" s="859"/>
      <c r="BN181" s="20"/>
      <c r="BO181" s="20"/>
      <c r="BP181" s="860"/>
      <c r="BQ181" s="66"/>
      <c r="BR181" s="859"/>
      <c r="BS181" s="20"/>
      <c r="BT181" s="20"/>
      <c r="BU181" s="860"/>
      <c r="BV181" s="66"/>
      <c r="BW181" s="859"/>
      <c r="BX181" s="20"/>
      <c r="BY181" s="20"/>
      <c r="BZ181" s="860"/>
      <c r="CA181" s="66"/>
      <c r="CB181" s="859"/>
      <c r="CC181" s="20"/>
      <c r="CD181" s="495"/>
      <c r="CE181" s="944"/>
      <c r="CF181" s="453"/>
      <c r="CG181" s="981"/>
      <c r="CH181" s="495"/>
      <c r="CI181" s="20"/>
      <c r="CJ181" s="944"/>
      <c r="CK181" s="453"/>
      <c r="CL181" s="859"/>
      <c r="CM181" s="20"/>
      <c r="CN181" s="20"/>
      <c r="CO181" s="860"/>
      <c r="CP181" s="66"/>
      <c r="CQ181" s="859"/>
      <c r="CR181" s="20"/>
      <c r="CS181" s="20"/>
      <c r="CT181" s="860"/>
      <c r="CU181" s="66"/>
      <c r="CV181" s="859"/>
      <c r="CW181" s="20"/>
      <c r="CX181" s="20"/>
      <c r="CY181" s="860"/>
      <c r="CZ181" s="66"/>
    </row>
    <row r="182" spans="1:104" ht="13.5" customHeight="1">
      <c r="A182" s="362"/>
      <c r="B182" s="362" t="s">
        <v>277</v>
      </c>
      <c r="C182" s="369"/>
      <c r="D182" s="362"/>
      <c r="E182" s="98"/>
      <c r="F182" s="98"/>
      <c r="G182" s="98"/>
      <c r="H182" s="98"/>
      <c r="I182" s="98"/>
      <c r="J182" s="97">
        <f t="shared" ref="J182:AM182" si="207">J149/J73</f>
        <v>7.7691618798739137</v>
      </c>
      <c r="K182" s="97">
        <f t="shared" si="207"/>
        <v>7.9174864892855883</v>
      </c>
      <c r="L182" s="97">
        <f t="shared" si="207"/>
        <v>8.0047435760541301</v>
      </c>
      <c r="M182" s="97">
        <f t="shared" si="207"/>
        <v>8.1215014606553275</v>
      </c>
      <c r="N182" s="97">
        <f t="shared" si="207"/>
        <v>8.1336643635113379</v>
      </c>
      <c r="O182" s="97">
        <f t="shared" si="207"/>
        <v>7.990677216169412</v>
      </c>
      <c r="P182" s="97">
        <f t="shared" si="207"/>
        <v>7.9519516369537486</v>
      </c>
      <c r="Q182" s="97">
        <f t="shared" si="207"/>
        <v>7.9773528954638868</v>
      </c>
      <c r="R182" s="97">
        <f t="shared" si="207"/>
        <v>8.0281888623126179</v>
      </c>
      <c r="S182" s="97">
        <f t="shared" si="207"/>
        <v>7.9954486088466012</v>
      </c>
      <c r="T182" s="98">
        <f t="shared" si="207"/>
        <v>8.232574160613602</v>
      </c>
      <c r="U182" s="98">
        <f t="shared" si="207"/>
        <v>9.1190899441126447</v>
      </c>
      <c r="V182" s="98">
        <f t="shared" si="207"/>
        <v>10.329192800826219</v>
      </c>
      <c r="W182" s="98">
        <f t="shared" si="207"/>
        <v>11.393682346736318</v>
      </c>
      <c r="X182" s="98">
        <f t="shared" si="207"/>
        <v>11.457347063763155</v>
      </c>
      <c r="Y182" s="98">
        <f t="shared" si="207"/>
        <v>12.484997620657699</v>
      </c>
      <c r="Z182" s="98">
        <f t="shared" si="207"/>
        <v>12.786107594936709</v>
      </c>
      <c r="AA182" s="98">
        <f t="shared" si="207"/>
        <v>13.665386441809131</v>
      </c>
      <c r="AB182" s="98">
        <f t="shared" si="207"/>
        <v>14.437360027365257</v>
      </c>
      <c r="AC182" s="98">
        <f t="shared" si="207"/>
        <v>14.236412351713255</v>
      </c>
      <c r="AD182" s="98">
        <f t="shared" si="207"/>
        <v>15.288961645193904</v>
      </c>
      <c r="AE182" s="98">
        <f t="shared" si="207"/>
        <v>15.639882285821116</v>
      </c>
      <c r="AF182" s="98">
        <f t="shared" si="207"/>
        <v>15.930391851329411</v>
      </c>
      <c r="AG182" s="98">
        <f t="shared" si="207"/>
        <v>16.840327723855413</v>
      </c>
      <c r="AH182" s="98">
        <f t="shared" si="207"/>
        <v>16.517384654019132</v>
      </c>
      <c r="AI182" s="98">
        <f t="shared" si="207"/>
        <v>17.733953639788194</v>
      </c>
      <c r="AJ182" s="98">
        <f t="shared" si="207"/>
        <v>17.981692786639318</v>
      </c>
      <c r="AK182" s="98">
        <f t="shared" si="207"/>
        <v>17.464796517182084</v>
      </c>
      <c r="AL182" s="98">
        <f t="shared" si="207"/>
        <v>18.75673112991289</v>
      </c>
      <c r="AM182" s="98">
        <f t="shared" si="207"/>
        <v>18.254521915784704</v>
      </c>
      <c r="AN182" s="98">
        <f t="shared" ref="AN182:BS182" si="208">AN149/AN73</f>
        <v>19.822055598734241</v>
      </c>
      <c r="AO182" s="98">
        <f t="shared" si="208"/>
        <v>28.148852351288465</v>
      </c>
      <c r="AP182" s="98">
        <f t="shared" si="208"/>
        <v>26.739183424741011</v>
      </c>
      <c r="AQ182" s="97">
        <f t="shared" si="208"/>
        <v>26.28386203383895</v>
      </c>
      <c r="AR182" s="97">
        <f t="shared" si="208"/>
        <v>27.113310894015267</v>
      </c>
      <c r="AS182" s="927">
        <f t="shared" si="208"/>
        <v>25.020720987277254</v>
      </c>
      <c r="AT182" s="583">
        <f t="shared" si="208"/>
        <v>24.477188389589266</v>
      </c>
      <c r="AU182" s="583">
        <f t="shared" si="208"/>
        <v>24.062721108724411</v>
      </c>
      <c r="AV182" s="928">
        <f t="shared" si="208"/>
        <v>24.056182875847671</v>
      </c>
      <c r="AW182" s="557">
        <f t="shared" si="208"/>
        <v>24.086321910445104</v>
      </c>
      <c r="AX182" s="927">
        <f t="shared" si="208"/>
        <v>23.804343484614581</v>
      </c>
      <c r="AY182" s="583">
        <f t="shared" si="208"/>
        <v>23.556924467251456</v>
      </c>
      <c r="AZ182" s="583">
        <f t="shared" si="208"/>
        <v>23.49718078697628</v>
      </c>
      <c r="BA182" s="928">
        <f t="shared" si="208"/>
        <v>23.174271091174059</v>
      </c>
      <c r="BB182" s="557">
        <f t="shared" si="208"/>
        <v>23.201188750545953</v>
      </c>
      <c r="BC182" s="927">
        <f t="shared" si="208"/>
        <v>23.542983938470279</v>
      </c>
      <c r="BD182" s="583">
        <f t="shared" si="208"/>
        <v>24.227034414840396</v>
      </c>
      <c r="BE182" s="583">
        <f t="shared" si="208"/>
        <v>24.202633577801805</v>
      </c>
      <c r="BF182" s="978">
        <f t="shared" si="208"/>
        <v>24.280875759704848</v>
      </c>
      <c r="BG182" s="558">
        <f t="shared" si="208"/>
        <v>24.309329177989504</v>
      </c>
      <c r="BH182" s="927">
        <f t="shared" si="208"/>
        <v>24.538784786379132</v>
      </c>
      <c r="BI182" s="583">
        <f t="shared" si="208"/>
        <v>24.475380139948108</v>
      </c>
      <c r="BJ182" s="583">
        <f t="shared" si="208"/>
        <v>24.69226880359728</v>
      </c>
      <c r="BK182" s="978">
        <f t="shared" si="208"/>
        <v>24.753727009320272</v>
      </c>
      <c r="BL182" s="558">
        <f t="shared" si="208"/>
        <v>24.783524530911155</v>
      </c>
      <c r="BM182" s="927">
        <f t="shared" si="208"/>
        <v>24.482540808193651</v>
      </c>
      <c r="BN182" s="583">
        <f t="shared" si="208"/>
        <v>24.368632468179978</v>
      </c>
      <c r="BO182" s="583">
        <f t="shared" si="208"/>
        <v>24.623437015604008</v>
      </c>
      <c r="BP182" s="928">
        <f t="shared" si="208"/>
        <v>24.769079505637823</v>
      </c>
      <c r="BQ182" s="557">
        <f t="shared" si="208"/>
        <v>24.79145586703973</v>
      </c>
      <c r="BR182" s="927">
        <f t="shared" si="208"/>
        <v>24.602228447129153</v>
      </c>
      <c r="BS182" s="583">
        <f t="shared" si="208"/>
        <v>24.855136021120266</v>
      </c>
      <c r="BT182" s="583">
        <f t="shared" ref="BT182:CZ182" si="209">BT149/BT73</f>
        <v>25.047271602353579</v>
      </c>
      <c r="BU182" s="928">
        <f t="shared" si="209"/>
        <v>25.222369025197015</v>
      </c>
      <c r="BV182" s="557">
        <f t="shared" si="209"/>
        <v>25.247012220000659</v>
      </c>
      <c r="BW182" s="927">
        <f t="shared" si="209"/>
        <v>24.680926587890042</v>
      </c>
      <c r="BX182" s="583">
        <f t="shared" si="209"/>
        <v>24.882794705871337</v>
      </c>
      <c r="BY182" s="583">
        <f t="shared" si="209"/>
        <v>25.083741923015779</v>
      </c>
      <c r="BZ182" s="928">
        <f t="shared" si="209"/>
        <v>24.288406407436874</v>
      </c>
      <c r="CA182" s="557">
        <f t="shared" si="209"/>
        <v>24.289448255154213</v>
      </c>
      <c r="CB182" s="927">
        <f t="shared" si="209"/>
        <v>24.364340308232052</v>
      </c>
      <c r="CC182" s="583">
        <f t="shared" si="209"/>
        <v>24.801819263527051</v>
      </c>
      <c r="CD182" s="583">
        <f t="shared" si="209"/>
        <v>25.303658944695169</v>
      </c>
      <c r="CE182" s="928">
        <f t="shared" si="209"/>
        <v>25.802332450823798</v>
      </c>
      <c r="CF182" s="557">
        <f t="shared" si="209"/>
        <v>25.83123828478266</v>
      </c>
      <c r="CG182" s="927">
        <f t="shared" si="209"/>
        <v>26.444210927350856</v>
      </c>
      <c r="CH182" s="583">
        <f t="shared" si="209"/>
        <v>27.18743036896258</v>
      </c>
      <c r="CI182" s="583">
        <f t="shared" si="209"/>
        <v>27.677521743476955</v>
      </c>
      <c r="CJ182" s="928">
        <f t="shared" si="209"/>
        <v>28.460223677203103</v>
      </c>
      <c r="CK182" s="557">
        <f t="shared" si="209"/>
        <v>28.390650086056777</v>
      </c>
      <c r="CL182" s="927">
        <f t="shared" si="209"/>
        <v>29.186931980051405</v>
      </c>
      <c r="CM182" s="583">
        <f t="shared" si="209"/>
        <v>30.673687730155319</v>
      </c>
      <c r="CN182" s="583">
        <f t="shared" si="209"/>
        <v>32.103291300194563</v>
      </c>
      <c r="CO182" s="928">
        <f t="shared" si="209"/>
        <v>33.38155378387173</v>
      </c>
      <c r="CP182" s="557">
        <f t="shared" si="209"/>
        <v>33.34211152638256</v>
      </c>
      <c r="CQ182" s="927">
        <f t="shared" si="209"/>
        <v>34.752298172425284</v>
      </c>
      <c r="CR182" s="583">
        <f t="shared" si="209"/>
        <v>36.035968192770454</v>
      </c>
      <c r="CS182" s="583">
        <f t="shared" si="209"/>
        <v>37.175868423364093</v>
      </c>
      <c r="CT182" s="928">
        <f t="shared" si="209"/>
        <v>38.036392464208667</v>
      </c>
      <c r="CU182" s="557">
        <f t="shared" si="209"/>
        <v>38.036392464208667</v>
      </c>
      <c r="CV182" s="927">
        <f t="shared" si="209"/>
        <v>39.100262378979245</v>
      </c>
      <c r="CW182" s="583">
        <f t="shared" si="209"/>
        <v>40.25037065607917</v>
      </c>
      <c r="CX182" s="583">
        <f t="shared" si="209"/>
        <v>41.314056853701771</v>
      </c>
      <c r="CY182" s="928">
        <f t="shared" si="209"/>
        <v>42.39665379561054</v>
      </c>
      <c r="CZ182" s="557">
        <f t="shared" si="209"/>
        <v>42.39665379561054</v>
      </c>
    </row>
    <row r="183" spans="1:104" ht="13.5" customHeight="1">
      <c r="A183" s="362"/>
      <c r="B183" s="362" t="s">
        <v>278</v>
      </c>
      <c r="C183" s="362"/>
      <c r="D183" s="362"/>
      <c r="E183" s="98"/>
      <c r="F183" s="98"/>
      <c r="G183" s="98"/>
      <c r="H183" s="98"/>
      <c r="I183" s="98"/>
      <c r="J183" s="97">
        <f t="shared" ref="J183:X183" si="210">(J149)/J73</f>
        <v>7.7691618798739137</v>
      </c>
      <c r="K183" s="97">
        <f t="shared" si="210"/>
        <v>7.9174864892855883</v>
      </c>
      <c r="L183" s="97">
        <f t="shared" si="210"/>
        <v>8.0047435760541301</v>
      </c>
      <c r="M183" s="97">
        <f t="shared" si="210"/>
        <v>8.1215014606553275</v>
      </c>
      <c r="N183" s="97">
        <f t="shared" si="210"/>
        <v>8.1336643635113379</v>
      </c>
      <c r="O183" s="97">
        <f t="shared" si="210"/>
        <v>7.990677216169412</v>
      </c>
      <c r="P183" s="97">
        <f t="shared" si="210"/>
        <v>7.9519516369537486</v>
      </c>
      <c r="Q183" s="97">
        <f t="shared" si="210"/>
        <v>7.9773528954638868</v>
      </c>
      <c r="R183" s="97">
        <f t="shared" si="210"/>
        <v>8.0281888623126179</v>
      </c>
      <c r="S183" s="97">
        <f t="shared" si="210"/>
        <v>7.9954486088466012</v>
      </c>
      <c r="T183" s="98">
        <f t="shared" si="210"/>
        <v>8.232574160613602</v>
      </c>
      <c r="U183" s="98">
        <f t="shared" si="210"/>
        <v>9.1190899441126447</v>
      </c>
      <c r="V183" s="98">
        <f t="shared" si="210"/>
        <v>10.329192800826219</v>
      </c>
      <c r="W183" s="98">
        <f t="shared" si="210"/>
        <v>11.393682346736318</v>
      </c>
      <c r="X183" s="98">
        <f t="shared" si="210"/>
        <v>11.457347063763155</v>
      </c>
      <c r="Y183" s="98">
        <f t="shared" ref="Y183:AM183" si="211">(Y149-Y122-Y123)/Y73</f>
        <v>12.484997620657699</v>
      </c>
      <c r="Z183" s="98">
        <f t="shared" si="211"/>
        <v>12.786107594936709</v>
      </c>
      <c r="AA183" s="98">
        <f t="shared" si="211"/>
        <v>13.665386441809131</v>
      </c>
      <c r="AB183" s="98">
        <f t="shared" si="211"/>
        <v>14.437360027365257</v>
      </c>
      <c r="AC183" s="98">
        <f t="shared" si="211"/>
        <v>14.236412351713255</v>
      </c>
      <c r="AD183" s="98">
        <f t="shared" si="211"/>
        <v>15.288961645193904</v>
      </c>
      <c r="AE183" s="98">
        <f t="shared" si="211"/>
        <v>15.639882285821116</v>
      </c>
      <c r="AF183" s="98">
        <f t="shared" si="211"/>
        <v>15.930391851329411</v>
      </c>
      <c r="AG183" s="98">
        <f t="shared" si="211"/>
        <v>16.840327723855413</v>
      </c>
      <c r="AH183" s="98">
        <f t="shared" si="211"/>
        <v>16.517384654019132</v>
      </c>
      <c r="AI183" s="98">
        <f t="shared" si="211"/>
        <v>14.633768943042975</v>
      </c>
      <c r="AJ183" s="98">
        <f t="shared" si="211"/>
        <v>14.900840352868551</v>
      </c>
      <c r="AK183" s="98">
        <f t="shared" si="211"/>
        <v>13.083419766902312</v>
      </c>
      <c r="AL183" s="98">
        <f t="shared" si="211"/>
        <v>14.179621834146069</v>
      </c>
      <c r="AM183" s="98">
        <f t="shared" si="211"/>
        <v>13.79996416945818</v>
      </c>
      <c r="AN183" s="98">
        <f t="shared" ref="AN183:BS183" si="212">(AN149-AN122-AN123)/AN73</f>
        <v>10.82582718036973</v>
      </c>
      <c r="AO183" s="98">
        <f t="shared" si="212"/>
        <v>19.180193923463268</v>
      </c>
      <c r="AP183" s="98">
        <f t="shared" si="212"/>
        <v>17.937416525371553</v>
      </c>
      <c r="AQ183" s="98">
        <f t="shared" si="212"/>
        <v>17.75698664586881</v>
      </c>
      <c r="AR183" s="98">
        <f t="shared" si="212"/>
        <v>18.317349971266722</v>
      </c>
      <c r="AS183" s="927">
        <f t="shared" si="212"/>
        <v>16.575708118185663</v>
      </c>
      <c r="AT183" s="583">
        <f t="shared" si="212"/>
        <v>15.903622534566898</v>
      </c>
      <c r="AU183" s="583">
        <f t="shared" si="212"/>
        <v>15.461876493227527</v>
      </c>
      <c r="AV183" s="928">
        <f t="shared" si="212"/>
        <v>15.473353337097254</v>
      </c>
      <c r="AW183" s="583">
        <f t="shared" si="212"/>
        <v>15.492739285980825</v>
      </c>
      <c r="AX183" s="927">
        <f t="shared" si="212"/>
        <v>15.129936822618328</v>
      </c>
      <c r="AY183" s="583">
        <f t="shared" si="212"/>
        <v>14.980424808513872</v>
      </c>
      <c r="AZ183" s="583">
        <f t="shared" si="212"/>
        <v>14.9515626630574</v>
      </c>
      <c r="BA183" s="928">
        <f t="shared" si="212"/>
        <v>14.662819406377535</v>
      </c>
      <c r="BB183" s="583">
        <f t="shared" si="212"/>
        <v>14.679850741544868</v>
      </c>
      <c r="BC183" s="927">
        <f t="shared" si="212"/>
        <v>15.036886242675971</v>
      </c>
      <c r="BD183" s="583">
        <f t="shared" si="212"/>
        <v>15.790657521361318</v>
      </c>
      <c r="BE183" s="583">
        <f t="shared" si="212"/>
        <v>15.905968413455328</v>
      </c>
      <c r="BF183" s="978">
        <f t="shared" si="212"/>
        <v>16.040930329276321</v>
      </c>
      <c r="BG183" s="593">
        <f t="shared" si="212"/>
        <v>16.059727810258924</v>
      </c>
      <c r="BH183" s="927">
        <f t="shared" si="212"/>
        <v>16.203582749166642</v>
      </c>
      <c r="BI183" s="583">
        <f t="shared" si="212"/>
        <v>15.106410881358597</v>
      </c>
      <c r="BJ183" s="583">
        <f t="shared" si="212"/>
        <v>15.307162841523191</v>
      </c>
      <c r="BK183" s="978">
        <f t="shared" si="212"/>
        <v>15.449849789516977</v>
      </c>
      <c r="BL183" s="593">
        <f t="shared" si="212"/>
        <v>15.468447685199742</v>
      </c>
      <c r="BM183" s="927">
        <f t="shared" si="212"/>
        <v>15.30329226887909</v>
      </c>
      <c r="BN183" s="583">
        <f t="shared" si="212"/>
        <v>15.28808132880531</v>
      </c>
      <c r="BO183" s="583">
        <f t="shared" si="212"/>
        <v>15.60478923783667</v>
      </c>
      <c r="BP183" s="928">
        <f t="shared" si="212"/>
        <v>15.852016996439765</v>
      </c>
      <c r="BQ183" s="583">
        <f t="shared" si="212"/>
        <v>15.866337692579513</v>
      </c>
      <c r="BR183" s="927">
        <f t="shared" si="212"/>
        <v>15.807436503341105</v>
      </c>
      <c r="BS183" s="583">
        <f t="shared" si="212"/>
        <v>16.05326359976603</v>
      </c>
      <c r="BT183" s="583">
        <f t="shared" ref="BT183:CZ183" si="213">(BT149-BT122-BT123)/BT73</f>
        <v>16.292107129800044</v>
      </c>
      <c r="BU183" s="928">
        <f t="shared" si="213"/>
        <v>16.068244642472287</v>
      </c>
      <c r="BV183" s="583">
        <f t="shared" si="213"/>
        <v>16.083943916496924</v>
      </c>
      <c r="BW183" s="927">
        <f t="shared" si="213"/>
        <v>15.69564647300313</v>
      </c>
      <c r="BX183" s="583">
        <f t="shared" si="213"/>
        <v>15.943342714332957</v>
      </c>
      <c r="BY183" s="583">
        <f t="shared" si="213"/>
        <v>16.303607329989806</v>
      </c>
      <c r="BZ183" s="928">
        <f t="shared" si="213"/>
        <v>15.610135229984564</v>
      </c>
      <c r="CA183" s="583">
        <f t="shared" si="213"/>
        <v>15.61080482450155</v>
      </c>
      <c r="CB183" s="927">
        <f t="shared" si="213"/>
        <v>15.649567723342939</v>
      </c>
      <c r="CC183" s="583">
        <f t="shared" si="213"/>
        <v>16.124029308617231</v>
      </c>
      <c r="CD183" s="583">
        <f t="shared" si="213"/>
        <v>16.595039047717339</v>
      </c>
      <c r="CE183" s="928">
        <f t="shared" si="213"/>
        <v>16.676445122389591</v>
      </c>
      <c r="CF183" s="583">
        <f t="shared" si="213"/>
        <v>16.695127408367053</v>
      </c>
      <c r="CG183" s="927">
        <f t="shared" si="213"/>
        <v>16.617439667232937</v>
      </c>
      <c r="CH183" s="583">
        <f t="shared" si="213"/>
        <v>17.430131787953403</v>
      </c>
      <c r="CI183" s="583">
        <f t="shared" si="213"/>
        <v>17.841250749775067</v>
      </c>
      <c r="CJ183" s="928">
        <f t="shared" si="213"/>
        <v>18.715215688731565</v>
      </c>
      <c r="CK183" s="583">
        <f t="shared" si="213"/>
        <v>18.669464651097027</v>
      </c>
      <c r="CL183" s="927">
        <f t="shared" si="213"/>
        <v>19.520422890166895</v>
      </c>
      <c r="CM183" s="583">
        <f t="shared" si="213"/>
        <v>20.961438412901828</v>
      </c>
      <c r="CN183" s="583">
        <f t="shared" si="213"/>
        <v>22.391041982941072</v>
      </c>
      <c r="CO183" s="928">
        <f t="shared" si="213"/>
        <v>23.66930446661824</v>
      </c>
      <c r="CP183" s="583">
        <f t="shared" si="213"/>
        <v>23.641337799535982</v>
      </c>
      <c r="CQ183" s="927">
        <f t="shared" si="213"/>
        <v>25.040048855171797</v>
      </c>
      <c r="CR183" s="583">
        <f t="shared" si="213"/>
        <v>26.323718875516967</v>
      </c>
      <c r="CS183" s="583">
        <f t="shared" si="213"/>
        <v>27.463619106110606</v>
      </c>
      <c r="CT183" s="928">
        <f t="shared" si="213"/>
        <v>28.324143146955176</v>
      </c>
      <c r="CU183" s="583">
        <f t="shared" si="213"/>
        <v>28.324143146955176</v>
      </c>
      <c r="CV183" s="927">
        <f t="shared" si="213"/>
        <v>29.388013061725758</v>
      </c>
      <c r="CW183" s="583">
        <f t="shared" si="213"/>
        <v>30.538121338825679</v>
      </c>
      <c r="CX183" s="583">
        <f t="shared" si="213"/>
        <v>31.601807536448284</v>
      </c>
      <c r="CY183" s="928">
        <f t="shared" si="213"/>
        <v>32.684404478357052</v>
      </c>
      <c r="CZ183" s="583">
        <f t="shared" si="213"/>
        <v>32.684404478357052</v>
      </c>
    </row>
    <row r="184" spans="1:104" ht="13.5" customHeight="1">
      <c r="A184" s="362"/>
      <c r="B184" s="404"/>
      <c r="C184" s="362"/>
      <c r="D184" s="362"/>
      <c r="E184" s="20"/>
      <c r="F184" s="20"/>
      <c r="G184" s="20"/>
      <c r="H184" s="20"/>
      <c r="I184" s="20"/>
      <c r="J184" s="76"/>
      <c r="K184" s="76"/>
      <c r="L184" s="76"/>
      <c r="M184" s="76"/>
      <c r="N184" s="76"/>
      <c r="O184" s="76"/>
      <c r="P184" s="76"/>
      <c r="Q184" s="76"/>
      <c r="R184" s="76"/>
      <c r="S184" s="76"/>
      <c r="T184" s="20"/>
      <c r="U184" s="20"/>
      <c r="V184" s="76"/>
      <c r="W184" s="76"/>
      <c r="X184" s="76"/>
      <c r="Y184" s="20"/>
      <c r="Z184" s="20"/>
      <c r="AA184" s="20"/>
      <c r="AB184" s="20"/>
      <c r="AC184" s="20"/>
      <c r="AD184" s="20"/>
      <c r="AE184" s="20"/>
      <c r="AF184" s="20"/>
      <c r="AG184" s="20"/>
      <c r="AH184" s="20"/>
      <c r="AI184" s="20"/>
      <c r="AJ184" s="20"/>
      <c r="AK184" s="20"/>
      <c r="AL184" s="20"/>
      <c r="AM184" s="20"/>
      <c r="AN184" s="20"/>
      <c r="AO184" s="20"/>
      <c r="AP184" s="20"/>
      <c r="AQ184" s="66"/>
      <c r="AR184" s="66"/>
      <c r="AS184" s="859"/>
      <c r="AT184" s="20"/>
      <c r="AU184" s="20"/>
      <c r="AV184" s="860"/>
      <c r="AW184" s="66"/>
      <c r="AX184" s="859"/>
      <c r="AY184" s="20"/>
      <c r="AZ184" s="20"/>
      <c r="BA184" s="860"/>
      <c r="BB184" s="66"/>
      <c r="BC184" s="859"/>
      <c r="BD184" s="20"/>
      <c r="BE184" s="20"/>
      <c r="BF184" s="954"/>
      <c r="BG184" s="362"/>
      <c r="BH184" s="859"/>
      <c r="BI184" s="20"/>
      <c r="BJ184" s="20"/>
      <c r="BK184" s="860"/>
      <c r="BL184" s="66"/>
      <c r="BM184" s="859"/>
      <c r="BN184" s="20"/>
      <c r="BO184" s="20"/>
      <c r="BP184" s="860"/>
      <c r="BQ184" s="66"/>
      <c r="BR184" s="859"/>
      <c r="BS184" s="20"/>
      <c r="BT184" s="20"/>
      <c r="BU184" s="860"/>
      <c r="BV184" s="66"/>
      <c r="BW184" s="859"/>
      <c r="BX184" s="20"/>
      <c r="BY184" s="20"/>
      <c r="BZ184" s="860"/>
      <c r="CA184" s="66"/>
      <c r="CB184" s="859"/>
      <c r="CC184" s="20"/>
      <c r="CD184" s="495"/>
      <c r="CE184" s="944"/>
      <c r="CF184" s="453"/>
      <c r="CG184" s="981"/>
      <c r="CH184" s="495"/>
      <c r="CI184" s="20"/>
      <c r="CJ184" s="944"/>
      <c r="CK184" s="453"/>
      <c r="CL184" s="859"/>
      <c r="CM184" s="20"/>
      <c r="CN184" s="20"/>
      <c r="CO184" s="860"/>
      <c r="CP184" s="66"/>
      <c r="CQ184" s="859"/>
      <c r="CR184" s="20"/>
      <c r="CS184" s="20"/>
      <c r="CT184" s="860"/>
      <c r="CU184" s="66"/>
      <c r="CV184" s="859"/>
      <c r="CW184" s="20"/>
      <c r="CX184" s="20"/>
      <c r="CY184" s="860"/>
      <c r="CZ184" s="66"/>
    </row>
    <row r="185" spans="1:104" ht="13.5" customHeight="1">
      <c r="A185" s="419" t="s">
        <v>330</v>
      </c>
      <c r="B185" s="362"/>
      <c r="C185" s="362"/>
      <c r="D185" s="362"/>
      <c r="E185" s="20"/>
      <c r="F185" s="20"/>
      <c r="G185" s="20"/>
      <c r="H185" s="20"/>
      <c r="I185" s="20"/>
      <c r="J185" s="76"/>
      <c r="K185" s="76"/>
      <c r="L185" s="76"/>
      <c r="M185" s="76"/>
      <c r="N185" s="76"/>
      <c r="O185" s="76"/>
      <c r="P185" s="76"/>
      <c r="Q185" s="76"/>
      <c r="R185" s="76"/>
      <c r="S185" s="76"/>
      <c r="T185" s="20"/>
      <c r="U185" s="20"/>
      <c r="V185" s="76"/>
      <c r="W185" s="76"/>
      <c r="X185" s="76"/>
      <c r="Y185" s="20"/>
      <c r="Z185" s="20"/>
      <c r="AA185" s="20"/>
      <c r="AB185" s="20"/>
      <c r="AC185" s="20"/>
      <c r="AD185" s="20"/>
      <c r="AE185" s="20"/>
      <c r="AF185" s="20"/>
      <c r="AG185" s="20"/>
      <c r="AH185" s="20"/>
      <c r="AI185" s="20"/>
      <c r="AJ185" s="20"/>
      <c r="AK185" s="20"/>
      <c r="AL185" s="20"/>
      <c r="AM185" s="20"/>
      <c r="AN185" s="20"/>
      <c r="AO185" s="20"/>
      <c r="AP185" s="20"/>
      <c r="AQ185" s="66"/>
      <c r="AR185" s="66"/>
      <c r="AS185" s="859"/>
      <c r="AT185" s="20"/>
      <c r="AU185" s="20"/>
      <c r="AV185" s="860"/>
      <c r="AW185" s="66"/>
      <c r="AX185" s="859"/>
      <c r="AY185" s="20"/>
      <c r="AZ185" s="20"/>
      <c r="BA185" s="860"/>
      <c r="BB185" s="66"/>
      <c r="BC185" s="859"/>
      <c r="BD185" s="20"/>
      <c r="BE185" s="20"/>
      <c r="BF185" s="954"/>
      <c r="BG185" s="362"/>
      <c r="BH185" s="859"/>
      <c r="BI185" s="20"/>
      <c r="BJ185" s="20"/>
      <c r="BK185" s="860"/>
      <c r="BL185" s="66"/>
      <c r="BM185" s="859"/>
      <c r="BN185" s="20"/>
      <c r="BO185" s="20"/>
      <c r="BP185" s="860"/>
      <c r="BQ185" s="66"/>
      <c r="BR185" s="859"/>
      <c r="BS185" s="20"/>
      <c r="BT185" s="20"/>
      <c r="BU185" s="860"/>
      <c r="BV185" s="66"/>
      <c r="BW185" s="859"/>
      <c r="BX185" s="20"/>
      <c r="BY185" s="20"/>
      <c r="BZ185" s="860"/>
      <c r="CA185" s="66"/>
      <c r="CB185" s="859"/>
      <c r="CC185" s="20"/>
      <c r="CD185" s="495"/>
      <c r="CE185" s="944"/>
      <c r="CF185" s="453"/>
      <c r="CG185" s="981"/>
      <c r="CH185" s="495"/>
      <c r="CI185" s="20"/>
      <c r="CJ185" s="944"/>
      <c r="CK185" s="453"/>
      <c r="CL185" s="859"/>
      <c r="CM185" s="20"/>
      <c r="CN185" s="20"/>
      <c r="CO185" s="860"/>
      <c r="CP185" s="66"/>
      <c r="CQ185" s="859"/>
      <c r="CR185" s="20"/>
      <c r="CS185" s="20"/>
      <c r="CT185" s="860"/>
      <c r="CU185" s="66"/>
      <c r="CV185" s="859"/>
      <c r="CW185" s="20"/>
      <c r="CX185" s="20"/>
      <c r="CY185" s="860"/>
      <c r="CZ185" s="66"/>
    </row>
    <row r="186" spans="1:104" ht="13.5" customHeight="1">
      <c r="A186" s="420" t="s">
        <v>408</v>
      </c>
      <c r="B186" s="407"/>
      <c r="C186" s="407"/>
      <c r="D186" s="407"/>
      <c r="E186" s="169"/>
      <c r="F186" s="169"/>
      <c r="G186" s="169"/>
      <c r="H186" s="169"/>
      <c r="I186" s="169"/>
      <c r="J186" s="69"/>
      <c r="K186" s="69"/>
      <c r="L186" s="69"/>
      <c r="M186" s="69"/>
      <c r="N186" s="69"/>
      <c r="O186" s="69"/>
      <c r="P186" s="69"/>
      <c r="Q186" s="69"/>
      <c r="R186" s="69"/>
      <c r="S186" s="69"/>
      <c r="T186" s="169"/>
      <c r="U186" s="169"/>
      <c r="V186" s="69"/>
      <c r="W186" s="69"/>
      <c r="X186" s="69"/>
      <c r="Y186" s="169"/>
      <c r="Z186" s="169"/>
      <c r="AA186" s="169"/>
      <c r="AB186" s="169"/>
      <c r="AC186" s="169"/>
      <c r="AD186" s="169"/>
      <c r="AE186" s="169"/>
      <c r="AF186" s="169"/>
      <c r="AG186" s="169"/>
      <c r="AH186" s="169"/>
      <c r="AI186" s="170"/>
      <c r="AJ186" s="170"/>
      <c r="AK186" s="169"/>
      <c r="AL186" s="169"/>
      <c r="AM186" s="169"/>
      <c r="AN186" s="169"/>
      <c r="AO186" s="170"/>
      <c r="AP186" s="169"/>
      <c r="AQ186" s="169"/>
      <c r="AR186" s="169"/>
      <c r="AS186" s="1118"/>
      <c r="AT186" s="170"/>
      <c r="AU186" s="169"/>
      <c r="AV186" s="1119"/>
      <c r="AW186" s="169"/>
      <c r="AX186" s="1118"/>
      <c r="AY186" s="169"/>
      <c r="AZ186" s="169"/>
      <c r="BA186" s="1119"/>
      <c r="BB186" s="169"/>
      <c r="BC186" s="1118"/>
      <c r="BD186" s="169"/>
      <c r="BE186" s="169"/>
      <c r="BF186" s="1175"/>
      <c r="BG186" s="382"/>
      <c r="BH186" s="1118"/>
      <c r="BI186" s="169"/>
      <c r="BJ186" s="169"/>
      <c r="BK186" s="1119"/>
      <c r="BL186" s="169"/>
      <c r="BM186" s="1118"/>
      <c r="BN186" s="169"/>
      <c r="BO186" s="169"/>
      <c r="BP186" s="1119"/>
      <c r="BQ186" s="169"/>
      <c r="BR186" s="1118"/>
      <c r="BS186" s="169"/>
      <c r="BT186" s="169"/>
      <c r="BU186" s="1119"/>
      <c r="BV186" s="169"/>
      <c r="BW186" s="1118"/>
      <c r="BX186" s="169"/>
      <c r="BY186" s="169"/>
      <c r="BZ186" s="1119"/>
      <c r="CA186" s="169"/>
      <c r="CB186" s="1118"/>
      <c r="CC186" s="169"/>
      <c r="CD186" s="169"/>
      <c r="CE186" s="1119"/>
      <c r="CF186" s="169"/>
      <c r="CG186" s="1118"/>
      <c r="CH186" s="169"/>
      <c r="CI186" s="169"/>
      <c r="CJ186" s="1119"/>
      <c r="CK186" s="169"/>
      <c r="CL186" s="1118"/>
      <c r="CM186" s="169"/>
      <c r="CN186" s="169"/>
      <c r="CO186" s="1119"/>
      <c r="CP186" s="169"/>
      <c r="CQ186" s="1118"/>
      <c r="CR186" s="169"/>
      <c r="CS186" s="169"/>
      <c r="CT186" s="1119"/>
      <c r="CU186" s="169"/>
      <c r="CV186" s="1118"/>
      <c r="CW186" s="169"/>
      <c r="CX186" s="169"/>
      <c r="CY186" s="1119"/>
      <c r="CZ186" s="169"/>
    </row>
    <row r="187" spans="1:104" ht="13.5" customHeight="1">
      <c r="A187" s="405"/>
      <c r="B187" s="369"/>
      <c r="C187" s="369"/>
      <c r="D187" s="362"/>
      <c r="E187" s="75"/>
      <c r="F187" s="75"/>
      <c r="G187" s="75"/>
      <c r="H187" s="75"/>
      <c r="I187" s="75"/>
      <c r="J187" s="76"/>
      <c r="K187" s="76"/>
      <c r="L187" s="76"/>
      <c r="M187" s="76"/>
      <c r="N187" s="76"/>
      <c r="O187" s="76"/>
      <c r="P187" s="76"/>
      <c r="Q187" s="76"/>
      <c r="R187" s="76"/>
      <c r="S187" s="76"/>
      <c r="T187" s="75"/>
      <c r="U187" s="75"/>
      <c r="V187" s="76"/>
      <c r="W187" s="76"/>
      <c r="X187" s="76"/>
      <c r="Y187" s="75"/>
      <c r="Z187" s="75"/>
      <c r="AA187" s="75"/>
      <c r="AB187" s="75"/>
      <c r="AC187" s="75"/>
      <c r="AD187" s="75"/>
      <c r="AE187" s="75"/>
      <c r="AF187" s="75"/>
      <c r="AG187" s="75"/>
      <c r="AH187" s="75"/>
      <c r="AI187" s="92"/>
      <c r="AJ187" s="92"/>
      <c r="AK187" s="75"/>
      <c r="AL187" s="75"/>
      <c r="AM187" s="75"/>
      <c r="AN187" s="75"/>
      <c r="AO187" s="92"/>
      <c r="AP187" s="75"/>
      <c r="AQ187" s="75"/>
      <c r="AR187" s="75"/>
      <c r="AS187" s="891"/>
      <c r="AT187" s="92"/>
      <c r="AU187" s="75"/>
      <c r="AV187" s="892"/>
      <c r="AW187" s="75"/>
      <c r="AX187" s="891"/>
      <c r="AY187" s="75"/>
      <c r="AZ187" s="75"/>
      <c r="BA187" s="892"/>
      <c r="BB187" s="75"/>
      <c r="BC187" s="891"/>
      <c r="BD187" s="75"/>
      <c r="BE187" s="75"/>
      <c r="BF187" s="1155"/>
      <c r="BG187" s="379"/>
      <c r="BH187" s="891"/>
      <c r="BI187" s="75"/>
      <c r="BJ187" s="75"/>
      <c r="BK187" s="892"/>
      <c r="BL187" s="75"/>
      <c r="BM187" s="891"/>
      <c r="BN187" s="75"/>
      <c r="BO187" s="75"/>
      <c r="BP187" s="892"/>
      <c r="BQ187" s="75"/>
      <c r="BR187" s="891"/>
      <c r="BS187" s="75"/>
      <c r="BT187" s="75"/>
      <c r="BU187" s="892"/>
      <c r="BV187" s="75"/>
      <c r="BW187" s="891"/>
      <c r="BX187" s="75"/>
      <c r="BY187" s="75"/>
      <c r="BZ187" s="892"/>
      <c r="CA187" s="75"/>
      <c r="CB187" s="891"/>
      <c r="CC187" s="75"/>
      <c r="CD187" s="75"/>
      <c r="CE187" s="892"/>
      <c r="CF187" s="75"/>
      <c r="CG187" s="891"/>
      <c r="CH187" s="75"/>
      <c r="CI187" s="75"/>
      <c r="CJ187" s="892"/>
      <c r="CK187" s="75"/>
      <c r="CL187" s="891"/>
      <c r="CM187" s="75"/>
      <c r="CN187" s="75"/>
      <c r="CO187" s="892"/>
      <c r="CP187" s="75"/>
      <c r="CQ187" s="891"/>
      <c r="CR187" s="75"/>
      <c r="CS187" s="75"/>
      <c r="CT187" s="892"/>
      <c r="CU187" s="75"/>
      <c r="CV187" s="891"/>
      <c r="CW187" s="75"/>
      <c r="CX187" s="75"/>
      <c r="CY187" s="892"/>
      <c r="CZ187" s="75"/>
    </row>
    <row r="188" spans="1:104" ht="13.5" customHeight="1">
      <c r="A188" s="745"/>
      <c r="B188" s="746"/>
      <c r="C188" s="747"/>
      <c r="D188" s="746"/>
      <c r="E188" s="1063"/>
      <c r="F188" s="1063"/>
      <c r="G188" s="1063"/>
      <c r="H188" s="1063"/>
      <c r="I188" s="1063"/>
      <c r="J188" s="1064">
        <f>J7</f>
        <v>2002</v>
      </c>
      <c r="K188" s="1064"/>
      <c r="L188" s="1064"/>
      <c r="M188" s="1064"/>
      <c r="N188" s="1064"/>
      <c r="O188" s="1064">
        <f>O7</f>
        <v>2003</v>
      </c>
      <c r="P188" s="1064"/>
      <c r="Q188" s="1064"/>
      <c r="R188" s="1064"/>
      <c r="S188" s="1064"/>
      <c r="T188" s="1064">
        <f>T7</f>
        <v>2004</v>
      </c>
      <c r="U188" s="1064"/>
      <c r="V188" s="1064"/>
      <c r="W188" s="1064"/>
      <c r="X188" s="1064"/>
      <c r="Y188" s="1064">
        <f>Y7</f>
        <v>2005</v>
      </c>
      <c r="Z188" s="1064"/>
      <c r="AA188" s="1064"/>
      <c r="AB188" s="1064"/>
      <c r="AC188" s="1064"/>
      <c r="AD188" s="1064">
        <f>AD7</f>
        <v>2006</v>
      </c>
      <c r="AE188" s="1064"/>
      <c r="AF188" s="1064"/>
      <c r="AG188" s="1064"/>
      <c r="AH188" s="1064"/>
      <c r="AI188" s="1064">
        <f>AI7</f>
        <v>2007</v>
      </c>
      <c r="AJ188" s="1064"/>
      <c r="AK188" s="1064"/>
      <c r="AL188" s="1064"/>
      <c r="AM188" s="1064"/>
      <c r="AN188" s="1064">
        <f>AN7</f>
        <v>2008</v>
      </c>
      <c r="AO188" s="1064"/>
      <c r="AP188" s="1064"/>
      <c r="AQ188" s="1064"/>
      <c r="AR188" s="748"/>
      <c r="AS188" s="1065">
        <f>AS7</f>
        <v>2009</v>
      </c>
      <c r="AT188" s="1063"/>
      <c r="AU188" s="1063"/>
      <c r="AV188" s="1066"/>
      <c r="AW188" s="817"/>
      <c r="AX188" s="1065">
        <f>AX7</f>
        <v>2010</v>
      </c>
      <c r="AY188" s="1063"/>
      <c r="AZ188" s="1063"/>
      <c r="BA188" s="1066"/>
      <c r="BB188" s="817"/>
      <c r="BC188" s="1065">
        <f>BC7</f>
        <v>2011</v>
      </c>
      <c r="BD188" s="1063"/>
      <c r="BE188" s="1063"/>
      <c r="BF188" s="1066"/>
      <c r="BG188" s="817"/>
      <c r="BH188" s="1065">
        <f>BH7</f>
        <v>2012</v>
      </c>
      <c r="BI188" s="1063"/>
      <c r="BJ188" s="1063"/>
      <c r="BK188" s="1066"/>
      <c r="BL188" s="817"/>
      <c r="BM188" s="1065">
        <f>BM7</f>
        <v>2013</v>
      </c>
      <c r="BN188" s="1063"/>
      <c r="BO188" s="1063"/>
      <c r="BP188" s="1066"/>
      <c r="BQ188" s="817"/>
      <c r="BR188" s="1065">
        <f>BR7</f>
        <v>2014</v>
      </c>
      <c r="BS188" s="1063"/>
      <c r="BT188" s="1063"/>
      <c r="BU188" s="1066"/>
      <c r="BV188" s="817"/>
      <c r="BW188" s="1065">
        <f>BW7</f>
        <v>2015</v>
      </c>
      <c r="BX188" s="1063"/>
      <c r="BY188" s="1063"/>
      <c r="BZ188" s="1066"/>
      <c r="CA188" s="817"/>
      <c r="CB188" s="1065">
        <f>CB7</f>
        <v>2016</v>
      </c>
      <c r="CC188" s="1063"/>
      <c r="CD188" s="1063"/>
      <c r="CE188" s="1066"/>
      <c r="CF188" s="817"/>
      <c r="CG188" s="1065">
        <f>CG7</f>
        <v>2017</v>
      </c>
      <c r="CH188" s="1063"/>
      <c r="CI188" s="1063"/>
      <c r="CJ188" s="1066"/>
      <c r="CK188" s="817"/>
      <c r="CL188" s="1065" t="str">
        <f>CL7</f>
        <v>2018E</v>
      </c>
      <c r="CM188" s="1063"/>
      <c r="CN188" s="1063"/>
      <c r="CO188" s="1066"/>
      <c r="CP188" s="817"/>
      <c r="CQ188" s="1065" t="str">
        <f>CQ7</f>
        <v>2019E</v>
      </c>
      <c r="CR188" s="1063"/>
      <c r="CS188" s="1063"/>
      <c r="CT188" s="1066"/>
      <c r="CU188" s="817"/>
      <c r="CV188" s="1065" t="str">
        <f>CV7</f>
        <v>2020E</v>
      </c>
      <c r="CW188" s="1063"/>
      <c r="CX188" s="1063"/>
      <c r="CY188" s="1066"/>
      <c r="CZ188" s="817"/>
    </row>
    <row r="189" spans="1:104" ht="13.5" customHeight="1">
      <c r="A189" s="746" t="s">
        <v>550</v>
      </c>
      <c r="B189" s="746"/>
      <c r="C189" s="745"/>
      <c r="D189" s="746"/>
      <c r="E189" s="744"/>
      <c r="F189" s="744"/>
      <c r="G189" s="744"/>
      <c r="H189" s="744"/>
      <c r="I189" s="744"/>
      <c r="J189" s="802" t="str">
        <f>J8</f>
        <v>1Q</v>
      </c>
      <c r="K189" s="802" t="str">
        <f>K8</f>
        <v>2Q</v>
      </c>
      <c r="L189" s="802" t="str">
        <f>L8</f>
        <v>3Q</v>
      </c>
      <c r="M189" s="802" t="str">
        <f>M8</f>
        <v>4Q</v>
      </c>
      <c r="N189" s="802">
        <f>N8</f>
        <v>2002</v>
      </c>
      <c r="O189" s="802" t="str">
        <f>O8</f>
        <v>1Q</v>
      </c>
      <c r="P189" s="802" t="str">
        <f>P8</f>
        <v>2Q</v>
      </c>
      <c r="Q189" s="802" t="str">
        <f>Q8</f>
        <v>3Q</v>
      </c>
      <c r="R189" s="802" t="str">
        <f>R8</f>
        <v>4Q</v>
      </c>
      <c r="S189" s="802">
        <f>S8</f>
        <v>2003</v>
      </c>
      <c r="T189" s="802" t="str">
        <f>T8</f>
        <v>1Q</v>
      </c>
      <c r="U189" s="802" t="str">
        <f>U8</f>
        <v>2Q</v>
      </c>
      <c r="V189" s="802" t="str">
        <f>V8</f>
        <v>3Q</v>
      </c>
      <c r="W189" s="802" t="str">
        <f>W8</f>
        <v>4Q</v>
      </c>
      <c r="X189" s="802">
        <f>X8</f>
        <v>2004</v>
      </c>
      <c r="Y189" s="802" t="str">
        <f>Y8</f>
        <v>1Q</v>
      </c>
      <c r="Z189" s="802" t="str">
        <f>Z8</f>
        <v>2Q</v>
      </c>
      <c r="AA189" s="802" t="str">
        <f>AA8</f>
        <v>3Q</v>
      </c>
      <c r="AB189" s="802" t="str">
        <f>AB8</f>
        <v>4Q</v>
      </c>
      <c r="AC189" s="802">
        <f>AC8</f>
        <v>2005</v>
      </c>
      <c r="AD189" s="802" t="str">
        <f>AD8</f>
        <v>1Q</v>
      </c>
      <c r="AE189" s="802" t="str">
        <f>AE8</f>
        <v>2Q</v>
      </c>
      <c r="AF189" s="802" t="str">
        <f>AF8</f>
        <v>3Q</v>
      </c>
      <c r="AG189" s="802" t="str">
        <f>AG8</f>
        <v>4Q</v>
      </c>
      <c r="AH189" s="802">
        <f>AH8</f>
        <v>2006</v>
      </c>
      <c r="AI189" s="802" t="str">
        <f>AI8</f>
        <v>1Q</v>
      </c>
      <c r="AJ189" s="802" t="str">
        <f>AJ8</f>
        <v>2Q</v>
      </c>
      <c r="AK189" s="802" t="str">
        <f>AK8</f>
        <v>3Q</v>
      </c>
      <c r="AL189" s="802" t="str">
        <f>AL8</f>
        <v>4Q</v>
      </c>
      <c r="AM189" s="802">
        <f>AM8</f>
        <v>2007</v>
      </c>
      <c r="AN189" s="802" t="str">
        <f>AN8</f>
        <v>1Q</v>
      </c>
      <c r="AO189" s="802" t="str">
        <f>AO8</f>
        <v>2Q</v>
      </c>
      <c r="AP189" s="802" t="str">
        <f>AP8</f>
        <v>3Q</v>
      </c>
      <c r="AQ189" s="802" t="str">
        <f>AQ8</f>
        <v>4Q</v>
      </c>
      <c r="AR189" s="743">
        <f>AR8</f>
        <v>2008</v>
      </c>
      <c r="AS189" s="845" t="str">
        <f>AS8</f>
        <v>1Q</v>
      </c>
      <c r="AT189" s="744" t="str">
        <f>AT8</f>
        <v>2Q</v>
      </c>
      <c r="AU189" s="744" t="str">
        <f>AU8</f>
        <v>3Q</v>
      </c>
      <c r="AV189" s="846" t="str">
        <f>AV8</f>
        <v>4Q</v>
      </c>
      <c r="AW189" s="743">
        <f>AW8</f>
        <v>2009</v>
      </c>
      <c r="AX189" s="845" t="str">
        <f>AX8</f>
        <v>1Q</v>
      </c>
      <c r="AY189" s="744" t="str">
        <f>AY8</f>
        <v>2Q</v>
      </c>
      <c r="AZ189" s="744" t="str">
        <f>AZ8</f>
        <v>3Q</v>
      </c>
      <c r="BA189" s="846" t="str">
        <f>BA8</f>
        <v>4Q</v>
      </c>
      <c r="BB189" s="743">
        <f>BB8</f>
        <v>2010</v>
      </c>
      <c r="BC189" s="845" t="str">
        <f>BC8</f>
        <v>1Q</v>
      </c>
      <c r="BD189" s="744" t="str">
        <f>BD8</f>
        <v>2Q</v>
      </c>
      <c r="BE189" s="744" t="str">
        <f>BE8</f>
        <v>3Q</v>
      </c>
      <c r="BF189" s="846" t="str">
        <f>BF8</f>
        <v>4Q</v>
      </c>
      <c r="BG189" s="743">
        <f>BG8</f>
        <v>2011</v>
      </c>
      <c r="BH189" s="845" t="str">
        <f>BH8</f>
        <v>1Q</v>
      </c>
      <c r="BI189" s="744" t="str">
        <f>BI8</f>
        <v>2Q</v>
      </c>
      <c r="BJ189" s="744" t="str">
        <f>BJ8</f>
        <v>3Q</v>
      </c>
      <c r="BK189" s="846" t="str">
        <f>BK8</f>
        <v>4Q</v>
      </c>
      <c r="BL189" s="743">
        <f>BL8</f>
        <v>2012</v>
      </c>
      <c r="BM189" s="845" t="str">
        <f>BM8</f>
        <v>1Q</v>
      </c>
      <c r="BN189" s="744" t="str">
        <f>BN8</f>
        <v>2Q</v>
      </c>
      <c r="BO189" s="744" t="str">
        <f>BO8</f>
        <v>3Q</v>
      </c>
      <c r="BP189" s="846" t="str">
        <f>BP8</f>
        <v>4Q</v>
      </c>
      <c r="BQ189" s="743">
        <f>BQ8</f>
        <v>2013</v>
      </c>
      <c r="BR189" s="845" t="str">
        <f>BR8</f>
        <v>1Q</v>
      </c>
      <c r="BS189" s="744" t="str">
        <f>BS8</f>
        <v>2Q</v>
      </c>
      <c r="BT189" s="744" t="str">
        <f>BT8</f>
        <v>3Q</v>
      </c>
      <c r="BU189" s="846" t="str">
        <f>BU8</f>
        <v>4Q</v>
      </c>
      <c r="BV189" s="743">
        <f>BV8</f>
        <v>2014</v>
      </c>
      <c r="BW189" s="845" t="str">
        <f>BW8</f>
        <v>1Q</v>
      </c>
      <c r="BX189" s="744" t="str">
        <f>BX8</f>
        <v>2Q</v>
      </c>
      <c r="BY189" s="744" t="str">
        <f>BY8</f>
        <v>3Q</v>
      </c>
      <c r="BZ189" s="846" t="str">
        <f>BZ8</f>
        <v>4Q</v>
      </c>
      <c r="CA189" s="743">
        <f>CA8</f>
        <v>2015</v>
      </c>
      <c r="CB189" s="845" t="str">
        <f>CB8</f>
        <v>1Q</v>
      </c>
      <c r="CC189" s="744" t="str">
        <f>CC8</f>
        <v>2Q</v>
      </c>
      <c r="CD189" s="744" t="str">
        <f>CD8</f>
        <v>3Q</v>
      </c>
      <c r="CE189" s="846" t="str">
        <f>CE8</f>
        <v>4Q</v>
      </c>
      <c r="CF189" s="743">
        <f>CF8</f>
        <v>2016</v>
      </c>
      <c r="CG189" s="845" t="str">
        <f>CG8</f>
        <v>1Q</v>
      </c>
      <c r="CH189" s="744" t="str">
        <f>CH8</f>
        <v>2Q</v>
      </c>
      <c r="CI189" s="744" t="str">
        <f>CI8</f>
        <v>3Q</v>
      </c>
      <c r="CJ189" s="846" t="str">
        <f>CJ8</f>
        <v>4Q</v>
      </c>
      <c r="CK189" s="743">
        <f>CK8</f>
        <v>2017</v>
      </c>
      <c r="CL189" s="845" t="str">
        <f>CL8</f>
        <v>1Q</v>
      </c>
      <c r="CM189" s="744" t="str">
        <f>CM8</f>
        <v>2QE</v>
      </c>
      <c r="CN189" s="744" t="str">
        <f>CN8</f>
        <v>3QE</v>
      </c>
      <c r="CO189" s="846" t="str">
        <f>CO8</f>
        <v>4QE</v>
      </c>
      <c r="CP189" s="743" t="str">
        <f>CP8</f>
        <v>2018E</v>
      </c>
      <c r="CQ189" s="845" t="str">
        <f>CQ8</f>
        <v>1QE</v>
      </c>
      <c r="CR189" s="744" t="str">
        <f>CR8</f>
        <v>2QE</v>
      </c>
      <c r="CS189" s="744" t="str">
        <f>CS8</f>
        <v>3QE</v>
      </c>
      <c r="CT189" s="846" t="str">
        <f>CT8</f>
        <v>4QE</v>
      </c>
      <c r="CU189" s="743" t="str">
        <f>CU8</f>
        <v>2019E</v>
      </c>
      <c r="CV189" s="845" t="str">
        <f>CV8</f>
        <v>1QE</v>
      </c>
      <c r="CW189" s="744" t="str">
        <f>CW8</f>
        <v>2QE</v>
      </c>
      <c r="CX189" s="744" t="str">
        <f>CX8</f>
        <v>3QE</v>
      </c>
      <c r="CY189" s="846" t="str">
        <f>CY8</f>
        <v>4QE</v>
      </c>
      <c r="CZ189" s="743" t="str">
        <f>CZ8</f>
        <v>2020E</v>
      </c>
    </row>
    <row r="190" spans="1:104" ht="6.2" customHeight="1">
      <c r="A190" s="362"/>
      <c r="B190" s="374"/>
      <c r="C190" s="369"/>
      <c r="D190" s="362"/>
      <c r="E190" s="20"/>
      <c r="F190" s="20"/>
      <c r="G190" s="20"/>
      <c r="H190" s="20"/>
      <c r="I190" s="20"/>
      <c r="J190" s="75"/>
      <c r="K190" s="75"/>
      <c r="L190" s="75"/>
      <c r="M190" s="75"/>
      <c r="N190" s="75"/>
      <c r="O190" s="75"/>
      <c r="P190" s="75"/>
      <c r="Q190" s="75"/>
      <c r="R190" s="75"/>
      <c r="S190" s="75"/>
      <c r="T190" s="75"/>
      <c r="U190" s="75"/>
      <c r="V190" s="75"/>
      <c r="W190" s="75"/>
      <c r="X190" s="75"/>
      <c r="Y190" s="20"/>
      <c r="Z190" s="20"/>
      <c r="AA190" s="20"/>
      <c r="AB190" s="20"/>
      <c r="AC190" s="20"/>
      <c r="AD190" s="20"/>
      <c r="AE190" s="20"/>
      <c r="AF190" s="20"/>
      <c r="AG190" s="20"/>
      <c r="AH190" s="20"/>
      <c r="AI190" s="20"/>
      <c r="AJ190" s="20"/>
      <c r="AK190" s="20"/>
      <c r="AL190" s="20"/>
      <c r="AM190" s="20"/>
      <c r="AN190" s="20"/>
      <c r="AO190" s="20"/>
      <c r="AP190" s="20"/>
      <c r="AQ190" s="66"/>
      <c r="AR190" s="66"/>
      <c r="AS190" s="859"/>
      <c r="AT190" s="20"/>
      <c r="AU190" s="20"/>
      <c r="AV190" s="860"/>
      <c r="AW190" s="66"/>
      <c r="AX190" s="859"/>
      <c r="AY190" s="20"/>
      <c r="AZ190" s="20"/>
      <c r="BA190" s="860"/>
      <c r="BB190" s="66"/>
      <c r="BC190" s="859"/>
      <c r="BD190" s="20"/>
      <c r="BE190" s="20"/>
      <c r="BF190" s="954"/>
      <c r="BG190" s="362"/>
      <c r="BH190" s="859"/>
      <c r="BI190" s="20"/>
      <c r="BJ190" s="20"/>
      <c r="BK190" s="860"/>
      <c r="BL190" s="66"/>
      <c r="BM190" s="859"/>
      <c r="BN190" s="20"/>
      <c r="BO190" s="20"/>
      <c r="BP190" s="860"/>
      <c r="BQ190" s="66"/>
      <c r="BR190" s="859"/>
      <c r="BS190" s="20"/>
      <c r="BT190" s="20"/>
      <c r="BU190" s="860"/>
      <c r="BV190" s="66"/>
      <c r="BW190" s="859"/>
      <c r="BX190" s="20"/>
      <c r="BY190" s="20"/>
      <c r="BZ190" s="860"/>
      <c r="CA190" s="66"/>
      <c r="CB190" s="859"/>
      <c r="CC190" s="20"/>
      <c r="CD190" s="495"/>
      <c r="CE190" s="944"/>
      <c r="CF190" s="453"/>
      <c r="CG190" s="981"/>
      <c r="CH190" s="495"/>
      <c r="CI190" s="20"/>
      <c r="CJ190" s="944"/>
      <c r="CK190" s="453"/>
      <c r="CL190" s="859"/>
      <c r="CM190" s="20"/>
      <c r="CN190" s="20"/>
      <c r="CO190" s="860"/>
      <c r="CP190" s="66"/>
      <c r="CQ190" s="859"/>
      <c r="CR190" s="20"/>
      <c r="CS190" s="20"/>
      <c r="CT190" s="860"/>
      <c r="CU190" s="66"/>
      <c r="CV190" s="859"/>
      <c r="CW190" s="20"/>
      <c r="CX190" s="20"/>
      <c r="CY190" s="860"/>
      <c r="CZ190" s="66"/>
    </row>
    <row r="191" spans="1:104" ht="13.5" customHeight="1">
      <c r="A191" s="411" t="s">
        <v>154</v>
      </c>
      <c r="B191" s="404"/>
      <c r="C191" s="362"/>
      <c r="D191" s="362"/>
      <c r="E191" s="20"/>
      <c r="F191" s="20"/>
      <c r="G191" s="20"/>
      <c r="H191" s="20"/>
      <c r="I191" s="20"/>
      <c r="J191" s="76"/>
      <c r="K191" s="76"/>
      <c r="L191" s="76"/>
      <c r="M191" s="76"/>
      <c r="N191" s="76"/>
      <c r="O191" s="76"/>
      <c r="P191" s="76"/>
      <c r="Q191" s="76"/>
      <c r="R191" s="76"/>
      <c r="S191" s="76"/>
      <c r="T191" s="76"/>
      <c r="U191" s="76"/>
      <c r="V191" s="76"/>
      <c r="W191" s="76"/>
      <c r="X191" s="76"/>
      <c r="Y191" s="20"/>
      <c r="Z191" s="20"/>
      <c r="AA191" s="181"/>
      <c r="AB191" s="20"/>
      <c r="AC191" s="20"/>
      <c r="AD191" s="20"/>
      <c r="AE191" s="20"/>
      <c r="AF191" s="181"/>
      <c r="AG191" s="20"/>
      <c r="AH191" s="20"/>
      <c r="AI191" s="92"/>
      <c r="AJ191" s="20"/>
      <c r="AK191" s="20"/>
      <c r="AL191" s="20"/>
      <c r="AM191" s="20"/>
      <c r="AN191" s="20"/>
      <c r="AO191" s="20"/>
      <c r="AP191" s="20"/>
      <c r="AQ191" s="66"/>
      <c r="AR191" s="66"/>
      <c r="AS191" s="859"/>
      <c r="AT191" s="93"/>
      <c r="AU191" s="20"/>
      <c r="AV191" s="860"/>
      <c r="AW191" s="66"/>
      <c r="AX191" s="859"/>
      <c r="AY191" s="20"/>
      <c r="AZ191" s="20"/>
      <c r="BA191" s="860"/>
      <c r="BB191" s="66"/>
      <c r="BC191" s="859"/>
      <c r="BD191" s="20"/>
      <c r="BE191" s="20"/>
      <c r="BF191" s="954"/>
      <c r="BG191" s="362"/>
      <c r="BH191" s="859"/>
      <c r="BI191" s="20"/>
      <c r="BJ191" s="20"/>
      <c r="BK191" s="860"/>
      <c r="BL191" s="290"/>
      <c r="BM191" s="859"/>
      <c r="BN191" s="20"/>
      <c r="BO191" s="93"/>
      <c r="BP191" s="860"/>
      <c r="BQ191" s="66"/>
      <c r="BR191" s="859"/>
      <c r="BS191" s="20"/>
      <c r="BT191" s="20"/>
      <c r="BU191" s="860"/>
      <c r="BV191" s="66"/>
      <c r="BW191" s="859"/>
      <c r="BX191" s="20"/>
      <c r="BY191" s="20"/>
      <c r="BZ191" s="860"/>
      <c r="CA191" s="66"/>
      <c r="CB191" s="859"/>
      <c r="CC191" s="20"/>
      <c r="CD191" s="495"/>
      <c r="CE191" s="944"/>
      <c r="CF191" s="453"/>
      <c r="CG191" s="981"/>
      <c r="CH191" s="495"/>
      <c r="CI191" s="20"/>
      <c r="CJ191" s="944"/>
      <c r="CK191" s="1290"/>
      <c r="CL191" s="859"/>
      <c r="CM191" s="20"/>
      <c r="CN191" s="20"/>
      <c r="CO191" s="860"/>
      <c r="CP191" s="66"/>
      <c r="CQ191" s="859"/>
      <c r="CR191" s="20"/>
      <c r="CS191" s="20"/>
      <c r="CT191" s="860"/>
      <c r="CU191" s="66"/>
      <c r="CV191" s="859"/>
      <c r="CW191" s="20"/>
      <c r="CX191" s="20"/>
      <c r="CY191" s="860"/>
      <c r="CZ191" s="66"/>
    </row>
    <row r="192" spans="1:104" ht="13.5" customHeight="1">
      <c r="A192" s="362"/>
      <c r="B192" s="404" t="s">
        <v>261</v>
      </c>
      <c r="C192" s="362"/>
      <c r="D192" s="362"/>
      <c r="E192" s="75"/>
      <c r="F192" s="75"/>
      <c r="G192" s="75"/>
      <c r="H192" s="75"/>
      <c r="I192" s="75"/>
      <c r="J192" s="92">
        <f t="shared" ref="J192:AG192" si="214">J90</f>
        <v>20.262295000000012</v>
      </c>
      <c r="K192" s="92">
        <f t="shared" si="214"/>
        <v>59.748301999999995</v>
      </c>
      <c r="L192" s="92">
        <f t="shared" si="214"/>
        <v>39.178799999999995</v>
      </c>
      <c r="M192" s="92">
        <f t="shared" si="214"/>
        <v>42.890618000000018</v>
      </c>
      <c r="N192" s="92">
        <f t="shared" si="214"/>
        <v>162.08001499999995</v>
      </c>
      <c r="O192" s="92">
        <f t="shared" si="214"/>
        <v>17.781759000000008</v>
      </c>
      <c r="P192" s="92">
        <f t="shared" si="214"/>
        <v>8.4250899999999973</v>
      </c>
      <c r="Q192" s="92">
        <f t="shared" si="214"/>
        <v>16.021778999999942</v>
      </c>
      <c r="R192" s="92">
        <f t="shared" si="214"/>
        <v>20.552595000000004</v>
      </c>
      <c r="S192" s="92">
        <f t="shared" si="214"/>
        <v>62.781222999999954</v>
      </c>
      <c r="T192" s="92">
        <f t="shared" si="214"/>
        <v>113.23800000000003</v>
      </c>
      <c r="U192" s="92">
        <f t="shared" si="214"/>
        <v>251.44200000000004</v>
      </c>
      <c r="V192" s="92">
        <f t="shared" si="214"/>
        <v>415.38699999999994</v>
      </c>
      <c r="W192" s="92">
        <f t="shared" si="214"/>
        <v>341.41800000000001</v>
      </c>
      <c r="X192" s="92">
        <f t="shared" si="214"/>
        <v>1121.4849999999997</v>
      </c>
      <c r="Y192" s="92">
        <f t="shared" si="214"/>
        <v>354.66599999999994</v>
      </c>
      <c r="Z192" s="92">
        <f t="shared" si="214"/>
        <v>322.70699999999999</v>
      </c>
      <c r="AA192" s="92">
        <f t="shared" si="214"/>
        <v>291.87700000000007</v>
      </c>
      <c r="AB192" s="92">
        <f t="shared" si="214"/>
        <v>341.03400000000016</v>
      </c>
      <c r="AC192" s="92">
        <f t="shared" si="214"/>
        <v>1310.2840000000001</v>
      </c>
      <c r="AD192" s="92">
        <f t="shared" si="214"/>
        <v>379.16099999999994</v>
      </c>
      <c r="AE192" s="92">
        <f t="shared" si="214"/>
        <v>452.78300000000002</v>
      </c>
      <c r="AF192" s="92">
        <f t="shared" si="214"/>
        <v>517.57799999999997</v>
      </c>
      <c r="AG192" s="92">
        <f t="shared" si="214"/>
        <v>408.15899999999988</v>
      </c>
      <c r="AH192" s="92">
        <f>SUM(AD192:AG192)</f>
        <v>1757.6809999999998</v>
      </c>
      <c r="AI192" s="92">
        <f>AI90</f>
        <v>381.029</v>
      </c>
      <c r="AJ192" s="92">
        <f>AJ90</f>
        <v>344.85</v>
      </c>
      <c r="AK192" s="92">
        <f>AK90</f>
        <v>381.22199999999924</v>
      </c>
      <c r="AL192" s="92">
        <f>AL90</f>
        <v>364.846</v>
      </c>
      <c r="AM192" s="92">
        <f>SUM(AI192:AL192)</f>
        <v>1471.9469999999992</v>
      </c>
      <c r="AN192" s="92">
        <f>AN90</f>
        <v>409.75400000000025</v>
      </c>
      <c r="AO192" s="92">
        <f>AO90</f>
        <v>580.75400000000036</v>
      </c>
      <c r="AP192" s="92">
        <f>AP90</f>
        <v>734.59000000000026</v>
      </c>
      <c r="AQ192" s="92">
        <f>AQ90</f>
        <v>105.89199999999997</v>
      </c>
      <c r="AR192" s="92">
        <f>SUM(AN192:AQ192)</f>
        <v>1830.9900000000009</v>
      </c>
      <c r="AS192" s="889">
        <f>AS90+AS55</f>
        <v>-190.52499999999998</v>
      </c>
      <c r="AT192" s="550">
        <f>AT90+AT55</f>
        <v>-127.76900000000002</v>
      </c>
      <c r="AU192" s="550">
        <f>AU90+AU55</f>
        <v>-5.3110000000000035</v>
      </c>
      <c r="AV192" s="890">
        <f>AV90+AV55</f>
        <v>86.427000000000007</v>
      </c>
      <c r="AW192" s="550">
        <f>SUM(AS192:AV192)</f>
        <v>-237.17799999999994</v>
      </c>
      <c r="AX192" s="889">
        <f>AX90+AX55</f>
        <v>41.194000000000003</v>
      </c>
      <c r="AY192" s="550">
        <f>AY90+AY55</f>
        <v>106.21800000000002</v>
      </c>
      <c r="AZ192" s="550">
        <f>AZ90+AZ55</f>
        <v>50.024000000000008</v>
      </c>
      <c r="BA192" s="890">
        <f>BB192-SUM(AX192:AZ192)</f>
        <v>8.8870000000000857</v>
      </c>
      <c r="BB192" s="550">
        <f>BB90+BB55</f>
        <v>206.32300000000012</v>
      </c>
      <c r="BC192" s="889">
        <f t="shared" ref="BC192:BJ192" si="215">BC90+BC55+BC85</f>
        <v>181.12200000000001</v>
      </c>
      <c r="BD192" s="550">
        <f t="shared" si="215"/>
        <v>321.57800000000003</v>
      </c>
      <c r="BE192" s="550">
        <f t="shared" si="215"/>
        <v>200.11099999999999</v>
      </c>
      <c r="BF192" s="890">
        <f t="shared" si="215"/>
        <v>158.17299999999997</v>
      </c>
      <c r="BG192" s="550">
        <f t="shared" si="215"/>
        <v>860.98400000000015</v>
      </c>
      <c r="BH192" s="889">
        <f t="shared" si="215"/>
        <v>163.41200000000003</v>
      </c>
      <c r="BI192" s="550">
        <f t="shared" si="215"/>
        <v>139.56700000000004</v>
      </c>
      <c r="BJ192" s="550">
        <f t="shared" si="215"/>
        <v>129.89200000000005</v>
      </c>
      <c r="BK192" s="890">
        <f>BL192-SUM(BH192:BJ192)</f>
        <v>160.25500000000011</v>
      </c>
      <c r="BL192" s="577">
        <f>BL90+BL55+BL85</f>
        <v>593.1260000000002</v>
      </c>
      <c r="BM192" s="889">
        <f>BM90+BM55+BM85</f>
        <v>110.72800000000004</v>
      </c>
      <c r="BN192" s="550">
        <f>BN90+BN55+BN85</f>
        <v>106.27</v>
      </c>
      <c r="BO192" s="550">
        <f>BO90+BO55+BO85</f>
        <v>178.11499999999998</v>
      </c>
      <c r="BP192" s="890">
        <f>BP90+BP55+BP85</f>
        <v>190.41600000000005</v>
      </c>
      <c r="BQ192" s="550">
        <f>SUM(BM192:BP192)</f>
        <v>585.52900000000011</v>
      </c>
      <c r="BR192" s="889">
        <f>BR90+BR55+BR85</f>
        <v>129.696</v>
      </c>
      <c r="BS192" s="550">
        <f>BS90+BS55+BS85</f>
        <v>166.93500000000003</v>
      </c>
      <c r="BT192" s="550">
        <f>BT90+BT55+BT85</f>
        <v>274.20100000000008</v>
      </c>
      <c r="BU192" s="890">
        <f>BU90+BU55+BU85</f>
        <v>244.958</v>
      </c>
      <c r="BV192" s="550">
        <f>SUM(BR192:BU192)</f>
        <v>815.79000000000008</v>
      </c>
      <c r="BW192" s="889">
        <f t="shared" ref="BW192:CZ192" si="216">BW90+BW55+BW85</f>
        <v>84.291999999999987</v>
      </c>
      <c r="BX192" s="577">
        <f t="shared" si="216"/>
        <v>159.34399999999999</v>
      </c>
      <c r="BY192" s="577">
        <f t="shared" si="216"/>
        <v>267.73599999999999</v>
      </c>
      <c r="BZ192" s="890">
        <f t="shared" si="216"/>
        <v>-15.28799999999999</v>
      </c>
      <c r="CA192" s="550">
        <f t="shared" si="216"/>
        <v>496.08400000000012</v>
      </c>
      <c r="CB192" s="889">
        <f t="shared" si="216"/>
        <v>104.46100000000001</v>
      </c>
      <c r="CC192" s="550">
        <f t="shared" si="216"/>
        <v>258.33600000000001</v>
      </c>
      <c r="CD192" s="550">
        <f t="shared" si="216"/>
        <v>294.48399999999998</v>
      </c>
      <c r="CE192" s="890">
        <f t="shared" si="216"/>
        <v>175.18499999999997</v>
      </c>
      <c r="CF192" s="550">
        <f t="shared" si="216"/>
        <v>832.46599999999978</v>
      </c>
      <c r="CG192" s="889">
        <f t="shared" si="216"/>
        <v>377.64799999999997</v>
      </c>
      <c r="CH192" s="550">
        <f t="shared" si="216"/>
        <v>341.72400000000005</v>
      </c>
      <c r="CI192" s="550">
        <f t="shared" si="216"/>
        <v>279.75500000000005</v>
      </c>
      <c r="CJ192" s="890">
        <f t="shared" si="216"/>
        <v>395.09399999999994</v>
      </c>
      <c r="CK192" s="550">
        <f t="shared" si="216"/>
        <v>1394.221</v>
      </c>
      <c r="CL192" s="889">
        <f t="shared" ref="CL192" si="217">CL90+CL55+CL85</f>
        <v>380.11199999999997</v>
      </c>
      <c r="CM192" s="550">
        <f t="shared" si="216"/>
        <v>566.6473269205884</v>
      </c>
      <c r="CN192" s="550">
        <f t="shared" si="216"/>
        <v>580.18235656040088</v>
      </c>
      <c r="CO192" s="890">
        <f t="shared" si="216"/>
        <v>532.2745017446249</v>
      </c>
      <c r="CP192" s="550">
        <f t="shared" si="216"/>
        <v>2059.216185225614</v>
      </c>
      <c r="CQ192" s="889">
        <f t="shared" si="216"/>
        <v>580.58904134811098</v>
      </c>
      <c r="CR192" s="550">
        <f t="shared" si="216"/>
        <v>545.98964781664904</v>
      </c>
      <c r="CS192" s="550">
        <f t="shared" si="216"/>
        <v>488.08083443716134</v>
      </c>
      <c r="CT192" s="890">
        <f t="shared" si="216"/>
        <v>399.46848539734759</v>
      </c>
      <c r="CU192" s="550">
        <f t="shared" si="216"/>
        <v>2014.1280089992686</v>
      </c>
      <c r="CV192" s="889">
        <f t="shared" si="216"/>
        <v>483.02852930752704</v>
      </c>
      <c r="CW192" s="550">
        <f t="shared" si="216"/>
        <v>503.52814263047719</v>
      </c>
      <c r="CX192" s="550">
        <f t="shared" si="216"/>
        <v>463.85112256288517</v>
      </c>
      <c r="CY192" s="890">
        <f t="shared" si="216"/>
        <v>470.06916348920811</v>
      </c>
      <c r="CZ192" s="550">
        <f t="shared" si="216"/>
        <v>1920.4769579900974</v>
      </c>
    </row>
    <row r="193" spans="1:104" ht="13.5" customHeight="1">
      <c r="A193" s="362"/>
      <c r="B193" s="362" t="s">
        <v>576</v>
      </c>
      <c r="C193" s="362"/>
      <c r="D193" s="362"/>
      <c r="E193" s="75"/>
      <c r="F193" s="75"/>
      <c r="G193" s="75"/>
      <c r="H193" s="75"/>
      <c r="I193" s="75"/>
      <c r="J193" s="92">
        <v>75.715271000000001</v>
      </c>
      <c r="K193" s="92">
        <f>152.019727-J193</f>
        <v>76.304455999999988</v>
      </c>
      <c r="L193" s="92">
        <f>228.185797-K193-J193</f>
        <v>76.166070000000019</v>
      </c>
      <c r="M193" s="92">
        <f>+N193-L193-K193-J193</f>
        <v>78.915234999999967</v>
      </c>
      <c r="N193" s="92">
        <v>307.10103199999998</v>
      </c>
      <c r="O193" s="92">
        <v>91.459693000000001</v>
      </c>
      <c r="P193" s="92">
        <f>183.038613-O193</f>
        <v>91.578919999999997</v>
      </c>
      <c r="Q193" s="92">
        <f>273.903479-O193-P193</f>
        <v>90.864865999999992</v>
      </c>
      <c r="R193" s="92">
        <f>S193-O193-P193-Q193</f>
        <v>90.208444999999998</v>
      </c>
      <c r="S193" s="92">
        <v>364.11192399999999</v>
      </c>
      <c r="T193" s="92">
        <v>96.298000000000002</v>
      </c>
      <c r="U193" s="92">
        <f>193.679-T193</f>
        <v>97.381</v>
      </c>
      <c r="V193" s="92">
        <f>291.805-U193-T193</f>
        <v>98.126000000000005</v>
      </c>
      <c r="W193" s="92">
        <f>X193-SUM(T193:V193)</f>
        <v>91.5</v>
      </c>
      <c r="X193" s="92">
        <v>383.30500000000001</v>
      </c>
      <c r="Y193" s="92">
        <v>91.29</v>
      </c>
      <c r="Z193" s="92">
        <f>185.271-Y193</f>
        <v>93.98099999999998</v>
      </c>
      <c r="AA193" s="92">
        <f>281.499-Y193-Z193</f>
        <v>96.228000000000023</v>
      </c>
      <c r="AB193" s="92">
        <f>AC193-SUM(Y193:AA193)</f>
        <v>93.55499999999995</v>
      </c>
      <c r="AC193" s="92">
        <v>375.05399999999997</v>
      </c>
      <c r="AD193" s="92">
        <v>90.825000000000003</v>
      </c>
      <c r="AE193" s="92">
        <f>182.488-AD193</f>
        <v>91.662999999999997</v>
      </c>
      <c r="AF193" s="92">
        <f>273.678-AE193-AD193</f>
        <v>91.189999999999984</v>
      </c>
      <c r="AG193" s="92">
        <f>AH193-SUM(AD193:AF193)</f>
        <v>90.257999999999981</v>
      </c>
      <c r="AH193" s="92">
        <v>363.93599999999998</v>
      </c>
      <c r="AI193" s="92">
        <v>98.402000000000001</v>
      </c>
      <c r="AJ193" s="92">
        <f>196.149-AI193</f>
        <v>97.747</v>
      </c>
      <c r="AK193" s="92">
        <f>298.28+15.437-AJ193-AI193</f>
        <v>117.56799999999997</v>
      </c>
      <c r="AL193" s="92">
        <f>AM193-AK193-AJ193-AI193</f>
        <v>113.83900000000004</v>
      </c>
      <c r="AM193" s="92">
        <f>403.172+24.384</f>
        <v>427.55600000000004</v>
      </c>
      <c r="AN193" s="92">
        <f>109.662+13.411</f>
        <v>123.07300000000001</v>
      </c>
      <c r="AO193" s="92">
        <f>231.232+32.066-AN193</f>
        <v>140.22499999999999</v>
      </c>
      <c r="AP193" s="92">
        <f>354.291+51.056-AO193-AN193</f>
        <v>142.04899999999995</v>
      </c>
      <c r="AQ193" s="92">
        <f>AR193-SUM(AN193:AP193)</f>
        <v>143.55999999999995</v>
      </c>
      <c r="AR193" s="92">
        <f>479.484+69.423</f>
        <v>548.90699999999993</v>
      </c>
      <c r="AS193" s="1102">
        <f>119.699+18.142</f>
        <v>137.84100000000001</v>
      </c>
      <c r="AT193" s="523">
        <f>242.475+36.001-AS193</f>
        <v>140.63499999999999</v>
      </c>
      <c r="AU193" s="523">
        <f>367.966+54.138-AT193-AS193</f>
        <v>143.62799999999999</v>
      </c>
      <c r="AV193" s="890">
        <f>AW193-SUM(AS193:AU193)</f>
        <v>144.31900000000002</v>
      </c>
      <c r="AW193" s="523">
        <f>494.035+72.388</f>
        <v>566.423</v>
      </c>
      <c r="AX193" s="1102">
        <f>127.883+18.221</f>
        <v>146.10399999999998</v>
      </c>
      <c r="AY193" s="523">
        <f>255.262+35.855-AX193</f>
        <v>145.01300000000003</v>
      </c>
      <c r="AZ193" s="523">
        <f>385.107+53.378-AY193-AX193</f>
        <v>147.36799999999999</v>
      </c>
      <c r="BA193" s="890">
        <f>BB193-SUM(AX193:AZ193)</f>
        <v>144.11700000000008</v>
      </c>
      <c r="BB193" s="523">
        <f>512.147+70.455</f>
        <v>582.60200000000009</v>
      </c>
      <c r="BC193" s="1102">
        <f>127.229+17.437</f>
        <v>144.666</v>
      </c>
      <c r="BD193" s="523">
        <f>256.059+34.68-BC193</f>
        <v>146.07300000000004</v>
      </c>
      <c r="BE193" s="523">
        <f>391.847+51.675-BD193-BC193</f>
        <v>152.78299999999996</v>
      </c>
      <c r="BF193" s="890">
        <f>BG193-SUM(BC193:BE193)</f>
        <v>146.87799999999999</v>
      </c>
      <c r="BG193" s="532">
        <f>522.571+67.829</f>
        <v>590.4</v>
      </c>
      <c r="BH193" s="1102">
        <f>131.338+16.584</f>
        <v>147.922</v>
      </c>
      <c r="BI193" s="523">
        <f>260.968+33.122-BH193</f>
        <v>146.16800000000003</v>
      </c>
      <c r="BJ193" s="523">
        <f>394.69+53.518-SUM(BH193:BI193)</f>
        <v>154.11799999999994</v>
      </c>
      <c r="BK193" s="890">
        <f>BL193-SUM(BH193:BJ193)</f>
        <v>158.81299999999999</v>
      </c>
      <c r="BL193" s="523">
        <f>534.01+73.011</f>
        <v>607.02099999999996</v>
      </c>
      <c r="BM193" s="1102">
        <f>130.425+19.048</f>
        <v>149.47300000000001</v>
      </c>
      <c r="BN193" s="523">
        <f>258.39+37.575-BM193</f>
        <v>146.49199999999996</v>
      </c>
      <c r="BO193" s="523">
        <f>390.495+56.051-SUM(BM193:BN193)</f>
        <v>150.58100000000002</v>
      </c>
      <c r="BP193" s="1103">
        <f>535.852+74.356-SUM(BM193:BO193)</f>
        <v>163.66199999999998</v>
      </c>
      <c r="BQ193" s="550">
        <f>SUM(BM193:BP193)</f>
        <v>610.20799999999997</v>
      </c>
      <c r="BR193" s="1102">
        <f>161.48+18.432</f>
        <v>179.91199999999998</v>
      </c>
      <c r="BS193" s="523">
        <f>326.429+36.265-BR193</f>
        <v>182.78199999999998</v>
      </c>
      <c r="BT193" s="523">
        <f>486.684+54.127-SUM(BR193:BS193)</f>
        <v>178.11700000000008</v>
      </c>
      <c r="BU193" s="1103">
        <f>652+72.423-SUM(BR193:BT193)</f>
        <v>183.61199999999997</v>
      </c>
      <c r="BV193" s="550">
        <f>SUM(BR193:BU193)</f>
        <v>724.423</v>
      </c>
      <c r="BW193" s="1102">
        <f>157.934+18.655</f>
        <v>176.589</v>
      </c>
      <c r="BX193" s="523">
        <f>314.521+36.895-BW193</f>
        <v>174.827</v>
      </c>
      <c r="BY193" s="523">
        <f>469.239+55.673-SUM(BW193:BX193)</f>
        <v>173.49600000000004</v>
      </c>
      <c r="BZ193" s="1103">
        <f>625.757+74.26-SUM(BW193:BY193)</f>
        <v>175.1049999999999</v>
      </c>
      <c r="CA193" s="550">
        <f>SUM(BW193:BZ193)</f>
        <v>700.01699999999994</v>
      </c>
      <c r="CB193" s="1102">
        <f>152.249+18.112</f>
        <v>170.36099999999999</v>
      </c>
      <c r="CC193" s="523">
        <f>306.088+35.587-CB193</f>
        <v>171.31400000000002</v>
      </c>
      <c r="CD193" s="523">
        <f>459.109+54.066-CC193-CB193</f>
        <v>171.49999999999994</v>
      </c>
      <c r="CE193" s="1103">
        <f>613.192+73.862-SUM(CB193:CD193)</f>
        <v>173.87900000000002</v>
      </c>
      <c r="CF193" s="550">
        <f>SUM(CB193:CE193)</f>
        <v>687.05399999999997</v>
      </c>
      <c r="CG193" s="1102">
        <f>158.525+22.368</f>
        <v>180.893</v>
      </c>
      <c r="CH193" s="523">
        <f>318.278+45.443-CG193</f>
        <v>182.828</v>
      </c>
      <c r="CI193" s="523">
        <f>474.822+68.394-CH193-CG193</f>
        <v>179.49500000000003</v>
      </c>
      <c r="CJ193" s="1103">
        <f>635.833+91.228-SUM(CG193:CI193)</f>
        <v>183.84499999999991</v>
      </c>
      <c r="CK193" s="550">
        <f>SUM(CG193:CJ193)</f>
        <v>727.06099999999992</v>
      </c>
      <c r="CL193" s="1102">
        <f>158.665+22.453</f>
        <v>181.11799999999999</v>
      </c>
      <c r="CM193" s="550">
        <f>Operations!CM186</f>
        <v>174</v>
      </c>
      <c r="CN193" s="550">
        <f>Operations!CN186</f>
        <v>174</v>
      </c>
      <c r="CO193" s="890">
        <f>Operations!CO186</f>
        <v>174</v>
      </c>
      <c r="CP193" s="550">
        <f>SUM(CL193:CO193)</f>
        <v>703.11799999999994</v>
      </c>
      <c r="CQ193" s="889">
        <f>Operations!CQ186</f>
        <v>174</v>
      </c>
      <c r="CR193" s="550">
        <f>Operations!CR186</f>
        <v>174</v>
      </c>
      <c r="CS193" s="550">
        <f>Operations!CS186</f>
        <v>174</v>
      </c>
      <c r="CT193" s="890">
        <f>Operations!CT186</f>
        <v>174</v>
      </c>
      <c r="CU193" s="550">
        <f>SUM(CQ193:CT193)</f>
        <v>696</v>
      </c>
      <c r="CV193" s="889">
        <f>Operations!CV186</f>
        <v>174</v>
      </c>
      <c r="CW193" s="550">
        <f>Operations!CW186</f>
        <v>174</v>
      </c>
      <c r="CX193" s="550">
        <f>Operations!CX186</f>
        <v>174</v>
      </c>
      <c r="CY193" s="890">
        <f>Operations!CY186</f>
        <v>174</v>
      </c>
      <c r="CZ193" s="550">
        <f>SUM(CV193:CY193)</f>
        <v>696</v>
      </c>
    </row>
    <row r="194" spans="1:104" ht="13.5" customHeight="1">
      <c r="A194" s="422"/>
      <c r="B194" s="362" t="s">
        <v>480</v>
      </c>
      <c r="C194" s="422"/>
      <c r="D194" s="422"/>
      <c r="E194" s="183"/>
      <c r="F194" s="183"/>
      <c r="G194" s="183"/>
      <c r="H194" s="183"/>
      <c r="I194" s="183"/>
      <c r="J194" s="92">
        <v>0</v>
      </c>
      <c r="K194" s="92">
        <v>0</v>
      </c>
      <c r="L194" s="92">
        <v>0</v>
      </c>
      <c r="M194" s="92">
        <v>0</v>
      </c>
      <c r="N194" s="92">
        <v>0</v>
      </c>
      <c r="O194" s="92">
        <f>127.800886-O193-O192-O195-O203-O204</f>
        <v>-3.9366280000000753</v>
      </c>
      <c r="P194" s="92">
        <f>206.771853-O206-P193-P192-P195-P203-P204</f>
        <v>5.6010680000000175</v>
      </c>
      <c r="Q194" s="92">
        <v>0.581569</v>
      </c>
      <c r="R194" s="92">
        <f>S194-O194-P194-Q194</f>
        <v>-12.949326999999871</v>
      </c>
      <c r="S194" s="92">
        <f>494.619927-S193-S192-S195-S203-S204</f>
        <v>-10.703317999999928</v>
      </c>
      <c r="T194" s="92">
        <f>201.451-T193-T192-T195-T203-T204</f>
        <v>1.4051809999999048</v>
      </c>
      <c r="U194" s="92">
        <f>371.914-T206-U193-U192-U195-U203-U204</f>
        <v>18.260000000000048</v>
      </c>
      <c r="V194" s="92">
        <f>895.317-U206-T206-V193-V192-V195-V203-V204</f>
        <v>51.781000000000162</v>
      </c>
      <c r="W194" s="92">
        <f>X194-SUM(T194:V194)</f>
        <v>-37.77518100000011</v>
      </c>
      <c r="X194" s="92">
        <f>-1.596+13.2+22.067</f>
        <v>33.670999999999999</v>
      </c>
      <c r="Y194" s="92">
        <f>587.938-Y193-Y192-Y195-Y203-Y204</f>
        <v>1.92300000000008</v>
      </c>
      <c r="Z194" s="92">
        <v>36.25</v>
      </c>
      <c r="AA194" s="92">
        <f>1727.327-Z206-Y206-AA193-AA192-AA195-AA203-AA204</f>
        <v>16.03800000000026</v>
      </c>
      <c r="AB194" s="92">
        <f>AC194-SUM(Y194:AA194)</f>
        <v>2.0409999999996629</v>
      </c>
      <c r="AC194" s="92">
        <f>12.365+43.887</f>
        <v>56.252000000000002</v>
      </c>
      <c r="AD194" s="92">
        <f>567.391-AD193-AD192-AD195-AD203-AD204</f>
        <v>-17.675999999999945</v>
      </c>
      <c r="AE194" s="92">
        <f>940.509-AD206-AE193-AE192-AE195-AE203-AE204</f>
        <v>-30.192999999999969</v>
      </c>
      <c r="AF194" s="92">
        <f>-3.668+30.92-AE194-AD194</f>
        <v>75.120999999999924</v>
      </c>
      <c r="AG194" s="92">
        <f>AH194-SUM(AD194:AF194)</f>
        <v>18.346999999999994</v>
      </c>
      <c r="AH194" s="92">
        <f>-6.793+52.392</f>
        <v>45.599000000000004</v>
      </c>
      <c r="AI194" s="92">
        <f>7.649-1.584</f>
        <v>6.0649999999999995</v>
      </c>
      <c r="AJ194" s="92">
        <f>23.386-3.873-AI194</f>
        <v>13.447999999999999</v>
      </c>
      <c r="AK194" s="92">
        <f>33.875-13.207-AJ194-AI194</f>
        <v>1.1550000000000011</v>
      </c>
      <c r="AL194" s="92">
        <f>AM194-AK194-AJ194-AI194</f>
        <v>5.3140000000000001</v>
      </c>
      <c r="AM194" s="92">
        <f>44.001-18.019</f>
        <v>25.981999999999999</v>
      </c>
      <c r="AN194" s="92">
        <f>9.635-0.283</f>
        <v>9.3520000000000003</v>
      </c>
      <c r="AO194" s="92">
        <f>31.148-AN194+11.166</f>
        <v>32.962000000000003</v>
      </c>
      <c r="AP194" s="92">
        <f>38.428+19.837-AO194-AN194</f>
        <v>15.950999999999997</v>
      </c>
      <c r="AQ194" s="92">
        <f>AR194-SUM(AN194:AP194)</f>
        <v>111.52400000000002</v>
      </c>
      <c r="AR194" s="92">
        <f>49.873+105.183+14.733</f>
        <v>169.78900000000002</v>
      </c>
      <c r="AS194" s="1102">
        <f>10.225-13.355</f>
        <v>-3.1300000000000008</v>
      </c>
      <c r="AT194" s="523">
        <f>31.66-AS194</f>
        <v>34.79</v>
      </c>
      <c r="AU194" s="523">
        <f>43.46-AT194-AS194</f>
        <v>11.800000000000002</v>
      </c>
      <c r="AV194" s="890">
        <f>AW194-SUM(AS194:AU194)</f>
        <v>14.004999999999995</v>
      </c>
      <c r="AW194" s="523">
        <f>54.665+2.8</f>
        <v>57.464999999999996</v>
      </c>
      <c r="AX194" s="1102">
        <f>10.396+18.377</f>
        <v>28.773</v>
      </c>
      <c r="AY194" s="523">
        <f>25.246+25.749-AX194</f>
        <v>22.221999999999998</v>
      </c>
      <c r="AZ194" s="523">
        <f>34.115+31.481-AY194-AX194</f>
        <v>14.60100000000001</v>
      </c>
      <c r="BA194" s="890">
        <f>BB194-SUM(AX194:AZ194)</f>
        <v>9.5269999999999868</v>
      </c>
      <c r="BB194" s="523">
        <f>32.082+43.041</f>
        <v>75.12299999999999</v>
      </c>
      <c r="BC194" s="1102">
        <f>9.508+4.21</f>
        <v>13.718</v>
      </c>
      <c r="BD194" s="523">
        <f>31.531+2.943-BC194</f>
        <v>20.755999999999997</v>
      </c>
      <c r="BE194" s="523">
        <f>40.323+14.19-BD194-BC194</f>
        <v>20.039000000000005</v>
      </c>
      <c r="BF194" s="890">
        <f>BG194-SUM(BC194:BE194)</f>
        <v>4.5329999999999941</v>
      </c>
      <c r="BG194" s="532">
        <f>49.003+10.043</f>
        <v>59.045999999999999</v>
      </c>
      <c r="BH194" s="1102">
        <f>6.835+6.674</f>
        <v>13.509</v>
      </c>
      <c r="BI194" s="523">
        <f>37.312+6.832+30-BH194</f>
        <v>60.635000000000005</v>
      </c>
      <c r="BJ194" s="523">
        <f>42.858+9.093+30+17.563-SUM(BH194:BI194)</f>
        <v>25.36999999999999</v>
      </c>
      <c r="BK194" s="890">
        <f>BL194-SUM(BH194:BJ194)</f>
        <v>-35.457999999999998</v>
      </c>
      <c r="BL194" s="523">
        <f>50.733+13.323</f>
        <v>64.055999999999997</v>
      </c>
      <c r="BM194" s="1102">
        <f>6.035+6.708+1.172</f>
        <v>13.915000000000001</v>
      </c>
      <c r="BN194" s="523">
        <f>-0.413+34.043+7.708-BM194</f>
        <v>27.423000000000002</v>
      </c>
      <c r="BO194" s="523">
        <f>40.551+7.708-2.665+14-SUM(BM194:BN194)</f>
        <v>18.256</v>
      </c>
      <c r="BP194" s="1103">
        <f>47.45+8.708-9.297+14-SUM(BM194:BO194)</f>
        <v>1.267000000000003</v>
      </c>
      <c r="BQ194" s="550">
        <f>SUM(BM194:BP194)</f>
        <v>60.861000000000004</v>
      </c>
      <c r="BR194" s="1102">
        <f>5.408-4.474+9.046</f>
        <v>9.98</v>
      </c>
      <c r="BS194" s="523">
        <f>33.752+11.504-7.676+9.046-BR194</f>
        <v>36.646000000000001</v>
      </c>
      <c r="BT194" s="523">
        <f>40.325+11.504-10.028+21.546-SUM(BR194:BS194)</f>
        <v>16.720999999999997</v>
      </c>
      <c r="BU194" s="1103">
        <f>46.384+53.738-13.505+25.393-SUM(BR194:BT194)</f>
        <v>48.663000000000004</v>
      </c>
      <c r="BV194" s="550">
        <f>SUM(BR194:BU194)</f>
        <v>112.01</v>
      </c>
      <c r="BW194" s="1102">
        <f>6.453+0.259</f>
        <v>6.7120000000000006</v>
      </c>
      <c r="BX194" s="532">
        <f>33.947+12.142-0.435-BW194</f>
        <v>38.941999999999993</v>
      </c>
      <c r="BY194" s="523">
        <f>39.542+14.149-0.55+7.7-SUM(BW194:BX194)</f>
        <v>15.187000000000012</v>
      </c>
      <c r="BZ194" s="1103">
        <f>45.794+15.132-5.329+244.833-SUM(BW194:BY194)</f>
        <v>239.589</v>
      </c>
      <c r="CA194" s="550">
        <f>SUM(BW194:BZ194)</f>
        <v>300.43</v>
      </c>
      <c r="CB194" s="1102">
        <f>7.3+36.015-9.245</f>
        <v>34.07</v>
      </c>
      <c r="CC194" s="523">
        <f>37.576+37.026-16.064-CB194</f>
        <v>24.468000000000004</v>
      </c>
      <c r="CD194" s="523">
        <f>44.21+38.474-30.232-CC194-CB194</f>
        <v>-6.0860000000000056</v>
      </c>
      <c r="CE194" s="1103">
        <f>56.511+40.602-38.757-SUM(CB194:CD194)+67.95</f>
        <v>73.854000000000013</v>
      </c>
      <c r="CF194" s="550">
        <f>SUM(CB194:CE194)</f>
        <v>126.30600000000001</v>
      </c>
      <c r="CG194" s="1102">
        <f>9.524+30.249-8.756</f>
        <v>31.016999999999996</v>
      </c>
      <c r="CH194" s="523">
        <f>46.877+41.159-22.058-CG194</f>
        <v>34.961000000000013</v>
      </c>
      <c r="CI194" s="523">
        <f>51.227+48.037-29.801-CH194-CG194</f>
        <v>3.4849999999999852</v>
      </c>
      <c r="CJ194" s="1103">
        <f>64.176+49.295-41.661-SUM(CG194:CI194)+32.576-13.65</f>
        <v>21.27300000000001</v>
      </c>
      <c r="CK194" s="550">
        <f>SUM(CG194:CJ194)</f>
        <v>90.736000000000004</v>
      </c>
      <c r="CL194" s="1102">
        <f>28.629-9.58+25.15+10.463</f>
        <v>54.661999999999999</v>
      </c>
      <c r="CM194" s="550">
        <f>CL124-CM124</f>
        <v>-159.63537616056317</v>
      </c>
      <c r="CN194" s="550">
        <f>CM124-CN124</f>
        <v>-21.669754150988069</v>
      </c>
      <c r="CO194" s="890">
        <f>CN124-CO124</f>
        <v>24.452846516610748</v>
      </c>
      <c r="CP194" s="550">
        <f>SUM(CL194:CO194)</f>
        <v>-102.19028379494048</v>
      </c>
      <c r="CQ194" s="889">
        <f>CP124-CQ124</f>
        <v>-54.689085228833733</v>
      </c>
      <c r="CR194" s="550">
        <f>CQ124-CR124</f>
        <v>13.725081015064688</v>
      </c>
      <c r="CS194" s="550">
        <f>CR124-CS124</f>
        <v>22.530382164335606</v>
      </c>
      <c r="CT194" s="890">
        <f>CS124-CT124</f>
        <v>42.947310417357016</v>
      </c>
      <c r="CU194" s="550">
        <f>SUM(CQ194:CT194)</f>
        <v>24.513688367923578</v>
      </c>
      <c r="CV194" s="889">
        <f>CU124-CV124</f>
        <v>-51.79478443876053</v>
      </c>
      <c r="CW194" s="550">
        <f>CV124-CW124</f>
        <v>16.724578873676364</v>
      </c>
      <c r="CX194" s="550">
        <f>CW124-CX124</f>
        <v>21.882983246198819</v>
      </c>
      <c r="CY194" s="890">
        <f>CX124-CY124</f>
        <v>23.012151981942225</v>
      </c>
      <c r="CZ194" s="550">
        <f>SUM(CV194:CY194)</f>
        <v>9.8249296630568779</v>
      </c>
    </row>
    <row r="195" spans="1:104" ht="13.5" customHeight="1">
      <c r="A195" s="422"/>
      <c r="B195" s="423" t="s">
        <v>548</v>
      </c>
      <c r="C195" s="422"/>
      <c r="D195" s="422"/>
      <c r="E195" s="183"/>
      <c r="F195" s="183"/>
      <c r="G195" s="183"/>
      <c r="H195" s="183"/>
      <c r="I195" s="183"/>
      <c r="J195" s="92">
        <v>0</v>
      </c>
      <c r="K195" s="92">
        <v>0</v>
      </c>
      <c r="L195" s="92">
        <v>0</v>
      </c>
      <c r="M195" s="92">
        <f>+N195-L195-K195-J195</f>
        <v>31.2</v>
      </c>
      <c r="N195" s="92">
        <v>31.2</v>
      </c>
      <c r="O195" s="92">
        <v>6.1</v>
      </c>
      <c r="P195" s="92">
        <v>0</v>
      </c>
      <c r="Q195" s="92">
        <v>0</v>
      </c>
      <c r="R195" s="92">
        <f>S195-O195-P195-Q195</f>
        <v>68.2</v>
      </c>
      <c r="S195" s="92">
        <v>74.3</v>
      </c>
      <c r="T195" s="92">
        <v>-4.4000000000000004</v>
      </c>
      <c r="U195" s="92">
        <f>-32.6-T195</f>
        <v>-28.200000000000003</v>
      </c>
      <c r="V195" s="92">
        <f>-52.9-T195-U195</f>
        <v>-20.299999999999997</v>
      </c>
      <c r="W195" s="92">
        <f>X195-SUM(T195:V195)</f>
        <v>59.592999999999996</v>
      </c>
      <c r="X195" s="92">
        <f>6.693</f>
        <v>6.6929999999999996</v>
      </c>
      <c r="Y195" s="92">
        <f>-16.2</f>
        <v>-16.2</v>
      </c>
      <c r="Z195" s="92">
        <f>-33.071-Y195</f>
        <v>-16.870999999999999</v>
      </c>
      <c r="AA195" s="92">
        <f>-44.91-Y195-Z195</f>
        <v>-11.838999999999999</v>
      </c>
      <c r="AB195" s="92">
        <f>AC195-SUM(Y195:AA195)</f>
        <v>15.530999999999995</v>
      </c>
      <c r="AC195" s="92">
        <f>-29.379</f>
        <v>-29.379000000000001</v>
      </c>
      <c r="AD195" s="92">
        <v>-18.8</v>
      </c>
      <c r="AE195" s="92">
        <v>-45.9</v>
      </c>
      <c r="AF195" s="92">
        <f>-44.2-AE195-AD195</f>
        <v>20.499999999999996</v>
      </c>
      <c r="AG195" s="92">
        <f>AH195-SUM(AD195:AF195)</f>
        <v>5.2900000000000063</v>
      </c>
      <c r="AH195" s="92">
        <v>-38.909999999999997</v>
      </c>
      <c r="AI195" s="92">
        <v>-16.946000000000002</v>
      </c>
      <c r="AJ195" s="92">
        <f>-52.976-AI195</f>
        <v>-36.03</v>
      </c>
      <c r="AK195" s="92">
        <f>-91.191-AJ195-AI195</f>
        <v>-38.215000000000003</v>
      </c>
      <c r="AL195" s="92">
        <f>AM195-AK195-AJ195-AI195</f>
        <v>9.985000000000003</v>
      </c>
      <c r="AM195" s="92">
        <v>-81.206000000000003</v>
      </c>
      <c r="AN195" s="92">
        <v>-8.6630000000000003</v>
      </c>
      <c r="AO195" s="92">
        <f>-66.881-AN195</f>
        <v>-58.218000000000004</v>
      </c>
      <c r="AP195" s="92">
        <f>-111.536-AO195-AN195</f>
        <v>-44.655000000000001</v>
      </c>
      <c r="AQ195" s="92">
        <f>AR195-SUM(AN195:AP195)</f>
        <v>-181.94</v>
      </c>
      <c r="AR195" s="92">
        <v>-293.476</v>
      </c>
      <c r="AS195" s="1102">
        <v>-51.692999999999998</v>
      </c>
      <c r="AT195" s="523">
        <f>-31.659-AS195</f>
        <v>20.033999999999999</v>
      </c>
      <c r="AU195" s="523">
        <f>51.104-AT195-AS195</f>
        <v>82.763000000000005</v>
      </c>
      <c r="AV195" s="890">
        <f>AW195-SUM(AS195:AU195)</f>
        <v>37.442</v>
      </c>
      <c r="AW195" s="523">
        <v>88.546000000000006</v>
      </c>
      <c r="AX195" s="1102">
        <v>2.4430000000000001</v>
      </c>
      <c r="AY195" s="523">
        <f>4.178-AX195</f>
        <v>1.7349999999999999</v>
      </c>
      <c r="AZ195" s="523">
        <f>30.15-AY195-AX195</f>
        <v>25.971999999999998</v>
      </c>
      <c r="BA195" s="890">
        <f>BB195-SUM(AX195:AZ195)</f>
        <v>108.11199999999999</v>
      </c>
      <c r="BB195" s="523">
        <v>138.262</v>
      </c>
      <c r="BC195" s="1102">
        <v>4.3109999999999999</v>
      </c>
      <c r="BD195" s="523">
        <f>-22.885-BC195</f>
        <v>-27.196000000000002</v>
      </c>
      <c r="BE195" s="523">
        <f>40.855-BD195-BC195</f>
        <v>63.74</v>
      </c>
      <c r="BF195" s="890">
        <f>BG195-SUM(BC195:BE195)</f>
        <v>17.195999999999998</v>
      </c>
      <c r="BG195" s="532">
        <v>58.051000000000002</v>
      </c>
      <c r="BH195" s="1102">
        <v>-21.896999999999998</v>
      </c>
      <c r="BI195" s="523">
        <f>-23.144-BH195</f>
        <v>-1.2469999999999999</v>
      </c>
      <c r="BJ195" s="523">
        <f>-42.548-SUM(BH195:BI195)</f>
        <v>-19.404000000000003</v>
      </c>
      <c r="BK195" s="890">
        <f>BL195-SUM(BH195:BJ195)</f>
        <v>17.274000000000001</v>
      </c>
      <c r="BL195" s="523">
        <v>-25.274000000000001</v>
      </c>
      <c r="BM195" s="1102">
        <v>11.183</v>
      </c>
      <c r="BN195" s="523">
        <f>12.304-BM195</f>
        <v>1.1210000000000004</v>
      </c>
      <c r="BO195" s="523">
        <f>10.881-SUM(BM195:BN195)</f>
        <v>-1.423</v>
      </c>
      <c r="BP195" s="1103">
        <f>56.564-SUM(BM195:BO195)</f>
        <v>45.683</v>
      </c>
      <c r="BQ195" s="550">
        <f>SUM(BM195:BP195)</f>
        <v>56.564</v>
      </c>
      <c r="BR195" s="1102">
        <v>8.3119999999999994</v>
      </c>
      <c r="BS195" s="523">
        <f>-5.121-BR195</f>
        <v>-13.433</v>
      </c>
      <c r="BT195" s="523">
        <f>-43.712-SUM(BR195:BS195)</f>
        <v>-38.591000000000001</v>
      </c>
      <c r="BU195" s="1103">
        <f>90.864-SUM(BR195:BT195)</f>
        <v>134.57600000000002</v>
      </c>
      <c r="BV195" s="550">
        <f>SUM(BR195:BU195)</f>
        <v>90.864000000000019</v>
      </c>
      <c r="BW195" s="1102">
        <v>-10.173</v>
      </c>
      <c r="BX195" s="523">
        <f>-35.383-BW195</f>
        <v>-25.21</v>
      </c>
      <c r="BY195" s="523">
        <f>-52.661-SUM(BW195:BX195)</f>
        <v>-17.277999999999999</v>
      </c>
      <c r="BZ195" s="1103">
        <f>-82.518-SUM(BW195:BY195)</f>
        <v>-29.856999999999999</v>
      </c>
      <c r="CA195" s="550">
        <f>SUM(BW195:BZ195)</f>
        <v>-82.518000000000001</v>
      </c>
      <c r="CB195" s="1102">
        <v>5.5289999999999999</v>
      </c>
      <c r="CC195" s="523">
        <f>-4.281-CB195</f>
        <v>-9.8099999999999987</v>
      </c>
      <c r="CD195" s="523">
        <f>49.834-CC195-CB195</f>
        <v>54.115000000000009</v>
      </c>
      <c r="CE195" s="1103">
        <f>70.777-SUM(CB195:CD195)</f>
        <v>20.942999999999991</v>
      </c>
      <c r="CF195" s="550">
        <f>SUM(CB195:CE195)</f>
        <v>70.777000000000001</v>
      </c>
      <c r="CG195" s="1102">
        <v>-6.6950000000000003</v>
      </c>
      <c r="CH195" s="523">
        <f>-4.173-CG195</f>
        <v>2.5220000000000002</v>
      </c>
      <c r="CI195" s="523">
        <f>-31.735-CH195-CG195</f>
        <v>-27.561999999999998</v>
      </c>
      <c r="CJ195" s="1103">
        <f>-221.173-SUM(CG195:CI195)</f>
        <v>-189.43799999999999</v>
      </c>
      <c r="CK195" s="550">
        <f>SUM(CG195:CJ195)</f>
        <v>-221.173</v>
      </c>
      <c r="CL195" s="1102">
        <v>29.988</v>
      </c>
      <c r="CM195" s="523">
        <v>0</v>
      </c>
      <c r="CN195" s="523">
        <v>0</v>
      </c>
      <c r="CO195" s="1103">
        <v>0</v>
      </c>
      <c r="CP195" s="550">
        <f>SUM(CL195:CO195)</f>
        <v>29.988</v>
      </c>
      <c r="CQ195" s="1102">
        <v>0</v>
      </c>
      <c r="CR195" s="523">
        <v>0</v>
      </c>
      <c r="CS195" s="523">
        <v>0</v>
      </c>
      <c r="CT195" s="1103">
        <v>0</v>
      </c>
      <c r="CU195" s="550">
        <f>SUM(CQ195:CT195)</f>
        <v>0</v>
      </c>
      <c r="CV195" s="1102">
        <v>0</v>
      </c>
      <c r="CW195" s="523">
        <v>0</v>
      </c>
      <c r="CX195" s="523">
        <v>0</v>
      </c>
      <c r="CY195" s="1103">
        <v>0</v>
      </c>
      <c r="CZ195" s="550">
        <f>SUM(CV195:CY195)</f>
        <v>0</v>
      </c>
    </row>
    <row r="196" spans="1:104" ht="6.2" customHeight="1">
      <c r="A196" s="362"/>
      <c r="B196" s="362"/>
      <c r="C196" s="362"/>
      <c r="D196" s="362"/>
      <c r="E196" s="150"/>
      <c r="F196" s="150"/>
      <c r="G196" s="150"/>
      <c r="H196" s="150"/>
      <c r="I196" s="150"/>
      <c r="J196" s="150"/>
      <c r="K196" s="150"/>
      <c r="L196" s="150"/>
      <c r="M196" s="150"/>
      <c r="N196" s="150"/>
      <c r="O196" s="150"/>
      <c r="P196" s="150"/>
      <c r="Q196" s="150"/>
      <c r="R196" s="150"/>
      <c r="S196" s="150"/>
      <c r="T196" s="150"/>
      <c r="U196" s="150"/>
      <c r="V196" s="150"/>
      <c r="W196" s="150"/>
      <c r="X196" s="150"/>
      <c r="Y196" s="150"/>
      <c r="Z196" s="150"/>
      <c r="AA196" s="150"/>
      <c r="AB196" s="150"/>
      <c r="AC196" s="150"/>
      <c r="AD196" s="150"/>
      <c r="AE196" s="150"/>
      <c r="AF196" s="150"/>
      <c r="AG196" s="150"/>
      <c r="AH196" s="150"/>
      <c r="AI196" s="150"/>
      <c r="AJ196" s="150"/>
      <c r="AK196" s="150"/>
      <c r="AL196" s="150"/>
      <c r="AM196" s="150"/>
      <c r="AN196" s="150"/>
      <c r="AO196" s="150"/>
      <c r="AP196" s="150"/>
      <c r="AQ196" s="150"/>
      <c r="AR196" s="150"/>
      <c r="AS196" s="1112"/>
      <c r="AT196" s="150"/>
      <c r="AU196" s="150"/>
      <c r="AV196" s="1113"/>
      <c r="AW196" s="150"/>
      <c r="AX196" s="1112"/>
      <c r="AY196" s="150"/>
      <c r="AZ196" s="150"/>
      <c r="BA196" s="1113"/>
      <c r="BB196" s="150"/>
      <c r="BC196" s="1112"/>
      <c r="BD196" s="150"/>
      <c r="BE196" s="150"/>
      <c r="BF196" s="1171"/>
      <c r="BG196" s="381"/>
      <c r="BH196" s="1112"/>
      <c r="BI196" s="150"/>
      <c r="BJ196" s="150"/>
      <c r="BK196" s="1113"/>
      <c r="BL196" s="150"/>
      <c r="BM196" s="1112"/>
      <c r="BN196" s="150"/>
      <c r="BO196" s="150"/>
      <c r="BP196" s="1113"/>
      <c r="BQ196" s="150"/>
      <c r="BR196" s="1112"/>
      <c r="BS196" s="150"/>
      <c r="BT196" s="150"/>
      <c r="BU196" s="1113"/>
      <c r="BV196" s="150"/>
      <c r="BW196" s="1112"/>
      <c r="BX196" s="150"/>
      <c r="BY196" s="150"/>
      <c r="BZ196" s="1113"/>
      <c r="CA196" s="150"/>
      <c r="CB196" s="1112"/>
      <c r="CC196" s="150"/>
      <c r="CD196" s="594"/>
      <c r="CE196" s="1210"/>
      <c r="CF196" s="594"/>
      <c r="CG196" s="1214"/>
      <c r="CH196" s="594"/>
      <c r="CI196" s="594"/>
      <c r="CJ196" s="1210"/>
      <c r="CK196" s="594"/>
      <c r="CL196" s="1214"/>
      <c r="CM196" s="150"/>
      <c r="CN196" s="150"/>
      <c r="CO196" s="1113"/>
      <c r="CP196" s="150"/>
      <c r="CQ196" s="1112"/>
      <c r="CR196" s="150"/>
      <c r="CS196" s="150"/>
      <c r="CT196" s="1113"/>
      <c r="CU196" s="150"/>
      <c r="CV196" s="1112"/>
      <c r="CW196" s="150"/>
      <c r="CX196" s="150"/>
      <c r="CY196" s="1113"/>
      <c r="CZ196" s="150"/>
    </row>
    <row r="197" spans="1:104" ht="13.5" customHeight="1">
      <c r="A197" s="362"/>
      <c r="B197" s="369"/>
      <c r="C197" s="421" t="s">
        <v>406</v>
      </c>
      <c r="D197" s="362"/>
      <c r="E197" s="76"/>
      <c r="F197" s="76"/>
      <c r="G197" s="76"/>
      <c r="H197" s="76"/>
      <c r="I197" s="76"/>
      <c r="J197" s="178"/>
      <c r="K197" s="178"/>
      <c r="L197" s="178"/>
      <c r="M197" s="178"/>
      <c r="N197" s="178"/>
      <c r="O197" s="178"/>
      <c r="P197" s="178"/>
      <c r="Q197" s="178"/>
      <c r="R197" s="178"/>
      <c r="S197" s="178"/>
      <c r="T197" s="178"/>
      <c r="U197" s="178"/>
      <c r="V197" s="178"/>
      <c r="W197" s="178"/>
      <c r="X197" s="178"/>
      <c r="Y197" s="178"/>
      <c r="Z197" s="178"/>
      <c r="AA197" s="178"/>
      <c r="AB197" s="178"/>
      <c r="AC197" s="178"/>
      <c r="AD197" s="178"/>
      <c r="AE197" s="178"/>
      <c r="AF197" s="178"/>
      <c r="AG197" s="178"/>
      <c r="AH197" s="178"/>
      <c r="AI197" s="178"/>
      <c r="AJ197" s="178"/>
      <c r="AK197" s="178"/>
      <c r="AL197" s="178"/>
      <c r="AM197" s="178"/>
      <c r="AN197" s="178"/>
      <c r="AO197" s="178"/>
      <c r="AP197" s="178"/>
      <c r="AQ197" s="178"/>
      <c r="AR197" s="178"/>
      <c r="AS197" s="1055"/>
      <c r="AT197" s="178"/>
      <c r="AU197" s="178"/>
      <c r="AV197" s="1132"/>
      <c r="AW197" s="178"/>
      <c r="AX197" s="1055"/>
      <c r="AY197" s="178"/>
      <c r="AZ197" s="178"/>
      <c r="BA197" s="1132"/>
      <c r="BB197" s="178"/>
      <c r="BC197" s="1055"/>
      <c r="BD197" s="178"/>
      <c r="BE197" s="178"/>
      <c r="BF197" s="1183"/>
      <c r="BG197" s="387"/>
      <c r="BH197" s="1055"/>
      <c r="BI197" s="178"/>
      <c r="BJ197" s="178"/>
      <c r="BK197" s="1132"/>
      <c r="BL197" s="178"/>
      <c r="BM197" s="1055"/>
      <c r="BN197" s="178"/>
      <c r="BO197" s="178"/>
      <c r="BP197" s="1132"/>
      <c r="BQ197" s="178"/>
      <c r="BR197" s="1055"/>
      <c r="BS197" s="178"/>
      <c r="BT197" s="178"/>
      <c r="BU197" s="1132"/>
      <c r="BV197" s="178"/>
      <c r="BW197" s="1055"/>
      <c r="BX197" s="178"/>
      <c r="BY197" s="178"/>
      <c r="BZ197" s="1132"/>
      <c r="CA197" s="178"/>
      <c r="CB197" s="1055"/>
      <c r="CC197" s="178"/>
      <c r="CD197" s="587"/>
      <c r="CE197" s="922"/>
      <c r="CF197" s="587"/>
      <c r="CG197" s="921"/>
      <c r="CH197" s="587"/>
      <c r="CI197" s="587"/>
      <c r="CJ197" s="922"/>
      <c r="CK197" s="587"/>
      <c r="CL197" s="921"/>
      <c r="CM197" s="178"/>
      <c r="CN197" s="178"/>
      <c r="CO197" s="1132"/>
      <c r="CP197" s="178"/>
      <c r="CQ197" s="1055"/>
      <c r="CR197" s="178"/>
      <c r="CS197" s="178"/>
      <c r="CT197" s="1132"/>
      <c r="CU197" s="178"/>
      <c r="CV197" s="1055"/>
      <c r="CW197" s="178"/>
      <c r="CX197" s="178"/>
      <c r="CY197" s="1132"/>
      <c r="CZ197" s="178"/>
    </row>
    <row r="198" spans="1:104" ht="13.5" customHeight="1">
      <c r="A198" s="362"/>
      <c r="B198" s="369"/>
      <c r="C198" s="369" t="s">
        <v>367</v>
      </c>
      <c r="D198" s="362"/>
      <c r="E198" s="75"/>
      <c r="F198" s="75"/>
      <c r="G198" s="75"/>
      <c r="H198" s="75"/>
      <c r="I198" s="75"/>
      <c r="J198" s="101">
        <v>-27.895607999999999</v>
      </c>
      <c r="K198" s="101">
        <f>-111.595038-J198</f>
        <v>-83.699430000000007</v>
      </c>
      <c r="L198" s="101">
        <f>-176.175156-K198-J198</f>
        <v>-64.580117999999985</v>
      </c>
      <c r="M198" s="101">
        <f>+N198-L198-K198-J198</f>
        <v>76.397257999999994</v>
      </c>
      <c r="N198" s="101">
        <v>-99.777897999999993</v>
      </c>
      <c r="O198" s="101">
        <f>M115-O115</f>
        <v>0.14532400000001644</v>
      </c>
      <c r="P198" s="101">
        <f t="shared" ref="P198:R199" si="218">O115-P115</f>
        <v>-43.824187999999992</v>
      </c>
      <c r="Q198" s="101">
        <f t="shared" si="218"/>
        <v>-19.259503999999993</v>
      </c>
      <c r="R198" s="101">
        <f t="shared" si="218"/>
        <v>-25.932897000000025</v>
      </c>
      <c r="S198" s="101">
        <f>N115-S115</f>
        <v>-88.871264999999994</v>
      </c>
      <c r="T198" s="101">
        <f>R115-T115</f>
        <v>-190.087763</v>
      </c>
      <c r="U198" s="101">
        <f>T115-U115</f>
        <v>-138.34799999999996</v>
      </c>
      <c r="V198" s="101">
        <f>U115-V115</f>
        <v>-147.32300000000009</v>
      </c>
      <c r="W198" s="101">
        <f>X198-SUM(T198:V198)</f>
        <v>120.86176300000005</v>
      </c>
      <c r="X198" s="101">
        <v>-354.89699999999999</v>
      </c>
      <c r="Y198" s="101">
        <f>W115-Y115</f>
        <v>-58.674999999999955</v>
      </c>
      <c r="Z198" s="101">
        <f>Y115-Z115</f>
        <v>87.76299999999992</v>
      </c>
      <c r="AA198" s="101">
        <f>Z115-AA115</f>
        <v>-84.232999999999947</v>
      </c>
      <c r="AB198" s="101">
        <f>AC198-SUM(Y198:AA198)</f>
        <v>35.719999999999985</v>
      </c>
      <c r="AC198" s="101">
        <v>-19.425000000000001</v>
      </c>
      <c r="AD198" s="101">
        <f>AB115-AD115</f>
        <v>-68.122999999999934</v>
      </c>
      <c r="AE198" s="101">
        <f>AD115-AE115</f>
        <v>-155.63800000000015</v>
      </c>
      <c r="AF198" s="101">
        <f>-214.474-AE198-AD198</f>
        <v>9.2870000000000914</v>
      </c>
      <c r="AG198" s="101">
        <f>AH198-SUM(AD198:AF198)</f>
        <v>180.596</v>
      </c>
      <c r="AH198" s="101">
        <v>-33.878</v>
      </c>
      <c r="AI198" s="101">
        <v>-122.598</v>
      </c>
      <c r="AJ198" s="101">
        <f>-196.132-AI198</f>
        <v>-73.534000000000006</v>
      </c>
      <c r="AK198" s="101">
        <f>-239.401-AJ198-AI198</f>
        <v>-43.26900000000002</v>
      </c>
      <c r="AL198" s="92">
        <f>AM198-AK198-AJ198-AI198</f>
        <v>65.075000000000045</v>
      </c>
      <c r="AM198" s="101">
        <f>-174.326</f>
        <v>-174.32599999999999</v>
      </c>
      <c r="AN198" s="101">
        <v>33.005000000000003</v>
      </c>
      <c r="AO198" s="101">
        <f>-591.318-AN198</f>
        <v>-624.32299999999998</v>
      </c>
      <c r="AP198" s="101">
        <f>-437.792-AO198-AN198</f>
        <v>153.52600000000001</v>
      </c>
      <c r="AQ198" s="92">
        <f>AR198-SUM(AN198:AP198)</f>
        <v>1293.364</v>
      </c>
      <c r="AR198" s="101">
        <v>855.572</v>
      </c>
      <c r="AS198" s="1092">
        <v>292.39800000000002</v>
      </c>
      <c r="AT198" s="529">
        <f>278.055-AS198</f>
        <v>-14.343000000000018</v>
      </c>
      <c r="AU198" s="529">
        <f>92.21-AT198-AS198</f>
        <v>-185.84500000000003</v>
      </c>
      <c r="AV198" s="890">
        <f>AW198-SUM(AS198:AU198)</f>
        <v>48.894000000000034</v>
      </c>
      <c r="AW198" s="523">
        <v>141.10400000000001</v>
      </c>
      <c r="AX198" s="1092">
        <v>-179.297</v>
      </c>
      <c r="AY198" s="529">
        <f>-290.542-AX198</f>
        <v>-111.24499999999998</v>
      </c>
      <c r="AZ198" s="529">
        <f>-340.933-AY198-AX198</f>
        <v>-50.39100000000002</v>
      </c>
      <c r="BA198" s="890">
        <f>BB198-SUM(AX198:AZ198)</f>
        <v>30.745000000000005</v>
      </c>
      <c r="BB198" s="530">
        <v>-310.18799999999999</v>
      </c>
      <c r="BC198" s="1092">
        <v>-259.77300000000002</v>
      </c>
      <c r="BD198" s="529">
        <f>-392.95-BC198</f>
        <v>-133.17699999999996</v>
      </c>
      <c r="BE198" s="529">
        <f>-401.237-BD198-BC198</f>
        <v>-8.2870000000000346</v>
      </c>
      <c r="BF198" s="890">
        <f>BG198-SUM(BC198:BE198)</f>
        <v>126.31700000000001</v>
      </c>
      <c r="BG198" s="547">
        <v>-274.92</v>
      </c>
      <c r="BH198" s="1092">
        <v>-74.626999999999995</v>
      </c>
      <c r="BI198" s="529">
        <f>-76.245-BH198</f>
        <v>-1.6180000000000092</v>
      </c>
      <c r="BJ198" s="529">
        <f>62.787-SUM(BH198:BI198)</f>
        <v>139.03200000000001</v>
      </c>
      <c r="BK198" s="890">
        <f>BL198-SUM(BH198:BJ198)</f>
        <v>85.325999999999993</v>
      </c>
      <c r="BL198" s="530">
        <v>148.113</v>
      </c>
      <c r="BM198" s="1092">
        <v>-90.688000000000002</v>
      </c>
      <c r="BN198" s="529">
        <f>-70.785-BM198</f>
        <v>19.903000000000006</v>
      </c>
      <c r="BO198" s="529">
        <f>-204.54-SUM(BM198:BN198)</f>
        <v>-133.755</v>
      </c>
      <c r="BP198" s="1094">
        <f>-103.649-SUM(BM198:BO198)</f>
        <v>100.89099999999999</v>
      </c>
      <c r="BQ198" s="555">
        <f>SUM(BM198:BP198)</f>
        <v>-103.649</v>
      </c>
      <c r="BR198" s="1092">
        <v>-97.183000000000007</v>
      </c>
      <c r="BS198" s="529">
        <f>-249.196-BR198</f>
        <v>-152.01299999999998</v>
      </c>
      <c r="BT198" s="529">
        <f>-418.353-SUM(BR198:BS198)</f>
        <v>-169.15700000000004</v>
      </c>
      <c r="BU198" s="1094">
        <f>-179.181-SUM(BR198:BT198)</f>
        <v>239.172</v>
      </c>
      <c r="BV198" s="555">
        <f>SUM(BR198:BU198)</f>
        <v>-179.18100000000001</v>
      </c>
      <c r="BW198" s="1092">
        <v>343.49700000000001</v>
      </c>
      <c r="BX198" s="529">
        <f>254.343-BW198</f>
        <v>-89.154000000000025</v>
      </c>
      <c r="BY198" s="529">
        <f>328.671-SUM(BW198:BX198)</f>
        <v>74.328000000000003</v>
      </c>
      <c r="BZ198" s="1094">
        <f>655.489-SUM(BW198:BY198)</f>
        <v>326.81800000000004</v>
      </c>
      <c r="CA198" s="555">
        <f>SUM(BW198:BZ198)</f>
        <v>655.48900000000003</v>
      </c>
      <c r="CB198" s="1092">
        <v>-104.252</v>
      </c>
      <c r="CC198" s="529">
        <f>-398.266-CB198</f>
        <v>-294.01400000000001</v>
      </c>
      <c r="CD198" s="529">
        <f>-328-CC198-CB198</f>
        <v>70.266000000000005</v>
      </c>
      <c r="CE198" s="1094">
        <f>-208.984-SUM(CB198:CD198)</f>
        <v>119.01599999999999</v>
      </c>
      <c r="CF198" s="555">
        <f>SUM(CB198:CE198)</f>
        <v>-208.98400000000001</v>
      </c>
      <c r="CG198" s="1092">
        <v>-297.15800000000002</v>
      </c>
      <c r="CH198" s="529">
        <f>-396.452-CG198</f>
        <v>-99.293999999999983</v>
      </c>
      <c r="CI198" s="529">
        <f>-406.582-CH198-CG198</f>
        <v>-10.129999999999995</v>
      </c>
      <c r="CJ198" s="1094">
        <f>-329.501-SUM(CG198:CI198)</f>
        <v>77.081000000000017</v>
      </c>
      <c r="CK198" s="555">
        <f>SUM(CG198:CJ198)</f>
        <v>-329.50099999999998</v>
      </c>
      <c r="CL198" s="1092">
        <v>-343.98200000000003</v>
      </c>
      <c r="CM198" s="574">
        <f t="shared" ref="CM198:CO199" si="219">CL115-CM115</f>
        <v>-281.73955263766311</v>
      </c>
      <c r="CN198" s="574">
        <f t="shared" si="219"/>
        <v>-101.30761559750454</v>
      </c>
      <c r="CO198" s="924">
        <f t="shared" si="219"/>
        <v>133.65719277435073</v>
      </c>
      <c r="CP198" s="555">
        <f>SUM(CL198:CO198)</f>
        <v>-593.37197546081688</v>
      </c>
      <c r="CQ198" s="923">
        <f>CO115-CQ115</f>
        <v>-331.67738228272083</v>
      </c>
      <c r="CR198" s="574">
        <f t="shared" ref="CR198:CT199" si="220">CQ115-CR115</f>
        <v>200.30130897829622</v>
      </c>
      <c r="CS198" s="574">
        <f t="shared" si="220"/>
        <v>13.590281114056324</v>
      </c>
      <c r="CT198" s="924">
        <f t="shared" si="220"/>
        <v>180.76100429792632</v>
      </c>
      <c r="CU198" s="555">
        <f>SUM(CQ198:CT198)</f>
        <v>62.975212107558036</v>
      </c>
      <c r="CV198" s="923">
        <f>CT115-CV115</f>
        <v>-319.36761389404819</v>
      </c>
      <c r="CW198" s="574">
        <f t="shared" ref="CW198:CW199" si="221">CV115-CW115</f>
        <v>203.88157159819502</v>
      </c>
      <c r="CX198" s="574">
        <f t="shared" ref="CX198:CX199" si="222">CW115-CX115</f>
        <v>13.195990892452755</v>
      </c>
      <c r="CY198" s="924">
        <f t="shared" ref="CY198:CY199" si="223">CX115-CY115</f>
        <v>127.53011402418679</v>
      </c>
      <c r="CZ198" s="555">
        <f>SUM(CV198:CY198)</f>
        <v>25.240062620786375</v>
      </c>
    </row>
    <row r="199" spans="1:104" ht="13.5" customHeight="1">
      <c r="A199" s="362"/>
      <c r="B199" s="369"/>
      <c r="C199" s="369" t="s">
        <v>592</v>
      </c>
      <c r="D199" s="362"/>
      <c r="E199" s="75"/>
      <c r="F199" s="75"/>
      <c r="G199" s="75"/>
      <c r="H199" s="75"/>
      <c r="I199" s="75"/>
      <c r="J199" s="101">
        <v>0</v>
      </c>
      <c r="K199" s="101">
        <v>0</v>
      </c>
      <c r="L199" s="101">
        <v>0</v>
      </c>
      <c r="M199" s="101">
        <f>+N199-L199-K199-J199</f>
        <v>-58.371867000000002</v>
      </c>
      <c r="N199" s="101">
        <v>-58.371867000000002</v>
      </c>
      <c r="O199" s="101">
        <f>M116-O116</f>
        <v>-35.725420999999983</v>
      </c>
      <c r="P199" s="101">
        <f t="shared" si="218"/>
        <v>41.886561000000029</v>
      </c>
      <c r="Q199" s="101">
        <f t="shared" si="218"/>
        <v>1.2906679999999824</v>
      </c>
      <c r="R199" s="101">
        <f t="shared" si="218"/>
        <v>21.14221299999997</v>
      </c>
      <c r="S199" s="101">
        <f>N116-S116</f>
        <v>28.594020999999998</v>
      </c>
      <c r="T199" s="101">
        <f>R116-T116</f>
        <v>-81.120472999999947</v>
      </c>
      <c r="U199" s="101">
        <f>T116-U116</f>
        <v>-88.833000000000084</v>
      </c>
      <c r="V199" s="101">
        <f>U116-V116</f>
        <v>-220.245</v>
      </c>
      <c r="W199" s="101">
        <f>X199-SUM(T199:V199)</f>
        <v>-245.44252699999993</v>
      </c>
      <c r="X199" s="101">
        <v>-635.64099999999996</v>
      </c>
      <c r="Y199" s="101">
        <f>W116-Y116</f>
        <v>47.201999999999998</v>
      </c>
      <c r="Z199" s="101">
        <f>Y116-Z116</f>
        <v>43.231999999999971</v>
      </c>
      <c r="AA199" s="101">
        <f>Z116-AA116</f>
        <v>198.31099999999992</v>
      </c>
      <c r="AB199" s="101">
        <f>AC199-SUM(Y199:AA199)</f>
        <v>49.117000000000132</v>
      </c>
      <c r="AC199" s="101">
        <v>337.86200000000002</v>
      </c>
      <c r="AD199" s="101">
        <f>AB116-AD116</f>
        <v>3.8310000000000173</v>
      </c>
      <c r="AE199" s="101">
        <f>AD116-AE116</f>
        <v>-109.26199999999994</v>
      </c>
      <c r="AF199" s="101">
        <f>-181.482-AE199-AD199</f>
        <v>-76.051000000000073</v>
      </c>
      <c r="AG199" s="101">
        <f>AH199-SUM(AD199:AF199)</f>
        <v>37.510999999999996</v>
      </c>
      <c r="AH199" s="101">
        <v>-143.971</v>
      </c>
      <c r="AI199" s="101">
        <v>-5.3140000000000001</v>
      </c>
      <c r="AJ199" s="101">
        <f>-144.5-AI199</f>
        <v>-139.18600000000001</v>
      </c>
      <c r="AK199" s="101">
        <f>-128.436-AJ199-AI199</f>
        <v>16.064</v>
      </c>
      <c r="AL199" s="92">
        <f>AM199-AK199-AJ199-AI199</f>
        <v>25.946000000000005</v>
      </c>
      <c r="AM199" s="101">
        <v>-102.49</v>
      </c>
      <c r="AN199" s="101">
        <v>8.0139999999999993</v>
      </c>
      <c r="AO199" s="101">
        <f>-570.57-AN199</f>
        <v>-578.58400000000006</v>
      </c>
      <c r="AP199" s="101">
        <f>-1083.823-AO199-AN199</f>
        <v>-513.25300000000004</v>
      </c>
      <c r="AQ199" s="92">
        <f>AR199-SUM(AN199:AP199)</f>
        <v>719.54300000000012</v>
      </c>
      <c r="AR199" s="101">
        <v>-364.28</v>
      </c>
      <c r="AS199" s="1092">
        <v>522.74400000000003</v>
      </c>
      <c r="AT199" s="529">
        <f>1147.421-AS199</f>
        <v>624.67700000000002</v>
      </c>
      <c r="AU199" s="529">
        <f>1113.104-AT199-AS199</f>
        <v>-34.317000000000007</v>
      </c>
      <c r="AV199" s="890">
        <f>AW199-SUM(AS199:AU199)</f>
        <v>4.4959999999998672</v>
      </c>
      <c r="AW199" s="523">
        <v>1117.5999999999999</v>
      </c>
      <c r="AX199" s="1092">
        <v>-303.00099999999998</v>
      </c>
      <c r="AY199" s="529">
        <f>-628.941-AX199</f>
        <v>-325.94000000000005</v>
      </c>
      <c r="AZ199" s="529">
        <f>-325.549-AY199-AX199</f>
        <v>303.39200000000005</v>
      </c>
      <c r="BA199" s="890">
        <f>BB199-SUM(AX199:AZ199)</f>
        <v>93.635999999999967</v>
      </c>
      <c r="BB199" s="530">
        <v>-231.91300000000001</v>
      </c>
      <c r="BC199" s="1092">
        <v>-397.53699999999998</v>
      </c>
      <c r="BD199" s="529">
        <f>-661.337-BC199</f>
        <v>-263.8</v>
      </c>
      <c r="BE199" s="529">
        <f>-634.048-BD199-BC199</f>
        <v>27.288999999999987</v>
      </c>
      <c r="BF199" s="890">
        <f>BG199-SUM(BC199:BE199)</f>
        <v>200.35199999999998</v>
      </c>
      <c r="BG199" s="547">
        <v>-433.69600000000003</v>
      </c>
      <c r="BH199" s="1092">
        <v>-263.15300000000002</v>
      </c>
      <c r="BI199" s="529">
        <f>-152.494-BH199</f>
        <v>110.65900000000002</v>
      </c>
      <c r="BJ199" s="529">
        <f>41.662-SUM(BH199:BI199)</f>
        <v>194.15600000000001</v>
      </c>
      <c r="BK199" s="890">
        <f>BL199-SUM(BH199:BJ199)</f>
        <v>-107.31700000000001</v>
      </c>
      <c r="BL199" s="530">
        <v>-65.655000000000001</v>
      </c>
      <c r="BM199" s="1092">
        <v>-63.222000000000001</v>
      </c>
      <c r="BN199" s="529">
        <f>36.087-BM199</f>
        <v>99.308999999999997</v>
      </c>
      <c r="BO199" s="529">
        <f>-129.28-SUM(BM199:BN199)</f>
        <v>-165.36699999999999</v>
      </c>
      <c r="BP199" s="1094">
        <f>-298.074-SUM(BM199:BO199)</f>
        <v>-168.79400000000001</v>
      </c>
      <c r="BQ199" s="555">
        <f>SUM(BM199:BP199)</f>
        <v>-298.07400000000001</v>
      </c>
      <c r="BR199" s="1092">
        <v>-123.145</v>
      </c>
      <c r="BS199" s="529">
        <f>-130.463-BR199</f>
        <v>-7.3179999999999978</v>
      </c>
      <c r="BT199" s="529">
        <f>-80.975-SUM(BR199:BS199)</f>
        <v>49.488</v>
      </c>
      <c r="BU199" s="1094">
        <f>-45.963-SUM(BR199:BT199)</f>
        <v>35.011999999999993</v>
      </c>
      <c r="BV199" s="555">
        <f>SUM(BR199:BU199)</f>
        <v>-45.963000000000001</v>
      </c>
      <c r="BW199" s="1092">
        <v>330.84199999999998</v>
      </c>
      <c r="BX199" s="529">
        <f>472.104-BW199</f>
        <v>141.262</v>
      </c>
      <c r="BY199" s="529">
        <f>370.445-SUM(BW199:BX199)</f>
        <v>-101.65899999999999</v>
      </c>
      <c r="BZ199" s="1094">
        <f>593.83-SUM(BW199:BY199)</f>
        <v>223.38500000000005</v>
      </c>
      <c r="CA199" s="555">
        <f>SUM(BW199:BZ199)</f>
        <v>593.83000000000004</v>
      </c>
      <c r="CB199" s="1092">
        <v>142.51599999999999</v>
      </c>
      <c r="CC199" s="529">
        <f>-136.019-CB199</f>
        <v>-278.53499999999997</v>
      </c>
      <c r="CD199" s="529">
        <f>-184.32-CC199-CB199</f>
        <v>-48.301000000000016</v>
      </c>
      <c r="CE199" s="1094">
        <f>-132.639-SUM(CB199:CD199)</f>
        <v>51.680999999999983</v>
      </c>
      <c r="CF199" s="555">
        <f>SUM(CB199:CE199)</f>
        <v>-132.63900000000001</v>
      </c>
      <c r="CG199" s="1092">
        <v>-519.90200000000004</v>
      </c>
      <c r="CH199" s="529">
        <f>-781.581-CG199</f>
        <v>-261.67899999999997</v>
      </c>
      <c r="CI199" s="529">
        <f>-957.029-CH199-CG199</f>
        <v>-175.44799999999998</v>
      </c>
      <c r="CJ199" s="1094">
        <f>-900.946-SUM(CG199:CI199)</f>
        <v>56.08299999999997</v>
      </c>
      <c r="CK199" s="555">
        <f>SUM(CG199:CJ199)</f>
        <v>-900.94600000000003</v>
      </c>
      <c r="CL199" s="1092">
        <v>-246.93299999999999</v>
      </c>
      <c r="CM199" s="574">
        <f t="shared" si="219"/>
        <v>-504.22188507835244</v>
      </c>
      <c r="CN199" s="574">
        <f t="shared" si="219"/>
        <v>-198.68847052403817</v>
      </c>
      <c r="CO199" s="924">
        <f t="shared" si="219"/>
        <v>109.20923088149357</v>
      </c>
      <c r="CP199" s="555">
        <f>SUM(CL199:CO199)</f>
        <v>-840.63412472089703</v>
      </c>
      <c r="CQ199" s="923">
        <f>CO116-CQ116</f>
        <v>-283.24945533685332</v>
      </c>
      <c r="CR199" s="574">
        <f t="shared" si="220"/>
        <v>171.25167082830285</v>
      </c>
      <c r="CS199" s="574">
        <f t="shared" si="220"/>
        <v>-63.961605659784254</v>
      </c>
      <c r="CT199" s="924">
        <f t="shared" si="220"/>
        <v>157.04398596473675</v>
      </c>
      <c r="CU199" s="555">
        <f>SUM(CQ199:CT199)</f>
        <v>-18.915404203597973</v>
      </c>
      <c r="CV199" s="923">
        <f>CT116-CV116</f>
        <v>-233.72016609201364</v>
      </c>
      <c r="CW199" s="574">
        <f t="shared" si="221"/>
        <v>238.5350511229417</v>
      </c>
      <c r="CX199" s="574">
        <f t="shared" si="222"/>
        <v>-46.362899479745465</v>
      </c>
      <c r="CY199" s="924">
        <f t="shared" si="223"/>
        <v>155.51926772214847</v>
      </c>
      <c r="CZ199" s="555">
        <f>SUM(CV199:CY199)</f>
        <v>113.97125327333106</v>
      </c>
    </row>
    <row r="200" spans="1:104" ht="13.5" customHeight="1">
      <c r="A200" s="362"/>
      <c r="B200" s="411"/>
      <c r="C200" s="369" t="s">
        <v>50</v>
      </c>
      <c r="D200" s="362"/>
      <c r="E200" s="75"/>
      <c r="F200" s="75"/>
      <c r="G200" s="75"/>
      <c r="H200" s="75"/>
      <c r="I200" s="75"/>
      <c r="J200" s="101">
        <v>65.847305000000006</v>
      </c>
      <c r="K200" s="101">
        <f>142.295875-J200</f>
        <v>76.448569999999989</v>
      </c>
      <c r="L200" s="101">
        <f>184.319697-K200-J200</f>
        <v>42.023821999999996</v>
      </c>
      <c r="M200" s="101">
        <f>+N200-L200-K200-J200</f>
        <v>-126.32567599999999</v>
      </c>
      <c r="N200" s="101">
        <v>57.994020999999996</v>
      </c>
      <c r="O200" s="101">
        <f>O129-M129</f>
        <v>79.539548000000025</v>
      </c>
      <c r="P200" s="101">
        <f>P129-O129</f>
        <v>-36.138603999999987</v>
      </c>
      <c r="Q200" s="101">
        <f>Q129-P129</f>
        <v>48.678224</v>
      </c>
      <c r="R200" s="101">
        <f>R129-Q129</f>
        <v>-9.4454950000000508</v>
      </c>
      <c r="S200" s="101">
        <f>S129-N129</f>
        <v>82.633672999999987</v>
      </c>
      <c r="T200" s="101">
        <f>T129-R129</f>
        <v>156.94026000000002</v>
      </c>
      <c r="U200" s="101">
        <f>U129-T129</f>
        <v>-74.20799999999997</v>
      </c>
      <c r="V200" s="101">
        <f>V129-U129</f>
        <v>153.02099999999996</v>
      </c>
      <c r="W200" s="101">
        <f>X200-SUM(T200:V200)</f>
        <v>-105.14926</v>
      </c>
      <c r="X200" s="101">
        <v>130.60400000000001</v>
      </c>
      <c r="Y200" s="101">
        <f>Y129-W129</f>
        <v>53.106999999999971</v>
      </c>
      <c r="Z200" s="101">
        <f>Z129-Y129</f>
        <v>-77.444999999999936</v>
      </c>
      <c r="AA200" s="101">
        <f>AA129-Z129</f>
        <v>126.26599999999996</v>
      </c>
      <c r="AB200" s="101">
        <f>AC200-SUM(Y200:AA200)</f>
        <v>-84.668999999999997</v>
      </c>
      <c r="AC200" s="101">
        <v>17.259</v>
      </c>
      <c r="AD200" s="101">
        <f>AD129-AB129</f>
        <v>90.749000000000024</v>
      </c>
      <c r="AE200" s="101">
        <f>AE129-AD129</f>
        <v>120.62599999999998</v>
      </c>
      <c r="AF200" s="101">
        <f>157.668-AE200-AD200</f>
        <v>-53.706999999999994</v>
      </c>
      <c r="AG200" s="101">
        <f>AH200-SUM(AD200:AF200)</f>
        <v>-166.185</v>
      </c>
      <c r="AH200" s="101">
        <v>-8.5169999999999995</v>
      </c>
      <c r="AI200" s="101">
        <v>220.20699999999999</v>
      </c>
      <c r="AJ200" s="101">
        <f>203.97-AI200</f>
        <v>-16.236999999999995</v>
      </c>
      <c r="AK200" s="101">
        <f>167.549-AJ200-AI200</f>
        <v>-36.420999999999992</v>
      </c>
      <c r="AL200" s="92">
        <f>AM200-AK200-AJ200-AI200</f>
        <v>-110.29</v>
      </c>
      <c r="AM200" s="101">
        <v>57.259</v>
      </c>
      <c r="AN200" s="101">
        <v>16.245000000000001</v>
      </c>
      <c r="AO200" s="101">
        <f>494.549-AN200</f>
        <v>478.30399999999997</v>
      </c>
      <c r="AP200" s="101">
        <f>199.364-AO200-AN200</f>
        <v>-295.18499999999995</v>
      </c>
      <c r="AQ200" s="92">
        <f>AR200-SUM(AN200:AP200)</f>
        <v>-1060.6979999999999</v>
      </c>
      <c r="AR200" s="101">
        <v>-861.33399999999995</v>
      </c>
      <c r="AS200" s="1092">
        <v>-127.657</v>
      </c>
      <c r="AT200" s="529">
        <f>-121.847-AS200</f>
        <v>5.8100000000000023</v>
      </c>
      <c r="AU200" s="529">
        <f>212.291-AT200-AS200</f>
        <v>334.13799999999998</v>
      </c>
      <c r="AV200" s="890">
        <f>AW200-SUM(AS200:AU200)</f>
        <v>-42.061999999999983</v>
      </c>
      <c r="AW200" s="523">
        <v>170.22900000000001</v>
      </c>
      <c r="AX200" s="1092">
        <v>232.87700000000001</v>
      </c>
      <c r="AY200" s="529">
        <f>178.286-AX200</f>
        <v>-54.591000000000008</v>
      </c>
      <c r="AZ200" s="529">
        <f>107.902-AY200-AX200</f>
        <v>-70.384000000000015</v>
      </c>
      <c r="BA200" s="890">
        <f>BB200-SUM(AX200:AZ200)</f>
        <v>78.515000000000015</v>
      </c>
      <c r="BB200" s="530">
        <v>186.417</v>
      </c>
      <c r="BC200" s="1092">
        <v>216.30799999999999</v>
      </c>
      <c r="BD200" s="529">
        <f>245.572-BC200</f>
        <v>29.26400000000001</v>
      </c>
      <c r="BE200" s="529">
        <f>280.545-BD200-BC200</f>
        <v>34.973000000000013</v>
      </c>
      <c r="BF200" s="890">
        <f>BG200-SUM(BC200:BE200)</f>
        <v>-216.97400000000002</v>
      </c>
      <c r="BG200" s="547">
        <v>63.570999999999998</v>
      </c>
      <c r="BH200" s="1092">
        <v>228.679</v>
      </c>
      <c r="BI200" s="529">
        <f>42.394-BH200</f>
        <v>-186.285</v>
      </c>
      <c r="BJ200" s="529">
        <f>21.668-SUM(BH200:BI200)</f>
        <v>-20.726000000000006</v>
      </c>
      <c r="BK200" s="890">
        <f>BL200-SUM(BH200:BJ200)</f>
        <v>-133.16399999999999</v>
      </c>
      <c r="BL200" s="530">
        <v>-111.496</v>
      </c>
      <c r="BM200" s="1092">
        <v>-0.17499999999999999</v>
      </c>
      <c r="BN200" s="529">
        <f>-44.724-BM200</f>
        <v>-44.548999999999999</v>
      </c>
      <c r="BO200" s="529">
        <f>122.52-SUM(BM200:BN200)</f>
        <v>167.244</v>
      </c>
      <c r="BP200" s="1094">
        <f>39.489-SUM(BM200:BO200)</f>
        <v>-83.031000000000006</v>
      </c>
      <c r="BQ200" s="555">
        <f>SUM(BM200:BP200)</f>
        <v>39.489000000000004</v>
      </c>
      <c r="BR200" s="1092">
        <v>7.4889999999999999</v>
      </c>
      <c r="BS200" s="529">
        <f>90.46-BR200</f>
        <v>82.970999999999989</v>
      </c>
      <c r="BT200" s="529">
        <f>84.161-SUM(BR200:BS200)</f>
        <v>-6.2989999999999924</v>
      </c>
      <c r="BU200" s="1094">
        <f>-111.859-SUM(BR200:BT200)</f>
        <v>-196.01999999999998</v>
      </c>
      <c r="BV200" s="555">
        <f>SUM(BR200:BU200)</f>
        <v>-111.85899999999998</v>
      </c>
      <c r="BW200" s="1092">
        <v>-237.84700000000001</v>
      </c>
      <c r="BX200" s="529">
        <f>-159.872-BW200</f>
        <v>77.974999999999994</v>
      </c>
      <c r="BY200" s="529">
        <f>-83.396-SUM(BW200:BX200)</f>
        <v>76.476000000000013</v>
      </c>
      <c r="BZ200" s="1094">
        <f>-438.788-SUM(BW200:BY200)</f>
        <v>-355.392</v>
      </c>
      <c r="CA200" s="555">
        <f>SUM(BW200:BZ200)</f>
        <v>-438.78800000000001</v>
      </c>
      <c r="CB200" s="1092">
        <v>197.35</v>
      </c>
      <c r="CC200" s="529">
        <f>452.815-CB200</f>
        <v>255.465</v>
      </c>
      <c r="CD200" s="529">
        <f>216.218-CC200-CB200</f>
        <v>-236.59700000000001</v>
      </c>
      <c r="CE200" s="1094">
        <f>228.036-SUM(CB200:CD200)</f>
        <v>11.818000000000012</v>
      </c>
      <c r="CF200" s="555">
        <f>SUM(CB200:CE200)</f>
        <v>228.036</v>
      </c>
      <c r="CG200" s="1092">
        <v>413.25599999999997</v>
      </c>
      <c r="CH200" s="529">
        <f>371.158-CG200</f>
        <v>-42.097999999999956</v>
      </c>
      <c r="CI200" s="529">
        <f>451.774-CH200-CG200</f>
        <v>80.615999999999985</v>
      </c>
      <c r="CJ200" s="1094">
        <f>314.817-SUM(CG200:CI200)</f>
        <v>-136.95699999999999</v>
      </c>
      <c r="CK200" s="555">
        <f>SUM(CG200:CJ200)</f>
        <v>314.81700000000001</v>
      </c>
      <c r="CL200" s="1092">
        <v>214.399</v>
      </c>
      <c r="CM200" s="574">
        <f>CM129-CL129</f>
        <v>207.89139016701324</v>
      </c>
      <c r="CN200" s="574">
        <f>CN129-CM129</f>
        <v>106.45738818533528</v>
      </c>
      <c r="CO200" s="924">
        <f>CO129-CN129</f>
        <v>-176.06688359050895</v>
      </c>
      <c r="CP200" s="555">
        <f>SUM(CL200:CO200)</f>
        <v>352.68089476183957</v>
      </c>
      <c r="CQ200" s="923">
        <f>CQ129-CO129</f>
        <v>176.20034519319415</v>
      </c>
      <c r="CR200" s="574">
        <f>CR129-CQ129</f>
        <v>-33.044619150576182</v>
      </c>
      <c r="CS200" s="574">
        <f>CS129-CR129</f>
        <v>57.790712582820333</v>
      </c>
      <c r="CT200" s="924">
        <f>CT129-CS129</f>
        <v>-194.49130748578432</v>
      </c>
      <c r="CU200" s="555">
        <f>SUM(CQ200:CT200)</f>
        <v>6.4551311396539859</v>
      </c>
      <c r="CV200" s="923">
        <f>CV129-CT129</f>
        <v>158.76680391227364</v>
      </c>
      <c r="CW200" s="574">
        <f>CW129-CV129</f>
        <v>-57.802168905998542</v>
      </c>
      <c r="CX200" s="574">
        <f>CX129-CW129</f>
        <v>50.478260155953649</v>
      </c>
      <c r="CY200" s="924">
        <f>CY129-CX129</f>
        <v>-190.33708838756388</v>
      </c>
      <c r="CZ200" s="555">
        <f>SUM(CV200:CY200)</f>
        <v>-38.89419322533513</v>
      </c>
    </row>
    <row r="201" spans="1:104" ht="13.5" customHeight="1">
      <c r="A201" s="362"/>
      <c r="B201" s="374"/>
      <c r="C201" s="362" t="s">
        <v>32</v>
      </c>
      <c r="D201" s="362"/>
      <c r="E201" s="75"/>
      <c r="F201" s="75"/>
      <c r="G201" s="75"/>
      <c r="H201" s="75"/>
      <c r="I201" s="75"/>
      <c r="J201" s="101">
        <v>-7.7799820000000004</v>
      </c>
      <c r="K201" s="101">
        <f>-13.290487-J201</f>
        <v>-5.5105050000000002</v>
      </c>
      <c r="L201" s="101">
        <f>-9.517118-K201-J201</f>
        <v>3.7733690000000006</v>
      </c>
      <c r="M201" s="101">
        <f>+N201-L201-K201-J201</f>
        <v>27.043094999999997</v>
      </c>
      <c r="N201" s="101">
        <f>39.717977-22.192</f>
        <v>17.525976999999997</v>
      </c>
      <c r="O201" s="101">
        <f>N117-O117+O132-N132+O131-N131</f>
        <v>-33.801312999999986</v>
      </c>
      <c r="P201" s="101">
        <f>O117-P117+P132-O132+P131-O131</f>
        <v>7.1026529999999379</v>
      </c>
      <c r="Q201" s="101">
        <f>P117-Q117+Q132-P132+Q131-P131</f>
        <v>16.506335999999976</v>
      </c>
      <c r="R201" s="101">
        <f>Q117-R117+R132-Q132+R131-Q131+Q114-R114</f>
        <v>-31.97597199999997</v>
      </c>
      <c r="S201" s="101">
        <f>N117-S117+S132-N132+S131-N131+N114-S114</f>
        <v>-42.168295999999984</v>
      </c>
      <c r="T201" s="101">
        <f>S117-T117+T132-S132+T131-S131</f>
        <v>98.380794999999978</v>
      </c>
      <c r="U201" s="101">
        <f>T117-U117+U132-T132+U131-T131</f>
        <v>117.48099999999994</v>
      </c>
      <c r="V201" s="101">
        <f>U117-V117+V132-U132+V131-U131</f>
        <v>158.89600000000007</v>
      </c>
      <c r="W201" s="101">
        <f>X201-SUM(T201:V201)</f>
        <v>-111.15179499999999</v>
      </c>
      <c r="X201" s="101">
        <f>35.403+228.203</f>
        <v>263.60599999999999</v>
      </c>
      <c r="Y201" s="101">
        <f>X117-Y117+Y132-X132+Y131-X131</f>
        <v>83.459999999999923</v>
      </c>
      <c r="Z201" s="101">
        <f>Y117-Z117+Z132-Y132+Z131-Y131</f>
        <v>-148.67799999999988</v>
      </c>
      <c r="AA201" s="101">
        <f>Z117-AA117+AA132-Z132+AA131-Z131</f>
        <v>120.37199999999984</v>
      </c>
      <c r="AB201" s="101">
        <f>AC201-SUM(Y201:AA201)</f>
        <v>-77.108999999999895</v>
      </c>
      <c r="AC201" s="101">
        <f>-68.331+46.376</f>
        <v>-21.955000000000005</v>
      </c>
      <c r="AD201" s="101">
        <f>AC117-AD117+AD132-AC132+AD131-AC131</f>
        <v>67.101999999999862</v>
      </c>
      <c r="AE201" s="101">
        <f>AD117-AE117+AE132-AD132+AE131-AD131</f>
        <v>0.44200000000012096</v>
      </c>
      <c r="AF201" s="101">
        <f>106.955+67.481-AE201-AD201</f>
        <v>106.892</v>
      </c>
      <c r="AG201" s="101">
        <f>AH201-SUM(AD201:AF201)</f>
        <v>-84.34999999999998</v>
      </c>
      <c r="AH201" s="101">
        <f>-7.233+97.319</f>
        <v>90.085999999999999</v>
      </c>
      <c r="AI201" s="101">
        <f>204.993-232.499-28.401</f>
        <v>-55.906999999999996</v>
      </c>
      <c r="AJ201" s="101">
        <f>-142.558-9.937-AI201</f>
        <v>-96.588000000000008</v>
      </c>
      <c r="AK201" s="101">
        <f>71.598-54.43+8.857-AJ201-AI201</f>
        <v>178.51999999999998</v>
      </c>
      <c r="AL201" s="92">
        <f>AM201-AK201-AJ201-AI201</f>
        <v>-8.9389999999999645</v>
      </c>
      <c r="AM201" s="101">
        <f>13.332-42.931+46.685</f>
        <v>17.086000000000006</v>
      </c>
      <c r="AN201" s="101">
        <f>189.411-162.496-41.985</f>
        <v>-15.070000000000007</v>
      </c>
      <c r="AO201" s="101">
        <f>123.517-14.505-22.375-AN201</f>
        <v>101.70700000000001</v>
      </c>
      <c r="AP201" s="101">
        <f>163.514+165.016-17.117-AO201-AN201</f>
        <v>224.77599999999995</v>
      </c>
      <c r="AQ201" s="92">
        <f>AR201-SUM(AN201:AP201)</f>
        <v>-12.767999999999915</v>
      </c>
      <c r="AR201" s="101">
        <f>278.663+129.927-109.945</f>
        <v>298.64500000000004</v>
      </c>
      <c r="AS201" s="1092">
        <f>-204.553-404.173+42.742</f>
        <v>-565.98400000000004</v>
      </c>
      <c r="AT201" s="529">
        <f>-285.735-392.276+51.323-AS201</f>
        <v>-60.703999999999951</v>
      </c>
      <c r="AU201" s="529">
        <f>-381.153-366.261+94.689-AT201-AS201</f>
        <v>-26.037000000000035</v>
      </c>
      <c r="AV201" s="890">
        <f>AW201-SUM(AS201:AU201)</f>
        <v>-69.166999999999916</v>
      </c>
      <c r="AW201" s="523">
        <f>-422.116-419.8+120.024</f>
        <v>-721.89199999999994</v>
      </c>
      <c r="AX201" s="1092">
        <f>17.566+35.747-25.443</f>
        <v>27.87</v>
      </c>
      <c r="AY201" s="529">
        <f>-19.886+72.791-99.169-AX201</f>
        <v>-74.134</v>
      </c>
      <c r="AZ201" s="529">
        <f>-48.024+86.315+4.863-AY201-AX201</f>
        <v>89.417999999999992</v>
      </c>
      <c r="BA201" s="890">
        <f>BB201-SUM(AX201:AZ201)</f>
        <v>183.624</v>
      </c>
      <c r="BB201" s="530">
        <f>180.821+56.641-10.684</f>
        <v>226.77799999999999</v>
      </c>
      <c r="BC201" s="1092">
        <f>76.06+17.421+51.199</f>
        <v>144.68</v>
      </c>
      <c r="BD201" s="529">
        <f>136.985+90.366+69.058-BC201</f>
        <v>151.72899999999998</v>
      </c>
      <c r="BE201" s="529">
        <f>2.217+141.407+42.559-BD201-BC201</f>
        <v>-110.22599999999997</v>
      </c>
      <c r="BF201" s="890">
        <f>BG201-SUM(BC201:BE201)</f>
        <v>-77.007000000000005</v>
      </c>
      <c r="BG201" s="547">
        <f>0.93+129.34-21.094</f>
        <v>109.17600000000002</v>
      </c>
      <c r="BH201" s="1092">
        <f>73.281-119.116+59.641</f>
        <v>13.806000000000004</v>
      </c>
      <c r="BI201" s="529">
        <f>3.364-82.991+64.389-BH201</f>
        <v>-29.044000000000004</v>
      </c>
      <c r="BJ201" s="529">
        <f>11.248-52.561+101.835-SUM(BH201:BI201)</f>
        <v>75.759999999999991</v>
      </c>
      <c r="BK201" s="890">
        <f>BL201-SUM(BH201:BJ201)</f>
        <v>-70.027999999999977</v>
      </c>
      <c r="BL201" s="530">
        <f>-28.022-60.363+30+17.563+31.316</f>
        <v>-9.5059999999999896</v>
      </c>
      <c r="BM201" s="1092">
        <f>11.654-74.206+60.149</f>
        <v>-2.4030000000000058</v>
      </c>
      <c r="BN201" s="529">
        <f>3.709-35.332+29.414-BM201</f>
        <v>0.19400000000000617</v>
      </c>
      <c r="BO201" s="529">
        <f>70.21+12.796+99.8-SUM(BM201:BN201)</f>
        <v>185.01499999999999</v>
      </c>
      <c r="BP201" s="1094">
        <f>77.95+7.155+41.916-SUM(BM201:BO201)</f>
        <v>-55.784999999999982</v>
      </c>
      <c r="BQ201" s="555">
        <f>SUM(BM201:BP201)</f>
        <v>127.021</v>
      </c>
      <c r="BR201" s="1092">
        <f>56.526-59.147+36.774</f>
        <v>34.153000000000006</v>
      </c>
      <c r="BS201" s="529">
        <f>14.1-1.672+19.27-BR201</f>
        <v>-2.4550000000000054</v>
      </c>
      <c r="BT201" s="529">
        <f>94.999+65.027+49.426-SUM(BR201:BS201)</f>
        <v>177.75399999999999</v>
      </c>
      <c r="BU201" s="1094">
        <f>-111.687+67.973-19.472-SUM(BR201:BT201)</f>
        <v>-272.63799999999998</v>
      </c>
      <c r="BV201" s="555">
        <f>SUM(BR201:BU201)</f>
        <v>-63.185999999999979</v>
      </c>
      <c r="BW201" s="1092">
        <f>39.397-122.226-47.389</f>
        <v>-130.21800000000002</v>
      </c>
      <c r="BX201" s="529">
        <f>128.391-77.214-28.371-BW201</f>
        <v>153.024</v>
      </c>
      <c r="BY201" s="529">
        <f>113.458-15.993-0.35-SUM(BW201:BX201)</f>
        <v>74.309000000000026</v>
      </c>
      <c r="BZ201" s="1094">
        <f>62.656-56.267-73.89-SUM(BW201:BY201)</f>
        <v>-164.61600000000001</v>
      </c>
      <c r="CA201" s="555">
        <f>SUM(BW201:BZ201)</f>
        <v>-67.501000000000005</v>
      </c>
      <c r="CB201" s="1092">
        <f>23.273-49.453+27.004</f>
        <v>0.82399999999999807</v>
      </c>
      <c r="CC201" s="529">
        <f>129.325+32.091+18.29-CB201</f>
        <v>178.88200000000001</v>
      </c>
      <c r="CD201" s="529">
        <f>28.915+103.324+62.801-CC201-CB201</f>
        <v>15.334000000000017</v>
      </c>
      <c r="CE201" s="1094">
        <f>3.555+133.544-2.582-SUM(CB201:CD201)</f>
        <v>-60.522999999999996</v>
      </c>
      <c r="CF201" s="555">
        <f>SUM(CB201:CE201)</f>
        <v>134.51700000000002</v>
      </c>
      <c r="CG201" s="1092">
        <f>157.346-102.744+3.584</f>
        <v>58.186000000000007</v>
      </c>
      <c r="CH201" s="529">
        <f>-14.114-5.794+28.849-CG201</f>
        <v>-49.245000000000005</v>
      </c>
      <c r="CI201" s="529">
        <f>-30.859+72.481+52.637-CH201-CG201</f>
        <v>85.317999999999984</v>
      </c>
      <c r="CJ201" s="1094">
        <f>-107.577+83.625-SUM(CG201:CI201)</f>
        <v>-118.21099999999998</v>
      </c>
      <c r="CK201" s="555">
        <f>SUM(CG201:CJ201)</f>
        <v>-23.951999999999998</v>
      </c>
      <c r="CL201" s="1092">
        <f>86.746-171.626</f>
        <v>-84.88000000000001</v>
      </c>
      <c r="CM201" s="574">
        <f>CL117-CM117+CM132-CL132</f>
        <v>173.90607853782672</v>
      </c>
      <c r="CN201" s="574">
        <f>CM117-CN117+CN132-CM132</f>
        <v>23.606935116228442</v>
      </c>
      <c r="CO201" s="924">
        <f>CN117-CO117+CO132-CN132</f>
        <v>-26.638823731113007</v>
      </c>
      <c r="CP201" s="555">
        <f>SUM(CL201:CO201)</f>
        <v>85.994189922942141</v>
      </c>
      <c r="CQ201" s="923">
        <f>CP117-CQ117+CQ132-CP132</f>
        <v>59.578049550880451</v>
      </c>
      <c r="CR201" s="574">
        <f>CQ117-CR117+CR132-CQ132</f>
        <v>-14.952043051805276</v>
      </c>
      <c r="CS201" s="574">
        <f>CR117-CS117+CS132-CR132</f>
        <v>-24.544499498765617</v>
      </c>
      <c r="CT201" s="924">
        <f>CS117-CT117+CT132-CS132</f>
        <v>-46.786611577355643</v>
      </c>
      <c r="CU201" s="555">
        <f>SUM(CQ201:CT201)</f>
        <v>-26.705104577046086</v>
      </c>
      <c r="CV201" s="923">
        <f>CU117-CV117+CV132-CU132</f>
        <v>56.425010966222999</v>
      </c>
      <c r="CW201" s="574">
        <f>CV117-CW117+CW132-CV132</f>
        <v>-18.219682861474439</v>
      </c>
      <c r="CX201" s="574">
        <f>CW117-CX117+CX132-CW132</f>
        <v>-23.839225957206963</v>
      </c>
      <c r="CY201" s="924">
        <f>CX117-CY117+CY132-CX132</f>
        <v>-25.069337424750074</v>
      </c>
      <c r="CZ201" s="555">
        <f>SUM(CV201:CY201)</f>
        <v>-10.703235277208478</v>
      </c>
    </row>
    <row r="202" spans="1:104" ht="6.2" customHeight="1">
      <c r="A202" s="362"/>
      <c r="B202" s="374"/>
      <c r="C202" s="362"/>
      <c r="D202" s="362"/>
      <c r="E202" s="150"/>
      <c r="F202" s="150"/>
      <c r="G202" s="150"/>
      <c r="H202" s="150"/>
      <c r="I202" s="150"/>
      <c r="J202" s="150"/>
      <c r="K202" s="150"/>
      <c r="L202" s="150"/>
      <c r="M202" s="150"/>
      <c r="N202" s="150"/>
      <c r="O202" s="150"/>
      <c r="P202" s="150"/>
      <c r="Q202" s="150"/>
      <c r="R202" s="150"/>
      <c r="S202" s="150"/>
      <c r="T202" s="150"/>
      <c r="U202" s="150"/>
      <c r="V202" s="150"/>
      <c r="W202" s="150"/>
      <c r="X202" s="150"/>
      <c r="Y202" s="150"/>
      <c r="Z202" s="150"/>
      <c r="AA202" s="150"/>
      <c r="AB202" s="150"/>
      <c r="AC202" s="150"/>
      <c r="AD202" s="150"/>
      <c r="AE202" s="150"/>
      <c r="AF202" s="150"/>
      <c r="AG202" s="150"/>
      <c r="AH202" s="150"/>
      <c r="AI202" s="150"/>
      <c r="AJ202" s="150"/>
      <c r="AK202" s="150"/>
      <c r="AL202" s="150"/>
      <c r="AM202" s="150"/>
      <c r="AN202" s="150"/>
      <c r="AO202" s="150"/>
      <c r="AP202" s="150"/>
      <c r="AQ202" s="150"/>
      <c r="AR202" s="150"/>
      <c r="AS202" s="1112"/>
      <c r="AT202" s="150"/>
      <c r="AU202" s="150"/>
      <c r="AV202" s="1113"/>
      <c r="AW202" s="150"/>
      <c r="AX202" s="1112"/>
      <c r="AY202" s="150"/>
      <c r="AZ202" s="150"/>
      <c r="BA202" s="1113"/>
      <c r="BB202" s="594">
        <f>SUM(AX202:BA202)</f>
        <v>0</v>
      </c>
      <c r="BC202" s="1112"/>
      <c r="BD202" s="150"/>
      <c r="BE202" s="150"/>
      <c r="BF202" s="1171"/>
      <c r="BG202" s="381"/>
      <c r="BH202" s="1112"/>
      <c r="BI202" s="150"/>
      <c r="BJ202" s="150"/>
      <c r="BK202" s="1171"/>
      <c r="BL202" s="150"/>
      <c r="BM202" s="1112"/>
      <c r="BN202" s="150"/>
      <c r="BO202" s="150"/>
      <c r="BP202" s="1113"/>
      <c r="BQ202" s="150"/>
      <c r="BR202" s="1112"/>
      <c r="BS202" s="150"/>
      <c r="BT202" s="150"/>
      <c r="BU202" s="1113"/>
      <c r="BV202" s="150"/>
      <c r="BW202" s="1112"/>
      <c r="BX202" s="150"/>
      <c r="BY202" s="150"/>
      <c r="BZ202" s="1113"/>
      <c r="CA202" s="150"/>
      <c r="CB202" s="1112"/>
      <c r="CC202" s="150"/>
      <c r="CD202" s="594"/>
      <c r="CE202" s="1210"/>
      <c r="CF202" s="594"/>
      <c r="CG202" s="1214"/>
      <c r="CH202" s="594"/>
      <c r="CI202" s="594"/>
      <c r="CJ202" s="1210"/>
      <c r="CK202" s="594"/>
      <c r="CL202" s="1214"/>
      <c r="CM202" s="150"/>
      <c r="CN202" s="150"/>
      <c r="CO202" s="1113"/>
      <c r="CP202" s="150"/>
      <c r="CQ202" s="1112"/>
      <c r="CR202" s="150"/>
      <c r="CS202" s="150"/>
      <c r="CT202" s="1113"/>
      <c r="CU202" s="150"/>
      <c r="CV202" s="1112"/>
      <c r="CW202" s="150"/>
      <c r="CX202" s="150"/>
      <c r="CY202" s="1113"/>
      <c r="CZ202" s="150"/>
    </row>
    <row r="203" spans="1:104" ht="13.5" customHeight="1">
      <c r="A203" s="362"/>
      <c r="B203" s="374"/>
      <c r="C203" s="362" t="s">
        <v>34</v>
      </c>
      <c r="D203" s="362"/>
      <c r="E203" s="93"/>
      <c r="F203" s="93"/>
      <c r="G203" s="93"/>
      <c r="H203" s="93"/>
      <c r="I203" s="93"/>
      <c r="J203" s="101">
        <f t="shared" ref="J203:AM203" si="224">SUM(J198:J201)</f>
        <v>30.17171500000001</v>
      </c>
      <c r="K203" s="101">
        <f t="shared" si="224"/>
        <v>-12.761365000000017</v>
      </c>
      <c r="L203" s="101">
        <f t="shared" si="224"/>
        <v>-18.782926999999987</v>
      </c>
      <c r="M203" s="101">
        <f t="shared" si="224"/>
        <v>-81.257190000000008</v>
      </c>
      <c r="N203" s="101">
        <f t="shared" si="224"/>
        <v>-82.629767000000001</v>
      </c>
      <c r="O203" s="101">
        <f t="shared" si="224"/>
        <v>10.158138000000072</v>
      </c>
      <c r="P203" s="101">
        <f t="shared" si="224"/>
        <v>-30.97357800000001</v>
      </c>
      <c r="Q203" s="101">
        <f t="shared" si="224"/>
        <v>47.215723999999966</v>
      </c>
      <c r="R203" s="101">
        <f t="shared" si="224"/>
        <v>-46.212151000000077</v>
      </c>
      <c r="S203" s="101">
        <f t="shared" si="224"/>
        <v>-19.811866999999992</v>
      </c>
      <c r="T203" s="101">
        <f t="shared" si="224"/>
        <v>-15.887180999999941</v>
      </c>
      <c r="U203" s="101">
        <f t="shared" si="224"/>
        <v>-183.90800000000007</v>
      </c>
      <c r="V203" s="101">
        <f t="shared" si="224"/>
        <v>-55.651000000000067</v>
      </c>
      <c r="W203" s="101">
        <f t="shared" si="224"/>
        <v>-340.88181899999984</v>
      </c>
      <c r="X203" s="101">
        <f t="shared" si="224"/>
        <v>-596.32799999999997</v>
      </c>
      <c r="Y203" s="101">
        <f t="shared" si="224"/>
        <v>125.09399999999994</v>
      </c>
      <c r="Z203" s="101">
        <f t="shared" si="224"/>
        <v>-95.127999999999929</v>
      </c>
      <c r="AA203" s="101">
        <f t="shared" si="224"/>
        <v>360.71599999999978</v>
      </c>
      <c r="AB203" s="101">
        <f t="shared" si="224"/>
        <v>-76.940999999999775</v>
      </c>
      <c r="AC203" s="101">
        <f t="shared" si="224"/>
        <v>313.74100000000004</v>
      </c>
      <c r="AD203" s="101">
        <f t="shared" si="224"/>
        <v>93.558999999999969</v>
      </c>
      <c r="AE203" s="101">
        <f t="shared" si="224"/>
        <v>-143.83199999999999</v>
      </c>
      <c r="AF203" s="101">
        <f t="shared" si="224"/>
        <v>-13.578999999999979</v>
      </c>
      <c r="AG203" s="101">
        <f t="shared" si="224"/>
        <v>-32.427999999999983</v>
      </c>
      <c r="AH203" s="101">
        <f t="shared" si="224"/>
        <v>-96.279999999999987</v>
      </c>
      <c r="AI203" s="101">
        <f t="shared" si="224"/>
        <v>36.387999999999991</v>
      </c>
      <c r="AJ203" s="101">
        <f t="shared" si="224"/>
        <v>-325.54500000000002</v>
      </c>
      <c r="AK203" s="101">
        <f t="shared" si="224"/>
        <v>114.89399999999998</v>
      </c>
      <c r="AL203" s="101">
        <f t="shared" si="224"/>
        <v>-28.207999999999927</v>
      </c>
      <c r="AM203" s="101">
        <f t="shared" si="224"/>
        <v>-202.47099999999995</v>
      </c>
      <c r="AN203" s="101">
        <f t="shared" ref="AN203:BS203" si="225">SUM(AN198:AN201)</f>
        <v>42.194000000000003</v>
      </c>
      <c r="AO203" s="101">
        <f t="shared" si="225"/>
        <v>-622.89600000000019</v>
      </c>
      <c r="AP203" s="101">
        <f t="shared" si="225"/>
        <v>-430.13600000000008</v>
      </c>
      <c r="AQ203" s="101">
        <f t="shared" si="225"/>
        <v>939.44100000000037</v>
      </c>
      <c r="AR203" s="101">
        <f t="shared" si="225"/>
        <v>-71.396999999999878</v>
      </c>
      <c r="AS203" s="923">
        <f t="shared" si="225"/>
        <v>121.50099999999998</v>
      </c>
      <c r="AT203" s="574">
        <f t="shared" si="225"/>
        <v>555.44000000000005</v>
      </c>
      <c r="AU203" s="574">
        <f t="shared" si="225"/>
        <v>87.938999999999908</v>
      </c>
      <c r="AV203" s="924">
        <f t="shared" si="225"/>
        <v>-57.838999999999999</v>
      </c>
      <c r="AW203" s="550">
        <f t="shared" si="225"/>
        <v>707.04100000000005</v>
      </c>
      <c r="AX203" s="923">
        <f t="shared" si="225"/>
        <v>-221.55099999999999</v>
      </c>
      <c r="AY203" s="574">
        <f t="shared" si="225"/>
        <v>-565.91000000000008</v>
      </c>
      <c r="AZ203" s="574">
        <f t="shared" si="225"/>
        <v>272.03500000000003</v>
      </c>
      <c r="BA203" s="924">
        <f t="shared" si="225"/>
        <v>386.52</v>
      </c>
      <c r="BB203" s="555">
        <f t="shared" si="225"/>
        <v>-128.90599999999998</v>
      </c>
      <c r="BC203" s="923">
        <f t="shared" si="225"/>
        <v>-296.32199999999995</v>
      </c>
      <c r="BD203" s="574">
        <f t="shared" si="225"/>
        <v>-215.98399999999998</v>
      </c>
      <c r="BE203" s="574">
        <f t="shared" si="225"/>
        <v>-56.251000000000005</v>
      </c>
      <c r="BF203" s="976">
        <f t="shared" si="225"/>
        <v>32.68799999999996</v>
      </c>
      <c r="BG203" s="556">
        <f t="shared" si="225"/>
        <v>-535.86899999999991</v>
      </c>
      <c r="BH203" s="923">
        <f t="shared" si="225"/>
        <v>-95.295000000000016</v>
      </c>
      <c r="BI203" s="574">
        <f t="shared" si="225"/>
        <v>-106.28799999999998</v>
      </c>
      <c r="BJ203" s="574">
        <f t="shared" si="225"/>
        <v>388.22199999999998</v>
      </c>
      <c r="BK203" s="976">
        <f t="shared" si="225"/>
        <v>-225.18299999999999</v>
      </c>
      <c r="BL203" s="555">
        <f t="shared" si="225"/>
        <v>-38.543999999999983</v>
      </c>
      <c r="BM203" s="923">
        <f t="shared" si="225"/>
        <v>-156.488</v>
      </c>
      <c r="BN203" s="574">
        <f t="shared" si="225"/>
        <v>74.857000000000014</v>
      </c>
      <c r="BO203" s="574">
        <f t="shared" si="225"/>
        <v>53.137000000000029</v>
      </c>
      <c r="BP203" s="924">
        <f t="shared" si="225"/>
        <v>-206.71899999999999</v>
      </c>
      <c r="BQ203" s="555">
        <f t="shared" si="225"/>
        <v>-235.21300000000002</v>
      </c>
      <c r="BR203" s="923">
        <f t="shared" si="225"/>
        <v>-178.68599999999998</v>
      </c>
      <c r="BS203" s="574">
        <f t="shared" si="225"/>
        <v>-78.814999999999969</v>
      </c>
      <c r="BT203" s="574">
        <f t="shared" ref="BT203:CZ203" si="226">SUM(BT198:BT201)</f>
        <v>51.785999999999959</v>
      </c>
      <c r="BU203" s="924">
        <f t="shared" si="226"/>
        <v>-194.47399999999999</v>
      </c>
      <c r="BV203" s="555">
        <f t="shared" si="226"/>
        <v>-400.18899999999996</v>
      </c>
      <c r="BW203" s="923">
        <f t="shared" si="226"/>
        <v>306.27399999999994</v>
      </c>
      <c r="BX203" s="574">
        <f t="shared" si="226"/>
        <v>283.10699999999997</v>
      </c>
      <c r="BY203" s="574">
        <f t="shared" si="226"/>
        <v>123.45400000000005</v>
      </c>
      <c r="BZ203" s="924">
        <f t="shared" si="226"/>
        <v>30.195000000000078</v>
      </c>
      <c r="CA203" s="555">
        <f t="shared" si="226"/>
        <v>743.03</v>
      </c>
      <c r="CB203" s="923">
        <f t="shared" si="226"/>
        <v>236.43799999999999</v>
      </c>
      <c r="CC203" s="574">
        <f t="shared" si="226"/>
        <v>-138.20199999999994</v>
      </c>
      <c r="CD203" s="574">
        <f t="shared" si="226"/>
        <v>-199.298</v>
      </c>
      <c r="CE203" s="924">
        <f t="shared" si="226"/>
        <v>121.99199999999999</v>
      </c>
      <c r="CF203" s="555">
        <f t="shared" si="226"/>
        <v>20.929999999999978</v>
      </c>
      <c r="CG203" s="923">
        <f t="shared" si="226"/>
        <v>-345.61800000000005</v>
      </c>
      <c r="CH203" s="574">
        <f t="shared" si="226"/>
        <v>-452.31599999999992</v>
      </c>
      <c r="CI203" s="574">
        <f t="shared" si="226"/>
        <v>-19.644000000000005</v>
      </c>
      <c r="CJ203" s="924">
        <f t="shared" si="226"/>
        <v>-122.00399999999999</v>
      </c>
      <c r="CK203" s="555">
        <f t="shared" si="226"/>
        <v>-939.58200000000011</v>
      </c>
      <c r="CL203" s="923">
        <f t="shared" ref="CL203" si="227">SUM(CL198:CL201)</f>
        <v>-461.39599999999996</v>
      </c>
      <c r="CM203" s="574">
        <f t="shared" si="226"/>
        <v>-404.1639690111756</v>
      </c>
      <c r="CN203" s="574">
        <f t="shared" si="226"/>
        <v>-169.93176281997899</v>
      </c>
      <c r="CO203" s="924">
        <f t="shared" si="226"/>
        <v>40.160716334222343</v>
      </c>
      <c r="CP203" s="555">
        <f t="shared" si="226"/>
        <v>-995.33101549693208</v>
      </c>
      <c r="CQ203" s="923">
        <f t="shared" si="226"/>
        <v>-379.14844287549954</v>
      </c>
      <c r="CR203" s="574">
        <f t="shared" si="226"/>
        <v>323.55631760421761</v>
      </c>
      <c r="CS203" s="574">
        <f t="shared" si="226"/>
        <v>-17.125111461673214</v>
      </c>
      <c r="CT203" s="924">
        <f t="shared" si="226"/>
        <v>96.527071199523107</v>
      </c>
      <c r="CU203" s="555">
        <f t="shared" si="226"/>
        <v>23.809834466567963</v>
      </c>
      <c r="CV203" s="923">
        <f t="shared" si="226"/>
        <v>-337.89596510756519</v>
      </c>
      <c r="CW203" s="574">
        <f t="shared" si="226"/>
        <v>366.39477095366374</v>
      </c>
      <c r="CX203" s="574">
        <f t="shared" si="226"/>
        <v>-6.5278743885460244</v>
      </c>
      <c r="CY203" s="924">
        <f t="shared" si="226"/>
        <v>67.642955934021302</v>
      </c>
      <c r="CZ203" s="555">
        <f t="shared" si="226"/>
        <v>89.613887391573826</v>
      </c>
    </row>
    <row r="204" spans="1:104" ht="13.5" customHeight="1">
      <c r="A204" s="362"/>
      <c r="B204" s="362" t="s">
        <v>547</v>
      </c>
      <c r="C204" s="362"/>
      <c r="D204" s="362"/>
      <c r="E204" s="184"/>
      <c r="F204" s="184"/>
      <c r="G204" s="184"/>
      <c r="H204" s="184"/>
      <c r="I204" s="184"/>
      <c r="J204" s="101">
        <v>29.750252</v>
      </c>
      <c r="K204" s="101">
        <f>54.215724-J204</f>
        <v>24.465472000000002</v>
      </c>
      <c r="L204" s="101">
        <f>66.220734-K204-J204</f>
        <v>12.005009999999988</v>
      </c>
      <c r="M204" s="101">
        <f>+N204-L204-K204-J204</f>
        <v>13.247891000000013</v>
      </c>
      <c r="N204" s="101">
        <v>79.468625000000003</v>
      </c>
      <c r="O204" s="101">
        <v>6.2379239999999996</v>
      </c>
      <c r="P204" s="101">
        <f>10.577391-O204</f>
        <v>4.3394670000000009</v>
      </c>
      <c r="Q204" s="101">
        <f>16.775287-P204-O204</f>
        <v>6.1978959999999983</v>
      </c>
      <c r="R204" s="101">
        <f>S204-O204-P204-Q204</f>
        <v>7.166678000000001</v>
      </c>
      <c r="S204" s="101">
        <v>23.941965</v>
      </c>
      <c r="T204" s="101">
        <v>10.797000000000001</v>
      </c>
      <c r="U204" s="101">
        <f>26.285-T204</f>
        <v>15.488</v>
      </c>
      <c r="V204" s="101">
        <f>60.345-U204-T204</f>
        <v>34.06</v>
      </c>
      <c r="W204" s="101">
        <f>X204-SUM(T204:V204)</f>
        <v>20.546999999999997</v>
      </c>
      <c r="X204" s="101">
        <f>80.892</f>
        <v>80.891999999999996</v>
      </c>
      <c r="Y204" s="101">
        <f>-Y47</f>
        <v>31.164999999999999</v>
      </c>
      <c r="Z204" s="101">
        <f>-Z47</f>
        <v>20.515000000000001</v>
      </c>
      <c r="AA204" s="101">
        <f>-AA47</f>
        <v>24.914999999999999</v>
      </c>
      <c r="AB204" s="101">
        <f>AC204-SUM(Y204:AA204)</f>
        <v>34.067999999999998</v>
      </c>
      <c r="AC204" s="101">
        <v>110.663</v>
      </c>
      <c r="AD204" s="101">
        <v>40.322000000000003</v>
      </c>
      <c r="AE204" s="101">
        <f>88.919-AD204</f>
        <v>48.596999999999994</v>
      </c>
      <c r="AF204" s="101">
        <f>148.022-AE204-AD204</f>
        <v>59.102999999999994</v>
      </c>
      <c r="AG204" s="101">
        <f>AH204-SUM(AD204:AF204)</f>
        <v>71.185000000000002</v>
      </c>
      <c r="AH204" s="101">
        <v>219.20699999999999</v>
      </c>
      <c r="AI204" s="101">
        <v>60.572000000000003</v>
      </c>
      <c r="AJ204" s="101">
        <f>138.156-AI204</f>
        <v>77.584000000000003</v>
      </c>
      <c r="AK204" s="101">
        <f>214.651-AJ204-AI204</f>
        <v>76.495000000000005</v>
      </c>
      <c r="AL204" s="92">
        <f>AM204-AK204-AJ204-AI204</f>
        <v>78.84699999999998</v>
      </c>
      <c r="AM204" s="101">
        <v>293.49799999999999</v>
      </c>
      <c r="AN204" s="101">
        <v>91.769000000000005</v>
      </c>
      <c r="AO204" s="101">
        <f>179.702-AN204</f>
        <v>87.932999999999993</v>
      </c>
      <c r="AP204" s="101">
        <f>255.914-AO204-AN204</f>
        <v>76.211999999999989</v>
      </c>
      <c r="AQ204" s="92">
        <f>AR204-SUM(AN204:AP204)</f>
        <v>58.001000000000033</v>
      </c>
      <c r="AR204" s="101">
        <v>313.91500000000002</v>
      </c>
      <c r="AS204" s="923">
        <f>-AS47</f>
        <v>0</v>
      </c>
      <c r="AT204" s="574">
        <f>-AT47</f>
        <v>0</v>
      </c>
      <c r="AU204" s="574">
        <f>-AU47</f>
        <v>0</v>
      </c>
      <c r="AV204" s="924">
        <f>-AV47</f>
        <v>0</v>
      </c>
      <c r="AW204" s="550">
        <f>SUM(AS204:AV204)</f>
        <v>0</v>
      </c>
      <c r="AX204" s="1092">
        <v>0</v>
      </c>
      <c r="AY204" s="574">
        <f>-AY47</f>
        <v>0</v>
      </c>
      <c r="AZ204" s="574">
        <f>-AZ47</f>
        <v>0</v>
      </c>
      <c r="BA204" s="924">
        <f>-BA47</f>
        <v>0</v>
      </c>
      <c r="BB204" s="555">
        <f>SUM(AX204:BA204)</f>
        <v>0</v>
      </c>
      <c r="BC204" s="923">
        <f>-BC47</f>
        <v>0</v>
      </c>
      <c r="BD204" s="574">
        <f>-BD47</f>
        <v>0</v>
      </c>
      <c r="BE204" s="574">
        <f>-BE47</f>
        <v>0</v>
      </c>
      <c r="BF204" s="976">
        <f>-BF47</f>
        <v>0</v>
      </c>
      <c r="BG204" s="556">
        <f>SUM(BC204:BF204)</f>
        <v>0</v>
      </c>
      <c r="BH204" s="923">
        <f>-BH47</f>
        <v>0</v>
      </c>
      <c r="BI204" s="574">
        <f>-BI47</f>
        <v>0</v>
      </c>
      <c r="BJ204" s="574">
        <f>-BJ47</f>
        <v>0</v>
      </c>
      <c r="BK204" s="924">
        <f>-BK47</f>
        <v>0</v>
      </c>
      <c r="BL204" s="555">
        <f>SUM(BH204:BK204)</f>
        <v>0</v>
      </c>
      <c r="BM204" s="923">
        <f>-BM47</f>
        <v>0</v>
      </c>
      <c r="BN204" s="574">
        <f>-BN47</f>
        <v>0</v>
      </c>
      <c r="BO204" s="574">
        <f>-BO47</f>
        <v>0</v>
      </c>
      <c r="BP204" s="924">
        <f>-BP47</f>
        <v>0</v>
      </c>
      <c r="BQ204" s="555">
        <f>SUM(BM204:BP204)</f>
        <v>0</v>
      </c>
      <c r="BR204" s="923">
        <f>-BR47</f>
        <v>0</v>
      </c>
      <c r="BS204" s="574">
        <f>-BS47</f>
        <v>0</v>
      </c>
      <c r="BT204" s="574">
        <f>-BT47</f>
        <v>0</v>
      </c>
      <c r="BU204" s="924">
        <f>-BU47</f>
        <v>0</v>
      </c>
      <c r="BV204" s="555">
        <f>SUM(BR204:BU204)</f>
        <v>0</v>
      </c>
      <c r="BW204" s="923">
        <f>-BW47</f>
        <v>0</v>
      </c>
      <c r="BX204" s="574">
        <f>-BX47</f>
        <v>0</v>
      </c>
      <c r="BY204" s="574">
        <f>-BY47</f>
        <v>0</v>
      </c>
      <c r="BZ204" s="924">
        <f>-BZ47</f>
        <v>0</v>
      </c>
      <c r="CA204" s="555">
        <f>SUM(BW204:BZ204)</f>
        <v>0</v>
      </c>
      <c r="CB204" s="923">
        <f>-CB47</f>
        <v>0</v>
      </c>
      <c r="CC204" s="574">
        <f>-CC47</f>
        <v>0</v>
      </c>
      <c r="CD204" s="574">
        <f>-CD47</f>
        <v>0</v>
      </c>
      <c r="CE204" s="924">
        <f>-CE47</f>
        <v>0</v>
      </c>
      <c r="CF204" s="555">
        <f>SUM(CB204:CE204)</f>
        <v>0</v>
      </c>
      <c r="CG204" s="923">
        <f>-CG47</f>
        <v>0</v>
      </c>
      <c r="CH204" s="574">
        <f>-CH47</f>
        <v>0</v>
      </c>
      <c r="CI204" s="574">
        <f>-CI47</f>
        <v>0</v>
      </c>
      <c r="CJ204" s="924">
        <f>-CJ47</f>
        <v>0</v>
      </c>
      <c r="CK204" s="555">
        <f>SUM(CG204:CJ204)</f>
        <v>0</v>
      </c>
      <c r="CL204" s="923">
        <f>-CL47</f>
        <v>0</v>
      </c>
      <c r="CM204" s="574">
        <f>-CM47</f>
        <v>0</v>
      </c>
      <c r="CN204" s="574">
        <f>-CN47</f>
        <v>0</v>
      </c>
      <c r="CO204" s="924">
        <f>-CO47</f>
        <v>0</v>
      </c>
      <c r="CP204" s="555">
        <f>SUM(CL204:CO204)</f>
        <v>0</v>
      </c>
      <c r="CQ204" s="923">
        <f>-CQ47</f>
        <v>0</v>
      </c>
      <c r="CR204" s="574">
        <f>-CR47</f>
        <v>0</v>
      </c>
      <c r="CS204" s="574">
        <f>-CS47</f>
        <v>0</v>
      </c>
      <c r="CT204" s="924">
        <f>-CT47</f>
        <v>0</v>
      </c>
      <c r="CU204" s="555">
        <f>SUM(CQ204:CT204)</f>
        <v>0</v>
      </c>
      <c r="CV204" s="923">
        <f>-CV47</f>
        <v>0</v>
      </c>
      <c r="CW204" s="574">
        <f>-CW47</f>
        <v>0</v>
      </c>
      <c r="CX204" s="574">
        <f>-CX47</f>
        <v>0</v>
      </c>
      <c r="CY204" s="924">
        <f>-CY47</f>
        <v>0</v>
      </c>
      <c r="CZ204" s="555">
        <f>SUM(CV204:CY204)</f>
        <v>0</v>
      </c>
    </row>
    <row r="205" spans="1:104" ht="6.2" customHeight="1">
      <c r="A205" s="362"/>
      <c r="B205" s="362"/>
      <c r="C205" s="369"/>
      <c r="D205" s="362"/>
      <c r="E205" s="150"/>
      <c r="F205" s="150"/>
      <c r="G205" s="150"/>
      <c r="H205" s="150"/>
      <c r="I205" s="150"/>
      <c r="J205" s="150"/>
      <c r="K205" s="150"/>
      <c r="L205" s="150"/>
      <c r="M205" s="150"/>
      <c r="N205" s="150"/>
      <c r="O205" s="150"/>
      <c r="P205" s="150"/>
      <c r="Q205" s="150"/>
      <c r="R205" s="150"/>
      <c r="S205" s="150"/>
      <c r="T205" s="150"/>
      <c r="U205" s="150"/>
      <c r="V205" s="150"/>
      <c r="W205" s="150"/>
      <c r="X205" s="150"/>
      <c r="Y205" s="150"/>
      <c r="Z205" s="150"/>
      <c r="AA205" s="150"/>
      <c r="AB205" s="150"/>
      <c r="AC205" s="150"/>
      <c r="AD205" s="150"/>
      <c r="AE205" s="150"/>
      <c r="AF205" s="150"/>
      <c r="AG205" s="150"/>
      <c r="AH205" s="150"/>
      <c r="AI205" s="150"/>
      <c r="AJ205" s="150"/>
      <c r="AK205" s="150"/>
      <c r="AL205" s="150"/>
      <c r="AM205" s="150"/>
      <c r="AN205" s="150"/>
      <c r="AO205" s="150"/>
      <c r="AP205" s="150"/>
      <c r="AQ205" s="150"/>
      <c r="AR205" s="150"/>
      <c r="AS205" s="1112"/>
      <c r="AT205" s="150"/>
      <c r="AU205" s="150"/>
      <c r="AV205" s="1113"/>
      <c r="AW205" s="150"/>
      <c r="AX205" s="1112"/>
      <c r="AY205" s="150"/>
      <c r="AZ205" s="150"/>
      <c r="BA205" s="1113"/>
      <c r="BB205" s="150"/>
      <c r="BC205" s="1112"/>
      <c r="BD205" s="150"/>
      <c r="BE205" s="150"/>
      <c r="BF205" s="1171"/>
      <c r="BG205" s="381"/>
      <c r="BH205" s="1112"/>
      <c r="BI205" s="150"/>
      <c r="BJ205" s="150"/>
      <c r="BK205" s="1171"/>
      <c r="BL205" s="150"/>
      <c r="BM205" s="1112"/>
      <c r="BN205" s="150"/>
      <c r="BO205" s="150"/>
      <c r="BP205" s="1113"/>
      <c r="BQ205" s="150"/>
      <c r="BR205" s="1112"/>
      <c r="BS205" s="150"/>
      <c r="BT205" s="150"/>
      <c r="BU205" s="1113"/>
      <c r="BV205" s="150"/>
      <c r="BW205" s="1112"/>
      <c r="BX205" s="150"/>
      <c r="BY205" s="150"/>
      <c r="BZ205" s="1113"/>
      <c r="CA205" s="150"/>
      <c r="CB205" s="1112"/>
      <c r="CC205" s="150"/>
      <c r="CD205" s="594"/>
      <c r="CE205" s="1210"/>
      <c r="CF205" s="594"/>
      <c r="CG205" s="1214"/>
      <c r="CH205" s="594"/>
      <c r="CI205" s="594"/>
      <c r="CJ205" s="1210"/>
      <c r="CK205" s="594"/>
      <c r="CL205" s="1214"/>
      <c r="CM205" s="150"/>
      <c r="CN205" s="150"/>
      <c r="CO205" s="1113"/>
      <c r="CP205" s="150"/>
      <c r="CQ205" s="1112"/>
      <c r="CR205" s="150"/>
      <c r="CS205" s="150"/>
      <c r="CT205" s="1113"/>
      <c r="CU205" s="150"/>
      <c r="CV205" s="1112"/>
      <c r="CW205" s="150"/>
      <c r="CX205" s="150"/>
      <c r="CY205" s="1113"/>
      <c r="CZ205" s="150"/>
    </row>
    <row r="206" spans="1:104" ht="13.5" customHeight="1">
      <c r="A206" s="362"/>
      <c r="B206" s="362"/>
      <c r="C206" s="411" t="s">
        <v>33</v>
      </c>
      <c r="D206" s="362"/>
      <c r="E206" s="174"/>
      <c r="F206" s="174"/>
      <c r="G206" s="174"/>
      <c r="H206" s="174"/>
      <c r="I206" s="174"/>
      <c r="J206" s="111">
        <f t="shared" ref="J206:AM206" si="228">SUM(J192:J195,J203:J204)</f>
        <v>155.89953300000002</v>
      </c>
      <c r="K206" s="111">
        <f t="shared" si="228"/>
        <v>147.75686499999998</v>
      </c>
      <c r="L206" s="111">
        <f t="shared" si="228"/>
        <v>108.56695300000001</v>
      </c>
      <c r="M206" s="111">
        <f t="shared" si="228"/>
        <v>84.996553999999975</v>
      </c>
      <c r="N206" s="111">
        <f t="shared" si="228"/>
        <v>497.21990499999993</v>
      </c>
      <c r="O206" s="111">
        <f t="shared" si="228"/>
        <v>127.80088599999999</v>
      </c>
      <c r="P206" s="111">
        <f t="shared" si="228"/>
        <v>78.970966999999987</v>
      </c>
      <c r="Q206" s="111">
        <f t="shared" si="228"/>
        <v>160.88183399999988</v>
      </c>
      <c r="R206" s="111">
        <f t="shared" si="228"/>
        <v>126.96624000000008</v>
      </c>
      <c r="S206" s="111">
        <f t="shared" si="228"/>
        <v>494.61992700000002</v>
      </c>
      <c r="T206" s="111">
        <f t="shared" si="228"/>
        <v>201.45099999999999</v>
      </c>
      <c r="U206" s="111">
        <f t="shared" si="228"/>
        <v>170.46300000000002</v>
      </c>
      <c r="V206" s="111">
        <f t="shared" si="228"/>
        <v>523.40300000000002</v>
      </c>
      <c r="W206" s="111">
        <f t="shared" si="228"/>
        <v>134.4010000000001</v>
      </c>
      <c r="X206" s="111">
        <f t="shared" si="228"/>
        <v>1029.7179999999998</v>
      </c>
      <c r="Y206" s="111">
        <f t="shared" si="228"/>
        <v>587.93799999999987</v>
      </c>
      <c r="Z206" s="111">
        <f t="shared" si="228"/>
        <v>361.45400000000006</v>
      </c>
      <c r="AA206" s="111">
        <f t="shared" si="228"/>
        <v>777.93500000000006</v>
      </c>
      <c r="AB206" s="111">
        <f t="shared" si="228"/>
        <v>409.28800000000001</v>
      </c>
      <c r="AC206" s="111">
        <f t="shared" si="228"/>
        <v>2136.6150000000002</v>
      </c>
      <c r="AD206" s="111">
        <f t="shared" si="228"/>
        <v>567.39099999999996</v>
      </c>
      <c r="AE206" s="111">
        <f t="shared" si="228"/>
        <v>373.11800000000005</v>
      </c>
      <c r="AF206" s="111">
        <f t="shared" si="228"/>
        <v>749.9129999999999</v>
      </c>
      <c r="AG206" s="111">
        <f t="shared" si="228"/>
        <v>560.81099999999992</v>
      </c>
      <c r="AH206" s="111">
        <f t="shared" si="228"/>
        <v>2251.2330000000002</v>
      </c>
      <c r="AI206" s="111">
        <f t="shared" si="228"/>
        <v>565.51</v>
      </c>
      <c r="AJ206" s="111">
        <f t="shared" si="228"/>
        <v>172.05399999999997</v>
      </c>
      <c r="AK206" s="111">
        <f t="shared" si="228"/>
        <v>653.11899999999923</v>
      </c>
      <c r="AL206" s="111">
        <f t="shared" si="228"/>
        <v>544.62300000000016</v>
      </c>
      <c r="AM206" s="111">
        <f t="shared" si="228"/>
        <v>1935.3059999999994</v>
      </c>
      <c r="AN206" s="111">
        <f t="shared" ref="AN206:BS206" si="229">SUM(AN192:AN195,AN203:AN204)</f>
        <v>667.47900000000016</v>
      </c>
      <c r="AO206" s="111">
        <f t="shared" si="229"/>
        <v>160.76000000000022</v>
      </c>
      <c r="AP206" s="111">
        <f t="shared" si="229"/>
        <v>494.01100000000019</v>
      </c>
      <c r="AQ206" s="111">
        <f t="shared" si="229"/>
        <v>1176.4780000000003</v>
      </c>
      <c r="AR206" s="111">
        <f t="shared" si="229"/>
        <v>2498.728000000001</v>
      </c>
      <c r="AS206" s="872">
        <f t="shared" si="229"/>
        <v>13.994</v>
      </c>
      <c r="AT206" s="112">
        <f t="shared" si="229"/>
        <v>623.13</v>
      </c>
      <c r="AU206" s="112">
        <f t="shared" si="229"/>
        <v>320.8189999999999</v>
      </c>
      <c r="AV206" s="873">
        <f t="shared" si="229"/>
        <v>224.35400000000004</v>
      </c>
      <c r="AW206" s="111">
        <f t="shared" si="229"/>
        <v>1182.297</v>
      </c>
      <c r="AX206" s="872">
        <f t="shared" si="229"/>
        <v>-3.0369999999999777</v>
      </c>
      <c r="AY206" s="112">
        <f t="shared" si="229"/>
        <v>-290.72200000000004</v>
      </c>
      <c r="AZ206" s="112">
        <f t="shared" si="229"/>
        <v>510</v>
      </c>
      <c r="BA206" s="873">
        <f t="shared" si="229"/>
        <v>657.16300000000012</v>
      </c>
      <c r="BB206" s="111">
        <f t="shared" si="229"/>
        <v>873.40400000000022</v>
      </c>
      <c r="BC206" s="872">
        <f t="shared" si="229"/>
        <v>47.495000000000061</v>
      </c>
      <c r="BD206" s="112">
        <f t="shared" si="229"/>
        <v>245.22700000000003</v>
      </c>
      <c r="BE206" s="112">
        <f t="shared" si="229"/>
        <v>380.42199999999991</v>
      </c>
      <c r="BF206" s="960">
        <f t="shared" si="229"/>
        <v>359.46799999999996</v>
      </c>
      <c r="BG206" s="371">
        <f t="shared" si="229"/>
        <v>1032.6120000000001</v>
      </c>
      <c r="BH206" s="872">
        <f t="shared" si="229"/>
        <v>207.65100000000007</v>
      </c>
      <c r="BI206" s="112">
        <f t="shared" si="229"/>
        <v>238.83500000000006</v>
      </c>
      <c r="BJ206" s="112">
        <f t="shared" si="229"/>
        <v>678.19799999999998</v>
      </c>
      <c r="BK206" s="960">
        <f t="shared" si="229"/>
        <v>75.701000000000136</v>
      </c>
      <c r="BL206" s="371">
        <f t="shared" si="229"/>
        <v>1200.3850000000002</v>
      </c>
      <c r="BM206" s="872">
        <f t="shared" si="229"/>
        <v>128.81100000000004</v>
      </c>
      <c r="BN206" s="112">
        <f t="shared" si="229"/>
        <v>356.16299999999995</v>
      </c>
      <c r="BO206" s="112">
        <f t="shared" si="229"/>
        <v>398.66600000000005</v>
      </c>
      <c r="BP206" s="873">
        <f t="shared" si="229"/>
        <v>194.30900000000003</v>
      </c>
      <c r="BQ206" s="111">
        <f t="shared" si="229"/>
        <v>1077.9490000000003</v>
      </c>
      <c r="BR206" s="872">
        <f t="shared" si="229"/>
        <v>149.214</v>
      </c>
      <c r="BS206" s="112">
        <f t="shared" si="229"/>
        <v>294.11500000000001</v>
      </c>
      <c r="BT206" s="112">
        <f t="shared" ref="BT206:CZ206" si="230">SUM(BT192:BT195,BT203:BT204)</f>
        <v>482.23400000000009</v>
      </c>
      <c r="BU206" s="873">
        <f t="shared" si="230"/>
        <v>417.33499999999998</v>
      </c>
      <c r="BV206" s="111">
        <f t="shared" si="230"/>
        <v>1342.8980000000001</v>
      </c>
      <c r="BW206" s="872">
        <f t="shared" si="230"/>
        <v>563.69399999999996</v>
      </c>
      <c r="BX206" s="112">
        <f t="shared" si="230"/>
        <v>631.01</v>
      </c>
      <c r="BY206" s="112">
        <f t="shared" si="230"/>
        <v>562.59500000000003</v>
      </c>
      <c r="BZ206" s="873">
        <f t="shared" si="230"/>
        <v>399.74400000000003</v>
      </c>
      <c r="CA206" s="111">
        <f t="shared" si="230"/>
        <v>2157.0430000000001</v>
      </c>
      <c r="CB206" s="872">
        <f t="shared" si="230"/>
        <v>550.85899999999992</v>
      </c>
      <c r="CC206" s="112">
        <f t="shared" si="230"/>
        <v>306.10600000000011</v>
      </c>
      <c r="CD206" s="112">
        <f t="shared" si="230"/>
        <v>314.71499999999992</v>
      </c>
      <c r="CE206" s="873">
        <f t="shared" si="230"/>
        <v>565.85299999999995</v>
      </c>
      <c r="CF206" s="111">
        <f t="shared" si="230"/>
        <v>1737.5329999999999</v>
      </c>
      <c r="CG206" s="872">
        <f t="shared" si="230"/>
        <v>237.24499999999989</v>
      </c>
      <c r="CH206" s="112">
        <f t="shared" si="230"/>
        <v>109.71900000000016</v>
      </c>
      <c r="CI206" s="112">
        <f t="shared" si="230"/>
        <v>415.52900000000011</v>
      </c>
      <c r="CJ206" s="873">
        <f t="shared" si="230"/>
        <v>288.76999999999987</v>
      </c>
      <c r="CK206" s="111">
        <f t="shared" si="230"/>
        <v>1051.2629999999999</v>
      </c>
      <c r="CL206" s="872">
        <f t="shared" ref="CL206" si="231">SUM(CL192:CL195,CL203:CL204)</f>
        <v>184.48400000000015</v>
      </c>
      <c r="CM206" s="112">
        <f t="shared" si="230"/>
        <v>176.84798174884963</v>
      </c>
      <c r="CN206" s="112">
        <f t="shared" si="230"/>
        <v>562.58083958943382</v>
      </c>
      <c r="CO206" s="873">
        <f t="shared" si="230"/>
        <v>770.88806459545799</v>
      </c>
      <c r="CP206" s="111">
        <f t="shared" si="230"/>
        <v>1694.800885933741</v>
      </c>
      <c r="CQ206" s="872">
        <f t="shared" si="230"/>
        <v>320.75151324377771</v>
      </c>
      <c r="CR206" s="112">
        <f t="shared" si="230"/>
        <v>1057.2710464359313</v>
      </c>
      <c r="CS206" s="112">
        <f t="shared" si="230"/>
        <v>667.48610513982374</v>
      </c>
      <c r="CT206" s="873">
        <f t="shared" si="230"/>
        <v>712.94286701422777</v>
      </c>
      <c r="CU206" s="111">
        <f t="shared" si="230"/>
        <v>2758.4515318337599</v>
      </c>
      <c r="CV206" s="872">
        <f t="shared" si="230"/>
        <v>267.33777976120132</v>
      </c>
      <c r="CW206" s="112">
        <f t="shared" si="230"/>
        <v>1060.6474924578174</v>
      </c>
      <c r="CX206" s="112">
        <f t="shared" si="230"/>
        <v>653.20623142053796</v>
      </c>
      <c r="CY206" s="873">
        <f t="shared" si="230"/>
        <v>734.72427140517163</v>
      </c>
      <c r="CZ206" s="111">
        <f t="shared" si="230"/>
        <v>2715.9157750447284</v>
      </c>
    </row>
    <row r="207" spans="1:104" ht="6.2" customHeight="1">
      <c r="A207" s="362"/>
      <c r="B207" s="362"/>
      <c r="C207" s="362"/>
      <c r="D207" s="362"/>
      <c r="E207" s="185"/>
      <c r="F207" s="185"/>
      <c r="G207" s="185"/>
      <c r="H207" s="185"/>
      <c r="I207" s="185"/>
      <c r="J207" s="178"/>
      <c r="K207" s="178"/>
      <c r="L207" s="178"/>
      <c r="M207" s="178"/>
      <c r="N207" s="178"/>
      <c r="O207" s="178"/>
      <c r="P207" s="178"/>
      <c r="Q207" s="178"/>
      <c r="R207" s="178"/>
      <c r="S207" s="178"/>
      <c r="T207" s="178"/>
      <c r="U207" s="178"/>
      <c r="V207" s="178"/>
      <c r="W207" s="178"/>
      <c r="X207" s="178"/>
      <c r="Y207" s="178"/>
      <c r="Z207" s="178"/>
      <c r="AA207" s="178"/>
      <c r="AB207" s="178"/>
      <c r="AC207" s="178"/>
      <c r="AD207" s="178"/>
      <c r="AE207" s="178"/>
      <c r="AF207" s="178"/>
      <c r="AG207" s="178"/>
      <c r="AH207" s="178"/>
      <c r="AI207" s="178"/>
      <c r="AJ207" s="178"/>
      <c r="AK207" s="178"/>
      <c r="AL207" s="178"/>
      <c r="AM207" s="178"/>
      <c r="AN207" s="178"/>
      <c r="AO207" s="186"/>
      <c r="AP207" s="187"/>
      <c r="AQ207" s="178"/>
      <c r="AR207" s="178"/>
      <c r="AS207" s="1055"/>
      <c r="AT207" s="178"/>
      <c r="AU207" s="178"/>
      <c r="AV207" s="1132"/>
      <c r="AW207" s="178"/>
      <c r="AX207" s="1055"/>
      <c r="AY207" s="178"/>
      <c r="AZ207" s="178"/>
      <c r="BA207" s="1132"/>
      <c r="BB207" s="178"/>
      <c r="BC207" s="1055"/>
      <c r="BD207" s="178"/>
      <c r="BE207" s="178"/>
      <c r="BF207" s="1183"/>
      <c r="BG207" s="387"/>
      <c r="BH207" s="1055"/>
      <c r="BI207" s="178"/>
      <c r="BJ207" s="178"/>
      <c r="BK207" s="1132"/>
      <c r="BL207" s="178"/>
      <c r="BM207" s="1197"/>
      <c r="BN207" s="178"/>
      <c r="BO207" s="178"/>
      <c r="BP207" s="1132"/>
      <c r="BQ207" s="178"/>
      <c r="BR207" s="1055"/>
      <c r="BS207" s="178"/>
      <c r="BT207" s="178"/>
      <c r="BU207" s="1132"/>
      <c r="BV207" s="178"/>
      <c r="BW207" s="1055"/>
      <c r="BX207" s="178"/>
      <c r="BY207" s="178"/>
      <c r="BZ207" s="1132"/>
      <c r="CA207" s="178"/>
      <c r="CB207" s="1055"/>
      <c r="CC207" s="178"/>
      <c r="CD207" s="587"/>
      <c r="CE207" s="922"/>
      <c r="CF207" s="587"/>
      <c r="CG207" s="921"/>
      <c r="CH207" s="587"/>
      <c r="CI207" s="587"/>
      <c r="CJ207" s="922"/>
      <c r="CK207" s="587"/>
      <c r="CL207" s="921"/>
      <c r="CM207" s="178"/>
      <c r="CN207" s="178"/>
      <c r="CO207" s="1132"/>
      <c r="CP207" s="178"/>
      <c r="CQ207" s="1055"/>
      <c r="CR207" s="178"/>
      <c r="CS207" s="178"/>
      <c r="CT207" s="1132"/>
      <c r="CU207" s="178"/>
      <c r="CV207" s="1055"/>
      <c r="CW207" s="178"/>
      <c r="CX207" s="178"/>
      <c r="CY207" s="1132"/>
      <c r="CZ207" s="178"/>
    </row>
    <row r="208" spans="1:104" ht="13.5" customHeight="1">
      <c r="A208" s="411" t="s">
        <v>151</v>
      </c>
      <c r="B208" s="411"/>
      <c r="C208" s="411"/>
      <c r="D208" s="362"/>
      <c r="E208" s="76"/>
      <c r="F208" s="76"/>
      <c r="G208" s="76"/>
      <c r="H208" s="76"/>
      <c r="I208" s="76"/>
      <c r="J208" s="178"/>
      <c r="K208" s="178"/>
      <c r="L208" s="178"/>
      <c r="M208" s="178"/>
      <c r="N208" s="178"/>
      <c r="O208" s="178"/>
      <c r="P208" s="178"/>
      <c r="Q208" s="178"/>
      <c r="R208" s="178"/>
      <c r="S208" s="178"/>
      <c r="T208" s="178"/>
      <c r="U208" s="178"/>
      <c r="V208" s="178"/>
      <c r="W208" s="178"/>
      <c r="X208" s="178"/>
      <c r="Y208" s="178"/>
      <c r="Z208" s="178"/>
      <c r="AA208" s="178"/>
      <c r="AB208" s="178"/>
      <c r="AC208" s="178"/>
      <c r="AD208" s="178"/>
      <c r="AE208" s="178"/>
      <c r="AF208" s="178"/>
      <c r="AG208" s="178"/>
      <c r="AH208" s="178"/>
      <c r="AI208" s="178"/>
      <c r="AJ208" s="178"/>
      <c r="AK208" s="178"/>
      <c r="AL208" s="134"/>
      <c r="AM208" s="178"/>
      <c r="AN208" s="178"/>
      <c r="AO208" s="178"/>
      <c r="AP208" s="178"/>
      <c r="AQ208" s="178"/>
      <c r="AR208" s="178"/>
      <c r="AS208" s="1055"/>
      <c r="AT208" s="178"/>
      <c r="AU208" s="178"/>
      <c r="AV208" s="1132"/>
      <c r="AW208" s="178"/>
      <c r="AX208" s="1055"/>
      <c r="AY208" s="178"/>
      <c r="AZ208" s="178"/>
      <c r="BA208" s="1132"/>
      <c r="BB208" s="178"/>
      <c r="BC208" s="1055"/>
      <c r="BD208" s="178"/>
      <c r="BE208" s="178"/>
      <c r="BF208" s="1183"/>
      <c r="BG208" s="387"/>
      <c r="BH208" s="1055"/>
      <c r="BI208" s="178"/>
      <c r="BJ208" s="178"/>
      <c r="BK208" s="1132"/>
      <c r="BL208" s="178"/>
      <c r="BM208" s="1055"/>
      <c r="BN208" s="178"/>
      <c r="BO208" s="178"/>
      <c r="BP208" s="1132"/>
      <c r="BQ208" s="178"/>
      <c r="BR208" s="1055"/>
      <c r="BS208" s="178"/>
      <c r="BT208" s="178"/>
      <c r="BU208" s="1132"/>
      <c r="BV208" s="178"/>
      <c r="BW208" s="1055"/>
      <c r="BX208" s="178"/>
      <c r="BY208" s="178"/>
      <c r="BZ208" s="1132"/>
      <c r="CA208" s="178"/>
      <c r="CB208" s="1055"/>
      <c r="CC208" s="178"/>
      <c r="CD208" s="587"/>
      <c r="CE208" s="922"/>
      <c r="CF208" s="587"/>
      <c r="CG208" s="921"/>
      <c r="CH208" s="587"/>
      <c r="CI208" s="587"/>
      <c r="CJ208" s="922"/>
      <c r="CK208" s="587"/>
      <c r="CL208" s="921"/>
      <c r="CM208" s="178"/>
      <c r="CN208" s="178"/>
      <c r="CO208" s="1132"/>
      <c r="CP208" s="178"/>
      <c r="CQ208" s="1055"/>
      <c r="CR208" s="178"/>
      <c r="CS208" s="178"/>
      <c r="CT208" s="1132"/>
      <c r="CU208" s="178"/>
      <c r="CV208" s="1055"/>
      <c r="CW208" s="178"/>
      <c r="CX208" s="178"/>
      <c r="CY208" s="1132"/>
      <c r="CZ208" s="178"/>
    </row>
    <row r="209" spans="1:104" ht="13.5" customHeight="1">
      <c r="A209" s="362"/>
      <c r="B209" s="369" t="s">
        <v>37</v>
      </c>
      <c r="C209" s="369"/>
      <c r="D209" s="362"/>
      <c r="E209" s="94"/>
      <c r="F209" s="94"/>
      <c r="G209" s="94"/>
      <c r="H209" s="94"/>
      <c r="I209" s="94"/>
      <c r="J209" s="92">
        <v>-48.097309000000003</v>
      </c>
      <c r="K209" s="92">
        <f>-76.491618-J209</f>
        <v>-28.394309</v>
      </c>
      <c r="L209" s="92">
        <f>-141.767128-K209-J209</f>
        <v>-65.275510000000025</v>
      </c>
      <c r="M209" s="92">
        <f>+N209-L209-K209-J209</f>
        <v>-101.83096799999998</v>
      </c>
      <c r="N209" s="92">
        <v>-243.598096</v>
      </c>
      <c r="O209" s="92">
        <v>-42.296475999999998</v>
      </c>
      <c r="P209" s="92">
        <f>-94.074891-O209</f>
        <v>-51.778414999999995</v>
      </c>
      <c r="Q209" s="92">
        <f>-147.256435-P209-O209</f>
        <v>-53.181544000000017</v>
      </c>
      <c r="R209" s="92">
        <f>S209-O209-P209-Q209</f>
        <v>-68.151572000000002</v>
      </c>
      <c r="S209" s="92">
        <v>-215.408007</v>
      </c>
      <c r="T209" s="92">
        <v>-66.188999999999993</v>
      </c>
      <c r="U209" s="92">
        <f>-111.524-T209</f>
        <v>-45.335000000000008</v>
      </c>
      <c r="V209" s="92">
        <f>-198.007-T209-U209</f>
        <v>-86.483000000000004</v>
      </c>
      <c r="W209" s="92">
        <f>X209-SUM(T209:V209)</f>
        <v>-87.918000000000006</v>
      </c>
      <c r="X209" s="92">
        <v>-285.92500000000001</v>
      </c>
      <c r="Y209" s="92">
        <v>-71.259</v>
      </c>
      <c r="Z209" s="92">
        <f>-147.098-Y209</f>
        <v>-75.839000000000013</v>
      </c>
      <c r="AA209" s="92">
        <f>-222.629-Y209-Z209</f>
        <v>-75.530999999999992</v>
      </c>
      <c r="AB209" s="101">
        <f>AC209-SUM(Y209:AA209)</f>
        <v>-108.83699999999999</v>
      </c>
      <c r="AC209" s="92">
        <v>-331.46600000000001</v>
      </c>
      <c r="AD209" s="92">
        <v>-69.870999999999995</v>
      </c>
      <c r="AE209" s="92">
        <f>-137.316-AD209</f>
        <v>-67.445000000000007</v>
      </c>
      <c r="AF209" s="92">
        <f>-240.175-AE209-AD209</f>
        <v>-102.85900000000002</v>
      </c>
      <c r="AG209" s="101">
        <f>AH209-SUM(AD209:AF209)</f>
        <v>-98.228999999999985</v>
      </c>
      <c r="AH209" s="92">
        <v>-338.404</v>
      </c>
      <c r="AI209" s="92">
        <v>-91.349000000000004</v>
      </c>
      <c r="AJ209" s="92">
        <f>-198.674-AI209</f>
        <v>-107.325</v>
      </c>
      <c r="AK209" s="92">
        <f>-330.586-AJ209-AI209</f>
        <v>-131.91200000000003</v>
      </c>
      <c r="AL209" s="92">
        <f>AM209-AK209-AJ209-AI209</f>
        <v>-189.76699999999994</v>
      </c>
      <c r="AM209" s="92">
        <v>-520.35299999999995</v>
      </c>
      <c r="AN209" s="92">
        <v>-226.238</v>
      </c>
      <c r="AO209" s="92">
        <f>-501.669-AN209</f>
        <v>-275.43099999999998</v>
      </c>
      <c r="AP209" s="92">
        <f>-806.152-AO209-AN209</f>
        <v>-304.483</v>
      </c>
      <c r="AQ209" s="92">
        <f>AR209-SUM(AN209:AP209)</f>
        <v>-212.82799999999997</v>
      </c>
      <c r="AR209" s="92">
        <v>-1018.98</v>
      </c>
      <c r="AS209" s="1102">
        <v>-125.96599999999999</v>
      </c>
      <c r="AT209" s="523">
        <f>-240.428-AS209</f>
        <v>-114.462</v>
      </c>
      <c r="AU209" s="523">
        <f>-316.024-AT209-AS209</f>
        <v>-75.596000000000018</v>
      </c>
      <c r="AV209" s="890">
        <f>AW209-SUM(AS209:AU209)</f>
        <v>-74.475999999999999</v>
      </c>
      <c r="AW209" s="523">
        <v>-390.5</v>
      </c>
      <c r="AX209" s="1102">
        <v>-54.216000000000001</v>
      </c>
      <c r="AY209" s="523">
        <f>-163.219-AX209</f>
        <v>-109.00299999999999</v>
      </c>
      <c r="AZ209" s="523">
        <f>-238.33-AY209-AX209</f>
        <v>-75.111000000000018</v>
      </c>
      <c r="BA209" s="890">
        <f>BB209-SUM(AX209:AZ209)</f>
        <v>-106.96399999999997</v>
      </c>
      <c r="BB209" s="523">
        <v>-345.29399999999998</v>
      </c>
      <c r="BC209" s="1102">
        <v>-96.036000000000001</v>
      </c>
      <c r="BD209" s="523">
        <f>-212.893-BC209</f>
        <v>-116.857</v>
      </c>
      <c r="BE209" s="523">
        <f>-318.252-BD209-BC209</f>
        <v>-105.35900000000001</v>
      </c>
      <c r="BF209" s="890">
        <f>BG209-SUM(BC209:BE209)</f>
        <v>-122.25</v>
      </c>
      <c r="BG209" s="532">
        <v>-440.50200000000001</v>
      </c>
      <c r="BH209" s="1102">
        <v>-167.32900000000001</v>
      </c>
      <c r="BI209" s="523">
        <f>-383.448-BH209</f>
        <v>-216.11899999999997</v>
      </c>
      <c r="BJ209" s="523">
        <f>-613.777-SUM(BH209:BI209)</f>
        <v>-230.32900000000006</v>
      </c>
      <c r="BK209" s="890">
        <f>BL209-SUM(BH209:BJ209)</f>
        <v>-333.8309999999999</v>
      </c>
      <c r="BL209" s="523">
        <v>-947.60799999999995</v>
      </c>
      <c r="BM209" s="1102">
        <v>-330.58499999999998</v>
      </c>
      <c r="BN209" s="523">
        <f>-621.306-BM209</f>
        <v>-290.72100000000006</v>
      </c>
      <c r="BO209" s="523">
        <f>-887.929-SUM(BM209:BN209)</f>
        <v>-266.62299999999993</v>
      </c>
      <c r="BP209" s="1094">
        <f>-1196.952-SUM(BM209:BO209)</f>
        <v>-309.02300000000002</v>
      </c>
      <c r="BQ209" s="550">
        <f>SUM(BM209:BP209)</f>
        <v>-1196.952</v>
      </c>
      <c r="BR209" s="1102">
        <v>-258.05799999999999</v>
      </c>
      <c r="BS209" s="523">
        <f>-446.798-BR209</f>
        <v>-188.74</v>
      </c>
      <c r="BT209" s="523">
        <f>-557.249-SUM(BR209:BS209)</f>
        <v>-110.45100000000002</v>
      </c>
      <c r="BU209" s="1094">
        <f>-667.982-SUM(BR209:BT209)</f>
        <v>-110.73299999999995</v>
      </c>
      <c r="BV209" s="550">
        <f>SUM(BR209:BU209)</f>
        <v>-667.98199999999997</v>
      </c>
      <c r="BW209" s="1092">
        <v>-77.522999999999996</v>
      </c>
      <c r="BX209" s="523">
        <f>-175.253-BW209</f>
        <v>-97.72999999999999</v>
      </c>
      <c r="BY209" s="523">
        <f>-283.087-SUM(BW209:BX209)</f>
        <v>-107.834</v>
      </c>
      <c r="BZ209" s="1094">
        <f>-374.123-SUM(BW209:BY209)</f>
        <v>-91.036000000000001</v>
      </c>
      <c r="CA209" s="550">
        <f>SUM(BW209:BZ209)</f>
        <v>-374.12299999999999</v>
      </c>
      <c r="CB209" s="1092">
        <v>-80.697000000000003</v>
      </c>
      <c r="CC209" s="523">
        <f>-227.342-CB209</f>
        <v>-146.64500000000001</v>
      </c>
      <c r="CD209" s="529">
        <f>-327.436-CC209-CB209</f>
        <v>-100.09399999999997</v>
      </c>
      <c r="CE209" s="1094">
        <f>-604.84-SUM(CB209:CD209)</f>
        <v>-277.40400000000005</v>
      </c>
      <c r="CF209" s="550">
        <f>SUM(CB209:CE209)</f>
        <v>-604.84</v>
      </c>
      <c r="CG209" s="1102">
        <v>-94.534999999999997</v>
      </c>
      <c r="CH209" s="523">
        <f>-189.235-CG209</f>
        <v>-94.700000000000017</v>
      </c>
      <c r="CI209" s="523">
        <f>-292.312-CH209-CG209</f>
        <v>-103.077</v>
      </c>
      <c r="CJ209" s="1094">
        <f>-448.555-SUM(CG209:CI209)</f>
        <v>-156.24299999999999</v>
      </c>
      <c r="CK209" s="550">
        <f>SUM(CG209:CJ209)</f>
        <v>-448.55500000000001</v>
      </c>
      <c r="CL209" s="1102">
        <v>-228.76599999999999</v>
      </c>
      <c r="CM209" s="550">
        <f>-Operations!CM185</f>
        <v>-250</v>
      </c>
      <c r="CN209" s="550">
        <f>-Operations!CN185</f>
        <v>-250</v>
      </c>
      <c r="CO209" s="924">
        <f>-Operations!CO185</f>
        <v>-250</v>
      </c>
      <c r="CP209" s="550">
        <f>SUM(CL209:CO209)</f>
        <v>-978.76599999999996</v>
      </c>
      <c r="CQ209" s="889">
        <f>-Operations!CQ185</f>
        <v>-216.25</v>
      </c>
      <c r="CR209" s="550">
        <f>-Operations!CR185</f>
        <v>-216.25</v>
      </c>
      <c r="CS209" s="550">
        <f>-Operations!CS185</f>
        <v>-216.25</v>
      </c>
      <c r="CT209" s="924">
        <f>-Operations!CT185</f>
        <v>-216.25</v>
      </c>
      <c r="CU209" s="550">
        <f>SUM(CQ209:CT209)</f>
        <v>-865</v>
      </c>
      <c r="CV209" s="889">
        <f>-Operations!CV185</f>
        <v>-150</v>
      </c>
      <c r="CW209" s="550">
        <f>-Operations!CW185</f>
        <v>-150</v>
      </c>
      <c r="CX209" s="550">
        <f>-Operations!CX185</f>
        <v>-150</v>
      </c>
      <c r="CY209" s="924">
        <f>-Operations!CY185</f>
        <v>-150</v>
      </c>
      <c r="CZ209" s="550">
        <f>SUM(CV209:CY209)</f>
        <v>-600</v>
      </c>
    </row>
    <row r="210" spans="1:104" ht="13.5" customHeight="1">
      <c r="A210" s="362"/>
      <c r="B210" s="369" t="s">
        <v>196</v>
      </c>
      <c r="C210" s="369"/>
      <c r="D210" s="362"/>
      <c r="E210" s="94"/>
      <c r="F210" s="94"/>
      <c r="G210" s="94"/>
      <c r="H210" s="94"/>
      <c r="I210" s="94"/>
      <c r="J210" s="92">
        <v>0</v>
      </c>
      <c r="K210" s="92">
        <v>0</v>
      </c>
      <c r="L210" s="92">
        <f>-31.065048-K210</f>
        <v>-31.065048000000001</v>
      </c>
      <c r="M210" s="92">
        <f>+N210-L210-K210-J210</f>
        <v>-621.62376299999994</v>
      </c>
      <c r="N210" s="92">
        <v>-652.68881099999999</v>
      </c>
      <c r="O210" s="92">
        <v>-34.941411000000002</v>
      </c>
      <c r="P210" s="92">
        <f>-34.941411-O210</f>
        <v>0</v>
      </c>
      <c r="Q210" s="92">
        <v>0</v>
      </c>
      <c r="R210" s="92">
        <f>S210-O210-P210-Q210</f>
        <v>0</v>
      </c>
      <c r="S210" s="92">
        <v>-34.941411000000002</v>
      </c>
      <c r="T210" s="92">
        <v>0</v>
      </c>
      <c r="U210" s="92">
        <f>0-T210</f>
        <v>0</v>
      </c>
      <c r="V210" s="92">
        <f>-169.646-T210-U210</f>
        <v>-169.64599999999999</v>
      </c>
      <c r="W210" s="92">
        <f>X210-SUM(T210:V210)</f>
        <v>0</v>
      </c>
      <c r="X210" s="92">
        <v>-169.64599999999999</v>
      </c>
      <c r="Y210" s="92">
        <v>-44.136000000000003</v>
      </c>
      <c r="Z210" s="92">
        <f>-152.864-Y210</f>
        <v>-108.72800000000001</v>
      </c>
      <c r="AA210" s="92">
        <f>-154.864-Y210-Z210</f>
        <v>-2</v>
      </c>
      <c r="AB210" s="101">
        <f>AC210-SUM(Y210:AA210)</f>
        <v>0</v>
      </c>
      <c r="AC210" s="92">
        <v>-154.864</v>
      </c>
      <c r="AD210" s="92">
        <v>0</v>
      </c>
      <c r="AE210" s="92">
        <f>-43.879-AD210</f>
        <v>-43.878999999999998</v>
      </c>
      <c r="AF210" s="92">
        <f>-43.879-AE210-AD210</f>
        <v>0</v>
      </c>
      <c r="AG210" s="101">
        <f>AH210-SUM(AD210:AF210)</f>
        <v>-180.041</v>
      </c>
      <c r="AH210" s="92">
        <v>-223.92</v>
      </c>
      <c r="AI210" s="92">
        <v>-1060.08</v>
      </c>
      <c r="AJ210" s="92">
        <f>-1083.616-AI210</f>
        <v>-23.536000000000058</v>
      </c>
      <c r="AK210" s="92">
        <f>-1410.677-AJ210-AI210</f>
        <v>-327.06099999999992</v>
      </c>
      <c r="AL210" s="92">
        <f>AM210-AK210-AJ210-AI210</f>
        <v>-131.98900000000003</v>
      </c>
      <c r="AM210" s="92">
        <v>-1542.6659999999999</v>
      </c>
      <c r="AN210" s="92">
        <f>-1402.179</f>
        <v>-1402.1790000000001</v>
      </c>
      <c r="AO210" s="92">
        <f>-1591.817-AN210</f>
        <v>-189.63799999999992</v>
      </c>
      <c r="AP210" s="92">
        <f>-1827.165-AO210-AN210</f>
        <v>-235.34799999999996</v>
      </c>
      <c r="AQ210" s="92">
        <f>AR210-SUM(AN210:AP210)</f>
        <v>1.1349999999999909</v>
      </c>
      <c r="AR210" s="92">
        <v>-1826.03</v>
      </c>
      <c r="AS210" s="1102">
        <v>0</v>
      </c>
      <c r="AT210" s="523">
        <f>-24.714-AS210</f>
        <v>-24.713999999999999</v>
      </c>
      <c r="AU210" s="523">
        <f>-24.714-AT210-AS210</f>
        <v>0</v>
      </c>
      <c r="AV210" s="890">
        <f>AW210-SUM(AS210:AU210)</f>
        <v>-8.0060000000000002</v>
      </c>
      <c r="AW210" s="523">
        <v>-32.72</v>
      </c>
      <c r="AX210" s="1102">
        <v>-55.694000000000003</v>
      </c>
      <c r="AY210" s="523">
        <f>-63.722-AX210</f>
        <v>-8.0279999999999987</v>
      </c>
      <c r="AZ210" s="523">
        <f>-64.885-AY210-AX210</f>
        <v>-1.1630000000000038</v>
      </c>
      <c r="BA210" s="890">
        <f>BB210-SUM(AX210:AZ210)</f>
        <v>9.7000000000008413E-2</v>
      </c>
      <c r="BB210" s="523">
        <v>-64.787999999999997</v>
      </c>
      <c r="BC210" s="1102">
        <v>0</v>
      </c>
      <c r="BD210" s="523">
        <v>0</v>
      </c>
      <c r="BE210" s="523">
        <v>0</v>
      </c>
      <c r="BF210" s="890">
        <f>BG210-SUM(BC210:BE210)</f>
        <v>-3.9590000000000001</v>
      </c>
      <c r="BG210" s="532">
        <v>-3.9590000000000001</v>
      </c>
      <c r="BH210" s="889">
        <f>-58.848</f>
        <v>-58.847999999999999</v>
      </c>
      <c r="BI210" s="523">
        <f>-746.41-BH210</f>
        <v>-687.56200000000001</v>
      </c>
      <c r="BJ210" s="523">
        <f>-763.657-SUM(BH210:BI210)</f>
        <v>-17.247000000000071</v>
      </c>
      <c r="BK210" s="890">
        <f>BL210-SUM(BH210:BJ210)</f>
        <v>2.8240000000000691</v>
      </c>
      <c r="BL210" s="523">
        <v>-760.83299999999997</v>
      </c>
      <c r="BM210" s="1102">
        <v>0</v>
      </c>
      <c r="BN210" s="523">
        <v>0</v>
      </c>
      <c r="BO210" s="523">
        <v>0</v>
      </c>
      <c r="BP210" s="1103">
        <v>0</v>
      </c>
      <c r="BQ210" s="550">
        <f>SUM(BM210:BP210)</f>
        <v>0</v>
      </c>
      <c r="BR210" s="1102">
        <v>-1.4079999999999999</v>
      </c>
      <c r="BS210" s="523">
        <f>-38.466-BR210</f>
        <v>-37.058</v>
      </c>
      <c r="BT210" s="523">
        <f>-38.466-SUM(BR210:BS210)</f>
        <v>0</v>
      </c>
      <c r="BU210" s="1103">
        <f>-768.581-SUM(BR210:BT210)</f>
        <v>-730.11500000000001</v>
      </c>
      <c r="BV210" s="550">
        <f>SUM(BR210:BU210)</f>
        <v>-768.58100000000002</v>
      </c>
      <c r="BW210" s="1102">
        <v>0</v>
      </c>
      <c r="BX210" s="523">
        <f>-0.253-BW210</f>
        <v>-0.253</v>
      </c>
      <c r="BY210" s="532">
        <f>-0.253-SUM(BW210:BX210)</f>
        <v>0</v>
      </c>
      <c r="BZ210" s="1094">
        <f>-19.089-SUM(BW210:BY210)</f>
        <v>-18.835999999999999</v>
      </c>
      <c r="CA210" s="550">
        <f>SUM(BW210:BZ210)</f>
        <v>-19.088999999999999</v>
      </c>
      <c r="CB210" s="1102">
        <v>-1.3859999999999999</v>
      </c>
      <c r="CC210" s="523">
        <f>0-CB210</f>
        <v>1.3859999999999999</v>
      </c>
      <c r="CD210" s="523">
        <f>-48.105-CC210-CB210</f>
        <v>-48.104999999999997</v>
      </c>
      <c r="CE210" s="1103">
        <f>-474.788-SUM(CB210:CD210)</f>
        <v>-426.68299999999999</v>
      </c>
      <c r="CF210" s="550">
        <f>SUM(CB210:CE210)</f>
        <v>-474.78800000000001</v>
      </c>
      <c r="CG210" s="1102">
        <v>-478.16300000000001</v>
      </c>
      <c r="CH210" s="523">
        <f>-478.41-CG210</f>
        <v>-0.2470000000000141</v>
      </c>
      <c r="CI210" s="523">
        <f>-543.153-CH210-CG210</f>
        <v>-64.742999999999938</v>
      </c>
      <c r="CJ210" s="1094">
        <f>-544.041-SUM(CG210:CI210)</f>
        <v>-0.88800000000003365</v>
      </c>
      <c r="CK210" s="550">
        <f>SUM(CG210:CJ210)</f>
        <v>-544.04100000000005</v>
      </c>
      <c r="CL210" s="1102">
        <v>0</v>
      </c>
      <c r="CM210" s="523">
        <v>0</v>
      </c>
      <c r="CN210" s="523">
        <v>0</v>
      </c>
      <c r="CO210" s="1094">
        <v>0</v>
      </c>
      <c r="CP210" s="550">
        <f>SUM(CL210:CO210)</f>
        <v>0</v>
      </c>
      <c r="CQ210" s="1102">
        <v>0</v>
      </c>
      <c r="CR210" s="523">
        <v>0</v>
      </c>
      <c r="CS210" s="523">
        <v>0</v>
      </c>
      <c r="CT210" s="1094">
        <v>0</v>
      </c>
      <c r="CU210" s="550">
        <f>SUM(CQ210:CT210)</f>
        <v>0</v>
      </c>
      <c r="CV210" s="1102">
        <v>0</v>
      </c>
      <c r="CW210" s="523">
        <v>0</v>
      </c>
      <c r="CX210" s="523">
        <v>0</v>
      </c>
      <c r="CY210" s="1094">
        <v>0</v>
      </c>
      <c r="CZ210" s="550">
        <f>SUM(CV210:CY210)</f>
        <v>0</v>
      </c>
    </row>
    <row r="211" spans="1:104" ht="13.5" customHeight="1">
      <c r="A211" s="362"/>
      <c r="B211" s="369" t="s">
        <v>541</v>
      </c>
      <c r="C211" s="369"/>
      <c r="D211" s="362"/>
      <c r="E211" s="94"/>
      <c r="F211" s="94"/>
      <c r="G211" s="94"/>
      <c r="H211" s="94"/>
      <c r="I211" s="94"/>
      <c r="J211" s="92">
        <v>0</v>
      </c>
      <c r="K211" s="92">
        <v>0</v>
      </c>
      <c r="L211" s="92">
        <v>0</v>
      </c>
      <c r="M211" s="92">
        <f>+N211-L211-K211-J211</f>
        <v>0.448546</v>
      </c>
      <c r="N211" s="92">
        <v>0.448546</v>
      </c>
      <c r="O211" s="92">
        <v>0</v>
      </c>
      <c r="P211" s="92">
        <v>0</v>
      </c>
      <c r="Q211" s="92">
        <v>0</v>
      </c>
      <c r="R211" s="92">
        <f>S211-O211-P211-Q211</f>
        <v>11.633717000000001</v>
      </c>
      <c r="S211" s="92">
        <v>11.633717000000001</v>
      </c>
      <c r="T211" s="92">
        <v>1.655</v>
      </c>
      <c r="U211" s="92">
        <f>2.456-T211</f>
        <v>0.80099999999999993</v>
      </c>
      <c r="V211" s="92">
        <f>2.813-T211-U211</f>
        <v>0.35700000000000021</v>
      </c>
      <c r="W211" s="92">
        <f>X211-SUM(T211:V211)</f>
        <v>0.28099999999999969</v>
      </c>
      <c r="X211" s="92">
        <f>3.094</f>
        <v>3.0939999999999999</v>
      </c>
      <c r="Y211" s="92">
        <v>0.29399999999999998</v>
      </c>
      <c r="Z211" s="92">
        <f>0.611-Y211</f>
        <v>0.317</v>
      </c>
      <c r="AA211" s="92">
        <f>0.709-Y211-Z211</f>
        <v>9.7999999999999976E-2</v>
      </c>
      <c r="AB211" s="101">
        <f>AC211-SUM(Y211:AA211)</f>
        <v>4.3000000000000038E-2</v>
      </c>
      <c r="AC211" s="92">
        <v>0.752</v>
      </c>
      <c r="AD211" s="92">
        <v>1.4390000000000001</v>
      </c>
      <c r="AE211" s="92">
        <f>1.674-AD211</f>
        <v>0.23499999999999988</v>
      </c>
      <c r="AF211" s="92">
        <f>1.978-AE211-AD211</f>
        <v>0.30400000000000005</v>
      </c>
      <c r="AG211" s="101">
        <f>AH211-SUM(AD211:AF211)</f>
        <v>0.19900000000000007</v>
      </c>
      <c r="AH211" s="92">
        <f>2.177</f>
        <v>2.177</v>
      </c>
      <c r="AI211" s="92">
        <f>29.5+0.178</f>
        <v>29.678000000000001</v>
      </c>
      <c r="AJ211" s="92">
        <f>29.5+0.74-AI211</f>
        <v>0.56199999999999761</v>
      </c>
      <c r="AK211" s="92">
        <f>29.5+0.804-AJ211-AI211</f>
        <v>6.4000000000000057E-2</v>
      </c>
      <c r="AL211" s="92">
        <f>AM211-AK211-AJ211-AI211</f>
        <v>1.9830000000000005</v>
      </c>
      <c r="AM211" s="92">
        <f>29.5+2.787</f>
        <v>32.286999999999999</v>
      </c>
      <c r="AN211" s="92">
        <f>1.25</f>
        <v>1.25</v>
      </c>
      <c r="AO211" s="92">
        <f>6.551-AN211</f>
        <v>5.3010000000000002</v>
      </c>
      <c r="AP211" s="92">
        <f>8.676-AO211-AN211</f>
        <v>2.125</v>
      </c>
      <c r="AQ211" s="92">
        <f>AR211-SUM(AN211:AP211)</f>
        <v>8.5039999999999996</v>
      </c>
      <c r="AR211" s="92">
        <v>17.18</v>
      </c>
      <c r="AS211" s="1102">
        <v>2.234</v>
      </c>
      <c r="AT211" s="523">
        <f>8.61-AS211</f>
        <v>6.3759999999999994</v>
      </c>
      <c r="AU211" s="523">
        <f>10.486-AT211-AS211</f>
        <v>1.8760000000000012</v>
      </c>
      <c r="AV211" s="890">
        <f>AW211-SUM(AS211:AU211)</f>
        <v>0.88499999999999979</v>
      </c>
      <c r="AW211" s="523">
        <v>11.371</v>
      </c>
      <c r="AX211" s="1102">
        <v>3.0459999999999998</v>
      </c>
      <c r="AY211" s="523">
        <f>15.522-AX211</f>
        <v>12.476000000000001</v>
      </c>
      <c r="AZ211" s="523">
        <f>18.998-AY211-AX211</f>
        <v>3.4760000000000004</v>
      </c>
      <c r="BA211" s="890">
        <f>BB211-SUM(AX211:AZ211)</f>
        <v>5.945999999999998</v>
      </c>
      <c r="BB211" s="523">
        <f>24.944</f>
        <v>24.943999999999999</v>
      </c>
      <c r="BC211" s="1102">
        <v>3.9849999999999999</v>
      </c>
      <c r="BD211" s="523">
        <f>18.409-BC211</f>
        <v>14.423999999999999</v>
      </c>
      <c r="BE211" s="523">
        <f>22.155-BD211-BC211</f>
        <v>3.7460000000000018</v>
      </c>
      <c r="BF211" s="890">
        <f>BG211-SUM(BC211:BE211)</f>
        <v>3.1779999999999973</v>
      </c>
      <c r="BG211" s="532">
        <v>25.332999999999998</v>
      </c>
      <c r="BH211" s="1102">
        <v>7.9530000000000003</v>
      </c>
      <c r="BI211" s="523">
        <f>21.026-BH211</f>
        <v>13.073</v>
      </c>
      <c r="BJ211" s="523">
        <f>42.574-SUM(BH211:BI211)</f>
        <v>21.547999999999998</v>
      </c>
      <c r="BK211" s="890">
        <f>BL211-SUM(BH211:BJ211)</f>
        <v>8.4890000000000043</v>
      </c>
      <c r="BL211" s="523">
        <v>51.063000000000002</v>
      </c>
      <c r="BM211" s="1102">
        <v>2.9580000000000002</v>
      </c>
      <c r="BN211" s="523">
        <f>10.145-BM211</f>
        <v>7.1869999999999994</v>
      </c>
      <c r="BO211" s="523">
        <f>29.328-SUM(BM211:BN211)</f>
        <v>19.183</v>
      </c>
      <c r="BP211" s="1103">
        <f>34.097-SUM(BM211:BO211)</f>
        <v>4.7690000000000019</v>
      </c>
      <c r="BQ211" s="550">
        <f>SUM(BM211:BP211)</f>
        <v>34.097000000000001</v>
      </c>
      <c r="BR211" s="1102">
        <v>4.54</v>
      </c>
      <c r="BS211" s="523">
        <f>12.858-BR211</f>
        <v>8.3180000000000014</v>
      </c>
      <c r="BT211" s="523">
        <f>18.748-SUM(BR211:BS211)</f>
        <v>5.8900000000000006</v>
      </c>
      <c r="BU211" s="1103">
        <f>36.563-SUM(BR211:BT211)</f>
        <v>17.815000000000001</v>
      </c>
      <c r="BV211" s="550">
        <f>SUM(BR211:BU211)</f>
        <v>36.563000000000002</v>
      </c>
      <c r="BW211" s="1102">
        <v>2.6040000000000001</v>
      </c>
      <c r="BX211" s="523">
        <f>17.932-BW211</f>
        <v>15.327999999999999</v>
      </c>
      <c r="BY211" s="523">
        <f>24.996-SUM(BW211:BX211)</f>
        <v>7.0640000000000001</v>
      </c>
      <c r="BZ211" s="1094">
        <f>29.39-SUM(BW211:BY211)</f>
        <v>4.3940000000000019</v>
      </c>
      <c r="CA211" s="550">
        <f>SUM(BW211:BZ211)</f>
        <v>29.39</v>
      </c>
      <c r="CB211" s="1102">
        <v>5.3090000000000002</v>
      </c>
      <c r="CC211" s="523">
        <f>11.631-+CB211</f>
        <v>6.3220000000000001</v>
      </c>
      <c r="CD211" s="523">
        <f>14.883-CC211-CB211</f>
        <v>3.2519999999999998</v>
      </c>
      <c r="CE211" s="1103">
        <f>600-SUM(CB211:CD211)</f>
        <v>585.11699999999996</v>
      </c>
      <c r="CF211" s="550">
        <f>SUM(CB211:CE211)</f>
        <v>600</v>
      </c>
      <c r="CG211" s="1102">
        <v>8.8699999999999992</v>
      </c>
      <c r="CH211" s="523">
        <f>12.509-CG211</f>
        <v>3.6390000000000011</v>
      </c>
      <c r="CI211" s="523">
        <f>19.42-CH211-CG211</f>
        <v>6.9110000000000014</v>
      </c>
      <c r="CJ211" s="1094">
        <f>25.315-SUM(CG211:CI211)</f>
        <v>5.8949999999999996</v>
      </c>
      <c r="CK211" s="550">
        <f>SUM(CG211:CJ211)</f>
        <v>25.315000000000001</v>
      </c>
      <c r="CL211" s="1102">
        <v>5.9669999999999996</v>
      </c>
      <c r="CM211" s="523">
        <v>0</v>
      </c>
      <c r="CN211" s="523">
        <v>0</v>
      </c>
      <c r="CO211" s="1094">
        <v>0</v>
      </c>
      <c r="CP211" s="550">
        <f>SUM(CL211:CO211)</f>
        <v>5.9669999999999996</v>
      </c>
      <c r="CQ211" s="1102">
        <v>0</v>
      </c>
      <c r="CR211" s="523">
        <v>0</v>
      </c>
      <c r="CS211" s="523">
        <v>0</v>
      </c>
      <c r="CT211" s="1094">
        <v>0</v>
      </c>
      <c r="CU211" s="550">
        <f>SUM(CQ211:CT211)</f>
        <v>0</v>
      </c>
      <c r="CV211" s="1102">
        <v>0</v>
      </c>
      <c r="CW211" s="523">
        <v>0</v>
      </c>
      <c r="CX211" s="523">
        <v>0</v>
      </c>
      <c r="CY211" s="1094">
        <v>0</v>
      </c>
      <c r="CZ211" s="550">
        <f>SUM(CV211:CY211)</f>
        <v>0</v>
      </c>
    </row>
    <row r="212" spans="1:104" ht="13.5" customHeight="1">
      <c r="A212" s="362"/>
      <c r="B212" s="369" t="s">
        <v>542</v>
      </c>
      <c r="C212" s="369"/>
      <c r="D212" s="362"/>
      <c r="E212" s="94"/>
      <c r="F212" s="94"/>
      <c r="G212" s="94"/>
      <c r="H212" s="94"/>
      <c r="I212" s="94"/>
      <c r="J212" s="92">
        <v>0</v>
      </c>
      <c r="K212" s="92">
        <v>0</v>
      </c>
      <c r="L212" s="92">
        <v>0</v>
      </c>
      <c r="M212" s="92">
        <v>0</v>
      </c>
      <c r="N212" s="92">
        <v>0</v>
      </c>
      <c r="O212" s="92">
        <v>-7.1086900000000002</v>
      </c>
      <c r="P212" s="92">
        <f>-9.201362-O212</f>
        <v>-2.0926719999999994</v>
      </c>
      <c r="Q212" s="92">
        <f>-18.639842-6.741708-P212-O212</f>
        <v>-16.180188000000001</v>
      </c>
      <c r="R212" s="92">
        <f>S212-O212-P212-Q212</f>
        <v>-3.484576999999998</v>
      </c>
      <c r="S212" s="92">
        <f>-22.124419-6.741708</f>
        <v>-28.866126999999999</v>
      </c>
      <c r="T212" s="92">
        <v>-39.631</v>
      </c>
      <c r="U212" s="92">
        <f>-53.495-T212</f>
        <v>-13.863999999999997</v>
      </c>
      <c r="V212" s="92">
        <f>-68.55-T212-U212</f>
        <v>-15.055</v>
      </c>
      <c r="W212" s="92">
        <f>X212-SUM(T212:V212)</f>
        <v>-13.908000000000001</v>
      </c>
      <c r="X212" s="92">
        <f>-82.458</f>
        <v>-82.457999999999998</v>
      </c>
      <c r="Y212" s="92">
        <f>-8.176</f>
        <v>-8.1760000000000002</v>
      </c>
      <c r="Z212" s="92">
        <f>-32.523-Y212</f>
        <v>-24.347000000000001</v>
      </c>
      <c r="AA212" s="92">
        <f>-37.45-Y212-Z212</f>
        <v>-4.9269999999999996</v>
      </c>
      <c r="AB212" s="101">
        <f>AC212-SUM(Y212:AA212)</f>
        <v>-4.4529999999999959</v>
      </c>
      <c r="AC212" s="92">
        <f>-41.903</f>
        <v>-41.902999999999999</v>
      </c>
      <c r="AD212" s="92">
        <f>0.645-14.704</f>
        <v>-14.059000000000001</v>
      </c>
      <c r="AE212" s="92">
        <f>-26.756-AD212</f>
        <v>-12.696999999999999</v>
      </c>
      <c r="AF212" s="92">
        <f>-34.241-AE212-AD212</f>
        <v>-7.4849999999999994</v>
      </c>
      <c r="AG212" s="101">
        <f>AH212-SUM(AD212:AF212)</f>
        <v>-8.2999999999998408E-2</v>
      </c>
      <c r="AH212" s="92">
        <v>-34.323999999999998</v>
      </c>
      <c r="AI212" s="92">
        <f>-8.761-74.265+517.241-511.394</f>
        <v>-77.17900000000003</v>
      </c>
      <c r="AJ212" s="92">
        <f>-15.04+517.241-511.394-AI212</f>
        <v>67.98599999999999</v>
      </c>
      <c r="AK212" s="92">
        <f>-27.913+517.241-511.394-AI212-AJ212</f>
        <v>-12.87299999999999</v>
      </c>
      <c r="AL212" s="92">
        <f>AM212-AK212-AJ212-AI212</f>
        <v>-3.5219999999999914</v>
      </c>
      <c r="AM212" s="92">
        <f>-31.435+517.241-511.394</f>
        <v>-25.588000000000022</v>
      </c>
      <c r="AN212" s="92">
        <f>-17.118</f>
        <v>-17.117999999999999</v>
      </c>
      <c r="AO212" s="92">
        <f>-27.903-AN212</f>
        <v>-10.785</v>
      </c>
      <c r="AP212" s="92">
        <f>-704.945-AO212-AN212</f>
        <v>-677.04200000000003</v>
      </c>
      <c r="AQ212" s="92">
        <f>AR212-SUM(AN212:AP212)</f>
        <v>-15.767999999999915</v>
      </c>
      <c r="AR212" s="92">
        <f>-720.713</f>
        <v>-720.71299999999997</v>
      </c>
      <c r="AS212" s="1102">
        <v>-8.468</v>
      </c>
      <c r="AT212" s="523">
        <f>-57.904-AS212</f>
        <v>-49.436000000000007</v>
      </c>
      <c r="AU212" s="523">
        <f>-60.295-AT212-AS212</f>
        <v>-2.3909999999999947</v>
      </c>
      <c r="AV212" s="890">
        <f>AW212-SUM(AS212:AU212)</f>
        <v>-3.2680000000000007</v>
      </c>
      <c r="AW212" s="550">
        <f>-63.563</f>
        <v>-63.563000000000002</v>
      </c>
      <c r="AX212" s="1102">
        <f>-80.461+48.884</f>
        <v>-31.576999999999998</v>
      </c>
      <c r="AY212" s="523">
        <f>-402.391+48.885-AX212</f>
        <v>-321.92900000000003</v>
      </c>
      <c r="AZ212" s="523">
        <f>-427.788+48.885-AY212-AX212</f>
        <v>-25.396999999999991</v>
      </c>
      <c r="BA212" s="890">
        <f>BB212-SUM(AX212:AZ212)</f>
        <v>-569.69999999999993</v>
      </c>
      <c r="BB212" s="523">
        <f>-434.006+83.885-598.482</f>
        <v>-948.60299999999995</v>
      </c>
      <c r="BC212" s="1102">
        <f>-24.475+21.949</f>
        <v>-2.5259999999999998</v>
      </c>
      <c r="BD212" s="523">
        <f>-49.839+21.949-BC212</f>
        <v>-25.363999999999997</v>
      </c>
      <c r="BE212" s="523">
        <f>-76.678+15-564.994+18.299+538.644-BD212-BC212</f>
        <v>-41.839000000000041</v>
      </c>
      <c r="BF212" s="890">
        <f>BG212-SUM(BC212:BE212)</f>
        <v>36.428999999999974</v>
      </c>
      <c r="BG212" s="532">
        <f>-95.95+50-564.994+47.479+530.165</f>
        <v>-33.300000000000068</v>
      </c>
      <c r="BH212" s="1102">
        <f>-38.441+38.35-38.707</f>
        <v>-38.798000000000002</v>
      </c>
      <c r="BI212" s="523">
        <f>-57.771+15-BH212</f>
        <v>-3.972999999999999</v>
      </c>
      <c r="BJ212" s="523">
        <f>-66.423+32.5+209.93-38.301-SUM(BH212:BI212)</f>
        <v>180.47700000000003</v>
      </c>
      <c r="BK212" s="890">
        <f>BL212-SUM(BH212:BJ212)</f>
        <v>1315.6770000000001</v>
      </c>
      <c r="BL212" s="523">
        <f>-180.472+65.446+359.295-48.625-409.403+1667.142</f>
        <v>1453.383</v>
      </c>
      <c r="BM212" s="1102">
        <f>-20.678+7.5-20.135</f>
        <v>-33.313000000000002</v>
      </c>
      <c r="BN212" s="523">
        <f>-43.485+30.5-BM212</f>
        <v>20.328000000000003</v>
      </c>
      <c r="BO212" s="523">
        <f>-64.762+42+126.045+4.862-SUM(BM212:BN212)</f>
        <v>121.13</v>
      </c>
      <c r="BP212" s="1167">
        <f>-85.053+54.5+126.438+4.863-SUM(BM212:BO212)</f>
        <v>-7.3969999999999914</v>
      </c>
      <c r="BQ212" s="550">
        <f>SUM(BM212:BP212)</f>
        <v>100.748</v>
      </c>
      <c r="BR212" s="1198">
        <f>-7.105+3-100+27.529</f>
        <v>-76.576000000000008</v>
      </c>
      <c r="BS212" s="532">
        <f>-68.491+15-100+27.529-BR212</f>
        <v>-49.385999999999981</v>
      </c>
      <c r="BT212" s="532">
        <f>-94.128+26.5-100+27.529-SUM(BR212:BS212)</f>
        <v>-14.137</v>
      </c>
      <c r="BU212" s="1167">
        <f>-97.841+122-100+27.529+10.25-SUM(BR212:BT212)</f>
        <v>102.03699999999999</v>
      </c>
      <c r="BV212" s="550">
        <f>SUM(BR212:BU212)</f>
        <v>-38.061999999999998</v>
      </c>
      <c r="BW212" s="1198">
        <f>-20.776-100+100+1.87</f>
        <v>-18.905999999999995</v>
      </c>
      <c r="BX212" s="523">
        <f>-23.75-111.927+100+1.87-BW212</f>
        <v>-14.901000000000028</v>
      </c>
      <c r="BY212" s="523">
        <f>-41.271-111.927+111.452+2.947-SUM(BW212:BX212)</f>
        <v>-4.9919999999999831</v>
      </c>
      <c r="BZ212" s="1094">
        <f>-80.409-111.927+111.452+3.01-SUM(BW212:BY212)</f>
        <v>-39.075000000000003</v>
      </c>
      <c r="CA212" s="550">
        <f>SUM(BW212:BZ212)</f>
        <v>-77.874000000000009</v>
      </c>
      <c r="CB212" s="1198">
        <f>-6.098-50+100+0.792</f>
        <v>44.694000000000003</v>
      </c>
      <c r="CC212" s="523">
        <f>-12.508-550+100+6.265-CB212</f>
        <v>-500.93700000000007</v>
      </c>
      <c r="CD212" s="523">
        <f>-48.167-650+100+13.35-CC212-CB212</f>
        <v>-128.57399999999996</v>
      </c>
      <c r="CE212" s="1103">
        <f>-650+135-63.167+18.571+14.106-SUM(CB212:CD212)</f>
        <v>39.326999999999998</v>
      </c>
      <c r="CF212" s="550">
        <f>SUM(CB212:CE212)</f>
        <v>-545.49</v>
      </c>
      <c r="CG212" s="1102">
        <f>-14-50+150</f>
        <v>86</v>
      </c>
      <c r="CH212" s="523">
        <f>-19-50+150-0.99-CG212</f>
        <v>-5.9899999999999949</v>
      </c>
      <c r="CI212" s="523">
        <f>-19-50+150-1.455-CH212-CG212</f>
        <v>-0.46500000000000341</v>
      </c>
      <c r="CJ212" s="1094">
        <f>-59-50+150+7.389-SUM(CG212:CI212)</f>
        <v>-31.155999999999999</v>
      </c>
      <c r="CK212" s="550">
        <f>SUM(CG212:CJ212)</f>
        <v>48.389000000000003</v>
      </c>
      <c r="CL212" s="1102">
        <f>-55.901+50+0.975</f>
        <v>-4.9260000000000037</v>
      </c>
      <c r="CM212" s="523">
        <v>0</v>
      </c>
      <c r="CN212" s="523">
        <v>0</v>
      </c>
      <c r="CO212" s="1094">
        <v>0</v>
      </c>
      <c r="CP212" s="550">
        <f>SUM(CL212:CO212)</f>
        <v>-4.9260000000000037</v>
      </c>
      <c r="CQ212" s="1102">
        <v>0</v>
      </c>
      <c r="CR212" s="523">
        <v>0</v>
      </c>
      <c r="CS212" s="523">
        <v>0</v>
      </c>
      <c r="CT212" s="1094">
        <v>0</v>
      </c>
      <c r="CU212" s="550">
        <f>SUM(CQ212:CT212)</f>
        <v>0</v>
      </c>
      <c r="CV212" s="1102">
        <v>0</v>
      </c>
      <c r="CW212" s="523">
        <v>0</v>
      </c>
      <c r="CX212" s="523">
        <v>0</v>
      </c>
      <c r="CY212" s="1094">
        <v>0</v>
      </c>
      <c r="CZ212" s="550">
        <f>SUM(CV212:CY212)</f>
        <v>0</v>
      </c>
    </row>
    <row r="213" spans="1:104" ht="6.2" customHeight="1">
      <c r="A213" s="362"/>
      <c r="B213" s="362"/>
      <c r="C213" s="369"/>
      <c r="D213" s="362"/>
      <c r="E213" s="150"/>
      <c r="F213" s="150"/>
      <c r="G213" s="150"/>
      <c r="H213" s="150"/>
      <c r="I213" s="150"/>
      <c r="J213" s="150"/>
      <c r="K213" s="150"/>
      <c r="L213" s="150"/>
      <c r="M213" s="150"/>
      <c r="N213" s="150"/>
      <c r="O213" s="150"/>
      <c r="P213" s="150"/>
      <c r="Q213" s="150"/>
      <c r="R213" s="150"/>
      <c r="S213" s="150"/>
      <c r="T213" s="150"/>
      <c r="U213" s="150"/>
      <c r="V213" s="150"/>
      <c r="W213" s="150"/>
      <c r="X213" s="150"/>
      <c r="Y213" s="150"/>
      <c r="Z213" s="150"/>
      <c r="AA213" s="150"/>
      <c r="AB213" s="150"/>
      <c r="AC213" s="150"/>
      <c r="AD213" s="150"/>
      <c r="AE213" s="150"/>
      <c r="AF213" s="150"/>
      <c r="AG213" s="150"/>
      <c r="AH213" s="150"/>
      <c r="AI213" s="150"/>
      <c r="AJ213" s="150"/>
      <c r="AK213" s="150"/>
      <c r="AL213" s="150"/>
      <c r="AM213" s="150"/>
      <c r="AN213" s="150"/>
      <c r="AO213" s="150"/>
      <c r="AP213" s="150"/>
      <c r="AQ213" s="150"/>
      <c r="AR213" s="150"/>
      <c r="AS213" s="1112"/>
      <c r="AT213" s="150"/>
      <c r="AU213" s="150"/>
      <c r="AV213" s="1113"/>
      <c r="AW213" s="150"/>
      <c r="AX213" s="1112"/>
      <c r="AY213" s="150"/>
      <c r="AZ213" s="150"/>
      <c r="BA213" s="1113"/>
      <c r="BB213" s="150"/>
      <c r="BC213" s="1112"/>
      <c r="BD213" s="150"/>
      <c r="BE213" s="150"/>
      <c r="BF213" s="1171"/>
      <c r="BG213" s="381"/>
      <c r="BH213" s="1112"/>
      <c r="BI213" s="150"/>
      <c r="BJ213" s="150"/>
      <c r="BK213" s="1171"/>
      <c r="BL213" s="150"/>
      <c r="BM213" s="1112"/>
      <c r="BN213" s="150"/>
      <c r="BO213" s="150"/>
      <c r="BP213" s="1113"/>
      <c r="BQ213" s="150"/>
      <c r="BR213" s="1112"/>
      <c r="BS213" s="150"/>
      <c r="BT213" s="150"/>
      <c r="BU213" s="1113"/>
      <c r="BV213" s="150"/>
      <c r="BW213" s="1112"/>
      <c r="BX213" s="150"/>
      <c r="BY213" s="150"/>
      <c r="BZ213" s="1113"/>
      <c r="CA213" s="150"/>
      <c r="CB213" s="1112"/>
      <c r="CC213" s="150"/>
      <c r="CD213" s="594"/>
      <c r="CE213" s="1210"/>
      <c r="CF213" s="594"/>
      <c r="CG213" s="1214"/>
      <c r="CH213" s="594"/>
      <c r="CI213" s="594"/>
      <c r="CJ213" s="1210"/>
      <c r="CK213" s="594"/>
      <c r="CL213" s="1214"/>
      <c r="CM213" s="150"/>
      <c r="CN213" s="150"/>
      <c r="CO213" s="1113"/>
      <c r="CP213" s="150"/>
      <c r="CQ213" s="1112"/>
      <c r="CR213" s="150"/>
      <c r="CS213" s="150"/>
      <c r="CT213" s="1113"/>
      <c r="CU213" s="150"/>
      <c r="CV213" s="1112"/>
      <c r="CW213" s="150"/>
      <c r="CX213" s="150"/>
      <c r="CY213" s="1113"/>
      <c r="CZ213" s="150"/>
    </row>
    <row r="214" spans="1:104" ht="13.5" customHeight="1">
      <c r="A214" s="362"/>
      <c r="B214" s="362"/>
      <c r="C214" s="411" t="s">
        <v>436</v>
      </c>
      <c r="D214" s="362"/>
      <c r="E214" s="174"/>
      <c r="F214" s="174"/>
      <c r="G214" s="174"/>
      <c r="H214" s="174"/>
      <c r="I214" s="174"/>
      <c r="J214" s="111">
        <f t="shared" ref="J214:AM214" si="232">SUM(J209:J212)</f>
        <v>-48.097309000000003</v>
      </c>
      <c r="K214" s="111">
        <f t="shared" si="232"/>
        <v>-28.394309</v>
      </c>
      <c r="L214" s="111">
        <f t="shared" si="232"/>
        <v>-96.34055800000003</v>
      </c>
      <c r="M214" s="111">
        <f t="shared" si="232"/>
        <v>-723.00618499999996</v>
      </c>
      <c r="N214" s="111">
        <f t="shared" si="232"/>
        <v>-895.83836099999996</v>
      </c>
      <c r="O214" s="111">
        <f t="shared" si="232"/>
        <v>-84.346576999999996</v>
      </c>
      <c r="P214" s="111">
        <f t="shared" si="232"/>
        <v>-53.871086999999996</v>
      </c>
      <c r="Q214" s="111">
        <f t="shared" si="232"/>
        <v>-69.361732000000018</v>
      </c>
      <c r="R214" s="111">
        <f t="shared" si="232"/>
        <v>-60.002431999999999</v>
      </c>
      <c r="S214" s="111">
        <f t="shared" si="232"/>
        <v>-267.58182800000003</v>
      </c>
      <c r="T214" s="111">
        <f t="shared" si="232"/>
        <v>-104.16499999999999</v>
      </c>
      <c r="U214" s="111">
        <f t="shared" si="232"/>
        <v>-58.398000000000003</v>
      </c>
      <c r="V214" s="111">
        <f t="shared" si="232"/>
        <v>-270.827</v>
      </c>
      <c r="W214" s="111">
        <f t="shared" si="232"/>
        <v>-101.545</v>
      </c>
      <c r="X214" s="111">
        <f t="shared" si="232"/>
        <v>-534.93500000000006</v>
      </c>
      <c r="Y214" s="111">
        <f t="shared" si="232"/>
        <v>-123.27700000000002</v>
      </c>
      <c r="Z214" s="111">
        <f t="shared" si="232"/>
        <v>-208.59700000000001</v>
      </c>
      <c r="AA214" s="111">
        <f t="shared" si="232"/>
        <v>-82.359999999999985</v>
      </c>
      <c r="AB214" s="111">
        <f t="shared" si="232"/>
        <v>-113.24699999999999</v>
      </c>
      <c r="AC214" s="111">
        <f t="shared" si="232"/>
        <v>-527.48099999999999</v>
      </c>
      <c r="AD214" s="111">
        <f t="shared" si="232"/>
        <v>-82.490999999999985</v>
      </c>
      <c r="AE214" s="111">
        <f t="shared" si="232"/>
        <v>-123.78600000000002</v>
      </c>
      <c r="AF214" s="111">
        <f t="shared" si="232"/>
        <v>-110.04000000000002</v>
      </c>
      <c r="AG214" s="111">
        <f t="shared" si="232"/>
        <v>-278.154</v>
      </c>
      <c r="AH214" s="111">
        <f t="shared" si="232"/>
        <v>-594.47099999999989</v>
      </c>
      <c r="AI214" s="111">
        <f t="shared" si="232"/>
        <v>-1198.9299999999998</v>
      </c>
      <c r="AJ214" s="111">
        <f t="shared" si="232"/>
        <v>-62.313000000000045</v>
      </c>
      <c r="AK214" s="111">
        <f t="shared" si="232"/>
        <v>-471.78199999999993</v>
      </c>
      <c r="AL214" s="111">
        <f t="shared" si="232"/>
        <v>-323.29499999999996</v>
      </c>
      <c r="AM214" s="111">
        <f t="shared" si="232"/>
        <v>-2056.3199999999997</v>
      </c>
      <c r="AN214" s="111">
        <f t="shared" ref="AN214:BS214" si="233">SUM(AN209:AN212)</f>
        <v>-1644.2850000000001</v>
      </c>
      <c r="AO214" s="111">
        <f t="shared" si="233"/>
        <v>-470.55299999999994</v>
      </c>
      <c r="AP214" s="111">
        <f t="shared" si="233"/>
        <v>-1214.748</v>
      </c>
      <c r="AQ214" s="111">
        <f t="shared" si="233"/>
        <v>-218.95699999999991</v>
      </c>
      <c r="AR214" s="111">
        <f t="shared" si="233"/>
        <v>-3548.5430000000006</v>
      </c>
      <c r="AS214" s="872">
        <f t="shared" si="233"/>
        <v>-132.19999999999999</v>
      </c>
      <c r="AT214" s="112">
        <f t="shared" si="233"/>
        <v>-182.23599999999999</v>
      </c>
      <c r="AU214" s="112">
        <f t="shared" si="233"/>
        <v>-76.111000000000004</v>
      </c>
      <c r="AV214" s="873">
        <f t="shared" si="233"/>
        <v>-84.864999999999995</v>
      </c>
      <c r="AW214" s="111">
        <f t="shared" si="233"/>
        <v>-475.41200000000003</v>
      </c>
      <c r="AX214" s="872">
        <f t="shared" si="233"/>
        <v>-138.44099999999997</v>
      </c>
      <c r="AY214" s="112">
        <f t="shared" si="233"/>
        <v>-426.48400000000004</v>
      </c>
      <c r="AZ214" s="112">
        <f t="shared" si="233"/>
        <v>-98.195000000000022</v>
      </c>
      <c r="BA214" s="873">
        <f t="shared" si="233"/>
        <v>-670.62099999999987</v>
      </c>
      <c r="BB214" s="111">
        <f t="shared" si="233"/>
        <v>-1333.741</v>
      </c>
      <c r="BC214" s="872">
        <f t="shared" si="233"/>
        <v>-94.576999999999998</v>
      </c>
      <c r="BD214" s="112">
        <f t="shared" si="233"/>
        <v>-127.797</v>
      </c>
      <c r="BE214" s="112">
        <f t="shared" si="233"/>
        <v>-143.45200000000006</v>
      </c>
      <c r="BF214" s="960">
        <f t="shared" si="233"/>
        <v>-86.602000000000032</v>
      </c>
      <c r="BG214" s="371">
        <f t="shared" si="233"/>
        <v>-452.42800000000011</v>
      </c>
      <c r="BH214" s="872">
        <f t="shared" si="233"/>
        <v>-257.02200000000005</v>
      </c>
      <c r="BI214" s="112">
        <f t="shared" si="233"/>
        <v>-894.58100000000002</v>
      </c>
      <c r="BJ214" s="112">
        <f t="shared" si="233"/>
        <v>-45.551000000000101</v>
      </c>
      <c r="BK214" s="960">
        <f t="shared" si="233"/>
        <v>993.15900000000033</v>
      </c>
      <c r="BL214" s="111">
        <f t="shared" si="233"/>
        <v>-203.99499999999966</v>
      </c>
      <c r="BM214" s="872">
        <f t="shared" si="233"/>
        <v>-360.93999999999994</v>
      </c>
      <c r="BN214" s="112">
        <f t="shared" si="233"/>
        <v>-263.20600000000002</v>
      </c>
      <c r="BO214" s="112">
        <f t="shared" si="233"/>
        <v>-126.30999999999995</v>
      </c>
      <c r="BP214" s="873">
        <f t="shared" si="233"/>
        <v>-311.65100000000001</v>
      </c>
      <c r="BQ214" s="111">
        <f t="shared" si="233"/>
        <v>-1062.107</v>
      </c>
      <c r="BR214" s="872">
        <f t="shared" si="233"/>
        <v>-331.50200000000001</v>
      </c>
      <c r="BS214" s="112">
        <f t="shared" si="233"/>
        <v>-266.86599999999999</v>
      </c>
      <c r="BT214" s="112">
        <f t="shared" ref="BT214:CZ214" si="234">SUM(BT209:BT212)</f>
        <v>-118.69800000000002</v>
      </c>
      <c r="BU214" s="873">
        <f t="shared" si="234"/>
        <v>-720.99599999999987</v>
      </c>
      <c r="BV214" s="111">
        <f t="shared" si="234"/>
        <v>-1438.0619999999999</v>
      </c>
      <c r="BW214" s="872">
        <f t="shared" si="234"/>
        <v>-93.824999999999989</v>
      </c>
      <c r="BX214" s="112">
        <f t="shared" si="234"/>
        <v>-97.556000000000012</v>
      </c>
      <c r="BY214" s="112">
        <f t="shared" si="234"/>
        <v>-105.762</v>
      </c>
      <c r="BZ214" s="873">
        <f t="shared" si="234"/>
        <v>-144.553</v>
      </c>
      <c r="CA214" s="111">
        <f t="shared" si="234"/>
        <v>-441.69600000000003</v>
      </c>
      <c r="CB214" s="872">
        <f t="shared" si="234"/>
        <v>-32.08</v>
      </c>
      <c r="CC214" s="112">
        <f t="shared" si="234"/>
        <v>-639.87400000000002</v>
      </c>
      <c r="CD214" s="112">
        <f t="shared" si="234"/>
        <v>-273.5209999999999</v>
      </c>
      <c r="CE214" s="873">
        <f t="shared" si="234"/>
        <v>-79.643000000000029</v>
      </c>
      <c r="CF214" s="111">
        <f t="shared" si="234"/>
        <v>-1025.1180000000002</v>
      </c>
      <c r="CG214" s="872">
        <f t="shared" si="234"/>
        <v>-477.82799999999997</v>
      </c>
      <c r="CH214" s="112">
        <f t="shared" si="234"/>
        <v>-97.29800000000003</v>
      </c>
      <c r="CI214" s="112">
        <f t="shared" si="234"/>
        <v>-161.37399999999994</v>
      </c>
      <c r="CJ214" s="873">
        <f t="shared" si="234"/>
        <v>-182.39200000000002</v>
      </c>
      <c r="CK214" s="111">
        <f t="shared" si="234"/>
        <v>-918.89199999999994</v>
      </c>
      <c r="CL214" s="872">
        <f t="shared" ref="CL214" si="235">SUM(CL209:CL212)</f>
        <v>-227.72499999999999</v>
      </c>
      <c r="CM214" s="112">
        <f t="shared" si="234"/>
        <v>-250</v>
      </c>
      <c r="CN214" s="112">
        <f t="shared" si="234"/>
        <v>-250</v>
      </c>
      <c r="CO214" s="873">
        <f t="shared" si="234"/>
        <v>-250</v>
      </c>
      <c r="CP214" s="111">
        <f t="shared" si="234"/>
        <v>-977.72500000000002</v>
      </c>
      <c r="CQ214" s="872">
        <f t="shared" si="234"/>
        <v>-216.25</v>
      </c>
      <c r="CR214" s="112">
        <f t="shared" si="234"/>
        <v>-216.25</v>
      </c>
      <c r="CS214" s="112">
        <f t="shared" si="234"/>
        <v>-216.25</v>
      </c>
      <c r="CT214" s="873">
        <f t="shared" si="234"/>
        <v>-216.25</v>
      </c>
      <c r="CU214" s="111">
        <f t="shared" si="234"/>
        <v>-865</v>
      </c>
      <c r="CV214" s="872">
        <f t="shared" si="234"/>
        <v>-150</v>
      </c>
      <c r="CW214" s="112">
        <f t="shared" si="234"/>
        <v>-150</v>
      </c>
      <c r="CX214" s="112">
        <f t="shared" si="234"/>
        <v>-150</v>
      </c>
      <c r="CY214" s="873">
        <f t="shared" si="234"/>
        <v>-150</v>
      </c>
      <c r="CZ214" s="111">
        <f t="shared" si="234"/>
        <v>-600</v>
      </c>
    </row>
    <row r="215" spans="1:104" ht="6.2" customHeight="1">
      <c r="A215" s="362"/>
      <c r="B215" s="362"/>
      <c r="C215" s="411"/>
      <c r="D215" s="362"/>
      <c r="E215" s="76"/>
      <c r="F215" s="76"/>
      <c r="G215" s="76"/>
      <c r="H215" s="76"/>
      <c r="I215" s="76"/>
      <c r="J215" s="111"/>
      <c r="K215" s="111"/>
      <c r="L215" s="111"/>
      <c r="M215" s="111"/>
      <c r="N215" s="111"/>
      <c r="O215" s="111"/>
      <c r="P215" s="111"/>
      <c r="Q215" s="111"/>
      <c r="R215" s="111"/>
      <c r="S215" s="111"/>
      <c r="T215" s="111"/>
      <c r="U215" s="111"/>
      <c r="V215" s="111"/>
      <c r="W215" s="111"/>
      <c r="X215" s="111"/>
      <c r="Y215" s="111"/>
      <c r="Z215" s="111"/>
      <c r="AA215" s="111"/>
      <c r="AB215" s="111"/>
      <c r="AC215" s="111"/>
      <c r="AD215" s="111"/>
      <c r="AE215" s="111"/>
      <c r="AF215" s="111"/>
      <c r="AG215" s="111"/>
      <c r="AH215" s="111"/>
      <c r="AI215" s="111"/>
      <c r="AJ215" s="188"/>
      <c r="AK215" s="111"/>
      <c r="AL215" s="111"/>
      <c r="AM215" s="111"/>
      <c r="AN215" s="111"/>
      <c r="AO215" s="111"/>
      <c r="AP215" s="111"/>
      <c r="AQ215" s="111"/>
      <c r="AR215" s="111"/>
      <c r="AS215" s="872"/>
      <c r="AT215" s="112"/>
      <c r="AU215" s="112"/>
      <c r="AV215" s="873"/>
      <c r="AW215" s="111"/>
      <c r="AX215" s="872"/>
      <c r="AY215" s="112"/>
      <c r="AZ215" s="190"/>
      <c r="BA215" s="1149"/>
      <c r="BB215" s="111"/>
      <c r="BC215" s="872"/>
      <c r="BD215" s="112"/>
      <c r="BE215" s="112"/>
      <c r="BF215" s="960"/>
      <c r="BG215" s="371"/>
      <c r="BH215" s="1191"/>
      <c r="BI215" s="112"/>
      <c r="BJ215" s="112"/>
      <c r="BK215" s="873"/>
      <c r="BL215" s="111"/>
      <c r="BM215" s="872"/>
      <c r="BN215" s="112"/>
      <c r="BO215" s="112"/>
      <c r="BP215" s="873"/>
      <c r="BQ215" s="111"/>
      <c r="BR215" s="872"/>
      <c r="BS215" s="112"/>
      <c r="BT215" s="178"/>
      <c r="BU215" s="873"/>
      <c r="BV215" s="111"/>
      <c r="BW215" s="872"/>
      <c r="BX215" s="178"/>
      <c r="BY215" s="112"/>
      <c r="BZ215" s="873"/>
      <c r="CA215" s="111"/>
      <c r="CB215" s="872"/>
      <c r="CC215" s="112"/>
      <c r="CD215" s="112"/>
      <c r="CE215" s="873"/>
      <c r="CF215" s="111"/>
      <c r="CG215" s="872"/>
      <c r="CH215" s="112"/>
      <c r="CI215" s="112"/>
      <c r="CJ215" s="873"/>
      <c r="CK215" s="111"/>
      <c r="CL215" s="872"/>
      <c r="CM215" s="112"/>
      <c r="CN215" s="112"/>
      <c r="CO215" s="873"/>
      <c r="CP215" s="111"/>
      <c r="CQ215" s="872"/>
      <c r="CR215" s="112"/>
      <c r="CS215" s="112"/>
      <c r="CT215" s="873"/>
      <c r="CU215" s="111"/>
      <c r="CV215" s="872"/>
      <c r="CW215" s="112"/>
      <c r="CX215" s="112"/>
      <c r="CY215" s="873"/>
      <c r="CZ215" s="111"/>
    </row>
    <row r="216" spans="1:104" ht="13.5" customHeight="1">
      <c r="A216" s="411" t="s">
        <v>143</v>
      </c>
      <c r="B216" s="411"/>
      <c r="C216" s="411"/>
      <c r="D216" s="362"/>
      <c r="E216" s="76"/>
      <c r="F216" s="76"/>
      <c r="G216" s="76"/>
      <c r="H216" s="76"/>
      <c r="I216" s="76"/>
      <c r="J216" s="111"/>
      <c r="K216" s="111"/>
      <c r="L216" s="111"/>
      <c r="M216" s="111"/>
      <c r="N216" s="111"/>
      <c r="O216" s="111"/>
      <c r="P216" s="111"/>
      <c r="Q216" s="111"/>
      <c r="R216" s="111"/>
      <c r="S216" s="111"/>
      <c r="T216" s="111"/>
      <c r="U216" s="111"/>
      <c r="V216" s="111"/>
      <c r="W216" s="111"/>
      <c r="X216" s="111"/>
      <c r="Y216" s="111"/>
      <c r="Z216" s="111"/>
      <c r="AA216" s="111"/>
      <c r="AB216" s="111"/>
      <c r="AC216" s="111"/>
      <c r="AD216" s="111"/>
      <c r="AE216" s="111"/>
      <c r="AF216" s="111"/>
      <c r="AG216" s="111"/>
      <c r="AH216" s="111"/>
      <c r="AI216" s="111"/>
      <c r="AJ216" s="111"/>
      <c r="AK216" s="111"/>
      <c r="AL216" s="111"/>
      <c r="AM216" s="111"/>
      <c r="AN216" s="111"/>
      <c r="AO216" s="111"/>
      <c r="AP216" s="111"/>
      <c r="AQ216" s="111"/>
      <c r="AR216" s="111"/>
      <c r="AS216" s="872"/>
      <c r="AT216" s="112"/>
      <c r="AU216" s="112"/>
      <c r="AV216" s="873"/>
      <c r="AW216" s="111"/>
      <c r="AX216" s="872"/>
      <c r="AY216" s="112"/>
      <c r="AZ216" s="112"/>
      <c r="BA216" s="873"/>
      <c r="BB216" s="111"/>
      <c r="BC216" s="872"/>
      <c r="BD216" s="112"/>
      <c r="BE216" s="112"/>
      <c r="BF216" s="960"/>
      <c r="BG216" s="371"/>
      <c r="BH216" s="872"/>
      <c r="BI216" s="112"/>
      <c r="BJ216" s="112"/>
      <c r="BK216" s="873"/>
      <c r="BL216" s="111"/>
      <c r="BM216" s="872"/>
      <c r="BN216" s="112"/>
      <c r="BO216" s="112"/>
      <c r="BP216" s="873"/>
      <c r="BQ216" s="111"/>
      <c r="BR216" s="872"/>
      <c r="BS216" s="112"/>
      <c r="BT216" s="112"/>
      <c r="BU216" s="873"/>
      <c r="BV216" s="111"/>
      <c r="BW216" s="872"/>
      <c r="BX216" s="112"/>
      <c r="BY216" s="112"/>
      <c r="BZ216" s="873"/>
      <c r="CA216" s="111"/>
      <c r="CB216" s="872"/>
      <c r="CC216" s="112"/>
      <c r="CD216" s="112"/>
      <c r="CE216" s="873"/>
      <c r="CF216" s="111"/>
      <c r="CG216" s="872"/>
      <c r="CH216" s="112"/>
      <c r="CI216" s="112"/>
      <c r="CJ216" s="873"/>
      <c r="CK216" s="111"/>
      <c r="CL216" s="872"/>
      <c r="CM216" s="112"/>
      <c r="CN216" s="112"/>
      <c r="CO216" s="873"/>
      <c r="CP216" s="111"/>
      <c r="CQ216" s="872"/>
      <c r="CR216" s="112"/>
      <c r="CS216" s="112"/>
      <c r="CT216" s="873"/>
      <c r="CU216" s="111"/>
      <c r="CV216" s="872"/>
      <c r="CW216" s="112"/>
      <c r="CX216" s="112"/>
      <c r="CY216" s="873"/>
      <c r="CZ216" s="111"/>
    </row>
    <row r="217" spans="1:104" ht="13.5" customHeight="1">
      <c r="A217" s="362"/>
      <c r="B217" s="369" t="s">
        <v>149</v>
      </c>
      <c r="C217" s="369"/>
      <c r="D217" s="362"/>
      <c r="E217" s="94"/>
      <c r="F217" s="94"/>
      <c r="G217" s="94"/>
      <c r="H217" s="94"/>
      <c r="I217" s="94"/>
      <c r="J217" s="92"/>
      <c r="K217" s="92">
        <f>-3.405247-J217</f>
        <v>-3.4052470000000001</v>
      </c>
      <c r="L217" s="92">
        <f>-5.45372-K217-J217</f>
        <v>-2.0484729999999995</v>
      </c>
      <c r="M217" s="92">
        <f>+N217-L217-K217-J217</f>
        <v>-0.11954799999999999</v>
      </c>
      <c r="N217" s="92">
        <v>-5.5732679999999997</v>
      </c>
      <c r="O217" s="92">
        <v>0</v>
      </c>
      <c r="P217" s="92">
        <v>0</v>
      </c>
      <c r="Q217" s="92">
        <v>0</v>
      </c>
      <c r="R217" s="92">
        <v>0</v>
      </c>
      <c r="S217" s="92">
        <f>SUM(O217:R217)</f>
        <v>0</v>
      </c>
      <c r="T217" s="92">
        <v>0</v>
      </c>
      <c r="U217" s="92">
        <v>0</v>
      </c>
      <c r="V217" s="92">
        <v>0</v>
      </c>
      <c r="W217" s="92">
        <f>X217-SUM(T217:V217)</f>
        <v>0</v>
      </c>
      <c r="X217" s="92">
        <v>0</v>
      </c>
      <c r="Y217" s="92">
        <v>0</v>
      </c>
      <c r="Z217" s="92">
        <v>0</v>
      </c>
      <c r="AA217" s="92">
        <v>0</v>
      </c>
      <c r="AB217" s="101">
        <f>AC217-SUM(Y217:AA217)</f>
        <v>-857.36</v>
      </c>
      <c r="AC217" s="92">
        <f>62.59-919.95</f>
        <v>-857.36</v>
      </c>
      <c r="AD217" s="92">
        <v>-220.30799999999999</v>
      </c>
      <c r="AE217" s="92">
        <f>-594.633+181.185-AD217</f>
        <v>-193.14000000000004</v>
      </c>
      <c r="AF217" s="92">
        <f>-803.253+271.675-AE217-AD217</f>
        <v>-118.12999999999994</v>
      </c>
      <c r="AG217" s="101">
        <f>AH217-SUM(AD217:AF217)</f>
        <v>-21.694999999999936</v>
      </c>
      <c r="AH217" s="92">
        <f>-1082.378+529.105</f>
        <v>-553.27299999999991</v>
      </c>
      <c r="AI217" s="92">
        <v>997.43299999999999</v>
      </c>
      <c r="AJ217" s="92">
        <f>-276.945+1336.713-AI217</f>
        <v>62.335000000000036</v>
      </c>
      <c r="AK217" s="92">
        <f>1687.578-276.945-AJ217-AI217</f>
        <v>350.86500000000001</v>
      </c>
      <c r="AL217" s="92">
        <f t="shared" ref="AL217:AL226" si="236">AM217-AK217-AJ217-AI217</f>
        <v>-210.45000000000005</v>
      </c>
      <c r="AM217" s="92">
        <f>-487.395+1687.578</f>
        <v>1200.183</v>
      </c>
      <c r="AN217" s="92">
        <f>-209.605+392.055</f>
        <v>182.45000000000002</v>
      </c>
      <c r="AO217" s="92">
        <f>-209.605+392.055+1132.222-1114.652-AN217</f>
        <v>17.569999999999965</v>
      </c>
      <c r="AP217" s="92">
        <f>392.055-234.461+1441.863-1424.291-AO217-AN217</f>
        <v>-24.853999999999814</v>
      </c>
      <c r="AQ217" s="92">
        <f t="shared" ref="AQ217:AQ226" si="237">AR217-SUM(AN217:AP217)</f>
        <v>52.691000000000031</v>
      </c>
      <c r="AR217" s="92">
        <f>-289.423+499.709+1441.862-1424.291</f>
        <v>227.8570000000002</v>
      </c>
      <c r="AS217" s="1102">
        <v>0</v>
      </c>
      <c r="AT217" s="523">
        <f>-136.389-AS217</f>
        <v>-136.38900000000001</v>
      </c>
      <c r="AU217" s="523">
        <f>-261.389-AT217-AS217</f>
        <v>-125</v>
      </c>
      <c r="AV217" s="890">
        <f t="shared" ref="AV217:AV226" si="238">AW217-SUM(AS217:AU217)</f>
        <v>36.38900000000001</v>
      </c>
      <c r="AW217" s="523">
        <f>-261.389+36.389</f>
        <v>-225</v>
      </c>
      <c r="AX217" s="1102">
        <f>-240.495+125</f>
        <v>-115.495</v>
      </c>
      <c r="AY217" s="523">
        <f>-240.495+125-AX217</f>
        <v>0</v>
      </c>
      <c r="AZ217" s="523">
        <f>-240.495+309-AY217-AX217</f>
        <v>184</v>
      </c>
      <c r="BA217" s="890">
        <f t="shared" ref="BA217:BA226" si="239">BB217-SUM(AX217:AZ217)</f>
        <v>-997.12899999999991</v>
      </c>
      <c r="BB217" s="523">
        <f>-1323.264+394.64</f>
        <v>-928.62399999999991</v>
      </c>
      <c r="BC217" s="1102">
        <f>-140.454+151.005</f>
        <v>10.550999999999988</v>
      </c>
      <c r="BD217" s="523">
        <f>-141.461+202.4-BC217</f>
        <v>50.388000000000005</v>
      </c>
      <c r="BE217" s="523">
        <f>-614.982+456.055-BD217-BC217</f>
        <v>-219.86599999999996</v>
      </c>
      <c r="BF217" s="890">
        <f t="shared" ref="BF217:BF226" si="240">BG217-SUM(BC217:BE217)</f>
        <v>-50.092000000000041</v>
      </c>
      <c r="BG217" s="532">
        <f>-1494.782+1285.763</f>
        <v>-209.01900000000001</v>
      </c>
      <c r="BH217" s="1102">
        <f>-185.073+349.729</f>
        <v>164.65599999999998</v>
      </c>
      <c r="BI217" s="523">
        <f>-409.403+1200.153+87.115+7.078-BH217</f>
        <v>720.28700000000003</v>
      </c>
      <c r="BJ217" s="523">
        <f>-409.403+1341.913-SUM(BH217:BI217)</f>
        <v>47.567000000000007</v>
      </c>
      <c r="BK217" s="890">
        <f t="shared" ref="BK217:BK226" si="241">BL217-SUM(BH217:BJ217)</f>
        <v>-932.51</v>
      </c>
      <c r="BL217" s="523">
        <v>0</v>
      </c>
      <c r="BM217" s="1102">
        <f>73.428+148.725</f>
        <v>222.15299999999999</v>
      </c>
      <c r="BN217" s="523">
        <f>-19.39+73.428+148.725+55.355-BM217</f>
        <v>35.965000000000003</v>
      </c>
      <c r="BO217" s="523">
        <f>-19.349+73.428+148.725-SUM(BM217:BN217)</f>
        <v>-55.314000000000021</v>
      </c>
      <c r="BP217" s="1103">
        <f>-19.349+92.761+148.725-SUM(BM217:BO217)</f>
        <v>19.333000000000027</v>
      </c>
      <c r="BQ217" s="550">
        <f>SUM(BM217:BP217)</f>
        <v>222.137</v>
      </c>
      <c r="BR217" s="1102">
        <v>0</v>
      </c>
      <c r="BS217" s="523">
        <v>0</v>
      </c>
      <c r="BT217" s="523">
        <v>0</v>
      </c>
      <c r="BU217" s="1103">
        <v>0</v>
      </c>
      <c r="BV217" s="550">
        <f>SUM(BR217:BU217)</f>
        <v>0</v>
      </c>
      <c r="BW217" s="1102">
        <v>0</v>
      </c>
      <c r="BX217" s="523">
        <v>0</v>
      </c>
      <c r="BY217" s="523">
        <v>0</v>
      </c>
      <c r="BZ217" s="1103">
        <v>0</v>
      </c>
      <c r="CA217" s="550">
        <f>SUM(BW217:BZ217)</f>
        <v>0</v>
      </c>
      <c r="CB217" s="1102">
        <v>0</v>
      </c>
      <c r="CC217" s="523">
        <v>0</v>
      </c>
      <c r="CD217" s="523">
        <v>0</v>
      </c>
      <c r="CE217" s="1103">
        <v>0</v>
      </c>
      <c r="CF217" s="550">
        <f>SUM(CB217:CE217)</f>
        <v>0</v>
      </c>
      <c r="CG217" s="1102">
        <v>0</v>
      </c>
      <c r="CH217" s="523">
        <v>0</v>
      </c>
      <c r="CI217" s="523">
        <v>0</v>
      </c>
      <c r="CJ217" s="1103">
        <v>0</v>
      </c>
      <c r="CK217" s="550">
        <f>SUM(CG217:CJ217)</f>
        <v>0</v>
      </c>
      <c r="CL217" s="1102">
        <v>0</v>
      </c>
      <c r="CM217" s="523">
        <v>0</v>
      </c>
      <c r="CN217" s="523">
        <v>0</v>
      </c>
      <c r="CO217" s="1103">
        <v>0</v>
      </c>
      <c r="CP217" s="550">
        <f>SUM(CL217:CO217)</f>
        <v>0</v>
      </c>
      <c r="CQ217" s="1102">
        <v>0</v>
      </c>
      <c r="CR217" s="523">
        <v>0</v>
      </c>
      <c r="CS217" s="523">
        <v>0</v>
      </c>
      <c r="CT217" s="1103">
        <v>0</v>
      </c>
      <c r="CU217" s="550">
        <f>SUM(CQ217:CT217)</f>
        <v>0</v>
      </c>
      <c r="CV217" s="1102">
        <v>0</v>
      </c>
      <c r="CW217" s="523">
        <v>0</v>
      </c>
      <c r="CX217" s="523">
        <v>0</v>
      </c>
      <c r="CY217" s="1103">
        <v>0</v>
      </c>
      <c r="CZ217" s="550">
        <f>SUM(CV217:CY217)</f>
        <v>0</v>
      </c>
    </row>
    <row r="218" spans="1:104" ht="13.5" customHeight="1">
      <c r="A218" s="362"/>
      <c r="B218" s="369" t="s">
        <v>138</v>
      </c>
      <c r="C218" s="411"/>
      <c r="D218" s="362"/>
      <c r="E218" s="75"/>
      <c r="F218" s="75"/>
      <c r="G218" s="75"/>
      <c r="H218" s="75"/>
      <c r="I218" s="75"/>
      <c r="J218" s="92">
        <v>9.9661989999999996</v>
      </c>
      <c r="K218" s="92">
        <f>16.524568-J218</f>
        <v>6.558368999999999</v>
      </c>
      <c r="L218" s="92">
        <f>16.720081-K218-J218</f>
        <v>0.19551300000000182</v>
      </c>
      <c r="M218" s="92">
        <f>+N218-L218-K218-J218</f>
        <v>2.1119209999999988</v>
      </c>
      <c r="N218" s="92">
        <v>18.832001999999999</v>
      </c>
      <c r="O218" s="92">
        <v>0.182139</v>
      </c>
      <c r="P218" s="92">
        <f>1.129642-O218</f>
        <v>0.94750299999999998</v>
      </c>
      <c r="Q218" s="92">
        <f>4.53329-P218-O218</f>
        <v>3.403648</v>
      </c>
      <c r="R218" s="92">
        <f t="shared" ref="R218:R226" si="242">S218-O218-P218-Q218</f>
        <v>14.427733</v>
      </c>
      <c r="S218" s="92">
        <v>18.961023000000001</v>
      </c>
      <c r="T218" s="92">
        <v>16.256</v>
      </c>
      <c r="U218" s="92">
        <f>32.551-T218</f>
        <v>16.295000000000002</v>
      </c>
      <c r="V218" s="92">
        <f>46.769-T218-U218</f>
        <v>14.217999999999996</v>
      </c>
      <c r="W218" s="92">
        <f t="shared" ref="W218:W226" si="243">X218-SUM(T218:V218)</f>
        <v>21.860999999999997</v>
      </c>
      <c r="X218" s="92">
        <v>68.63</v>
      </c>
      <c r="Y218" s="92">
        <v>25.262</v>
      </c>
      <c r="Z218" s="92">
        <f>26.4-Y218</f>
        <v>1.1379999999999981</v>
      </c>
      <c r="AA218" s="92">
        <f>29.768-Y218-Z218</f>
        <v>3.3680000000000021</v>
      </c>
      <c r="AB218" s="92">
        <f>AC218-SUM(Y218:AA218)</f>
        <v>10.441000000000003</v>
      </c>
      <c r="AC218" s="92">
        <v>40.209000000000003</v>
      </c>
      <c r="AD218" s="92">
        <v>38.011000000000003</v>
      </c>
      <c r="AE218" s="92">
        <f>44.24-AD218</f>
        <v>6.2289999999999992</v>
      </c>
      <c r="AF218" s="92">
        <f>46.373-AE218-AD218</f>
        <v>2.1329999999999956</v>
      </c>
      <c r="AG218" s="92">
        <f t="shared" ref="AG218:AG226" si="244">AH218-SUM(AD218:AF218)</f>
        <v>-9.14</v>
      </c>
      <c r="AH218" s="92">
        <v>37.232999999999997</v>
      </c>
      <c r="AI218" s="92">
        <v>6.601</v>
      </c>
      <c r="AJ218" s="92">
        <f>9.895-AI218</f>
        <v>3.2939999999999996</v>
      </c>
      <c r="AK218" s="92">
        <f>10.43-AJ218-AI218</f>
        <v>0.53500000000000014</v>
      </c>
      <c r="AL218" s="92">
        <f t="shared" si="236"/>
        <v>1.5729999999999995</v>
      </c>
      <c r="AM218" s="92">
        <v>12.003</v>
      </c>
      <c r="AN218" s="92">
        <v>6.1580000000000004</v>
      </c>
      <c r="AO218" s="92">
        <f>1994.565-AN218</f>
        <v>1988.4070000000002</v>
      </c>
      <c r="AP218" s="92">
        <f>1995.921-AO218-AN218</f>
        <v>1.355999999999896</v>
      </c>
      <c r="AQ218" s="92">
        <f t="shared" si="237"/>
        <v>0.76900000000000546</v>
      </c>
      <c r="AR218" s="92">
        <v>1996.69</v>
      </c>
      <c r="AS218" s="1102">
        <v>1.028</v>
      </c>
      <c r="AT218" s="523">
        <f>1.518-AS218</f>
        <v>0.49</v>
      </c>
      <c r="AU218" s="523">
        <f>3.556-AT218-AS218</f>
        <v>2.0379999999999998</v>
      </c>
      <c r="AV218" s="890">
        <f t="shared" si="238"/>
        <v>0.16000000000000014</v>
      </c>
      <c r="AW218" s="523">
        <v>3.7160000000000002</v>
      </c>
      <c r="AX218" s="1102">
        <v>1.462</v>
      </c>
      <c r="AY218" s="523">
        <f>1.777-AX218</f>
        <v>0.31499999999999995</v>
      </c>
      <c r="AZ218" s="523">
        <f>3.648-AY218-AX218</f>
        <v>1.8710000000000002</v>
      </c>
      <c r="BA218" s="890">
        <f t="shared" si="239"/>
        <v>1.0390000000000001</v>
      </c>
      <c r="BB218" s="523">
        <v>4.6870000000000003</v>
      </c>
      <c r="BC218" s="1102">
        <v>2.6579999999999999</v>
      </c>
      <c r="BD218" s="523">
        <f>3.206-BC218</f>
        <v>0.54800000000000004</v>
      </c>
      <c r="BE218" s="523">
        <f>6.957-BD218-BC218</f>
        <v>3.7509999999999999</v>
      </c>
      <c r="BF218" s="970">
        <f t="shared" si="240"/>
        <v>1.1399999999999997</v>
      </c>
      <c r="BG218" s="532">
        <v>8.0969999999999995</v>
      </c>
      <c r="BH218" s="1102">
        <v>5.8760000000000003</v>
      </c>
      <c r="BI218" s="523">
        <f>6.156-BH218</f>
        <v>0.27999999999999936</v>
      </c>
      <c r="BJ218" s="523">
        <f>10.515-SUM(BH218:BI218)</f>
        <v>4.3590000000000009</v>
      </c>
      <c r="BK218" s="970">
        <f t="shared" si="241"/>
        <v>0</v>
      </c>
      <c r="BL218" s="523">
        <v>10.515000000000001</v>
      </c>
      <c r="BM218" s="1198">
        <v>0</v>
      </c>
      <c r="BN218" s="532">
        <v>0</v>
      </c>
      <c r="BO218" s="532">
        <v>0</v>
      </c>
      <c r="BP218" s="1167">
        <v>0</v>
      </c>
      <c r="BQ218" s="550">
        <f t="shared" ref="BQ218:BQ224" si="245">SUM(BM218:BP218)</f>
        <v>0</v>
      </c>
      <c r="BR218" s="1198">
        <v>0</v>
      </c>
      <c r="BS218" s="532">
        <v>0</v>
      </c>
      <c r="BT218" s="532">
        <f>4.465-SUM(BR218:BS218)</f>
        <v>4.4649999999999999</v>
      </c>
      <c r="BU218" s="1167">
        <f>5.614-SUM(BR218:BT218)</f>
        <v>1.149</v>
      </c>
      <c r="BV218" s="550">
        <f t="shared" ref="BV218:BV224" si="246">SUM(BR218:BU218)</f>
        <v>5.6139999999999999</v>
      </c>
      <c r="BW218" s="1198">
        <v>0.42299999999999999</v>
      </c>
      <c r="BX218" s="532">
        <f>0.423-BW218</f>
        <v>0</v>
      </c>
      <c r="BY218" s="523">
        <f>0.423-SUM(BW218:BX218)</f>
        <v>0</v>
      </c>
      <c r="BZ218" s="1103">
        <f>0.423-SUM(BW218:BY218)</f>
        <v>0</v>
      </c>
      <c r="CA218" s="550">
        <f t="shared" ref="CA218:CA224" si="247">SUM(BW218:BZ218)</f>
        <v>0.42299999999999999</v>
      </c>
      <c r="CB218" s="1102">
        <v>0</v>
      </c>
      <c r="CC218" s="523">
        <f>1.882-CB218</f>
        <v>1.8819999999999999</v>
      </c>
      <c r="CD218" s="523">
        <f>5.727-CC218-CB218</f>
        <v>3.8450000000000006</v>
      </c>
      <c r="CE218" s="1103">
        <f>15.751-SUM(CB218:CD218)</f>
        <v>10.023999999999999</v>
      </c>
      <c r="CF218" s="550">
        <f t="shared" ref="CF218:CF224" si="248">SUM(CB218:CE218)</f>
        <v>15.750999999999999</v>
      </c>
      <c r="CG218" s="1102">
        <v>7.4320000000000004</v>
      </c>
      <c r="CH218" s="523">
        <f>7.432-CG218</f>
        <v>0</v>
      </c>
      <c r="CI218" s="523">
        <f>9.492-CH218-CG218</f>
        <v>2.0600000000000005</v>
      </c>
      <c r="CJ218" s="1103">
        <f>11.145-SUM(CG218:CI218)</f>
        <v>1.6529999999999987</v>
      </c>
      <c r="CK218" s="550">
        <f t="shared" ref="CK218:CK224" si="249">SUM(CG218:CJ218)</f>
        <v>11.145</v>
      </c>
      <c r="CL218" s="1102">
        <v>15.311999999999999</v>
      </c>
      <c r="CM218" s="523">
        <v>0</v>
      </c>
      <c r="CN218" s="523">
        <v>0</v>
      </c>
      <c r="CO218" s="1103">
        <v>0</v>
      </c>
      <c r="CP218" s="550">
        <f t="shared" ref="CP218:CP224" si="250">SUM(CL218:CO218)</f>
        <v>15.311999999999999</v>
      </c>
      <c r="CQ218" s="1102">
        <v>0</v>
      </c>
      <c r="CR218" s="523">
        <v>0</v>
      </c>
      <c r="CS218" s="523">
        <v>0</v>
      </c>
      <c r="CT218" s="1103">
        <v>0</v>
      </c>
      <c r="CU218" s="550">
        <f t="shared" ref="CU218:CU224" si="251">SUM(CQ218:CT218)</f>
        <v>0</v>
      </c>
      <c r="CV218" s="1102">
        <v>0</v>
      </c>
      <c r="CW218" s="523">
        <v>0</v>
      </c>
      <c r="CX218" s="523">
        <v>0</v>
      </c>
      <c r="CY218" s="1103">
        <v>0</v>
      </c>
      <c r="CZ218" s="550">
        <f t="shared" ref="CZ218:CZ224" si="252">SUM(CV218:CY218)</f>
        <v>0</v>
      </c>
    </row>
    <row r="219" spans="1:104" ht="13.5" customHeight="1">
      <c r="A219" s="362"/>
      <c r="B219" s="369" t="s">
        <v>363</v>
      </c>
      <c r="C219" s="411"/>
      <c r="D219" s="362"/>
      <c r="E219" s="75"/>
      <c r="F219" s="75"/>
      <c r="G219" s="75"/>
      <c r="H219" s="75"/>
      <c r="I219" s="75"/>
      <c r="J219" s="92">
        <v>0</v>
      </c>
      <c r="K219" s="92">
        <v>0</v>
      </c>
      <c r="L219" s="92">
        <v>0</v>
      </c>
      <c r="M219" s="92">
        <v>0</v>
      </c>
      <c r="N219" s="92">
        <v>0</v>
      </c>
      <c r="O219" s="92">
        <v>0</v>
      </c>
      <c r="P219" s="92">
        <v>0</v>
      </c>
      <c r="Q219" s="92">
        <v>0</v>
      </c>
      <c r="R219" s="92">
        <v>0</v>
      </c>
      <c r="S219" s="92">
        <f>SUM(O219:R219)</f>
        <v>0</v>
      </c>
      <c r="T219" s="92">
        <v>0</v>
      </c>
      <c r="U219" s="92">
        <v>0</v>
      </c>
      <c r="V219" s="92">
        <f>U219-T219</f>
        <v>0</v>
      </c>
      <c r="W219" s="92">
        <f t="shared" si="243"/>
        <v>0</v>
      </c>
      <c r="X219" s="92"/>
      <c r="Y219" s="92">
        <v>0</v>
      </c>
      <c r="Z219" s="92">
        <v>0</v>
      </c>
      <c r="AA219" s="92"/>
      <c r="AB219" s="92">
        <v>0</v>
      </c>
      <c r="AC219" s="92"/>
      <c r="AD219" s="92">
        <v>-10.263</v>
      </c>
      <c r="AE219" s="92">
        <f>-180.656-AD219</f>
        <v>-170.393</v>
      </c>
      <c r="AF219" s="92">
        <f>-500.199-AE219-AD219</f>
        <v>-319.54300000000006</v>
      </c>
      <c r="AG219" s="92">
        <f t="shared" si="244"/>
        <v>-99.246999999999957</v>
      </c>
      <c r="AH219" s="92">
        <v>-599.44600000000003</v>
      </c>
      <c r="AI219" s="92">
        <v>0</v>
      </c>
      <c r="AJ219" s="92">
        <f>-136.755-AI219</f>
        <v>-136.755</v>
      </c>
      <c r="AK219" s="92">
        <f>-754.029-AJ219-AI219</f>
        <v>-617.274</v>
      </c>
      <c r="AL219" s="92">
        <f t="shared" si="236"/>
        <v>0</v>
      </c>
      <c r="AM219" s="92">
        <v>-754.029</v>
      </c>
      <c r="AN219" s="92">
        <v>0</v>
      </c>
      <c r="AO219" s="92">
        <v>0</v>
      </c>
      <c r="AP219" s="92">
        <f>-7.684-AO219-AN219</f>
        <v>-7.6840000000000002</v>
      </c>
      <c r="AQ219" s="92">
        <f t="shared" si="237"/>
        <v>-116.276</v>
      </c>
      <c r="AR219" s="92">
        <v>-123.96</v>
      </c>
      <c r="AS219" s="1102">
        <v>-2.3199999999999998</v>
      </c>
      <c r="AT219" s="523">
        <f>0-AS219</f>
        <v>2.3199999999999998</v>
      </c>
      <c r="AU219" s="523">
        <f>0-AT219-AS219</f>
        <v>0</v>
      </c>
      <c r="AV219" s="890">
        <f t="shared" si="238"/>
        <v>0</v>
      </c>
      <c r="AW219" s="523">
        <v>0</v>
      </c>
      <c r="AX219" s="1102">
        <v>0</v>
      </c>
      <c r="AY219" s="523">
        <v>0</v>
      </c>
      <c r="AZ219" s="523">
        <v>0</v>
      </c>
      <c r="BA219" s="1103">
        <v>0</v>
      </c>
      <c r="BB219" s="550">
        <f>SUM(AX219:BA219)</f>
        <v>0</v>
      </c>
      <c r="BC219" s="1102">
        <v>0</v>
      </c>
      <c r="BD219" s="523">
        <v>0</v>
      </c>
      <c r="BE219" s="523">
        <v>0</v>
      </c>
      <c r="BF219" s="1103">
        <v>0</v>
      </c>
      <c r="BG219" s="577">
        <f>SUM(BC219:BF219)</f>
        <v>0</v>
      </c>
      <c r="BH219" s="1102">
        <v>0</v>
      </c>
      <c r="BI219" s="523">
        <v>0</v>
      </c>
      <c r="BJ219" s="523">
        <v>0</v>
      </c>
      <c r="BK219" s="1103">
        <v>0</v>
      </c>
      <c r="BL219" s="550">
        <f>SUM(BH219:BK219)</f>
        <v>0</v>
      </c>
      <c r="BM219" s="1102">
        <v>0</v>
      </c>
      <c r="BN219" s="523">
        <v>0</v>
      </c>
      <c r="BO219" s="523">
        <v>0</v>
      </c>
      <c r="BP219" s="1103">
        <v>0</v>
      </c>
      <c r="BQ219" s="550">
        <f t="shared" si="245"/>
        <v>0</v>
      </c>
      <c r="BR219" s="1102">
        <v>0</v>
      </c>
      <c r="BS219" s="523">
        <v>0</v>
      </c>
      <c r="BT219" s="523">
        <v>0</v>
      </c>
      <c r="BU219" s="1103">
        <v>0</v>
      </c>
      <c r="BV219" s="550">
        <f t="shared" si="246"/>
        <v>0</v>
      </c>
      <c r="BW219" s="1102">
        <v>0</v>
      </c>
      <c r="BX219" s="523">
        <v>0</v>
      </c>
      <c r="BY219" s="523">
        <v>0</v>
      </c>
      <c r="BZ219" s="1103">
        <f>-66.505-BY219-BX219-BW219</f>
        <v>-66.504999999999995</v>
      </c>
      <c r="CA219" s="550">
        <f t="shared" si="247"/>
        <v>-66.504999999999995</v>
      </c>
      <c r="CB219" s="1102">
        <v>-5.173</v>
      </c>
      <c r="CC219" s="523">
        <f>-5.173-CB219</f>
        <v>0</v>
      </c>
      <c r="CD219" s="523">
        <f>-5.173-CC219-CB219</f>
        <v>0</v>
      </c>
      <c r="CE219" s="1103">
        <f>-5.173-SUM(CB219:CD219)</f>
        <v>0</v>
      </c>
      <c r="CF219" s="550">
        <f t="shared" si="248"/>
        <v>-5.173</v>
      </c>
      <c r="CG219" s="1102">
        <v>0</v>
      </c>
      <c r="CH219" s="523">
        <v>0</v>
      </c>
      <c r="CI219" s="523">
        <f>-90.305-CH219-CG219</f>
        <v>-90.305000000000007</v>
      </c>
      <c r="CJ219" s="1103">
        <f>-90.304-SUM(CG219:CI219)</f>
        <v>1.0000000000047748E-3</v>
      </c>
      <c r="CK219" s="550">
        <f t="shared" si="249"/>
        <v>-90.304000000000002</v>
      </c>
      <c r="CL219" s="1102">
        <v>-29.193000000000001</v>
      </c>
      <c r="CM219" s="523">
        <v>0</v>
      </c>
      <c r="CN219" s="523">
        <v>0</v>
      </c>
      <c r="CO219" s="1103">
        <v>0</v>
      </c>
      <c r="CP219" s="550">
        <f t="shared" si="250"/>
        <v>-29.193000000000001</v>
      </c>
      <c r="CQ219" s="1102">
        <v>0</v>
      </c>
      <c r="CR219" s="523">
        <v>0</v>
      </c>
      <c r="CS219" s="523">
        <v>0</v>
      </c>
      <c r="CT219" s="1103">
        <v>0</v>
      </c>
      <c r="CU219" s="550">
        <f t="shared" si="251"/>
        <v>0</v>
      </c>
      <c r="CV219" s="1102">
        <v>0</v>
      </c>
      <c r="CW219" s="523">
        <v>0</v>
      </c>
      <c r="CX219" s="523">
        <v>0</v>
      </c>
      <c r="CY219" s="1103">
        <v>0</v>
      </c>
      <c r="CZ219" s="550">
        <f t="shared" si="252"/>
        <v>0</v>
      </c>
    </row>
    <row r="220" spans="1:104" ht="13.5" customHeight="1">
      <c r="A220" s="362"/>
      <c r="B220" s="369" t="s">
        <v>331</v>
      </c>
      <c r="C220" s="411"/>
      <c r="D220" s="362"/>
      <c r="E220" s="75"/>
      <c r="F220" s="75"/>
      <c r="G220" s="75"/>
      <c r="H220" s="75"/>
      <c r="I220" s="75"/>
      <c r="J220" s="92"/>
      <c r="K220" s="92"/>
      <c r="L220" s="92"/>
      <c r="M220" s="92"/>
      <c r="N220" s="92"/>
      <c r="O220" s="92"/>
      <c r="P220" s="92"/>
      <c r="Q220" s="92"/>
      <c r="R220" s="92"/>
      <c r="S220" s="92"/>
      <c r="T220" s="92"/>
      <c r="U220" s="92"/>
      <c r="V220" s="92"/>
      <c r="W220" s="92"/>
      <c r="X220" s="92"/>
      <c r="Y220" s="92"/>
      <c r="Z220" s="92"/>
      <c r="AA220" s="92"/>
      <c r="AB220" s="92"/>
      <c r="AC220" s="92"/>
      <c r="AD220" s="92"/>
      <c r="AE220" s="92"/>
      <c r="AF220" s="92"/>
      <c r="AG220" s="92"/>
      <c r="AH220" s="92"/>
      <c r="AI220" s="92">
        <v>6.0960000000000001</v>
      </c>
      <c r="AJ220" s="92">
        <f>-64.231-AI220</f>
        <v>-70.326999999999998</v>
      </c>
      <c r="AK220" s="92">
        <f>-66.461-AJ220-AI220</f>
        <v>-2.2300000000000004</v>
      </c>
      <c r="AL220" s="92">
        <f t="shared" si="236"/>
        <v>0.59000000000000696</v>
      </c>
      <c r="AM220" s="92">
        <v>-65.870999999999995</v>
      </c>
      <c r="AN220" s="92">
        <v>-10.500999999999999</v>
      </c>
      <c r="AO220" s="92">
        <f>-21.429-AN220</f>
        <v>-10.927999999999999</v>
      </c>
      <c r="AP220" s="92">
        <f>-143.48-AO220-AN220</f>
        <v>-122.05099999999999</v>
      </c>
      <c r="AQ220" s="92">
        <f t="shared" si="237"/>
        <v>-6.3569999999999993</v>
      </c>
      <c r="AR220" s="92">
        <v>-149.83699999999999</v>
      </c>
      <c r="AS220" s="1102">
        <v>0</v>
      </c>
      <c r="AT220" s="523">
        <f>-2.694-AS220</f>
        <v>-2.694</v>
      </c>
      <c r="AU220" s="523">
        <f>-5.222-AT220-AS220</f>
        <v>-2.5280000000000005</v>
      </c>
      <c r="AV220" s="890">
        <f t="shared" si="238"/>
        <v>-1.6859999999999999</v>
      </c>
      <c r="AW220" s="523">
        <v>-6.9080000000000004</v>
      </c>
      <c r="AX220" s="1102">
        <v>7.3120000000000003</v>
      </c>
      <c r="AY220" s="523">
        <f>0.852-AX220</f>
        <v>-6.46</v>
      </c>
      <c r="AZ220" s="523">
        <f>1.343-AY220-AX220</f>
        <v>0.49099999999999966</v>
      </c>
      <c r="BA220" s="890">
        <f t="shared" si="239"/>
        <v>10.218</v>
      </c>
      <c r="BB220" s="523">
        <v>11.561</v>
      </c>
      <c r="BC220" s="1102">
        <v>3.5939999999999999</v>
      </c>
      <c r="BD220" s="523">
        <f>1.357-BC220</f>
        <v>-2.2370000000000001</v>
      </c>
      <c r="BE220" s="523">
        <f>-5.646-BD220-BC220</f>
        <v>-7.0030000000000001</v>
      </c>
      <c r="BF220" s="970">
        <f t="shared" si="240"/>
        <v>-5.8039999999999985</v>
      </c>
      <c r="BG220" s="532">
        <v>-11.45</v>
      </c>
      <c r="BH220" s="1102">
        <v>6.1580000000000004</v>
      </c>
      <c r="BI220" s="523">
        <f>5.234-BH220</f>
        <v>-0.92400000000000038</v>
      </c>
      <c r="BJ220" s="523">
        <f>28.983-SUM(BH220:BI220)</f>
        <v>23.749000000000002</v>
      </c>
      <c r="BK220" s="970">
        <f t="shared" si="241"/>
        <v>-1.0380000000000038</v>
      </c>
      <c r="BL220" s="532">
        <v>27.945</v>
      </c>
      <c r="BM220" s="1198">
        <v>12.512</v>
      </c>
      <c r="BN220" s="532">
        <f>1.796-BM220</f>
        <v>-10.716000000000001</v>
      </c>
      <c r="BO220" s="532">
        <f>8.331-SUM(BM220:BN220)</f>
        <v>6.5350000000000001</v>
      </c>
      <c r="BP220" s="1167">
        <f>-0.671-SUM(BM220:BO220)</f>
        <v>-9.0019999999999989</v>
      </c>
      <c r="BQ220" s="550">
        <f t="shared" si="245"/>
        <v>-0.67099999999999937</v>
      </c>
      <c r="BR220" s="1198">
        <v>-2.13</v>
      </c>
      <c r="BS220" s="532">
        <f>13.212-BR220</f>
        <v>15.341999999999999</v>
      </c>
      <c r="BT220" s="532">
        <f>11.9-SUM(BR220:BS220)</f>
        <v>-1.3119999999999994</v>
      </c>
      <c r="BU220" s="1167">
        <f>178.308-SUM(BR220:BT220)</f>
        <v>166.40799999999999</v>
      </c>
      <c r="BV220" s="550">
        <f t="shared" si="246"/>
        <v>178.30799999999999</v>
      </c>
      <c r="BW220" s="1198">
        <v>-180.239</v>
      </c>
      <c r="BX220" s="523">
        <f>-164.466-BW220</f>
        <v>15.772999999999996</v>
      </c>
      <c r="BY220" s="523">
        <f>-152.529-SUM(BW220:BX220)</f>
        <v>11.937000000000012</v>
      </c>
      <c r="BZ220" s="890">
        <f>-155.816-SUM(BW220:BY220)</f>
        <v>-3.2870000000000061</v>
      </c>
      <c r="CA220" s="550">
        <f t="shared" si="247"/>
        <v>-155.816</v>
      </c>
      <c r="CB220" s="1102">
        <v>-14.670999999999999</v>
      </c>
      <c r="CC220" s="523">
        <f>-31.375-CB220</f>
        <v>-16.704000000000001</v>
      </c>
      <c r="CD220" s="523">
        <f>-21.52-CC220-CB220</f>
        <v>9.8550000000000004</v>
      </c>
      <c r="CE220" s="1103">
        <f>-33.36-SUM(CB220:CD220)</f>
        <v>-11.84</v>
      </c>
      <c r="CF220" s="550">
        <f t="shared" si="248"/>
        <v>-33.36</v>
      </c>
      <c r="CG220" s="1102">
        <v>30.18</v>
      </c>
      <c r="CH220" s="523">
        <f>21.235-CG220</f>
        <v>-8.9450000000000003</v>
      </c>
      <c r="CI220" s="523">
        <f>32.409-CH220-CG220</f>
        <v>11.173999999999999</v>
      </c>
      <c r="CJ220" s="890">
        <f>34.872-SUM(CG220:CI220)</f>
        <v>2.463000000000001</v>
      </c>
      <c r="CK220" s="550">
        <f t="shared" si="249"/>
        <v>34.872</v>
      </c>
      <c r="CL220" s="1102">
        <v>21.202999999999999</v>
      </c>
      <c r="CM220" s="550">
        <f>'debt schedule'!CM133+'debt schedule'!CM136</f>
        <v>543.69900000000052</v>
      </c>
      <c r="CN220" s="550">
        <f>'debt schedule'!CN133+'debt schedule'!CN136</f>
        <v>0</v>
      </c>
      <c r="CO220" s="890">
        <f>'debt schedule'!CO133+'debt schedule'!CO136</f>
        <v>0</v>
      </c>
      <c r="CP220" s="550">
        <f t="shared" si="250"/>
        <v>564.9020000000005</v>
      </c>
      <c r="CQ220" s="889">
        <f>'debt schedule'!CQ133+'debt schedule'!CQ136</f>
        <v>0</v>
      </c>
      <c r="CR220" s="550">
        <f>'debt schedule'!CR133+'debt schedule'!CR136</f>
        <v>0</v>
      </c>
      <c r="CS220" s="550">
        <f>'debt schedule'!CS133+'debt schedule'!CS136</f>
        <v>0</v>
      </c>
      <c r="CT220" s="890">
        <f>'debt schedule'!CT133+'debt schedule'!CT136</f>
        <v>0</v>
      </c>
      <c r="CU220" s="550">
        <f t="shared" si="251"/>
        <v>0</v>
      </c>
      <c r="CV220" s="889">
        <f>'debt schedule'!CV133+'debt schedule'!CV136</f>
        <v>0</v>
      </c>
      <c r="CW220" s="550">
        <f>'debt schedule'!CW133+'debt schedule'!CW136</f>
        <v>0</v>
      </c>
      <c r="CX220" s="550">
        <f>'debt schedule'!CX133+'debt schedule'!CX136</f>
        <v>0</v>
      </c>
      <c r="CY220" s="890">
        <f>'debt schedule'!CY133+'debt schedule'!CY136</f>
        <v>0</v>
      </c>
      <c r="CZ220" s="550">
        <f t="shared" si="252"/>
        <v>0</v>
      </c>
    </row>
    <row r="221" spans="1:104" ht="13.5" customHeight="1">
      <c r="A221" s="369"/>
      <c r="B221" s="369" t="s">
        <v>332</v>
      </c>
      <c r="C221" s="411"/>
      <c r="D221" s="362"/>
      <c r="E221" s="75"/>
      <c r="F221" s="75"/>
      <c r="G221" s="75"/>
      <c r="H221" s="75"/>
      <c r="I221" s="75"/>
      <c r="J221" s="92">
        <v>0</v>
      </c>
      <c r="K221" s="92">
        <v>0</v>
      </c>
      <c r="L221" s="92">
        <v>0</v>
      </c>
      <c r="M221" s="92">
        <f>+N221-L221-K221-J221</f>
        <v>350</v>
      </c>
      <c r="N221" s="92">
        <v>350</v>
      </c>
      <c r="O221" s="92">
        <v>0</v>
      </c>
      <c r="P221" s="92">
        <v>0</v>
      </c>
      <c r="Q221" s="92">
        <v>25</v>
      </c>
      <c r="R221" s="92">
        <f t="shared" si="242"/>
        <v>0</v>
      </c>
      <c r="S221" s="92">
        <v>25</v>
      </c>
      <c r="T221" s="92">
        <v>0</v>
      </c>
      <c r="U221" s="92">
        <v>0</v>
      </c>
      <c r="V221" s="92">
        <f>20-T221-U221</f>
        <v>20</v>
      </c>
      <c r="W221" s="92">
        <f t="shared" si="243"/>
        <v>0</v>
      </c>
      <c r="X221" s="92">
        <v>20</v>
      </c>
      <c r="Y221" s="92">
        <v>0</v>
      </c>
      <c r="Z221" s="92">
        <v>0</v>
      </c>
      <c r="AA221" s="92"/>
      <c r="AB221" s="92">
        <f t="shared" ref="AB221:AB226" si="253">AC221-SUM(Y221:AA221)</f>
        <v>0</v>
      </c>
      <c r="AC221" s="92">
        <v>0</v>
      </c>
      <c r="AD221" s="92">
        <v>0</v>
      </c>
      <c r="AE221" s="92">
        <f>0-AD221</f>
        <v>0</v>
      </c>
      <c r="AF221" s="92">
        <v>0</v>
      </c>
      <c r="AG221" s="92">
        <v>0</v>
      </c>
      <c r="AH221" s="92">
        <f>SUM(AD221:AG221)</f>
        <v>0</v>
      </c>
      <c r="AI221" s="92">
        <v>0</v>
      </c>
      <c r="AJ221" s="92">
        <v>0</v>
      </c>
      <c r="AK221" s="92">
        <v>0</v>
      </c>
      <c r="AL221" s="92">
        <f t="shared" si="236"/>
        <v>1313.2449999999999</v>
      </c>
      <c r="AM221" s="92">
        <v>1313.2449999999999</v>
      </c>
      <c r="AN221" s="92">
        <v>400</v>
      </c>
      <c r="AO221" s="92">
        <f>1589.715-AN221</f>
        <v>1189.7149999999999</v>
      </c>
      <c r="AP221" s="92">
        <f>989.715-AO221-AN221-AO222</f>
        <v>0</v>
      </c>
      <c r="AQ221" s="92">
        <f t="shared" si="237"/>
        <v>0</v>
      </c>
      <c r="AR221" s="92">
        <f>989.715-AR222</f>
        <v>1589.7150000000001</v>
      </c>
      <c r="AS221" s="1102">
        <v>0</v>
      </c>
      <c r="AT221" s="523">
        <v>0</v>
      </c>
      <c r="AU221" s="523">
        <v>0</v>
      </c>
      <c r="AV221" s="890">
        <f t="shared" si="238"/>
        <v>0</v>
      </c>
      <c r="AW221" s="523">
        <v>0</v>
      </c>
      <c r="AX221" s="1102">
        <v>0</v>
      </c>
      <c r="AY221" s="523">
        <v>0</v>
      </c>
      <c r="AZ221" s="523">
        <f>598.992-AY221-AX221</f>
        <v>598.99199999999996</v>
      </c>
      <c r="BA221" s="890">
        <f t="shared" si="239"/>
        <v>600</v>
      </c>
      <c r="BB221" s="523">
        <v>1198.992</v>
      </c>
      <c r="BC221" s="1102">
        <v>0</v>
      </c>
      <c r="BD221" s="523">
        <v>0</v>
      </c>
      <c r="BE221" s="523">
        <v>0</v>
      </c>
      <c r="BF221" s="1103">
        <v>0</v>
      </c>
      <c r="BG221" s="577">
        <f>SUM(BC221:BF221)</f>
        <v>0</v>
      </c>
      <c r="BH221" s="1102">
        <v>0</v>
      </c>
      <c r="BI221" s="523">
        <v>0</v>
      </c>
      <c r="BJ221" s="523">
        <v>0</v>
      </c>
      <c r="BK221" s="1103">
        <v>0</v>
      </c>
      <c r="BL221" s="550">
        <f>SUM(BH221:BK221)</f>
        <v>0</v>
      </c>
      <c r="BM221" s="1102">
        <v>0</v>
      </c>
      <c r="BN221" s="523">
        <v>0</v>
      </c>
      <c r="BO221" s="523">
        <f>999.1-SUM(BM221:BN221)</f>
        <v>999.1</v>
      </c>
      <c r="BP221" s="1103">
        <f>999.1-SUM(BM221:BO221)</f>
        <v>0</v>
      </c>
      <c r="BQ221" s="550">
        <f t="shared" si="245"/>
        <v>999.1</v>
      </c>
      <c r="BR221" s="1102">
        <v>0</v>
      </c>
      <c r="BS221" s="523">
        <v>0</v>
      </c>
      <c r="BT221" s="550">
        <v>0</v>
      </c>
      <c r="BU221" s="1103">
        <v>0</v>
      </c>
      <c r="BV221" s="550">
        <f t="shared" si="246"/>
        <v>0</v>
      </c>
      <c r="BW221" s="1102">
        <v>0</v>
      </c>
      <c r="BX221" s="523">
        <v>0</v>
      </c>
      <c r="BY221" s="523">
        <v>0</v>
      </c>
      <c r="BZ221" s="1103">
        <v>0</v>
      </c>
      <c r="CA221" s="550">
        <f t="shared" si="247"/>
        <v>0</v>
      </c>
      <c r="CB221" s="1102">
        <v>0</v>
      </c>
      <c r="CC221" s="523">
        <v>0</v>
      </c>
      <c r="CD221" s="523">
        <v>0</v>
      </c>
      <c r="CE221" s="1103">
        <v>0</v>
      </c>
      <c r="CF221" s="550">
        <f t="shared" si="248"/>
        <v>0</v>
      </c>
      <c r="CG221" s="1102">
        <v>0</v>
      </c>
      <c r="CH221" s="523">
        <v>0</v>
      </c>
      <c r="CI221" s="523">
        <v>0</v>
      </c>
      <c r="CJ221" s="890">
        <f>'debt schedule'!CJ134</f>
        <v>0</v>
      </c>
      <c r="CK221" s="550">
        <f t="shared" si="249"/>
        <v>0</v>
      </c>
      <c r="CL221" s="1102">
        <v>0</v>
      </c>
      <c r="CM221" s="550">
        <f>'debt schedule'!CM134</f>
        <v>0</v>
      </c>
      <c r="CN221" s="550">
        <f>'debt schedule'!CN134</f>
        <v>0</v>
      </c>
      <c r="CO221" s="890">
        <f>'debt schedule'!CO134</f>
        <v>0</v>
      </c>
      <c r="CP221" s="550">
        <f t="shared" si="250"/>
        <v>0</v>
      </c>
      <c r="CQ221" s="889">
        <f>'debt schedule'!CQ134</f>
        <v>0</v>
      </c>
      <c r="CR221" s="550">
        <f>'debt schedule'!CR134</f>
        <v>0</v>
      </c>
      <c r="CS221" s="550">
        <f>'debt schedule'!CS134</f>
        <v>0</v>
      </c>
      <c r="CT221" s="890">
        <f>'debt schedule'!CT134</f>
        <v>0</v>
      </c>
      <c r="CU221" s="550">
        <f t="shared" si="251"/>
        <v>0</v>
      </c>
      <c r="CV221" s="889">
        <f>'debt schedule'!CV134</f>
        <v>0</v>
      </c>
      <c r="CW221" s="550">
        <f>'debt schedule'!CW134</f>
        <v>0</v>
      </c>
      <c r="CX221" s="550">
        <f>'debt schedule'!CX134</f>
        <v>0</v>
      </c>
      <c r="CY221" s="890">
        <f>'debt schedule'!CY134</f>
        <v>0</v>
      </c>
      <c r="CZ221" s="550">
        <f t="shared" si="252"/>
        <v>0</v>
      </c>
    </row>
    <row r="222" spans="1:104" ht="13.5" customHeight="1">
      <c r="A222" s="369"/>
      <c r="B222" s="369" t="s">
        <v>333</v>
      </c>
      <c r="C222" s="411"/>
      <c r="D222" s="362"/>
      <c r="E222" s="75"/>
      <c r="F222" s="75"/>
      <c r="G222" s="75"/>
      <c r="H222" s="75"/>
      <c r="I222" s="75"/>
      <c r="J222" s="92">
        <v>0</v>
      </c>
      <c r="K222" s="92">
        <f>-1.9-J222</f>
        <v>-1.9</v>
      </c>
      <c r="L222" s="92">
        <f>-1.9-K222-J222</f>
        <v>0</v>
      </c>
      <c r="M222" s="92">
        <f>+N222-L222-K222-J222</f>
        <v>0</v>
      </c>
      <c r="N222" s="92">
        <v>-1.9</v>
      </c>
      <c r="O222" s="92">
        <v>-16</v>
      </c>
      <c r="P222" s="92">
        <f>-16-O222</f>
        <v>0</v>
      </c>
      <c r="Q222" s="92">
        <v>0</v>
      </c>
      <c r="R222" s="92">
        <f t="shared" si="242"/>
        <v>0</v>
      </c>
      <c r="S222" s="92">
        <v>-16</v>
      </c>
      <c r="T222" s="92">
        <v>0</v>
      </c>
      <c r="U222" s="92">
        <v>0</v>
      </c>
      <c r="V222" s="92">
        <f>U222-T222</f>
        <v>0</v>
      </c>
      <c r="W222" s="92">
        <f t="shared" si="243"/>
        <v>0</v>
      </c>
      <c r="X222" s="92">
        <v>0</v>
      </c>
      <c r="Y222" s="92">
        <v>0</v>
      </c>
      <c r="Z222" s="92">
        <v>0</v>
      </c>
      <c r="AA222" s="92"/>
      <c r="AB222" s="92">
        <f t="shared" si="253"/>
        <v>0</v>
      </c>
      <c r="AC222" s="92">
        <v>0</v>
      </c>
      <c r="AD222" s="92">
        <v>0</v>
      </c>
      <c r="AE222" s="92">
        <v>0</v>
      </c>
      <c r="AF222" s="92">
        <f>-1.25-AE222-AD222</f>
        <v>-1.25</v>
      </c>
      <c r="AG222" s="92">
        <f t="shared" si="244"/>
        <v>0</v>
      </c>
      <c r="AH222" s="92">
        <v>-1.25</v>
      </c>
      <c r="AI222" s="92">
        <v>0</v>
      </c>
      <c r="AJ222" s="92">
        <v>0</v>
      </c>
      <c r="AK222" s="92">
        <v>0</v>
      </c>
      <c r="AL222" s="92">
        <v>0</v>
      </c>
      <c r="AM222" s="92">
        <f>SUM(AI222:AL222)</f>
        <v>0</v>
      </c>
      <c r="AN222" s="92">
        <v>0</v>
      </c>
      <c r="AO222" s="92">
        <f>-600-AN222</f>
        <v>-600</v>
      </c>
      <c r="AP222" s="92">
        <v>0</v>
      </c>
      <c r="AQ222" s="92">
        <f t="shared" si="237"/>
        <v>0</v>
      </c>
      <c r="AR222" s="92">
        <v>-600</v>
      </c>
      <c r="AS222" s="1102">
        <v>-175</v>
      </c>
      <c r="AT222" s="523">
        <f>-175-AS222</f>
        <v>0</v>
      </c>
      <c r="AU222" s="523">
        <f>-180.4-AT222-AS222</f>
        <v>-5.4000000000000057</v>
      </c>
      <c r="AV222" s="890">
        <f t="shared" si="238"/>
        <v>0</v>
      </c>
      <c r="AW222" s="523">
        <v>-180.4</v>
      </c>
      <c r="AX222" s="1102">
        <v>0</v>
      </c>
      <c r="AY222" s="523">
        <f>-6-AX222</f>
        <v>-6</v>
      </c>
      <c r="AZ222" s="523">
        <f>-6-AY222-AX222</f>
        <v>0</v>
      </c>
      <c r="BA222" s="890">
        <f t="shared" si="239"/>
        <v>0</v>
      </c>
      <c r="BB222" s="523">
        <v>-6</v>
      </c>
      <c r="BC222" s="1102">
        <v>0</v>
      </c>
      <c r="BD222" s="523">
        <v>0</v>
      </c>
      <c r="BE222" s="523">
        <v>0</v>
      </c>
      <c r="BF222" s="1103">
        <v>0</v>
      </c>
      <c r="BG222" s="577">
        <f>SUM(BC222:BF222)</f>
        <v>0</v>
      </c>
      <c r="BH222" s="1102">
        <v>0</v>
      </c>
      <c r="BI222" s="523">
        <v>0</v>
      </c>
      <c r="BJ222" s="523">
        <v>0</v>
      </c>
      <c r="BK222" s="970">
        <f t="shared" si="241"/>
        <v>-650</v>
      </c>
      <c r="BL222" s="523">
        <v>-650</v>
      </c>
      <c r="BM222" s="1198">
        <v>0</v>
      </c>
      <c r="BN222" s="532">
        <f>-250-BM222</f>
        <v>-250</v>
      </c>
      <c r="BO222" s="532">
        <f>-250-SUM(BM222:BN222)</f>
        <v>0</v>
      </c>
      <c r="BP222" s="1167">
        <f>-250-SUM(BM222:BO222)</f>
        <v>0</v>
      </c>
      <c r="BQ222" s="550">
        <f t="shared" si="245"/>
        <v>-250</v>
      </c>
      <c r="BR222" s="1198">
        <v>0</v>
      </c>
      <c r="BS222" s="532">
        <v>0</v>
      </c>
      <c r="BT222" s="532">
        <f>-3.3-SUM(BR222:BS222)</f>
        <v>-3.3</v>
      </c>
      <c r="BU222" s="1167">
        <f>-5.358-SUM(BR222:BT222)</f>
        <v>-2.0579999999999998</v>
      </c>
      <c r="BV222" s="550">
        <f t="shared" si="246"/>
        <v>-5.3579999999999997</v>
      </c>
      <c r="BW222" s="1198">
        <v>0</v>
      </c>
      <c r="BX222" s="532">
        <f>-8-BW222</f>
        <v>-8</v>
      </c>
      <c r="BY222" s="532">
        <f>-16.3-SUM(BW222:BX222)</f>
        <v>-8.3000000000000007</v>
      </c>
      <c r="BZ222" s="890">
        <f>-16.3-SUM(BW222:BY222)</f>
        <v>0</v>
      </c>
      <c r="CA222" s="550">
        <f t="shared" si="247"/>
        <v>-16.3</v>
      </c>
      <c r="CB222" s="1102">
        <v>0</v>
      </c>
      <c r="CC222" s="523">
        <v>0</v>
      </c>
      <c r="CD222" s="523">
        <v>0</v>
      </c>
      <c r="CE222" s="1103">
        <v>0</v>
      </c>
      <c r="CF222" s="550">
        <f t="shared" si="248"/>
        <v>0</v>
      </c>
      <c r="CG222" s="1102">
        <v>0</v>
      </c>
      <c r="CH222" s="523">
        <v>0</v>
      </c>
      <c r="CI222" s="523">
        <v>0</v>
      </c>
      <c r="CJ222" s="1103">
        <f>-600-SUM(CG222:CI222)</f>
        <v>-600</v>
      </c>
      <c r="CK222" s="550">
        <f t="shared" si="249"/>
        <v>-600</v>
      </c>
      <c r="CL222" s="1102">
        <v>0</v>
      </c>
      <c r="CM222" s="550">
        <f>'debt schedule'!CM135</f>
        <v>0</v>
      </c>
      <c r="CN222" s="550">
        <f>'debt schedule'!CN135</f>
        <v>0</v>
      </c>
      <c r="CO222" s="890">
        <f>'debt schedule'!CO135</f>
        <v>0</v>
      </c>
      <c r="CP222" s="550">
        <f t="shared" si="250"/>
        <v>0</v>
      </c>
      <c r="CQ222" s="889">
        <f>'debt schedule'!CQ135</f>
        <v>0</v>
      </c>
      <c r="CR222" s="550">
        <f>'debt schedule'!CR135</f>
        <v>0</v>
      </c>
      <c r="CS222" s="550">
        <f>'debt schedule'!CS135</f>
        <v>0</v>
      </c>
      <c r="CT222" s="890">
        <f>'debt schedule'!CT135</f>
        <v>0</v>
      </c>
      <c r="CU222" s="550">
        <f t="shared" si="251"/>
        <v>0</v>
      </c>
      <c r="CV222" s="889">
        <f>'debt schedule'!CV135</f>
        <v>0</v>
      </c>
      <c r="CW222" s="550">
        <f>'debt schedule'!CW135</f>
        <v>0</v>
      </c>
      <c r="CX222" s="550">
        <f>'debt schedule'!CX135</f>
        <v>0</v>
      </c>
      <c r="CY222" s="890">
        <f>'debt schedule'!CY135</f>
        <v>0</v>
      </c>
      <c r="CZ222" s="550">
        <f t="shared" si="252"/>
        <v>0</v>
      </c>
    </row>
    <row r="223" spans="1:104" ht="13.5" customHeight="1">
      <c r="A223" s="369"/>
      <c r="B223" s="369" t="s">
        <v>545</v>
      </c>
      <c r="C223" s="411"/>
      <c r="D223" s="362"/>
      <c r="E223" s="75"/>
      <c r="F223" s="75"/>
      <c r="G223" s="75"/>
      <c r="H223" s="75"/>
      <c r="I223" s="75"/>
      <c r="J223" s="92">
        <v>0</v>
      </c>
      <c r="K223" s="92">
        <v>0</v>
      </c>
      <c r="L223" s="92">
        <v>0</v>
      </c>
      <c r="M223" s="92">
        <v>0</v>
      </c>
      <c r="N223" s="92">
        <v>0</v>
      </c>
      <c r="O223" s="92">
        <v>0</v>
      </c>
      <c r="P223" s="92">
        <v>0</v>
      </c>
      <c r="Q223" s="92">
        <v>0</v>
      </c>
      <c r="R223" s="92">
        <v>0</v>
      </c>
      <c r="S223" s="92">
        <f>SUM(O223:R223)</f>
        <v>0</v>
      </c>
      <c r="T223" s="92">
        <v>0</v>
      </c>
      <c r="U223" s="92">
        <v>0</v>
      </c>
      <c r="V223" s="92">
        <f>U223-T223</f>
        <v>0</v>
      </c>
      <c r="W223" s="92">
        <f t="shared" si="243"/>
        <v>0</v>
      </c>
      <c r="X223" s="92">
        <v>0</v>
      </c>
      <c r="Y223" s="92">
        <v>0</v>
      </c>
      <c r="Z223" s="92">
        <v>0</v>
      </c>
      <c r="AA223" s="92"/>
      <c r="AB223" s="92">
        <f t="shared" si="253"/>
        <v>0</v>
      </c>
      <c r="AC223" s="92">
        <v>0</v>
      </c>
      <c r="AD223" s="92">
        <v>0</v>
      </c>
      <c r="AE223" s="92">
        <f>0-AD223</f>
        <v>0</v>
      </c>
      <c r="AF223" s="92">
        <v>0</v>
      </c>
      <c r="AG223" s="92">
        <v>0</v>
      </c>
      <c r="AH223" s="92">
        <f>SUM(AD223:AG223)</f>
        <v>0</v>
      </c>
      <c r="AI223" s="92">
        <v>0</v>
      </c>
      <c r="AJ223" s="92">
        <v>0</v>
      </c>
      <c r="AK223" s="92">
        <v>0</v>
      </c>
      <c r="AL223" s="92">
        <v>0</v>
      </c>
      <c r="AM223" s="92">
        <f>SUM(AI223:AL223)</f>
        <v>0</v>
      </c>
      <c r="AN223" s="92">
        <v>0</v>
      </c>
      <c r="AO223" s="92">
        <v>0</v>
      </c>
      <c r="AP223" s="92">
        <f>-AO223-AN223</f>
        <v>0</v>
      </c>
      <c r="AQ223" s="92">
        <f t="shared" si="237"/>
        <v>0</v>
      </c>
      <c r="AR223" s="92">
        <v>0</v>
      </c>
      <c r="AS223" s="1102">
        <v>0</v>
      </c>
      <c r="AT223" s="523">
        <v>0</v>
      </c>
      <c r="AU223" s="523">
        <v>0</v>
      </c>
      <c r="AV223" s="890">
        <f t="shared" si="238"/>
        <v>0</v>
      </c>
      <c r="AW223" s="523">
        <v>0</v>
      </c>
      <c r="AX223" s="1102">
        <v>0</v>
      </c>
      <c r="AY223" s="523">
        <v>0</v>
      </c>
      <c r="AZ223" s="523">
        <v>0</v>
      </c>
      <c r="BA223" s="890">
        <f t="shared" si="239"/>
        <v>0</v>
      </c>
      <c r="BB223" s="523">
        <v>0</v>
      </c>
      <c r="BC223" s="1102">
        <v>0</v>
      </c>
      <c r="BD223" s="523">
        <v>0</v>
      </c>
      <c r="BE223" s="523">
        <v>0</v>
      </c>
      <c r="BF223" s="1103">
        <v>0</v>
      </c>
      <c r="BG223" s="577">
        <f>SUM(BC223:BF223)</f>
        <v>0</v>
      </c>
      <c r="BH223" s="1102">
        <v>0</v>
      </c>
      <c r="BI223" s="523">
        <v>0</v>
      </c>
      <c r="BJ223" s="523">
        <v>0</v>
      </c>
      <c r="BK223" s="1103">
        <v>0</v>
      </c>
      <c r="BL223" s="550">
        <f>SUM(BH223:BK223)</f>
        <v>0</v>
      </c>
      <c r="BM223" s="1102">
        <v>0</v>
      </c>
      <c r="BN223" s="523">
        <v>0</v>
      </c>
      <c r="BO223" s="523">
        <v>0</v>
      </c>
      <c r="BP223" s="1103">
        <v>0</v>
      </c>
      <c r="BQ223" s="550">
        <f t="shared" si="245"/>
        <v>0</v>
      </c>
      <c r="BR223" s="1102">
        <v>0</v>
      </c>
      <c r="BS223" s="523">
        <v>0</v>
      </c>
      <c r="BT223" s="523">
        <v>0</v>
      </c>
      <c r="BU223" s="1103">
        <v>0</v>
      </c>
      <c r="BV223" s="550">
        <f t="shared" si="246"/>
        <v>0</v>
      </c>
      <c r="BW223" s="1102">
        <v>0</v>
      </c>
      <c r="BX223" s="523">
        <v>0</v>
      </c>
      <c r="BY223" s="532">
        <v>0</v>
      </c>
      <c r="BZ223" s="1103">
        <v>0</v>
      </c>
      <c r="CA223" s="550">
        <f t="shared" si="247"/>
        <v>0</v>
      </c>
      <c r="CB223" s="1102">
        <v>0</v>
      </c>
      <c r="CC223" s="523">
        <v>0</v>
      </c>
      <c r="CD223" s="523">
        <v>0</v>
      </c>
      <c r="CE223" s="1103">
        <v>0</v>
      </c>
      <c r="CF223" s="550">
        <f t="shared" si="248"/>
        <v>0</v>
      </c>
      <c r="CG223" s="1102">
        <v>0</v>
      </c>
      <c r="CH223" s="523">
        <v>0</v>
      </c>
      <c r="CI223" s="523">
        <v>0</v>
      </c>
      <c r="CJ223" s="1103">
        <v>0</v>
      </c>
      <c r="CK223" s="550">
        <f t="shared" si="249"/>
        <v>0</v>
      </c>
      <c r="CL223" s="1102">
        <v>0</v>
      </c>
      <c r="CM223" s="523">
        <v>0</v>
      </c>
      <c r="CN223" s="523">
        <v>0</v>
      </c>
      <c r="CO223" s="1103">
        <v>0</v>
      </c>
      <c r="CP223" s="550">
        <f t="shared" si="250"/>
        <v>0</v>
      </c>
      <c r="CQ223" s="1102">
        <v>0</v>
      </c>
      <c r="CR223" s="523">
        <v>0</v>
      </c>
      <c r="CS223" s="523">
        <v>0</v>
      </c>
      <c r="CT223" s="1103">
        <v>0</v>
      </c>
      <c r="CU223" s="550">
        <f t="shared" si="251"/>
        <v>0</v>
      </c>
      <c r="CV223" s="1102">
        <v>0</v>
      </c>
      <c r="CW223" s="523">
        <v>0</v>
      </c>
      <c r="CX223" s="523">
        <v>0</v>
      </c>
      <c r="CY223" s="1103">
        <v>0</v>
      </c>
      <c r="CZ223" s="550">
        <f t="shared" si="252"/>
        <v>0</v>
      </c>
    </row>
    <row r="224" spans="1:104" ht="13.5" customHeight="1">
      <c r="A224" s="369"/>
      <c r="B224" s="369" t="s">
        <v>247</v>
      </c>
      <c r="C224" s="411"/>
      <c r="D224" s="362"/>
      <c r="E224" s="75"/>
      <c r="F224" s="75"/>
      <c r="G224" s="75"/>
      <c r="H224" s="75"/>
      <c r="I224" s="75"/>
      <c r="J224" s="92">
        <v>-14.826055999999999</v>
      </c>
      <c r="K224" s="92">
        <f>-29.678296-J224</f>
        <v>-14.85224</v>
      </c>
      <c r="L224" s="92">
        <f>-44.528636-K224-J224</f>
        <v>-14.850339999999997</v>
      </c>
      <c r="M224" s="92">
        <f>+N224-L224-K224-J224</f>
        <v>-14.854221000000004</v>
      </c>
      <c r="N224" s="92">
        <v>-59.382857000000001</v>
      </c>
      <c r="O224" s="92">
        <v>-15.636915</v>
      </c>
      <c r="P224" s="92">
        <f>-31.278047-O224</f>
        <v>-15.641132000000001</v>
      </c>
      <c r="Q224" s="92">
        <f>-46.935912-P224-O224</f>
        <v>-15.657865000000003</v>
      </c>
      <c r="R224" s="92">
        <f t="shared" si="242"/>
        <v>-15.718034999999999</v>
      </c>
      <c r="S224" s="92">
        <v>-62.653947000000002</v>
      </c>
      <c r="T224" s="92">
        <v>-16.573</v>
      </c>
      <c r="U224" s="92">
        <f>-33.221-T224</f>
        <v>-16.647999999999996</v>
      </c>
      <c r="V224" s="92">
        <f>-53.901-T224-U224</f>
        <v>-20.680000000000007</v>
      </c>
      <c r="W224" s="92">
        <f t="shared" si="243"/>
        <v>-20.737000000000002</v>
      </c>
      <c r="X224" s="92">
        <v>-74.638000000000005</v>
      </c>
      <c r="Y224" s="92">
        <v>-64.08</v>
      </c>
      <c r="Z224" s="92">
        <f>-126.602-Y224</f>
        <v>-62.522000000000006</v>
      </c>
      <c r="AA224" s="92">
        <f>-188.875-Y224-Z224</f>
        <v>-62.272999999999996</v>
      </c>
      <c r="AB224" s="92">
        <f t="shared" si="253"/>
        <v>-20.87700000000001</v>
      </c>
      <c r="AC224" s="92">
        <v>-209.75200000000001</v>
      </c>
      <c r="AD224" s="92">
        <v>-100.87</v>
      </c>
      <c r="AE224" s="92">
        <f>-210.019-AD224</f>
        <v>-109.149</v>
      </c>
      <c r="AF224" s="92">
        <f>-395.793-AE224-AD224</f>
        <v>-185.774</v>
      </c>
      <c r="AG224" s="92">
        <f t="shared" si="244"/>
        <v>-182.02300000000002</v>
      </c>
      <c r="AH224" s="92">
        <v>-577.81600000000003</v>
      </c>
      <c r="AI224" s="92">
        <v>-181.155</v>
      </c>
      <c r="AJ224" s="92">
        <f>-365.836-AI224</f>
        <v>-184.68100000000001</v>
      </c>
      <c r="AK224" s="92">
        <f>-549.606-AJ224-AI224</f>
        <v>-183.76999999999995</v>
      </c>
      <c r="AL224" s="92">
        <f t="shared" si="236"/>
        <v>-176.53299999999999</v>
      </c>
      <c r="AM224" s="92">
        <v>-726.13900000000001</v>
      </c>
      <c r="AN224" s="92">
        <v>-176.55600000000001</v>
      </c>
      <c r="AO224" s="92">
        <f>-327.38-AN224</f>
        <v>-150.82399999999998</v>
      </c>
      <c r="AP224" s="92">
        <f>-493.002-AO224-AN224</f>
        <v>-165.62199999999999</v>
      </c>
      <c r="AQ224" s="92">
        <f t="shared" si="237"/>
        <v>-165.04900000000009</v>
      </c>
      <c r="AR224" s="92">
        <v>-658.05100000000004</v>
      </c>
      <c r="AS224" s="1102">
        <v>-110.514</v>
      </c>
      <c r="AT224" s="523">
        <f>-221.127-AS224</f>
        <v>-110.61300000000001</v>
      </c>
      <c r="AU224" s="523">
        <f>-332.096-AT224-AS224</f>
        <v>-110.96900000000001</v>
      </c>
      <c r="AV224" s="890">
        <f t="shared" si="238"/>
        <v>-111.01299999999998</v>
      </c>
      <c r="AW224" s="523">
        <v>-443.10899999999998</v>
      </c>
      <c r="AX224" s="1102">
        <v>-114.193</v>
      </c>
      <c r="AY224" s="523">
        <f>-228.465-AX224</f>
        <v>-114.27200000000001</v>
      </c>
      <c r="AZ224" s="523">
        <f>-342.863-AY224-AX224</f>
        <v>-114.39800000000001</v>
      </c>
      <c r="BA224" s="890">
        <f t="shared" si="239"/>
        <v>-114.41899999999998</v>
      </c>
      <c r="BB224" s="523">
        <v>-457.28199999999998</v>
      </c>
      <c r="BC224" s="1102">
        <v>-115.233</v>
      </c>
      <c r="BD224" s="523">
        <f>-230.561-BC224</f>
        <v>-115.328</v>
      </c>
      <c r="BE224" s="523">
        <f>-346.005-BD224-BC224</f>
        <v>-115.44399999999999</v>
      </c>
      <c r="BF224" s="970">
        <f t="shared" si="240"/>
        <v>-115.51299999999998</v>
      </c>
      <c r="BG224" s="532">
        <v>-461.51799999999997</v>
      </c>
      <c r="BH224" s="1102">
        <v>-116.325</v>
      </c>
      <c r="BI224" s="523">
        <f>-232.766-BH224</f>
        <v>-116.44099999999999</v>
      </c>
      <c r="BJ224" s="523">
        <f>-349.538-SUM(BH224:BI224)</f>
        <v>-116.77200000000002</v>
      </c>
      <c r="BK224" s="970">
        <f t="shared" si="241"/>
        <v>-116.82299999999998</v>
      </c>
      <c r="BL224" s="523">
        <v>-466.36099999999999</v>
      </c>
      <c r="BM224" s="1198">
        <v>-117.61799999999999</v>
      </c>
      <c r="BN224" s="532">
        <f>-235.28-BM224</f>
        <v>-117.66200000000001</v>
      </c>
      <c r="BO224" s="532">
        <f>-353.155-SUM(BM224:BN224)</f>
        <v>-117.87499999999997</v>
      </c>
      <c r="BP224" s="1167">
        <f>-471.028-SUM(BM224:BO224)</f>
        <v>-117.87300000000005</v>
      </c>
      <c r="BQ224" s="550">
        <f t="shared" si="245"/>
        <v>-471.02800000000002</v>
      </c>
      <c r="BR224" s="1198">
        <v>-118.68</v>
      </c>
      <c r="BS224" s="532">
        <f>-237.369-BR224</f>
        <v>-118.68899999999999</v>
      </c>
      <c r="BT224" s="532">
        <f>-356.23-SUM(BR224:BS224)</f>
        <v>-118.86100000000002</v>
      </c>
      <c r="BU224" s="1167">
        <f>-475.123-SUM(BR224:BT224)</f>
        <v>-118.89299999999997</v>
      </c>
      <c r="BV224" s="550">
        <f t="shared" si="246"/>
        <v>-475.12299999999999</v>
      </c>
      <c r="BW224" s="1198">
        <v>-119.712</v>
      </c>
      <c r="BX224" s="523">
        <f>-239.476-BW224</f>
        <v>-119.764</v>
      </c>
      <c r="BY224" s="532">
        <f>-359.461-SUM(BW224:BX224)</f>
        <v>-119.98500000000001</v>
      </c>
      <c r="BZ224" s="1103">
        <f>-479.432-SUM(BW224:BY224)</f>
        <v>-119.971</v>
      </c>
      <c r="CA224" s="550">
        <f t="shared" si="247"/>
        <v>-479.43200000000002</v>
      </c>
      <c r="CB224" s="1102">
        <v>-120.15300000000001</v>
      </c>
      <c r="CC224" s="523">
        <f>-240.302-CB224</f>
        <v>-120.14899999999999</v>
      </c>
      <c r="CD224" s="523">
        <f>-360.675-CC224-CB224</f>
        <v>-120.373</v>
      </c>
      <c r="CE224" s="1103">
        <f>-481.083-SUM(CB224:CD224)</f>
        <v>-120.40800000000002</v>
      </c>
      <c r="CF224" s="550">
        <f t="shared" si="248"/>
        <v>-481.08300000000003</v>
      </c>
      <c r="CG224" s="1102">
        <v>-121.303</v>
      </c>
      <c r="CH224" s="523">
        <f>-242.704-CG224</f>
        <v>-121.40100000000001</v>
      </c>
      <c r="CI224" s="523">
        <f>-364.302-CH224-CG224</f>
        <v>-121.59800000000001</v>
      </c>
      <c r="CJ224" s="1103">
        <f>-485.321-SUM(CG224:CI224)</f>
        <v>-121.01900000000001</v>
      </c>
      <c r="CK224" s="550">
        <f t="shared" si="249"/>
        <v>-485.32100000000003</v>
      </c>
      <c r="CL224" s="1102">
        <v>-121.78700000000001</v>
      </c>
      <c r="CM224" s="550">
        <f>-CM65*CM73</f>
        <v>-120.013544435</v>
      </c>
      <c r="CN224" s="550">
        <f>-CN65*CN73</f>
        <v>-120.013544435</v>
      </c>
      <c r="CO224" s="890">
        <f>-CO65*CO73</f>
        <v>-120.013544435</v>
      </c>
      <c r="CP224" s="550">
        <f t="shared" si="250"/>
        <v>-481.82763330499995</v>
      </c>
      <c r="CQ224" s="889">
        <f>-CQ65*CQ73</f>
        <v>-120.013544435</v>
      </c>
      <c r="CR224" s="550">
        <f>-CR65*CR73</f>
        <v>-120.013544435</v>
      </c>
      <c r="CS224" s="550">
        <f>-CS65*CS73</f>
        <v>-120.013544435</v>
      </c>
      <c r="CT224" s="890">
        <f>-CT65*CT73</f>
        <v>-120.013544435</v>
      </c>
      <c r="CU224" s="550">
        <f t="shared" si="251"/>
        <v>-480.05417774</v>
      </c>
      <c r="CV224" s="889">
        <f>-CV65*CV73</f>
        <v>-120.013544435</v>
      </c>
      <c r="CW224" s="550">
        <f>-CW65*CW73</f>
        <v>-120.013544435</v>
      </c>
      <c r="CX224" s="550">
        <f>-CX65*CX73</f>
        <v>-120.013544435</v>
      </c>
      <c r="CY224" s="890">
        <f>-CY65*CY73</f>
        <v>-120.013544435</v>
      </c>
      <c r="CZ224" s="550">
        <f t="shared" si="252"/>
        <v>-480.05417774</v>
      </c>
    </row>
    <row r="225" spans="1:105" ht="13.5" customHeight="1">
      <c r="A225" s="369"/>
      <c r="B225" s="369" t="s">
        <v>483</v>
      </c>
      <c r="C225" s="411"/>
      <c r="D225" s="362"/>
      <c r="E225" s="75"/>
      <c r="F225" s="75"/>
      <c r="G225" s="75"/>
      <c r="H225" s="75"/>
      <c r="I225" s="75"/>
      <c r="J225" s="92">
        <v>-109.074</v>
      </c>
      <c r="K225" s="92">
        <f>-133.476-J225</f>
        <v>-24.402000000000001</v>
      </c>
      <c r="L225" s="92">
        <f>-143.57-K225-J225</f>
        <v>-10.093999999999994</v>
      </c>
      <c r="M225" s="92">
        <f>+N225-L225-K225-J225</f>
        <v>-3.1311000000000035</v>
      </c>
      <c r="N225" s="92">
        <v>-146.7011</v>
      </c>
      <c r="O225" s="92">
        <v>-49.293999999999997</v>
      </c>
      <c r="P225" s="92">
        <f>-59.134425-O225</f>
        <v>-9.8404250000000033</v>
      </c>
      <c r="Q225" s="92">
        <f>-60.736724-P225-O225</f>
        <v>-1.6022990000000021</v>
      </c>
      <c r="R225" s="92">
        <f t="shared" si="242"/>
        <v>-2.5810759999999959</v>
      </c>
      <c r="S225" s="92">
        <v>-63.317799999999998</v>
      </c>
      <c r="T225" s="92">
        <v>-49.387</v>
      </c>
      <c r="U225" s="92">
        <f>-56.963-T225</f>
        <v>-7.5760000000000005</v>
      </c>
      <c r="V225" s="92">
        <f>-71.775-T225-U225</f>
        <v>-14.812000000000005</v>
      </c>
      <c r="W225" s="92">
        <f t="shared" si="243"/>
        <v>-13.082999999999998</v>
      </c>
      <c r="X225" s="92">
        <v>-84.858000000000004</v>
      </c>
      <c r="Y225" s="92">
        <v>-2.181</v>
      </c>
      <c r="Z225" s="92">
        <f>-29.772-Y225</f>
        <v>-27.590999999999998</v>
      </c>
      <c r="AA225" s="92">
        <f>-80.639-Y225-Z225</f>
        <v>-50.867000000000004</v>
      </c>
      <c r="AB225" s="92">
        <f t="shared" si="253"/>
        <v>-9.2469999999999857</v>
      </c>
      <c r="AC225" s="92">
        <v>-89.885999999999996</v>
      </c>
      <c r="AD225" s="92">
        <v>-50.142000000000003</v>
      </c>
      <c r="AE225" s="92">
        <f>-81.678-AD225</f>
        <v>-31.535999999999994</v>
      </c>
      <c r="AF225" s="92">
        <f>-151.411-AE225-AD225</f>
        <v>-69.733000000000004</v>
      </c>
      <c r="AG225" s="92">
        <f t="shared" si="244"/>
        <v>-23.298000000000002</v>
      </c>
      <c r="AH225" s="92">
        <v>-174.709</v>
      </c>
      <c r="AI225" s="92">
        <v>-105.6</v>
      </c>
      <c r="AJ225" s="92">
        <f>-149.857-AI225</f>
        <v>-44.257000000000005</v>
      </c>
      <c r="AK225" s="92">
        <f>-231.52-AJ225-AI225</f>
        <v>-81.663000000000011</v>
      </c>
      <c r="AL225" s="92">
        <f t="shared" si="236"/>
        <v>-31.566000000000003</v>
      </c>
      <c r="AM225" s="92">
        <v>-263.08600000000001</v>
      </c>
      <c r="AN225" s="92">
        <v>-91.992999999999995</v>
      </c>
      <c r="AO225" s="92">
        <f>-153.218-AN225</f>
        <v>-61.224999999999994</v>
      </c>
      <c r="AP225" s="92">
        <f>-252.569-AO225-AN225</f>
        <v>-99.350999999999999</v>
      </c>
      <c r="AQ225" s="92">
        <f t="shared" si="237"/>
        <v>-22.506</v>
      </c>
      <c r="AR225" s="92">
        <v>-275.07499999999999</v>
      </c>
      <c r="AS225" s="1102">
        <v>-49.338999999999999</v>
      </c>
      <c r="AT225" s="523">
        <f>-83.223-AS225</f>
        <v>-33.884</v>
      </c>
      <c r="AU225" s="523">
        <f>-186.104-AT225-AS225</f>
        <v>-102.88100000000003</v>
      </c>
      <c r="AV225" s="890">
        <f t="shared" si="238"/>
        <v>-4.1289999999999623</v>
      </c>
      <c r="AW225" s="523">
        <v>-190.233</v>
      </c>
      <c r="AX225" s="1102">
        <v>-0.29399999999999998</v>
      </c>
      <c r="AY225" s="523">
        <f>-10.511-AX225</f>
        <v>-10.216999999999999</v>
      </c>
      <c r="AZ225" s="523">
        <f>-42.723-AY225-AX225</f>
        <v>-32.212000000000003</v>
      </c>
      <c r="BA225" s="890">
        <f t="shared" si="239"/>
        <v>-12.657000000000004</v>
      </c>
      <c r="BB225" s="523">
        <v>-55.38</v>
      </c>
      <c r="BC225" s="1102">
        <v>-29.693999999999999</v>
      </c>
      <c r="BD225" s="523">
        <f>-43.272-BC225</f>
        <v>-13.577999999999999</v>
      </c>
      <c r="BE225" s="523">
        <f>-55.855-BD225-BC225</f>
        <v>-12.583000000000002</v>
      </c>
      <c r="BF225" s="970">
        <f t="shared" si="240"/>
        <v>-5.8649999999999949</v>
      </c>
      <c r="BG225" s="532">
        <v>-61.72</v>
      </c>
      <c r="BH225" s="1102">
        <v>-39.856999999999999</v>
      </c>
      <c r="BI225" s="523">
        <f>-52.812-BH225</f>
        <v>-12.954999999999998</v>
      </c>
      <c r="BJ225" s="523">
        <f>-66.562-SUM(BH225:BI225)</f>
        <v>-13.75</v>
      </c>
      <c r="BK225" s="970">
        <f t="shared" si="241"/>
        <v>-8.2860000000000014</v>
      </c>
      <c r="BL225" s="523">
        <v>-74.847999999999999</v>
      </c>
      <c r="BM225" s="1198">
        <v>-34.594000000000001</v>
      </c>
      <c r="BN225" s="532">
        <f>-57.266-BM225</f>
        <v>-22.671999999999997</v>
      </c>
      <c r="BO225" s="532">
        <f>-63.318-SUM(BM225:BN225)</f>
        <v>-6.0519999999999996</v>
      </c>
      <c r="BP225" s="1167">
        <f>-76.798-SUM(BM225:BO225)</f>
        <v>-13.480000000000004</v>
      </c>
      <c r="BQ225" s="550">
        <f>SUM(BM225:BP225)</f>
        <v>-76.798000000000002</v>
      </c>
      <c r="BR225" s="1198">
        <v>-24.794</v>
      </c>
      <c r="BS225" s="532">
        <f>-37.877-BR225</f>
        <v>-13.083000000000002</v>
      </c>
      <c r="BT225" s="532">
        <f>-51.401-SUM(BR225:BS225)</f>
        <v>-13.524000000000001</v>
      </c>
      <c r="BU225" s="1167">
        <f>-63.705-SUM(BR225:BT225)</f>
        <v>-12.303999999999995</v>
      </c>
      <c r="BV225" s="550">
        <f>SUM(BR225:BU225)</f>
        <v>-63.704999999999998</v>
      </c>
      <c r="BW225" s="1198">
        <v>-24.98</v>
      </c>
      <c r="BX225" s="532">
        <f>-39.347-BW225</f>
        <v>-14.367000000000001</v>
      </c>
      <c r="BY225" s="532">
        <f>-56.085-SUM(BW225:BX225)</f>
        <v>-16.738</v>
      </c>
      <c r="BZ225" s="1103">
        <f>-71.938-SUM(BW225:BY225)</f>
        <v>-15.853000000000002</v>
      </c>
      <c r="CA225" s="550">
        <f>SUM(BW225:BZ225)</f>
        <v>-71.938000000000002</v>
      </c>
      <c r="CB225" s="1102">
        <v>-49.853000000000002</v>
      </c>
      <c r="CC225" s="523">
        <f>-78.684-CB225</f>
        <v>-28.830999999999996</v>
      </c>
      <c r="CD225" s="523">
        <f>-86.808-CC225-CB225</f>
        <v>-8.1240000000000094</v>
      </c>
      <c r="CE225" s="1103">
        <f>-99.588-SUM(CB225:CD225)</f>
        <v>-12.779999999999987</v>
      </c>
      <c r="CF225" s="550">
        <f>SUM(CB225:CE225)</f>
        <v>-99.587999999999994</v>
      </c>
      <c r="CG225" s="1102">
        <v>-61.543999999999997</v>
      </c>
      <c r="CH225" s="523">
        <f>-79.42-CG225</f>
        <v>-17.876000000000005</v>
      </c>
      <c r="CI225" s="523">
        <f>-85.094-CH225-CG225</f>
        <v>-5.6739999999999924</v>
      </c>
      <c r="CJ225" s="1103">
        <f>-90.974-SUM(CG225:CI225)</f>
        <v>-5.8800000000000097</v>
      </c>
      <c r="CK225" s="550">
        <f>SUM(CG225:CJ225)</f>
        <v>-90.974000000000004</v>
      </c>
      <c r="CL225" s="1102">
        <v>-24.792999999999999</v>
      </c>
      <c r="CM225" s="550">
        <f>CH225</f>
        <v>-17.876000000000005</v>
      </c>
      <c r="CN225" s="550">
        <f>CI225</f>
        <v>-5.6739999999999924</v>
      </c>
      <c r="CO225" s="890">
        <f>CJ225</f>
        <v>-5.8800000000000097</v>
      </c>
      <c r="CP225" s="550">
        <f>SUM(CL225:CO225)</f>
        <v>-54.223000000000006</v>
      </c>
      <c r="CQ225" s="889">
        <f>CL225</f>
        <v>-24.792999999999999</v>
      </c>
      <c r="CR225" s="550">
        <f>CM225</f>
        <v>-17.876000000000005</v>
      </c>
      <c r="CS225" s="550">
        <f>CN225</f>
        <v>-5.6739999999999924</v>
      </c>
      <c r="CT225" s="890">
        <f>CO225</f>
        <v>-5.8800000000000097</v>
      </c>
      <c r="CU225" s="550">
        <f>SUM(CQ225:CT225)</f>
        <v>-54.223000000000006</v>
      </c>
      <c r="CV225" s="889">
        <f>CQ225</f>
        <v>-24.792999999999999</v>
      </c>
      <c r="CW225" s="550">
        <f>CR225</f>
        <v>-17.876000000000005</v>
      </c>
      <c r="CX225" s="550">
        <f>CS225</f>
        <v>-5.6739999999999924</v>
      </c>
      <c r="CY225" s="890">
        <f>CT225</f>
        <v>-5.8800000000000097</v>
      </c>
      <c r="CZ225" s="550">
        <f>SUM(CV225:CY225)</f>
        <v>-54.223000000000006</v>
      </c>
    </row>
    <row r="226" spans="1:105" ht="13.5" customHeight="1">
      <c r="A226" s="362"/>
      <c r="B226" s="369" t="s">
        <v>542</v>
      </c>
      <c r="C226" s="362"/>
      <c r="D226" s="362"/>
      <c r="E226" s="75"/>
      <c r="F226" s="75"/>
      <c r="G226" s="75"/>
      <c r="H226" s="75"/>
      <c r="I226" s="75"/>
      <c r="J226" s="92">
        <v>0</v>
      </c>
      <c r="K226" s="92">
        <v>0</v>
      </c>
      <c r="L226" s="92">
        <v>0</v>
      </c>
      <c r="M226" s="92">
        <v>0</v>
      </c>
      <c r="N226" s="92">
        <v>0</v>
      </c>
      <c r="O226" s="92">
        <v>0</v>
      </c>
      <c r="P226" s="92">
        <v>0</v>
      </c>
      <c r="Q226" s="92">
        <v>0</v>
      </c>
      <c r="R226" s="92">
        <f t="shared" si="242"/>
        <v>2.2999999999999998</v>
      </c>
      <c r="S226" s="92">
        <v>2.2999999999999998</v>
      </c>
      <c r="T226" s="92">
        <v>0</v>
      </c>
      <c r="U226" s="92">
        <v>0</v>
      </c>
      <c r="V226" s="92">
        <f>4.8-T226-U226</f>
        <v>4.8</v>
      </c>
      <c r="W226" s="92">
        <f t="shared" si="243"/>
        <v>0</v>
      </c>
      <c r="X226" s="92">
        <v>4.8</v>
      </c>
      <c r="Y226" s="92">
        <f>0</f>
        <v>0</v>
      </c>
      <c r="Z226" s="92">
        <f>-205.838-Y226</f>
        <v>-205.83799999999999</v>
      </c>
      <c r="AA226" s="92">
        <f>-245.158-Y226-Z226</f>
        <v>-39.319999999999993</v>
      </c>
      <c r="AB226" s="92">
        <f t="shared" si="253"/>
        <v>-46.086000000000041</v>
      </c>
      <c r="AC226" s="92">
        <v>-291.24400000000003</v>
      </c>
      <c r="AD226" s="92">
        <f>6.5</f>
        <v>6.5</v>
      </c>
      <c r="AE226" s="92">
        <f>10.5-AD226</f>
        <v>4</v>
      </c>
      <c r="AF226" s="92">
        <f>12.2-AE226-AD226</f>
        <v>1.6999999999999993</v>
      </c>
      <c r="AG226" s="92">
        <f t="shared" si="244"/>
        <v>5.8000000000000007</v>
      </c>
      <c r="AH226" s="92">
        <v>18</v>
      </c>
      <c r="AI226" s="92">
        <v>6</v>
      </c>
      <c r="AJ226" s="92">
        <f>9.5-AI226</f>
        <v>3.5</v>
      </c>
      <c r="AK226" s="92">
        <f>9.5-AJ226-AI226</f>
        <v>0</v>
      </c>
      <c r="AL226" s="92">
        <f t="shared" si="236"/>
        <v>3.5</v>
      </c>
      <c r="AM226" s="92">
        <v>13</v>
      </c>
      <c r="AN226" s="92">
        <v>7.3</v>
      </c>
      <c r="AO226" s="92">
        <f>-6.937+9.2-AN226</f>
        <v>-5.0370000000000008</v>
      </c>
      <c r="AP226" s="92">
        <f>-6.938+10.6-AO226-AN226</f>
        <v>1.3990000000000018</v>
      </c>
      <c r="AQ226" s="92">
        <f t="shared" si="237"/>
        <v>9.999999999985576E-4</v>
      </c>
      <c r="AR226" s="92">
        <f>10.6-6.937</f>
        <v>3.6629999999999994</v>
      </c>
      <c r="AS226" s="1102">
        <v>-0.7</v>
      </c>
      <c r="AT226" s="523">
        <f>-0.7-AS226</f>
        <v>0</v>
      </c>
      <c r="AU226" s="523">
        <f>-3.2-AT226-AS226</f>
        <v>-2.5</v>
      </c>
      <c r="AV226" s="890">
        <f t="shared" si="238"/>
        <v>0.10000000000000009</v>
      </c>
      <c r="AW226" s="523">
        <v>-3.1</v>
      </c>
      <c r="AX226" s="1102">
        <v>0.5</v>
      </c>
      <c r="AY226" s="523">
        <f>-2.2-AX226</f>
        <v>-2.7</v>
      </c>
      <c r="AZ226" s="523">
        <f>-1.5-4.05-AY226-AX226</f>
        <v>-3.3499999999999996</v>
      </c>
      <c r="BA226" s="890">
        <f t="shared" si="239"/>
        <v>0.79999999999999982</v>
      </c>
      <c r="BB226" s="523">
        <f>-4.05-0.7</f>
        <v>-4.75</v>
      </c>
      <c r="BC226" s="1102">
        <v>-0.3</v>
      </c>
      <c r="BD226" s="523">
        <f>-0.2-BC226</f>
        <v>9.9999999999999978E-2</v>
      </c>
      <c r="BE226" s="523">
        <f>0.7+30-BD226-BC226</f>
        <v>30.9</v>
      </c>
      <c r="BF226" s="970">
        <f t="shared" si="240"/>
        <v>0.86899999999999977</v>
      </c>
      <c r="BG226" s="532">
        <f>30.569+1</f>
        <v>31.568999999999999</v>
      </c>
      <c r="BH226" s="1102">
        <f>0.357+5.2</f>
        <v>5.5570000000000004</v>
      </c>
      <c r="BI226" s="523">
        <f>0.67+3.877-BH226</f>
        <v>-1.0100000000000007</v>
      </c>
      <c r="BJ226" s="523">
        <f>4.377+0.962-SUM(BH226:BI226)</f>
        <v>0.79199999999999982</v>
      </c>
      <c r="BK226" s="970">
        <f t="shared" si="241"/>
        <v>0.53300000000000036</v>
      </c>
      <c r="BL226" s="523">
        <f>1.172+4.7</f>
        <v>5.8719999999999999</v>
      </c>
      <c r="BM226" s="1198">
        <f>0.5+0.109</f>
        <v>0.60899999999999999</v>
      </c>
      <c r="BN226" s="532">
        <f>1.7+0.109-BM226</f>
        <v>1.2</v>
      </c>
      <c r="BO226" s="532">
        <f>-7.625+2.1+0.11-SUM(BM226:BN226)</f>
        <v>-7.2240000000000002</v>
      </c>
      <c r="BP226" s="1167">
        <f>-7.625+2.955+0.111-SUM(BM226:BO226)</f>
        <v>0.85599999999999987</v>
      </c>
      <c r="BQ226" s="550">
        <f>SUM(BM226:BP226)</f>
        <v>-4.5590000000000002</v>
      </c>
      <c r="BR226" s="1198">
        <f>-0.601+0.3</f>
        <v>-0.30099999999999999</v>
      </c>
      <c r="BS226" s="532">
        <f>2.7-1.123-BR226</f>
        <v>1.8780000000000001</v>
      </c>
      <c r="BT226" s="532">
        <f>3.2-1.651-SUM(BR226:BS226)</f>
        <v>-2.8000000000000025E-2</v>
      </c>
      <c r="BU226" s="1167">
        <f>3.4-2.183-SUM(BR226:BT226)</f>
        <v>-0.33200000000000007</v>
      </c>
      <c r="BV226" s="550">
        <f>SUM(BR226:BU226)</f>
        <v>1.2170000000000001</v>
      </c>
      <c r="BW226" s="1198">
        <f>0.2-0.537</f>
        <v>-0.33700000000000002</v>
      </c>
      <c r="BX226" s="532">
        <f>1.2-1.081-BW226</f>
        <v>0.45600000000000002</v>
      </c>
      <c r="BY226" s="532">
        <f>1.7-1.63-SUM(BW226:BX226)</f>
        <v>-4.8999999999999932E-2</v>
      </c>
      <c r="BZ226" s="1103">
        <f>2-2.183-SUM(BW226:BY226)</f>
        <v>-0.25299999999999989</v>
      </c>
      <c r="CA226" s="550">
        <f>SUM(BW226:BZ226)</f>
        <v>-0.18299999999999983</v>
      </c>
      <c r="CB226" s="1102">
        <f>0.353-0.559</f>
        <v>-0.20600000000000007</v>
      </c>
      <c r="CC226" s="523">
        <f>0.916-4.63-CB226</f>
        <v>-3.508</v>
      </c>
      <c r="CD226" s="523">
        <f>1.507-5.212-CC226-CB226</f>
        <v>9.000000000000008E-3</v>
      </c>
      <c r="CE226" s="1103">
        <f>2.784-13.297-SUM(CB226:CD226)</f>
        <v>-6.8080000000000016</v>
      </c>
      <c r="CF226" s="550">
        <f>SUM(CB226:CE226)</f>
        <v>-10.513000000000002</v>
      </c>
      <c r="CG226" s="1102">
        <f>-0.518-1.349</f>
        <v>-1.867</v>
      </c>
      <c r="CH226" s="523">
        <f>-13.185-1.101-CG226</f>
        <v>-12.419</v>
      </c>
      <c r="CI226" s="523">
        <f>-13.96-1.703-CH226-CG226</f>
        <v>-1.3769999999999998</v>
      </c>
      <c r="CJ226" s="1103">
        <f>-14.408-3.241-SUM(CG226:CI226)</f>
        <v>-1.9860000000000007</v>
      </c>
      <c r="CK226" s="550">
        <f>SUM(CG226:CJ226)</f>
        <v>-17.649000000000001</v>
      </c>
      <c r="CL226" s="1102">
        <f>-1.844-4.43</f>
        <v>-6.274</v>
      </c>
      <c r="CM226" s="523">
        <v>0</v>
      </c>
      <c r="CN226" s="523">
        <v>0</v>
      </c>
      <c r="CO226" s="1103">
        <v>0</v>
      </c>
      <c r="CP226" s="550">
        <f>SUM(CL226:CO226)</f>
        <v>-6.274</v>
      </c>
      <c r="CQ226" s="1102">
        <v>0</v>
      </c>
      <c r="CR226" s="523">
        <v>0</v>
      </c>
      <c r="CS226" s="523">
        <v>0</v>
      </c>
      <c r="CT226" s="1103">
        <v>0</v>
      </c>
      <c r="CU226" s="550">
        <f>SUM(CQ226:CT226)</f>
        <v>0</v>
      </c>
      <c r="CV226" s="1102">
        <v>0</v>
      </c>
      <c r="CW226" s="523">
        <v>0</v>
      </c>
      <c r="CX226" s="523">
        <v>0</v>
      </c>
      <c r="CY226" s="1103">
        <v>0</v>
      </c>
      <c r="CZ226" s="550">
        <f>SUM(CV226:CY226)</f>
        <v>0</v>
      </c>
    </row>
    <row r="227" spans="1:105" ht="6.2" customHeight="1">
      <c r="A227" s="66"/>
      <c r="B227" s="20"/>
      <c r="C227" s="66"/>
      <c r="D227" s="66"/>
      <c r="E227" s="150"/>
      <c r="F227" s="150"/>
      <c r="G227" s="150"/>
      <c r="H227" s="150"/>
      <c r="I227" s="150"/>
      <c r="J227" s="150"/>
      <c r="K227" s="150"/>
      <c r="L227" s="150"/>
      <c r="M227" s="150"/>
      <c r="N227" s="150"/>
      <c r="O227" s="150"/>
      <c r="P227" s="150"/>
      <c r="Q227" s="150"/>
      <c r="R227" s="150"/>
      <c r="S227" s="150"/>
      <c r="T227" s="150"/>
      <c r="U227" s="150"/>
      <c r="V227" s="150"/>
      <c r="W227" s="150"/>
      <c r="X227" s="150"/>
      <c r="Y227" s="150"/>
      <c r="Z227" s="150"/>
      <c r="AA227" s="150"/>
      <c r="AB227" s="150"/>
      <c r="AC227" s="150"/>
      <c r="AD227" s="150"/>
      <c r="AE227" s="150"/>
      <c r="AF227" s="150"/>
      <c r="AG227" s="150"/>
      <c r="AH227" s="150"/>
      <c r="AI227" s="150"/>
      <c r="AJ227" s="150"/>
      <c r="AK227" s="150"/>
      <c r="AL227" s="150"/>
      <c r="AM227" s="150"/>
      <c r="AN227" s="150"/>
      <c r="AO227" s="150"/>
      <c r="AP227" s="150"/>
      <c r="AQ227" s="150"/>
      <c r="AR227" s="150"/>
      <c r="AS227" s="1112"/>
      <c r="AT227" s="150"/>
      <c r="AU227" s="150"/>
      <c r="AV227" s="1113"/>
      <c r="AW227" s="150"/>
      <c r="AX227" s="1112"/>
      <c r="AY227" s="150"/>
      <c r="AZ227" s="150"/>
      <c r="BA227" s="1113"/>
      <c r="BB227" s="150"/>
      <c r="BC227" s="1112"/>
      <c r="BD227" s="150"/>
      <c r="BE227" s="150"/>
      <c r="BF227" s="1171"/>
      <c r="BG227" s="381"/>
      <c r="BH227" s="1112"/>
      <c r="BI227" s="150"/>
      <c r="BJ227" s="150"/>
      <c r="BK227" s="1171"/>
      <c r="BL227" s="150"/>
      <c r="BM227" s="1112"/>
      <c r="BN227" s="150"/>
      <c r="BO227" s="150"/>
      <c r="BP227" s="1113"/>
      <c r="BQ227" s="150"/>
      <c r="BR227" s="1112"/>
      <c r="BS227" s="150"/>
      <c r="BT227" s="150"/>
      <c r="BU227" s="1113"/>
      <c r="BV227" s="150"/>
      <c r="BW227" s="1112"/>
      <c r="BX227" s="150"/>
      <c r="BY227" s="150"/>
      <c r="BZ227" s="1113"/>
      <c r="CA227" s="150"/>
      <c r="CB227" s="1112"/>
      <c r="CC227" s="150"/>
      <c r="CD227" s="594"/>
      <c r="CE227" s="1210"/>
      <c r="CF227" s="594"/>
      <c r="CG227" s="1214"/>
      <c r="CH227" s="594"/>
      <c r="CI227" s="594"/>
      <c r="CJ227" s="1210"/>
      <c r="CK227" s="594"/>
      <c r="CL227" s="1214"/>
      <c r="CM227" s="150"/>
      <c r="CN227" s="150"/>
      <c r="CO227" s="1113"/>
      <c r="CP227" s="150"/>
      <c r="CQ227" s="1112"/>
      <c r="CR227" s="150"/>
      <c r="CS227" s="150"/>
      <c r="CT227" s="1113"/>
      <c r="CU227" s="150"/>
      <c r="CV227" s="1112"/>
      <c r="CW227" s="150"/>
      <c r="CX227" s="150"/>
      <c r="CY227" s="1113"/>
      <c r="CZ227" s="150"/>
    </row>
    <row r="228" spans="1:105" ht="13.5" customHeight="1">
      <c r="A228" s="66"/>
      <c r="B228" s="79"/>
      <c r="C228" s="79" t="s">
        <v>248</v>
      </c>
      <c r="D228" s="66"/>
      <c r="E228" s="174"/>
      <c r="F228" s="174"/>
      <c r="G228" s="174"/>
      <c r="H228" s="174"/>
      <c r="I228" s="174"/>
      <c r="J228" s="111">
        <f>SUM(J217:J226)</f>
        <v>-113.933857</v>
      </c>
      <c r="K228" s="111">
        <f>SUM(K217:K226)</f>
        <v>-38.001118000000005</v>
      </c>
      <c r="L228" s="111">
        <f>SUM(L217:L226)</f>
        <v>-26.797299999999989</v>
      </c>
      <c r="M228" s="111">
        <f>SUM(M217:M226)</f>
        <v>334.00705199999999</v>
      </c>
      <c r="N228" s="111">
        <f>SUM(N217:N226)</f>
        <v>155.27477700000003</v>
      </c>
      <c r="O228" s="111">
        <f>SUM(O218:O226)</f>
        <v>-80.748775999999992</v>
      </c>
      <c r="P228" s="111">
        <f>SUM(P218:P226)</f>
        <v>-24.534054000000005</v>
      </c>
      <c r="Q228" s="111">
        <f>SUM(Q218:Q226)</f>
        <v>11.143483999999996</v>
      </c>
      <c r="R228" s="111">
        <f>SUM(R218:R226)</f>
        <v>-1.5713779999999948</v>
      </c>
      <c r="S228" s="111">
        <f>SUM(S218:S226)</f>
        <v>-95.710724000000013</v>
      </c>
      <c r="T228" s="111">
        <f t="shared" ref="T228:AM228" si="254">SUM(T217:T226)</f>
        <v>-49.704000000000001</v>
      </c>
      <c r="U228" s="111">
        <f t="shared" si="254"/>
        <v>-7.9289999999999949</v>
      </c>
      <c r="V228" s="111">
        <f t="shared" si="254"/>
        <v>3.5259999999999847</v>
      </c>
      <c r="W228" s="111">
        <f t="shared" si="254"/>
        <v>-11.959000000000003</v>
      </c>
      <c r="X228" s="111">
        <f t="shared" si="254"/>
        <v>-66.066000000000017</v>
      </c>
      <c r="Y228" s="111">
        <f t="shared" si="254"/>
        <v>-40.998999999999995</v>
      </c>
      <c r="Z228" s="111">
        <f t="shared" si="254"/>
        <v>-294.81299999999999</v>
      </c>
      <c r="AA228" s="111">
        <f t="shared" si="254"/>
        <v>-149.09199999999998</v>
      </c>
      <c r="AB228" s="111">
        <f t="shared" si="254"/>
        <v>-923.12900000000002</v>
      </c>
      <c r="AC228" s="111">
        <f t="shared" si="254"/>
        <v>-1408.0329999999999</v>
      </c>
      <c r="AD228" s="111">
        <f t="shared" si="254"/>
        <v>-337.072</v>
      </c>
      <c r="AE228" s="111">
        <f t="shared" si="254"/>
        <v>-493.98900000000009</v>
      </c>
      <c r="AF228" s="111">
        <f t="shared" si="254"/>
        <v>-690.59699999999998</v>
      </c>
      <c r="AG228" s="111">
        <f t="shared" si="254"/>
        <v>-329.60299999999989</v>
      </c>
      <c r="AH228" s="111">
        <f t="shared" si="254"/>
        <v>-1851.261</v>
      </c>
      <c r="AI228" s="111">
        <f t="shared" si="254"/>
        <v>729.375</v>
      </c>
      <c r="AJ228" s="111">
        <f t="shared" si="254"/>
        <v>-366.89100000000002</v>
      </c>
      <c r="AK228" s="111">
        <f t="shared" si="254"/>
        <v>-533.53699999999992</v>
      </c>
      <c r="AL228" s="111">
        <f t="shared" si="254"/>
        <v>900.35899999999981</v>
      </c>
      <c r="AM228" s="111">
        <f t="shared" si="254"/>
        <v>729.30599999999993</v>
      </c>
      <c r="AN228" s="111">
        <f t="shared" ref="AN228:BS228" si="255">SUM(AN217:AN226)</f>
        <v>316.85799999999995</v>
      </c>
      <c r="AO228" s="111">
        <f t="shared" si="255"/>
        <v>2367.6780000000003</v>
      </c>
      <c r="AP228" s="111">
        <f t="shared" si="255"/>
        <v>-416.8069999999999</v>
      </c>
      <c r="AQ228" s="111">
        <f t="shared" si="255"/>
        <v>-256.72700000000009</v>
      </c>
      <c r="AR228" s="111">
        <f t="shared" si="255"/>
        <v>2011.0020000000006</v>
      </c>
      <c r="AS228" s="872">
        <f t="shared" si="255"/>
        <v>-336.84499999999997</v>
      </c>
      <c r="AT228" s="112">
        <f t="shared" si="255"/>
        <v>-280.77000000000004</v>
      </c>
      <c r="AU228" s="112">
        <f t="shared" si="255"/>
        <v>-347.24000000000007</v>
      </c>
      <c r="AV228" s="873">
        <f t="shared" si="255"/>
        <v>-80.178999999999945</v>
      </c>
      <c r="AW228" s="111">
        <f t="shared" si="255"/>
        <v>-1045.0339999999999</v>
      </c>
      <c r="AX228" s="872">
        <f t="shared" si="255"/>
        <v>-220.708</v>
      </c>
      <c r="AY228" s="112">
        <f t="shared" si="255"/>
        <v>-139.334</v>
      </c>
      <c r="AZ228" s="112">
        <f t="shared" si="255"/>
        <v>635.39400000000001</v>
      </c>
      <c r="BA228" s="873">
        <f t="shared" si="255"/>
        <v>-512.14800000000002</v>
      </c>
      <c r="BB228" s="111">
        <f t="shared" si="255"/>
        <v>-236.79599999999988</v>
      </c>
      <c r="BC228" s="872">
        <f t="shared" si="255"/>
        <v>-128.42400000000004</v>
      </c>
      <c r="BD228" s="112">
        <f t="shared" si="255"/>
        <v>-80.106999999999999</v>
      </c>
      <c r="BE228" s="112">
        <f t="shared" si="255"/>
        <v>-320.24499999999995</v>
      </c>
      <c r="BF228" s="960">
        <f t="shared" si="255"/>
        <v>-175.26500000000001</v>
      </c>
      <c r="BG228" s="371">
        <f t="shared" si="255"/>
        <v>-704.04100000000005</v>
      </c>
      <c r="BH228" s="872">
        <f t="shared" si="255"/>
        <v>26.064999999999969</v>
      </c>
      <c r="BI228" s="112">
        <f t="shared" si="255"/>
        <v>589.23699999999997</v>
      </c>
      <c r="BJ228" s="112">
        <f t="shared" si="255"/>
        <v>-54.055000000000007</v>
      </c>
      <c r="BK228" s="960">
        <f t="shared" si="255"/>
        <v>-1708.1240000000003</v>
      </c>
      <c r="BL228" s="111">
        <f t="shared" si="255"/>
        <v>-1146.8769999999997</v>
      </c>
      <c r="BM228" s="872">
        <f t="shared" si="255"/>
        <v>83.061999999999998</v>
      </c>
      <c r="BN228" s="112">
        <f t="shared" si="255"/>
        <v>-363.88500000000005</v>
      </c>
      <c r="BO228" s="112">
        <f t="shared" si="255"/>
        <v>819.17</v>
      </c>
      <c r="BP228" s="873">
        <f t="shared" si="255"/>
        <v>-120.16600000000003</v>
      </c>
      <c r="BQ228" s="111">
        <f t="shared" si="255"/>
        <v>418.18099999999998</v>
      </c>
      <c r="BR228" s="872">
        <f t="shared" si="255"/>
        <v>-145.905</v>
      </c>
      <c r="BS228" s="112">
        <f t="shared" si="255"/>
        <v>-114.55199999999999</v>
      </c>
      <c r="BT228" s="112">
        <f t="shared" ref="BT228:CZ228" si="256">SUM(BT217:BT226)</f>
        <v>-132.56000000000003</v>
      </c>
      <c r="BU228" s="873">
        <f t="shared" si="256"/>
        <v>33.970000000000027</v>
      </c>
      <c r="BV228" s="111">
        <f t="shared" si="256"/>
        <v>-359.04699999999997</v>
      </c>
      <c r="BW228" s="872">
        <f t="shared" si="256"/>
        <v>-324.84500000000003</v>
      </c>
      <c r="BX228" s="112">
        <f t="shared" si="256"/>
        <v>-125.902</v>
      </c>
      <c r="BY228" s="112">
        <f t="shared" si="256"/>
        <v>-133.13500000000002</v>
      </c>
      <c r="BZ228" s="873">
        <f t="shared" si="256"/>
        <v>-205.869</v>
      </c>
      <c r="CA228" s="111">
        <f t="shared" si="256"/>
        <v>-789.75099999999998</v>
      </c>
      <c r="CB228" s="872">
        <f t="shared" si="256"/>
        <v>-190.05600000000001</v>
      </c>
      <c r="CC228" s="112">
        <f t="shared" si="256"/>
        <v>-167.30999999999997</v>
      </c>
      <c r="CD228" s="112">
        <f t="shared" si="256"/>
        <v>-114.78800000000001</v>
      </c>
      <c r="CE228" s="873">
        <f t="shared" si="256"/>
        <v>-141.81200000000001</v>
      </c>
      <c r="CF228" s="111">
        <f t="shared" si="256"/>
        <v>-613.96600000000001</v>
      </c>
      <c r="CG228" s="872">
        <f t="shared" si="256"/>
        <v>-147.102</v>
      </c>
      <c r="CH228" s="112">
        <f t="shared" si="256"/>
        <v>-160.64100000000002</v>
      </c>
      <c r="CI228" s="112">
        <f t="shared" si="256"/>
        <v>-205.72000000000003</v>
      </c>
      <c r="CJ228" s="873">
        <f t="shared" si="256"/>
        <v>-724.76800000000003</v>
      </c>
      <c r="CK228" s="111">
        <f t="shared" si="256"/>
        <v>-1238.2310000000002</v>
      </c>
      <c r="CL228" s="872">
        <f t="shared" ref="CL228" si="257">SUM(CL217:CL226)</f>
        <v>-145.53200000000001</v>
      </c>
      <c r="CM228" s="112">
        <f t="shared" si="256"/>
        <v>405.80945556500058</v>
      </c>
      <c r="CN228" s="112">
        <f t="shared" si="256"/>
        <v>-125.68754443499999</v>
      </c>
      <c r="CO228" s="873">
        <f t="shared" si="256"/>
        <v>-125.89354443500001</v>
      </c>
      <c r="CP228" s="111">
        <f t="shared" si="256"/>
        <v>8.6963666950005702</v>
      </c>
      <c r="CQ228" s="872">
        <f t="shared" si="256"/>
        <v>-144.80654443500001</v>
      </c>
      <c r="CR228" s="112">
        <f t="shared" si="256"/>
        <v>-137.889544435</v>
      </c>
      <c r="CS228" s="112">
        <f t="shared" si="256"/>
        <v>-125.68754443499999</v>
      </c>
      <c r="CT228" s="873">
        <f t="shared" si="256"/>
        <v>-125.89354443500001</v>
      </c>
      <c r="CU228" s="111">
        <f t="shared" si="256"/>
        <v>-534.27717773999996</v>
      </c>
      <c r="CV228" s="872">
        <f t="shared" si="256"/>
        <v>-144.80654443500001</v>
      </c>
      <c r="CW228" s="112">
        <f t="shared" si="256"/>
        <v>-137.889544435</v>
      </c>
      <c r="CX228" s="112">
        <f t="shared" si="256"/>
        <v>-125.68754443499999</v>
      </c>
      <c r="CY228" s="873">
        <f t="shared" si="256"/>
        <v>-125.89354443500001</v>
      </c>
      <c r="CZ228" s="111">
        <f t="shared" si="256"/>
        <v>-534.27717773999996</v>
      </c>
    </row>
    <row r="229" spans="1:105" ht="6.2" customHeight="1">
      <c r="A229" s="66"/>
      <c r="B229" s="79"/>
      <c r="C229" s="79"/>
      <c r="D229" s="66"/>
      <c r="E229" s="174"/>
      <c r="F229" s="174"/>
      <c r="G229" s="174"/>
      <c r="H229" s="174"/>
      <c r="I229" s="174"/>
      <c r="J229" s="111"/>
      <c r="K229" s="111"/>
      <c r="L229" s="111"/>
      <c r="M229" s="111"/>
      <c r="N229" s="111"/>
      <c r="O229" s="111"/>
      <c r="P229" s="111"/>
      <c r="Q229" s="111"/>
      <c r="R229" s="111"/>
      <c r="S229" s="111"/>
      <c r="T229" s="111"/>
      <c r="U229" s="111"/>
      <c r="V229" s="111"/>
      <c r="W229" s="111"/>
      <c r="X229" s="111"/>
      <c r="Y229" s="111"/>
      <c r="Z229" s="111"/>
      <c r="AA229" s="111"/>
      <c r="AB229" s="111"/>
      <c r="AC229" s="111"/>
      <c r="AD229" s="111"/>
      <c r="AE229" s="111"/>
      <c r="AF229" s="111"/>
      <c r="AG229" s="111"/>
      <c r="AH229" s="111"/>
      <c r="AI229" s="111"/>
      <c r="AJ229" s="111"/>
      <c r="AK229" s="111"/>
      <c r="AL229" s="111"/>
      <c r="AM229" s="111"/>
      <c r="AN229" s="111"/>
      <c r="AO229" s="111"/>
      <c r="AP229" s="189"/>
      <c r="AQ229" s="111"/>
      <c r="AR229" s="111"/>
      <c r="AS229" s="872"/>
      <c r="AT229" s="112"/>
      <c r="AU229" s="112"/>
      <c r="AV229" s="873"/>
      <c r="AW229" s="111"/>
      <c r="AX229" s="872"/>
      <c r="AY229" s="112"/>
      <c r="AZ229" s="190"/>
      <c r="BA229" s="1149"/>
      <c r="BB229" s="111"/>
      <c r="BC229" s="872"/>
      <c r="BD229" s="112"/>
      <c r="BE229" s="112"/>
      <c r="BF229" s="960"/>
      <c r="BG229" s="371"/>
      <c r="BH229" s="872"/>
      <c r="BI229" s="112"/>
      <c r="BJ229" s="112"/>
      <c r="BK229" s="873"/>
      <c r="BL229" s="111"/>
      <c r="BM229" s="872"/>
      <c r="BN229" s="112"/>
      <c r="BO229" s="112"/>
      <c r="BP229" s="873"/>
      <c r="BQ229" s="111"/>
      <c r="BR229" s="872"/>
      <c r="BS229" s="112"/>
      <c r="BT229" s="178"/>
      <c r="BU229" s="873"/>
      <c r="BV229" s="111"/>
      <c r="BW229" s="872"/>
      <c r="BX229" s="178"/>
      <c r="BY229" s="112"/>
      <c r="BZ229" s="873"/>
      <c r="CA229" s="111"/>
      <c r="CB229" s="872"/>
      <c r="CC229" s="112"/>
      <c r="CD229" s="112"/>
      <c r="CE229" s="873"/>
      <c r="CF229" s="111"/>
      <c r="CG229" s="872"/>
      <c r="CH229" s="112"/>
      <c r="CI229" s="112"/>
      <c r="CJ229" s="873"/>
      <c r="CK229" s="111"/>
      <c r="CL229" s="872"/>
      <c r="CM229" s="112"/>
      <c r="CN229" s="112"/>
      <c r="CO229" s="873"/>
      <c r="CP229" s="111"/>
      <c r="CQ229" s="872"/>
      <c r="CR229" s="112"/>
      <c r="CS229" s="112"/>
      <c r="CT229" s="873"/>
      <c r="CU229" s="111"/>
      <c r="CV229" s="872"/>
      <c r="CW229" s="112"/>
      <c r="CX229" s="112"/>
      <c r="CY229" s="873"/>
      <c r="CZ229" s="111"/>
    </row>
    <row r="230" spans="1:105" ht="13.5" customHeight="1">
      <c r="A230" s="66"/>
      <c r="B230" s="66" t="s">
        <v>437</v>
      </c>
      <c r="C230" s="20"/>
      <c r="D230" s="66"/>
      <c r="E230" s="75"/>
      <c r="F230" s="75"/>
      <c r="G230" s="75"/>
      <c r="H230" s="75"/>
      <c r="I230" s="75"/>
      <c r="J230" s="92"/>
      <c r="K230" s="92"/>
      <c r="L230" s="92"/>
      <c r="M230" s="92"/>
      <c r="N230" s="92"/>
      <c r="O230" s="92"/>
      <c r="P230" s="92">
        <v>0</v>
      </c>
      <c r="Q230" s="92">
        <v>0</v>
      </c>
      <c r="R230" s="92">
        <v>0</v>
      </c>
      <c r="S230" s="92">
        <f>SUM(O230:R230)</f>
        <v>0</v>
      </c>
      <c r="T230" s="92">
        <v>0</v>
      </c>
      <c r="U230" s="92">
        <v>0</v>
      </c>
      <c r="V230" s="92">
        <f>U230-T230</f>
        <v>0</v>
      </c>
      <c r="W230" s="92">
        <f>X230-SUM(T230:V230)</f>
        <v>0</v>
      </c>
      <c r="X230" s="92">
        <v>0</v>
      </c>
      <c r="Y230" s="92"/>
      <c r="Z230" s="92">
        <v>0</v>
      </c>
      <c r="AA230" s="92">
        <f>Z230-Y230</f>
        <v>0</v>
      </c>
      <c r="AB230" s="92">
        <f>AC230-SUM(Y230:AA230)</f>
        <v>0</v>
      </c>
      <c r="AC230" s="92">
        <v>0</v>
      </c>
      <c r="AD230" s="92">
        <v>0</v>
      </c>
      <c r="AE230" s="92">
        <v>0</v>
      </c>
      <c r="AF230" s="92">
        <v>0</v>
      </c>
      <c r="AG230" s="92">
        <v>0</v>
      </c>
      <c r="AH230" s="92">
        <f>SUM(AD230:AG230)</f>
        <v>0</v>
      </c>
      <c r="AI230" s="92">
        <v>0</v>
      </c>
      <c r="AJ230" s="92">
        <v>0</v>
      </c>
      <c r="AK230" s="92">
        <v>0</v>
      </c>
      <c r="AL230" s="92">
        <v>0</v>
      </c>
      <c r="AM230" s="92">
        <f>SUM(AI230:AL230)</f>
        <v>0</v>
      </c>
      <c r="AN230" s="92">
        <v>0</v>
      </c>
      <c r="AO230" s="92">
        <v>0</v>
      </c>
      <c r="AP230" s="92">
        <v>0</v>
      </c>
      <c r="AQ230" s="92">
        <v>0</v>
      </c>
      <c r="AR230" s="92">
        <f>SUM(AN230:AQ230)</f>
        <v>0</v>
      </c>
      <c r="AS230" s="1102">
        <v>0</v>
      </c>
      <c r="AT230" s="523">
        <v>0</v>
      </c>
      <c r="AU230" s="523">
        <v>0</v>
      </c>
      <c r="AV230" s="1103">
        <v>0</v>
      </c>
      <c r="AW230" s="550">
        <f>SUM(AS230:AV230)</f>
        <v>0</v>
      </c>
      <c r="AX230" s="1102">
        <v>4.7939999999999996</v>
      </c>
      <c r="AY230" s="523">
        <f>3.249-AX230</f>
        <v>-1.5449999999999995</v>
      </c>
      <c r="AZ230" s="523">
        <f>4.639-AY230-AX230</f>
        <v>1.3899999999999997</v>
      </c>
      <c r="BA230" s="890">
        <f>BB230-SUM(AX230:AZ230)</f>
        <v>0.91900000000000048</v>
      </c>
      <c r="BB230" s="523">
        <v>5.5579999999999998</v>
      </c>
      <c r="BC230" s="1102">
        <v>3.044</v>
      </c>
      <c r="BD230" s="523">
        <f>2.321-BC230</f>
        <v>-0.72299999999999986</v>
      </c>
      <c r="BE230" s="523">
        <f>-2.511-BD230-BC230</f>
        <v>-4.8320000000000007</v>
      </c>
      <c r="BF230" s="970">
        <f>BG230-SUM(BC230:BE230)</f>
        <v>1.6070000000000007</v>
      </c>
      <c r="BG230" s="532">
        <v>-0.90400000000000003</v>
      </c>
      <c r="BH230" s="1102">
        <v>2.4750000000000001</v>
      </c>
      <c r="BI230" s="523">
        <f>1.159-BH230</f>
        <v>-1.3160000000000001</v>
      </c>
      <c r="BJ230" s="523">
        <f>3.775-SUM(BH230:BI230)</f>
        <v>2.6159999999999997</v>
      </c>
      <c r="BK230" s="970">
        <f>BL230-SUM(BH230:BJ230)</f>
        <v>-1.0709999999999993</v>
      </c>
      <c r="BL230" s="523">
        <v>2.7040000000000002</v>
      </c>
      <c r="BM230" s="1198">
        <v>-1.095</v>
      </c>
      <c r="BN230" s="532">
        <f>-2.4-BM230</f>
        <v>-1.3049999999999999</v>
      </c>
      <c r="BO230" s="532">
        <f>-1.484-SUM(BM230:BN230)</f>
        <v>0.91599999999999993</v>
      </c>
      <c r="BP230" s="1167">
        <f>-3.633-SUM(BM230:BO230)</f>
        <v>-2.149</v>
      </c>
      <c r="BQ230" s="550">
        <f>SUM(BM230:BP230)</f>
        <v>-3.633</v>
      </c>
      <c r="BR230" s="1198">
        <v>-2.5169999999999999</v>
      </c>
      <c r="BS230" s="532">
        <f>-0.195-BR230</f>
        <v>2.3220000000000001</v>
      </c>
      <c r="BT230" s="532">
        <f>-2.787-SUM(BR230:BS230)</f>
        <v>-2.5920000000000001</v>
      </c>
      <c r="BU230" s="1167">
        <f>-4.897-SUM(BR230:BT230)</f>
        <v>-2.1100000000000003</v>
      </c>
      <c r="BV230" s="550">
        <f>SUM(BR230:BU230)</f>
        <v>-4.8970000000000002</v>
      </c>
      <c r="BW230" s="1198">
        <v>-3.3039999999999998</v>
      </c>
      <c r="BX230" s="532">
        <f>-0.224-BW230</f>
        <v>3.0799999999999996</v>
      </c>
      <c r="BY230" s="532">
        <f>-4.993-SUM(BW230:BX230)</f>
        <v>-4.7690000000000001</v>
      </c>
      <c r="BZ230" s="1167">
        <f>-10.271-SUM(BW230:BY230)</f>
        <v>-5.2780000000000005</v>
      </c>
      <c r="CA230" s="550">
        <f>SUM(BW230:BZ230)</f>
        <v>-10.271000000000001</v>
      </c>
      <c r="CB230" s="1102">
        <v>10.295999999999999</v>
      </c>
      <c r="CC230" s="523">
        <f>14.036-CB230</f>
        <v>3.74</v>
      </c>
      <c r="CD230" s="523">
        <f>11.187-CC230-CB230</f>
        <v>-2.8490000000000002</v>
      </c>
      <c r="CE230" s="1103">
        <f>8.043-SUM(CB230:CD230)</f>
        <v>-3.1440000000000001</v>
      </c>
      <c r="CF230" s="550">
        <f>SUM(CB230:CE230)</f>
        <v>8.0429999999999993</v>
      </c>
      <c r="CG230" s="1102">
        <v>-0.51700000000000002</v>
      </c>
      <c r="CH230" s="523">
        <f>1.297-CG230</f>
        <v>1.8140000000000001</v>
      </c>
      <c r="CI230" s="523">
        <f>17.453-CH230-CG230</f>
        <v>16.155999999999999</v>
      </c>
      <c r="CJ230" s="1103">
        <f>9.003-SUM(CG230:CI230)</f>
        <v>-8.4499999999999993</v>
      </c>
      <c r="CK230" s="550">
        <f>SUM(CG230:CJ230)</f>
        <v>9.0030000000000001</v>
      </c>
      <c r="CL230" s="1102">
        <v>-7.6999999999999999E-2</v>
      </c>
      <c r="CM230" s="523">
        <v>0</v>
      </c>
      <c r="CN230" s="523">
        <v>0</v>
      </c>
      <c r="CO230" s="1103">
        <v>0</v>
      </c>
      <c r="CP230" s="550">
        <f>SUM(CL230:CO230)</f>
        <v>-7.6999999999999999E-2</v>
      </c>
      <c r="CQ230" s="1102">
        <v>0</v>
      </c>
      <c r="CR230" s="523">
        <v>0</v>
      </c>
      <c r="CS230" s="523">
        <v>0</v>
      </c>
      <c r="CT230" s="1103">
        <v>0</v>
      </c>
      <c r="CU230" s="550">
        <f>SUM(CQ230:CT230)</f>
        <v>0</v>
      </c>
      <c r="CV230" s="1102">
        <v>0</v>
      </c>
      <c r="CW230" s="523">
        <v>0</v>
      </c>
      <c r="CX230" s="523">
        <v>0</v>
      </c>
      <c r="CY230" s="1103">
        <v>0</v>
      </c>
      <c r="CZ230" s="550">
        <f>SUM(CV230:CY230)</f>
        <v>0</v>
      </c>
    </row>
    <row r="231" spans="1:105" ht="13.5" customHeight="1">
      <c r="A231" s="66"/>
      <c r="B231" s="66" t="s">
        <v>438</v>
      </c>
      <c r="C231" s="20"/>
      <c r="D231" s="66"/>
      <c r="E231" s="94"/>
      <c r="F231" s="94"/>
      <c r="G231" s="94"/>
      <c r="H231" s="94"/>
      <c r="I231" s="94"/>
      <c r="J231" s="92">
        <f t="shared" ref="J231:AM231" si="258">J206+J214+J228+J230</f>
        <v>-6.1316329999999795</v>
      </c>
      <c r="K231" s="92">
        <f t="shared" si="258"/>
        <v>81.361437999999978</v>
      </c>
      <c r="L231" s="92">
        <f t="shared" si="258"/>
        <v>-14.570905000000007</v>
      </c>
      <c r="M231" s="92">
        <f t="shared" si="258"/>
        <v>-304.00257900000003</v>
      </c>
      <c r="N231" s="92">
        <f t="shared" si="258"/>
        <v>-243.34367900000001</v>
      </c>
      <c r="O231" s="92">
        <f t="shared" si="258"/>
        <v>-37.294466999999997</v>
      </c>
      <c r="P231" s="92">
        <f t="shared" si="258"/>
        <v>0.56582599999998706</v>
      </c>
      <c r="Q231" s="92">
        <f t="shared" si="258"/>
        <v>102.66358599999987</v>
      </c>
      <c r="R231" s="92">
        <f t="shared" si="258"/>
        <v>65.39243000000009</v>
      </c>
      <c r="S231" s="92">
        <f t="shared" si="258"/>
        <v>131.32737499999996</v>
      </c>
      <c r="T231" s="92">
        <f t="shared" si="258"/>
        <v>47.582000000000001</v>
      </c>
      <c r="U231" s="92">
        <f t="shared" si="258"/>
        <v>104.13600000000002</v>
      </c>
      <c r="V231" s="92">
        <f t="shared" si="258"/>
        <v>256.10200000000003</v>
      </c>
      <c r="W231" s="92">
        <f t="shared" si="258"/>
        <v>20.897000000000091</v>
      </c>
      <c r="X231" s="92">
        <f t="shared" si="258"/>
        <v>428.71699999999976</v>
      </c>
      <c r="Y231" s="92">
        <f t="shared" si="258"/>
        <v>423.66199999999981</v>
      </c>
      <c r="Z231" s="92">
        <f t="shared" si="258"/>
        <v>-141.95599999999993</v>
      </c>
      <c r="AA231" s="92">
        <f t="shared" si="258"/>
        <v>546.48300000000006</v>
      </c>
      <c r="AB231" s="92">
        <f t="shared" si="258"/>
        <v>-627.08799999999997</v>
      </c>
      <c r="AC231" s="92">
        <f t="shared" si="258"/>
        <v>201.10100000000034</v>
      </c>
      <c r="AD231" s="92">
        <f t="shared" si="258"/>
        <v>147.82799999999997</v>
      </c>
      <c r="AE231" s="92">
        <f t="shared" si="258"/>
        <v>-244.65700000000004</v>
      </c>
      <c r="AF231" s="92">
        <f t="shared" si="258"/>
        <v>-50.72400000000016</v>
      </c>
      <c r="AG231" s="92">
        <f t="shared" si="258"/>
        <v>-46.94599999999997</v>
      </c>
      <c r="AH231" s="92">
        <f t="shared" si="258"/>
        <v>-194.4989999999998</v>
      </c>
      <c r="AI231" s="92">
        <f t="shared" si="258"/>
        <v>95.955000000000155</v>
      </c>
      <c r="AJ231" s="92">
        <f t="shared" si="258"/>
        <v>-257.15000000000009</v>
      </c>
      <c r="AK231" s="92">
        <f t="shared" si="258"/>
        <v>-352.20000000000061</v>
      </c>
      <c r="AL231" s="92">
        <f t="shared" si="258"/>
        <v>1121.6869999999999</v>
      </c>
      <c r="AM231" s="92">
        <f t="shared" si="258"/>
        <v>608.29199999999958</v>
      </c>
      <c r="AN231" s="92">
        <f t="shared" ref="AN231:BS231" si="259">AN206+AN214+AN228+AN230</f>
        <v>-659.94799999999998</v>
      </c>
      <c r="AO231" s="92">
        <f t="shared" si="259"/>
        <v>2057.8850000000007</v>
      </c>
      <c r="AP231" s="92">
        <f t="shared" si="259"/>
        <v>-1137.5439999999999</v>
      </c>
      <c r="AQ231" s="92">
        <f t="shared" si="259"/>
        <v>700.79400000000032</v>
      </c>
      <c r="AR231" s="92">
        <f t="shared" si="259"/>
        <v>961.18700000000104</v>
      </c>
      <c r="AS231" s="889">
        <f t="shared" si="259"/>
        <v>-455.05099999999993</v>
      </c>
      <c r="AT231" s="550">
        <f t="shared" si="259"/>
        <v>160.12399999999997</v>
      </c>
      <c r="AU231" s="550">
        <f t="shared" si="259"/>
        <v>-102.53200000000015</v>
      </c>
      <c r="AV231" s="890">
        <f t="shared" si="259"/>
        <v>59.310000000000088</v>
      </c>
      <c r="AW231" s="550">
        <f t="shared" si="259"/>
        <v>-338.14899999999989</v>
      </c>
      <c r="AX231" s="889">
        <f t="shared" si="259"/>
        <v>-357.39199999999994</v>
      </c>
      <c r="AY231" s="550">
        <f t="shared" si="259"/>
        <v>-858.08500000000015</v>
      </c>
      <c r="AZ231" s="550">
        <f t="shared" si="259"/>
        <v>1048.5890000000002</v>
      </c>
      <c r="BA231" s="890">
        <f t="shared" si="259"/>
        <v>-524.68699999999978</v>
      </c>
      <c r="BB231" s="550">
        <f t="shared" si="259"/>
        <v>-691.57499999999959</v>
      </c>
      <c r="BC231" s="889">
        <f t="shared" si="259"/>
        <v>-172.46199999999996</v>
      </c>
      <c r="BD231" s="550">
        <f t="shared" si="259"/>
        <v>36.600000000000037</v>
      </c>
      <c r="BE231" s="550">
        <f t="shared" si="259"/>
        <v>-88.107000000000085</v>
      </c>
      <c r="BF231" s="970">
        <f t="shared" si="259"/>
        <v>99.207999999999913</v>
      </c>
      <c r="BG231" s="577">
        <f t="shared" si="259"/>
        <v>-124.76100000000008</v>
      </c>
      <c r="BH231" s="889">
        <f t="shared" si="259"/>
        <v>-20.83100000000001</v>
      </c>
      <c r="BI231" s="550">
        <f t="shared" si="259"/>
        <v>-67.825000000000017</v>
      </c>
      <c r="BJ231" s="550">
        <f t="shared" si="259"/>
        <v>581.20799999999986</v>
      </c>
      <c r="BK231" s="970">
        <f t="shared" si="259"/>
        <v>-640.3349999999997</v>
      </c>
      <c r="BL231" s="577">
        <f t="shared" si="259"/>
        <v>-147.78299999999916</v>
      </c>
      <c r="BM231" s="889">
        <f t="shared" si="259"/>
        <v>-150.16199999999989</v>
      </c>
      <c r="BN231" s="550">
        <f t="shared" si="259"/>
        <v>-272.23300000000012</v>
      </c>
      <c r="BO231" s="550">
        <f t="shared" si="259"/>
        <v>1092.442</v>
      </c>
      <c r="BP231" s="890">
        <f t="shared" si="259"/>
        <v>-239.65700000000001</v>
      </c>
      <c r="BQ231" s="550">
        <f t="shared" si="259"/>
        <v>430.39000000000033</v>
      </c>
      <c r="BR231" s="889">
        <f t="shared" si="259"/>
        <v>-330.71</v>
      </c>
      <c r="BS231" s="550">
        <f t="shared" si="259"/>
        <v>-84.980999999999966</v>
      </c>
      <c r="BT231" s="550">
        <f t="shared" ref="BT231:CY231" si="260">BT206+BT214+BT228+BT230</f>
        <v>228.38400000000001</v>
      </c>
      <c r="BU231" s="890">
        <f t="shared" si="260"/>
        <v>-271.80099999999987</v>
      </c>
      <c r="BV231" s="550">
        <f t="shared" si="260"/>
        <v>-459.10799999999972</v>
      </c>
      <c r="BW231" s="889">
        <f t="shared" si="260"/>
        <v>141.71999999999994</v>
      </c>
      <c r="BX231" s="550">
        <f t="shared" si="260"/>
        <v>410.63199999999995</v>
      </c>
      <c r="BY231" s="550">
        <f t="shared" si="260"/>
        <v>318.92899999999997</v>
      </c>
      <c r="BZ231" s="890">
        <f t="shared" si="260"/>
        <v>44.044000000000032</v>
      </c>
      <c r="CA231" s="550">
        <f t="shared" si="260"/>
        <v>915.32500000000027</v>
      </c>
      <c r="CB231" s="889">
        <f t="shared" si="260"/>
        <v>339.01899999999983</v>
      </c>
      <c r="CC231" s="550">
        <f t="shared" si="260"/>
        <v>-497.33799999999985</v>
      </c>
      <c r="CD231" s="550">
        <f t="shared" si="260"/>
        <v>-76.442999999999998</v>
      </c>
      <c r="CE231" s="890">
        <f t="shared" si="260"/>
        <v>341.25399999999991</v>
      </c>
      <c r="CF231" s="550">
        <f t="shared" si="260"/>
        <v>106.49199999999973</v>
      </c>
      <c r="CG231" s="889">
        <f t="shared" si="260"/>
        <v>-388.20200000000006</v>
      </c>
      <c r="CH231" s="550">
        <f t="shared" si="260"/>
        <v>-146.40599999999989</v>
      </c>
      <c r="CI231" s="550">
        <f t="shared" si="260"/>
        <v>64.59100000000015</v>
      </c>
      <c r="CJ231" s="890">
        <f t="shared" si="260"/>
        <v>-626.84000000000026</v>
      </c>
      <c r="CK231" s="550">
        <f t="shared" si="260"/>
        <v>-1096.8570000000002</v>
      </c>
      <c r="CL231" s="889">
        <f t="shared" si="260"/>
        <v>-188.84999999999985</v>
      </c>
      <c r="CM231" s="550">
        <f t="shared" si="260"/>
        <v>332.65743731385021</v>
      </c>
      <c r="CN231" s="550">
        <f t="shared" si="260"/>
        <v>186.89329515443382</v>
      </c>
      <c r="CO231" s="890">
        <f t="shared" si="260"/>
        <v>394.99452016045797</v>
      </c>
      <c r="CP231" s="550">
        <f t="shared" si="260"/>
        <v>725.69525262874163</v>
      </c>
      <c r="CQ231" s="889">
        <f t="shared" si="260"/>
        <v>-40.305031191222298</v>
      </c>
      <c r="CR231" s="550">
        <f t="shared" si="260"/>
        <v>703.13150200093128</v>
      </c>
      <c r="CS231" s="550">
        <f t="shared" si="260"/>
        <v>325.54856070482373</v>
      </c>
      <c r="CT231" s="890">
        <f t="shared" si="260"/>
        <v>370.79932257922775</v>
      </c>
      <c r="CU231" s="550">
        <f t="shared" si="260"/>
        <v>1359.17435409376</v>
      </c>
      <c r="CV231" s="889">
        <f t="shared" si="260"/>
        <v>-27.468764673798688</v>
      </c>
      <c r="CW231" s="550">
        <f t="shared" si="260"/>
        <v>772.75794802281735</v>
      </c>
      <c r="CX231" s="550">
        <f t="shared" si="260"/>
        <v>377.51868698553795</v>
      </c>
      <c r="CY231" s="890">
        <f t="shared" si="260"/>
        <v>458.83072697017161</v>
      </c>
      <c r="CZ231" s="550">
        <f t="shared" ref="CZ231" si="261">CZ206+CZ214+CZ228+CZ230</f>
        <v>1581.6385973047286</v>
      </c>
    </row>
    <row r="232" spans="1:105" ht="13.5" customHeight="1">
      <c r="A232" s="66"/>
      <c r="B232" s="66" t="s">
        <v>87</v>
      </c>
      <c r="C232" s="20"/>
      <c r="D232" s="66"/>
      <c r="E232" s="99"/>
      <c r="F232" s="99"/>
      <c r="G232" s="99"/>
      <c r="H232" s="99"/>
      <c r="I232" s="99"/>
      <c r="J232" s="101">
        <v>462.348547</v>
      </c>
      <c r="K232" s="101">
        <f>J233</f>
        <v>456.21691400000003</v>
      </c>
      <c r="L232" s="101">
        <f>K113</f>
        <v>537.578352</v>
      </c>
      <c r="M232" s="101">
        <f>L113</f>
        <v>523.00744699999996</v>
      </c>
      <c r="N232" s="101">
        <f>+J232</f>
        <v>462.348547</v>
      </c>
      <c r="O232" s="101">
        <f>N233</f>
        <v>219.00486799999999</v>
      </c>
      <c r="P232" s="101">
        <f>O233</f>
        <v>181.71040099999999</v>
      </c>
      <c r="Q232" s="101">
        <f>P233</f>
        <v>182.27622699999998</v>
      </c>
      <c r="R232" s="101">
        <f>Q233</f>
        <v>284.93981299999984</v>
      </c>
      <c r="S232" s="101">
        <f>N233</f>
        <v>219.00486799999999</v>
      </c>
      <c r="T232" s="101">
        <f>ROUND(S233,3)</f>
        <v>350.33199999999999</v>
      </c>
      <c r="U232" s="101">
        <f>T233</f>
        <v>397.91399999999999</v>
      </c>
      <c r="V232" s="101">
        <f>U233</f>
        <v>502.05</v>
      </c>
      <c r="W232" s="101">
        <f>V233</f>
        <v>758.15200000000004</v>
      </c>
      <c r="X232" s="101">
        <f>T232</f>
        <v>350.33199999999999</v>
      </c>
      <c r="Y232" s="101">
        <f>X233</f>
        <v>779.04899999999975</v>
      </c>
      <c r="Z232" s="101">
        <f>Y233</f>
        <v>1202.7109999999996</v>
      </c>
      <c r="AA232" s="101">
        <f>Z233</f>
        <v>1060.7549999999997</v>
      </c>
      <c r="AB232" s="101">
        <f>AA233</f>
        <v>1607.2379999999998</v>
      </c>
      <c r="AC232" s="101">
        <f>X233</f>
        <v>779.04899999999975</v>
      </c>
      <c r="AD232" s="101">
        <f>AC233</f>
        <v>980.15000000000009</v>
      </c>
      <c r="AE232" s="101">
        <f>AD233</f>
        <v>1127.9780000000001</v>
      </c>
      <c r="AF232" s="101">
        <f>AE233</f>
        <v>883.32100000000003</v>
      </c>
      <c r="AG232" s="101">
        <f>AF233</f>
        <v>832.59699999999987</v>
      </c>
      <c r="AH232" s="101">
        <f>AC233</f>
        <v>980.15000000000009</v>
      </c>
      <c r="AI232" s="101">
        <f>AH233</f>
        <v>785.65100000000029</v>
      </c>
      <c r="AJ232" s="101">
        <f>AI233</f>
        <v>881.60600000000045</v>
      </c>
      <c r="AK232" s="101">
        <f>AJ233</f>
        <v>624.45600000000036</v>
      </c>
      <c r="AL232" s="101">
        <f>AK233</f>
        <v>272.25599999999974</v>
      </c>
      <c r="AM232" s="101">
        <f>AH233</f>
        <v>785.65100000000029</v>
      </c>
      <c r="AN232" s="101">
        <f>AM233</f>
        <v>1393.9429999999998</v>
      </c>
      <c r="AO232" s="101">
        <f>AN233</f>
        <v>733.99499999999978</v>
      </c>
      <c r="AP232" s="101">
        <f>AO233</f>
        <v>2791.8800000000006</v>
      </c>
      <c r="AQ232" s="101">
        <f>AP233</f>
        <v>1654.3360000000007</v>
      </c>
      <c r="AR232" s="101">
        <f>AM233</f>
        <v>1393.9429999999998</v>
      </c>
      <c r="AS232" s="923">
        <f>AR233</f>
        <v>2355.130000000001</v>
      </c>
      <c r="AT232" s="574">
        <f>AS233</f>
        <v>1900.0790000000011</v>
      </c>
      <c r="AU232" s="574">
        <f>AT233</f>
        <v>2060.2030000000009</v>
      </c>
      <c r="AV232" s="924">
        <f>AU233</f>
        <v>1957.6710000000007</v>
      </c>
      <c r="AW232" s="555">
        <f>AR233</f>
        <v>2355.130000000001</v>
      </c>
      <c r="AX232" s="923">
        <f>AW233</f>
        <v>2016.9810000000011</v>
      </c>
      <c r="AY232" s="574">
        <f>AX233</f>
        <v>1659.5890000000013</v>
      </c>
      <c r="AZ232" s="574">
        <f>AY233</f>
        <v>801.50400000000116</v>
      </c>
      <c r="BA232" s="924">
        <f>AZ233</f>
        <v>1850.0930000000012</v>
      </c>
      <c r="BB232" s="555">
        <f>AW233</f>
        <v>2016.9810000000011</v>
      </c>
      <c r="BC232" s="923">
        <f>BB233</f>
        <v>1325.4060000000015</v>
      </c>
      <c r="BD232" s="574">
        <f>BC233</f>
        <v>1152.9440000000016</v>
      </c>
      <c r="BE232" s="574">
        <f>BD233</f>
        <v>1189.5440000000017</v>
      </c>
      <c r="BF232" s="976">
        <f>BE233</f>
        <v>1101.4370000000017</v>
      </c>
      <c r="BG232" s="556">
        <f>BB233</f>
        <v>1325.4060000000015</v>
      </c>
      <c r="BH232" s="923">
        <f>BG233</f>
        <v>1200.6450000000013</v>
      </c>
      <c r="BI232" s="574">
        <f>BH233</f>
        <v>1179.8140000000014</v>
      </c>
      <c r="BJ232" s="574">
        <f>BI233</f>
        <v>1111.9890000000014</v>
      </c>
      <c r="BK232" s="976">
        <f>BJ233</f>
        <v>1693.1970000000013</v>
      </c>
      <c r="BL232" s="556">
        <f>BG233</f>
        <v>1200.6450000000013</v>
      </c>
      <c r="BM232" s="923">
        <f>BL233</f>
        <v>1052.8620000000021</v>
      </c>
      <c r="BN232" s="574">
        <f>BM233</f>
        <v>902.70000000000221</v>
      </c>
      <c r="BO232" s="574">
        <f>BN233</f>
        <v>630.46700000000214</v>
      </c>
      <c r="BP232" s="924">
        <f>BO233</f>
        <v>1722.9090000000022</v>
      </c>
      <c r="BQ232" s="555">
        <f>BL233</f>
        <v>1052.8620000000021</v>
      </c>
      <c r="BR232" s="923">
        <f>BQ233</f>
        <v>1483.2520000000025</v>
      </c>
      <c r="BS232" s="574">
        <f>BR233</f>
        <v>1152.5420000000024</v>
      </c>
      <c r="BT232" s="574">
        <f>BS233</f>
        <v>1067.5610000000024</v>
      </c>
      <c r="BU232" s="924">
        <f>BT233</f>
        <v>1295.9450000000024</v>
      </c>
      <c r="BV232" s="555">
        <f>BQ233</f>
        <v>1483.2520000000025</v>
      </c>
      <c r="BW232" s="923">
        <f>BV233</f>
        <v>1024.1440000000027</v>
      </c>
      <c r="BX232" s="574">
        <f>BW233</f>
        <v>1165.8640000000028</v>
      </c>
      <c r="BY232" s="574">
        <f>BX233</f>
        <v>1576.4960000000028</v>
      </c>
      <c r="BZ232" s="924">
        <f>BY233</f>
        <v>1895.4250000000029</v>
      </c>
      <c r="CA232" s="555">
        <f>BV233</f>
        <v>1024.1440000000027</v>
      </c>
      <c r="CB232" s="923">
        <f>CA233</f>
        <v>1939.469000000003</v>
      </c>
      <c r="CC232" s="574">
        <f>CB233</f>
        <v>2278.488000000003</v>
      </c>
      <c r="CD232" s="574">
        <f>CC233</f>
        <v>1781.1500000000033</v>
      </c>
      <c r="CE232" s="924">
        <f>CD233</f>
        <v>1704.7070000000033</v>
      </c>
      <c r="CF232" s="555">
        <f>CA233</f>
        <v>1939.469000000003</v>
      </c>
      <c r="CG232" s="923">
        <f>CF233</f>
        <v>2045.9610000000027</v>
      </c>
      <c r="CH232" s="574">
        <f>CG233</f>
        <v>1657.7590000000027</v>
      </c>
      <c r="CI232" s="574">
        <f>CH233</f>
        <v>1511.3530000000028</v>
      </c>
      <c r="CJ232" s="924">
        <f>CI233</f>
        <v>1575.9440000000029</v>
      </c>
      <c r="CK232" s="555">
        <f>CF233</f>
        <v>2045.9610000000027</v>
      </c>
      <c r="CL232" s="923">
        <f>CK233</f>
        <v>949.10400000000254</v>
      </c>
      <c r="CM232" s="574">
        <f>CL233</f>
        <v>760.25400000000263</v>
      </c>
      <c r="CN232" s="574">
        <f>CM233</f>
        <v>1092.9114373138527</v>
      </c>
      <c r="CO232" s="924">
        <f>CN233</f>
        <v>1279.8047324682866</v>
      </c>
      <c r="CP232" s="555">
        <f>CK233</f>
        <v>949.10400000000254</v>
      </c>
      <c r="CQ232" s="923">
        <f>CP233</f>
        <v>1674.7992526287442</v>
      </c>
      <c r="CR232" s="574">
        <f>CQ233</f>
        <v>1634.4942214375219</v>
      </c>
      <c r="CS232" s="574">
        <f>CR233</f>
        <v>2337.625723438453</v>
      </c>
      <c r="CT232" s="924">
        <f>CS233</f>
        <v>2663.1742841432765</v>
      </c>
      <c r="CU232" s="555">
        <f>CP233</f>
        <v>1674.7992526287442</v>
      </c>
      <c r="CV232" s="923">
        <f>CU233</f>
        <v>3033.973606722504</v>
      </c>
      <c r="CW232" s="574">
        <f>CV233</f>
        <v>3006.5048420487051</v>
      </c>
      <c r="CX232" s="574">
        <f>CW233</f>
        <v>3779.2627900715224</v>
      </c>
      <c r="CY232" s="924">
        <f>CX233</f>
        <v>4156.7814770570603</v>
      </c>
      <c r="CZ232" s="555">
        <f>CU233</f>
        <v>3033.973606722504</v>
      </c>
    </row>
    <row r="233" spans="1:105" ht="13.5" customHeight="1">
      <c r="A233" s="66"/>
      <c r="B233" s="66" t="s">
        <v>88</v>
      </c>
      <c r="C233" s="20"/>
      <c r="D233" s="66"/>
      <c r="E233" s="94"/>
      <c r="F233" s="94"/>
      <c r="G233" s="94"/>
      <c r="H233" s="94"/>
      <c r="I233" s="94"/>
      <c r="J233" s="92">
        <f t="shared" ref="J233:S233" si="262">J231+J232</f>
        <v>456.21691400000003</v>
      </c>
      <c r="K233" s="92">
        <f t="shared" si="262"/>
        <v>537.578352</v>
      </c>
      <c r="L233" s="92">
        <f t="shared" si="262"/>
        <v>523.00744699999996</v>
      </c>
      <c r="M233" s="92">
        <f t="shared" si="262"/>
        <v>219.00486799999993</v>
      </c>
      <c r="N233" s="92">
        <f t="shared" si="262"/>
        <v>219.00486799999999</v>
      </c>
      <c r="O233" s="92">
        <f t="shared" si="262"/>
        <v>181.71040099999999</v>
      </c>
      <c r="P233" s="92">
        <f t="shared" si="262"/>
        <v>182.27622699999998</v>
      </c>
      <c r="Q233" s="92">
        <f t="shared" si="262"/>
        <v>284.93981299999984</v>
      </c>
      <c r="R233" s="92">
        <f t="shared" si="262"/>
        <v>350.33224299999995</v>
      </c>
      <c r="S233" s="92">
        <f t="shared" si="262"/>
        <v>350.33224299999995</v>
      </c>
      <c r="T233" s="92">
        <f t="shared" ref="T233:AM233" si="263">T231+T232</f>
        <v>397.91399999999999</v>
      </c>
      <c r="U233" s="92">
        <f t="shared" si="263"/>
        <v>502.05</v>
      </c>
      <c r="V233" s="92">
        <f t="shared" si="263"/>
        <v>758.15200000000004</v>
      </c>
      <c r="W233" s="92">
        <f t="shared" si="263"/>
        <v>779.04900000000009</v>
      </c>
      <c r="X233" s="92">
        <f t="shared" si="263"/>
        <v>779.04899999999975</v>
      </c>
      <c r="Y233" s="92">
        <f t="shared" si="263"/>
        <v>1202.7109999999996</v>
      </c>
      <c r="Z233" s="92">
        <f t="shared" si="263"/>
        <v>1060.7549999999997</v>
      </c>
      <c r="AA233" s="92">
        <f t="shared" si="263"/>
        <v>1607.2379999999998</v>
      </c>
      <c r="AB233" s="92">
        <f t="shared" si="263"/>
        <v>980.14999999999986</v>
      </c>
      <c r="AC233" s="92">
        <f t="shared" si="263"/>
        <v>980.15000000000009</v>
      </c>
      <c r="AD233" s="92">
        <f t="shared" si="263"/>
        <v>1127.9780000000001</v>
      </c>
      <c r="AE233" s="92">
        <f t="shared" si="263"/>
        <v>883.32100000000003</v>
      </c>
      <c r="AF233" s="92">
        <f t="shared" si="263"/>
        <v>832.59699999999987</v>
      </c>
      <c r="AG233" s="92">
        <f t="shared" si="263"/>
        <v>785.65099999999984</v>
      </c>
      <c r="AH233" s="92">
        <f t="shared" si="263"/>
        <v>785.65100000000029</v>
      </c>
      <c r="AI233" s="92">
        <f t="shared" si="263"/>
        <v>881.60600000000045</v>
      </c>
      <c r="AJ233" s="92">
        <f t="shared" si="263"/>
        <v>624.45600000000036</v>
      </c>
      <c r="AK233" s="92">
        <f t="shared" si="263"/>
        <v>272.25599999999974</v>
      </c>
      <c r="AL233" s="92">
        <f t="shared" si="263"/>
        <v>1393.9429999999998</v>
      </c>
      <c r="AM233" s="92">
        <f t="shared" si="263"/>
        <v>1393.9429999999998</v>
      </c>
      <c r="AN233" s="92">
        <f t="shared" ref="AN233:BS233" si="264">AN231+AN232</f>
        <v>733.99499999999978</v>
      </c>
      <c r="AO233" s="92">
        <f t="shared" si="264"/>
        <v>2791.8800000000006</v>
      </c>
      <c r="AP233" s="92">
        <f t="shared" si="264"/>
        <v>1654.3360000000007</v>
      </c>
      <c r="AQ233" s="92">
        <f t="shared" si="264"/>
        <v>2355.130000000001</v>
      </c>
      <c r="AR233" s="92">
        <f t="shared" si="264"/>
        <v>2355.130000000001</v>
      </c>
      <c r="AS233" s="889">
        <f t="shared" si="264"/>
        <v>1900.0790000000011</v>
      </c>
      <c r="AT233" s="550">
        <f t="shared" si="264"/>
        <v>2060.2030000000009</v>
      </c>
      <c r="AU233" s="550">
        <f t="shared" si="264"/>
        <v>1957.6710000000007</v>
      </c>
      <c r="AV233" s="890">
        <f t="shared" si="264"/>
        <v>2016.9810000000009</v>
      </c>
      <c r="AW233" s="550">
        <f t="shared" si="264"/>
        <v>2016.9810000000011</v>
      </c>
      <c r="AX233" s="889">
        <f t="shared" si="264"/>
        <v>1659.5890000000013</v>
      </c>
      <c r="AY233" s="550">
        <f t="shared" si="264"/>
        <v>801.50400000000116</v>
      </c>
      <c r="AZ233" s="550">
        <f t="shared" si="264"/>
        <v>1850.0930000000012</v>
      </c>
      <c r="BA233" s="890">
        <f t="shared" si="264"/>
        <v>1325.4060000000013</v>
      </c>
      <c r="BB233" s="550">
        <f t="shared" si="264"/>
        <v>1325.4060000000015</v>
      </c>
      <c r="BC233" s="889">
        <f t="shared" si="264"/>
        <v>1152.9440000000016</v>
      </c>
      <c r="BD233" s="550">
        <f t="shared" si="264"/>
        <v>1189.5440000000017</v>
      </c>
      <c r="BE233" s="550">
        <f t="shared" si="264"/>
        <v>1101.4370000000017</v>
      </c>
      <c r="BF233" s="970">
        <f t="shared" si="264"/>
        <v>1200.6450000000016</v>
      </c>
      <c r="BG233" s="577">
        <f t="shared" si="264"/>
        <v>1200.6450000000013</v>
      </c>
      <c r="BH233" s="889">
        <f t="shared" si="264"/>
        <v>1179.8140000000014</v>
      </c>
      <c r="BI233" s="550">
        <f t="shared" si="264"/>
        <v>1111.9890000000014</v>
      </c>
      <c r="BJ233" s="550">
        <f t="shared" si="264"/>
        <v>1693.1970000000013</v>
      </c>
      <c r="BK233" s="970">
        <f t="shared" si="264"/>
        <v>1052.8620000000014</v>
      </c>
      <c r="BL233" s="577">
        <f t="shared" si="264"/>
        <v>1052.8620000000021</v>
      </c>
      <c r="BM233" s="889">
        <f t="shared" si="264"/>
        <v>902.70000000000221</v>
      </c>
      <c r="BN233" s="550">
        <f t="shared" si="264"/>
        <v>630.46700000000214</v>
      </c>
      <c r="BO233" s="550">
        <f t="shared" si="264"/>
        <v>1722.9090000000022</v>
      </c>
      <c r="BP233" s="890">
        <f t="shared" si="264"/>
        <v>1483.2520000000022</v>
      </c>
      <c r="BQ233" s="550">
        <f t="shared" si="264"/>
        <v>1483.2520000000025</v>
      </c>
      <c r="BR233" s="889">
        <f t="shared" si="264"/>
        <v>1152.5420000000024</v>
      </c>
      <c r="BS233" s="550">
        <f t="shared" si="264"/>
        <v>1067.5610000000024</v>
      </c>
      <c r="BT233" s="550">
        <f t="shared" ref="BT233:CY233" si="265">BT231+BT232</f>
        <v>1295.9450000000024</v>
      </c>
      <c r="BU233" s="890">
        <f t="shared" si="265"/>
        <v>1024.1440000000025</v>
      </c>
      <c r="BV233" s="550">
        <f t="shared" si="265"/>
        <v>1024.1440000000027</v>
      </c>
      <c r="BW233" s="889">
        <f t="shared" si="265"/>
        <v>1165.8640000000028</v>
      </c>
      <c r="BX233" s="550">
        <f t="shared" si="265"/>
        <v>1576.4960000000028</v>
      </c>
      <c r="BY233" s="550">
        <f t="shared" si="265"/>
        <v>1895.4250000000029</v>
      </c>
      <c r="BZ233" s="890">
        <f t="shared" si="265"/>
        <v>1939.469000000003</v>
      </c>
      <c r="CA233" s="550">
        <f t="shared" si="265"/>
        <v>1939.469000000003</v>
      </c>
      <c r="CB233" s="889">
        <f t="shared" si="265"/>
        <v>2278.488000000003</v>
      </c>
      <c r="CC233" s="550">
        <f t="shared" si="265"/>
        <v>1781.1500000000033</v>
      </c>
      <c r="CD233" s="550">
        <f t="shared" si="265"/>
        <v>1704.7070000000033</v>
      </c>
      <c r="CE233" s="890">
        <f t="shared" si="265"/>
        <v>2045.9610000000032</v>
      </c>
      <c r="CF233" s="550">
        <f t="shared" si="265"/>
        <v>2045.9610000000027</v>
      </c>
      <c r="CG233" s="889">
        <f t="shared" si="265"/>
        <v>1657.7590000000027</v>
      </c>
      <c r="CH233" s="550">
        <f t="shared" si="265"/>
        <v>1511.3530000000028</v>
      </c>
      <c r="CI233" s="550">
        <f t="shared" si="265"/>
        <v>1575.9440000000029</v>
      </c>
      <c r="CJ233" s="890">
        <f t="shared" si="265"/>
        <v>949.10400000000266</v>
      </c>
      <c r="CK233" s="550">
        <f t="shared" si="265"/>
        <v>949.10400000000254</v>
      </c>
      <c r="CL233" s="889">
        <f t="shared" si="265"/>
        <v>760.25400000000263</v>
      </c>
      <c r="CM233" s="550">
        <f t="shared" si="265"/>
        <v>1092.9114373138527</v>
      </c>
      <c r="CN233" s="550">
        <f t="shared" si="265"/>
        <v>1279.8047324682866</v>
      </c>
      <c r="CO233" s="890">
        <f t="shared" si="265"/>
        <v>1674.7992526287446</v>
      </c>
      <c r="CP233" s="550">
        <f t="shared" si="265"/>
        <v>1674.7992526287442</v>
      </c>
      <c r="CQ233" s="889">
        <f t="shared" si="265"/>
        <v>1634.4942214375219</v>
      </c>
      <c r="CR233" s="550">
        <f t="shared" si="265"/>
        <v>2337.625723438453</v>
      </c>
      <c r="CS233" s="550">
        <f t="shared" si="265"/>
        <v>2663.1742841432765</v>
      </c>
      <c r="CT233" s="890">
        <f t="shared" si="265"/>
        <v>3033.9736067225044</v>
      </c>
      <c r="CU233" s="550">
        <f t="shared" si="265"/>
        <v>3033.973606722504</v>
      </c>
      <c r="CV233" s="889">
        <f t="shared" si="265"/>
        <v>3006.5048420487051</v>
      </c>
      <c r="CW233" s="550">
        <f t="shared" si="265"/>
        <v>3779.2627900715224</v>
      </c>
      <c r="CX233" s="550">
        <f t="shared" si="265"/>
        <v>4156.7814770570603</v>
      </c>
      <c r="CY233" s="890">
        <f t="shared" si="265"/>
        <v>4615.6122040272321</v>
      </c>
      <c r="CZ233" s="550">
        <f t="shared" ref="CZ233" si="266">CZ231+CZ232</f>
        <v>4615.612204027233</v>
      </c>
    </row>
    <row r="234" spans="1:105" ht="6.2" customHeight="1">
      <c r="A234" s="66"/>
      <c r="B234" s="82"/>
      <c r="C234" s="20"/>
      <c r="D234" s="66"/>
      <c r="E234" s="174"/>
      <c r="F234" s="174"/>
      <c r="G234" s="174"/>
      <c r="H234" s="174"/>
      <c r="I234" s="174"/>
      <c r="J234" s="176"/>
      <c r="K234" s="176"/>
      <c r="L234" s="176"/>
      <c r="M234" s="176"/>
      <c r="N234" s="176"/>
      <c r="O234" s="176"/>
      <c r="P234" s="111"/>
      <c r="Q234" s="176"/>
      <c r="R234" s="176"/>
      <c r="S234" s="176"/>
      <c r="T234" s="93"/>
      <c r="U234" s="20"/>
      <c r="V234" s="174"/>
      <c r="W234" s="174"/>
      <c r="X234" s="190"/>
      <c r="Y234" s="20"/>
      <c r="Z234" s="20"/>
      <c r="AA234" s="181"/>
      <c r="AB234" s="20"/>
      <c r="AC234" s="190"/>
      <c r="AD234" s="20"/>
      <c r="AE234" s="20"/>
      <c r="AF234" s="20"/>
      <c r="AG234" s="20"/>
      <c r="AH234" s="191"/>
      <c r="AI234" s="20"/>
      <c r="AJ234" s="20"/>
      <c r="AK234" s="20"/>
      <c r="AL234" s="20"/>
      <c r="AM234" s="191"/>
      <c r="AN234" s="99"/>
      <c r="AO234" s="20"/>
      <c r="AP234" s="20"/>
      <c r="AQ234" s="66"/>
      <c r="AR234" s="176"/>
      <c r="AS234" s="840"/>
      <c r="AT234" s="20"/>
      <c r="AU234" s="20"/>
      <c r="AV234" s="860"/>
      <c r="AW234" s="176"/>
      <c r="AX234" s="840"/>
      <c r="AY234" s="20"/>
      <c r="AZ234" s="20"/>
      <c r="BA234" s="860"/>
      <c r="BB234" s="176"/>
      <c r="BC234" s="840"/>
      <c r="BD234" s="20"/>
      <c r="BE234" s="20"/>
      <c r="BF234" s="954"/>
      <c r="BG234" s="366"/>
      <c r="BH234" s="840"/>
      <c r="BI234" s="20"/>
      <c r="BJ234" s="20"/>
      <c r="BK234" s="1111"/>
      <c r="BL234" s="176"/>
      <c r="BM234" s="840"/>
      <c r="BN234" s="20"/>
      <c r="BO234" s="20"/>
      <c r="BP234" s="860"/>
      <c r="BQ234" s="176"/>
      <c r="BR234" s="840"/>
      <c r="BS234" s="20"/>
      <c r="BT234" s="20"/>
      <c r="BU234" s="860"/>
      <c r="BV234" s="176"/>
      <c r="BW234" s="840"/>
      <c r="BX234" s="20"/>
      <c r="BY234" s="20"/>
      <c r="BZ234" s="1111"/>
      <c r="CA234" s="176"/>
      <c r="CB234" s="840"/>
      <c r="CC234" s="20"/>
      <c r="CD234" s="495"/>
      <c r="CE234" s="924"/>
      <c r="CF234" s="176"/>
      <c r="CG234" s="838"/>
      <c r="CH234" s="495"/>
      <c r="CI234" s="20"/>
      <c r="CJ234" s="944"/>
      <c r="CK234" s="176"/>
      <c r="CL234" s="840"/>
      <c r="CM234" s="20"/>
      <c r="CN234" s="20"/>
      <c r="CO234" s="860"/>
      <c r="CP234" s="176"/>
      <c r="CQ234" s="840"/>
      <c r="CR234" s="20"/>
      <c r="CS234" s="20"/>
      <c r="CT234" s="860"/>
      <c r="CU234" s="176"/>
      <c r="CV234" s="840"/>
      <c r="CW234" s="20"/>
      <c r="CX234" s="20"/>
      <c r="CY234" s="860"/>
      <c r="CZ234" s="176"/>
    </row>
    <row r="235" spans="1:105" ht="13.5" customHeight="1">
      <c r="A235" s="292"/>
      <c r="B235" s="293" t="s">
        <v>594</v>
      </c>
      <c r="C235" s="294"/>
      <c r="D235" s="294"/>
      <c r="E235" s="295"/>
      <c r="F235" s="295"/>
      <c r="G235" s="295"/>
      <c r="H235" s="295"/>
      <c r="I235" s="295"/>
      <c r="J235" s="299">
        <f t="shared" ref="J235:AC235" si="267">J233-J113</f>
        <v>0</v>
      </c>
      <c r="K235" s="295">
        <f t="shared" si="267"/>
        <v>0</v>
      </c>
      <c r="L235" s="295">
        <f t="shared" si="267"/>
        <v>0</v>
      </c>
      <c r="M235" s="295">
        <f t="shared" si="267"/>
        <v>0</v>
      </c>
      <c r="N235" s="295">
        <f t="shared" si="267"/>
        <v>0</v>
      </c>
      <c r="O235" s="295">
        <f t="shared" si="267"/>
        <v>0</v>
      </c>
      <c r="P235" s="295">
        <f t="shared" si="267"/>
        <v>0</v>
      </c>
      <c r="Q235" s="295">
        <f t="shared" si="267"/>
        <v>0</v>
      </c>
      <c r="R235" s="295">
        <f t="shared" si="267"/>
        <v>0</v>
      </c>
      <c r="S235" s="295">
        <f t="shared" si="267"/>
        <v>0</v>
      </c>
      <c r="T235" s="295">
        <f t="shared" si="267"/>
        <v>0</v>
      </c>
      <c r="U235" s="295">
        <f t="shared" si="267"/>
        <v>0</v>
      </c>
      <c r="V235" s="295">
        <f t="shared" si="267"/>
        <v>0</v>
      </c>
      <c r="W235" s="295">
        <f t="shared" si="267"/>
        <v>0</v>
      </c>
      <c r="X235" s="300">
        <f t="shared" si="267"/>
        <v>0</v>
      </c>
      <c r="Y235" s="295">
        <f t="shared" si="267"/>
        <v>0</v>
      </c>
      <c r="Z235" s="295">
        <f t="shared" si="267"/>
        <v>0</v>
      </c>
      <c r="AA235" s="296">
        <f t="shared" si="267"/>
        <v>0</v>
      </c>
      <c r="AB235" s="295">
        <f t="shared" si="267"/>
        <v>0</v>
      </c>
      <c r="AC235" s="296">
        <f t="shared" si="267"/>
        <v>0</v>
      </c>
      <c r="AD235" s="295">
        <f t="shared" ref="AD235:AM235" si="268">ROUND(AD233-AD113,6)</f>
        <v>0</v>
      </c>
      <c r="AE235" s="295">
        <f t="shared" si="268"/>
        <v>0</v>
      </c>
      <c r="AF235" s="295">
        <f t="shared" si="268"/>
        <v>0</v>
      </c>
      <c r="AG235" s="295">
        <f t="shared" si="268"/>
        <v>0</v>
      </c>
      <c r="AH235" s="295">
        <f t="shared" si="268"/>
        <v>0</v>
      </c>
      <c r="AI235" s="295">
        <f t="shared" si="268"/>
        <v>0</v>
      </c>
      <c r="AJ235" s="295">
        <f t="shared" si="268"/>
        <v>0</v>
      </c>
      <c r="AK235" s="295">
        <f t="shared" si="268"/>
        <v>0</v>
      </c>
      <c r="AL235" s="295">
        <f t="shared" si="268"/>
        <v>0</v>
      </c>
      <c r="AM235" s="295">
        <f t="shared" si="268"/>
        <v>0</v>
      </c>
      <c r="AN235" s="295">
        <f t="shared" ref="AN235:BS235" si="269">ROUND(AN233-AN113,6)</f>
        <v>0</v>
      </c>
      <c r="AO235" s="298">
        <f t="shared" si="269"/>
        <v>0</v>
      </c>
      <c r="AP235" s="295">
        <f t="shared" si="269"/>
        <v>0</v>
      </c>
      <c r="AQ235" s="295">
        <f t="shared" si="269"/>
        <v>0</v>
      </c>
      <c r="AR235" s="295">
        <f t="shared" si="269"/>
        <v>0</v>
      </c>
      <c r="AS235" s="921">
        <f t="shared" si="269"/>
        <v>0</v>
      </c>
      <c r="AT235" s="587">
        <f t="shared" si="269"/>
        <v>0</v>
      </c>
      <c r="AU235" s="587">
        <f t="shared" si="269"/>
        <v>0</v>
      </c>
      <c r="AV235" s="922">
        <f t="shared" si="269"/>
        <v>0</v>
      </c>
      <c r="AW235" s="587">
        <f t="shared" si="269"/>
        <v>0</v>
      </c>
      <c r="AX235" s="921">
        <f t="shared" si="269"/>
        <v>0</v>
      </c>
      <c r="AY235" s="587">
        <f t="shared" si="269"/>
        <v>0</v>
      </c>
      <c r="AZ235" s="587">
        <f t="shared" si="269"/>
        <v>0</v>
      </c>
      <c r="BA235" s="922">
        <f t="shared" si="269"/>
        <v>0</v>
      </c>
      <c r="BB235" s="587">
        <f t="shared" si="269"/>
        <v>0</v>
      </c>
      <c r="BC235" s="921">
        <f t="shared" si="269"/>
        <v>0</v>
      </c>
      <c r="BD235" s="587">
        <f t="shared" si="269"/>
        <v>0</v>
      </c>
      <c r="BE235" s="587">
        <f t="shared" si="269"/>
        <v>0</v>
      </c>
      <c r="BF235" s="1179">
        <f t="shared" si="269"/>
        <v>0</v>
      </c>
      <c r="BG235" s="588">
        <f t="shared" si="269"/>
        <v>0</v>
      </c>
      <c r="BH235" s="921">
        <f t="shared" si="269"/>
        <v>0</v>
      </c>
      <c r="BI235" s="587">
        <f t="shared" si="269"/>
        <v>0</v>
      </c>
      <c r="BJ235" s="587">
        <f t="shared" si="269"/>
        <v>0</v>
      </c>
      <c r="BK235" s="922">
        <f t="shared" si="269"/>
        <v>0</v>
      </c>
      <c r="BL235" s="587">
        <f t="shared" si="269"/>
        <v>0</v>
      </c>
      <c r="BM235" s="921">
        <f t="shared" si="269"/>
        <v>0</v>
      </c>
      <c r="BN235" s="587">
        <f t="shared" si="269"/>
        <v>0</v>
      </c>
      <c r="BO235" s="587">
        <f t="shared" si="269"/>
        <v>0</v>
      </c>
      <c r="BP235" s="922">
        <f t="shared" si="269"/>
        <v>0</v>
      </c>
      <c r="BQ235" s="587">
        <f t="shared" si="269"/>
        <v>0</v>
      </c>
      <c r="BR235" s="921">
        <f t="shared" si="269"/>
        <v>0</v>
      </c>
      <c r="BS235" s="587">
        <f t="shared" si="269"/>
        <v>0</v>
      </c>
      <c r="BT235" s="587">
        <f t="shared" ref="BT235:CZ235" si="270">ROUND(BT233-BT113,6)</f>
        <v>0</v>
      </c>
      <c r="BU235" s="922">
        <f t="shared" si="270"/>
        <v>0</v>
      </c>
      <c r="BV235" s="587">
        <f t="shared" si="270"/>
        <v>0</v>
      </c>
      <c r="BW235" s="921">
        <f t="shared" si="270"/>
        <v>0</v>
      </c>
      <c r="BX235" s="587">
        <f t="shared" si="270"/>
        <v>0</v>
      </c>
      <c r="BY235" s="587">
        <f t="shared" si="270"/>
        <v>0</v>
      </c>
      <c r="BZ235" s="922">
        <f t="shared" si="270"/>
        <v>0</v>
      </c>
      <c r="CA235" s="587">
        <f t="shared" si="270"/>
        <v>0</v>
      </c>
      <c r="CB235" s="921">
        <f t="shared" si="270"/>
        <v>0</v>
      </c>
      <c r="CC235" s="587">
        <f t="shared" si="270"/>
        <v>0</v>
      </c>
      <c r="CD235" s="587">
        <f t="shared" si="270"/>
        <v>0</v>
      </c>
      <c r="CE235" s="922">
        <f t="shared" si="270"/>
        <v>0</v>
      </c>
      <c r="CF235" s="587">
        <f t="shared" si="270"/>
        <v>0</v>
      </c>
      <c r="CG235" s="921">
        <f t="shared" si="270"/>
        <v>0</v>
      </c>
      <c r="CH235" s="587">
        <f t="shared" si="270"/>
        <v>0</v>
      </c>
      <c r="CI235" s="587">
        <f t="shared" si="270"/>
        <v>0</v>
      </c>
      <c r="CJ235" s="922">
        <f t="shared" si="270"/>
        <v>0</v>
      </c>
      <c r="CK235" s="587">
        <f t="shared" si="270"/>
        <v>0</v>
      </c>
      <c r="CL235" s="921">
        <f t="shared" si="270"/>
        <v>0</v>
      </c>
      <c r="CM235" s="587">
        <f t="shared" si="270"/>
        <v>0</v>
      </c>
      <c r="CN235" s="587">
        <f t="shared" si="270"/>
        <v>0</v>
      </c>
      <c r="CO235" s="922">
        <f t="shared" si="270"/>
        <v>0</v>
      </c>
      <c r="CP235" s="587">
        <f t="shared" si="270"/>
        <v>0</v>
      </c>
      <c r="CQ235" s="921">
        <f t="shared" si="270"/>
        <v>0</v>
      </c>
      <c r="CR235" s="587">
        <f t="shared" si="270"/>
        <v>0</v>
      </c>
      <c r="CS235" s="587">
        <f t="shared" si="270"/>
        <v>0</v>
      </c>
      <c r="CT235" s="922">
        <f t="shared" si="270"/>
        <v>0</v>
      </c>
      <c r="CU235" s="587">
        <f t="shared" si="270"/>
        <v>0</v>
      </c>
      <c r="CV235" s="921">
        <f t="shared" si="270"/>
        <v>0</v>
      </c>
      <c r="CW235" s="587">
        <f t="shared" si="270"/>
        <v>0</v>
      </c>
      <c r="CX235" s="587">
        <f t="shared" si="270"/>
        <v>0</v>
      </c>
      <c r="CY235" s="922">
        <f t="shared" si="270"/>
        <v>0</v>
      </c>
      <c r="CZ235" s="587">
        <f t="shared" si="270"/>
        <v>0</v>
      </c>
    </row>
    <row r="236" spans="1:105" ht="6.2" customHeight="1">
      <c r="A236" s="66"/>
      <c r="B236" s="82"/>
      <c r="C236" s="20"/>
      <c r="D236" s="66"/>
      <c r="E236" s="174"/>
      <c r="F236" s="174"/>
      <c r="G236" s="174"/>
      <c r="H236" s="174"/>
      <c r="I236" s="174"/>
      <c r="J236" s="176"/>
      <c r="K236" s="176"/>
      <c r="L236" s="176"/>
      <c r="M236" s="176"/>
      <c r="N236" s="176"/>
      <c r="O236" s="176"/>
      <c r="P236" s="176"/>
      <c r="Q236" s="176"/>
      <c r="R236" s="176"/>
      <c r="S236" s="176"/>
      <c r="T236" s="20"/>
      <c r="U236" s="20"/>
      <c r="V236" s="174"/>
      <c r="W236" s="174"/>
      <c r="X236" s="174"/>
      <c r="Y236" s="20"/>
      <c r="Z236" s="20"/>
      <c r="AA236" s="20"/>
      <c r="AB236" s="20"/>
      <c r="AC236" s="174"/>
      <c r="AD236" s="20"/>
      <c r="AE236" s="20"/>
      <c r="AF236" s="20"/>
      <c r="AG236" s="20"/>
      <c r="AH236" s="174"/>
      <c r="AI236" s="20"/>
      <c r="AJ236" s="20"/>
      <c r="AK236" s="20"/>
      <c r="AL236" s="20"/>
      <c r="AM236" s="174"/>
      <c r="AN236" s="99"/>
      <c r="AO236" s="20"/>
      <c r="AP236" s="20"/>
      <c r="AQ236" s="66"/>
      <c r="AR236" s="176"/>
      <c r="AS236" s="840"/>
      <c r="AT236" s="20"/>
      <c r="AU236" s="20"/>
      <c r="AV236" s="860"/>
      <c r="AW236" s="176"/>
      <c r="AX236" s="840"/>
      <c r="AY236" s="20"/>
      <c r="AZ236" s="20"/>
      <c r="BA236" s="860"/>
      <c r="BB236" s="176"/>
      <c r="BC236" s="840"/>
      <c r="BD236" s="20"/>
      <c r="BE236" s="20"/>
      <c r="BF236" s="954"/>
      <c r="BG236" s="366"/>
      <c r="BH236" s="840"/>
      <c r="BI236" s="20"/>
      <c r="BJ236" s="20"/>
      <c r="BK236" s="860"/>
      <c r="BL236" s="176"/>
      <c r="BM236" s="840"/>
      <c r="BN236" s="20"/>
      <c r="BO236" s="20"/>
      <c r="BP236" s="860"/>
      <c r="BQ236" s="176"/>
      <c r="BR236" s="840"/>
      <c r="BS236" s="20"/>
      <c r="BT236" s="20"/>
      <c r="BU236" s="860"/>
      <c r="BV236" s="176"/>
      <c r="BW236" s="840"/>
      <c r="BX236" s="20"/>
      <c r="BY236" s="20"/>
      <c r="BZ236" s="860"/>
      <c r="CA236" s="176"/>
      <c r="CB236" s="840"/>
      <c r="CC236" s="20"/>
      <c r="CD236" s="495"/>
      <c r="CE236" s="944"/>
      <c r="CF236" s="176"/>
      <c r="CG236" s="838"/>
      <c r="CH236" s="495"/>
      <c r="CI236" s="20"/>
      <c r="CJ236" s="944"/>
      <c r="CK236" s="176"/>
      <c r="CL236" s="840"/>
      <c r="CM236" s="20"/>
      <c r="CN236" s="20"/>
      <c r="CO236" s="860"/>
      <c r="CP236" s="176"/>
      <c r="CQ236" s="865"/>
      <c r="CR236" s="174"/>
      <c r="CS236" s="174"/>
      <c r="CT236" s="866"/>
      <c r="CU236" s="176"/>
      <c r="CV236" s="865"/>
      <c r="CW236" s="174"/>
      <c r="CX236" s="174"/>
      <c r="CY236" s="866"/>
      <c r="CZ236" s="176"/>
    </row>
    <row r="237" spans="1:105" ht="13.5" customHeight="1">
      <c r="A237" s="66"/>
      <c r="B237" s="79" t="s">
        <v>262</v>
      </c>
      <c r="C237" s="20"/>
      <c r="D237" s="66"/>
      <c r="E237" s="171"/>
      <c r="F237" s="171"/>
      <c r="G237" s="171"/>
      <c r="H237" s="171"/>
      <c r="I237" s="171"/>
      <c r="J237" s="171">
        <f t="shared" ref="J237:AM237" si="271">J206+J209</f>
        <v>107.80222400000002</v>
      </c>
      <c r="K237" s="171">
        <f t="shared" si="271"/>
        <v>119.36255599999998</v>
      </c>
      <c r="L237" s="171">
        <f t="shared" si="271"/>
        <v>43.291442999999987</v>
      </c>
      <c r="M237" s="171">
        <f t="shared" si="271"/>
        <v>-16.83441400000001</v>
      </c>
      <c r="N237" s="171">
        <f t="shared" si="271"/>
        <v>253.62180899999993</v>
      </c>
      <c r="O237" s="171">
        <f t="shared" si="271"/>
        <v>85.504409999999993</v>
      </c>
      <c r="P237" s="171">
        <f t="shared" si="271"/>
        <v>27.192551999999992</v>
      </c>
      <c r="Q237" s="171">
        <f t="shared" si="271"/>
        <v>107.70028999999987</v>
      </c>
      <c r="R237" s="171">
        <f t="shared" si="271"/>
        <v>58.814668000000083</v>
      </c>
      <c r="S237" s="171">
        <f t="shared" si="271"/>
        <v>279.21192000000002</v>
      </c>
      <c r="T237" s="171">
        <f t="shared" si="271"/>
        <v>135.262</v>
      </c>
      <c r="U237" s="171">
        <f t="shared" si="271"/>
        <v>125.12800000000001</v>
      </c>
      <c r="V237" s="171">
        <f t="shared" si="271"/>
        <v>436.92</v>
      </c>
      <c r="W237" s="171">
        <f t="shared" si="271"/>
        <v>46.483000000000089</v>
      </c>
      <c r="X237" s="171">
        <f t="shared" si="271"/>
        <v>743.79299999999989</v>
      </c>
      <c r="Y237" s="171">
        <f t="shared" si="271"/>
        <v>516.67899999999986</v>
      </c>
      <c r="Z237" s="171">
        <f t="shared" si="271"/>
        <v>285.61500000000007</v>
      </c>
      <c r="AA237" s="171">
        <f t="shared" si="271"/>
        <v>702.40400000000011</v>
      </c>
      <c r="AB237" s="171">
        <f t="shared" si="271"/>
        <v>300.45100000000002</v>
      </c>
      <c r="AC237" s="171">
        <f t="shared" si="271"/>
        <v>1805.1490000000003</v>
      </c>
      <c r="AD237" s="171">
        <f t="shared" si="271"/>
        <v>497.52</v>
      </c>
      <c r="AE237" s="171">
        <f t="shared" si="271"/>
        <v>305.67300000000006</v>
      </c>
      <c r="AF237" s="171">
        <f t="shared" si="271"/>
        <v>647.05399999999986</v>
      </c>
      <c r="AG237" s="171">
        <f t="shared" si="271"/>
        <v>462.58199999999994</v>
      </c>
      <c r="AH237" s="171">
        <f t="shared" si="271"/>
        <v>1912.8290000000002</v>
      </c>
      <c r="AI237" s="192">
        <f t="shared" si="271"/>
        <v>474.161</v>
      </c>
      <c r="AJ237" s="171">
        <f t="shared" si="271"/>
        <v>64.728999999999971</v>
      </c>
      <c r="AK237" s="192">
        <f t="shared" si="271"/>
        <v>521.2069999999992</v>
      </c>
      <c r="AL237" s="171">
        <f t="shared" si="271"/>
        <v>354.85600000000022</v>
      </c>
      <c r="AM237" s="171">
        <f t="shared" si="271"/>
        <v>1414.9529999999995</v>
      </c>
      <c r="AN237" s="171">
        <f t="shared" ref="AN237:BS237" si="272">AN206+AN209</f>
        <v>441.24100000000016</v>
      </c>
      <c r="AO237" s="192">
        <f t="shared" si="272"/>
        <v>-114.67099999999976</v>
      </c>
      <c r="AP237" s="192">
        <f t="shared" si="272"/>
        <v>189.52800000000019</v>
      </c>
      <c r="AQ237" s="171">
        <f t="shared" si="272"/>
        <v>963.65000000000032</v>
      </c>
      <c r="AR237" s="171">
        <f t="shared" si="272"/>
        <v>1479.748000000001</v>
      </c>
      <c r="AS237" s="1133">
        <f t="shared" si="272"/>
        <v>-111.97199999999999</v>
      </c>
      <c r="AT237" s="192">
        <f t="shared" si="272"/>
        <v>508.66800000000001</v>
      </c>
      <c r="AU237" s="192">
        <f t="shared" si="272"/>
        <v>245.2229999999999</v>
      </c>
      <c r="AV237" s="1134">
        <f t="shared" si="272"/>
        <v>149.87800000000004</v>
      </c>
      <c r="AW237" s="192">
        <f t="shared" si="272"/>
        <v>791.79700000000003</v>
      </c>
      <c r="AX237" s="1133">
        <f t="shared" si="272"/>
        <v>-57.252999999999979</v>
      </c>
      <c r="AY237" s="192">
        <f t="shared" si="272"/>
        <v>-399.72500000000002</v>
      </c>
      <c r="AZ237" s="192">
        <f t="shared" si="272"/>
        <v>434.88900000000001</v>
      </c>
      <c r="BA237" s="1134">
        <f t="shared" si="272"/>
        <v>550.19900000000018</v>
      </c>
      <c r="BB237" s="192">
        <f t="shared" si="272"/>
        <v>528.11000000000024</v>
      </c>
      <c r="BC237" s="1133">
        <f t="shared" si="272"/>
        <v>-48.54099999999994</v>
      </c>
      <c r="BD237" s="192">
        <f t="shared" si="272"/>
        <v>128.37000000000003</v>
      </c>
      <c r="BE237" s="192">
        <f t="shared" si="272"/>
        <v>275.06299999999987</v>
      </c>
      <c r="BF237" s="1184">
        <f t="shared" si="272"/>
        <v>237.21799999999996</v>
      </c>
      <c r="BG237" s="596">
        <f t="shared" si="272"/>
        <v>592.11000000000013</v>
      </c>
      <c r="BH237" s="1133">
        <f t="shared" si="272"/>
        <v>40.32200000000006</v>
      </c>
      <c r="BI237" s="192">
        <f t="shared" si="272"/>
        <v>22.716000000000093</v>
      </c>
      <c r="BJ237" s="192">
        <f t="shared" si="272"/>
        <v>447.86899999999991</v>
      </c>
      <c r="BK237" s="1184">
        <f t="shared" si="272"/>
        <v>-258.12999999999977</v>
      </c>
      <c r="BL237" s="192">
        <f t="shared" si="272"/>
        <v>252.77700000000027</v>
      </c>
      <c r="BM237" s="1133">
        <f t="shared" si="272"/>
        <v>-201.77399999999994</v>
      </c>
      <c r="BN237" s="192">
        <f t="shared" si="272"/>
        <v>65.441999999999894</v>
      </c>
      <c r="BO237" s="192">
        <f t="shared" si="272"/>
        <v>132.04300000000012</v>
      </c>
      <c r="BP237" s="1134">
        <f t="shared" si="272"/>
        <v>-114.714</v>
      </c>
      <c r="BQ237" s="192">
        <f t="shared" si="272"/>
        <v>-119.0029999999997</v>
      </c>
      <c r="BR237" s="1133">
        <f t="shared" si="272"/>
        <v>-108.84399999999999</v>
      </c>
      <c r="BS237" s="192">
        <f t="shared" si="272"/>
        <v>105.375</v>
      </c>
      <c r="BT237" s="192">
        <f t="shared" ref="BT237:CZ237" si="273">BT206+BT209</f>
        <v>371.78300000000007</v>
      </c>
      <c r="BU237" s="1134">
        <f t="shared" si="273"/>
        <v>306.60200000000003</v>
      </c>
      <c r="BV237" s="192">
        <f t="shared" si="273"/>
        <v>674.91600000000017</v>
      </c>
      <c r="BW237" s="1133">
        <f t="shared" si="273"/>
        <v>486.17099999999994</v>
      </c>
      <c r="BX237" s="192">
        <f t="shared" si="273"/>
        <v>533.28</v>
      </c>
      <c r="BY237" s="192">
        <f t="shared" si="273"/>
        <v>454.76100000000002</v>
      </c>
      <c r="BZ237" s="1134">
        <f t="shared" si="273"/>
        <v>308.70800000000003</v>
      </c>
      <c r="CA237" s="192">
        <f t="shared" si="273"/>
        <v>1782.92</v>
      </c>
      <c r="CB237" s="1133">
        <f t="shared" si="273"/>
        <v>470.16199999999992</v>
      </c>
      <c r="CC237" s="192">
        <f t="shared" si="273"/>
        <v>159.4610000000001</v>
      </c>
      <c r="CD237" s="192">
        <f t="shared" si="273"/>
        <v>214.62099999999995</v>
      </c>
      <c r="CE237" s="1134">
        <f t="shared" si="273"/>
        <v>288.4489999999999</v>
      </c>
      <c r="CF237" s="192">
        <f t="shared" si="273"/>
        <v>1132.6929999999998</v>
      </c>
      <c r="CG237" s="1133">
        <f t="shared" si="273"/>
        <v>142.70999999999989</v>
      </c>
      <c r="CH237" s="192">
        <f t="shared" si="273"/>
        <v>15.019000000000148</v>
      </c>
      <c r="CI237" s="192">
        <f t="shared" si="273"/>
        <v>312.45200000000011</v>
      </c>
      <c r="CJ237" s="1134">
        <f t="shared" si="273"/>
        <v>132.52699999999987</v>
      </c>
      <c r="CK237" s="192">
        <f t="shared" si="273"/>
        <v>602.70799999999986</v>
      </c>
      <c r="CL237" s="1133">
        <f t="shared" si="273"/>
        <v>-44.28199999999984</v>
      </c>
      <c r="CM237" s="192">
        <f t="shared" si="273"/>
        <v>-73.152018251150366</v>
      </c>
      <c r="CN237" s="192">
        <f t="shared" si="273"/>
        <v>312.58083958943382</v>
      </c>
      <c r="CO237" s="1134">
        <f t="shared" si="273"/>
        <v>520.88806459545799</v>
      </c>
      <c r="CP237" s="192">
        <f t="shared" si="273"/>
        <v>716.03488593374107</v>
      </c>
      <c r="CQ237" s="1133">
        <f t="shared" si="273"/>
        <v>104.50151324377771</v>
      </c>
      <c r="CR237" s="192">
        <f t="shared" si="273"/>
        <v>841.02104643593134</v>
      </c>
      <c r="CS237" s="192">
        <f t="shared" si="273"/>
        <v>451.23610513982374</v>
      </c>
      <c r="CT237" s="1134">
        <f t="shared" si="273"/>
        <v>496.69286701422777</v>
      </c>
      <c r="CU237" s="192">
        <f t="shared" si="273"/>
        <v>1893.4515318337599</v>
      </c>
      <c r="CV237" s="1133">
        <f t="shared" si="273"/>
        <v>117.33777976120132</v>
      </c>
      <c r="CW237" s="192">
        <f t="shared" si="273"/>
        <v>910.64749245781741</v>
      </c>
      <c r="CX237" s="192">
        <f t="shared" si="273"/>
        <v>503.20623142053796</v>
      </c>
      <c r="CY237" s="1134">
        <f t="shared" si="273"/>
        <v>584.72427140517163</v>
      </c>
      <c r="CZ237" s="192">
        <f t="shared" si="273"/>
        <v>2115.9157750447284</v>
      </c>
    </row>
    <row r="238" spans="1:105" ht="13.5" customHeight="1">
      <c r="A238" s="66"/>
      <c r="B238" s="66" t="s">
        <v>234</v>
      </c>
      <c r="C238" s="20"/>
      <c r="D238" s="66"/>
      <c r="E238" s="193"/>
      <c r="F238" s="193"/>
      <c r="G238" s="193"/>
      <c r="H238" s="193"/>
      <c r="I238" s="193"/>
      <c r="J238" s="193">
        <f t="shared" ref="J238:AM238" si="274">J237/J63</f>
        <v>0.34495045320946677</v>
      </c>
      <c r="K238" s="193">
        <f t="shared" si="274"/>
        <v>0.38082228951072988</v>
      </c>
      <c r="L238" s="193">
        <f t="shared" si="274"/>
        <v>0.13828319630944319</v>
      </c>
      <c r="M238" s="193">
        <f t="shared" si="274"/>
        <v>-5.3816850767516099E-2</v>
      </c>
      <c r="N238" s="193">
        <f t="shared" si="274"/>
        <v>0.8104086383078003</v>
      </c>
      <c r="O238" s="193">
        <f t="shared" si="274"/>
        <v>0.27336070968376308</v>
      </c>
      <c r="P238" s="193">
        <f t="shared" si="274"/>
        <v>8.68034903488238E-2</v>
      </c>
      <c r="Q238" s="193">
        <f t="shared" si="274"/>
        <v>0.34374021643613029</v>
      </c>
      <c r="R238" s="193">
        <f t="shared" si="274"/>
        <v>0.18692095730258229</v>
      </c>
      <c r="S238" s="193">
        <f t="shared" si="274"/>
        <v>0.89114305831811236</v>
      </c>
      <c r="T238" s="193">
        <f t="shared" si="274"/>
        <v>0.4270388705074129</v>
      </c>
      <c r="U238" s="193">
        <f t="shared" si="274"/>
        <v>0.39380129915907147</v>
      </c>
      <c r="V238" s="193">
        <f t="shared" si="274"/>
        <v>1.3634235999725393</v>
      </c>
      <c r="W238" s="193">
        <f t="shared" si="274"/>
        <v>0.14455736828028914</v>
      </c>
      <c r="X238" s="193">
        <f t="shared" si="274"/>
        <v>2.3279323209434502</v>
      </c>
      <c r="Y238" s="193">
        <f t="shared" si="274"/>
        <v>1.6021451694925761</v>
      </c>
      <c r="Z238" s="193">
        <f t="shared" si="274"/>
        <v>0.89637326838943754</v>
      </c>
      <c r="AA238" s="193">
        <f t="shared" si="274"/>
        <v>2.233597903787937</v>
      </c>
      <c r="AB238" s="193">
        <f t="shared" si="274"/>
        <v>0.96031847500207768</v>
      </c>
      <c r="AC238" s="193">
        <f t="shared" si="274"/>
        <v>5.6921420237757401</v>
      </c>
      <c r="AD238" s="193">
        <f t="shared" si="274"/>
        <v>1.5857312237846934</v>
      </c>
      <c r="AE238" s="193">
        <f t="shared" si="274"/>
        <v>0.97673147896662482</v>
      </c>
      <c r="AF238" s="193">
        <f t="shared" si="274"/>
        <v>2.1038780307784344</v>
      </c>
      <c r="AG238" s="193">
        <f t="shared" si="274"/>
        <v>1.5246353883423147</v>
      </c>
      <c r="AH238" s="193">
        <f t="shared" si="274"/>
        <v>6.1827617080557644</v>
      </c>
      <c r="AI238" s="194">
        <f t="shared" si="274"/>
        <v>1.5624023830078884</v>
      </c>
      <c r="AJ238" s="193">
        <f t="shared" si="274"/>
        <v>0.213394652688491</v>
      </c>
      <c r="AK238" s="194">
        <f t="shared" si="274"/>
        <v>1.7666896030425132</v>
      </c>
      <c r="AL238" s="193">
        <f t="shared" si="274"/>
        <v>1.2239874723197601</v>
      </c>
      <c r="AM238" s="193">
        <f t="shared" si="274"/>
        <v>4.7491644633223924</v>
      </c>
      <c r="AN238" s="193">
        <f t="shared" ref="AN238:BS238" si="275">AN237/AN63</f>
        <v>1.5204668488392532</v>
      </c>
      <c r="AO238" s="194">
        <f t="shared" si="275"/>
        <v>-0.38243808405760293</v>
      </c>
      <c r="AP238" s="194">
        <f t="shared" si="275"/>
        <v>0.5956852983329568</v>
      </c>
      <c r="AQ238" s="193">
        <f t="shared" si="275"/>
        <v>3.0553362566146385</v>
      </c>
      <c r="AR238" s="193">
        <f t="shared" si="275"/>
        <v>4.8343243207924447</v>
      </c>
      <c r="AS238" s="1135">
        <f t="shared" si="275"/>
        <v>-0.35623681673713642</v>
      </c>
      <c r="AT238" s="595">
        <f t="shared" si="275"/>
        <v>1.6160913989426595</v>
      </c>
      <c r="AU238" s="595">
        <f t="shared" si="275"/>
        <v>0.77805839967256041</v>
      </c>
      <c r="AV238" s="1136">
        <f t="shared" si="275"/>
        <v>0.47468803445873198</v>
      </c>
      <c r="AW238" s="595">
        <f t="shared" si="275"/>
        <v>2.5136731895008193</v>
      </c>
      <c r="AX238" s="1135">
        <f t="shared" si="275"/>
        <v>-0.18104974891533948</v>
      </c>
      <c r="AY238" s="595">
        <f t="shared" si="275"/>
        <v>-1.2630659268434492</v>
      </c>
      <c r="AZ238" s="595">
        <f t="shared" si="275"/>
        <v>1.3729463688138506</v>
      </c>
      <c r="BA238" s="1136">
        <f t="shared" si="275"/>
        <v>1.7393251962355654</v>
      </c>
      <c r="BB238" s="595">
        <f t="shared" si="275"/>
        <v>1.6685412783166416</v>
      </c>
      <c r="BC238" s="1135">
        <f t="shared" si="275"/>
        <v>-0.15318707120180242</v>
      </c>
      <c r="BD238" s="595">
        <f t="shared" si="275"/>
        <v>0.40492457936673176</v>
      </c>
      <c r="BE238" s="595">
        <f t="shared" si="275"/>
        <v>0.86717592388254461</v>
      </c>
      <c r="BF238" s="1185">
        <f t="shared" si="275"/>
        <v>0.74722803215482692</v>
      </c>
      <c r="BG238" s="597">
        <f t="shared" si="275"/>
        <v>1.8670391642768072</v>
      </c>
      <c r="BH238" s="1135">
        <f t="shared" si="275"/>
        <v>0.12688692456077985</v>
      </c>
      <c r="BI238" s="595">
        <f t="shared" si="275"/>
        <v>7.1424977990190208E-2</v>
      </c>
      <c r="BJ238" s="595">
        <f t="shared" si="275"/>
        <v>1.4060938088660051</v>
      </c>
      <c r="BK238" s="1185">
        <f t="shared" si="275"/>
        <v>-0.81016782114979546</v>
      </c>
      <c r="BL238" s="595">
        <f t="shared" si="275"/>
        <v>0.79429675716440507</v>
      </c>
      <c r="BM238" s="1135">
        <f t="shared" si="275"/>
        <v>-0.63283381737663158</v>
      </c>
      <c r="BN238" s="595">
        <f t="shared" si="275"/>
        <v>0.20513254530237596</v>
      </c>
      <c r="BO238" s="595">
        <f t="shared" si="275"/>
        <v>0.41324649637275251</v>
      </c>
      <c r="BP238" s="1136">
        <f t="shared" si="275"/>
        <v>-0.35887152278102435</v>
      </c>
      <c r="BQ238" s="595">
        <f t="shared" si="275"/>
        <v>-0.37274547528939805</v>
      </c>
      <c r="BR238" s="1135">
        <f t="shared" si="275"/>
        <v>-0.34038427860198645</v>
      </c>
      <c r="BS238" s="595">
        <f t="shared" si="275"/>
        <v>0.32931642816292217</v>
      </c>
      <c r="BT238" s="595">
        <f t="shared" ref="BT238:CY238" si="276">BT237/BT63</f>
        <v>1.1605996185267393</v>
      </c>
      <c r="BU238" s="1136">
        <f t="shared" si="276"/>
        <v>0.95678875577705036</v>
      </c>
      <c r="BV238" s="595">
        <f t="shared" si="276"/>
        <v>2.1082313251883007</v>
      </c>
      <c r="BW238" s="1135">
        <f t="shared" si="276"/>
        <v>1.5169946611832763</v>
      </c>
      <c r="BX238" s="595">
        <f t="shared" si="276"/>
        <v>1.6628210085186523</v>
      </c>
      <c r="BY238" s="595">
        <f t="shared" si="276"/>
        <v>1.4171424119663449</v>
      </c>
      <c r="BZ238" s="1136">
        <f t="shared" si="276"/>
        <v>0.96264581975571195</v>
      </c>
      <c r="CA238" s="595">
        <f t="shared" si="276"/>
        <v>5.5595590195653495</v>
      </c>
      <c r="CB238" s="1135">
        <f t="shared" si="276"/>
        <v>1.4725049640769947</v>
      </c>
      <c r="CC238" s="595">
        <f t="shared" si="276"/>
        <v>0.49897364649631737</v>
      </c>
      <c r="CD238" s="595">
        <f t="shared" si="276"/>
        <v>0.67063194470483811</v>
      </c>
      <c r="CE238" s="1136">
        <f t="shared" si="276"/>
        <v>0.90028901734104005</v>
      </c>
      <c r="CF238" s="595">
        <f t="shared" si="276"/>
        <v>3.5416356598357828</v>
      </c>
      <c r="CG238" s="1135">
        <f t="shared" si="276"/>
        <v>0.44437732370946514</v>
      </c>
      <c r="CH238" s="595">
        <f t="shared" si="276"/>
        <v>4.6755243971534521E-2</v>
      </c>
      <c r="CI238" s="595">
        <f t="shared" si="276"/>
        <v>0.97408990438423426</v>
      </c>
      <c r="CJ238" s="1136">
        <f t="shared" si="276"/>
        <v>0.41418958830129321</v>
      </c>
      <c r="CK238" s="595">
        <f t="shared" si="276"/>
        <v>1.8789090812733513</v>
      </c>
      <c r="CL238" s="1135">
        <f t="shared" si="276"/>
        <v>-0.13817657594687818</v>
      </c>
      <c r="CM238" s="595">
        <f t="shared" si="276"/>
        <v>-0.22933847388623649</v>
      </c>
      <c r="CN238" s="595">
        <f t="shared" si="276"/>
        <v>0.97997040179259742</v>
      </c>
      <c r="CO238" s="1136">
        <f t="shared" si="276"/>
        <v>1.6330331910972138</v>
      </c>
      <c r="CP238" s="595">
        <f t="shared" si="276"/>
        <v>2.2421932141000105</v>
      </c>
      <c r="CQ238" s="1135">
        <f t="shared" si="276"/>
        <v>0.32762209627419847</v>
      </c>
      <c r="CR238" s="595">
        <f t="shared" si="276"/>
        <v>2.6366802708521164</v>
      </c>
      <c r="CS238" s="595">
        <f t="shared" si="276"/>
        <v>1.4146677315155163</v>
      </c>
      <c r="CT238" s="1136">
        <f t="shared" si="276"/>
        <v>1.5571789655910291</v>
      </c>
      <c r="CU238" s="595">
        <f t="shared" si="276"/>
        <v>5.9361490642328585</v>
      </c>
      <c r="CV238" s="1135">
        <f t="shared" si="276"/>
        <v>0.36786500199138467</v>
      </c>
      <c r="CW238" s="595">
        <f t="shared" si="276"/>
        <v>2.8549657434136431</v>
      </c>
      <c r="CX238" s="595">
        <f t="shared" si="276"/>
        <v>1.5775989770756011</v>
      </c>
      <c r="CY238" s="1136">
        <f t="shared" si="276"/>
        <v>1.8331657178330114</v>
      </c>
      <c r="CZ238" s="595">
        <f t="shared" ref="CZ238" si="277">CZ237/CZ63</f>
        <v>6.6335954403136403</v>
      </c>
      <c r="DA238" s="578">
        <f>CZ238/Summary!H63</f>
        <v>0.10549611069201081</v>
      </c>
    </row>
    <row r="239" spans="1:105" ht="6.2" customHeight="1">
      <c r="A239" s="66"/>
      <c r="B239" s="82"/>
      <c r="C239" s="20"/>
      <c r="D239" s="66"/>
      <c r="E239" s="20"/>
      <c r="F239" s="20"/>
      <c r="G239" s="20"/>
      <c r="H239" s="20"/>
      <c r="I239" s="20"/>
      <c r="J239" s="66"/>
      <c r="K239" s="66"/>
      <c r="L239" s="66"/>
      <c r="M239" s="66"/>
      <c r="N239" s="66"/>
      <c r="O239" s="66"/>
      <c r="P239" s="66"/>
      <c r="Q239" s="66"/>
      <c r="R239" s="66"/>
      <c r="S239" s="66"/>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66"/>
      <c r="AR239" s="66"/>
      <c r="AS239" s="859"/>
      <c r="AT239" s="20"/>
      <c r="AU239" s="20"/>
      <c r="AV239" s="860"/>
      <c r="AW239" s="66"/>
      <c r="AX239" s="859"/>
      <c r="AY239" s="20"/>
      <c r="AZ239" s="20"/>
      <c r="BA239" s="860"/>
      <c r="BB239" s="66"/>
      <c r="BC239" s="859"/>
      <c r="BD239" s="20"/>
      <c r="BE239" s="20"/>
      <c r="BF239" s="954"/>
      <c r="BG239" s="362"/>
      <c r="BH239" s="859"/>
      <c r="BI239" s="20"/>
      <c r="BJ239" s="20"/>
      <c r="BK239" s="954"/>
      <c r="BL239" s="66"/>
      <c r="BM239" s="859"/>
      <c r="BN239" s="20"/>
      <c r="BO239" s="20"/>
      <c r="BP239" s="860"/>
      <c r="BQ239" s="66"/>
      <c r="BR239" s="859"/>
      <c r="BS239" s="20"/>
      <c r="BT239" s="20"/>
      <c r="BU239" s="860"/>
      <c r="BV239" s="66"/>
      <c r="BW239" s="859"/>
      <c r="BX239" s="20"/>
      <c r="BY239" s="20"/>
      <c r="BZ239" s="860"/>
      <c r="CA239" s="66"/>
      <c r="CB239" s="859"/>
      <c r="CC239" s="20"/>
      <c r="CD239" s="495"/>
      <c r="CE239" s="944"/>
      <c r="CF239" s="453"/>
      <c r="CG239" s="981"/>
      <c r="CH239" s="495"/>
      <c r="CI239" s="20"/>
      <c r="CJ239" s="944"/>
      <c r="CK239" s="453"/>
      <c r="CL239" s="859"/>
      <c r="CM239" s="20"/>
      <c r="CN239" s="20"/>
      <c r="CO239" s="860"/>
      <c r="CP239" s="66"/>
      <c r="CQ239" s="859"/>
      <c r="CR239" s="20"/>
      <c r="CS239" s="20"/>
      <c r="CT239" s="860"/>
      <c r="CU239" s="66"/>
      <c r="CV239" s="859"/>
      <c r="CW239" s="20"/>
      <c r="CX239" s="20"/>
      <c r="CY239" s="860"/>
      <c r="CZ239" s="66"/>
    </row>
    <row r="240" spans="1:105" ht="13.5" customHeight="1">
      <c r="A240" s="66"/>
      <c r="B240" s="20" t="s">
        <v>86</v>
      </c>
      <c r="C240" s="20"/>
      <c r="D240" s="66"/>
      <c r="E240" s="94"/>
      <c r="F240" s="94"/>
      <c r="G240" s="94"/>
      <c r="H240" s="94"/>
      <c r="I240" s="94"/>
      <c r="J240" s="94"/>
      <c r="K240" s="94">
        <f>K170-J170</f>
        <v>88.612297999999782</v>
      </c>
      <c r="L240" s="94">
        <f>L170-K170</f>
        <v>7.3818090000003167</v>
      </c>
      <c r="M240" s="94">
        <f>M170-L170</f>
        <v>-117.59214700000007</v>
      </c>
      <c r="N240" s="94"/>
      <c r="O240" s="94">
        <f>O170-M170</f>
        <v>-31.452605000000062</v>
      </c>
      <c r="P240" s="94">
        <f>P170-O170</f>
        <v>-146.63084199999992</v>
      </c>
      <c r="Q240" s="94">
        <f>Q170-P170</f>
        <v>-47.215723999999909</v>
      </c>
      <c r="R240" s="94">
        <f>R170-Q170</f>
        <v>42.10617000000002</v>
      </c>
      <c r="S240" s="94">
        <f>S170-N170</f>
        <v>10.862868000000049</v>
      </c>
      <c r="T240" s="94">
        <f>T170-R170</f>
        <v>413.80118099999981</v>
      </c>
      <c r="U240" s="94">
        <f>U170-T170</f>
        <v>288.0440000000001</v>
      </c>
      <c r="V240" s="94">
        <f>V170-U170</f>
        <v>311.75300000000038</v>
      </c>
      <c r="W240" s="94">
        <f>W170-V170</f>
        <v>454.92699999999945</v>
      </c>
      <c r="X240" s="94">
        <f>X170-S170</f>
        <v>1468.5251809999997</v>
      </c>
      <c r="Y240" s="94">
        <f>Y170-W170</f>
        <v>298.56800000000067</v>
      </c>
      <c r="Z240" s="94">
        <f>Z170-Y170</f>
        <v>-48.078000000000429</v>
      </c>
      <c r="AA240" s="94">
        <f>AA170-Z170</f>
        <v>185.76699999999983</v>
      </c>
      <c r="AB240" s="94">
        <f>AB170-AA170</f>
        <v>270.43900000000031</v>
      </c>
      <c r="AC240" s="94">
        <f>AC170-X170</f>
        <v>706.69600000000037</v>
      </c>
      <c r="AD240" s="94">
        <f>AD170-AB170</f>
        <v>273.9320000000007</v>
      </c>
      <c r="AE240" s="94">
        <f>AE170-AD170</f>
        <v>92.959999999999127</v>
      </c>
      <c r="AF240" s="94">
        <f>AF170-AE170</f>
        <v>-9.4060000000004038</v>
      </c>
      <c r="AG240" s="94">
        <f>AG170-AF170</f>
        <v>51.667999999999665</v>
      </c>
      <c r="AH240" s="94">
        <f>AH170-AC170</f>
        <v>409.15399999999909</v>
      </c>
      <c r="AI240" s="94">
        <f>AI170-AG170</f>
        <v>-475.95299999999907</v>
      </c>
      <c r="AJ240" s="94">
        <f>AJ170-AI170</f>
        <v>73.916000000000167</v>
      </c>
      <c r="AK240" s="94">
        <f>AK170-AJ170</f>
        <v>-727.45600000000059</v>
      </c>
      <c r="AL240" s="94">
        <f>AL170-AK170</f>
        <v>1395.6979999999999</v>
      </c>
      <c r="AM240" s="94">
        <f>AM170-AH170</f>
        <v>266.20500000000038</v>
      </c>
      <c r="AN240" s="94">
        <f>AN170-AL170</f>
        <v>-986.21599999999899</v>
      </c>
      <c r="AO240" s="116">
        <f>AO170-AN170</f>
        <v>2876.3939999999998</v>
      </c>
      <c r="AP240" s="116">
        <f>AP170-AO170</f>
        <v>-870.38500000000113</v>
      </c>
      <c r="AQ240" s="94">
        <f>AQ170-AP170</f>
        <v>32.288000000000466</v>
      </c>
      <c r="AR240" s="94">
        <f>AR170-AM170</f>
        <v>1052.0810000000001</v>
      </c>
      <c r="AS240" s="1074">
        <f>AS170-AQ170</f>
        <v>-293.62299999999959</v>
      </c>
      <c r="AT240" s="565">
        <f>AT170-AS170</f>
        <v>-271.02999999999975</v>
      </c>
      <c r="AU240" s="565">
        <f>AU170-AT170</f>
        <v>-88.640000000000782</v>
      </c>
      <c r="AV240" s="1075">
        <f>AV170-AU170</f>
        <v>65.190000000000055</v>
      </c>
      <c r="AW240" s="565">
        <f>AW170-AR170</f>
        <v>-588.10300000000007</v>
      </c>
      <c r="AX240" s="1074">
        <f>AX170-AV170</f>
        <v>-34.561000000000604</v>
      </c>
      <c r="AY240" s="565">
        <f>AY170-AX170</f>
        <v>-245.654</v>
      </c>
      <c r="AZ240" s="565">
        <f>AZ170-AY170</f>
        <v>607.87200000000075</v>
      </c>
      <c r="BA240" s="1075">
        <f>BA170-AZ170</f>
        <v>73.889000000000124</v>
      </c>
      <c r="BB240" s="565">
        <f>BB170-AW170</f>
        <v>401.54600000000028</v>
      </c>
      <c r="BC240" s="1074">
        <f>BC170-BA170</f>
        <v>151.24699999999939</v>
      </c>
      <c r="BD240" s="565">
        <f>BD170-BC170</f>
        <v>205.82600000000002</v>
      </c>
      <c r="BE240" s="565">
        <f>BE170-BD170</f>
        <v>-177.99900000000071</v>
      </c>
      <c r="BF240" s="1153">
        <f>BF170-BE170</f>
        <v>-223.78899999999794</v>
      </c>
      <c r="BG240" s="567">
        <f>BG170-BB170</f>
        <v>-44.714999999999236</v>
      </c>
      <c r="BH240" s="1074">
        <f>BH170-BF170</f>
        <v>-1.5840000000007421</v>
      </c>
      <c r="BI240" s="565">
        <f>BI170-BH170</f>
        <v>-581.38200000000097</v>
      </c>
      <c r="BJ240" s="565">
        <f>BJ170-BI170</f>
        <v>5.9900000000006912</v>
      </c>
      <c r="BK240" s="1075">
        <f>BK170-BJ170</f>
        <v>-167.45000000000027</v>
      </c>
      <c r="BL240" s="565">
        <f>BL170-BG170</f>
        <v>-744.4260000000013</v>
      </c>
      <c r="BM240" s="1074">
        <f>BM170-BK170</f>
        <v>-7.841999999998734</v>
      </c>
      <c r="BN240" s="565">
        <f>BN170-BM170</f>
        <v>-117.16700000000128</v>
      </c>
      <c r="BO240" s="565">
        <f>BO170-BN170</f>
        <v>1032.8010000000013</v>
      </c>
      <c r="BP240" s="1075">
        <f>BP170-BO170</f>
        <v>-25.558000000000902</v>
      </c>
      <c r="BQ240" s="565">
        <f>BQ170-BL170</f>
        <v>882.23400000000038</v>
      </c>
      <c r="BR240" s="1074">
        <f>BR170-BP170</f>
        <v>-35.924999999999272</v>
      </c>
      <c r="BS240" s="565">
        <f>BS170-BR170</f>
        <v>63.658999999998741</v>
      </c>
      <c r="BT240" s="565">
        <f>BT170-BS170</f>
        <v>162.1840000000002</v>
      </c>
      <c r="BU240" s="1075">
        <f>BU170-BT170</f>
        <v>-295.63599999999951</v>
      </c>
      <c r="BV240" s="565">
        <f>BV170-BQ170</f>
        <v>-105.71799999999985</v>
      </c>
      <c r="BW240" s="1074">
        <f>BW170-BU170</f>
        <v>-5.9289999999991778</v>
      </c>
      <c r="BX240" s="565">
        <f>BX170-BW170</f>
        <v>126.47699999999895</v>
      </c>
      <c r="BY240" s="565">
        <f>BY170-BX170</f>
        <v>153.65999999999985</v>
      </c>
      <c r="BZ240" s="1075">
        <f>BZ170-BY170</f>
        <v>-249.11299999999937</v>
      </c>
      <c r="CA240" s="565">
        <f>CA170-BV170</f>
        <v>25.095000000000255</v>
      </c>
      <c r="CB240" s="1074">
        <f>CB170-BZ170</f>
        <v>86.811999999999898</v>
      </c>
      <c r="CC240" s="565">
        <f>CC170-CB170</f>
        <v>146.37100000000009</v>
      </c>
      <c r="CD240" s="565">
        <f>CD170-CC170</f>
        <v>199.54500000000007</v>
      </c>
      <c r="CE240" s="1075">
        <f>CE170-CD170</f>
        <v>-685.50800000000072</v>
      </c>
      <c r="CF240" s="565">
        <f>CF170-CA170</f>
        <v>-252.78000000000065</v>
      </c>
      <c r="CG240" s="1074">
        <f>CG170-CE170</f>
        <v>-76.029999999999291</v>
      </c>
      <c r="CH240" s="565">
        <f>CH170-CG170</f>
        <v>-183.01099999999997</v>
      </c>
      <c r="CI240" s="565">
        <f>CI170-CH170</f>
        <v>108.04499999999871</v>
      </c>
      <c r="CJ240" s="1075">
        <f>CJ170-CI170</f>
        <v>34.225000000001728</v>
      </c>
      <c r="CK240" s="565">
        <f>CK170-CF170</f>
        <v>-116.77099999999882</v>
      </c>
      <c r="CL240" s="1074">
        <f>CL170-CJ170</f>
        <v>234.97899999999845</v>
      </c>
      <c r="CM240" s="565">
        <f>CM170-CL170</f>
        <v>1310.8574063250289</v>
      </c>
      <c r="CN240" s="565">
        <f>CN170-CM170</f>
        <v>356.82505797441263</v>
      </c>
      <c r="CO240" s="1075">
        <f>CO170-CN170</f>
        <v>354.83380382623545</v>
      </c>
      <c r="CP240" s="565">
        <f>CP170-CK170</f>
        <v>2257.4952681256755</v>
      </c>
      <c r="CQ240" s="1074">
        <f>CQ170-CO170</f>
        <v>338.84341168427636</v>
      </c>
      <c r="CR240" s="565">
        <f>CR170-CQ170</f>
        <v>379.57518439671276</v>
      </c>
      <c r="CS240" s="565">
        <f>CS170-CR170</f>
        <v>342.67367216649654</v>
      </c>
      <c r="CT240" s="1075">
        <f>CT170-CS170</f>
        <v>274.27225137970527</v>
      </c>
      <c r="CU240" s="565">
        <f>CU170-CP170</f>
        <v>1335.3645196271909</v>
      </c>
      <c r="CV240" s="1074">
        <f>CV170-CT170</f>
        <v>310.4272004337663</v>
      </c>
      <c r="CW240" s="565">
        <f>CW170-CV170</f>
        <v>406.36317706915452</v>
      </c>
      <c r="CX240" s="565">
        <f>CX170-CW170</f>
        <v>384.04656137408165</v>
      </c>
      <c r="CY240" s="1075">
        <f>CY170-CX170</f>
        <v>391.18777103615139</v>
      </c>
      <c r="CZ240" s="565">
        <f>CZ170-CU170</f>
        <v>1492.0247099131539</v>
      </c>
    </row>
    <row r="241" spans="1:104" ht="6.2" customHeight="1">
      <c r="A241" s="66"/>
      <c r="B241" s="20"/>
      <c r="C241" s="20"/>
      <c r="D241" s="66"/>
      <c r="E241" s="20"/>
      <c r="F241" s="20"/>
      <c r="G241" s="20"/>
      <c r="H241" s="20"/>
      <c r="I241" s="20"/>
      <c r="J241" s="94"/>
      <c r="K241" s="94"/>
      <c r="L241" s="94"/>
      <c r="M241" s="94"/>
      <c r="N241" s="94"/>
      <c r="O241" s="94"/>
      <c r="P241" s="94"/>
      <c r="Q241" s="94"/>
      <c r="R241" s="94"/>
      <c r="S241" s="94"/>
      <c r="T241" s="20"/>
      <c r="U241" s="20"/>
      <c r="V241" s="94"/>
      <c r="W241" s="94"/>
      <c r="X241" s="94"/>
      <c r="Y241" s="20"/>
      <c r="Z241" s="20"/>
      <c r="AA241" s="20"/>
      <c r="AB241" s="20"/>
      <c r="AC241" s="20"/>
      <c r="AD241" s="20"/>
      <c r="AE241" s="20"/>
      <c r="AF241" s="20"/>
      <c r="AG241" s="20"/>
      <c r="AH241" s="20"/>
      <c r="AI241" s="20"/>
      <c r="AJ241" s="20"/>
      <c r="AK241" s="20"/>
      <c r="AL241" s="20"/>
      <c r="AM241" s="20"/>
      <c r="AN241" s="20"/>
      <c r="AO241" s="20"/>
      <c r="AP241" s="20"/>
      <c r="AQ241" s="66"/>
      <c r="AR241" s="66"/>
      <c r="AS241" s="859"/>
      <c r="AT241" s="20"/>
      <c r="AU241" s="20"/>
      <c r="AV241" s="860"/>
      <c r="AW241" s="66"/>
      <c r="AX241" s="859"/>
      <c r="AY241" s="20"/>
      <c r="AZ241" s="20"/>
      <c r="BA241" s="860"/>
      <c r="BB241" s="66"/>
      <c r="BC241" s="859"/>
      <c r="BD241" s="20"/>
      <c r="BE241" s="20"/>
      <c r="BF241" s="954"/>
      <c r="BG241" s="362"/>
      <c r="BH241" s="859"/>
      <c r="BI241" s="20"/>
      <c r="BJ241" s="20"/>
      <c r="BK241" s="860"/>
      <c r="BL241" s="66"/>
      <c r="BM241" s="859"/>
      <c r="BN241" s="20"/>
      <c r="BO241" s="20"/>
      <c r="BP241" s="860"/>
      <c r="BQ241" s="66"/>
      <c r="BR241" s="859"/>
      <c r="BS241" s="20"/>
      <c r="BT241" s="20"/>
      <c r="BU241" s="860"/>
      <c r="BV241" s="66"/>
      <c r="BW241" s="859"/>
      <c r="BX241" s="20"/>
      <c r="BY241" s="20"/>
      <c r="BZ241" s="860"/>
      <c r="CA241" s="66"/>
      <c r="CB241" s="859"/>
      <c r="CC241" s="20"/>
      <c r="CD241" s="495"/>
      <c r="CE241" s="944"/>
      <c r="CF241" s="453"/>
      <c r="CG241" s="981"/>
      <c r="CH241" s="495"/>
      <c r="CI241" s="20"/>
      <c r="CJ241" s="944"/>
      <c r="CK241" s="453"/>
      <c r="CL241" s="859"/>
      <c r="CM241" s="20"/>
      <c r="CN241" s="20"/>
      <c r="CO241" s="860"/>
      <c r="CP241" s="66"/>
      <c r="CQ241" s="859"/>
      <c r="CR241" s="20"/>
      <c r="CS241" s="20"/>
      <c r="CT241" s="860"/>
      <c r="CU241" s="66"/>
      <c r="CV241" s="859"/>
      <c r="CW241" s="20"/>
      <c r="CX241" s="20"/>
      <c r="CY241" s="860"/>
      <c r="CZ241" s="66"/>
    </row>
    <row r="242" spans="1:104" ht="13.5" customHeight="1">
      <c r="A242" s="79" t="s">
        <v>49</v>
      </c>
      <c r="B242" s="20"/>
      <c r="C242" s="20"/>
      <c r="D242" s="66"/>
      <c r="E242" s="20"/>
      <c r="F242" s="20"/>
      <c r="G242" s="20"/>
      <c r="H242" s="20"/>
      <c r="I242" s="20"/>
      <c r="J242" s="94"/>
      <c r="K242" s="94"/>
      <c r="L242" s="94"/>
      <c r="M242" s="94"/>
      <c r="N242" s="94"/>
      <c r="O242" s="94"/>
      <c r="P242" s="94"/>
      <c r="Q242" s="94"/>
      <c r="R242" s="94"/>
      <c r="S242" s="94"/>
      <c r="T242" s="20"/>
      <c r="U242" s="20"/>
      <c r="V242" s="94"/>
      <c r="W242" s="94"/>
      <c r="X242" s="94"/>
      <c r="Y242" s="20"/>
      <c r="Z242" s="20"/>
      <c r="AA242" s="20"/>
      <c r="AB242" s="20"/>
      <c r="AC242" s="20"/>
      <c r="AD242" s="20"/>
      <c r="AE242" s="20"/>
      <c r="AF242" s="20"/>
      <c r="AG242" s="20"/>
      <c r="AH242" s="20"/>
      <c r="AI242" s="20"/>
      <c r="AJ242" s="20"/>
      <c r="AK242" s="20"/>
      <c r="AL242" s="20"/>
      <c r="AM242" s="20"/>
      <c r="AN242" s="20"/>
      <c r="AO242" s="20"/>
      <c r="AP242" s="20"/>
      <c r="AQ242" s="66"/>
      <c r="AR242" s="66"/>
      <c r="AS242" s="859"/>
      <c r="AT242" s="20"/>
      <c r="AU242" s="20"/>
      <c r="AV242" s="860"/>
      <c r="AW242" s="66"/>
      <c r="AX242" s="859"/>
      <c r="AY242" s="20"/>
      <c r="AZ242" s="20"/>
      <c r="BA242" s="860"/>
      <c r="BB242" s="66"/>
      <c r="BC242" s="859"/>
      <c r="BD242" s="20"/>
      <c r="BE242" s="20"/>
      <c r="BF242" s="954"/>
      <c r="BG242" s="362"/>
      <c r="BH242" s="859"/>
      <c r="BI242" s="20"/>
      <c r="BJ242" s="20"/>
      <c r="BK242" s="860"/>
      <c r="BL242" s="66"/>
      <c r="BM242" s="859"/>
      <c r="BN242" s="20"/>
      <c r="BO242" s="20"/>
      <c r="BP242" s="860"/>
      <c r="BQ242" s="66"/>
      <c r="BR242" s="859"/>
      <c r="BS242" s="20"/>
      <c r="BT242" s="20"/>
      <c r="BU242" s="860"/>
      <c r="BV242" s="66"/>
      <c r="BW242" s="859"/>
      <c r="BX242" s="20"/>
      <c r="BY242" s="20"/>
      <c r="BZ242" s="860"/>
      <c r="CA242" s="66"/>
      <c r="CB242" s="859"/>
      <c r="CC242" s="20"/>
      <c r="CD242" s="495"/>
      <c r="CE242" s="944"/>
      <c r="CF242" s="453"/>
      <c r="CG242" s="981"/>
      <c r="CH242" s="495"/>
      <c r="CI242" s="20"/>
      <c r="CJ242" s="944"/>
      <c r="CK242" s="453"/>
      <c r="CL242" s="859"/>
      <c r="CM242" s="20"/>
      <c r="CN242" s="20"/>
      <c r="CO242" s="860"/>
      <c r="CP242" s="66"/>
      <c r="CQ242" s="859"/>
      <c r="CR242" s="20"/>
      <c r="CS242" s="20"/>
      <c r="CT242" s="860"/>
      <c r="CU242" s="66"/>
      <c r="CV242" s="859"/>
      <c r="CW242" s="20"/>
      <c r="CX242" s="20"/>
      <c r="CY242" s="860"/>
      <c r="CZ242" s="66"/>
    </row>
    <row r="243" spans="1:104" ht="13.5" customHeight="1">
      <c r="A243" s="66"/>
      <c r="B243" s="66" t="s">
        <v>259</v>
      </c>
      <c r="C243" s="20"/>
      <c r="D243" s="66"/>
      <c r="E243" s="99"/>
      <c r="F243" s="99"/>
      <c r="G243" s="99"/>
      <c r="H243" s="99"/>
      <c r="I243" s="99"/>
      <c r="J243" s="99">
        <f>365/((J15*4)/J115)</f>
        <v>30.438126571017289</v>
      </c>
      <c r="K243" s="99">
        <f>365/((K15*4)/K115)</f>
        <v>29.127325524085286</v>
      </c>
      <c r="L243" s="99">
        <f>365/((L15*4)/L115)</f>
        <v>31.592968377160307</v>
      </c>
      <c r="M243" s="99">
        <f>365/((M15*4)/M115)</f>
        <v>34.087733557502553</v>
      </c>
      <c r="N243" s="99">
        <f>365/((N15)/N115)</f>
        <v>36.760750613830581</v>
      </c>
      <c r="O243" s="99">
        <f>365/((O15*4)/O115)</f>
        <v>29.802628719629158</v>
      </c>
      <c r="P243" s="99">
        <f>365/((P15*4)/P115)</f>
        <v>31.644959953471577</v>
      </c>
      <c r="Q243" s="99">
        <f>365/((Q15*4)/Q115)</f>
        <v>31.092269834346009</v>
      </c>
      <c r="R243" s="99">
        <f>365/((R15*4)/R115)</f>
        <v>31.448658184862559</v>
      </c>
      <c r="S243" s="99">
        <f>365/((S15)/S115)</f>
        <v>33.348360064591674</v>
      </c>
      <c r="T243" s="195">
        <f>365/((T15*4)/T115)</f>
        <v>30.433761288409457</v>
      </c>
      <c r="U243" s="195">
        <f>365/((U15*4)/U115)</f>
        <v>29.766036243465365</v>
      </c>
      <c r="V243" s="99">
        <f>365/((V15*4)/V115)</f>
        <v>29.525853101254729</v>
      </c>
      <c r="W243" s="99">
        <f>365/((W15*4)/W115)</f>
        <v>28.440094085525466</v>
      </c>
      <c r="X243" s="99">
        <f>365/((X15)/X115)</f>
        <v>30.88783402544189</v>
      </c>
      <c r="Y243" s="99">
        <f>365/((Y15*4)/Y115)</f>
        <v>28.05954882179412</v>
      </c>
      <c r="Z243" s="99">
        <f>365/((Z15*4)/Z115)</f>
        <v>27.089676464537554</v>
      </c>
      <c r="AA243" s="99">
        <f>365/((AA15*4)/AA115)</f>
        <v>30.696003616762027</v>
      </c>
      <c r="AB243" s="99">
        <f>365/((AB15*4)/AB115)</f>
        <v>28.459016491801776</v>
      </c>
      <c r="AC243" s="99">
        <f>365/((AC15)/AC115)</f>
        <v>28.755973053773172</v>
      </c>
      <c r="AD243" s="99">
        <f>365/((AD15*4)/AD115)</f>
        <v>27.509436272124574</v>
      </c>
      <c r="AE243" s="99">
        <f>365/((AE15*4)/AE115)</f>
        <v>29.352420954457681</v>
      </c>
      <c r="AF243" s="99">
        <f>365/((AF15*4)/AF115)</f>
        <v>28.571070132449535</v>
      </c>
      <c r="AG243" s="99">
        <f>365/((AG15*4)/AG115)</f>
        <v>28.078594616256172</v>
      </c>
      <c r="AH243" s="99">
        <f>365/((AH15)/AH115)</f>
        <v>26.409423053065936</v>
      </c>
      <c r="AI243" s="99">
        <f>365/((AI15*4)/AI115)</f>
        <v>34.673709532129529</v>
      </c>
      <c r="AJ243" s="99">
        <f>365/((AJ15*4)/AJ115)</f>
        <v>33.320786183353995</v>
      </c>
      <c r="AK243" s="99">
        <f>365/((AK15*4)/AK115)</f>
        <v>34.914479079625124</v>
      </c>
      <c r="AL243" s="99">
        <f>365/((AL15*4)/AL115)</f>
        <v>33.452079485803182</v>
      </c>
      <c r="AM243" s="99">
        <f>365/((AM15)/AM115)</f>
        <v>35.417729819126819</v>
      </c>
      <c r="AN243" s="99">
        <f>365/((AN15*4)/AN115)</f>
        <v>36.046790493236294</v>
      </c>
      <c r="AO243" s="99">
        <f>365/((AO15*4)/AO115)</f>
        <v>33.60895003369955</v>
      </c>
      <c r="AP243" s="99">
        <f>365/((AP15*4)/AP115)</f>
        <v>31.281947547640019</v>
      </c>
      <c r="AQ243" s="99">
        <f>365/((AQ15*4)/AQ115)</f>
        <v>27.012856558135322</v>
      </c>
      <c r="AR243" s="99">
        <f>365/((AR15)/AR115)</f>
        <v>18.953996277107979</v>
      </c>
      <c r="AS243" s="838">
        <f>365/((AS15*4)/AS115)</f>
        <v>32.100841590630218</v>
      </c>
      <c r="AT243" s="598">
        <f>365/((AT15*4)/AT115)</f>
        <v>35.359012287189657</v>
      </c>
      <c r="AU243" s="598">
        <f>365/((AU15*4)/AU115)</f>
        <v>33.824156531800426</v>
      </c>
      <c r="AV243" s="839">
        <f>365/((AV15*4)/AV115)</f>
        <v>34.663081988628782</v>
      </c>
      <c r="AW243" s="598">
        <f>365/((AW15)/AW115)</f>
        <v>36.402323495285565</v>
      </c>
      <c r="AX243" s="838">
        <f>365/((AX15*4)/AX115)</f>
        <v>32.51476671221355</v>
      </c>
      <c r="AY243" s="598">
        <f>365/((AY15*4)/AY115)</f>
        <v>30.896747912161342</v>
      </c>
      <c r="AZ243" s="598">
        <f>365/((AZ15*4)/AZ115)</f>
        <v>32.370640441016803</v>
      </c>
      <c r="BA243" s="839">
        <f>365/((BA15*4)/BA115)</f>
        <v>34.092586441777485</v>
      </c>
      <c r="BB243" s="598">
        <f>365/((BB15)/BB115)</f>
        <v>33.168166091887166</v>
      </c>
      <c r="BC243" s="838">
        <f>365/((BC15*4)/BC115)</f>
        <v>32.181241251949238</v>
      </c>
      <c r="BD243" s="598">
        <f>365/((BD15*4)/BD115)</f>
        <v>32.820768895234728</v>
      </c>
      <c r="BE243" s="598">
        <f>365/((BE15*4)/BE115)</f>
        <v>31.935338692160762</v>
      </c>
      <c r="BF243" s="839">
        <f>365/((BF15*4)/BF115)</f>
        <v>32.322665936044999</v>
      </c>
      <c r="BG243" s="600">
        <f>365/((BG15)/BG115)</f>
        <v>31.184865241772144</v>
      </c>
      <c r="BH243" s="838">
        <f>365/((BH15*4)/BH115)</f>
        <v>32.230485773156687</v>
      </c>
      <c r="BI243" s="598">
        <f>365/((BI15*4)/BI115)</f>
        <v>34.315116093631929</v>
      </c>
      <c r="BJ243" s="598">
        <f>365/((BJ15*4)/BJ115)</f>
        <v>34.196945777789999</v>
      </c>
      <c r="BK243" s="839">
        <f>365/((BK15*4)/BK115)</f>
        <v>34.999570066906685</v>
      </c>
      <c r="BL243" s="600">
        <f>365/((BL15)/BL115)</f>
        <v>32.073804562836699</v>
      </c>
      <c r="BM243" s="838">
        <f>365/((BM15*4)/BM115)</f>
        <v>35.918749884634956</v>
      </c>
      <c r="BN243" s="598">
        <f>365/((BN15*4)/BN115)</f>
        <v>34.562610596992272</v>
      </c>
      <c r="BO243" s="598">
        <f>365/((BO15*4)/BO115)</f>
        <v>35.424979447214056</v>
      </c>
      <c r="BP243" s="839">
        <f>365/((BP15*4)/BP115)</f>
        <v>33.7611857091782</v>
      </c>
      <c r="BQ243" s="598">
        <f>365/((BQ15)/BQ115)</f>
        <v>34.694974754942336</v>
      </c>
      <c r="BR243" s="838">
        <f>365/((BR15*4)/BR115)</f>
        <v>33.944139595148734</v>
      </c>
      <c r="BS243" s="598">
        <f>365/((BS15*4)/BS115)</f>
        <v>35.724084188940807</v>
      </c>
      <c r="BT243" s="598">
        <f>365/((BT15*4)/BT115)</f>
        <v>35.910436560362925</v>
      </c>
      <c r="BU243" s="839">
        <f>365/((BU15*4)/BU115)</f>
        <v>37.718127273668387</v>
      </c>
      <c r="BV243" s="598">
        <f>365/((BV15)/BV115)</f>
        <v>35.769899381387681</v>
      </c>
      <c r="BW243" s="838">
        <f>365/((BW15*4)/BW115)</f>
        <v>35.490418382794182</v>
      </c>
      <c r="BX243" s="598">
        <f>365/((BX15*4)/BX115)</f>
        <v>37.515177187765119</v>
      </c>
      <c r="BY243" s="598">
        <f>365/((BY15*4)/BY115)</f>
        <v>37.064718043769346</v>
      </c>
      <c r="BZ243" s="839">
        <f>365/((BZ15*4)/BZ115)</f>
        <v>36.53003554243584</v>
      </c>
      <c r="CA243" s="598">
        <f>365/((CA15)/CA115)</f>
        <v>30.724917265212895</v>
      </c>
      <c r="CB243" s="838">
        <f>365/((CB15*4)/CB115)</f>
        <v>36.68815952089259</v>
      </c>
      <c r="CC243" s="598">
        <f>365/((CC15*4)/CC115)</f>
        <v>38.469377889344976</v>
      </c>
      <c r="CD243" s="598">
        <f>365/((CD15*4)/CD115)</f>
        <v>39.357745995791376</v>
      </c>
      <c r="CE243" s="839">
        <f>365/((CE15*4)/CE115)</f>
        <v>37.63149374528944</v>
      </c>
      <c r="CF243" s="598">
        <f>365/((CF15)/CF115)</f>
        <v>36.744648146157829</v>
      </c>
      <c r="CG243" s="838">
        <f>365/((CG15*4)/CG115)</f>
        <v>37.532506060522358</v>
      </c>
      <c r="CH243" s="598">
        <f>365/((CH15*4)/CH115)</f>
        <v>36.698244404726083</v>
      </c>
      <c r="CI243" s="598">
        <f>365/((CI15*4)/CI115)</f>
        <v>37.309109735814488</v>
      </c>
      <c r="CJ243" s="839">
        <f>365/((CJ15*4)/CJ115)</f>
        <v>36.349726735984014</v>
      </c>
      <c r="CK243" s="598">
        <f>365/((CK15)/CK115)</f>
        <v>36.559577181817481</v>
      </c>
      <c r="CL243" s="838">
        <f>365/((CL15*4)/CL115)</f>
        <v>38.866133726646645</v>
      </c>
      <c r="CM243" s="509">
        <f t="shared" ref="CM243:CO245" si="278">CH243</f>
        <v>36.698244404726083</v>
      </c>
      <c r="CN243" s="509">
        <f t="shared" si="278"/>
        <v>37.309109735814488</v>
      </c>
      <c r="CO243" s="851">
        <f t="shared" si="278"/>
        <v>36.349726735984014</v>
      </c>
      <c r="CP243" s="598">
        <f>365/((CP15)/CP115)</f>
        <v>37.542030672977624</v>
      </c>
      <c r="CQ243" s="850">
        <f t="shared" ref="CQ243:CT245" si="279">CL243</f>
        <v>38.866133726646645</v>
      </c>
      <c r="CR243" s="509">
        <f t="shared" si="279"/>
        <v>36.698244404726083</v>
      </c>
      <c r="CS243" s="509">
        <f t="shared" si="279"/>
        <v>37.309109735814488</v>
      </c>
      <c r="CT243" s="851">
        <f t="shared" si="279"/>
        <v>36.349726735984014</v>
      </c>
      <c r="CU243" s="598">
        <f>365/((CU15)/CU115)</f>
        <v>34.714495744582742</v>
      </c>
      <c r="CV243" s="850">
        <f t="shared" ref="CV243:CY245" si="280">CQ243</f>
        <v>38.866133726646645</v>
      </c>
      <c r="CW243" s="509">
        <f t="shared" si="280"/>
        <v>36.698244404726083</v>
      </c>
      <c r="CX243" s="509">
        <f t="shared" si="280"/>
        <v>37.309109735814488</v>
      </c>
      <c r="CY243" s="851">
        <f t="shared" si="280"/>
        <v>36.349726735984014</v>
      </c>
      <c r="CZ243" s="598">
        <f>365/((CZ15)/CZ115)</f>
        <v>35.193868287935871</v>
      </c>
    </row>
    <row r="244" spans="1:104" ht="13.5" customHeight="1">
      <c r="A244" s="66"/>
      <c r="B244" s="66" t="s">
        <v>120</v>
      </c>
      <c r="C244" s="20"/>
      <c r="D244" s="66"/>
      <c r="E244" s="100"/>
      <c r="F244" s="100"/>
      <c r="G244" s="100"/>
      <c r="H244" s="100"/>
      <c r="I244" s="100"/>
      <c r="J244" s="100">
        <f>(J23*4)/J116</f>
        <v>8.3390459185227357</v>
      </c>
      <c r="K244" s="100">
        <f>(K23*4)/K116</f>
        <v>8.1753046459217469</v>
      </c>
      <c r="L244" s="100">
        <f>(L23*4)/L116</f>
        <v>8.2545573942539647</v>
      </c>
      <c r="M244" s="100">
        <f>(M23*4)/M116</f>
        <v>7.9885549140508711</v>
      </c>
      <c r="N244" s="99">
        <f>(N23)/N116</f>
        <v>7.3554400832932947</v>
      </c>
      <c r="O244" s="100">
        <f>(O23*4)/O116</f>
        <v>9.0052261129667279</v>
      </c>
      <c r="P244" s="100">
        <f>(P23*4)/P116</f>
        <v>9.9627641211339171</v>
      </c>
      <c r="Q244" s="100">
        <f>(Q23*4)/Q116</f>
        <v>10.543476452620256</v>
      </c>
      <c r="R244" s="100">
        <f>(R23*4)/R116</f>
        <v>11.442767914883806</v>
      </c>
      <c r="S244" s="100">
        <f>(S23)/S116</f>
        <v>10.696100242070633</v>
      </c>
      <c r="T244" s="196">
        <f>(T23*4)/T116</f>
        <v>12.572525081213877</v>
      </c>
      <c r="U244" s="196">
        <f>(U23*4)/U116</f>
        <v>12.162492178396905</v>
      </c>
      <c r="V244" s="100">
        <f>(V23*4)/V116</f>
        <v>10.239988891156479</v>
      </c>
      <c r="W244" s="100">
        <f>(W23*4)/W116</f>
        <v>7.888031822229105</v>
      </c>
      <c r="X244" s="100">
        <f>(X23)/X116</f>
        <v>7.3520124398332749</v>
      </c>
      <c r="Y244" s="100">
        <f>(Y23*4)/Y116</f>
        <v>8.7859168297439574</v>
      </c>
      <c r="Z244" s="100">
        <f>(Z23*4)/Z116</f>
        <v>8.7697010928667005</v>
      </c>
      <c r="AA244" s="100">
        <f>(AA23*4)/AA116</f>
        <v>10.24147157682914</v>
      </c>
      <c r="AB244" s="100">
        <f>(AB23*4)/AB116</f>
        <v>10.625077508798443</v>
      </c>
      <c r="AC244" s="100">
        <f>(AC23)/AC116</f>
        <v>10.671766904325045</v>
      </c>
      <c r="AD244" s="100">
        <f>(AD23*4)/AD116</f>
        <v>11.810344626087547</v>
      </c>
      <c r="AE244" s="100">
        <f>(AE23*4)/AE116</f>
        <v>11.141425151239668</v>
      </c>
      <c r="AF244" s="100">
        <f>(AF23*4)/AF116</f>
        <v>10.141992630667893</v>
      </c>
      <c r="AG244" s="100">
        <f>(AG23*4)/AG116</f>
        <v>9.2938623932477746</v>
      </c>
      <c r="AH244" s="100">
        <f>(AH23)/AH116</f>
        <v>9.887120857628064</v>
      </c>
      <c r="AI244" s="100">
        <f>(AI23*4)/AI116</f>
        <v>8.4971380082866741</v>
      </c>
      <c r="AJ244" s="100">
        <f>(AJ23*4)/AJ116</f>
        <v>8.7452448647094503</v>
      </c>
      <c r="AK244" s="100">
        <f>(AK23*4)/AK116</f>
        <v>8.5985366887285171</v>
      </c>
      <c r="AL244" s="100">
        <f>(AL23*4)/AL116</f>
        <v>9.0363736263736278</v>
      </c>
      <c r="AM244" s="100">
        <f>(AM23)/AM116</f>
        <v>8.417162212787213</v>
      </c>
      <c r="AN244" s="100">
        <f>(AN23*4)/AN116</f>
        <v>8.6750929890788768</v>
      </c>
      <c r="AO244" s="100">
        <f>(AO23*4)/AO116</f>
        <v>9.4149121423464521</v>
      </c>
      <c r="AP244" s="100">
        <f>(AP23*4)/AP116</f>
        <v>7.6172496730463681</v>
      </c>
      <c r="AQ244" s="100">
        <f>(AQ23*4)/AQ116</f>
        <v>6.02656554369171</v>
      </c>
      <c r="AR244" s="100">
        <f>(AR23)/AR116</f>
        <v>8.1264979816515304</v>
      </c>
      <c r="AS244" s="1137">
        <f>(AS23*4)/AS116</f>
        <v>5.8989148366522359</v>
      </c>
      <c r="AT244" s="599">
        <f>(AT23*4)/AT116</f>
        <v>8.0110518845607928</v>
      </c>
      <c r="AU244" s="599">
        <f>(AU23*4)/AU116</f>
        <v>9.1621065037088378</v>
      </c>
      <c r="AV244" s="1138">
        <f>(AV23*4)/AV116</f>
        <v>8.2858337592343059</v>
      </c>
      <c r="AW244" s="599">
        <f>(AW23)/AW116</f>
        <v>8.4078587679363963</v>
      </c>
      <c r="AX244" s="1137">
        <f>(AX23*4)/AX116</f>
        <v>8.5181187848890847</v>
      </c>
      <c r="AY244" s="599">
        <f>(AY23*4)/AY116</f>
        <v>7.983270244070396</v>
      </c>
      <c r="AZ244" s="599">
        <f>(AZ23*4)/AZ116</f>
        <v>9.5914137020680723</v>
      </c>
      <c r="BA244" s="1138">
        <f>(BA23*4)/BA116</f>
        <v>9.5322803282540658</v>
      </c>
      <c r="BB244" s="599">
        <f>(BB23)/BB116</f>
        <v>9.6451558641836623</v>
      </c>
      <c r="BC244" s="1137">
        <f>(BC23*4)/BC116</f>
        <v>8.9828549845087462</v>
      </c>
      <c r="BD244" s="599">
        <f>(BD23*4)/BD116</f>
        <v>7.9927818206282426</v>
      </c>
      <c r="BE244" s="599">
        <f>(BE23*4)/BE116</f>
        <v>8.7490291608111743</v>
      </c>
      <c r="BF244" s="1138">
        <f>(BF23*4)/BF116</f>
        <v>9.0303790601819482</v>
      </c>
      <c r="BG244" s="601">
        <f>(BG23)/BG116</f>
        <v>9.115081743327611</v>
      </c>
      <c r="BH244" s="1137">
        <f>(BH23*4)/BH116</f>
        <v>8.3213448771276592</v>
      </c>
      <c r="BI244" s="599">
        <f>(BI23*4)/BI116</f>
        <v>7.8066315839346467</v>
      </c>
      <c r="BJ244" s="599">
        <f>(BJ23*4)/BJ116</f>
        <v>7.9534332052238392</v>
      </c>
      <c r="BK244" s="1138">
        <f>(BK23*4)/BK116</f>
        <v>6.9875785459113535</v>
      </c>
      <c r="BL244" s="601">
        <f>(BL23)/BL116</f>
        <v>7.6874000760014125</v>
      </c>
      <c r="BM244" s="1137">
        <f>(BM23*4)/BM116</f>
        <v>7.1357782510261787</v>
      </c>
      <c r="BN244" s="599">
        <f>(BN23*4)/BN116</f>
        <v>7.6339764464781998</v>
      </c>
      <c r="BO244" s="599">
        <f>(BO23*4)/BO116</f>
        <v>7.4039741016547334</v>
      </c>
      <c r="BP244" s="1138">
        <f>(BP23*4)/BP116</f>
        <v>6.9118229174062566</v>
      </c>
      <c r="BQ244" s="599">
        <f>(BQ23)/BQ116</f>
        <v>6.7616146551535552</v>
      </c>
      <c r="BR244" s="1137">
        <f>(BR23*4)/BR116</f>
        <v>6.9272129664774242</v>
      </c>
      <c r="BS244" s="599">
        <f>(BS23*4)/BS116</f>
        <v>7.1159027523699558</v>
      </c>
      <c r="BT244" s="599">
        <f>(BT23*4)/BT116</f>
        <v>7.5840259984682659</v>
      </c>
      <c r="BU244" s="1138">
        <f>(BU23*4)/BU116</f>
        <v>6.5374902733374318</v>
      </c>
      <c r="BV244" s="599">
        <f>(BV23)/BV116</f>
        <v>6.9811973048037341</v>
      </c>
      <c r="BW244" s="1137">
        <f>(BW23*4)/BW116</f>
        <v>6.8355121292680199</v>
      </c>
      <c r="BX244" s="599">
        <f>(BX23*4)/BX116</f>
        <v>7.0047093711988317</v>
      </c>
      <c r="BY244" s="599">
        <f>(BY23*4)/BY116</f>
        <v>6.2709897330491122</v>
      </c>
      <c r="BZ244" s="1138">
        <f>(BZ23*4)/BZ116</f>
        <v>5.7220715152667703</v>
      </c>
      <c r="CA244" s="599">
        <f>(CA23)/CA116</f>
        <v>6.922895680334701</v>
      </c>
      <c r="CB244" s="1137">
        <f>(CB23*4)/CB116</f>
        <v>6.8119304001884586</v>
      </c>
      <c r="CC244" s="599">
        <f>(CC23*4)/CC116</f>
        <v>6.4204159371785048</v>
      </c>
      <c r="CD244" s="599">
        <f>(CD23*4)/CD116</f>
        <v>6.2464625868958352</v>
      </c>
      <c r="CE244" s="1138">
        <f>(CE23*4)/CE116</f>
        <v>5.7100757351535796</v>
      </c>
      <c r="CF244" s="599">
        <f>(CF23)/CF116</f>
        <v>5.7597729477676642</v>
      </c>
      <c r="CG244" s="1137">
        <f>(CG23*4)/CG116</f>
        <v>5.2691241021222712</v>
      </c>
      <c r="CH244" s="599">
        <f>(CH23*4)/CH116</f>
        <v>5.3530830469767139</v>
      </c>
      <c r="CI244" s="599">
        <f>(CI23*4)/CI116</f>
        <v>5.2201593379590419</v>
      </c>
      <c r="CJ244" s="1138">
        <f>(CJ23*4)/CJ116</f>
        <v>5.2689932015786534</v>
      </c>
      <c r="CK244" s="599">
        <f>(CK23)/CK116</f>
        <v>5.0971477482359759</v>
      </c>
      <c r="CL244" s="1137">
        <f>(CL23*4)/CL116</f>
        <v>5.1887599929135826</v>
      </c>
      <c r="CM244" s="683">
        <f t="shared" si="278"/>
        <v>5.3530830469767139</v>
      </c>
      <c r="CN244" s="683">
        <f t="shared" si="278"/>
        <v>5.2201593379590419</v>
      </c>
      <c r="CO244" s="1216">
        <f t="shared" si="278"/>
        <v>5.2689932015786534</v>
      </c>
      <c r="CP244" s="599">
        <f>(CP23)/CP116</f>
        <v>5.0840313787045615</v>
      </c>
      <c r="CQ244" s="1221">
        <f t="shared" si="279"/>
        <v>5.1887599929135826</v>
      </c>
      <c r="CR244" s="683">
        <f t="shared" si="279"/>
        <v>5.3530830469767139</v>
      </c>
      <c r="CS244" s="683">
        <f t="shared" si="279"/>
        <v>5.2201593379590419</v>
      </c>
      <c r="CT244" s="1216">
        <f t="shared" si="279"/>
        <v>5.2689932015786534</v>
      </c>
      <c r="CU244" s="599">
        <f>(CU23)/CU116</f>
        <v>5.4133589325490856</v>
      </c>
      <c r="CV244" s="1221">
        <f t="shared" si="280"/>
        <v>5.1887599929135826</v>
      </c>
      <c r="CW244" s="683">
        <f t="shared" si="280"/>
        <v>5.3530830469767139</v>
      </c>
      <c r="CX244" s="683">
        <f t="shared" si="280"/>
        <v>5.2201593379590419</v>
      </c>
      <c r="CY244" s="1216">
        <f t="shared" si="280"/>
        <v>5.2689932015786534</v>
      </c>
      <c r="CZ244" s="599">
        <f>(CZ23)/CZ116</f>
        <v>5.4479160567290856</v>
      </c>
    </row>
    <row r="245" spans="1:104" ht="13.5" customHeight="1">
      <c r="A245" s="66"/>
      <c r="B245" s="66" t="s">
        <v>305</v>
      </c>
      <c r="C245" s="20"/>
      <c r="D245" s="66"/>
      <c r="E245" s="99"/>
      <c r="F245" s="99"/>
      <c r="G245" s="99"/>
      <c r="H245" s="99"/>
      <c r="I245" s="99"/>
      <c r="J245" s="99">
        <f>365/((J23*4)/J129)</f>
        <v>23.368998630325503</v>
      </c>
      <c r="K245" s="99">
        <f>365/((K23*4)/K129)</f>
        <v>24.027025096418356</v>
      </c>
      <c r="L245" s="99">
        <f>365/((L23*4)/L129)</f>
        <v>24.896803909231021</v>
      </c>
      <c r="M245" s="99">
        <f>365/((M23*4)/M129)</f>
        <v>19.178585872119971</v>
      </c>
      <c r="N245" s="99">
        <f>365/((N23)/N129)</f>
        <v>20.829370462993882</v>
      </c>
      <c r="O245" s="99">
        <f>365/((O23*4)/O129)</f>
        <v>21.2010156910349</v>
      </c>
      <c r="P245" s="99">
        <f>365/((P23*4)/P129)</f>
        <v>18.268915326074435</v>
      </c>
      <c r="Q245" s="99">
        <f>365/((Q23*4)/Q129)</f>
        <v>20.198798081485165</v>
      </c>
      <c r="R245" s="99">
        <f>365/((R23*4)/R129)</f>
        <v>18.775883282235881</v>
      </c>
      <c r="S245" s="99">
        <f>365/((S23)/S129)</f>
        <v>20.086580149138545</v>
      </c>
      <c r="T245" s="195">
        <f>365/((T23*4)/T129)</f>
        <v>22.030081671559124</v>
      </c>
      <c r="U245" s="195">
        <f>365/((U23*4)/U129)</f>
        <v>16.953673387321924</v>
      </c>
      <c r="V245" s="99">
        <f>365/((V23*4)/V129)</f>
        <v>21.208990440999404</v>
      </c>
      <c r="W245" s="99">
        <f>365/((W23*4)/W129)</f>
        <v>17.598213485999779</v>
      </c>
      <c r="X245" s="99">
        <f>365/((X23)/X129)</f>
        <v>18.881261304706882</v>
      </c>
      <c r="Y245" s="99">
        <f>365/((Y23*4)/Y129)</f>
        <v>18.274870119211666</v>
      </c>
      <c r="Z245" s="99">
        <f>365/((Z23*4)/Z129)</f>
        <v>16.193061106499286</v>
      </c>
      <c r="AA245" s="99">
        <f>365/((AA23*4)/AA129)</f>
        <v>21.488232237331623</v>
      </c>
      <c r="AB245" s="99">
        <f>365/((AB23*4)/AB129)</f>
        <v>18.23402055038445</v>
      </c>
      <c r="AC245" s="99">
        <f>365/((AC23)/AC129)</f>
        <v>18.154246000851131</v>
      </c>
      <c r="AD245" s="99">
        <f>365/((AD23*4)/AD129)</f>
        <v>19.450600692612785</v>
      </c>
      <c r="AE245" s="99">
        <f>365/((AE23*4)/AE129)</f>
        <v>22.235719290151145</v>
      </c>
      <c r="AF245" s="99">
        <f>365/((AF23*4)/AF129)</f>
        <v>21.175026421616217</v>
      </c>
      <c r="AG245" s="99">
        <f>365/((AG23*4)/AG129)</f>
        <v>17.779730532429447</v>
      </c>
      <c r="AH245" s="99">
        <f>365/((AH23)/AH129)</f>
        <v>16.712890571165445</v>
      </c>
      <c r="AI245" s="99">
        <f>365/((AI23*4)/AI129)</f>
        <v>24.28942658739577</v>
      </c>
      <c r="AJ245" s="99">
        <f>365/((AJ23*4)/AJ129)</f>
        <v>21.324933041682925</v>
      </c>
      <c r="AK245" s="99">
        <f>365/((AK23*4)/AK129)</f>
        <v>20.749384288224135</v>
      </c>
      <c r="AL245" s="99">
        <f>365/((AL23*4)/AL129)</f>
        <v>17.443848592822217</v>
      </c>
      <c r="AM245" s="99">
        <f>365/((AM23)/AM129)</f>
        <v>18.727111273579332</v>
      </c>
      <c r="AN245" s="99">
        <f>365/((AN23*4)/AN129)</f>
        <v>30.150524045631286</v>
      </c>
      <c r="AO245" s="99">
        <f>365/((AO23*4)/AO129)</f>
        <v>28.350881344228529</v>
      </c>
      <c r="AP245" s="99">
        <f>365/((AP23*4)/AP129)</f>
        <v>26.076731722902966</v>
      </c>
      <c r="AQ245" s="99">
        <f>365/((AQ23*4)/AQ129)</f>
        <v>13.434155134640067</v>
      </c>
      <c r="AR245" s="99">
        <f>365/((AR23)/AR129)</f>
        <v>9.9626944627108873</v>
      </c>
      <c r="AS245" s="838">
        <f>365/((AS23*4)/AS129)</f>
        <v>13.341637800342943</v>
      </c>
      <c r="AT245" s="598">
        <f>365/((AT23*4)/AT129)</f>
        <v>14.850133607411935</v>
      </c>
      <c r="AU245" s="598">
        <f>365/((AU23*4)/AU129)</f>
        <v>22.783103026441498</v>
      </c>
      <c r="AV245" s="839">
        <f>365/((AV23*4)/AV129)</f>
        <v>23.722844591752391</v>
      </c>
      <c r="AW245" s="598">
        <f>365/((AW23)/AW129)</f>
        <v>23.378549998129312</v>
      </c>
      <c r="AX245" s="838">
        <f>365/((AX23*4)/AX129)</f>
        <v>24.825871771782879</v>
      </c>
      <c r="AY245" s="598">
        <f>365/((AY23*4)/AY129)</f>
        <v>20.780575750115329</v>
      </c>
      <c r="AZ245" s="598">
        <f>365/((AZ23*4)/AZ129)</f>
        <v>18.865547649848526</v>
      </c>
      <c r="BA245" s="839">
        <f>365/((BA23*4)/BA129)</f>
        <v>22.044283742585822</v>
      </c>
      <c r="BB245" s="598">
        <f>365/((BB23)/BB129)</f>
        <v>21.78630342825328</v>
      </c>
      <c r="BC245" s="838">
        <f>365/((BC23*4)/BC129)</f>
        <v>23.109541824678075</v>
      </c>
      <c r="BD245" s="598">
        <f>365/((BD23*4)/BD129)</f>
        <v>23.500010359604392</v>
      </c>
      <c r="BE245" s="598">
        <f>365/((BE23*4)/BE129)</f>
        <v>22.399137707753265</v>
      </c>
      <c r="BF245" s="839">
        <f>365/((BF23*4)/BF129)</f>
        <v>19.498026656437283</v>
      </c>
      <c r="BG245" s="600">
        <f>365/((BG23)/BG129)</f>
        <v>19.316839562305642</v>
      </c>
      <c r="BH245" s="838">
        <f>365/((BH23*4)/BH129)</f>
        <v>23.07948262098294</v>
      </c>
      <c r="BI245" s="598">
        <f>365/((BI23*4)/BI129)</f>
        <v>21.908715520918449</v>
      </c>
      <c r="BJ245" s="598">
        <f>365/((BJ23*4)/BJ129)</f>
        <v>24.559946066328045</v>
      </c>
      <c r="BK245" s="839">
        <f>365/((BK23*4)/BK129)</f>
        <v>23.530152881534971</v>
      </c>
      <c r="BL245" s="600">
        <f>365/((BL23)/BL129)</f>
        <v>21.38808827841703</v>
      </c>
      <c r="BM245" s="838">
        <f>365/((BM23*4)/BM129)</f>
        <v>21.929665772908979</v>
      </c>
      <c r="BN245" s="598">
        <f>365/((BN23*4)/BN129)</f>
        <v>20.536964033466351</v>
      </c>
      <c r="BO245" s="598">
        <f>365/((BO23*4)/BO129)</f>
        <v>22.980542458705344</v>
      </c>
      <c r="BP245" s="839">
        <f>365/((BP23*4)/BP129)</f>
        <v>22.639900545867221</v>
      </c>
      <c r="BQ245" s="598">
        <f>365/((BQ23)/BQ129)</f>
        <v>23.142842563714503</v>
      </c>
      <c r="BR245" s="838">
        <f>365/((BR23*4)/BR129)</f>
        <v>20.55202693307513</v>
      </c>
      <c r="BS245" s="598">
        <f>365/((BS23*4)/BS129)</f>
        <v>21.053345634221309</v>
      </c>
      <c r="BT245" s="598">
        <f>365/((BT23*4)/BT129)</f>
        <v>19.968263943039233</v>
      </c>
      <c r="BU245" s="839">
        <f>365/((BU23*4)/BU129)</f>
        <v>20.214586066126444</v>
      </c>
      <c r="BV245" s="598">
        <f>365/((BV23)/BV129)</f>
        <v>18.929798717465026</v>
      </c>
      <c r="BW245" s="838">
        <f>365/((BW23*4)/BW129)</f>
        <v>16.56102749976468</v>
      </c>
      <c r="BX245" s="598">
        <f>365/((BX23*4)/BX129)</f>
        <v>18.85751688217097</v>
      </c>
      <c r="BY245" s="598">
        <f>365/((BY23*4)/BY129)</f>
        <v>22.367320237424028</v>
      </c>
      <c r="BZ245" s="839">
        <f>365/((BZ23*4)/BZ129)</f>
        <v>16.843913891908237</v>
      </c>
      <c r="CA245" s="598">
        <f>365/((CA23)/CA129)</f>
        <v>13.922220460475664</v>
      </c>
      <c r="CB245" s="838">
        <f>365/((CB23*4)/CB129)</f>
        <v>20.246824865772563</v>
      </c>
      <c r="CC245" s="598">
        <f>365/((CC23*4)/CC129)</f>
        <v>25.422268142205183</v>
      </c>
      <c r="CD245" s="598">
        <f>365/((CD23*4)/CD129)</f>
        <v>23.141968660350763</v>
      </c>
      <c r="CE245" s="839">
        <f>365/((CE23*4)/CE129)</f>
        <v>21.602657218389872</v>
      </c>
      <c r="CF245" s="598">
        <f>365/((CF23)/CF129)</f>
        <v>21.416262397179498</v>
      </c>
      <c r="CG245" s="838">
        <f>365/((CG23*4)/CG129)</f>
        <v>28.437256665823504</v>
      </c>
      <c r="CH245" s="598">
        <f>365/((CH23*4)/CH129)</f>
        <v>24.889935727727988</v>
      </c>
      <c r="CI245" s="598">
        <f>365/((CI23*4)/CI129)</f>
        <v>26.061499942348821</v>
      </c>
      <c r="CJ245" s="839">
        <f>365/((CJ23*4)/CJ129)</f>
        <v>23.640391784907564</v>
      </c>
      <c r="CK245" s="598">
        <f>365/((CK23)/CK129)</f>
        <v>24.437404946804211</v>
      </c>
      <c r="CL245" s="838">
        <f>365/((CL23*4)/CL129)</f>
        <v>25.226110056618328</v>
      </c>
      <c r="CM245" s="509">
        <f t="shared" si="278"/>
        <v>24.889935727727988</v>
      </c>
      <c r="CN245" s="509">
        <f t="shared" si="278"/>
        <v>26.061499942348821</v>
      </c>
      <c r="CO245" s="851">
        <f t="shared" si="278"/>
        <v>23.640391784907564</v>
      </c>
      <c r="CP245" s="598">
        <f>365/((CP23)/CP129)</f>
        <v>24.500451377834064</v>
      </c>
      <c r="CQ245" s="850">
        <f t="shared" si="279"/>
        <v>25.226110056618328</v>
      </c>
      <c r="CR245" s="509">
        <f t="shared" si="279"/>
        <v>24.889935727727988</v>
      </c>
      <c r="CS245" s="509">
        <f t="shared" si="279"/>
        <v>26.061499942348821</v>
      </c>
      <c r="CT245" s="851">
        <f t="shared" si="279"/>
        <v>23.640391784907564</v>
      </c>
      <c r="CU245" s="598">
        <f>365/((CU23)/CU129)</f>
        <v>23.009939881943041</v>
      </c>
      <c r="CV245" s="850">
        <f t="shared" si="280"/>
        <v>25.226110056618328</v>
      </c>
      <c r="CW245" s="509">
        <f t="shared" si="280"/>
        <v>24.889935727727988</v>
      </c>
      <c r="CX245" s="509">
        <f t="shared" si="280"/>
        <v>26.061499942348821</v>
      </c>
      <c r="CY245" s="851">
        <f t="shared" si="280"/>
        <v>23.640391784907564</v>
      </c>
      <c r="CZ245" s="598">
        <f>365/((CZ23)/CZ129)</f>
        <v>22.863983640768492</v>
      </c>
    </row>
    <row r="246" spans="1:104" ht="6.2" customHeight="1">
      <c r="A246" s="66"/>
      <c r="B246" s="66"/>
      <c r="C246" s="20"/>
      <c r="D246" s="66"/>
      <c r="E246" s="94"/>
      <c r="F246" s="94"/>
      <c r="G246" s="94"/>
      <c r="H246" s="94"/>
      <c r="I246" s="94"/>
      <c r="J246" s="94"/>
      <c r="K246" s="94"/>
      <c r="L246" s="94"/>
      <c r="M246" s="94"/>
      <c r="N246" s="94"/>
      <c r="O246" s="94"/>
      <c r="P246" s="94"/>
      <c r="Q246" s="94"/>
      <c r="R246" s="94"/>
      <c r="S246" s="94"/>
      <c r="T246" s="20"/>
      <c r="U246" s="20"/>
      <c r="V246" s="94"/>
      <c r="W246" s="94"/>
      <c r="X246" s="94"/>
      <c r="Y246" s="20"/>
      <c r="Z246" s="20"/>
      <c r="AA246" s="20"/>
      <c r="AB246" s="20"/>
      <c r="AC246" s="94"/>
      <c r="AD246" s="20"/>
      <c r="AE246" s="20"/>
      <c r="AF246" s="20"/>
      <c r="AG246" s="20"/>
      <c r="AH246" s="94"/>
      <c r="AI246" s="116"/>
      <c r="AJ246" s="20"/>
      <c r="AK246" s="20"/>
      <c r="AL246" s="20"/>
      <c r="AM246" s="94"/>
      <c r="AN246" s="116"/>
      <c r="AO246" s="20"/>
      <c r="AP246" s="20"/>
      <c r="AQ246" s="20"/>
      <c r="AR246" s="94"/>
      <c r="AS246" s="1139"/>
      <c r="AT246" s="20"/>
      <c r="AU246" s="20"/>
      <c r="AV246" s="860"/>
      <c r="AW246" s="94"/>
      <c r="AX246" s="1139"/>
      <c r="AY246" s="20"/>
      <c r="AZ246" s="20"/>
      <c r="BA246" s="860"/>
      <c r="BB246" s="94"/>
      <c r="BC246" s="1139"/>
      <c r="BD246" s="20"/>
      <c r="BE246" s="20"/>
      <c r="BF246" s="860"/>
      <c r="BG246" s="378"/>
      <c r="BH246" s="1139"/>
      <c r="BI246" s="20"/>
      <c r="BJ246" s="20"/>
      <c r="BK246" s="860"/>
      <c r="BL246" s="94"/>
      <c r="BM246" s="1199"/>
      <c r="BN246" s="20"/>
      <c r="BO246" s="20"/>
      <c r="BP246" s="860"/>
      <c r="BQ246" s="94"/>
      <c r="BR246" s="1199"/>
      <c r="BS246" s="94"/>
      <c r="BT246" s="20"/>
      <c r="BU246" s="860"/>
      <c r="BV246" s="94"/>
      <c r="BW246" s="1199"/>
      <c r="BX246" s="94"/>
      <c r="BY246" s="94"/>
      <c r="BZ246" s="1209"/>
      <c r="CA246" s="94"/>
      <c r="CB246" s="1199"/>
      <c r="CC246" s="94"/>
      <c r="CD246" s="94"/>
      <c r="CE246" s="1209"/>
      <c r="CF246" s="94"/>
      <c r="CG246" s="1074"/>
      <c r="CH246" s="495"/>
      <c r="CI246" s="495"/>
      <c r="CJ246" s="1209"/>
      <c r="CK246" s="94"/>
      <c r="CL246" s="1074"/>
      <c r="CM246" s="20"/>
      <c r="CN246" s="20"/>
      <c r="CO246" s="860"/>
      <c r="CP246" s="94"/>
      <c r="CQ246" s="1199"/>
      <c r="CR246" s="20"/>
      <c r="CS246" s="20"/>
      <c r="CT246" s="860"/>
      <c r="CU246" s="94"/>
      <c r="CV246" s="1199"/>
      <c r="CW246" s="20"/>
      <c r="CX246" s="20"/>
      <c r="CY246" s="860"/>
      <c r="CZ246" s="94"/>
    </row>
    <row r="247" spans="1:104" ht="13.5" customHeight="1">
      <c r="A247" s="66"/>
      <c r="B247" s="66" t="s">
        <v>89</v>
      </c>
      <c r="C247" s="20"/>
      <c r="D247" s="66"/>
      <c r="E247" s="99"/>
      <c r="F247" s="99"/>
      <c r="G247" s="99"/>
      <c r="H247" s="99"/>
      <c r="I247" s="99"/>
      <c r="J247" s="99">
        <f t="shared" ref="J247:AH247" si="281">J243+(365/J244)-J245</f>
        <v>50.83912316151914</v>
      </c>
      <c r="K247" s="99">
        <f t="shared" si="281"/>
        <v>49.746954688077921</v>
      </c>
      <c r="L247" s="99">
        <f t="shared" si="281"/>
        <v>50.91416218323721</v>
      </c>
      <c r="M247" s="99">
        <f t="shared" si="281"/>
        <v>60.599513956510108</v>
      </c>
      <c r="N247" s="99">
        <f t="shared" si="281"/>
        <v>65.554515662339142</v>
      </c>
      <c r="O247" s="99">
        <f t="shared" si="281"/>
        <v>49.133632482767908</v>
      </c>
      <c r="P247" s="99">
        <f t="shared" si="281"/>
        <v>50.012463553117655</v>
      </c>
      <c r="Q247" s="99">
        <f t="shared" si="281"/>
        <v>45.512034391115748</v>
      </c>
      <c r="R247" s="99">
        <f t="shared" si="281"/>
        <v>44.570651597760744</v>
      </c>
      <c r="S247" s="99">
        <f t="shared" si="281"/>
        <v>47.386366609616402</v>
      </c>
      <c r="T247" s="99">
        <f t="shared" si="281"/>
        <v>37.435238324606694</v>
      </c>
      <c r="U247" s="99">
        <f t="shared" si="281"/>
        <v>42.82265964780882</v>
      </c>
      <c r="V247" s="99">
        <f t="shared" si="281"/>
        <v>43.961432579195716</v>
      </c>
      <c r="W247" s="99">
        <f t="shared" si="281"/>
        <v>57.11451339639153</v>
      </c>
      <c r="X247" s="99">
        <f t="shared" si="281"/>
        <v>61.652843450967524</v>
      </c>
      <c r="Y247" s="99">
        <f t="shared" si="281"/>
        <v>51.328436408588075</v>
      </c>
      <c r="Z247" s="99">
        <f t="shared" si="281"/>
        <v>52.51719012276908</v>
      </c>
      <c r="AA247" s="99">
        <f t="shared" si="281"/>
        <v>44.847180937115048</v>
      </c>
      <c r="AB247" s="99">
        <f t="shared" si="281"/>
        <v>44.577686516874287</v>
      </c>
      <c r="AC247" s="99">
        <f t="shared" si="281"/>
        <v>44.804123270185102</v>
      </c>
      <c r="AD247" s="99">
        <f t="shared" si="281"/>
        <v>38.963945595841167</v>
      </c>
      <c r="AE247" s="99">
        <f t="shared" si="281"/>
        <v>39.877322055799958</v>
      </c>
      <c r="AF247" s="99">
        <f t="shared" si="281"/>
        <v>43.385026674229842</v>
      </c>
      <c r="AG247" s="99">
        <f t="shared" si="281"/>
        <v>49.572094583256295</v>
      </c>
      <c r="AH247" s="99">
        <f t="shared" si="281"/>
        <v>46.61324516862738</v>
      </c>
      <c r="AI247" s="99">
        <f>AI243+(365/AI244)-AI245</f>
        <v>53.339922790060584</v>
      </c>
      <c r="AJ247" s="99">
        <f>AJ243+(365/AJ244)-AJ245</f>
        <v>53.732820561865395</v>
      </c>
      <c r="AK247" s="99">
        <f>AK243+(365/AK244)-AK245</f>
        <v>56.614178073032392</v>
      </c>
      <c r="AL247" s="99">
        <f>AL243+(365/AL244)-AL245</f>
        <v>56.400540362645685</v>
      </c>
      <c r="AM247" s="99">
        <f>AM243+(365/AM244)-AM245</f>
        <v>60.054402059841415</v>
      </c>
      <c r="AN247" s="99">
        <f t="shared" ref="AN247:BS247" si="282">AN243+(365/AN244)-AN245</f>
        <v>47.970743396670642</v>
      </c>
      <c r="AO247" s="99">
        <f t="shared" si="282"/>
        <v>44.026353988523425</v>
      </c>
      <c r="AP247" s="99">
        <f t="shared" si="282"/>
        <v>53.122773429754545</v>
      </c>
      <c r="AQ247" s="99">
        <f t="shared" si="282"/>
        <v>74.143876954036472</v>
      </c>
      <c r="AR247" s="99">
        <f t="shared" si="282"/>
        <v>53.906097932493452</v>
      </c>
      <c r="AS247" s="838">
        <f t="shared" si="282"/>
        <v>80.634991135463736</v>
      </c>
      <c r="AT247" s="598">
        <f t="shared" si="282"/>
        <v>66.070935355935575</v>
      </c>
      <c r="AU247" s="598">
        <f t="shared" si="282"/>
        <v>50.879053625991375</v>
      </c>
      <c r="AV247" s="839">
        <f t="shared" si="282"/>
        <v>54.991326352555575</v>
      </c>
      <c r="AW247" s="598">
        <f t="shared" si="282"/>
        <v>56.435539807020731</v>
      </c>
      <c r="AX247" s="838">
        <f t="shared" si="282"/>
        <v>50.538731766784899</v>
      </c>
      <c r="AY247" s="598">
        <f t="shared" si="282"/>
        <v>55.836783996664181</v>
      </c>
      <c r="AZ247" s="598">
        <f t="shared" si="282"/>
        <v>51.559962629730222</v>
      </c>
      <c r="BA247" s="839">
        <f t="shared" si="282"/>
        <v>50.339245414978691</v>
      </c>
      <c r="BB247" s="598">
        <f t="shared" si="282"/>
        <v>49.224693317661121</v>
      </c>
      <c r="BC247" s="838">
        <f t="shared" si="282"/>
        <v>49.70466084426559</v>
      </c>
      <c r="BD247" s="598">
        <f t="shared" si="282"/>
        <v>54.986961891511569</v>
      </c>
      <c r="BE247" s="598">
        <f t="shared" si="282"/>
        <v>51.255115539512104</v>
      </c>
      <c r="BF247" s="839">
        <f t="shared" si="282"/>
        <v>53.243762061442062</v>
      </c>
      <c r="BG247" s="600">
        <f t="shared" si="282"/>
        <v>51.911550277277811</v>
      </c>
      <c r="BH247" s="838">
        <f t="shared" si="282"/>
        <v>53.014105257610069</v>
      </c>
      <c r="BI247" s="598">
        <f t="shared" si="282"/>
        <v>59.161521020710225</v>
      </c>
      <c r="BJ247" s="598">
        <f t="shared" si="282"/>
        <v>55.529130893285021</v>
      </c>
      <c r="BK247" s="839">
        <f t="shared" si="282"/>
        <v>63.704965966941074</v>
      </c>
      <c r="BL247" s="600">
        <f t="shared" si="282"/>
        <v>58.166008241574332</v>
      </c>
      <c r="BM247" s="838">
        <f t="shared" si="282"/>
        <v>65.139776742555739</v>
      </c>
      <c r="BN247" s="598">
        <f t="shared" si="282"/>
        <v>61.838212211195213</v>
      </c>
      <c r="BO247" s="598">
        <f t="shared" si="282"/>
        <v>61.742286358136468</v>
      </c>
      <c r="BP247" s="839">
        <f t="shared" si="282"/>
        <v>63.929351047176326</v>
      </c>
      <c r="BQ247" s="598">
        <f t="shared" si="282"/>
        <v>65.533321391621712</v>
      </c>
      <c r="BR247" s="838">
        <f t="shared" si="282"/>
        <v>66.082855933044115</v>
      </c>
      <c r="BS247" s="598">
        <f t="shared" si="282"/>
        <v>65.964300693189784</v>
      </c>
      <c r="BT247" s="598">
        <f t="shared" ref="BT247:CZ247" si="283">BT243+(365/BT244)-BT245</f>
        <v>64.069644763874678</v>
      </c>
      <c r="BU247" s="839">
        <f t="shared" si="283"/>
        <v>73.335364237339761</v>
      </c>
      <c r="BV247" s="598">
        <f t="shared" si="283"/>
        <v>69.123395930315553</v>
      </c>
      <c r="BW247" s="838">
        <f t="shared" si="283"/>
        <v>72.326999298814144</v>
      </c>
      <c r="BX247" s="598">
        <f t="shared" si="283"/>
        <v>70.765461023317798</v>
      </c>
      <c r="BY247" s="598">
        <f t="shared" si="283"/>
        <v>72.901926204214007</v>
      </c>
      <c r="BZ247" s="839">
        <f t="shared" si="283"/>
        <v>83.474209413178215</v>
      </c>
      <c r="CA247" s="598">
        <f t="shared" si="283"/>
        <v>69.526299304891239</v>
      </c>
      <c r="CB247" s="838">
        <f t="shared" si="283"/>
        <v>70.023796388713464</v>
      </c>
      <c r="CC247" s="598">
        <f t="shared" si="283"/>
        <v>69.897009126151318</v>
      </c>
      <c r="CD247" s="598">
        <f t="shared" si="283"/>
        <v>74.648849641951614</v>
      </c>
      <c r="CE247" s="839">
        <f t="shared" si="283"/>
        <v>79.950930896490775</v>
      </c>
      <c r="CF247" s="598">
        <f t="shared" si="283"/>
        <v>78.698939295097603</v>
      </c>
      <c r="CG247" s="838">
        <f t="shared" si="283"/>
        <v>78.366724677087291</v>
      </c>
      <c r="CH247" s="598">
        <f t="shared" si="283"/>
        <v>79.993314737410842</v>
      </c>
      <c r="CI247" s="598">
        <f t="shared" si="283"/>
        <v>81.168847129241385</v>
      </c>
      <c r="CJ247" s="839">
        <f t="shared" si="283"/>
        <v>81.982531183449964</v>
      </c>
      <c r="CK247" s="598">
        <f t="shared" si="283"/>
        <v>83.730847915705368</v>
      </c>
      <c r="CL247" s="838">
        <f t="shared" ref="CL247" si="284">CL243+(365/CL244)-CL245</f>
        <v>83.984383497518792</v>
      </c>
      <c r="CM247" s="598">
        <f t="shared" si="283"/>
        <v>79.993314737410842</v>
      </c>
      <c r="CN247" s="598">
        <f t="shared" si="283"/>
        <v>81.168847129241385</v>
      </c>
      <c r="CO247" s="839">
        <f t="shared" si="283"/>
        <v>81.982531183449964</v>
      </c>
      <c r="CP247" s="598">
        <f t="shared" si="283"/>
        <v>84.834999282453694</v>
      </c>
      <c r="CQ247" s="838">
        <f t="shared" si="283"/>
        <v>83.984383497518792</v>
      </c>
      <c r="CR247" s="598">
        <f t="shared" si="283"/>
        <v>79.993314737410842</v>
      </c>
      <c r="CS247" s="598">
        <f t="shared" si="283"/>
        <v>81.168847129241385</v>
      </c>
      <c r="CT247" s="839">
        <f t="shared" si="283"/>
        <v>81.982531183449964</v>
      </c>
      <c r="CU247" s="598">
        <f t="shared" si="283"/>
        <v>79.130345385915575</v>
      </c>
      <c r="CV247" s="838">
        <f t="shared" si="283"/>
        <v>83.984383497518792</v>
      </c>
      <c r="CW247" s="598">
        <f t="shared" si="283"/>
        <v>79.993314737410842</v>
      </c>
      <c r="CX247" s="598">
        <f t="shared" si="283"/>
        <v>81.168847129241385</v>
      </c>
      <c r="CY247" s="839">
        <f t="shared" si="283"/>
        <v>81.982531183449964</v>
      </c>
      <c r="CZ247" s="598">
        <f t="shared" si="283"/>
        <v>79.327980102247693</v>
      </c>
    </row>
    <row r="248" spans="1:104" ht="6.2" customHeight="1">
      <c r="A248" s="66"/>
      <c r="B248" s="66"/>
      <c r="C248" s="20"/>
      <c r="D248" s="66"/>
      <c r="E248" s="20"/>
      <c r="F248" s="20"/>
      <c r="G248" s="20"/>
      <c r="H248" s="20"/>
      <c r="I248" s="20"/>
      <c r="J248" s="99"/>
      <c r="K248" s="99"/>
      <c r="L248" s="99"/>
      <c r="M248" s="99"/>
      <c r="N248" s="99"/>
      <c r="O248" s="99"/>
      <c r="P248" s="99"/>
      <c r="Q248" s="99"/>
      <c r="R248" s="99"/>
      <c r="S248" s="99"/>
      <c r="T248" s="20"/>
      <c r="U248" s="20"/>
      <c r="V248" s="99"/>
      <c r="W248" s="99"/>
      <c r="X248" s="99"/>
      <c r="Y248" s="20"/>
      <c r="Z248" s="20"/>
      <c r="AA248" s="20"/>
      <c r="AB248" s="20"/>
      <c r="AC248" s="20"/>
      <c r="AD248" s="20"/>
      <c r="AE248" s="20"/>
      <c r="AF248" s="20"/>
      <c r="AG248" s="20"/>
      <c r="AH248" s="20"/>
      <c r="AI248" s="20"/>
      <c r="AJ248" s="20"/>
      <c r="AK248" s="20"/>
      <c r="AL248" s="20"/>
      <c r="AM248" s="20"/>
      <c r="AN248" s="20"/>
      <c r="AO248" s="20"/>
      <c r="AP248" s="20"/>
      <c r="AQ248" s="20"/>
      <c r="AR248" s="66"/>
      <c r="AS248" s="859"/>
      <c r="AT248" s="20"/>
      <c r="AU248" s="20"/>
      <c r="AV248" s="860"/>
      <c r="AW248" s="66"/>
      <c r="AX248" s="859"/>
      <c r="AY248" s="20"/>
      <c r="AZ248" s="20"/>
      <c r="BA248" s="860"/>
      <c r="BB248" s="66"/>
      <c r="BC248" s="859"/>
      <c r="BD248" s="20"/>
      <c r="BE248" s="20"/>
      <c r="BF248" s="860"/>
      <c r="BG248" s="362"/>
      <c r="BH248" s="859"/>
      <c r="BI248" s="20"/>
      <c r="BJ248" s="20"/>
      <c r="BK248" s="860"/>
      <c r="BL248" s="362"/>
      <c r="BM248" s="859"/>
      <c r="BN248" s="20"/>
      <c r="BO248" s="20"/>
      <c r="BP248" s="860"/>
      <c r="BQ248" s="66"/>
      <c r="BR248" s="859"/>
      <c r="BS248" s="20"/>
      <c r="BT248" s="20"/>
      <c r="BU248" s="860"/>
      <c r="BV248" s="66"/>
      <c r="BW248" s="859"/>
      <c r="BX248" s="20"/>
      <c r="BY248" s="20"/>
      <c r="BZ248" s="860"/>
      <c r="CA248" s="66"/>
      <c r="CB248" s="859"/>
      <c r="CC248" s="20"/>
      <c r="CD248" s="495"/>
      <c r="CE248" s="944"/>
      <c r="CF248" s="453"/>
      <c r="CG248" s="981"/>
      <c r="CH248" s="495"/>
      <c r="CI248" s="495"/>
      <c r="CJ248" s="944"/>
      <c r="CK248" s="453"/>
      <c r="CL248" s="981"/>
      <c r="CM248" s="20"/>
      <c r="CN248" s="20"/>
      <c r="CO248" s="860"/>
      <c r="CP248" s="66"/>
      <c r="CQ248" s="859"/>
      <c r="CR248" s="20"/>
      <c r="CS248" s="20"/>
      <c r="CT248" s="860"/>
      <c r="CU248" s="66"/>
      <c r="CV248" s="859"/>
      <c r="CW248" s="20"/>
      <c r="CX248" s="20"/>
      <c r="CY248" s="860"/>
      <c r="CZ248" s="66"/>
    </row>
    <row r="249" spans="1:104" ht="13.5" customHeight="1">
      <c r="A249" s="66"/>
      <c r="B249" s="66" t="s">
        <v>308</v>
      </c>
      <c r="C249" s="20"/>
      <c r="D249" s="66"/>
      <c r="E249" s="117"/>
      <c r="F249" s="117"/>
      <c r="G249" s="117"/>
      <c r="H249" s="117"/>
      <c r="I249" s="117"/>
      <c r="J249" s="117">
        <f>J124/(J15*4)</f>
        <v>5.1690415914056164E-3</v>
      </c>
      <c r="K249" s="117">
        <f>K124/(K15*4)</f>
        <v>5.080780774936863E-3</v>
      </c>
      <c r="L249" s="117">
        <f>L124/(L15*4)</f>
        <v>2.9845876552522751E-3</v>
      </c>
      <c r="M249" s="117">
        <f>M124/(M15*4)</f>
        <v>6.4850223187839038E-3</v>
      </c>
      <c r="N249" s="99"/>
      <c r="O249" s="117">
        <f>O124/(O15*4)</f>
        <v>6.4852684638883624E-3</v>
      </c>
      <c r="P249" s="117">
        <f>P124/(P15*4)</f>
        <v>7.4353997652727502E-3</v>
      </c>
      <c r="Q249" s="117">
        <f>Q124/(Q15*4)</f>
        <v>8.5032864954600971E-3</v>
      </c>
      <c r="R249" s="117">
        <f>R124/(R15*4)</f>
        <v>8.2262684630768634E-3</v>
      </c>
      <c r="S249" s="117">
        <f>S124/(S15)</f>
        <v>8.7231881590016189E-3</v>
      </c>
      <c r="T249" s="117">
        <f>T124/(T15*4)</f>
        <v>1.0218612885844046E-2</v>
      </c>
      <c r="U249" s="117">
        <f>U124/(U15*4)</f>
        <v>1.005830571267808E-2</v>
      </c>
      <c r="V249" s="117">
        <f>V124/(V15*4)</f>
        <v>9.6431124660142382E-3</v>
      </c>
      <c r="W249" s="117">
        <f>W124/(W15*4)</f>
        <v>1.1326650260051965E-2</v>
      </c>
      <c r="X249" s="117">
        <f>X124/(X15)</f>
        <v>1.230149563656935E-2</v>
      </c>
      <c r="Y249" s="117">
        <f>Y124/(Y15*4)</f>
        <v>1.3775463971342411E-2</v>
      </c>
      <c r="Z249" s="117">
        <f>Z124/(Z15*4)</f>
        <v>1.7459840260883694E-2</v>
      </c>
      <c r="AA249" s="117">
        <f>AA124/(AA15*4)</f>
        <v>2.5469850236837767E-2</v>
      </c>
      <c r="AB249" s="117">
        <f>AB124/(AB15*4)</f>
        <v>1.6481594149325107E-2</v>
      </c>
      <c r="AC249" s="117">
        <f>AC124/(AC15)</f>
        <v>1.6653571896194937E-2</v>
      </c>
      <c r="AD249" s="117">
        <f>AD124/(AD15*4)</f>
        <v>1.4957700734281744E-2</v>
      </c>
      <c r="AE249" s="117">
        <f>AE124/(AE15*4)</f>
        <v>1.465912225622972E-2</v>
      </c>
      <c r="AF249" s="117">
        <f>AF124/(AF15*4)</f>
        <v>1.4496533275946757E-2</v>
      </c>
      <c r="AG249" s="117">
        <f>AG124/(AG15*4)</f>
        <v>2.5481391574097834E-2</v>
      </c>
      <c r="AH249" s="117">
        <f>AH124/(AH15)</f>
        <v>2.3966614399980476E-2</v>
      </c>
      <c r="AI249" s="155">
        <f>AI124/(AI15*4)</f>
        <v>9.6384607118550972E-3</v>
      </c>
      <c r="AJ249" s="155">
        <f>AJ124/(AJ15*4)</f>
        <v>8.7856028628010268E-3</v>
      </c>
      <c r="AK249" s="155">
        <f>AK124/(AK15*4)</f>
        <v>8.8440468339163452E-3</v>
      </c>
      <c r="AL249" s="155">
        <f>AL124/(AL15*4)</f>
        <v>1.1488687124155059E-2</v>
      </c>
      <c r="AM249" s="117">
        <f>AM124/(AM15)</f>
        <v>1.2163764489214839E-2</v>
      </c>
      <c r="AN249" s="155">
        <f>AN124/(AN15*4)</f>
        <v>1.2127510595024113E-2</v>
      </c>
      <c r="AO249" s="155">
        <f>AO124/(AO15*4)</f>
        <v>1.0726068418197107E-2</v>
      </c>
      <c r="AP249" s="155">
        <f>AP124/(AP15*4)</f>
        <v>2.8227953734934582E-2</v>
      </c>
      <c r="AQ249" s="155">
        <f>AQ124/(AQ15*4)</f>
        <v>4.014191016194902E-2</v>
      </c>
      <c r="AR249" s="117">
        <f>AR124/(AR15)</f>
        <v>2.8166203530831081E-2</v>
      </c>
      <c r="AS249" s="1076">
        <f>AS124/(AS15*4)</f>
        <v>5.7997456221350933E-2</v>
      </c>
      <c r="AT249" s="566">
        <f>AT124/(AT15*4)</f>
        <v>6.7304526018269376E-2</v>
      </c>
      <c r="AU249" s="566">
        <f>AU124/(AU15*4)</f>
        <v>5.4925953644305053E-2</v>
      </c>
      <c r="AV249" s="1077">
        <f>AV124/(AV15*4)</f>
        <v>5.7002192689853855E-2</v>
      </c>
      <c r="AW249" s="566">
        <f>AW124/(AW15)</f>
        <v>5.9862312846773673E-2</v>
      </c>
      <c r="AX249" s="1076">
        <f>AX124/(AX15*4)</f>
        <v>4.3846765468931348E-2</v>
      </c>
      <c r="AY249" s="566">
        <f>AY124/(AY15*4)</f>
        <v>5.2617323400618587E-2</v>
      </c>
      <c r="AZ249" s="566">
        <f>AZ124/(AZ15*4)</f>
        <v>5.733962404974409E-2</v>
      </c>
      <c r="BA249" s="1077">
        <f>BA124/(BA15*4)</f>
        <v>9.8358611741809918E-2</v>
      </c>
      <c r="BB249" s="566">
        <f>BB124/(BB15)</f>
        <v>9.5691618363751924E-2</v>
      </c>
      <c r="BC249" s="1076">
        <f>BC124/(BC15*4)</f>
        <v>7.8829944719973427E-2</v>
      </c>
      <c r="BD249" s="566">
        <f>BD124/(BD15*4)</f>
        <v>7.5362205203835922E-2</v>
      </c>
      <c r="BE249" s="566">
        <f>BE124/(BE15*4)</f>
        <v>7.2080182873889218E-2</v>
      </c>
      <c r="BF249" s="1077">
        <f>BF124/(BF15*4)</f>
        <v>7.719791613393609E-2</v>
      </c>
      <c r="BG249" s="568">
        <f>BG124/(BG15)</f>
        <v>7.4480447137182978E-2</v>
      </c>
      <c r="BH249" s="1076">
        <f>BH124/(BH15*4)</f>
        <v>7.3412932318257684E-2</v>
      </c>
      <c r="BI249" s="566">
        <f>BI124/(BI15*4)</f>
        <v>6.5722604075585611E-2</v>
      </c>
      <c r="BJ249" s="566">
        <f>BJ124/(BJ15*4)</f>
        <v>6.6656533795883779E-2</v>
      </c>
      <c r="BK249" s="1077">
        <f>BK124/(BK15*4)</f>
        <v>6.9859831140477974E-2</v>
      </c>
      <c r="BL249" s="568">
        <f>BL124/(BL15)</f>
        <v>6.4019945573877093E-2</v>
      </c>
      <c r="BM249" s="1076">
        <f>BM124/(BM15*4)</f>
        <v>6.1309707451834554E-2</v>
      </c>
      <c r="BN249" s="566">
        <f>BN124/(BN15*4)</f>
        <v>5.7799574244446789E-2</v>
      </c>
      <c r="BO249" s="566">
        <f>BO124/(BO15*4)</f>
        <v>5.2901717407390025E-2</v>
      </c>
      <c r="BP249" s="1077">
        <f>BP124/(BP15*4)</f>
        <v>5.2528270085295474E-2</v>
      </c>
      <c r="BQ249" s="566">
        <f>BQ124/(BQ15)</f>
        <v>5.3981131475328167E-2</v>
      </c>
      <c r="BR249" s="1076">
        <f>BR124/(BR15*4)</f>
        <v>5.0759585501964979E-2</v>
      </c>
      <c r="BS249" s="566">
        <f>BS124/(BS15*4)</f>
        <v>4.8685191572601032E-2</v>
      </c>
      <c r="BT249" s="566">
        <f>BT124/(BT15*4)</f>
        <v>4.4348879288528029E-2</v>
      </c>
      <c r="BU249" s="1077">
        <f>BU124/(BU15*4)</f>
        <v>4.7746311618499161E-2</v>
      </c>
      <c r="BV249" s="566">
        <f>BV124/(BV15)</f>
        <v>4.5280104975370689E-2</v>
      </c>
      <c r="BW249" s="1076">
        <f>BW124/(BW15*4)</f>
        <v>5.2852976742494506E-2</v>
      </c>
      <c r="BX249" s="566">
        <f>BX124/(BX15*4)</f>
        <v>5.3207045423304379E-2</v>
      </c>
      <c r="BY249" s="566">
        <f>BY124/(BY15*4)</f>
        <v>5.5969581452102631E-2</v>
      </c>
      <c r="BZ249" s="1077">
        <f>BZ124/(BZ15*4)</f>
        <v>5.9515788554039634E-2</v>
      </c>
      <c r="CA249" s="566">
        <f>CA124/(CA15)</f>
        <v>5.0057922258863463E-2</v>
      </c>
      <c r="CB249" s="1076">
        <f>CB124/(CB15*4)</f>
        <v>5.3375708100170734E-2</v>
      </c>
      <c r="CC249" s="566">
        <f>CC124/(CC15*4)</f>
        <v>4.6973671690330995E-2</v>
      </c>
      <c r="CD249" s="566">
        <f>CD124/(CD15*4)</f>
        <v>4.1689664624510167E-2</v>
      </c>
      <c r="CE249" s="1077">
        <f>CE124/(CE15*4)</f>
        <v>4.5425571547651006E-2</v>
      </c>
      <c r="CF249" s="566">
        <f>CF124/(CF15)</f>
        <v>4.4355046192273234E-2</v>
      </c>
      <c r="CG249" s="1076">
        <f>CG124/(CG15*4)</f>
        <v>3.7230962753409584E-2</v>
      </c>
      <c r="CH249" s="566">
        <f>CH124/(CH15*4)</f>
        <v>3.5798264618188753E-2</v>
      </c>
      <c r="CI249" s="566">
        <f>CI124/(CI15*4)</f>
        <v>3.668949851618445E-2</v>
      </c>
      <c r="CJ249" s="1077">
        <f>CJ124/(CJ15*4)</f>
        <v>3.9912344609381006E-2</v>
      </c>
      <c r="CK249" s="566">
        <f>CK124/(CK15)</f>
        <v>4.0142762388622417E-2</v>
      </c>
      <c r="CL249" s="1076">
        <f>CL124/(CL15*4)</f>
        <v>3.8765671189614145E-2</v>
      </c>
      <c r="CM249" s="533">
        <f t="shared" ref="CM249:CO250" si="285">CL249</f>
        <v>3.8765671189614145E-2</v>
      </c>
      <c r="CN249" s="533">
        <f t="shared" si="285"/>
        <v>3.8765671189614145E-2</v>
      </c>
      <c r="CO249" s="1217">
        <f t="shared" si="285"/>
        <v>3.8765671189614145E-2</v>
      </c>
      <c r="CP249" s="566">
        <f>CP124/(CP15)</f>
        <v>4.0037220291352538E-2</v>
      </c>
      <c r="CQ249" s="1222">
        <f>CO249</f>
        <v>3.8765671189614145E-2</v>
      </c>
      <c r="CR249" s="533">
        <f t="shared" ref="CR249:CT250" si="286">CQ249</f>
        <v>3.8765671189614145E-2</v>
      </c>
      <c r="CS249" s="533">
        <f t="shared" si="286"/>
        <v>3.8765671189614145E-2</v>
      </c>
      <c r="CT249" s="1217">
        <f t="shared" si="286"/>
        <v>3.8765671189614145E-2</v>
      </c>
      <c r="CU249" s="566">
        <f>CU124/(CU15)</f>
        <v>3.7021756375834394E-2</v>
      </c>
      <c r="CV249" s="1222">
        <f>CT249</f>
        <v>3.8765671189614145E-2</v>
      </c>
      <c r="CW249" s="533">
        <f t="shared" ref="CW249:CW250" si="287">CV249</f>
        <v>3.8765671189614145E-2</v>
      </c>
      <c r="CX249" s="533">
        <f t="shared" ref="CX249:CX250" si="288">CW249</f>
        <v>3.8765671189614145E-2</v>
      </c>
      <c r="CY249" s="1217">
        <f t="shared" ref="CY249:CY250" si="289">CX249</f>
        <v>3.8765671189614145E-2</v>
      </c>
      <c r="CZ249" s="566">
        <f>CZ124/(CZ15)</f>
        <v>3.7532989886004363E-2</v>
      </c>
    </row>
    <row r="250" spans="1:104" ht="13.5" customHeight="1">
      <c r="A250" s="66"/>
      <c r="B250" s="66" t="s">
        <v>131</v>
      </c>
      <c r="C250" s="20"/>
      <c r="D250" s="66"/>
      <c r="E250" s="117"/>
      <c r="F250" s="117"/>
      <c r="G250" s="117"/>
      <c r="H250" s="117"/>
      <c r="I250" s="117"/>
      <c r="J250" s="99"/>
      <c r="K250" s="99"/>
      <c r="L250" s="99"/>
      <c r="M250" s="99"/>
      <c r="N250" s="99"/>
      <c r="O250" s="117">
        <f>O132/(O15*4)</f>
        <v>4.9941578365880653E-2</v>
      </c>
      <c r="P250" s="117">
        <f>P132/(P15*4)</f>
        <v>5.0733230339387009E-2</v>
      </c>
      <c r="Q250" s="117">
        <f>Q132/(Q15*4)</f>
        <v>5.032535200075243E-2</v>
      </c>
      <c r="R250" s="117">
        <f>R132/(R15*4)</f>
        <v>4.5111033904972835E-2</v>
      </c>
      <c r="S250" s="117">
        <f>S132/(S15)</f>
        <v>4.7836031435934269E-2</v>
      </c>
      <c r="T250" s="117">
        <f>T132/(T15*4)</f>
        <v>4.451333440633725E-2</v>
      </c>
      <c r="U250" s="117">
        <f>U132/(U15*4)</f>
        <v>4.7400592797073808E-2</v>
      </c>
      <c r="V250" s="117">
        <f>V132/(V15*4)</f>
        <v>5.5189357178311339E-2</v>
      </c>
      <c r="W250" s="117">
        <f>W132/(W15*4)</f>
        <v>4.8093346127126013E-2</v>
      </c>
      <c r="X250" s="117">
        <f>X132/(X15)</f>
        <v>5.2232573086276775E-2</v>
      </c>
      <c r="Y250" s="117">
        <f>Y132/(Y15*4)</f>
        <v>5.1100218773321993E-2</v>
      </c>
      <c r="Z250" s="117">
        <f>Z132/(Z15*4)</f>
        <v>4.5061403757007547E-2</v>
      </c>
      <c r="AA250" s="117">
        <f>AA132/(AA15*4)</f>
        <v>5.6583620602192193E-2</v>
      </c>
      <c r="AB250" s="117">
        <f>AB132/(AB15*4)</f>
        <v>5.8660798495939685E-2</v>
      </c>
      <c r="AC250" s="117">
        <f>AC132/(AC15)</f>
        <v>5.9272896565065479E-2</v>
      </c>
      <c r="AD250" s="117">
        <f>AD132/(AD15*4)</f>
        <v>5.491429430562831E-2</v>
      </c>
      <c r="AE250" s="117">
        <f>AE132/(AE15*4)</f>
        <v>5.2573988203922388E-2</v>
      </c>
      <c r="AF250" s="117">
        <f>AF132/(AF15*4)</f>
        <v>5.936884178577051E-2</v>
      </c>
      <c r="AG250" s="117">
        <f>AG132/(AG15*4)</f>
        <v>6.7274310310529634E-2</v>
      </c>
      <c r="AH250" s="117">
        <f>AH132/(AH15)</f>
        <v>6.3275094280017916E-2</v>
      </c>
      <c r="AI250" s="155">
        <f>AI132/(AI15*4)</f>
        <v>4.3396986111276938E-2</v>
      </c>
      <c r="AJ250" s="155">
        <f>AJ132/(AJ15*4)</f>
        <v>4.4769666826719803E-2</v>
      </c>
      <c r="AK250" s="155">
        <f>AK132/(AK15*4)</f>
        <v>5.055584107985945E-2</v>
      </c>
      <c r="AL250" s="155">
        <f>AL132/(AL15*4)</f>
        <v>4.9326094669711329E-2</v>
      </c>
      <c r="AM250" s="117">
        <f>AM132/(AM15)</f>
        <v>5.2224505050154781E-2</v>
      </c>
      <c r="AN250" s="155">
        <f>AN132/(AN15*4)</f>
        <v>3.5472800123998123E-2</v>
      </c>
      <c r="AO250" s="155">
        <f>AO132/(AO15*4)</f>
        <v>3.2759256305426379E-2</v>
      </c>
      <c r="AP250" s="155">
        <f>AP132/(AP15*4)</f>
        <v>3.7961126656927406E-2</v>
      </c>
      <c r="AQ250" s="155">
        <f>AQ132/(AQ15*4)</f>
        <v>5.6129810240389162E-2</v>
      </c>
      <c r="AR250" s="117">
        <f>AR132/(AR15)</f>
        <v>3.9384365442488127E-2</v>
      </c>
      <c r="AS250" s="1076">
        <f>AS132/(AS15*4)</f>
        <v>3.3297335399399997E-2</v>
      </c>
      <c r="AT250" s="566">
        <f>AT132/(AT15*4)</f>
        <v>3.465376500991918E-2</v>
      </c>
      <c r="AU250" s="566">
        <f>AU132/(AU15*4)</f>
        <v>4.4861867208546131E-2</v>
      </c>
      <c r="AV250" s="1077">
        <f>AV132/(AV15*4)</f>
        <v>4.3590943190203756E-2</v>
      </c>
      <c r="AW250" s="566">
        <f>AW132/(AW15)</f>
        <v>4.5778145636183355E-2</v>
      </c>
      <c r="AX250" s="1076">
        <f>AX132/(AX15*4)</f>
        <v>3.9989621986395038E-2</v>
      </c>
      <c r="AY250" s="566">
        <f>AY132/(AY15*4)</f>
        <v>3.7075610240883738E-2</v>
      </c>
      <c r="AZ250" s="566">
        <f>AZ132/(AZ15*4)</f>
        <v>3.9696681383812674E-2</v>
      </c>
      <c r="BA250" s="1077">
        <f>BA132/(BA15*4)</f>
        <v>3.8560298410638981E-2</v>
      </c>
      <c r="BB250" s="566">
        <f>BB132/(BB15)</f>
        <v>3.7514736067942762E-2</v>
      </c>
      <c r="BC250" s="1076">
        <f>BC132/(BC15*4)</f>
        <v>3.2681248854452713E-2</v>
      </c>
      <c r="BD250" s="566">
        <f>BD132/(BD15*4)</f>
        <v>3.7152916250392291E-2</v>
      </c>
      <c r="BE250" s="566">
        <f>BE132/(BE15*4)</f>
        <v>3.9282338793452734E-2</v>
      </c>
      <c r="BF250" s="1153">
        <f>BF181-BE181</f>
        <v>0</v>
      </c>
      <c r="BG250" s="568">
        <f>BG132/(BG15)</f>
        <v>3.9233175472658116E-2</v>
      </c>
      <c r="BH250" s="1076">
        <f>BH132/(BH15*4)</f>
        <v>3.4625972431462093E-2</v>
      </c>
      <c r="BI250" s="566">
        <f>BI132/(BI15*4)</f>
        <v>3.5397718623431412E-2</v>
      </c>
      <c r="BJ250" s="566">
        <f>BJ132/(BJ15*4)</f>
        <v>4.0067901689700459E-2</v>
      </c>
      <c r="BK250" s="1077">
        <f>BK132/(BK15*4)</f>
        <v>3.9479876997012539E-2</v>
      </c>
      <c r="BL250" s="568">
        <f>BL132/(BL15)</f>
        <v>3.6179583250490123E-2</v>
      </c>
      <c r="BM250" s="1076">
        <f>BM132/(BM15*4)</f>
        <v>3.7000700100993857E-2</v>
      </c>
      <c r="BN250" s="566">
        <f>BN132/(BN15*4)</f>
        <v>3.9099466133743488E-2</v>
      </c>
      <c r="BO250" s="566">
        <f>BO132/(BO15*4)</f>
        <v>4.1385579574396432E-2</v>
      </c>
      <c r="BP250" s="1077">
        <f>BP132/(BP15*4)</f>
        <v>4.1403340313601308E-2</v>
      </c>
      <c r="BQ250" s="566">
        <f>BQ132/(BQ15)</f>
        <v>4.2548501090119144E-2</v>
      </c>
      <c r="BR250" s="1076">
        <f>BR132/(BR15*4)</f>
        <v>3.7851153893436039E-2</v>
      </c>
      <c r="BS250" s="566">
        <f>BS132/(BS15*4)</f>
        <v>3.9662781192857779E-2</v>
      </c>
      <c r="BT250" s="566">
        <f>BT132/(BT15*4)</f>
        <v>4.0369000059454194E-2</v>
      </c>
      <c r="BU250" s="1077">
        <f>BU132/(BU15*4)</f>
        <v>4.3971644883350564E-2</v>
      </c>
      <c r="BV250" s="566">
        <f>BV132/(BV15)</f>
        <v>4.1700408445506237E-2</v>
      </c>
      <c r="BW250" s="1076">
        <f>BW132/(BW15*4)</f>
        <v>4.1791171149055339E-2</v>
      </c>
      <c r="BX250" s="566">
        <f>BX132/(BX15*4)</f>
        <v>4.6961303779205515E-2</v>
      </c>
      <c r="BY250" s="566">
        <f>BY132/(BY15*4)</f>
        <v>5.2388774478087166E-2</v>
      </c>
      <c r="BZ250" s="1077">
        <f>BZ132/(BZ15*4)</f>
        <v>5.5495712256123084E-2</v>
      </c>
      <c r="CA250" s="566">
        <f>CA132/(CA15)</f>
        <v>4.6676690627981424E-2</v>
      </c>
      <c r="CB250" s="1076">
        <f>CB132/(CB15*4)</f>
        <v>5.0784319847043902E-2</v>
      </c>
      <c r="CC250" s="566">
        <f>CC132/(CC15*4)</f>
        <v>4.9807490840299479E-2</v>
      </c>
      <c r="CD250" s="566">
        <f>CD132/(CD15*4)</f>
        <v>5.4925533234069179E-2</v>
      </c>
      <c r="CE250" s="1077">
        <f>CE132/(CE15*4)</f>
        <v>5.9009795937761754E-2</v>
      </c>
      <c r="CF250" s="566">
        <f>CF132/(CF15)</f>
        <v>5.7619136874710097E-2</v>
      </c>
      <c r="CG250" s="1076">
        <f>CG132/(CG15*4)</f>
        <v>4.4390250082084172E-2</v>
      </c>
      <c r="CH250" s="566">
        <f>CH132/(CH15*4)</f>
        <v>4.6948762350551301E-2</v>
      </c>
      <c r="CI250" s="566">
        <f>CI132/(CI15*4)</f>
        <v>5.1837753381596588E-2</v>
      </c>
      <c r="CJ250" s="1077">
        <f>CJ132/(CJ15*4)</f>
        <v>5.3540590865317393E-2</v>
      </c>
      <c r="CK250" s="566">
        <f>CK132/(CK15)</f>
        <v>5.3849685812437077E-2</v>
      </c>
      <c r="CL250" s="1076">
        <f>CL132/(CL15*4)</f>
        <v>4.2231152145698808E-2</v>
      </c>
      <c r="CM250" s="533">
        <f t="shared" si="285"/>
        <v>4.2231152145698808E-2</v>
      </c>
      <c r="CN250" s="533">
        <f t="shared" si="285"/>
        <v>4.2231152145698808E-2</v>
      </c>
      <c r="CO250" s="1217">
        <f t="shared" si="285"/>
        <v>4.2231152145698808E-2</v>
      </c>
      <c r="CP250" s="566">
        <f>CP132/(CP15)</f>
        <v>4.3616372159395546E-2</v>
      </c>
      <c r="CQ250" s="1222">
        <f>CO250</f>
        <v>4.2231152145698808E-2</v>
      </c>
      <c r="CR250" s="533">
        <f t="shared" si="286"/>
        <v>4.2231152145698808E-2</v>
      </c>
      <c r="CS250" s="533">
        <f t="shared" si="286"/>
        <v>4.2231152145698808E-2</v>
      </c>
      <c r="CT250" s="1217">
        <f t="shared" si="286"/>
        <v>4.2231152145698808E-2</v>
      </c>
      <c r="CU250" s="566">
        <f>CU132/(CU15)</f>
        <v>4.0331338997368696E-2</v>
      </c>
      <c r="CV250" s="1222">
        <f>CT250</f>
        <v>4.2231152145698808E-2</v>
      </c>
      <c r="CW250" s="533">
        <f t="shared" si="287"/>
        <v>4.2231152145698808E-2</v>
      </c>
      <c r="CX250" s="533">
        <f t="shared" si="288"/>
        <v>4.2231152145698808E-2</v>
      </c>
      <c r="CY250" s="1217">
        <f t="shared" si="289"/>
        <v>4.2231152145698808E-2</v>
      </c>
      <c r="CZ250" s="566">
        <f>CZ132/(CZ15)</f>
        <v>4.0888274540787119E-2</v>
      </c>
    </row>
    <row r="251" spans="1:104" ht="6.2" customHeight="1">
      <c r="AS251" s="907"/>
      <c r="AT251" s="536"/>
      <c r="AU251" s="536"/>
      <c r="AV251" s="908"/>
      <c r="AX251" s="907"/>
      <c r="AY251" s="536"/>
      <c r="AZ251" s="536"/>
      <c r="BA251" s="908"/>
      <c r="BC251" s="907"/>
      <c r="BD251" s="536"/>
      <c r="BE251" s="536"/>
      <c r="BF251" s="908"/>
      <c r="BH251" s="907"/>
      <c r="BI251" s="536"/>
      <c r="BJ251" s="536"/>
      <c r="BK251" s="908"/>
      <c r="BM251" s="907"/>
      <c r="BN251" s="536"/>
      <c r="BO251" s="536"/>
      <c r="BP251" s="908"/>
      <c r="BR251" s="907"/>
      <c r="BS251" s="536"/>
      <c r="BT251" s="536"/>
      <c r="BU251" s="908"/>
      <c r="BW251" s="907"/>
      <c r="BX251" s="536"/>
      <c r="BY251" s="536"/>
      <c r="BZ251" s="908"/>
      <c r="CB251" s="907"/>
      <c r="CC251" s="536"/>
      <c r="CD251" s="536"/>
      <c r="CE251" s="908"/>
      <c r="CG251" s="907"/>
      <c r="CH251" s="536"/>
      <c r="CI251" s="536"/>
      <c r="CJ251" s="908"/>
      <c r="CL251" s="907"/>
      <c r="CM251" s="536"/>
      <c r="CN251" s="536"/>
      <c r="CO251" s="908"/>
      <c r="CQ251" s="907"/>
      <c r="CR251" s="536"/>
      <c r="CS251" s="536"/>
      <c r="CT251" s="908"/>
      <c r="CV251" s="907"/>
      <c r="CW251" s="536"/>
      <c r="CX251" s="536"/>
      <c r="CY251" s="908"/>
    </row>
    <row r="252" spans="1:104" ht="13.5" customHeight="1">
      <c r="A252" s="79" t="s">
        <v>144</v>
      </c>
      <c r="B252" s="66"/>
      <c r="C252" s="66"/>
      <c r="AS252" s="907"/>
      <c r="AT252" s="536"/>
      <c r="AU252" s="536"/>
      <c r="AV252" s="908"/>
      <c r="AX252" s="907"/>
      <c r="AY252" s="536"/>
      <c r="AZ252" s="536"/>
      <c r="BA252" s="908"/>
      <c r="BC252" s="907"/>
      <c r="BD252" s="536"/>
      <c r="BE252" s="536"/>
      <c r="BF252" s="908"/>
      <c r="BH252" s="907"/>
      <c r="BI252" s="536"/>
      <c r="BJ252" s="536"/>
      <c r="BK252" s="908"/>
      <c r="BM252" s="907"/>
      <c r="BN252" s="536"/>
      <c r="BO252" s="536"/>
      <c r="BP252" s="908"/>
      <c r="BR252" s="907"/>
      <c r="BS252" s="536"/>
      <c r="BT252" s="536"/>
      <c r="BU252" s="908"/>
      <c r="BW252" s="907"/>
      <c r="BX252" s="536"/>
      <c r="BY252" s="536"/>
      <c r="BZ252" s="908"/>
      <c r="CB252" s="907"/>
      <c r="CC252" s="536"/>
      <c r="CD252" s="536"/>
      <c r="CE252" s="908"/>
      <c r="CG252" s="907"/>
      <c r="CH252" s="536"/>
      <c r="CI252" s="536"/>
      <c r="CJ252" s="908"/>
      <c r="CL252" s="907"/>
      <c r="CM252" s="536"/>
      <c r="CN252" s="536"/>
      <c r="CO252" s="908"/>
      <c r="CQ252" s="907"/>
      <c r="CR252" s="536"/>
      <c r="CS252" s="536"/>
      <c r="CT252" s="908"/>
      <c r="CV252" s="907"/>
      <c r="CW252" s="536"/>
      <c r="CX252" s="536"/>
      <c r="CY252" s="908"/>
    </row>
    <row r="253" spans="1:104" ht="13.5" customHeight="1">
      <c r="A253" s="82"/>
      <c r="B253" s="66" t="s">
        <v>494</v>
      </c>
      <c r="C253" s="66"/>
      <c r="S253" s="94">
        <f>N256-S209-S210</f>
        <v>5344.5801369999999</v>
      </c>
      <c r="X253" s="94">
        <f>S256-X209-X210</f>
        <v>5786.3874820000001</v>
      </c>
      <c r="AC253" s="94">
        <f>X256-AC209-AC210</f>
        <v>6179.9489999999996</v>
      </c>
      <c r="AH253" s="94">
        <f>AC256-AH209-AH210</f>
        <v>6619.26</v>
      </c>
      <c r="AM253" s="94">
        <f>AH256-AM209-AM210</f>
        <v>8456.4750000000004</v>
      </c>
      <c r="AR253" s="94">
        <f>AM256-AR209-AR210</f>
        <v>9994.6790000000001</v>
      </c>
      <c r="AS253" s="907"/>
      <c r="AT253" s="536"/>
      <c r="AU253" s="536"/>
      <c r="AV253" s="908"/>
      <c r="AW253" s="94">
        <f>AR256-AW209-AW210</f>
        <v>8906.8589999999986</v>
      </c>
      <c r="AX253" s="907"/>
      <c r="AY253" s="536"/>
      <c r="AZ253" s="536"/>
      <c r="BA253" s="908"/>
      <c r="BB253" s="94">
        <f>AW256-BB209-BB210</f>
        <v>9208.5169999999998</v>
      </c>
      <c r="BC253" s="907"/>
      <c r="BD253" s="536"/>
      <c r="BE253" s="536"/>
      <c r="BF253" s="908"/>
      <c r="BG253" s="94">
        <f>BB256-BG209-BG210</f>
        <v>9536.9350000000013</v>
      </c>
      <c r="BH253" s="907"/>
      <c r="BI253" s="536"/>
      <c r="BJ253" s="536"/>
      <c r="BK253" s="908"/>
      <c r="BL253" s="94">
        <f>BG256-BL209-BL210</f>
        <v>11189.538</v>
      </c>
      <c r="BM253" s="907"/>
      <c r="BN253" s="536"/>
      <c r="BO253" s="536"/>
      <c r="BP253" s="908"/>
      <c r="BQ253" s="94">
        <f>BL256-BQ209-BQ210</f>
        <v>11635.525</v>
      </c>
      <c r="BR253" s="907"/>
      <c r="BS253" s="536"/>
      <c r="BT253" s="536"/>
      <c r="BU253" s="908"/>
      <c r="BV253" s="94">
        <f>BQ256-BV209-BV210</f>
        <v>12979.808000000001</v>
      </c>
      <c r="BW253" s="907"/>
      <c r="BX253" s="536"/>
      <c r="BY253" s="536"/>
      <c r="BZ253" s="908"/>
      <c r="CA253" s="94">
        <f>BV256-CA209-CA210</f>
        <v>12846.744999999999</v>
      </c>
      <c r="CB253" s="907"/>
      <c r="CC253" s="536"/>
      <c r="CD253" s="536"/>
      <c r="CE253" s="908"/>
      <c r="CF253" s="94">
        <f>CA256-CF209-CF210</f>
        <v>13711.537</v>
      </c>
      <c r="CG253" s="907"/>
      <c r="CH253" s="536"/>
      <c r="CI253" s="536"/>
      <c r="CJ253" s="908"/>
      <c r="CK253" s="94">
        <f>CF256-CK209-CK210</f>
        <v>14228.603999999999</v>
      </c>
      <c r="CL253" s="907"/>
      <c r="CM253" s="536"/>
      <c r="CN253" s="536"/>
      <c r="CO253" s="908"/>
      <c r="CP253" s="94">
        <f>CK256-CP209-CP210</f>
        <v>14993.940939999999</v>
      </c>
      <c r="CQ253" s="907"/>
      <c r="CR253" s="536"/>
      <c r="CS253" s="536"/>
      <c r="CT253" s="908"/>
      <c r="CU253" s="94">
        <f>CP256-CU209-CU210</f>
        <v>15634.031825899998</v>
      </c>
      <c r="CV253" s="907"/>
      <c r="CW253" s="536"/>
      <c r="CX253" s="536"/>
      <c r="CY253" s="908"/>
      <c r="CZ253" s="94">
        <f>CU256-CZ209-CZ210</f>
        <v>15999.521348511498</v>
      </c>
    </row>
    <row r="254" spans="1:104" ht="13.5" customHeight="1">
      <c r="A254" s="82"/>
      <c r="B254" s="66" t="s">
        <v>495</v>
      </c>
      <c r="C254" s="66"/>
      <c r="S254" s="94">
        <f>S256-S253</f>
        <v>-13.763654999999744</v>
      </c>
      <c r="X254" s="94">
        <f>X256-X253</f>
        <v>-92.768482000000404</v>
      </c>
      <c r="AC254" s="94">
        <f>AC256-AC253</f>
        <v>-123.01299999999992</v>
      </c>
      <c r="AH254" s="94">
        <f>AH256-AH253</f>
        <v>-225.80400000000009</v>
      </c>
      <c r="AM254" s="94">
        <f>AM256-AM253</f>
        <v>-1306.8060000000005</v>
      </c>
      <c r="AR254" s="94">
        <f>AR256-AR253</f>
        <v>-1511.0400000000009</v>
      </c>
      <c r="AS254" s="907"/>
      <c r="AT254" s="536"/>
      <c r="AU254" s="536"/>
      <c r="AV254" s="908"/>
      <c r="AW254" s="94">
        <f>AW256-AW253</f>
        <v>-108.42399999999907</v>
      </c>
      <c r="AX254" s="907"/>
      <c r="AY254" s="536"/>
      <c r="AZ254" s="536"/>
      <c r="BA254" s="908"/>
      <c r="BB254" s="94">
        <f>BB256-BB253</f>
        <v>-116.04299999999967</v>
      </c>
      <c r="BC254" s="907"/>
      <c r="BD254" s="536"/>
      <c r="BE254" s="536"/>
      <c r="BF254" s="908"/>
      <c r="BG254" s="94">
        <f>BG256-BG253</f>
        <v>-55.838000000001557</v>
      </c>
      <c r="BH254" s="907"/>
      <c r="BI254" s="536"/>
      <c r="BJ254" s="536"/>
      <c r="BK254" s="908"/>
      <c r="BL254" s="94">
        <f>BL256-BL253</f>
        <v>-750.96500000000015</v>
      </c>
      <c r="BM254" s="907"/>
      <c r="BN254" s="536"/>
      <c r="BO254" s="536"/>
      <c r="BP254" s="908"/>
      <c r="BQ254" s="94">
        <f>BQ256-BQ253</f>
        <v>-92.279999999998836</v>
      </c>
      <c r="BR254" s="907"/>
      <c r="BS254" s="536"/>
      <c r="BT254" s="536"/>
      <c r="BU254" s="908"/>
      <c r="BV254" s="94">
        <f>BV256-BV253</f>
        <v>-526.27500000000146</v>
      </c>
      <c r="BW254" s="907"/>
      <c r="BX254" s="536"/>
      <c r="BY254" s="536"/>
      <c r="BZ254" s="908"/>
      <c r="CA254" s="94">
        <f>CA256-CA253</f>
        <v>-214.83599999999933</v>
      </c>
      <c r="CB254" s="907"/>
      <c r="CC254" s="536"/>
      <c r="CD254" s="536"/>
      <c r="CE254" s="908"/>
      <c r="CF254" s="94">
        <f>CF256-CF253</f>
        <v>-475.52900000000045</v>
      </c>
      <c r="CG254" s="907"/>
      <c r="CH254" s="536"/>
      <c r="CI254" s="536"/>
      <c r="CJ254" s="908"/>
      <c r="CK254" s="94">
        <f>CK253*CK255</f>
        <v>-213.42905999999999</v>
      </c>
      <c r="CL254" s="907"/>
      <c r="CM254" s="536"/>
      <c r="CN254" s="536"/>
      <c r="CO254" s="908"/>
      <c r="CP254" s="94">
        <f>CP253*CP255</f>
        <v>-224.90911409999998</v>
      </c>
      <c r="CQ254" s="907"/>
      <c r="CR254" s="536"/>
      <c r="CS254" s="536"/>
      <c r="CT254" s="908"/>
      <c r="CU254" s="94">
        <f>CU253*CU255</f>
        <v>-234.51047738849996</v>
      </c>
      <c r="CV254" s="907"/>
      <c r="CW254" s="536"/>
      <c r="CX254" s="536"/>
      <c r="CY254" s="908"/>
      <c r="CZ254" s="94">
        <f>CZ253*CZ255</f>
        <v>-239.99282022767247</v>
      </c>
    </row>
    <row r="255" spans="1:104" ht="13.5" customHeight="1">
      <c r="A255" s="82"/>
      <c r="B255" s="66"/>
      <c r="C255" s="66" t="s">
        <v>496</v>
      </c>
      <c r="S255" s="117">
        <f>S254/S253</f>
        <v>-2.5752546780457683E-3</v>
      </c>
      <c r="X255" s="117">
        <f>X254/X253</f>
        <v>-1.6032193192830568E-2</v>
      </c>
      <c r="AC255" s="117">
        <f>AC254/AC253</f>
        <v>-1.9905180447281998E-2</v>
      </c>
      <c r="AH255" s="117">
        <f>AH254/AH253</f>
        <v>-3.4113178814550282E-2</v>
      </c>
      <c r="AM255" s="117">
        <f>AM254/AM253</f>
        <v>-0.15453318315255474</v>
      </c>
      <c r="AR255" s="117">
        <f>AR254/AR253</f>
        <v>-0.15118444524331406</v>
      </c>
      <c r="AS255" s="907"/>
      <c r="AT255" s="536"/>
      <c r="AU255" s="536"/>
      <c r="AV255" s="908"/>
      <c r="AW255" s="117">
        <f>AW254/AW253</f>
        <v>-1.2173090423908035E-2</v>
      </c>
      <c r="AX255" s="907"/>
      <c r="AY255" s="536"/>
      <c r="AZ255" s="536"/>
      <c r="BA255" s="908"/>
      <c r="BB255" s="117">
        <f>BB254/BB253</f>
        <v>-1.2601703401318548E-2</v>
      </c>
      <c r="BC255" s="907"/>
      <c r="BD255" s="536"/>
      <c r="BE255" s="536"/>
      <c r="BF255" s="908"/>
      <c r="BG255" s="117">
        <f>BG254/BG253</f>
        <v>-5.8549208943965278E-3</v>
      </c>
      <c r="BH255" s="907"/>
      <c r="BI255" s="536"/>
      <c r="BJ255" s="536"/>
      <c r="BK255" s="908"/>
      <c r="BL255" s="117">
        <f>BL254/BL253</f>
        <v>-6.7113137289493099E-2</v>
      </c>
      <c r="BM255" s="907"/>
      <c r="BN255" s="536"/>
      <c r="BO255" s="536"/>
      <c r="BP255" s="908"/>
      <c r="BQ255" s="117">
        <f>BQ254/BQ253</f>
        <v>-7.9308840812940401E-3</v>
      </c>
      <c r="BR255" s="907"/>
      <c r="BS255" s="536"/>
      <c r="BT255" s="536"/>
      <c r="BU255" s="908"/>
      <c r="BV255" s="117">
        <f>BV254/BV253</f>
        <v>-4.0545669088479695E-2</v>
      </c>
      <c r="BW255" s="907"/>
      <c r="BX255" s="536"/>
      <c r="BY255" s="536"/>
      <c r="BZ255" s="908"/>
      <c r="CA255" s="117">
        <f>CA254/CA253</f>
        <v>-1.6722990921046486E-2</v>
      </c>
      <c r="CB255" s="907"/>
      <c r="CC255" s="536"/>
      <c r="CD255" s="536"/>
      <c r="CE255" s="908"/>
      <c r="CF255" s="117">
        <f>CF254/CF253</f>
        <v>-3.4680940583101692E-2</v>
      </c>
      <c r="CG255" s="907"/>
      <c r="CH255" s="536"/>
      <c r="CI255" s="536"/>
      <c r="CJ255" s="908"/>
      <c r="CK255" s="779">
        <v>-1.4999999999999999E-2</v>
      </c>
      <c r="CL255" s="907"/>
      <c r="CM255" s="536"/>
      <c r="CN255" s="536"/>
      <c r="CO255" s="908"/>
      <c r="CP255" s="779">
        <v>-1.4999999999999999E-2</v>
      </c>
      <c r="CQ255" s="907"/>
      <c r="CR255" s="536"/>
      <c r="CS255" s="536"/>
      <c r="CT255" s="908"/>
      <c r="CU255" s="779">
        <v>-1.4999999999999999E-2</v>
      </c>
      <c r="CV255" s="907"/>
      <c r="CW255" s="536"/>
      <c r="CX255" s="536"/>
      <c r="CY255" s="908"/>
      <c r="CZ255" s="779">
        <v>-1.4999999999999999E-2</v>
      </c>
    </row>
    <row r="256" spans="1:104" ht="13.5" customHeight="1">
      <c r="A256" s="82"/>
      <c r="B256" s="66"/>
      <c r="C256" s="66" t="s">
        <v>123</v>
      </c>
      <c r="N256" s="523">
        <v>5094.2307190000001</v>
      </c>
      <c r="O256" s="523"/>
      <c r="P256" s="523"/>
      <c r="Q256" s="523"/>
      <c r="R256" s="523"/>
      <c r="S256" s="523">
        <v>5330.8164820000002</v>
      </c>
      <c r="T256" s="523"/>
      <c r="U256" s="523"/>
      <c r="V256" s="523"/>
      <c r="W256" s="523"/>
      <c r="X256" s="523">
        <v>5693.6189999999997</v>
      </c>
      <c r="Y256" s="523"/>
      <c r="Z256" s="523"/>
      <c r="AA256" s="523"/>
      <c r="AB256" s="523"/>
      <c r="AC256" s="523">
        <v>6056.9359999999997</v>
      </c>
      <c r="AD256" s="523"/>
      <c r="AE256" s="523"/>
      <c r="AF256" s="523"/>
      <c r="AG256" s="523"/>
      <c r="AH256" s="523">
        <v>6393.4560000000001</v>
      </c>
      <c r="AI256" s="523"/>
      <c r="AJ256" s="523"/>
      <c r="AK256" s="523"/>
      <c r="AL256" s="523"/>
      <c r="AM256" s="523">
        <v>7149.6689999999999</v>
      </c>
      <c r="AN256" s="523"/>
      <c r="AO256" s="523"/>
      <c r="AP256" s="523"/>
      <c r="AQ256" s="523"/>
      <c r="AR256" s="523">
        <v>8483.6389999999992</v>
      </c>
      <c r="AS256" s="1102"/>
      <c r="AT256" s="523"/>
      <c r="AU256" s="523"/>
      <c r="AV256" s="1103"/>
      <c r="AW256" s="523">
        <v>8798.4349999999995</v>
      </c>
      <c r="AX256" s="1102"/>
      <c r="AY256" s="523"/>
      <c r="AZ256" s="523"/>
      <c r="BA256" s="1103"/>
      <c r="BB256" s="523">
        <v>9092.4740000000002</v>
      </c>
      <c r="BC256" s="1102"/>
      <c r="BD256" s="523"/>
      <c r="BE256" s="523"/>
      <c r="BF256" s="1103"/>
      <c r="BG256" s="523">
        <v>9481.0969999999998</v>
      </c>
      <c r="BH256" s="1102"/>
      <c r="BI256" s="523"/>
      <c r="BJ256" s="523"/>
      <c r="BK256" s="1103"/>
      <c r="BL256" s="523">
        <v>10438.573</v>
      </c>
      <c r="BM256" s="1102"/>
      <c r="BN256" s="523"/>
      <c r="BO256" s="523"/>
      <c r="BP256" s="1103"/>
      <c r="BQ256" s="523">
        <v>11543.245000000001</v>
      </c>
      <c r="BR256" s="1102"/>
      <c r="BS256" s="523"/>
      <c r="BT256" s="523"/>
      <c r="BU256" s="1103"/>
      <c r="BV256" s="523">
        <v>12453.532999999999</v>
      </c>
      <c r="BW256" s="1102"/>
      <c r="BX256" s="523"/>
      <c r="BY256" s="523"/>
      <c r="BZ256" s="1103"/>
      <c r="CA256" s="523">
        <v>12631.909</v>
      </c>
      <c r="CB256" s="1102"/>
      <c r="CC256" s="523"/>
      <c r="CD256" s="523"/>
      <c r="CE256" s="1103"/>
      <c r="CF256" s="523">
        <v>13236.008</v>
      </c>
      <c r="CG256" s="907"/>
      <c r="CH256" s="536"/>
      <c r="CI256" s="536"/>
      <c r="CJ256" s="908"/>
      <c r="CK256" s="1291">
        <f>CK253+CK254</f>
        <v>14015.174939999999</v>
      </c>
      <c r="CL256" s="907"/>
      <c r="CM256" s="536"/>
      <c r="CN256" s="536"/>
      <c r="CO256" s="908"/>
      <c r="CP256" s="94">
        <f>CP253+CP254</f>
        <v>14769.031825899998</v>
      </c>
      <c r="CQ256" s="907"/>
      <c r="CR256" s="536"/>
      <c r="CS256" s="536"/>
      <c r="CT256" s="908"/>
      <c r="CU256" s="94">
        <f>CU253+CU254</f>
        <v>15399.521348511498</v>
      </c>
      <c r="CV256" s="907"/>
      <c r="CW256" s="536"/>
      <c r="CX256" s="536"/>
      <c r="CY256" s="908"/>
      <c r="CZ256" s="94">
        <f>CZ253+CZ254</f>
        <v>15759.528528283825</v>
      </c>
    </row>
    <row r="257" spans="1:104" ht="13.5" customHeight="1">
      <c r="A257" s="82"/>
      <c r="B257" s="66" t="s">
        <v>497</v>
      </c>
      <c r="C257" s="66"/>
      <c r="N257" s="523"/>
      <c r="O257" s="523"/>
      <c r="P257" s="523"/>
      <c r="Q257" s="523"/>
      <c r="R257" s="523"/>
      <c r="S257" s="94">
        <f>S256-N256</f>
        <v>236.58576300000004</v>
      </c>
      <c r="T257" s="523"/>
      <c r="U257" s="523"/>
      <c r="V257" s="523"/>
      <c r="W257" s="523"/>
      <c r="X257" s="94">
        <f>X256-S256</f>
        <v>362.80251799999951</v>
      </c>
      <c r="Y257" s="523"/>
      <c r="Z257" s="523"/>
      <c r="AA257" s="523"/>
      <c r="AB257" s="523"/>
      <c r="AC257" s="94">
        <f>AC256-X256</f>
        <v>363.31700000000001</v>
      </c>
      <c r="AD257" s="523"/>
      <c r="AE257" s="523"/>
      <c r="AF257" s="523"/>
      <c r="AG257" s="523"/>
      <c r="AH257" s="94">
        <f>AH256-AC256</f>
        <v>336.52000000000044</v>
      </c>
      <c r="AI257" s="523"/>
      <c r="AJ257" s="523"/>
      <c r="AK257" s="523"/>
      <c r="AL257" s="523"/>
      <c r="AM257" s="94">
        <f>AM256-AH256</f>
        <v>756.21299999999974</v>
      </c>
      <c r="AN257" s="523"/>
      <c r="AO257" s="523"/>
      <c r="AP257" s="523"/>
      <c r="AQ257" s="523"/>
      <c r="AR257" s="94">
        <f>AR256-AM256</f>
        <v>1333.9699999999993</v>
      </c>
      <c r="AS257" s="1102"/>
      <c r="AT257" s="523"/>
      <c r="AU257" s="523"/>
      <c r="AV257" s="1103"/>
      <c r="AW257" s="94">
        <f>AW256-AR256</f>
        <v>314.79600000000028</v>
      </c>
      <c r="AX257" s="1102"/>
      <c r="AY257" s="523"/>
      <c r="AZ257" s="523"/>
      <c r="BA257" s="1103"/>
      <c r="BB257" s="94">
        <f>BB256-AW256</f>
        <v>294.03900000000067</v>
      </c>
      <c r="BC257" s="1102"/>
      <c r="BD257" s="523"/>
      <c r="BE257" s="523"/>
      <c r="BF257" s="1103"/>
      <c r="BG257" s="94">
        <f>BG256-BB256</f>
        <v>388.62299999999959</v>
      </c>
      <c r="BH257" s="1102"/>
      <c r="BI257" s="523"/>
      <c r="BJ257" s="523"/>
      <c r="BK257" s="1103"/>
      <c r="BL257" s="94">
        <f>BL256-BG256</f>
        <v>957.47600000000057</v>
      </c>
      <c r="BM257" s="1102"/>
      <c r="BN257" s="523"/>
      <c r="BO257" s="523"/>
      <c r="BP257" s="1103"/>
      <c r="BQ257" s="94">
        <f>BQ256-BL256</f>
        <v>1104.6720000000005</v>
      </c>
      <c r="BR257" s="1102"/>
      <c r="BS257" s="523"/>
      <c r="BT257" s="523"/>
      <c r="BU257" s="1103"/>
      <c r="BV257" s="94">
        <f>BV256-BQ256</f>
        <v>910.28799999999865</v>
      </c>
      <c r="BW257" s="1102"/>
      <c r="BX257" s="523"/>
      <c r="BY257" s="523"/>
      <c r="BZ257" s="1103"/>
      <c r="CA257" s="94">
        <f>CA256-BV256</f>
        <v>178.3760000000002</v>
      </c>
      <c r="CB257" s="1102"/>
      <c r="CC257" s="523"/>
      <c r="CD257" s="523"/>
      <c r="CE257" s="1103"/>
      <c r="CF257" s="94">
        <f>CF256-CA256</f>
        <v>604.09900000000016</v>
      </c>
      <c r="CG257" s="907"/>
      <c r="CH257" s="536"/>
      <c r="CI257" s="536"/>
      <c r="CJ257" s="908"/>
      <c r="CK257" s="94">
        <f>CK256-CF256</f>
        <v>779.16693999999916</v>
      </c>
      <c r="CL257" s="907"/>
      <c r="CM257" s="536"/>
      <c r="CN257" s="536"/>
      <c r="CO257" s="908"/>
      <c r="CP257" s="94">
        <f>CP256-CK256</f>
        <v>753.85688589999882</v>
      </c>
      <c r="CQ257" s="907"/>
      <c r="CR257" s="536"/>
      <c r="CS257" s="536"/>
      <c r="CT257" s="908"/>
      <c r="CU257" s="94">
        <f>CU256-CP256</f>
        <v>630.48952261150043</v>
      </c>
      <c r="CV257" s="907"/>
      <c r="CW257" s="536"/>
      <c r="CX257" s="536"/>
      <c r="CY257" s="908"/>
      <c r="CZ257" s="94">
        <f>CZ256-CU256</f>
        <v>360.00717977232671</v>
      </c>
    </row>
    <row r="258" spans="1:104" ht="6.2" customHeight="1">
      <c r="A258" s="82"/>
      <c r="B258" s="66"/>
      <c r="C258" s="66"/>
      <c r="N258" s="523"/>
      <c r="O258" s="523"/>
      <c r="P258" s="523"/>
      <c r="Q258" s="523"/>
      <c r="R258" s="523"/>
      <c r="S258" s="523"/>
      <c r="T258" s="523"/>
      <c r="U258" s="523"/>
      <c r="V258" s="523"/>
      <c r="W258" s="523"/>
      <c r="X258" s="523"/>
      <c r="Y258" s="523"/>
      <c r="Z258" s="523"/>
      <c r="AA258" s="523"/>
      <c r="AB258" s="523"/>
      <c r="AC258" s="523"/>
      <c r="AD258" s="523"/>
      <c r="AE258" s="523"/>
      <c r="AF258" s="523"/>
      <c r="AG258" s="523"/>
      <c r="AH258" s="523"/>
      <c r="AI258" s="523"/>
      <c r="AJ258" s="523"/>
      <c r="AK258" s="523"/>
      <c r="AL258" s="523"/>
      <c r="AM258" s="523"/>
      <c r="AN258" s="523"/>
      <c r="AO258" s="523"/>
      <c r="AP258" s="523"/>
      <c r="AQ258" s="523"/>
      <c r="AR258" s="523"/>
      <c r="AS258" s="1102"/>
      <c r="AT258" s="523"/>
      <c r="AU258" s="523"/>
      <c r="AV258" s="1103"/>
      <c r="AW258" s="523"/>
      <c r="AX258" s="1102"/>
      <c r="AY258" s="523"/>
      <c r="AZ258" s="523"/>
      <c r="BA258" s="1103"/>
      <c r="BB258" s="523"/>
      <c r="BC258" s="1102"/>
      <c r="BD258" s="523"/>
      <c r="BE258" s="523"/>
      <c r="BF258" s="1103"/>
      <c r="BG258" s="523"/>
      <c r="BH258" s="1102"/>
      <c r="BI258" s="523"/>
      <c r="BJ258" s="523"/>
      <c r="BK258" s="1103"/>
      <c r="BL258" s="523"/>
      <c r="BM258" s="1102"/>
      <c r="BN258" s="523"/>
      <c r="BO258" s="523"/>
      <c r="BP258" s="1103"/>
      <c r="BQ258" s="523"/>
      <c r="BR258" s="1102"/>
      <c r="BS258" s="523"/>
      <c r="BT258" s="523"/>
      <c r="BU258" s="1103"/>
      <c r="BV258" s="523"/>
      <c r="BW258" s="1102"/>
      <c r="BX258" s="523"/>
      <c r="BY258" s="523"/>
      <c r="BZ258" s="1103"/>
      <c r="CA258" s="523"/>
      <c r="CB258" s="1102"/>
      <c r="CC258" s="523"/>
      <c r="CD258" s="523"/>
      <c r="CE258" s="1103"/>
      <c r="CF258" s="523"/>
      <c r="CG258" s="907"/>
      <c r="CH258" s="536"/>
      <c r="CI258" s="536"/>
      <c r="CJ258" s="908"/>
      <c r="CL258" s="907"/>
      <c r="CM258" s="536"/>
      <c r="CN258" s="536"/>
      <c r="CO258" s="908"/>
      <c r="CQ258" s="907"/>
      <c r="CR258" s="536"/>
      <c r="CS258" s="536"/>
      <c r="CT258" s="908"/>
      <c r="CV258" s="907"/>
      <c r="CW258" s="536"/>
      <c r="CX258" s="536"/>
      <c r="CY258" s="908"/>
    </row>
    <row r="259" spans="1:104" ht="13.5" customHeight="1">
      <c r="A259" s="82"/>
      <c r="B259" s="66" t="s">
        <v>574</v>
      </c>
      <c r="C259" s="66"/>
      <c r="N259" s="523"/>
      <c r="O259" s="523"/>
      <c r="P259" s="523"/>
      <c r="Q259" s="523"/>
      <c r="R259" s="523"/>
      <c r="S259" s="94">
        <f>N261+S193</f>
        <v>2526.284541</v>
      </c>
      <c r="T259" s="523"/>
      <c r="U259" s="523"/>
      <c r="V259" s="523"/>
      <c r="W259" s="523"/>
      <c r="X259" s="94">
        <f>S261+X193</f>
        <v>2896.9862889999999</v>
      </c>
      <c r="Y259" s="523"/>
      <c r="Z259" s="523"/>
      <c r="AA259" s="523"/>
      <c r="AB259" s="523"/>
      <c r="AC259" s="94">
        <f>X261+AC193</f>
        <v>3250.366</v>
      </c>
      <c r="AD259" s="523"/>
      <c r="AE259" s="523"/>
      <c r="AF259" s="523"/>
      <c r="AG259" s="523"/>
      <c r="AH259" s="94">
        <f>AC261+AH193</f>
        <v>3565.1550000000002</v>
      </c>
      <c r="AI259" s="523"/>
      <c r="AJ259" s="523"/>
      <c r="AK259" s="523"/>
      <c r="AL259" s="523"/>
      <c r="AM259" s="94">
        <f>AH261+AM193</f>
        <v>3964.5970000000002</v>
      </c>
      <c r="AN259" s="523"/>
      <c r="AO259" s="523"/>
      <c r="AP259" s="523"/>
      <c r="AQ259" s="523"/>
      <c r="AR259" s="94">
        <f>AM261+AR193</f>
        <v>4465.5779999999995</v>
      </c>
      <c r="AS259" s="1102"/>
      <c r="AT259" s="523"/>
      <c r="AU259" s="523"/>
      <c r="AV259" s="1103"/>
      <c r="AW259" s="94">
        <f>AR261+AW193</f>
        <v>4918.201</v>
      </c>
      <c r="AX259" s="1102"/>
      <c r="AY259" s="523"/>
      <c r="AZ259" s="523"/>
      <c r="BA259" s="1103"/>
      <c r="BB259" s="94">
        <f>AW261+BB193</f>
        <v>5367.201</v>
      </c>
      <c r="BC259" s="1102"/>
      <c r="BD259" s="523"/>
      <c r="BE259" s="523"/>
      <c r="BF259" s="1103"/>
      <c r="BG259" s="94">
        <f>BB261+BG193</f>
        <v>5830.7559999999994</v>
      </c>
      <c r="BH259" s="1102"/>
      <c r="BI259" s="523"/>
      <c r="BJ259" s="523"/>
      <c r="BK259" s="1103"/>
      <c r="BL259" s="94">
        <f>BG261+BL193</f>
        <v>6332.5140000000001</v>
      </c>
      <c r="BM259" s="1102"/>
      <c r="BN259" s="523"/>
      <c r="BO259" s="523"/>
      <c r="BP259" s="1103"/>
      <c r="BQ259" s="94">
        <f>BL261+BQ193</f>
        <v>6765.7249999999995</v>
      </c>
      <c r="BR259" s="1102"/>
      <c r="BS259" s="523"/>
      <c r="BT259" s="523"/>
      <c r="BU259" s="1103"/>
      <c r="BV259" s="94">
        <f>BQ261+BV193</f>
        <v>7350.6439999999993</v>
      </c>
      <c r="BW259" s="1102"/>
      <c r="BX259" s="523"/>
      <c r="BY259" s="523"/>
      <c r="BZ259" s="1103"/>
      <c r="CA259" s="94">
        <f>BV261+CA193</f>
        <v>7865.9309999999996</v>
      </c>
      <c r="CB259" s="1102"/>
      <c r="CC259" s="523"/>
      <c r="CD259" s="523"/>
      <c r="CE259" s="1103"/>
      <c r="CF259" s="94">
        <f>CA261+CF193</f>
        <v>8427.81</v>
      </c>
      <c r="CG259" s="907"/>
      <c r="CH259" s="536"/>
      <c r="CI259" s="536"/>
      <c r="CJ259" s="908"/>
      <c r="CK259" s="94">
        <f>CF261+CK193</f>
        <v>8884.4189999999999</v>
      </c>
      <c r="CL259" s="907"/>
      <c r="CM259" s="536"/>
      <c r="CN259" s="536"/>
      <c r="CO259" s="908"/>
      <c r="CP259" s="94">
        <f>CK261+CP193</f>
        <v>9374.1079399999999</v>
      </c>
      <c r="CQ259" s="907"/>
      <c r="CR259" s="536"/>
      <c r="CS259" s="536"/>
      <c r="CT259" s="908"/>
      <c r="CU259" s="94">
        <f>CP261+CU193</f>
        <v>9845.1988258999991</v>
      </c>
      <c r="CV259" s="907"/>
      <c r="CW259" s="536"/>
      <c r="CX259" s="536"/>
      <c r="CY259" s="908"/>
      <c r="CZ259" s="94">
        <f>CU261+CZ193</f>
        <v>10306.688348511499</v>
      </c>
    </row>
    <row r="260" spans="1:104" ht="13.5" customHeight="1">
      <c r="A260" s="82"/>
      <c r="B260" s="66" t="s">
        <v>495</v>
      </c>
      <c r="C260" s="66"/>
      <c r="N260" s="523"/>
      <c r="O260" s="523"/>
      <c r="P260" s="523"/>
      <c r="Q260" s="523"/>
      <c r="R260" s="523"/>
      <c r="S260" s="94">
        <f>S261-S259</f>
        <v>-12.603251999999884</v>
      </c>
      <c r="T260" s="523"/>
      <c r="U260" s="523"/>
      <c r="V260" s="523"/>
      <c r="W260" s="523"/>
      <c r="X260" s="94">
        <f>X261-X259</f>
        <v>-21.674289000000044</v>
      </c>
      <c r="Y260" s="523"/>
      <c r="Z260" s="523"/>
      <c r="AA260" s="523"/>
      <c r="AB260" s="523"/>
      <c r="AC260" s="94">
        <f>AC261-AC259</f>
        <v>-49.146999999999935</v>
      </c>
      <c r="AD260" s="523"/>
      <c r="AE260" s="523"/>
      <c r="AF260" s="523"/>
      <c r="AG260" s="523"/>
      <c r="AH260" s="94">
        <f>AH261-AH259</f>
        <v>-28.114000000000033</v>
      </c>
      <c r="AI260" s="523"/>
      <c r="AJ260" s="523"/>
      <c r="AK260" s="523"/>
      <c r="AL260" s="523"/>
      <c r="AM260" s="94">
        <f>AM261-AM259</f>
        <v>-47.926000000000386</v>
      </c>
      <c r="AN260" s="523"/>
      <c r="AO260" s="523"/>
      <c r="AP260" s="523"/>
      <c r="AQ260" s="523"/>
      <c r="AR260" s="94">
        <f>AR261-AR259</f>
        <v>-113.79999999999927</v>
      </c>
      <c r="AS260" s="1102"/>
      <c r="AT260" s="523"/>
      <c r="AU260" s="523"/>
      <c r="AV260" s="1103"/>
      <c r="AW260" s="94">
        <f>AW261-AW259</f>
        <v>-133.60199999999986</v>
      </c>
      <c r="AX260" s="1102"/>
      <c r="AY260" s="523"/>
      <c r="AZ260" s="523"/>
      <c r="BA260" s="1103"/>
      <c r="BB260" s="94">
        <f>BB261-BB259</f>
        <v>-126.84500000000025</v>
      </c>
      <c r="BC260" s="1102"/>
      <c r="BD260" s="523"/>
      <c r="BE260" s="523"/>
      <c r="BF260" s="1103"/>
      <c r="BG260" s="94">
        <f>BG261-BG259</f>
        <v>-105.26299999999901</v>
      </c>
      <c r="BH260" s="1102"/>
      <c r="BI260" s="523"/>
      <c r="BJ260" s="523"/>
      <c r="BK260" s="1103"/>
      <c r="BL260" s="94">
        <f>BL261-BL259</f>
        <v>-176.9970000000003</v>
      </c>
      <c r="BM260" s="1102"/>
      <c r="BN260" s="523"/>
      <c r="BO260" s="523"/>
      <c r="BP260" s="1103"/>
      <c r="BQ260" s="94">
        <f>BQ261-BQ259</f>
        <v>-139.50399999999991</v>
      </c>
      <c r="BR260" s="1102"/>
      <c r="BS260" s="523"/>
      <c r="BT260" s="523"/>
      <c r="BU260" s="1103"/>
      <c r="BV260" s="94">
        <f>BV261-BV259</f>
        <v>-184.72999999999956</v>
      </c>
      <c r="BW260" s="1102"/>
      <c r="BX260" s="523"/>
      <c r="BY260" s="523"/>
      <c r="BZ260" s="1103"/>
      <c r="CA260" s="94">
        <f>CA261-CA259</f>
        <v>-125.17499999999927</v>
      </c>
      <c r="CB260" s="1102"/>
      <c r="CC260" s="523"/>
      <c r="CD260" s="523"/>
      <c r="CE260" s="1103"/>
      <c r="CF260" s="94">
        <f>CF261-CF259</f>
        <v>-270.45199999999932</v>
      </c>
      <c r="CG260" s="907"/>
      <c r="CH260" s="536"/>
      <c r="CI260" s="536"/>
      <c r="CJ260" s="908"/>
      <c r="CK260" s="94">
        <f>CK254</f>
        <v>-213.42905999999999</v>
      </c>
      <c r="CL260" s="907"/>
      <c r="CM260" s="536"/>
      <c r="CN260" s="536"/>
      <c r="CO260" s="908"/>
      <c r="CP260" s="94">
        <f>CP254</f>
        <v>-224.90911409999998</v>
      </c>
      <c r="CQ260" s="907"/>
      <c r="CR260" s="536"/>
      <c r="CS260" s="536"/>
      <c r="CT260" s="908"/>
      <c r="CU260" s="94">
        <f>CU254</f>
        <v>-234.51047738849996</v>
      </c>
      <c r="CV260" s="907"/>
      <c r="CW260" s="536"/>
      <c r="CX260" s="536"/>
      <c r="CY260" s="908"/>
      <c r="CZ260" s="94">
        <f>CZ254</f>
        <v>-239.99282022767247</v>
      </c>
    </row>
    <row r="261" spans="1:104" ht="13.5" customHeight="1">
      <c r="A261" s="82"/>
      <c r="B261" s="66"/>
      <c r="C261" s="66" t="s">
        <v>123</v>
      </c>
      <c r="N261" s="523">
        <v>2162.1726170000002</v>
      </c>
      <c r="O261" s="523"/>
      <c r="P261" s="523"/>
      <c r="Q261" s="523"/>
      <c r="R261" s="523"/>
      <c r="S261" s="523">
        <v>2513.6812890000001</v>
      </c>
      <c r="T261" s="523"/>
      <c r="U261" s="523"/>
      <c r="V261" s="523"/>
      <c r="W261" s="523"/>
      <c r="X261" s="523">
        <v>2875.3119999999999</v>
      </c>
      <c r="Y261" s="523"/>
      <c r="Z261" s="523"/>
      <c r="AA261" s="523"/>
      <c r="AB261" s="523"/>
      <c r="AC261" s="523">
        <v>3201.2190000000001</v>
      </c>
      <c r="AD261" s="523"/>
      <c r="AE261" s="523"/>
      <c r="AF261" s="523"/>
      <c r="AG261" s="523"/>
      <c r="AH261" s="523">
        <v>3537.0410000000002</v>
      </c>
      <c r="AI261" s="523"/>
      <c r="AJ261" s="523"/>
      <c r="AK261" s="523"/>
      <c r="AL261" s="523"/>
      <c r="AM261" s="523">
        <v>3916.6709999999998</v>
      </c>
      <c r="AN261" s="523"/>
      <c r="AO261" s="523"/>
      <c r="AP261" s="523"/>
      <c r="AQ261" s="523"/>
      <c r="AR261" s="523">
        <v>4351.7780000000002</v>
      </c>
      <c r="AS261" s="1102"/>
      <c r="AT261" s="523"/>
      <c r="AU261" s="523"/>
      <c r="AV261" s="1103"/>
      <c r="AW261" s="523">
        <v>4784.5990000000002</v>
      </c>
      <c r="AX261" s="1102"/>
      <c r="AY261" s="523"/>
      <c r="AZ261" s="523"/>
      <c r="BA261" s="1103"/>
      <c r="BB261" s="523">
        <v>5240.3559999999998</v>
      </c>
      <c r="BC261" s="1102"/>
      <c r="BD261" s="523"/>
      <c r="BE261" s="523"/>
      <c r="BF261" s="1103"/>
      <c r="BG261" s="523">
        <v>5725.4930000000004</v>
      </c>
      <c r="BH261" s="1102"/>
      <c r="BI261" s="523"/>
      <c r="BJ261" s="523"/>
      <c r="BK261" s="1103"/>
      <c r="BL261" s="523">
        <v>6155.5169999999998</v>
      </c>
      <c r="BM261" s="1102"/>
      <c r="BN261" s="523"/>
      <c r="BO261" s="523"/>
      <c r="BP261" s="1103"/>
      <c r="BQ261" s="523">
        <v>6626.2209999999995</v>
      </c>
      <c r="BR261" s="1102"/>
      <c r="BS261" s="523"/>
      <c r="BT261" s="523"/>
      <c r="BU261" s="1103"/>
      <c r="BV261" s="523">
        <v>7165.9139999999998</v>
      </c>
      <c r="BW261" s="1102"/>
      <c r="BX261" s="523"/>
      <c r="BY261" s="523"/>
      <c r="BZ261" s="1103"/>
      <c r="CA261" s="523">
        <v>7740.7560000000003</v>
      </c>
      <c r="CB261" s="1102"/>
      <c r="CC261" s="523"/>
      <c r="CD261" s="523"/>
      <c r="CE261" s="1103"/>
      <c r="CF261" s="523">
        <v>8157.3580000000002</v>
      </c>
      <c r="CG261" s="907"/>
      <c r="CH261" s="536"/>
      <c r="CI261" s="536"/>
      <c r="CJ261" s="908"/>
      <c r="CK261" s="1291">
        <f>CK259+CK260</f>
        <v>8670.9899399999995</v>
      </c>
      <c r="CL261" s="907"/>
      <c r="CM261" s="536"/>
      <c r="CN261" s="536"/>
      <c r="CO261" s="908"/>
      <c r="CP261" s="94">
        <f>CP259+CP260</f>
        <v>9149.1988258999991</v>
      </c>
      <c r="CQ261" s="907"/>
      <c r="CR261" s="536"/>
      <c r="CS261" s="536"/>
      <c r="CT261" s="908"/>
      <c r="CU261" s="94">
        <f>CU259+CU260</f>
        <v>9610.6883485114995</v>
      </c>
      <c r="CV261" s="907"/>
      <c r="CW261" s="536"/>
      <c r="CX261" s="536"/>
      <c r="CY261" s="908"/>
      <c r="CZ261" s="94">
        <f>CZ259+CZ260</f>
        <v>10066.695528283826</v>
      </c>
    </row>
    <row r="262" spans="1:104" ht="13.5" customHeight="1">
      <c r="A262" s="82"/>
      <c r="B262" s="66" t="s">
        <v>497</v>
      </c>
      <c r="C262" s="66"/>
      <c r="S262" s="94">
        <f>S261-N261</f>
        <v>351.50867199999993</v>
      </c>
      <c r="T262" s="523"/>
      <c r="U262" s="523"/>
      <c r="V262" s="523"/>
      <c r="W262" s="523"/>
      <c r="X262" s="94">
        <f>X261-S261</f>
        <v>361.63071099999979</v>
      </c>
      <c r="Y262" s="523"/>
      <c r="Z262" s="523"/>
      <c r="AA262" s="523"/>
      <c r="AB262" s="523"/>
      <c r="AC262" s="94">
        <f>AC261-X261</f>
        <v>325.90700000000015</v>
      </c>
      <c r="AD262" s="523"/>
      <c r="AE262" s="523"/>
      <c r="AF262" s="523"/>
      <c r="AG262" s="523"/>
      <c r="AH262" s="94">
        <f>AH261-AC261</f>
        <v>335.82200000000012</v>
      </c>
      <c r="AI262" s="523"/>
      <c r="AJ262" s="523"/>
      <c r="AK262" s="523"/>
      <c r="AL262" s="523"/>
      <c r="AM262" s="94">
        <f>AM261-AH261</f>
        <v>379.62999999999965</v>
      </c>
      <c r="AN262" s="523"/>
      <c r="AO262" s="523"/>
      <c r="AP262" s="523"/>
      <c r="AQ262" s="523"/>
      <c r="AR262" s="94">
        <f>AR261-AM261</f>
        <v>435.10700000000043</v>
      </c>
      <c r="AS262" s="1102"/>
      <c r="AT262" s="523"/>
      <c r="AU262" s="523"/>
      <c r="AV262" s="1103"/>
      <c r="AW262" s="94">
        <f>AW261-AR261</f>
        <v>432.82099999999991</v>
      </c>
      <c r="AX262" s="1102"/>
      <c r="AY262" s="523"/>
      <c r="AZ262" s="523"/>
      <c r="BA262" s="1103"/>
      <c r="BB262" s="94">
        <f>BB261-AW261</f>
        <v>455.75699999999961</v>
      </c>
      <c r="BC262" s="1102"/>
      <c r="BD262" s="523"/>
      <c r="BE262" s="523"/>
      <c r="BF262" s="1103"/>
      <c r="BG262" s="94">
        <f>BG261-BB261</f>
        <v>485.13700000000063</v>
      </c>
      <c r="BH262" s="1102"/>
      <c r="BI262" s="523"/>
      <c r="BJ262" s="523"/>
      <c r="BK262" s="1103"/>
      <c r="BL262" s="94">
        <f>BL261-BG261</f>
        <v>430.02399999999943</v>
      </c>
      <c r="BM262" s="1102"/>
      <c r="BN262" s="523"/>
      <c r="BO262" s="523"/>
      <c r="BP262" s="1103"/>
      <c r="BQ262" s="94">
        <f>BQ261-BL261</f>
        <v>470.70399999999972</v>
      </c>
      <c r="BR262" s="1102"/>
      <c r="BS262" s="523"/>
      <c r="BT262" s="523"/>
      <c r="BU262" s="1103"/>
      <c r="BV262" s="94">
        <f>BV261-BQ261</f>
        <v>539.69300000000021</v>
      </c>
      <c r="BW262" s="1102"/>
      <c r="BX262" s="523"/>
      <c r="BY262" s="523"/>
      <c r="BZ262" s="1103"/>
      <c r="CA262" s="94">
        <f>CA261-BV261</f>
        <v>574.84200000000055</v>
      </c>
      <c r="CB262" s="1102"/>
      <c r="CC262" s="523"/>
      <c r="CD262" s="523"/>
      <c r="CE262" s="1103"/>
      <c r="CF262" s="94">
        <f>CF261-CA261</f>
        <v>416.60199999999986</v>
      </c>
      <c r="CG262" s="907"/>
      <c r="CH262" s="536"/>
      <c r="CI262" s="536"/>
      <c r="CJ262" s="908"/>
      <c r="CK262" s="94">
        <f>CK261-CF261</f>
        <v>513.6319399999993</v>
      </c>
      <c r="CL262" s="907"/>
      <c r="CM262" s="536"/>
      <c r="CN262" s="536"/>
      <c r="CO262" s="908"/>
      <c r="CP262" s="94">
        <f>CP261-CK261</f>
        <v>478.20888589999959</v>
      </c>
      <c r="CQ262" s="907"/>
      <c r="CR262" s="536"/>
      <c r="CS262" s="536"/>
      <c r="CT262" s="908"/>
      <c r="CU262" s="94">
        <f>CU261-CP261</f>
        <v>461.48952261150043</v>
      </c>
      <c r="CV262" s="907"/>
      <c r="CW262" s="536"/>
      <c r="CX262" s="536"/>
      <c r="CY262" s="908"/>
      <c r="CZ262" s="94">
        <f>CZ261-CU261</f>
        <v>456.00717977232671</v>
      </c>
    </row>
    <row r="263" spans="1:104" ht="6.2" customHeight="1">
      <c r="A263" s="82"/>
      <c r="B263" s="66"/>
      <c r="C263" s="66"/>
      <c r="AS263" s="907"/>
      <c r="AT263" s="536"/>
      <c r="AU263" s="536"/>
      <c r="AV263" s="908"/>
      <c r="AX263" s="907"/>
      <c r="AY263" s="536"/>
      <c r="AZ263" s="536"/>
      <c r="BA263" s="908"/>
      <c r="BC263" s="907"/>
      <c r="BD263" s="536"/>
      <c r="BE263" s="536"/>
      <c r="BF263" s="908"/>
      <c r="BH263" s="907"/>
      <c r="BI263" s="536"/>
      <c r="BJ263" s="536"/>
      <c r="BK263" s="908"/>
      <c r="BM263" s="907"/>
      <c r="BN263" s="536"/>
      <c r="BO263" s="536"/>
      <c r="BP263" s="908"/>
      <c r="BR263" s="907"/>
      <c r="BS263" s="536"/>
      <c r="BT263" s="536"/>
      <c r="BU263" s="908"/>
      <c r="BW263" s="907"/>
      <c r="BX263" s="536"/>
      <c r="BY263" s="536"/>
      <c r="BZ263" s="908"/>
      <c r="CB263" s="907"/>
      <c r="CC263" s="536"/>
      <c r="CD263" s="536"/>
      <c r="CE263" s="908"/>
      <c r="CG263" s="907"/>
      <c r="CH263" s="536"/>
      <c r="CI263" s="536"/>
      <c r="CJ263" s="908"/>
      <c r="CL263" s="907"/>
      <c r="CM263" s="536"/>
      <c r="CN263" s="536"/>
      <c r="CO263" s="908"/>
      <c r="CQ263" s="907"/>
      <c r="CR263" s="536"/>
      <c r="CS263" s="536"/>
      <c r="CT263" s="908"/>
      <c r="CV263" s="907"/>
      <c r="CW263" s="536"/>
      <c r="CX263" s="536"/>
      <c r="CY263" s="908"/>
    </row>
    <row r="264" spans="1:104" ht="13.5" customHeight="1">
      <c r="A264" s="82"/>
      <c r="B264" s="66" t="s">
        <v>498</v>
      </c>
      <c r="C264" s="66"/>
      <c r="N264" s="94">
        <f>N193</f>
        <v>307.10103199999998</v>
      </c>
      <c r="S264" s="94">
        <f>S193</f>
        <v>364.11192399999999</v>
      </c>
      <c r="X264" s="94">
        <f>X193</f>
        <v>383.30500000000001</v>
      </c>
      <c r="AC264" s="94">
        <f>AC193</f>
        <v>375.05399999999997</v>
      </c>
      <c r="AH264" s="94">
        <f>AH193</f>
        <v>363.93599999999998</v>
      </c>
      <c r="AM264" s="94">
        <f>AM193</f>
        <v>427.55600000000004</v>
      </c>
      <c r="AR264" s="94">
        <f>AR193</f>
        <v>548.90699999999993</v>
      </c>
      <c r="AS264" s="907"/>
      <c r="AT264" s="536"/>
      <c r="AU264" s="536"/>
      <c r="AV264" s="908"/>
      <c r="AW264" s="94">
        <f>AW193</f>
        <v>566.423</v>
      </c>
      <c r="AX264" s="907"/>
      <c r="AY264" s="536"/>
      <c r="AZ264" s="536"/>
      <c r="BA264" s="908"/>
      <c r="BB264" s="94">
        <f>BB193</f>
        <v>582.60200000000009</v>
      </c>
      <c r="BC264" s="907"/>
      <c r="BD264" s="536"/>
      <c r="BE264" s="536"/>
      <c r="BF264" s="908"/>
      <c r="BG264" s="94">
        <f>BG193</f>
        <v>590.4</v>
      </c>
      <c r="BH264" s="907"/>
      <c r="BI264" s="536"/>
      <c r="BJ264" s="536"/>
      <c r="BK264" s="908"/>
      <c r="BL264" s="94">
        <f>BL193</f>
        <v>607.02099999999996</v>
      </c>
      <c r="BM264" s="907"/>
      <c r="BN264" s="536"/>
      <c r="BO264" s="536"/>
      <c r="BP264" s="908"/>
      <c r="BQ264" s="94">
        <f>BQ193</f>
        <v>610.20799999999997</v>
      </c>
      <c r="BR264" s="907"/>
      <c r="BS264" s="536"/>
      <c r="BT264" s="536"/>
      <c r="BU264" s="908"/>
      <c r="BV264" s="94">
        <f>BV193</f>
        <v>724.423</v>
      </c>
      <c r="BW264" s="907"/>
      <c r="BX264" s="536"/>
      <c r="BY264" s="536"/>
      <c r="BZ264" s="908"/>
      <c r="CA264" s="94">
        <f>CA193</f>
        <v>700.01699999999994</v>
      </c>
      <c r="CB264" s="907"/>
      <c r="CC264" s="536"/>
      <c r="CD264" s="536"/>
      <c r="CE264" s="908"/>
      <c r="CF264" s="94">
        <f>CF193</f>
        <v>687.05399999999997</v>
      </c>
      <c r="CG264" s="907"/>
      <c r="CH264" s="536"/>
      <c r="CI264" s="536"/>
      <c r="CJ264" s="908"/>
      <c r="CK264" s="94">
        <f>CK193</f>
        <v>727.06099999999992</v>
      </c>
      <c r="CL264" s="907"/>
      <c r="CM264" s="536"/>
      <c r="CN264" s="536"/>
      <c r="CO264" s="908"/>
      <c r="CP264" s="94">
        <f>CP193</f>
        <v>703.11799999999994</v>
      </c>
      <c r="CQ264" s="907"/>
      <c r="CR264" s="536"/>
      <c r="CS264" s="536"/>
      <c r="CT264" s="908"/>
      <c r="CU264" s="94">
        <f>CU193</f>
        <v>696</v>
      </c>
      <c r="CV264" s="907"/>
      <c r="CW264" s="536"/>
      <c r="CX264" s="536"/>
      <c r="CY264" s="908"/>
      <c r="CZ264" s="94">
        <f>CZ193</f>
        <v>696</v>
      </c>
    </row>
    <row r="265" spans="1:104" ht="13.5" customHeight="1">
      <c r="A265" s="82"/>
      <c r="B265" s="66"/>
      <c r="C265" s="66" t="s">
        <v>315</v>
      </c>
      <c r="S265" s="810">
        <f>AVERAGE(N256:S256)/S264</f>
        <v>14.315717934301983</v>
      </c>
      <c r="X265" s="810">
        <f>AVERAGE(S256:X256)/X264</f>
        <v>14.380761380623786</v>
      </c>
      <c r="AC265" s="810">
        <f>AVERAGE(X256:AC256)/AC264</f>
        <v>15.665150884939237</v>
      </c>
      <c r="AH265" s="810">
        <f>AVERAGE(AC256:AH256)/AH264</f>
        <v>17.105194319880418</v>
      </c>
      <c r="AM265" s="810">
        <f>AVERAGE(AH256:AM256)/AM264</f>
        <v>15.837837616592912</v>
      </c>
      <c r="AR265" s="810">
        <f>AVERAGE(AM256:AR256)/AR264</f>
        <v>14.240397735864182</v>
      </c>
      <c r="AS265" s="907"/>
      <c r="AT265" s="536"/>
      <c r="AU265" s="536"/>
      <c r="AV265" s="908"/>
      <c r="AW265" s="810">
        <f>AVERAGE(AR256:AW256)/AW264</f>
        <v>15.255448666455989</v>
      </c>
      <c r="AX265" s="907"/>
      <c r="AY265" s="536"/>
      <c r="AZ265" s="536"/>
      <c r="BA265" s="908"/>
      <c r="BB265" s="810">
        <f>AVERAGE(AW256:BB256)/BB264</f>
        <v>15.354314780931063</v>
      </c>
      <c r="BC265" s="907"/>
      <c r="BD265" s="536"/>
      <c r="BE265" s="536"/>
      <c r="BF265" s="908"/>
      <c r="BG265" s="810">
        <f>AVERAGE(BB256:BG256)/BG264</f>
        <v>15.729650237127371</v>
      </c>
      <c r="BH265" s="907"/>
      <c r="BI265" s="536"/>
      <c r="BJ265" s="536"/>
      <c r="BK265" s="908"/>
      <c r="BL265" s="810">
        <f>AVERAGE(BG256:BL256)/BL264</f>
        <v>16.407727245021178</v>
      </c>
      <c r="BM265" s="907"/>
      <c r="BN265" s="536"/>
      <c r="BO265" s="536"/>
      <c r="BP265" s="908"/>
      <c r="BQ265" s="810">
        <f>AVERAGE(BL256:BQ256)/BQ264</f>
        <v>18.011741897844669</v>
      </c>
      <c r="BR265" s="907"/>
      <c r="BS265" s="536"/>
      <c r="BT265" s="536"/>
      <c r="BU265" s="908"/>
      <c r="BV265" s="810">
        <f>AVERAGE(BQ256:BV256)/BV264</f>
        <v>16.562683680667234</v>
      </c>
      <c r="BW265" s="907"/>
      <c r="BX265" s="536"/>
      <c r="BY265" s="536"/>
      <c r="BZ265" s="908"/>
      <c r="CA265" s="810">
        <f>AVERAGE(BV256:CA256)/CA264</f>
        <v>17.917737712084136</v>
      </c>
      <c r="CB265" s="907"/>
      <c r="CC265" s="536"/>
      <c r="CD265" s="536"/>
      <c r="CE265" s="908"/>
      <c r="CF265" s="810">
        <f>AVERAGE(CA256:CF256)/CF264</f>
        <v>18.825242994000472</v>
      </c>
      <c r="CG265" s="907"/>
      <c r="CH265" s="536"/>
      <c r="CI265" s="536"/>
      <c r="CJ265" s="908"/>
      <c r="CK265" s="810">
        <f>AVERAGE(CF256:CK256)/CK264</f>
        <v>18.740644141275631</v>
      </c>
      <c r="CL265" s="907"/>
      <c r="CM265" s="536"/>
      <c r="CN265" s="536"/>
      <c r="CO265" s="908"/>
      <c r="CP265" s="810">
        <f>AVERAGE(CK256:CP256)/CP264</f>
        <v>20.468973035749332</v>
      </c>
      <c r="CQ265" s="907"/>
      <c r="CR265" s="536"/>
      <c r="CS265" s="536"/>
      <c r="CT265" s="908"/>
      <c r="CU265" s="810">
        <f>AVERAGE(CP256:CU256)/CU264</f>
        <v>21.672811188514007</v>
      </c>
      <c r="CV265" s="907"/>
      <c r="CW265" s="536"/>
      <c r="CX265" s="536"/>
      <c r="CY265" s="908"/>
      <c r="CZ265" s="810">
        <f>AVERAGE(CU256:CZ256)/CZ264</f>
        <v>22.384374911490895</v>
      </c>
    </row>
    <row r="266" spans="1:104" ht="13.5" customHeight="1">
      <c r="AS266" s="907"/>
      <c r="AT266" s="536"/>
      <c r="AU266" s="536"/>
      <c r="AV266" s="908"/>
      <c r="AX266" s="907"/>
      <c r="AY266" s="536"/>
      <c r="AZ266" s="536"/>
      <c r="BA266" s="908"/>
      <c r="BC266" s="907"/>
      <c r="BD266" s="536"/>
      <c r="BE266" s="536"/>
      <c r="BF266" s="908"/>
      <c r="BH266" s="907"/>
      <c r="BI266" s="536"/>
      <c r="BJ266" s="536"/>
      <c r="BK266" s="908"/>
      <c r="BM266" s="907"/>
      <c r="BN266" s="536"/>
      <c r="BO266" s="536"/>
      <c r="BP266" s="908"/>
      <c r="BR266" s="907"/>
      <c r="BS266" s="536"/>
      <c r="BT266" s="536"/>
      <c r="BU266" s="908"/>
      <c r="BW266" s="907"/>
      <c r="BX266" s="536"/>
      <c r="BY266" s="536"/>
      <c r="BZ266" s="908"/>
      <c r="CB266" s="907"/>
      <c r="CC266" s="536"/>
      <c r="CD266" s="536"/>
      <c r="CE266" s="908"/>
      <c r="CG266" s="907"/>
      <c r="CH266" s="536"/>
      <c r="CI266" s="536"/>
      <c r="CJ266" s="908"/>
      <c r="CL266" s="907"/>
      <c r="CM266" s="536"/>
      <c r="CN266" s="536"/>
      <c r="CO266" s="908"/>
      <c r="CQ266" s="907"/>
      <c r="CR266" s="536"/>
      <c r="CS266" s="536"/>
      <c r="CT266" s="908"/>
      <c r="CV266" s="907"/>
      <c r="CW266" s="536"/>
      <c r="CX266" s="536"/>
      <c r="CY266" s="908"/>
    </row>
    <row r="267" spans="1:104">
      <c r="BX267" s="536"/>
      <c r="BY267" s="536"/>
    </row>
  </sheetData>
  <customSheetViews>
    <customSheetView guid="{369D7CB1-F197-472C-B000-1EA674ACAF81}" hiddenRows="1" hiddenColumns="1" showRuler="0">
      <pane xSplit="10" ySplit="7" topLeftCell="U8" activePane="bottomRight" state="frozen"/>
      <selection pane="bottomRight" activeCell="AE225" sqref="AE225"/>
      <rowBreaks count="3" manualBreakCount="3">
        <brk id="101" max="16383" man="1"/>
        <brk id="200" max="16383" man="1"/>
        <brk id="264" max="16383" man="1"/>
      </rowBreaks>
      <pageMargins left="0.5" right="0.25" top="0.5" bottom="0.5" header="0.5" footer="0.5"/>
      <pageSetup scale="65" orientation="portrait" horizontalDpi="300" verticalDpi="300" r:id="rId1"/>
      <headerFooter alignWithMargins="0"/>
    </customSheetView>
    <customSheetView guid="{8CD74A7C-EE7C-4CDA-B006-4B657758A1C4}" showPageBreaks="1" hiddenRows="1" showRuler="0">
      <pane xSplit="3" ySplit="6" topLeftCell="AA268" activePane="bottomRight" state="frozen"/>
      <selection pane="bottomRight" activeCell="AM290" sqref="AM290"/>
      <rowBreaks count="3" manualBreakCount="3">
        <brk id="94" max="16383" man="1"/>
        <brk id="200" max="16383" man="1"/>
        <brk id="264" max="16383" man="1"/>
      </rowBreaks>
      <pageMargins left="0.5" right="0.25" top="0.5" bottom="0.5" header="0.5" footer="0.5"/>
      <pageSetup scale="65" orientation="portrait" horizontalDpi="300" verticalDpi="300" r:id="rId2"/>
      <headerFooter alignWithMargins="0"/>
    </customSheetView>
    <customSheetView guid="{F0E00C01-02B2-4D25-A4C9-B87C65D689F9}" scale="90" printArea="1" hiddenRows="1" hiddenColumns="1" showRuler="0">
      <pane xSplit="3" ySplit="6" topLeftCell="AC112" activePane="bottomRight" state="frozen"/>
      <selection pane="bottomRight" activeCell="AA103" sqref="AA103"/>
      <rowBreaks count="3" manualBreakCount="3">
        <brk id="94" max="16383" man="1"/>
        <brk id="200" max="16383" man="1"/>
        <brk id="264" max="16383" man="1"/>
      </rowBreaks>
      <pageMargins left="0.5" right="0.25" top="0.5" bottom="0.5" header="0.5" footer="0.5"/>
      <pageSetup scale="65" orientation="portrait" horizontalDpi="300" verticalDpi="300" r:id="rId3"/>
      <headerFooter alignWithMargins="0"/>
    </customSheetView>
    <customSheetView guid="{BEEBC639-4DDE-40F8-AE77-92CE3209F3B9}" hiddenColumns="1" showRuler="0" topLeftCell="A94">
      <pane xSplit="7" ySplit="17" topLeftCell="P228" activePane="bottomRight" state="frozen"/>
      <selection pane="bottomRight" activeCell="S243" sqref="S243"/>
      <rowBreaks count="3" manualBreakCount="3">
        <brk id="94" max="16383" man="1"/>
        <brk id="200" max="16383" man="1"/>
        <brk id="264" max="16383" man="1"/>
      </rowBreaks>
      <pageMargins left="0.5" right="0.25" top="0.5" bottom="0.5" header="0.5" footer="0.5"/>
      <pageSetup scale="65" orientation="portrait" horizontalDpi="300" verticalDpi="300" r:id="rId4"/>
      <headerFooter alignWithMargins="0"/>
    </customSheetView>
    <customSheetView guid="{368738C6-094A-4775-ABFA-FF624C412B5C}" showPageBreaks="1" hiddenRows="1" hiddenColumns="1" showRuler="0" topLeftCell="AB26">
      <selection activeCell="AM33" sqref="AM33"/>
      <rowBreaks count="3" manualBreakCount="3">
        <brk id="100" max="16383" man="1"/>
        <brk id="206" max="16383" man="1"/>
        <brk id="270" max="16383" man="1"/>
      </rowBreaks>
      <pageMargins left="0.5" right="0.25" top="0.5" bottom="0.5" header="0.5" footer="0.5"/>
      <pageSetup scale="65" orientation="portrait" horizontalDpi="300" verticalDpi="300" r:id="rId5"/>
      <headerFooter alignWithMargins="0"/>
    </customSheetView>
    <customSheetView guid="{DF927CC8-17A7-49F4-AF19-6FEA0A559180}" hiddenRows="1" hiddenColumns="1" showRuler="0">
      <pane xSplit="10" ySplit="7" topLeftCell="X246" activePane="bottomRight" state="frozen"/>
      <selection pane="bottomRight" activeCell="AF276" sqref="AF276"/>
      <rowBreaks count="3" manualBreakCount="3">
        <brk id="101" max="16383" man="1"/>
        <brk id="200" max="16383" man="1"/>
        <brk id="264" max="16383" man="1"/>
      </rowBreaks>
      <pageMargins left="0.5" right="0.25" top="0.5" bottom="0.5" header="0.5" footer="0.5"/>
      <pageSetup scale="65" orientation="portrait" horizontalDpi="300" verticalDpi="300" r:id="rId6"/>
      <headerFooter alignWithMargins="0"/>
    </customSheetView>
    <customSheetView guid="{08BAB49F-44A8-4F04-A2E3-24B12C6D0857}" showGridLines="0" fitToPage="1" hiddenRows="1" hiddenColumns="1">
      <pane xSplit="4" ySplit="8" topLeftCell="BX9" activePane="bottomRight" state="frozen"/>
      <selection pane="bottomRight"/>
      <rowBreaks count="3" manualBreakCount="3">
        <brk id="3" max="16383" man="1"/>
        <brk id="105" max="16383" man="1"/>
        <brk id="184" max="16383" man="1"/>
      </rowBreaks>
      <colBreaks count="1" manualBreakCount="1">
        <brk id="46" max="1048575" man="1"/>
      </colBreaks>
      <pageMargins left="0.5" right="0.25" top="0.5" bottom="0.5" header="0.5" footer="0.5"/>
      <pageSetup scale="41" fitToHeight="3" orientation="portrait" horizontalDpi="300" verticalDpi="300" r:id="rId7"/>
      <headerFooter alignWithMargins="0"/>
    </customSheetView>
    <customSheetView guid="{4482C16F-8DC0-49F3-9E1F-335117126152}" showGridLines="0" fitToPage="1" hiddenRows="1" hiddenColumns="1">
      <pane xSplit="4" ySplit="8" topLeftCell="BX9" activePane="bottomRight" state="frozen"/>
      <selection pane="bottomRight" activeCell="CA39" sqref="CA39"/>
      <rowBreaks count="3" manualBreakCount="3">
        <brk id="3" max="16383" man="1"/>
        <brk id="105" max="16383" man="1"/>
        <brk id="184" max="16383" man="1"/>
      </rowBreaks>
      <colBreaks count="1" manualBreakCount="1">
        <brk id="46" max="1048575" man="1"/>
      </colBreaks>
      <pageMargins left="0.5" right="0.25" top="0.5" bottom="0.5" header="0.5" footer="0.5"/>
      <pageSetup scale="41" fitToHeight="3" orientation="portrait" horizontalDpi="300" verticalDpi="300" r:id="rId8"/>
      <headerFooter alignWithMargins="0"/>
    </customSheetView>
  </customSheetViews>
  <phoneticPr fontId="7" type="noConversion"/>
  <pageMargins left="0.5" right="0.25" top="0.5" bottom="0.5" header="0.5" footer="0.5"/>
  <pageSetup scale="31" fitToHeight="3" orientation="portrait" horizontalDpi="300" verticalDpi="300" r:id="rId9"/>
  <headerFooter alignWithMargins="0"/>
  <rowBreaks count="3" manualBreakCount="3">
    <brk id="3" max="16383" man="1"/>
    <brk id="105" max="16383" man="1"/>
    <brk id="184" max="16383" man="1"/>
  </rowBreaks>
  <legacyDrawing r:id="rId1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BL136"/>
  <sheetViews>
    <sheetView showGridLines="0" zoomScale="130" zoomScaleNormal="130" zoomScaleSheetLayoutView="100" workbookViewId="0">
      <pane xSplit="2" ySplit="4" topLeftCell="C62" activePane="bottomRight" state="frozen"/>
      <selection pane="topRight"/>
      <selection pane="bottomLeft"/>
      <selection pane="bottomRight"/>
    </sheetView>
  </sheetViews>
  <sheetFormatPr defaultRowHeight="12.75" outlineLevelCol="1"/>
  <cols>
    <col min="1" max="1" width="8.85546875" customWidth="1" outlineLevel="1"/>
    <col min="2" max="2" width="10.7109375" customWidth="1"/>
    <col min="3" max="16" width="5.7109375" customWidth="1"/>
    <col min="17" max="17" width="1.7109375" customWidth="1"/>
    <col min="18" max="36" width="5.7109375" customWidth="1"/>
    <col min="37" max="37" width="10.7109375" customWidth="1"/>
  </cols>
  <sheetData>
    <row r="1" spans="1:43">
      <c r="B1" s="787"/>
      <c r="C1" s="756" t="s">
        <v>478</v>
      </c>
      <c r="D1" s="756"/>
      <c r="E1" s="756"/>
      <c r="F1" s="756"/>
      <c r="G1" s="756"/>
      <c r="H1" s="756"/>
      <c r="I1" s="756"/>
      <c r="J1" s="756"/>
      <c r="K1" s="756"/>
      <c r="L1" s="756"/>
      <c r="M1" s="756"/>
      <c r="N1" s="756"/>
      <c r="O1" s="756"/>
      <c r="P1" s="756"/>
      <c r="Q1" s="248"/>
      <c r="R1" s="756" t="s">
        <v>81</v>
      </c>
      <c r="S1" s="756"/>
      <c r="T1" s="756"/>
      <c r="U1" s="756"/>
      <c r="V1" s="756"/>
      <c r="W1" s="756"/>
      <c r="X1" s="756"/>
      <c r="Y1" s="756"/>
      <c r="Z1" s="756"/>
      <c r="AA1" s="756"/>
      <c r="AB1" s="756"/>
      <c r="AC1" s="756"/>
      <c r="AD1" s="756"/>
      <c r="AE1" s="756"/>
      <c r="AF1" s="756"/>
      <c r="AG1" s="756"/>
      <c r="AH1" s="756"/>
      <c r="AI1" s="756"/>
      <c r="AJ1" s="247"/>
      <c r="AK1" s="246"/>
      <c r="AL1" s="757"/>
      <c r="AM1" s="758"/>
      <c r="AN1" s="758"/>
      <c r="AO1" s="758"/>
    </row>
    <row r="2" spans="1:43" ht="22.5">
      <c r="B2" s="246"/>
      <c r="C2" s="754" t="s">
        <v>462</v>
      </c>
      <c r="D2" s="754"/>
      <c r="E2" s="754" t="s">
        <v>463</v>
      </c>
      <c r="F2" s="754"/>
      <c r="G2" s="754" t="s">
        <v>464</v>
      </c>
      <c r="H2" s="754"/>
      <c r="I2" s="754" t="s">
        <v>465</v>
      </c>
      <c r="J2" s="754"/>
      <c r="K2" s="754" t="s">
        <v>148</v>
      </c>
      <c r="L2" s="754"/>
      <c r="M2" s="754" t="s">
        <v>245</v>
      </c>
      <c r="N2" s="755" t="s">
        <v>530</v>
      </c>
      <c r="O2" s="754" t="s">
        <v>642</v>
      </c>
      <c r="P2" s="754"/>
      <c r="Q2" s="248"/>
      <c r="R2" s="754" t="s">
        <v>63</v>
      </c>
      <c r="S2" s="754"/>
      <c r="T2" s="754" t="s">
        <v>585</v>
      </c>
      <c r="U2" s="754"/>
      <c r="V2" s="754" t="s">
        <v>552</v>
      </c>
      <c r="W2" s="754"/>
      <c r="X2" s="754" t="s">
        <v>79</v>
      </c>
      <c r="Y2" s="754"/>
      <c r="Z2" s="754" t="s">
        <v>464</v>
      </c>
      <c r="AA2" s="754"/>
      <c r="AB2" s="754" t="s">
        <v>465</v>
      </c>
      <c r="AC2" s="754"/>
      <c r="AD2" s="754" t="s">
        <v>657</v>
      </c>
      <c r="AE2" s="754" t="s">
        <v>658</v>
      </c>
      <c r="AF2" s="754" t="s">
        <v>114</v>
      </c>
      <c r="AG2" s="754"/>
      <c r="AH2" s="754" t="s">
        <v>642</v>
      </c>
      <c r="AI2" s="754"/>
      <c r="AJ2" s="492"/>
      <c r="AK2" s="246"/>
      <c r="AL2" s="759" t="s">
        <v>588</v>
      </c>
      <c r="AM2" s="759" t="s">
        <v>589</v>
      </c>
      <c r="AN2" s="759" t="s">
        <v>590</v>
      </c>
      <c r="AO2" s="760" t="s">
        <v>123</v>
      </c>
    </row>
    <row r="3" spans="1:43" hidden="1">
      <c r="B3" s="249">
        <v>2003</v>
      </c>
      <c r="C3" s="250">
        <v>341.04270923209668</v>
      </c>
      <c r="D3" s="250"/>
      <c r="E3" s="250">
        <v>315.87793851717902</v>
      </c>
      <c r="F3" s="250"/>
      <c r="G3" s="250">
        <v>361.81978417266185</v>
      </c>
      <c r="H3" s="250"/>
      <c r="I3" s="250">
        <v>322.17417417417414</v>
      </c>
      <c r="J3" s="250"/>
      <c r="K3" s="250">
        <v>137</v>
      </c>
      <c r="L3" s="250"/>
      <c r="M3" s="250"/>
      <c r="N3" s="250"/>
      <c r="O3" s="250"/>
      <c r="P3" s="250"/>
      <c r="Q3" s="250"/>
      <c r="R3" s="250">
        <v>290.5</v>
      </c>
      <c r="S3" s="250"/>
      <c r="T3" s="250">
        <v>279.16666666666669</v>
      </c>
      <c r="U3" s="250"/>
      <c r="V3" s="250">
        <v>279.16666666666669</v>
      </c>
      <c r="W3" s="250"/>
      <c r="X3" s="250">
        <v>279.16666666666669</v>
      </c>
      <c r="Y3" s="250"/>
      <c r="Z3" s="250">
        <v>315.83333333333331</v>
      </c>
      <c r="AA3" s="250"/>
      <c r="AB3" s="250">
        <v>331.66666666666669</v>
      </c>
      <c r="AC3" s="250"/>
      <c r="AD3" s="250"/>
      <c r="AE3" s="250"/>
      <c r="AF3" s="250"/>
      <c r="AG3" s="250"/>
      <c r="AH3" s="250"/>
      <c r="AI3" s="250"/>
      <c r="AJ3" s="250"/>
      <c r="AK3" s="246"/>
      <c r="AL3" s="251"/>
      <c r="AM3" s="251"/>
      <c r="AN3" s="251"/>
      <c r="AO3" s="251"/>
    </row>
    <row r="4" spans="1:43" hidden="1">
      <c r="B4" s="249">
        <v>2004</v>
      </c>
      <c r="C4" s="250">
        <v>601.19695469175542</v>
      </c>
      <c r="D4" s="250"/>
      <c r="E4" s="250">
        <v>502.09115179252473</v>
      </c>
      <c r="F4" s="250"/>
      <c r="G4" s="250">
        <v>543.7963768115942</v>
      </c>
      <c r="H4" s="250"/>
      <c r="I4" s="250">
        <v>656.37360703812317</v>
      </c>
      <c r="J4" s="250"/>
      <c r="K4" s="250">
        <v>238.25</v>
      </c>
      <c r="L4" s="250"/>
      <c r="M4" s="250"/>
      <c r="N4" s="250"/>
      <c r="O4" s="250"/>
      <c r="P4" s="250"/>
      <c r="Q4" s="250"/>
      <c r="R4" s="250">
        <v>608.5</v>
      </c>
      <c r="S4" s="252">
        <f>R4/R3-1</f>
        <v>1.0946643717728053</v>
      </c>
      <c r="T4" s="250">
        <v>502.75</v>
      </c>
      <c r="U4" s="252">
        <f>T4/T3-1</f>
        <v>0.80089552238805961</v>
      </c>
      <c r="V4" s="250">
        <v>502.75</v>
      </c>
      <c r="W4" s="252">
        <f>V4/V3-1</f>
        <v>0.80089552238805961</v>
      </c>
      <c r="X4" s="250">
        <v>502.75</v>
      </c>
      <c r="Y4" s="252">
        <f>X4/X3-1</f>
        <v>0.80089552238805961</v>
      </c>
      <c r="Z4" s="250">
        <v>526.08333333333337</v>
      </c>
      <c r="AA4" s="252">
        <f>Z4/Z3-1</f>
        <v>0.66569920844327202</v>
      </c>
      <c r="AB4" s="250">
        <v>653.41666666666674</v>
      </c>
      <c r="AC4" s="252">
        <f>AB4/AB3-1</f>
        <v>0.97010050251256286</v>
      </c>
      <c r="AD4" s="252"/>
      <c r="AE4" s="252"/>
      <c r="AF4" s="250"/>
      <c r="AG4" s="252"/>
      <c r="AH4" s="252"/>
      <c r="AI4" s="252"/>
      <c r="AJ4" s="252"/>
      <c r="AK4" s="246"/>
      <c r="AL4" s="251"/>
      <c r="AM4" s="251"/>
      <c r="AN4" s="251"/>
      <c r="AO4" s="251"/>
    </row>
    <row r="5" spans="1:43">
      <c r="A5" s="367">
        <v>37316</v>
      </c>
      <c r="B5" s="249" t="s">
        <v>38</v>
      </c>
      <c r="C5" s="250"/>
      <c r="D5" s="250"/>
      <c r="E5" s="250"/>
      <c r="F5" s="250"/>
      <c r="G5" s="250"/>
      <c r="H5" s="250"/>
      <c r="I5" s="250"/>
      <c r="J5" s="250"/>
      <c r="K5" s="250">
        <f>Operations!$J$77</f>
        <v>96</v>
      </c>
      <c r="L5" s="250"/>
      <c r="M5" s="250"/>
      <c r="N5" s="250"/>
      <c r="O5" s="250"/>
      <c r="P5" s="250"/>
      <c r="Q5" s="250"/>
      <c r="R5" s="250"/>
      <c r="S5" s="252"/>
      <c r="T5" s="250"/>
      <c r="U5" s="252"/>
      <c r="V5" s="250"/>
      <c r="W5" s="252"/>
      <c r="X5" s="250"/>
      <c r="Y5" s="252"/>
      <c r="Z5" s="250"/>
      <c r="AA5" s="252"/>
      <c r="AB5" s="250"/>
      <c r="AC5" s="252"/>
      <c r="AD5" s="250">
        <f>Operations!$J$72</f>
        <v>76.541666666666671</v>
      </c>
      <c r="AE5" s="250">
        <f>Operations!$J$73</f>
        <v>77.957542666189269</v>
      </c>
      <c r="AF5" s="250">
        <f>Operations!$J$74</f>
        <v>77.490303586346812</v>
      </c>
      <c r="AG5" s="252"/>
      <c r="AH5" s="252"/>
      <c r="AI5" s="252"/>
      <c r="AJ5" s="252"/>
      <c r="AK5" s="246"/>
      <c r="AL5" s="251"/>
      <c r="AM5" s="251"/>
      <c r="AN5" s="251"/>
      <c r="AO5" s="251"/>
      <c r="AQ5" s="401">
        <v>37346</v>
      </c>
    </row>
    <row r="6" spans="1:43">
      <c r="A6" s="367">
        <v>37408</v>
      </c>
      <c r="B6" s="249" t="s">
        <v>370</v>
      </c>
      <c r="C6" s="250"/>
      <c r="D6" s="250"/>
      <c r="E6" s="250"/>
      <c r="F6" s="250"/>
      <c r="G6" s="250"/>
      <c r="H6" s="250"/>
      <c r="I6" s="250"/>
      <c r="J6" s="250"/>
      <c r="K6" s="250">
        <f>Operations!$K$77</f>
        <v>107</v>
      </c>
      <c r="L6" s="252">
        <f t="shared" ref="L6:L17" si="0">K6/K5-1</f>
        <v>0.11458333333333326</v>
      </c>
      <c r="M6" s="252"/>
      <c r="N6" s="253"/>
      <c r="O6" s="253"/>
      <c r="P6" s="253"/>
      <c r="Q6" s="250"/>
      <c r="R6" s="250">
        <v>346.66666666666669</v>
      </c>
      <c r="S6" s="252"/>
      <c r="T6" s="250">
        <v>273.33333333333331</v>
      </c>
      <c r="U6" s="252"/>
      <c r="V6" s="250"/>
      <c r="W6" s="252"/>
      <c r="X6" s="250"/>
      <c r="Y6" s="252"/>
      <c r="Z6" s="250">
        <v>340</v>
      </c>
      <c r="AA6" s="252"/>
      <c r="AB6" s="250">
        <v>323.33333333333331</v>
      </c>
      <c r="AC6" s="252"/>
      <c r="AD6" s="250">
        <f>Operations!$K$72</f>
        <v>96.348214285714278</v>
      </c>
      <c r="AE6" s="250">
        <f>Operations!$K$73</f>
        <v>96.68966450216449</v>
      </c>
      <c r="AF6" s="250">
        <f>Operations!$K$74</f>
        <v>96.57698593073593</v>
      </c>
      <c r="AG6" s="254">
        <f>'Price Relationships'!AU6-'Price Relationships'!AU5</f>
        <v>0</v>
      </c>
      <c r="AH6" s="254"/>
      <c r="AI6" s="254"/>
      <c r="AJ6" s="254"/>
      <c r="AK6" s="246"/>
      <c r="AL6" s="251"/>
      <c r="AM6" s="251"/>
      <c r="AN6" s="251"/>
      <c r="AO6" s="251"/>
      <c r="AQ6" s="401">
        <v>37437</v>
      </c>
    </row>
    <row r="7" spans="1:43">
      <c r="A7" s="367">
        <v>37500</v>
      </c>
      <c r="B7" s="249" t="s">
        <v>371</v>
      </c>
      <c r="C7" s="250"/>
      <c r="D7" s="250"/>
      <c r="E7" s="250"/>
      <c r="F7" s="250"/>
      <c r="G7" s="250"/>
      <c r="H7" s="250"/>
      <c r="I7" s="250"/>
      <c r="J7" s="250"/>
      <c r="K7" s="250">
        <f>Operations!$L$77</f>
        <v>118</v>
      </c>
      <c r="L7" s="252">
        <f t="shared" si="0"/>
        <v>0.10280373831775691</v>
      </c>
      <c r="M7" s="252"/>
      <c r="N7" s="253"/>
      <c r="O7" s="253"/>
      <c r="P7" s="253"/>
      <c r="Q7" s="250"/>
      <c r="R7" s="250">
        <v>368.33333333333331</v>
      </c>
      <c r="S7" s="252">
        <f t="shared" ref="S7:S36" si="1">R7/R6-1</f>
        <v>6.2499999999999778E-2</v>
      </c>
      <c r="T7" s="250">
        <v>260</v>
      </c>
      <c r="U7" s="252">
        <f t="shared" ref="U7:U36" si="2">T7/T6-1</f>
        <v>-4.8780487804877981E-2</v>
      </c>
      <c r="V7" s="250"/>
      <c r="W7" s="252"/>
      <c r="X7" s="250"/>
      <c r="Y7" s="252"/>
      <c r="Z7" s="250">
        <v>350</v>
      </c>
      <c r="AA7" s="252">
        <f t="shared" ref="AA7:AA36" si="3">Z7/Z6-1</f>
        <v>2.9411764705882248E-2</v>
      </c>
      <c r="AB7" s="250">
        <v>340</v>
      </c>
      <c r="AC7" s="252">
        <f t="shared" ref="AC7:AC36" si="4">AB7/AB6-1</f>
        <v>5.1546391752577359E-2</v>
      </c>
      <c r="AD7" s="250">
        <f>Operations!$L$72</f>
        <v>101.02678571428571</v>
      </c>
      <c r="AE7" s="250">
        <f>Operations!$L$73</f>
        <v>110.05140692640691</v>
      </c>
      <c r="AF7" s="250">
        <f>Operations!$L$74</f>
        <v>107.07328192640692</v>
      </c>
      <c r="AG7" s="252">
        <f t="shared" ref="AG7:AG18" si="5">AF7/AF6-1</f>
        <v>0.10868320122558828</v>
      </c>
      <c r="AH7" s="252"/>
      <c r="AI7" s="252"/>
      <c r="AJ7" s="252"/>
      <c r="AK7" s="246"/>
      <c r="AL7" s="251"/>
      <c r="AM7" s="251"/>
      <c r="AN7" s="251"/>
      <c r="AO7" s="251"/>
      <c r="AQ7" s="401">
        <v>37529</v>
      </c>
    </row>
    <row r="8" spans="1:43">
      <c r="A8" s="367">
        <v>37591</v>
      </c>
      <c r="B8" s="249" t="s">
        <v>372</v>
      </c>
      <c r="C8" s="250"/>
      <c r="D8" s="250"/>
      <c r="E8" s="250"/>
      <c r="F8" s="250"/>
      <c r="G8" s="250"/>
      <c r="H8" s="250"/>
      <c r="I8" s="250"/>
      <c r="J8" s="250"/>
      <c r="K8" s="250">
        <f>Operations!$M$77</f>
        <v>118</v>
      </c>
      <c r="L8" s="252">
        <f t="shared" si="0"/>
        <v>0</v>
      </c>
      <c r="M8" s="252"/>
      <c r="N8" s="253"/>
      <c r="O8" s="253"/>
      <c r="P8" s="253"/>
      <c r="Q8" s="250"/>
      <c r="R8" s="250">
        <v>323.33333333333331</v>
      </c>
      <c r="S8" s="252">
        <f t="shared" si="1"/>
        <v>-0.12217194570135748</v>
      </c>
      <c r="T8" s="250">
        <v>266.66666666666669</v>
      </c>
      <c r="U8" s="252">
        <f t="shared" si="2"/>
        <v>2.5641025641025772E-2</v>
      </c>
      <c r="V8" s="250"/>
      <c r="W8" s="252"/>
      <c r="X8" s="250"/>
      <c r="Y8" s="252"/>
      <c r="Z8" s="250">
        <v>340</v>
      </c>
      <c r="AA8" s="252">
        <f t="shared" si="3"/>
        <v>-2.8571428571428581E-2</v>
      </c>
      <c r="AB8" s="250">
        <v>336.66666666666669</v>
      </c>
      <c r="AC8" s="252">
        <f t="shared" si="4"/>
        <v>-9.8039215686274161E-3</v>
      </c>
      <c r="AD8" s="250">
        <f>Operations!$M$72</f>
        <v>95.440476190476176</v>
      </c>
      <c r="AE8" s="250">
        <f>Operations!$M$73</f>
        <v>112.39988558352401</v>
      </c>
      <c r="AF8" s="250">
        <f>Operations!$M$74</f>
        <v>106.80328048381824</v>
      </c>
      <c r="AG8" s="252">
        <f t="shared" si="5"/>
        <v>-2.5216509453240832E-3</v>
      </c>
      <c r="AH8" s="252"/>
      <c r="AI8" s="252"/>
      <c r="AJ8" s="252"/>
      <c r="AK8" s="246"/>
      <c r="AL8" s="251"/>
      <c r="AM8" s="251"/>
      <c r="AN8" s="251"/>
      <c r="AO8" s="251"/>
      <c r="AQ8" s="401">
        <v>37621</v>
      </c>
    </row>
    <row r="9" spans="1:43">
      <c r="A9" s="367">
        <v>37681</v>
      </c>
      <c r="B9" s="249" t="s">
        <v>373</v>
      </c>
      <c r="C9" s="250"/>
      <c r="D9" s="250"/>
      <c r="E9" s="250"/>
      <c r="F9" s="250"/>
      <c r="G9" s="250"/>
      <c r="H9" s="250"/>
      <c r="I9" s="250"/>
      <c r="J9" s="250"/>
      <c r="K9" s="250">
        <f>Operations!$O$77</f>
        <v>122</v>
      </c>
      <c r="L9" s="252">
        <f t="shared" si="0"/>
        <v>3.3898305084745672E-2</v>
      </c>
      <c r="M9" s="252"/>
      <c r="N9" s="253"/>
      <c r="O9" s="253"/>
      <c r="P9" s="253"/>
      <c r="Q9" s="250"/>
      <c r="R9" s="250">
        <v>288.33333333333331</v>
      </c>
      <c r="S9" s="252">
        <f t="shared" si="1"/>
        <v>-0.10824742268041243</v>
      </c>
      <c r="T9" s="250">
        <v>271.66666666666669</v>
      </c>
      <c r="U9" s="252">
        <f t="shared" si="2"/>
        <v>1.8750000000000044E-2</v>
      </c>
      <c r="V9" s="250"/>
      <c r="W9" s="252"/>
      <c r="X9" s="250"/>
      <c r="Y9" s="252"/>
      <c r="Z9" s="250">
        <v>330</v>
      </c>
      <c r="AA9" s="252">
        <f t="shared" si="3"/>
        <v>-2.9411764705882359E-2</v>
      </c>
      <c r="AB9" s="250">
        <v>320</v>
      </c>
      <c r="AC9" s="252">
        <f t="shared" si="4"/>
        <v>-4.9504950495049549E-2</v>
      </c>
      <c r="AD9" s="250">
        <f>Operations!$O$72</f>
        <v>110.24404761904759</v>
      </c>
      <c r="AE9" s="250">
        <f>Operations!$O$73</f>
        <v>121.64041055018497</v>
      </c>
      <c r="AF9" s="250">
        <f>Operations!$O$74</f>
        <v>117.87961078290965</v>
      </c>
      <c r="AG9" s="252">
        <f t="shared" si="5"/>
        <v>0.10370777235414219</v>
      </c>
      <c r="AH9" s="252"/>
      <c r="AI9" s="252"/>
      <c r="AJ9" s="252"/>
      <c r="AK9" s="246"/>
      <c r="AL9" s="251"/>
      <c r="AM9" s="251"/>
      <c r="AN9" s="251"/>
      <c r="AO9" s="251"/>
      <c r="AQ9" s="401">
        <v>37711</v>
      </c>
    </row>
    <row r="10" spans="1:43">
      <c r="A10" s="367">
        <v>37773</v>
      </c>
      <c r="B10" s="249" t="s">
        <v>374</v>
      </c>
      <c r="C10" s="250"/>
      <c r="D10" s="250"/>
      <c r="E10" s="250"/>
      <c r="F10" s="250"/>
      <c r="G10" s="250"/>
      <c r="H10" s="250"/>
      <c r="I10" s="250"/>
      <c r="J10" s="250"/>
      <c r="K10" s="250">
        <f>Operations!$P$77</f>
        <v>131</v>
      </c>
      <c r="L10" s="252">
        <f t="shared" si="0"/>
        <v>7.3770491803278659E-2</v>
      </c>
      <c r="M10" s="252"/>
      <c r="N10" s="253"/>
      <c r="O10" s="253"/>
      <c r="P10" s="253"/>
      <c r="Q10" s="250"/>
      <c r="R10" s="250">
        <v>273.33333333333331</v>
      </c>
      <c r="S10" s="252">
        <f t="shared" si="1"/>
        <v>-5.2023121387283267E-2</v>
      </c>
      <c r="T10" s="250">
        <v>273.33333333333331</v>
      </c>
      <c r="U10" s="252">
        <f t="shared" si="2"/>
        <v>6.1349693251533388E-3</v>
      </c>
      <c r="V10" s="250"/>
      <c r="W10" s="252"/>
      <c r="X10" s="250"/>
      <c r="Y10" s="252"/>
      <c r="Z10" s="250">
        <v>310</v>
      </c>
      <c r="AA10" s="252">
        <f t="shared" si="3"/>
        <v>-6.0606060606060552E-2</v>
      </c>
      <c r="AB10" s="250">
        <v>320</v>
      </c>
      <c r="AC10" s="252">
        <f t="shared" si="4"/>
        <v>0</v>
      </c>
      <c r="AD10" s="250">
        <f>Operations!$P$72</f>
        <v>113.60714285714285</v>
      </c>
      <c r="AE10" s="250">
        <f>Operations!$P$73</f>
        <v>124.99999999999999</v>
      </c>
      <c r="AF10" s="250">
        <f>Operations!$P$74</f>
        <v>121.24035714285714</v>
      </c>
      <c r="AG10" s="252">
        <f t="shared" si="5"/>
        <v>2.8509988603005576E-2</v>
      </c>
      <c r="AH10" s="252"/>
      <c r="AI10" s="252"/>
      <c r="AJ10" s="252"/>
      <c r="AK10" s="246"/>
      <c r="AL10" s="251"/>
      <c r="AM10" s="251"/>
      <c r="AN10" s="251"/>
      <c r="AO10" s="251"/>
      <c r="AQ10" s="401">
        <v>37802</v>
      </c>
    </row>
    <row r="11" spans="1:43">
      <c r="A11" s="367">
        <v>37865</v>
      </c>
      <c r="B11" s="249" t="s">
        <v>375</v>
      </c>
      <c r="C11" s="250"/>
      <c r="D11" s="250"/>
      <c r="E11" s="250"/>
      <c r="F11" s="250"/>
      <c r="G11" s="250"/>
      <c r="H11" s="250"/>
      <c r="I11" s="250"/>
      <c r="J11" s="250"/>
      <c r="K11" s="250">
        <f>Operations!$Q$77</f>
        <v>137</v>
      </c>
      <c r="L11" s="252">
        <f t="shared" si="0"/>
        <v>4.5801526717557328E-2</v>
      </c>
      <c r="M11" s="252"/>
      <c r="N11" s="253"/>
      <c r="O11" s="253"/>
      <c r="P11" s="253"/>
      <c r="Q11" s="250"/>
      <c r="R11" s="250">
        <v>283.66666666666669</v>
      </c>
      <c r="S11" s="252">
        <f t="shared" si="1"/>
        <v>3.7804878048780521E-2</v>
      </c>
      <c r="T11" s="250">
        <v>270</v>
      </c>
      <c r="U11" s="252">
        <f t="shared" si="2"/>
        <v>-1.2195121951219412E-2</v>
      </c>
      <c r="V11" s="250"/>
      <c r="W11" s="252"/>
      <c r="X11" s="250"/>
      <c r="Y11" s="252"/>
      <c r="Z11" s="250">
        <v>298.33333333333331</v>
      </c>
      <c r="AA11" s="252">
        <f t="shared" si="3"/>
        <v>-3.7634408602150615E-2</v>
      </c>
      <c r="AB11" s="250">
        <v>330</v>
      </c>
      <c r="AC11" s="252">
        <f t="shared" si="4"/>
        <v>3.125E-2</v>
      </c>
      <c r="AD11" s="250">
        <f>Operations!$Q$72</f>
        <v>122.32142857142856</v>
      </c>
      <c r="AE11" s="250">
        <f>Operations!$Q$73</f>
        <v>134.67326324469178</v>
      </c>
      <c r="AF11" s="250">
        <f>Operations!$Q$74</f>
        <v>130.59715780251491</v>
      </c>
      <c r="AG11" s="252">
        <f t="shared" si="5"/>
        <v>7.7175627655341694E-2</v>
      </c>
      <c r="AH11" s="252"/>
      <c r="AI11" s="252"/>
      <c r="AJ11" s="252"/>
      <c r="AK11" s="246"/>
      <c r="AL11" s="251"/>
      <c r="AM11" s="251"/>
      <c r="AN11" s="251"/>
      <c r="AO11" s="251"/>
      <c r="AQ11" s="401">
        <v>37894</v>
      </c>
    </row>
    <row r="12" spans="1:43">
      <c r="A12" s="367">
        <v>37956</v>
      </c>
      <c r="B12" s="249" t="s">
        <v>376</v>
      </c>
      <c r="C12" s="250"/>
      <c r="D12" s="250"/>
      <c r="E12" s="250"/>
      <c r="F12" s="250"/>
      <c r="G12" s="250"/>
      <c r="H12" s="250"/>
      <c r="I12" s="250"/>
      <c r="J12" s="250"/>
      <c r="K12" s="250">
        <f>Operations!$R$77</f>
        <v>158</v>
      </c>
      <c r="L12" s="252">
        <f t="shared" si="0"/>
        <v>0.15328467153284664</v>
      </c>
      <c r="M12" s="252"/>
      <c r="N12" s="253"/>
      <c r="O12" s="253"/>
      <c r="P12" s="253"/>
      <c r="Q12" s="250"/>
      <c r="R12" s="250">
        <v>316.66666666666669</v>
      </c>
      <c r="S12" s="252">
        <f t="shared" si="1"/>
        <v>0.11633372502937722</v>
      </c>
      <c r="T12" s="250">
        <v>301.66666666666669</v>
      </c>
      <c r="U12" s="252">
        <f t="shared" si="2"/>
        <v>0.11728395061728403</v>
      </c>
      <c r="V12" s="250"/>
      <c r="W12" s="252"/>
      <c r="X12" s="250"/>
      <c r="Y12" s="252"/>
      <c r="Z12" s="250">
        <v>325</v>
      </c>
      <c r="AA12" s="252">
        <f t="shared" si="3"/>
        <v>8.9385474860335323E-2</v>
      </c>
      <c r="AB12" s="250">
        <v>356.66666666666669</v>
      </c>
      <c r="AC12" s="252">
        <f t="shared" si="4"/>
        <v>8.0808080808080884E-2</v>
      </c>
      <c r="AD12" s="250">
        <f>Operations!$R$72</f>
        <v>144.72619047619045</v>
      </c>
      <c r="AE12" s="250">
        <f>Operations!$R$73</f>
        <v>157.54676870748295</v>
      </c>
      <c r="AF12" s="250">
        <f>Operations!$R$74</f>
        <v>153.31597789115642</v>
      </c>
      <c r="AG12" s="252">
        <f t="shared" si="5"/>
        <v>0.17396106064571648</v>
      </c>
      <c r="AH12" s="252"/>
      <c r="AI12" s="252"/>
      <c r="AJ12" s="252"/>
      <c r="AK12" s="246"/>
      <c r="AL12" s="251"/>
      <c r="AM12" s="251"/>
      <c r="AN12" s="251"/>
      <c r="AO12" s="251"/>
      <c r="AQ12" s="401">
        <v>37986</v>
      </c>
    </row>
    <row r="13" spans="1:43">
      <c r="A13" s="367">
        <v>38047</v>
      </c>
      <c r="B13" s="249" t="s">
        <v>377</v>
      </c>
      <c r="C13" s="250"/>
      <c r="D13" s="250"/>
      <c r="E13" s="250"/>
      <c r="F13" s="250"/>
      <c r="G13" s="250"/>
      <c r="H13" s="250"/>
      <c r="I13" s="250"/>
      <c r="J13" s="250"/>
      <c r="K13" s="250">
        <f>Operations!$T$77</f>
        <v>200</v>
      </c>
      <c r="L13" s="252">
        <f t="shared" si="0"/>
        <v>0.26582278481012667</v>
      </c>
      <c r="M13" s="252"/>
      <c r="N13" s="253"/>
      <c r="O13" s="253"/>
      <c r="P13" s="253"/>
      <c r="Q13" s="250"/>
      <c r="R13" s="250">
        <v>462.33333333333331</v>
      </c>
      <c r="S13" s="252">
        <f t="shared" si="1"/>
        <v>0.45999999999999974</v>
      </c>
      <c r="T13" s="250">
        <v>424.33333333333331</v>
      </c>
      <c r="U13" s="252">
        <f t="shared" si="2"/>
        <v>0.40662983425414345</v>
      </c>
      <c r="V13" s="250"/>
      <c r="W13" s="252"/>
      <c r="X13" s="250"/>
      <c r="Y13" s="252"/>
      <c r="Z13" s="250">
        <v>442.33333333333331</v>
      </c>
      <c r="AA13" s="252">
        <f t="shared" si="3"/>
        <v>0.36102564102564094</v>
      </c>
      <c r="AB13" s="250">
        <v>490</v>
      </c>
      <c r="AC13" s="252">
        <f t="shared" si="4"/>
        <v>0.3738317757009344</v>
      </c>
      <c r="AD13" s="250">
        <f>Operations!$T$72</f>
        <v>244.5</v>
      </c>
      <c r="AE13" s="250">
        <f>Operations!$T$73</f>
        <v>260.22006102212049</v>
      </c>
      <c r="AF13" s="250">
        <f>Operations!$T$74</f>
        <v>255.03244088482074</v>
      </c>
      <c r="AG13" s="252">
        <f t="shared" si="5"/>
        <v>0.66344333051755289</v>
      </c>
      <c r="AH13" s="252"/>
      <c r="AI13" s="252"/>
      <c r="AJ13" s="252"/>
      <c r="AK13" s="246"/>
      <c r="AL13" s="251"/>
      <c r="AM13" s="251"/>
      <c r="AN13" s="251"/>
      <c r="AO13" s="251"/>
      <c r="AQ13" s="401">
        <v>38077</v>
      </c>
    </row>
    <row r="14" spans="1:43">
      <c r="A14" s="367">
        <v>38139</v>
      </c>
      <c r="B14" s="249" t="s">
        <v>368</v>
      </c>
      <c r="C14" s="250"/>
      <c r="D14" s="250"/>
      <c r="E14" s="250"/>
      <c r="F14" s="250"/>
      <c r="G14" s="250"/>
      <c r="H14" s="250"/>
      <c r="I14" s="250"/>
      <c r="J14" s="250"/>
      <c r="K14" s="250">
        <f>Operations!$U$77</f>
        <v>227</v>
      </c>
      <c r="L14" s="252">
        <f t="shared" si="0"/>
        <v>0.13500000000000001</v>
      </c>
      <c r="M14" s="252"/>
      <c r="N14" s="253"/>
      <c r="O14" s="253"/>
      <c r="P14" s="253"/>
      <c r="Q14" s="250"/>
      <c r="R14" s="250">
        <v>610</v>
      </c>
      <c r="S14" s="252">
        <f t="shared" si="1"/>
        <v>0.31939437635183854</v>
      </c>
      <c r="T14" s="250">
        <v>520</v>
      </c>
      <c r="U14" s="252">
        <f t="shared" si="2"/>
        <v>0.22545168892380207</v>
      </c>
      <c r="V14" s="250"/>
      <c r="W14" s="252"/>
      <c r="X14" s="250"/>
      <c r="Y14" s="252"/>
      <c r="Z14" s="250">
        <v>525.33333333333337</v>
      </c>
      <c r="AA14" s="252">
        <f t="shared" si="3"/>
        <v>0.18764129615674463</v>
      </c>
      <c r="AB14" s="250">
        <v>621</v>
      </c>
      <c r="AC14" s="252">
        <f t="shared" si="4"/>
        <v>0.2673469387755103</v>
      </c>
      <c r="AD14" s="250">
        <f>Operations!$U$72</f>
        <v>201.4666666666667</v>
      </c>
      <c r="AE14" s="250">
        <f>Operations!$U$73</f>
        <v>251.76046176046171</v>
      </c>
      <c r="AF14" s="250">
        <f>Operations!$U$74</f>
        <v>235.16350937950938</v>
      </c>
      <c r="AG14" s="252">
        <f t="shared" si="5"/>
        <v>-7.790746712997465E-2</v>
      </c>
      <c r="AH14" s="252"/>
      <c r="AI14" s="252"/>
      <c r="AJ14" s="252"/>
      <c r="AK14" s="246"/>
      <c r="AL14" s="251"/>
      <c r="AM14" s="251"/>
      <c r="AN14" s="251"/>
      <c r="AO14" s="251"/>
      <c r="AQ14" s="401">
        <v>38168</v>
      </c>
    </row>
    <row r="15" spans="1:43">
      <c r="A15" s="367">
        <v>38231</v>
      </c>
      <c r="B15" s="249" t="s">
        <v>369</v>
      </c>
      <c r="C15" s="250"/>
      <c r="D15" s="250"/>
      <c r="E15" s="250"/>
      <c r="F15" s="250"/>
      <c r="G15" s="250"/>
      <c r="H15" s="250"/>
      <c r="I15" s="250"/>
      <c r="J15" s="250"/>
      <c r="K15" s="250">
        <f>Operations!$V$77</f>
        <v>248</v>
      </c>
      <c r="L15" s="252">
        <f t="shared" si="0"/>
        <v>9.2511013215859084E-2</v>
      </c>
      <c r="M15" s="252"/>
      <c r="N15" s="253"/>
      <c r="O15" s="253"/>
      <c r="P15" s="253"/>
      <c r="Q15" s="250"/>
      <c r="R15" s="250">
        <v>703.33333333333337</v>
      </c>
      <c r="S15" s="252">
        <f t="shared" si="1"/>
        <v>0.15300546448087449</v>
      </c>
      <c r="T15" s="250">
        <v>546.66666666666663</v>
      </c>
      <c r="U15" s="252">
        <f t="shared" si="2"/>
        <v>5.12820512820511E-2</v>
      </c>
      <c r="V15" s="250"/>
      <c r="W15" s="252"/>
      <c r="X15" s="250"/>
      <c r="Y15" s="252"/>
      <c r="Z15" s="250">
        <v>558</v>
      </c>
      <c r="AA15" s="252">
        <f t="shared" si="3"/>
        <v>6.2182741116751261E-2</v>
      </c>
      <c r="AB15" s="250">
        <v>716.33333333333337</v>
      </c>
      <c r="AC15" s="252">
        <f t="shared" si="4"/>
        <v>0.15351583467525498</v>
      </c>
      <c r="AD15" s="250">
        <f>Operations!$V$72</f>
        <v>265.48333333333329</v>
      </c>
      <c r="AE15" s="250">
        <f>Operations!$V$73</f>
        <v>365.16594516594517</v>
      </c>
      <c r="AF15" s="250">
        <f>Operations!$V$74</f>
        <v>332.27068326118331</v>
      </c>
      <c r="AG15" s="252">
        <f t="shared" si="5"/>
        <v>0.41293470291328793</v>
      </c>
      <c r="AH15" s="252"/>
      <c r="AI15" s="252"/>
      <c r="AJ15" s="252"/>
      <c r="AK15" s="246"/>
      <c r="AL15" s="251"/>
      <c r="AM15" s="251"/>
      <c r="AN15" s="251"/>
      <c r="AO15" s="251"/>
      <c r="AQ15" s="401">
        <v>38260</v>
      </c>
    </row>
    <row r="16" spans="1:43">
      <c r="A16" s="367">
        <v>38322</v>
      </c>
      <c r="B16" s="249" t="s">
        <v>570</v>
      </c>
      <c r="C16" s="246"/>
      <c r="D16" s="246"/>
      <c r="E16" s="246"/>
      <c r="F16" s="246"/>
      <c r="G16" s="246"/>
      <c r="H16" s="246"/>
      <c r="I16" s="246"/>
      <c r="J16" s="246"/>
      <c r="K16" s="250">
        <f>Operations!$W$77</f>
        <v>278</v>
      </c>
      <c r="L16" s="252">
        <f t="shared" si="0"/>
        <v>0.12096774193548376</v>
      </c>
      <c r="M16" s="252"/>
      <c r="N16" s="253"/>
      <c r="O16" s="253"/>
      <c r="P16" s="253"/>
      <c r="Q16" s="250"/>
      <c r="R16" s="250">
        <v>658.33333333333337</v>
      </c>
      <c r="S16" s="252">
        <f t="shared" si="1"/>
        <v>-6.3981042654028486E-2</v>
      </c>
      <c r="T16" s="250">
        <v>520</v>
      </c>
      <c r="U16" s="252">
        <f t="shared" si="2"/>
        <v>-4.8780487804877981E-2</v>
      </c>
      <c r="V16" s="250"/>
      <c r="W16" s="252"/>
      <c r="X16" s="250"/>
      <c r="Y16" s="252"/>
      <c r="Z16" s="250">
        <v>578.66666666666663</v>
      </c>
      <c r="AA16" s="252">
        <f t="shared" si="3"/>
        <v>3.7037037037036979E-2</v>
      </c>
      <c r="AB16" s="250">
        <v>786.33333333333337</v>
      </c>
      <c r="AC16" s="252">
        <f t="shared" si="4"/>
        <v>9.7719869706840434E-2</v>
      </c>
      <c r="AD16" s="250">
        <f>Operations!$W$72</f>
        <v>287.01666666666671</v>
      </c>
      <c r="AE16" s="250">
        <f>Operations!$W$73</f>
        <v>411.3095238095238</v>
      </c>
      <c r="AF16" s="250">
        <f>Operations!$W$74</f>
        <v>370.29288095238098</v>
      </c>
      <c r="AG16" s="252">
        <f t="shared" si="5"/>
        <v>0.11443139466297758</v>
      </c>
      <c r="AH16" s="252"/>
      <c r="AI16" s="252"/>
      <c r="AJ16" s="252"/>
      <c r="AK16" s="246"/>
      <c r="AL16" s="246"/>
      <c r="AM16" s="246"/>
      <c r="AN16" s="251"/>
      <c r="AO16" s="251"/>
      <c r="AQ16" s="401">
        <v>38352</v>
      </c>
    </row>
    <row r="17" spans="1:43">
      <c r="A17" s="367">
        <v>38412</v>
      </c>
      <c r="B17" s="249" t="s">
        <v>571</v>
      </c>
      <c r="C17" s="250">
        <v>675</v>
      </c>
      <c r="D17" s="250"/>
      <c r="E17" s="250">
        <v>514</v>
      </c>
      <c r="F17" s="250"/>
      <c r="G17" s="250">
        <v>605</v>
      </c>
      <c r="H17" s="250"/>
      <c r="I17" s="250">
        <v>763</v>
      </c>
      <c r="J17" s="250"/>
      <c r="K17" s="250">
        <f>Operations!$Y$77</f>
        <v>272</v>
      </c>
      <c r="L17" s="252">
        <f t="shared" si="0"/>
        <v>-2.1582733812949617E-2</v>
      </c>
      <c r="M17" s="252"/>
      <c r="N17" s="253"/>
      <c r="O17" s="253"/>
      <c r="P17" s="253"/>
      <c r="Q17" s="250"/>
      <c r="R17" s="780">
        <v>631.66666666666663</v>
      </c>
      <c r="S17" s="252">
        <f t="shared" si="1"/>
        <v>-4.0506329113924155E-2</v>
      </c>
      <c r="T17" s="780">
        <v>483.33333333333331</v>
      </c>
      <c r="U17" s="252">
        <f t="shared" si="2"/>
        <v>-7.0512820512820595E-2</v>
      </c>
      <c r="V17" s="250"/>
      <c r="W17" s="252"/>
      <c r="X17" s="250"/>
      <c r="Y17" s="252"/>
      <c r="Z17" s="780">
        <v>583</v>
      </c>
      <c r="AA17" s="252">
        <f t="shared" si="3"/>
        <v>7.4884792626728203E-3</v>
      </c>
      <c r="AB17" s="780">
        <v>776.33333333333337</v>
      </c>
      <c r="AC17" s="252">
        <f t="shared" si="4"/>
        <v>-1.2717253073336154E-2</v>
      </c>
      <c r="AD17" s="250">
        <f>Operations!$Y$72</f>
        <v>246.37666666666667</v>
      </c>
      <c r="AE17" s="250">
        <f>Operations!$Y$73</f>
        <v>303.50324180015247</v>
      </c>
      <c r="AF17" s="250">
        <f>Operations!$Y$74</f>
        <v>284.65147200610215</v>
      </c>
      <c r="AG17" s="252">
        <f t="shared" si="5"/>
        <v>-0.23128019292731739</v>
      </c>
      <c r="AH17" s="252"/>
      <c r="AI17" s="252"/>
      <c r="AJ17" s="252"/>
      <c r="AK17" s="246"/>
      <c r="AL17" s="246"/>
      <c r="AM17" s="246"/>
      <c r="AN17" s="251"/>
      <c r="AO17" s="251"/>
      <c r="AQ17" s="401">
        <v>38442</v>
      </c>
    </row>
    <row r="18" spans="1:43">
      <c r="A18" s="367">
        <v>38504</v>
      </c>
      <c r="B18" s="249" t="s">
        <v>378</v>
      </c>
      <c r="C18" s="250">
        <v>609</v>
      </c>
      <c r="D18" s="252">
        <f t="shared" ref="D18:D57" si="6">C18/C17-1</f>
        <v>-9.7777777777777741E-2</v>
      </c>
      <c r="E18" s="250">
        <v>499</v>
      </c>
      <c r="F18" s="252">
        <f t="shared" ref="F18:F57" si="7">E18/E17-1</f>
        <v>-2.9182879377431914E-2</v>
      </c>
      <c r="G18" s="250">
        <v>574</v>
      </c>
      <c r="H18" s="252">
        <f t="shared" ref="H18:H57" si="8">G18/G17-1</f>
        <v>-5.123966942148761E-2</v>
      </c>
      <c r="I18" s="250">
        <v>708</v>
      </c>
      <c r="J18" s="252">
        <f t="shared" ref="J18:J57" si="9">I18/I17-1</f>
        <v>-7.2083879423328945E-2</v>
      </c>
      <c r="K18" s="250">
        <f>Operations!$Z$77</f>
        <v>246</v>
      </c>
      <c r="L18" s="252">
        <f t="shared" ref="L18:L40" si="10">K18/K17-1</f>
        <v>-9.5588235294117641E-2</v>
      </c>
      <c r="M18" s="256">
        <f t="shared" ref="M18:M29" si="11">C18-K18</f>
        <v>363</v>
      </c>
      <c r="N18" s="253"/>
      <c r="O18" s="253"/>
      <c r="P18" s="253"/>
      <c r="Q18" s="250"/>
      <c r="R18" s="780">
        <v>532.5</v>
      </c>
      <c r="S18" s="252">
        <f t="shared" si="1"/>
        <v>-0.15699208443271762</v>
      </c>
      <c r="T18" s="780">
        <v>480</v>
      </c>
      <c r="U18" s="252">
        <f t="shared" si="2"/>
        <v>-6.8965517241379448E-3</v>
      </c>
      <c r="V18" s="250"/>
      <c r="W18" s="252"/>
      <c r="X18" s="250"/>
      <c r="Y18" s="252"/>
      <c r="Z18" s="780">
        <v>583</v>
      </c>
      <c r="AA18" s="252">
        <f t="shared" si="3"/>
        <v>0</v>
      </c>
      <c r="AB18" s="780">
        <v>742</v>
      </c>
      <c r="AC18" s="252">
        <f t="shared" si="4"/>
        <v>-4.4224989265779335E-2</v>
      </c>
      <c r="AD18" s="250">
        <f>Operations!$Z$72</f>
        <v>203.84666666666666</v>
      </c>
      <c r="AE18" s="250">
        <f>Operations!$Z$73</f>
        <v>206.73881673881669</v>
      </c>
      <c r="AF18" s="250">
        <f>Operations!$Z$74</f>
        <v>205.78440721500721</v>
      </c>
      <c r="AG18" s="252">
        <f t="shared" si="5"/>
        <v>-0.27706536781725921</v>
      </c>
      <c r="AH18" s="252"/>
      <c r="AI18" s="252"/>
      <c r="AJ18" s="252"/>
      <c r="AK18" s="246"/>
      <c r="AL18" s="257"/>
      <c r="AM18" s="246"/>
      <c r="AN18" s="251"/>
      <c r="AO18" s="251"/>
      <c r="AQ18" s="401">
        <v>38533</v>
      </c>
    </row>
    <row r="19" spans="1:43">
      <c r="A19" s="367">
        <v>38596</v>
      </c>
      <c r="B19" s="249" t="s">
        <v>379</v>
      </c>
      <c r="C19" s="250">
        <v>523</v>
      </c>
      <c r="D19" s="252">
        <f t="shared" si="6"/>
        <v>-0.14121510673234816</v>
      </c>
      <c r="E19" s="250">
        <v>496</v>
      </c>
      <c r="F19" s="252">
        <f t="shared" si="7"/>
        <v>-6.0120240480961984E-3</v>
      </c>
      <c r="G19" s="250">
        <v>561</v>
      </c>
      <c r="H19" s="252">
        <f t="shared" si="8"/>
        <v>-2.2648083623693416E-2</v>
      </c>
      <c r="I19" s="250">
        <v>625</v>
      </c>
      <c r="J19" s="252">
        <f t="shared" si="9"/>
        <v>-0.11723163841807904</v>
      </c>
      <c r="K19" s="250">
        <f>Operations!$AA$77</f>
        <v>217</v>
      </c>
      <c r="L19" s="252">
        <f t="shared" si="10"/>
        <v>-0.11788617886178865</v>
      </c>
      <c r="M19" s="256">
        <f t="shared" si="11"/>
        <v>306</v>
      </c>
      <c r="N19" s="253"/>
      <c r="O19" s="253"/>
      <c r="P19" s="253"/>
      <c r="Q19" s="250"/>
      <c r="R19" s="780">
        <v>461.66666666666669</v>
      </c>
      <c r="S19" s="252">
        <f t="shared" si="1"/>
        <v>-0.13302034428794984</v>
      </c>
      <c r="T19" s="780">
        <v>473.33333333333331</v>
      </c>
      <c r="U19" s="252">
        <f t="shared" si="2"/>
        <v>-1.3888888888888951E-2</v>
      </c>
      <c r="V19" s="250"/>
      <c r="W19" s="252"/>
      <c r="X19" s="250"/>
      <c r="Y19" s="252"/>
      <c r="Z19" s="780">
        <v>540</v>
      </c>
      <c r="AA19" s="252">
        <f t="shared" si="3"/>
        <v>-7.3756432246998238E-2</v>
      </c>
      <c r="AB19" s="780">
        <v>690</v>
      </c>
      <c r="AC19" s="252">
        <f t="shared" si="4"/>
        <v>-7.0080862533692723E-2</v>
      </c>
      <c r="AD19" s="250">
        <f>Operations!$AA$72</f>
        <v>220.79666666666665</v>
      </c>
      <c r="AE19" s="250">
        <f>Operations!$AA$73</f>
        <v>223.92753623188403</v>
      </c>
      <c r="AF19" s="250">
        <f>Operations!$AA$74</f>
        <v>222.89434927536232</v>
      </c>
      <c r="AG19" s="252">
        <f t="shared" ref="AG19:AI36" si="12">AF19/AF18-1</f>
        <v>8.3144987960522831E-2</v>
      </c>
      <c r="AH19" s="252"/>
      <c r="AI19" s="252"/>
      <c r="AJ19" s="252"/>
      <c r="AK19" s="246"/>
      <c r="AL19" s="255"/>
      <c r="AM19" s="246"/>
      <c r="AN19" s="251"/>
      <c r="AO19" s="251"/>
      <c r="AQ19" s="401">
        <v>38625</v>
      </c>
    </row>
    <row r="20" spans="1:43">
      <c r="A20" s="367">
        <v>38687</v>
      </c>
      <c r="B20" s="249" t="s">
        <v>61</v>
      </c>
      <c r="C20" s="250">
        <v>583</v>
      </c>
      <c r="D20" s="252">
        <f t="shared" si="6"/>
        <v>0.1147227533460804</v>
      </c>
      <c r="E20" s="250">
        <v>542</v>
      </c>
      <c r="F20" s="252">
        <f t="shared" si="7"/>
        <v>9.2741935483870996E-2</v>
      </c>
      <c r="G20" s="250">
        <v>634</v>
      </c>
      <c r="H20" s="252">
        <f t="shared" si="8"/>
        <v>0.13012477718360071</v>
      </c>
      <c r="I20" s="250">
        <v>684</v>
      </c>
      <c r="J20" s="252">
        <f t="shared" si="9"/>
        <v>9.4400000000000039E-2</v>
      </c>
      <c r="K20" s="250">
        <f>Operations!$AB$77</f>
        <v>240</v>
      </c>
      <c r="L20" s="252">
        <f t="shared" si="10"/>
        <v>0.10599078341013835</v>
      </c>
      <c r="M20" s="256">
        <f t="shared" si="11"/>
        <v>343</v>
      </c>
      <c r="N20" s="253"/>
      <c r="O20" s="253"/>
      <c r="P20" s="253"/>
      <c r="Q20" s="250"/>
      <c r="R20" s="780">
        <v>550</v>
      </c>
      <c r="S20" s="252">
        <f t="shared" si="1"/>
        <v>0.19133574007220222</v>
      </c>
      <c r="T20" s="780">
        <v>506.66666666666669</v>
      </c>
      <c r="U20" s="252">
        <f t="shared" si="2"/>
        <v>7.0422535211267734E-2</v>
      </c>
      <c r="V20" s="250"/>
      <c r="W20" s="252"/>
      <c r="X20" s="250"/>
      <c r="Y20" s="252"/>
      <c r="Z20" s="780">
        <v>620</v>
      </c>
      <c r="AA20" s="252">
        <f t="shared" si="3"/>
        <v>0.14814814814814814</v>
      </c>
      <c r="AB20" s="780">
        <v>765</v>
      </c>
      <c r="AC20" s="252">
        <f t="shared" si="4"/>
        <v>0.10869565217391308</v>
      </c>
      <c r="AD20" s="250">
        <f>Operations!$AB$72</f>
        <v>246.94</v>
      </c>
      <c r="AE20" s="250">
        <f>Operations!$AB$73</f>
        <v>265.51587301587301</v>
      </c>
      <c r="AF20" s="250">
        <f>Operations!$AB$74</f>
        <v>259.38583492063492</v>
      </c>
      <c r="AG20" s="252">
        <f t="shared" si="12"/>
        <v>0.16371651306508106</v>
      </c>
      <c r="AH20" s="252"/>
      <c r="AI20" s="252"/>
      <c r="AJ20" s="252"/>
      <c r="AK20" s="246"/>
      <c r="AL20" s="255"/>
      <c r="AM20" s="246"/>
      <c r="AN20" s="251"/>
      <c r="AO20" s="251"/>
      <c r="AQ20" s="401">
        <v>38717</v>
      </c>
    </row>
    <row r="21" spans="1:43">
      <c r="A21" s="367">
        <v>38777</v>
      </c>
      <c r="B21" s="249" t="s">
        <v>236</v>
      </c>
      <c r="C21" s="250">
        <v>594</v>
      </c>
      <c r="D21" s="252">
        <f t="shared" si="6"/>
        <v>1.8867924528301883E-2</v>
      </c>
      <c r="E21" s="250">
        <v>543</v>
      </c>
      <c r="F21" s="252">
        <f t="shared" si="7"/>
        <v>1.8450184501845879E-3</v>
      </c>
      <c r="G21" s="250">
        <v>649</v>
      </c>
      <c r="H21" s="252">
        <f t="shared" si="8"/>
        <v>2.3659305993690927E-2</v>
      </c>
      <c r="I21" s="250">
        <v>698</v>
      </c>
      <c r="J21" s="252">
        <f t="shared" si="9"/>
        <v>2.0467836257309857E-2</v>
      </c>
      <c r="K21" s="250">
        <f>Operations!$AD$77</f>
        <v>237</v>
      </c>
      <c r="L21" s="252">
        <f t="shared" si="10"/>
        <v>-1.2499999999999956E-2</v>
      </c>
      <c r="M21" s="256">
        <f t="shared" si="11"/>
        <v>357</v>
      </c>
      <c r="N21" s="253"/>
      <c r="O21" s="253"/>
      <c r="P21" s="253"/>
      <c r="Q21" s="250"/>
      <c r="R21" s="780">
        <v>550</v>
      </c>
      <c r="S21" s="252">
        <f t="shared" si="1"/>
        <v>0</v>
      </c>
      <c r="T21" s="780">
        <v>500</v>
      </c>
      <c r="U21" s="252">
        <f t="shared" si="2"/>
        <v>-1.3157894736842146E-2</v>
      </c>
      <c r="V21" s="250"/>
      <c r="W21" s="252"/>
      <c r="X21" s="250"/>
      <c r="Y21" s="252"/>
      <c r="Z21" s="780">
        <v>620</v>
      </c>
      <c r="AA21" s="252">
        <f t="shared" si="3"/>
        <v>0</v>
      </c>
      <c r="AB21" s="780">
        <v>765</v>
      </c>
      <c r="AC21" s="252">
        <f t="shared" si="4"/>
        <v>0</v>
      </c>
      <c r="AD21" s="250">
        <f>Operations!$AD$72</f>
        <v>241.68333333333331</v>
      </c>
      <c r="AE21" s="250">
        <f>Operations!$AD$73</f>
        <v>265.21929824561403</v>
      </c>
      <c r="AF21" s="250">
        <f>Operations!$AD$74</f>
        <v>257.45242982456142</v>
      </c>
      <c r="AG21" s="252">
        <f t="shared" si="12"/>
        <v>-7.4537805684919967E-3</v>
      </c>
      <c r="AH21" s="252"/>
      <c r="AI21" s="252"/>
      <c r="AJ21" s="252"/>
      <c r="AK21" s="246"/>
      <c r="AL21" s="255"/>
      <c r="AM21" s="246"/>
      <c r="AN21" s="251"/>
      <c r="AO21" s="251"/>
      <c r="AQ21" s="401">
        <v>38807</v>
      </c>
    </row>
    <row r="22" spans="1:43">
      <c r="A22" s="367">
        <v>38869</v>
      </c>
      <c r="B22" s="249" t="s">
        <v>237</v>
      </c>
      <c r="C22" s="250">
        <v>625</v>
      </c>
      <c r="D22" s="252">
        <f t="shared" si="6"/>
        <v>5.2188552188552118E-2</v>
      </c>
      <c r="E22" s="250">
        <v>567</v>
      </c>
      <c r="F22" s="252">
        <f t="shared" si="7"/>
        <v>4.4198895027624419E-2</v>
      </c>
      <c r="G22" s="250">
        <v>667</v>
      </c>
      <c r="H22" s="252">
        <f t="shared" si="8"/>
        <v>2.7734976887519247E-2</v>
      </c>
      <c r="I22" s="250">
        <v>712</v>
      </c>
      <c r="J22" s="252">
        <f t="shared" si="9"/>
        <v>2.005730659025784E-2</v>
      </c>
      <c r="K22" s="250">
        <f>Operations!$AE$77</f>
        <v>247</v>
      </c>
      <c r="L22" s="252">
        <f t="shared" si="10"/>
        <v>4.2194092827004148E-2</v>
      </c>
      <c r="M22" s="256">
        <f t="shared" si="11"/>
        <v>378</v>
      </c>
      <c r="N22" s="253"/>
      <c r="O22" s="253"/>
      <c r="P22" s="253"/>
      <c r="Q22" s="250"/>
      <c r="R22" s="780">
        <v>591.66666666666663</v>
      </c>
      <c r="S22" s="252">
        <f t="shared" si="1"/>
        <v>7.575757575757569E-2</v>
      </c>
      <c r="T22" s="780">
        <v>516.66666666666663</v>
      </c>
      <c r="U22" s="252">
        <f t="shared" si="2"/>
        <v>3.3333333333333215E-2</v>
      </c>
      <c r="V22" s="250"/>
      <c r="W22" s="252"/>
      <c r="X22" s="250"/>
      <c r="Y22" s="252"/>
      <c r="Z22" s="780">
        <v>640.66666666666663</v>
      </c>
      <c r="AA22" s="252">
        <f t="shared" si="3"/>
        <v>3.3333333333333215E-2</v>
      </c>
      <c r="AB22" s="780">
        <v>776.66666666666663</v>
      </c>
      <c r="AC22" s="252">
        <f t="shared" si="4"/>
        <v>1.525054466230924E-2</v>
      </c>
      <c r="AD22" s="250">
        <f>Operations!$AE$72</f>
        <v>267.77999999999997</v>
      </c>
      <c r="AE22" s="250">
        <f>Operations!$AE$73</f>
        <v>315.45454545454544</v>
      </c>
      <c r="AF22" s="250">
        <f>Operations!$AE$74</f>
        <v>299.72194545454545</v>
      </c>
      <c r="AG22" s="252">
        <f t="shared" si="12"/>
        <v>0.16418378983172999</v>
      </c>
      <c r="AH22" s="252"/>
      <c r="AI22" s="252"/>
      <c r="AJ22" s="252"/>
      <c r="AK22" s="246"/>
      <c r="AL22" s="251"/>
      <c r="AM22" s="251"/>
      <c r="AN22" s="251"/>
      <c r="AO22" s="251"/>
      <c r="AQ22" s="401">
        <v>38898</v>
      </c>
    </row>
    <row r="23" spans="1:43">
      <c r="A23" s="367">
        <v>38961</v>
      </c>
      <c r="B23" s="249" t="s">
        <v>207</v>
      </c>
      <c r="C23" s="250">
        <v>673</v>
      </c>
      <c r="D23" s="252">
        <f t="shared" si="6"/>
        <v>7.6799999999999979E-2</v>
      </c>
      <c r="E23" s="250">
        <v>601</v>
      </c>
      <c r="F23" s="252">
        <f t="shared" si="7"/>
        <v>5.9964726631393406E-2</v>
      </c>
      <c r="G23" s="250">
        <v>703</v>
      </c>
      <c r="H23" s="252">
        <f t="shared" si="8"/>
        <v>5.3973013493253452E-2</v>
      </c>
      <c r="I23" s="250">
        <v>746</v>
      </c>
      <c r="J23" s="252">
        <f t="shared" si="9"/>
        <v>4.7752808988763995E-2</v>
      </c>
      <c r="K23" s="250">
        <f>Operations!$AF$77</f>
        <v>257</v>
      </c>
      <c r="L23" s="252">
        <f t="shared" si="10"/>
        <v>4.0485829959514108E-2</v>
      </c>
      <c r="M23" s="256">
        <f t="shared" si="11"/>
        <v>416</v>
      </c>
      <c r="N23" s="253"/>
      <c r="O23" s="253"/>
      <c r="P23" s="253"/>
      <c r="Q23" s="250"/>
      <c r="R23" s="780">
        <v>621.66666666666663</v>
      </c>
      <c r="S23" s="252">
        <f t="shared" si="1"/>
        <v>5.0704225352112609E-2</v>
      </c>
      <c r="T23" s="780">
        <v>550</v>
      </c>
      <c r="U23" s="252">
        <f t="shared" si="2"/>
        <v>6.4516129032258229E-2</v>
      </c>
      <c r="V23" s="250"/>
      <c r="W23" s="252"/>
      <c r="X23" s="250"/>
      <c r="Y23" s="252"/>
      <c r="Z23" s="780">
        <v>670</v>
      </c>
      <c r="AA23" s="252">
        <f t="shared" si="3"/>
        <v>4.57856399583767E-2</v>
      </c>
      <c r="AB23" s="780">
        <v>796.66666666666663</v>
      </c>
      <c r="AC23" s="252">
        <f t="shared" si="4"/>
        <v>2.5751072961373467E-2</v>
      </c>
      <c r="AD23" s="250">
        <f>Operations!$AF$72</f>
        <v>254.14666666666668</v>
      </c>
      <c r="AE23" s="250">
        <f>Operations!$AF$73</f>
        <v>298.47101449275362</v>
      </c>
      <c r="AF23" s="250">
        <f>Operations!$AF$74</f>
        <v>283.84397971014494</v>
      </c>
      <c r="AG23" s="252">
        <f t="shared" si="12"/>
        <v>-5.2975652884945323E-2</v>
      </c>
      <c r="AH23" s="252"/>
      <c r="AI23" s="252"/>
      <c r="AJ23" s="252"/>
      <c r="AK23" s="246"/>
      <c r="AL23" s="251"/>
      <c r="AM23" s="251"/>
      <c r="AN23" s="251"/>
      <c r="AO23" s="251"/>
      <c r="AQ23" s="401">
        <v>38990</v>
      </c>
    </row>
    <row r="24" spans="1:43">
      <c r="A24" s="367">
        <v>39052</v>
      </c>
      <c r="B24" s="249" t="s">
        <v>208</v>
      </c>
      <c r="C24" s="250">
        <v>624</v>
      </c>
      <c r="D24" s="252">
        <f t="shared" si="6"/>
        <v>-7.2808320950965788E-2</v>
      </c>
      <c r="E24" s="250">
        <v>576</v>
      </c>
      <c r="F24" s="252">
        <f t="shared" si="7"/>
        <v>-4.1597337770382659E-2</v>
      </c>
      <c r="G24" s="250">
        <v>727</v>
      </c>
      <c r="H24" s="252">
        <f t="shared" si="8"/>
        <v>3.4139402560455112E-2</v>
      </c>
      <c r="I24" s="250">
        <v>732</v>
      </c>
      <c r="J24" s="252">
        <f t="shared" si="9"/>
        <v>-1.8766756032171594E-2</v>
      </c>
      <c r="K24" s="250">
        <f>Operations!$AG$77</f>
        <v>243</v>
      </c>
      <c r="L24" s="252">
        <f t="shared" si="10"/>
        <v>-5.4474708171206254E-2</v>
      </c>
      <c r="M24" s="256">
        <f t="shared" si="11"/>
        <v>381</v>
      </c>
      <c r="N24" s="253"/>
      <c r="O24" s="253"/>
      <c r="P24" s="253"/>
      <c r="Q24" s="250"/>
      <c r="R24" s="780">
        <v>563.33333333333337</v>
      </c>
      <c r="S24" s="252">
        <f t="shared" si="1"/>
        <v>-9.3833780160857749E-2</v>
      </c>
      <c r="T24" s="780">
        <v>533.33333333333337</v>
      </c>
      <c r="U24" s="252">
        <f t="shared" si="2"/>
        <v>-3.0303030303030276E-2</v>
      </c>
      <c r="V24" s="250"/>
      <c r="W24" s="252"/>
      <c r="X24" s="250"/>
      <c r="Y24" s="252"/>
      <c r="Z24" s="780">
        <v>670</v>
      </c>
      <c r="AA24" s="252">
        <f t="shared" si="3"/>
        <v>0</v>
      </c>
      <c r="AB24" s="780">
        <v>790</v>
      </c>
      <c r="AC24" s="252">
        <f t="shared" si="4"/>
        <v>-8.3682008368199945E-3</v>
      </c>
      <c r="AD24" s="250">
        <f>Operations!$AG$72</f>
        <v>228.62</v>
      </c>
      <c r="AE24" s="250">
        <f>Operations!$AG$73</f>
        <v>231.23333333333335</v>
      </c>
      <c r="AF24" s="250">
        <f>Operations!$AG$74</f>
        <v>230.37093333333337</v>
      </c>
      <c r="AG24" s="252">
        <f t="shared" si="12"/>
        <v>-0.18838886923519405</v>
      </c>
      <c r="AH24" s="252"/>
      <c r="AI24" s="252"/>
      <c r="AJ24" s="252"/>
      <c r="AK24" s="246"/>
      <c r="AL24" s="251"/>
      <c r="AM24" s="251"/>
      <c r="AN24" s="251"/>
      <c r="AO24" s="251"/>
      <c r="AQ24" s="401">
        <v>39082</v>
      </c>
    </row>
    <row r="25" spans="1:43">
      <c r="A25" s="367">
        <v>39142</v>
      </c>
      <c r="B25" s="249" t="s">
        <v>477</v>
      </c>
      <c r="C25" s="250">
        <v>596</v>
      </c>
      <c r="D25" s="252">
        <f t="shared" si="6"/>
        <v>-4.4871794871794823E-2</v>
      </c>
      <c r="E25" s="250">
        <v>585</v>
      </c>
      <c r="F25" s="252">
        <f t="shared" si="7"/>
        <v>1.5625E-2</v>
      </c>
      <c r="G25" s="250">
        <v>754</v>
      </c>
      <c r="H25" s="252">
        <f t="shared" si="8"/>
        <v>3.7138927097661645E-2</v>
      </c>
      <c r="I25" s="250">
        <v>685</v>
      </c>
      <c r="J25" s="252">
        <f t="shared" si="9"/>
        <v>-6.4207650273224059E-2</v>
      </c>
      <c r="K25" s="250">
        <f>Operations!$AI$77</f>
        <v>259</v>
      </c>
      <c r="L25" s="252">
        <f t="shared" si="10"/>
        <v>6.5843621399176877E-2</v>
      </c>
      <c r="M25" s="256">
        <f t="shared" si="11"/>
        <v>337</v>
      </c>
      <c r="N25" s="253"/>
      <c r="O25" s="253"/>
      <c r="P25" s="253"/>
      <c r="Q25" s="250"/>
      <c r="R25" s="780">
        <v>518.33333333333337</v>
      </c>
      <c r="S25" s="252">
        <f t="shared" si="1"/>
        <v>-7.9881656804733692E-2</v>
      </c>
      <c r="T25" s="780">
        <v>535</v>
      </c>
      <c r="U25" s="252">
        <f t="shared" si="2"/>
        <v>3.1249999999998224E-3</v>
      </c>
      <c r="V25" s="780">
        <v>774.8</v>
      </c>
      <c r="W25" s="252"/>
      <c r="X25" s="250"/>
      <c r="Y25" s="252"/>
      <c r="Z25" s="780">
        <v>695</v>
      </c>
      <c r="AA25" s="252">
        <f t="shared" si="3"/>
        <v>3.7313432835820892E-2</v>
      </c>
      <c r="AB25" s="780">
        <v>760</v>
      </c>
      <c r="AC25" s="252">
        <f t="shared" si="4"/>
        <v>-3.7974683544303778E-2</v>
      </c>
      <c r="AD25" s="250">
        <f>Operations!$AI$72</f>
        <v>299.89</v>
      </c>
      <c r="AE25" s="250">
        <f>Operations!$AI$73</f>
        <v>301.20105820105817</v>
      </c>
      <c r="AF25" s="250">
        <f>Operations!$AI$74</f>
        <v>300.76840899470898</v>
      </c>
      <c r="AG25" s="252">
        <f t="shared" si="12"/>
        <v>0.3055831508027731</v>
      </c>
      <c r="AH25" s="252"/>
      <c r="AI25" s="252"/>
      <c r="AJ25" s="252"/>
      <c r="AK25" s="246"/>
      <c r="AL25" s="246"/>
      <c r="AM25" s="251"/>
      <c r="AN25" s="251"/>
      <c r="AO25" s="251"/>
      <c r="AQ25" s="401">
        <v>39172</v>
      </c>
    </row>
    <row r="26" spans="1:43">
      <c r="A26" s="367">
        <v>39234</v>
      </c>
      <c r="B26" s="249" t="s">
        <v>473</v>
      </c>
      <c r="C26" s="250">
        <f>Operations!$AJ$18</f>
        <v>630</v>
      </c>
      <c r="D26" s="252">
        <f t="shared" si="6"/>
        <v>5.7046979865771785E-2</v>
      </c>
      <c r="E26" s="250">
        <f>Operations!$AJ$19</f>
        <v>650</v>
      </c>
      <c r="F26" s="252">
        <f t="shared" si="7"/>
        <v>0.11111111111111116</v>
      </c>
      <c r="G26" s="250">
        <f>Operations!$AJ$20</f>
        <v>825</v>
      </c>
      <c r="H26" s="252">
        <f t="shared" si="8"/>
        <v>9.4164456233421845E-2</v>
      </c>
      <c r="I26" s="250">
        <f>Operations!$AJ$21</f>
        <v>741</v>
      </c>
      <c r="J26" s="252">
        <f t="shared" si="9"/>
        <v>8.1751824817518193E-2</v>
      </c>
      <c r="K26" s="250">
        <f>Operations!$AJ$77</f>
        <v>291</v>
      </c>
      <c r="L26" s="252">
        <f t="shared" si="10"/>
        <v>0.12355212355212353</v>
      </c>
      <c r="M26" s="256">
        <f t="shared" si="11"/>
        <v>339</v>
      </c>
      <c r="N26" s="253"/>
      <c r="O26" s="253"/>
      <c r="P26" s="253"/>
      <c r="Q26" s="250"/>
      <c r="R26" s="250">
        <f>Operations!$AJ$6</f>
        <v>553.33333333333337</v>
      </c>
      <c r="S26" s="252">
        <f t="shared" si="1"/>
        <v>6.7524115755627001E-2</v>
      </c>
      <c r="T26" s="250">
        <f>Operations!$AJ$8</f>
        <v>645.06666666666672</v>
      </c>
      <c r="U26" s="252">
        <f t="shared" si="2"/>
        <v>0.20573208722741443</v>
      </c>
      <c r="V26" s="780">
        <v>700</v>
      </c>
      <c r="W26" s="252">
        <f t="shared" ref="W26:W35" si="13">V26/V25-1</f>
        <v>-9.6541042849767611E-2</v>
      </c>
      <c r="X26" s="250"/>
      <c r="Y26" s="252"/>
      <c r="Z26" s="250">
        <f>Operations!$AJ$11</f>
        <v>770</v>
      </c>
      <c r="AA26" s="252">
        <f t="shared" si="3"/>
        <v>0.1079136690647482</v>
      </c>
      <c r="AB26" s="250">
        <f>Operations!$AJ$12</f>
        <v>800</v>
      </c>
      <c r="AC26" s="252">
        <f t="shared" si="4"/>
        <v>5.2631578947368363E-2</v>
      </c>
      <c r="AD26" s="250">
        <f>Operations!$AJ$72</f>
        <v>286.15333333333336</v>
      </c>
      <c r="AE26" s="250">
        <f>Operations!$AJ$73</f>
        <v>310.33</v>
      </c>
      <c r="AF26" s="250">
        <f>Operations!$AJ$74</f>
        <v>302.35169999999999</v>
      </c>
      <c r="AG26" s="252">
        <f t="shared" si="12"/>
        <v>5.2641532752160103E-3</v>
      </c>
      <c r="AH26" s="252"/>
      <c r="AI26" s="252"/>
      <c r="AJ26" s="252"/>
      <c r="AK26" s="246"/>
      <c r="AL26" s="246"/>
      <c r="AM26" s="246"/>
      <c r="AN26" s="246"/>
      <c r="AO26" s="251"/>
      <c r="AQ26" s="401">
        <v>39263</v>
      </c>
    </row>
    <row r="27" spans="1:43">
      <c r="A27" s="367">
        <v>39326</v>
      </c>
      <c r="B27" s="249" t="s">
        <v>474</v>
      </c>
      <c r="C27" s="250">
        <f>Operations!$AK$18</f>
        <v>602</v>
      </c>
      <c r="D27" s="252">
        <f t="shared" si="6"/>
        <v>-4.4444444444444398E-2</v>
      </c>
      <c r="E27" s="250">
        <f>Operations!$AK$19</f>
        <v>631</v>
      </c>
      <c r="F27" s="252">
        <f t="shared" si="7"/>
        <v>-2.9230769230769282E-2</v>
      </c>
      <c r="G27" s="250">
        <f>Operations!$AK$20</f>
        <v>839</v>
      </c>
      <c r="H27" s="252">
        <f t="shared" si="8"/>
        <v>1.6969696969697079E-2</v>
      </c>
      <c r="I27" s="250">
        <f>Operations!$AK$21</f>
        <v>724</v>
      </c>
      <c r="J27" s="252">
        <f t="shared" si="9"/>
        <v>-2.2941970310391357E-2</v>
      </c>
      <c r="K27" s="250">
        <f>Operations!$AK$77</f>
        <v>277</v>
      </c>
      <c r="L27" s="252">
        <f t="shared" si="10"/>
        <v>-4.8109965635738883E-2</v>
      </c>
      <c r="M27" s="256">
        <f t="shared" si="11"/>
        <v>325</v>
      </c>
      <c r="N27" s="253"/>
      <c r="O27" s="253"/>
      <c r="P27" s="253"/>
      <c r="Q27" s="250"/>
      <c r="R27" s="250">
        <f>Operations!$AK$6</f>
        <v>516.66666666666663</v>
      </c>
      <c r="S27" s="252">
        <f t="shared" si="1"/>
        <v>-6.6265060240964013E-2</v>
      </c>
      <c r="T27" s="250">
        <f>Operations!$AK$8</f>
        <v>601.4666666666667</v>
      </c>
      <c r="U27" s="252">
        <f t="shared" si="2"/>
        <v>-6.7589913187267481E-2</v>
      </c>
      <c r="V27" s="780">
        <v>702.8</v>
      </c>
      <c r="W27" s="252">
        <f t="shared" si="13"/>
        <v>4.0000000000000036E-3</v>
      </c>
      <c r="X27" s="250"/>
      <c r="Y27" s="252"/>
      <c r="Z27" s="250">
        <f>Operations!$AK$11</f>
        <v>770</v>
      </c>
      <c r="AA27" s="252">
        <f t="shared" si="3"/>
        <v>0</v>
      </c>
      <c r="AB27" s="250">
        <f>Operations!$AK$12</f>
        <v>790</v>
      </c>
      <c r="AC27" s="252">
        <f t="shared" si="4"/>
        <v>-1.2499999999999956E-2</v>
      </c>
      <c r="AD27" s="250">
        <f>Operations!$AK$72</f>
        <v>278.87</v>
      </c>
      <c r="AE27" s="250">
        <f>Operations!$AK$73</f>
        <v>312.79333333333335</v>
      </c>
      <c r="AF27" s="250">
        <f>Operations!$AK$74</f>
        <v>301.59863333333334</v>
      </c>
      <c r="AG27" s="252">
        <f t="shared" si="12"/>
        <v>-2.4906976433956007E-3</v>
      </c>
      <c r="AH27" s="252"/>
      <c r="AI27" s="252"/>
      <c r="AJ27" s="252"/>
      <c r="AK27" s="246"/>
      <c r="AL27" s="246"/>
      <c r="AM27" s="246"/>
      <c r="AN27" s="246"/>
      <c r="AO27" s="251"/>
      <c r="AQ27" s="401">
        <v>39355</v>
      </c>
    </row>
    <row r="28" spans="1:43">
      <c r="A28" s="367">
        <v>39417</v>
      </c>
      <c r="B28" s="249" t="s">
        <v>487</v>
      </c>
      <c r="C28" s="250">
        <f>Operations!$AL$18</f>
        <v>606</v>
      </c>
      <c r="D28" s="252">
        <f t="shared" si="6"/>
        <v>6.6445182724252927E-3</v>
      </c>
      <c r="E28" s="250">
        <f>Operations!$AL$19</f>
        <v>627</v>
      </c>
      <c r="F28" s="252">
        <f t="shared" si="7"/>
        <v>-6.3391442155309452E-3</v>
      </c>
      <c r="G28" s="250">
        <f>Operations!$AL$20</f>
        <v>867</v>
      </c>
      <c r="H28" s="252">
        <f t="shared" si="8"/>
        <v>3.3373063170440975E-2</v>
      </c>
      <c r="I28" s="250">
        <f>Operations!$AL$21</f>
        <v>715</v>
      </c>
      <c r="J28" s="252">
        <f t="shared" si="9"/>
        <v>-1.2430939226519389E-2</v>
      </c>
      <c r="K28" s="250">
        <f>Operations!$AL$77</f>
        <v>285</v>
      </c>
      <c r="L28" s="252">
        <f t="shared" si="10"/>
        <v>2.8880866425992746E-2</v>
      </c>
      <c r="M28" s="256">
        <f t="shared" si="11"/>
        <v>321</v>
      </c>
      <c r="N28" s="253"/>
      <c r="O28" s="253"/>
      <c r="P28" s="253"/>
      <c r="Q28" s="250"/>
      <c r="R28" s="250">
        <f>Operations!$AL$6</f>
        <v>535</v>
      </c>
      <c r="S28" s="252">
        <f t="shared" si="1"/>
        <v>3.5483870967742082E-2</v>
      </c>
      <c r="T28" s="250">
        <f>Operations!$AL$8</f>
        <v>575.4666666666667</v>
      </c>
      <c r="U28" s="252">
        <f t="shared" si="2"/>
        <v>-4.3227665706051854E-2</v>
      </c>
      <c r="V28" s="780">
        <v>711</v>
      </c>
      <c r="W28" s="252">
        <f t="shared" si="13"/>
        <v>1.1667615253272645E-2</v>
      </c>
      <c r="X28" s="250"/>
      <c r="Y28" s="252"/>
      <c r="Z28" s="250">
        <f>Operations!$AL$11</f>
        <v>787</v>
      </c>
      <c r="AA28" s="252">
        <f t="shared" si="3"/>
        <v>2.2077922077922141E-2</v>
      </c>
      <c r="AB28" s="250">
        <f>Operations!$AL$12</f>
        <v>790</v>
      </c>
      <c r="AC28" s="252">
        <f t="shared" si="4"/>
        <v>0</v>
      </c>
      <c r="AD28" s="250">
        <f>Operations!$AL$72</f>
        <v>295.40000000000003</v>
      </c>
      <c r="AE28" s="250">
        <f>Operations!$AL$73</f>
        <v>320.09333333333331</v>
      </c>
      <c r="AF28" s="250">
        <f>Operations!$AL$74</f>
        <v>311.94453333333337</v>
      </c>
      <c r="AG28" s="252">
        <f t="shared" si="12"/>
        <v>3.4303537405507845E-2</v>
      </c>
      <c r="AH28" s="252"/>
      <c r="AI28" s="252"/>
      <c r="AJ28" s="252"/>
      <c r="AK28" s="246"/>
      <c r="AL28" s="246"/>
      <c r="AM28" s="246"/>
      <c r="AN28" s="246"/>
      <c r="AO28" s="251"/>
      <c r="AQ28" s="401">
        <v>39447</v>
      </c>
    </row>
    <row r="29" spans="1:43">
      <c r="A29" s="367">
        <v>39508</v>
      </c>
      <c r="B29" s="249" t="s">
        <v>488</v>
      </c>
      <c r="C29" s="250">
        <f>Operations!$AN$18</f>
        <v>660</v>
      </c>
      <c r="D29" s="252">
        <f t="shared" si="6"/>
        <v>8.9108910891089188E-2</v>
      </c>
      <c r="E29" s="250">
        <f>Operations!$AN$19</f>
        <v>696</v>
      </c>
      <c r="F29" s="252">
        <f t="shared" si="7"/>
        <v>0.11004784688995217</v>
      </c>
      <c r="G29" s="250">
        <f>Operations!$AN$20</f>
        <v>930</v>
      </c>
      <c r="H29" s="252">
        <f t="shared" si="8"/>
        <v>7.2664359861591699E-2</v>
      </c>
      <c r="I29" s="250">
        <f>Operations!$AN$21</f>
        <v>751</v>
      </c>
      <c r="J29" s="252">
        <f t="shared" si="9"/>
        <v>5.0349650349650332E-2</v>
      </c>
      <c r="K29" s="250">
        <f>Operations!$AN$77</f>
        <v>333</v>
      </c>
      <c r="L29" s="252">
        <f t="shared" si="10"/>
        <v>0.16842105263157903</v>
      </c>
      <c r="M29" s="256">
        <f t="shared" si="11"/>
        <v>327</v>
      </c>
      <c r="N29" s="253"/>
      <c r="O29" s="253"/>
      <c r="P29" s="253"/>
      <c r="Q29" s="250"/>
      <c r="R29" s="250">
        <f>Operations!$AN$6</f>
        <v>691.66666666666663</v>
      </c>
      <c r="S29" s="252">
        <f t="shared" si="1"/>
        <v>0.29283489096573212</v>
      </c>
      <c r="T29" s="250">
        <f>Operations!$AN$8</f>
        <v>652.66666666666663</v>
      </c>
      <c r="U29" s="252">
        <f t="shared" si="2"/>
        <v>0.1341519925857273</v>
      </c>
      <c r="V29" s="780">
        <v>766.6</v>
      </c>
      <c r="W29" s="252">
        <f t="shared" si="13"/>
        <v>7.8199718706047916E-2</v>
      </c>
      <c r="X29" s="250"/>
      <c r="Y29" s="252"/>
      <c r="Z29" s="250">
        <f>Operations!$AN$11</f>
        <v>855.33333333333337</v>
      </c>
      <c r="AA29" s="252">
        <f t="shared" si="3"/>
        <v>8.682761541719608E-2</v>
      </c>
      <c r="AB29" s="250">
        <f>Operations!$AN$12</f>
        <v>910</v>
      </c>
      <c r="AC29" s="252">
        <f t="shared" si="4"/>
        <v>0.15189873417721511</v>
      </c>
      <c r="AD29" s="250">
        <f>Operations!$AN$72</f>
        <v>392.53999999999996</v>
      </c>
      <c r="AE29" s="250">
        <f>Operations!$AN$73</f>
        <v>414.93666666666667</v>
      </c>
      <c r="AF29" s="250">
        <f>Operations!$AN$74</f>
        <v>407.54576666666662</v>
      </c>
      <c r="AG29" s="252">
        <f t="shared" si="12"/>
        <v>0.3064686927248601</v>
      </c>
      <c r="AH29" s="252"/>
      <c r="AI29" s="252"/>
      <c r="AJ29" s="252"/>
      <c r="AK29" s="246"/>
      <c r="AL29" s="246"/>
      <c r="AM29" s="246"/>
      <c r="AN29" s="246"/>
      <c r="AO29" s="251"/>
      <c r="AQ29" s="401">
        <v>39538</v>
      </c>
    </row>
    <row r="30" spans="1:43">
      <c r="A30" s="367">
        <v>39600</v>
      </c>
      <c r="B30" s="249" t="s">
        <v>489</v>
      </c>
      <c r="C30" s="250">
        <f>Operations!$AO$18</f>
        <v>872</v>
      </c>
      <c r="D30" s="252">
        <f t="shared" si="6"/>
        <v>0.32121212121212128</v>
      </c>
      <c r="E30" s="250">
        <f>Operations!$AO$19</f>
        <v>862</v>
      </c>
      <c r="F30" s="252">
        <f t="shared" si="7"/>
        <v>0.23850574712643668</v>
      </c>
      <c r="G30" s="250">
        <f>Operations!$AO$20</f>
        <v>1041</v>
      </c>
      <c r="H30" s="252">
        <f t="shared" si="8"/>
        <v>0.11935483870967745</v>
      </c>
      <c r="I30" s="250">
        <f>Operations!$AO$21</f>
        <v>974</v>
      </c>
      <c r="J30" s="252">
        <f t="shared" si="9"/>
        <v>0.29693741677762975</v>
      </c>
      <c r="K30" s="250">
        <f>Operations!$AO$77</f>
        <v>456</v>
      </c>
      <c r="L30" s="252">
        <f t="shared" si="10"/>
        <v>0.36936936936936937</v>
      </c>
      <c r="M30" s="256">
        <f t="shared" ref="M30:M40" si="14">C30-K30</f>
        <v>416</v>
      </c>
      <c r="N30" s="253"/>
      <c r="O30" s="253"/>
      <c r="P30" s="253"/>
      <c r="Q30" s="250"/>
      <c r="R30" s="250">
        <f>Operations!$AO$6</f>
        <v>976.66666666666663</v>
      </c>
      <c r="S30" s="252">
        <f t="shared" si="1"/>
        <v>0.4120481927710844</v>
      </c>
      <c r="T30" s="250">
        <f>Operations!$AO$8</f>
        <v>848.13333333333333</v>
      </c>
      <c r="U30" s="252">
        <f t="shared" si="2"/>
        <v>0.29948927477017362</v>
      </c>
      <c r="V30" s="780">
        <v>963.33333333333337</v>
      </c>
      <c r="W30" s="252">
        <f t="shared" si="13"/>
        <v>0.25663101139229494</v>
      </c>
      <c r="X30" s="250"/>
      <c r="Y30" s="252"/>
      <c r="Z30" s="250">
        <f>Operations!$AO$11</f>
        <v>987</v>
      </c>
      <c r="AA30" s="252">
        <f t="shared" si="3"/>
        <v>0.15393608729540142</v>
      </c>
      <c r="AB30" s="250">
        <f>Operations!$AO$12</f>
        <v>1235</v>
      </c>
      <c r="AC30" s="252">
        <f t="shared" si="4"/>
        <v>0.35714285714285721</v>
      </c>
      <c r="AD30" s="250">
        <f>Operations!$AO$72</f>
        <v>547.20666666666682</v>
      </c>
      <c r="AE30" s="250">
        <f>Operations!$AO$73</f>
        <v>682.81333333333339</v>
      </c>
      <c r="AF30" s="250">
        <f>Operations!$AO$74</f>
        <v>638.06313333333344</v>
      </c>
      <c r="AG30" s="252">
        <f t="shared" si="12"/>
        <v>0.56562326374305827</v>
      </c>
      <c r="AH30" s="252"/>
      <c r="AI30" s="252"/>
      <c r="AJ30" s="252"/>
      <c r="AK30" s="246"/>
      <c r="AL30" s="246"/>
      <c r="AM30" s="246"/>
      <c r="AN30" s="246"/>
      <c r="AO30" s="251"/>
      <c r="AQ30" s="401">
        <v>39629</v>
      </c>
    </row>
    <row r="31" spans="1:43">
      <c r="A31" s="367">
        <v>39692</v>
      </c>
      <c r="B31" s="249" t="s">
        <v>524</v>
      </c>
      <c r="C31" s="250">
        <f>Operations!$AP$18</f>
        <v>1090</v>
      </c>
      <c r="D31" s="252">
        <f t="shared" si="6"/>
        <v>0.25</v>
      </c>
      <c r="E31" s="250">
        <f>Operations!$AP$19</f>
        <v>1011</v>
      </c>
      <c r="F31" s="252">
        <f t="shared" si="7"/>
        <v>0.17285382830626461</v>
      </c>
      <c r="G31" s="250">
        <f>Operations!$AP$20</f>
        <v>1153</v>
      </c>
      <c r="H31" s="252">
        <f t="shared" si="8"/>
        <v>0.10758885686839581</v>
      </c>
      <c r="I31" s="250">
        <f>Operations!$AP$21</f>
        <v>1289</v>
      </c>
      <c r="J31" s="252">
        <f t="shared" si="9"/>
        <v>0.3234086242299794</v>
      </c>
      <c r="K31" s="250">
        <f>Operations!$AP$77</f>
        <v>533</v>
      </c>
      <c r="L31" s="252">
        <f t="shared" si="10"/>
        <v>0.16885964912280693</v>
      </c>
      <c r="M31" s="256">
        <f t="shared" si="14"/>
        <v>557</v>
      </c>
      <c r="N31" s="253"/>
      <c r="O31" s="253"/>
      <c r="P31" s="253"/>
      <c r="Q31" s="250"/>
      <c r="R31" s="250">
        <f>Operations!$AP$6</f>
        <v>1051.6666666666667</v>
      </c>
      <c r="S31" s="252">
        <f t="shared" si="1"/>
        <v>7.679180887372028E-2</v>
      </c>
      <c r="T31" s="250">
        <f>Operations!$AP$8</f>
        <v>1007.4666666666667</v>
      </c>
      <c r="U31" s="252">
        <f t="shared" si="2"/>
        <v>0.18786354346800826</v>
      </c>
      <c r="V31" s="780">
        <v>1240</v>
      </c>
      <c r="W31" s="252">
        <f t="shared" si="13"/>
        <v>0.28719723183390999</v>
      </c>
      <c r="X31" s="250"/>
      <c r="Y31" s="252"/>
      <c r="Z31" s="250">
        <f>Operations!$AP$11</f>
        <v>1133</v>
      </c>
      <c r="AA31" s="252">
        <f t="shared" si="3"/>
        <v>0.1479229989868287</v>
      </c>
      <c r="AB31" s="250">
        <f>Operations!$AP$12</f>
        <v>1443.3333333333333</v>
      </c>
      <c r="AC31" s="252">
        <f t="shared" si="4"/>
        <v>0.1686909581646423</v>
      </c>
      <c r="AD31" s="250">
        <f>Operations!$AP$72</f>
        <v>513.71333333333337</v>
      </c>
      <c r="AE31" s="250">
        <f>Operations!$AP$73</f>
        <v>773.15666666666675</v>
      </c>
      <c r="AF31" s="250">
        <f>Operations!$AP$74</f>
        <v>687.54036666666673</v>
      </c>
      <c r="AG31" s="252">
        <f t="shared" si="12"/>
        <v>7.7542849208129372E-2</v>
      </c>
      <c r="AH31" s="252"/>
      <c r="AI31" s="252"/>
      <c r="AJ31" s="252"/>
      <c r="AK31" s="246"/>
      <c r="AL31" s="246"/>
      <c r="AM31" s="246"/>
      <c r="AN31" s="246"/>
      <c r="AO31" s="251"/>
      <c r="AQ31" s="401">
        <v>39721</v>
      </c>
    </row>
    <row r="32" spans="1:43">
      <c r="A32" s="367">
        <v>39783</v>
      </c>
      <c r="B32" s="249" t="s">
        <v>525</v>
      </c>
      <c r="C32" s="250">
        <f>Operations!$AQ$18</f>
        <v>854</v>
      </c>
      <c r="D32" s="252">
        <f t="shared" si="6"/>
        <v>-0.21651376146788992</v>
      </c>
      <c r="E32" s="250">
        <f>Operations!$AQ$19</f>
        <v>758</v>
      </c>
      <c r="F32" s="252">
        <f t="shared" si="7"/>
        <v>-0.25024727992087048</v>
      </c>
      <c r="G32" s="250">
        <f>Operations!$AQ$20</f>
        <v>1109</v>
      </c>
      <c r="H32" s="252">
        <f t="shared" si="8"/>
        <v>-3.8161318300086733E-2</v>
      </c>
      <c r="I32" s="250">
        <f>Operations!$AQ$21</f>
        <v>1096</v>
      </c>
      <c r="J32" s="252">
        <f t="shared" si="9"/>
        <v>-0.14972847168347558</v>
      </c>
      <c r="K32" s="250">
        <f>Operations!$AQ$77</f>
        <v>435</v>
      </c>
      <c r="L32" s="252">
        <f t="shared" si="10"/>
        <v>-0.18386491557223261</v>
      </c>
      <c r="M32" s="256">
        <f t="shared" si="14"/>
        <v>419</v>
      </c>
      <c r="N32" s="253"/>
      <c r="O32" s="253"/>
      <c r="P32" s="253"/>
      <c r="Q32" s="250"/>
      <c r="R32" s="250">
        <f>Operations!$AQ$6</f>
        <v>714</v>
      </c>
      <c r="S32" s="252">
        <f t="shared" si="1"/>
        <v>-0.32107765451664028</v>
      </c>
      <c r="T32" s="250">
        <f>Operations!$AQ$8</f>
        <v>766.73333333333323</v>
      </c>
      <c r="U32" s="252">
        <f t="shared" si="2"/>
        <v>-0.23894917946003191</v>
      </c>
      <c r="V32" s="780">
        <v>1055.0666666666666</v>
      </c>
      <c r="W32" s="252">
        <f t="shared" si="13"/>
        <v>-0.14913978494623659</v>
      </c>
      <c r="X32" s="250"/>
      <c r="Y32" s="252"/>
      <c r="Z32" s="250">
        <f>Operations!$AQ$11</f>
        <v>991.66666666666663</v>
      </c>
      <c r="AA32" s="252">
        <f t="shared" si="3"/>
        <v>-0.12474257134451316</v>
      </c>
      <c r="AB32" s="250">
        <f>Operations!$AQ$12</f>
        <v>1130</v>
      </c>
      <c r="AC32" s="252">
        <f t="shared" si="4"/>
        <v>-0.2170900692840646</v>
      </c>
      <c r="AD32" s="250">
        <f>Operations!$AQ$72</f>
        <v>193.66333333333333</v>
      </c>
      <c r="AE32" s="250">
        <f>Operations!$AQ$73</f>
        <v>218.44666666666663</v>
      </c>
      <c r="AF32" s="250">
        <f>Operations!$AQ$74</f>
        <v>210.26816666666667</v>
      </c>
      <c r="AG32" s="252">
        <f t="shared" si="12"/>
        <v>-0.694173350597451</v>
      </c>
      <c r="AH32" s="252"/>
      <c r="AI32" s="252"/>
      <c r="AJ32" s="669"/>
      <c r="AK32" s="246"/>
      <c r="AL32" s="246"/>
      <c r="AM32" s="246"/>
      <c r="AN32" s="246"/>
      <c r="AO32" s="251"/>
      <c r="AQ32" s="401">
        <v>39813</v>
      </c>
    </row>
    <row r="33" spans="1:43">
      <c r="A33" s="367">
        <v>39873</v>
      </c>
      <c r="B33" s="249" t="s">
        <v>526</v>
      </c>
      <c r="C33" s="250">
        <f>Operations!$AS$18</f>
        <v>610</v>
      </c>
      <c r="D33" s="252">
        <f t="shared" si="6"/>
        <v>-0.2857142857142857</v>
      </c>
      <c r="E33" s="250">
        <f>Operations!$AS$19</f>
        <v>633</v>
      </c>
      <c r="F33" s="252">
        <f t="shared" si="7"/>
        <v>-0.16490765171503963</v>
      </c>
      <c r="G33" s="250">
        <f>Operations!$AS$20</f>
        <v>967</v>
      </c>
      <c r="H33" s="252">
        <f t="shared" si="8"/>
        <v>-0.12804328223624883</v>
      </c>
      <c r="I33" s="250">
        <f>Operations!$AS$21</f>
        <v>714</v>
      </c>
      <c r="J33" s="252">
        <f t="shared" si="9"/>
        <v>-0.34854014598540151</v>
      </c>
      <c r="K33" s="250">
        <f>Operations!$AS$77</f>
        <v>333</v>
      </c>
      <c r="L33" s="252">
        <f t="shared" si="10"/>
        <v>-0.23448275862068968</v>
      </c>
      <c r="M33" s="256">
        <f t="shared" si="14"/>
        <v>277</v>
      </c>
      <c r="N33" s="253"/>
      <c r="O33" s="253"/>
      <c r="P33" s="253"/>
      <c r="Q33" s="250"/>
      <c r="R33" s="250">
        <f>Operations!$AS$6</f>
        <v>508.66666666666669</v>
      </c>
      <c r="S33" s="252">
        <f t="shared" si="1"/>
        <v>-0.28758169934640521</v>
      </c>
      <c r="T33" s="250">
        <f>Operations!$AS$8</f>
        <v>618.86666666666667</v>
      </c>
      <c r="U33" s="252">
        <f t="shared" si="2"/>
        <v>-0.19285279540909472</v>
      </c>
      <c r="V33" s="780">
        <v>773.93333333333339</v>
      </c>
      <c r="W33" s="252">
        <f t="shared" si="13"/>
        <v>-0.26646025527612782</v>
      </c>
      <c r="X33" s="250"/>
      <c r="Y33" s="252"/>
      <c r="Z33" s="250">
        <f>Operations!$AS$11</f>
        <v>894</v>
      </c>
      <c r="AA33" s="252">
        <f t="shared" si="3"/>
        <v>-9.8487394957983199E-2</v>
      </c>
      <c r="AB33" s="250">
        <f>Operations!$AS$12</f>
        <v>743.33333333333337</v>
      </c>
      <c r="AC33" s="252">
        <f t="shared" si="4"/>
        <v>-0.34218289085545717</v>
      </c>
      <c r="AD33" s="250">
        <f>Operations!$AS$72</f>
        <v>213.37333333333333</v>
      </c>
      <c r="AE33" s="250">
        <f>Operations!$AS$73</f>
        <v>226.29666666666665</v>
      </c>
      <c r="AF33" s="250">
        <f>Operations!$AS$74</f>
        <v>222.03196666666668</v>
      </c>
      <c r="AG33" s="252">
        <f t="shared" si="12"/>
        <v>5.5946652251212647E-2</v>
      </c>
      <c r="AH33" s="780">
        <v>823.08333333333337</v>
      </c>
      <c r="AI33" s="252"/>
      <c r="AJ33" s="669"/>
      <c r="AK33" s="246"/>
      <c r="AL33" s="246"/>
      <c r="AM33" s="246"/>
      <c r="AN33" s="246"/>
      <c r="AO33" s="251"/>
      <c r="AQ33" s="401">
        <v>39903</v>
      </c>
    </row>
    <row r="34" spans="1:43">
      <c r="A34" s="367">
        <v>39965</v>
      </c>
      <c r="B34" s="249" t="s">
        <v>527</v>
      </c>
      <c r="C34" s="250">
        <f>Operations!$AT$18</f>
        <v>499</v>
      </c>
      <c r="D34" s="252">
        <f t="shared" si="6"/>
        <v>-0.18196721311475406</v>
      </c>
      <c r="E34" s="250">
        <f>Operations!$AT$19</f>
        <v>538</v>
      </c>
      <c r="F34" s="252">
        <f t="shared" si="7"/>
        <v>-0.15007898894154814</v>
      </c>
      <c r="G34" s="250">
        <f>Operations!$AT$20</f>
        <v>763</v>
      </c>
      <c r="H34" s="252">
        <f t="shared" si="8"/>
        <v>-0.21096173733195445</v>
      </c>
      <c r="I34" s="250">
        <f>Operations!$AT$21</f>
        <v>542</v>
      </c>
      <c r="J34" s="252">
        <f t="shared" si="9"/>
        <v>-0.2408963585434174</v>
      </c>
      <c r="K34" s="250">
        <f>Operations!$AT$77</f>
        <v>312</v>
      </c>
      <c r="L34" s="252">
        <f t="shared" si="10"/>
        <v>-6.3063063063063085E-2</v>
      </c>
      <c r="M34" s="256">
        <f t="shared" si="14"/>
        <v>187</v>
      </c>
      <c r="N34" s="253"/>
      <c r="O34" s="253"/>
      <c r="P34" s="253"/>
      <c r="Q34" s="250"/>
      <c r="R34" s="250">
        <f>Operations!$AT$6</f>
        <v>399</v>
      </c>
      <c r="S34" s="252">
        <f t="shared" si="1"/>
        <v>-0.2155963302752294</v>
      </c>
      <c r="T34" s="250">
        <f>Operations!$AT$8</f>
        <v>495.06666666666666</v>
      </c>
      <c r="U34" s="252">
        <f t="shared" si="2"/>
        <v>-0.2000430895184746</v>
      </c>
      <c r="V34" s="780">
        <v>691.73333333333323</v>
      </c>
      <c r="W34" s="252">
        <f t="shared" si="13"/>
        <v>-0.10621069859591714</v>
      </c>
      <c r="X34" s="250"/>
      <c r="Y34" s="252"/>
      <c r="Z34" s="250">
        <f>Operations!$AT$11</f>
        <v>716.66666666666663</v>
      </c>
      <c r="AA34" s="252">
        <f t="shared" si="3"/>
        <v>-0.19835943325876215</v>
      </c>
      <c r="AB34" s="250">
        <f>Operations!$AT$12</f>
        <v>566.66666666666663</v>
      </c>
      <c r="AC34" s="252">
        <f t="shared" si="4"/>
        <v>-0.23766816143497771</v>
      </c>
      <c r="AD34" s="250">
        <f>Operations!$AT$72</f>
        <v>191.80666666666664</v>
      </c>
      <c r="AE34" s="250">
        <f>Operations!$AT$73</f>
        <v>198.70333333333335</v>
      </c>
      <c r="AF34" s="250">
        <f>Operations!$AT$74</f>
        <v>196.42743333333334</v>
      </c>
      <c r="AG34" s="252">
        <f t="shared" si="12"/>
        <v>-0.11531913047355491</v>
      </c>
      <c r="AH34" s="780">
        <v>649.25999999999988</v>
      </c>
      <c r="AI34" s="252">
        <f t="shared" si="12"/>
        <v>-0.21118558266680187</v>
      </c>
      <c r="AJ34" s="669">
        <f t="shared" ref="AJ34:AJ53" si="15">I34-AB34</f>
        <v>-24.666666666666629</v>
      </c>
      <c r="AK34" s="246"/>
      <c r="AL34" s="246"/>
      <c r="AM34" s="246"/>
      <c r="AN34" s="246"/>
      <c r="AO34" s="251"/>
      <c r="AQ34" s="401">
        <v>39994</v>
      </c>
    </row>
    <row r="35" spans="1:43">
      <c r="A35" s="367">
        <v>40057</v>
      </c>
      <c r="B35" s="249" t="s">
        <v>528</v>
      </c>
      <c r="C35" s="250">
        <f>Operations!$AU$18</f>
        <v>510</v>
      </c>
      <c r="D35" s="252">
        <f t="shared" si="6"/>
        <v>2.2044088176352616E-2</v>
      </c>
      <c r="E35" s="250">
        <f>Operations!$AU$19</f>
        <v>557</v>
      </c>
      <c r="F35" s="252">
        <f t="shared" si="7"/>
        <v>3.5315985130111471E-2</v>
      </c>
      <c r="G35" s="250">
        <f>Operations!$AU$20</f>
        <v>738</v>
      </c>
      <c r="H35" s="252">
        <f t="shared" si="8"/>
        <v>-3.2765399737876844E-2</v>
      </c>
      <c r="I35" s="250">
        <f>Operations!$AU$21</f>
        <v>555</v>
      </c>
      <c r="J35" s="252">
        <f t="shared" si="9"/>
        <v>2.3985239852398532E-2</v>
      </c>
      <c r="K35" s="250">
        <f>Operations!$AU$77</f>
        <v>299</v>
      </c>
      <c r="L35" s="252">
        <f t="shared" si="10"/>
        <v>-4.166666666666663E-2</v>
      </c>
      <c r="M35" s="256">
        <f t="shared" si="14"/>
        <v>211</v>
      </c>
      <c r="N35" s="253"/>
      <c r="O35" s="253"/>
      <c r="P35" s="253"/>
      <c r="Q35" s="250"/>
      <c r="R35" s="250">
        <f>Operations!$AU$6</f>
        <v>491.33333333333331</v>
      </c>
      <c r="S35" s="252">
        <f t="shared" si="1"/>
        <v>0.2314118629908104</v>
      </c>
      <c r="T35" s="250">
        <f>Operations!$AU$8</f>
        <v>536.26666666666677</v>
      </c>
      <c r="U35" s="252">
        <f>T35/T34-1</f>
        <v>8.3221115001346879E-2</v>
      </c>
      <c r="V35" s="780">
        <v>678.6</v>
      </c>
      <c r="W35" s="252">
        <f t="shared" si="13"/>
        <v>-1.8986121819583479E-2</v>
      </c>
      <c r="X35" s="250"/>
      <c r="Y35" s="252"/>
      <c r="Z35" s="250">
        <f>Operations!$AU$11</f>
        <v>741.66666666666663</v>
      </c>
      <c r="AA35" s="252">
        <f t="shared" si="3"/>
        <v>3.488372093023262E-2</v>
      </c>
      <c r="AB35" s="250">
        <f>Operations!$AU$12</f>
        <v>600</v>
      </c>
      <c r="AC35" s="252">
        <f t="shared" si="4"/>
        <v>5.8823529411764719E-2</v>
      </c>
      <c r="AD35" s="250">
        <f>Operations!$AU$72</f>
        <v>269.50666666666666</v>
      </c>
      <c r="AE35" s="250">
        <f>Operations!$AU$73</f>
        <v>315.73666666666668</v>
      </c>
      <c r="AF35" s="250">
        <f>Operations!$AU$74</f>
        <v>300.48076666666668</v>
      </c>
      <c r="AG35" s="252">
        <f t="shared" si="12"/>
        <v>0.52972912982453413</v>
      </c>
      <c r="AH35" s="780">
        <v>698.5333333333333</v>
      </c>
      <c r="AI35" s="252">
        <f t="shared" si="12"/>
        <v>7.5891527790613145E-2</v>
      </c>
      <c r="AJ35" s="669">
        <f t="shared" si="15"/>
        <v>-45</v>
      </c>
      <c r="AK35" s="246"/>
      <c r="AL35" s="246"/>
      <c r="AM35" s="246"/>
      <c r="AN35" s="246"/>
      <c r="AO35" s="251"/>
      <c r="AQ35" s="401">
        <v>40086</v>
      </c>
    </row>
    <row r="36" spans="1:43">
      <c r="A36" s="367">
        <v>40148</v>
      </c>
      <c r="B36" s="249" t="s">
        <v>529</v>
      </c>
      <c r="C36" s="250">
        <f>Operations!$AV$18</f>
        <v>597</v>
      </c>
      <c r="D36" s="252">
        <f t="shared" si="6"/>
        <v>0.17058823529411771</v>
      </c>
      <c r="E36" s="250">
        <f>Operations!$AV$19</f>
        <v>535</v>
      </c>
      <c r="F36" s="252">
        <f t="shared" si="7"/>
        <v>-3.9497307001795323E-2</v>
      </c>
      <c r="G36" s="250">
        <f>Operations!$AV$20</f>
        <v>726</v>
      </c>
      <c r="H36" s="252">
        <f t="shared" si="8"/>
        <v>-1.6260162601625994E-2</v>
      </c>
      <c r="I36" s="250">
        <f>Operations!$AV$21</f>
        <v>595</v>
      </c>
      <c r="J36" s="252">
        <f t="shared" si="9"/>
        <v>7.2072072072072002E-2</v>
      </c>
      <c r="K36" s="250">
        <f>Operations!$AV$77</f>
        <v>276</v>
      </c>
      <c r="L36" s="252">
        <f t="shared" si="10"/>
        <v>-7.6923076923076872E-2</v>
      </c>
      <c r="M36" s="256">
        <f t="shared" si="14"/>
        <v>321</v>
      </c>
      <c r="N36" s="253"/>
      <c r="O36" s="253"/>
      <c r="P36" s="253"/>
      <c r="Q36" s="250"/>
      <c r="R36" s="250">
        <f>Operations!$AV$6</f>
        <v>528</v>
      </c>
      <c r="S36" s="252">
        <f t="shared" si="1"/>
        <v>7.4626865671641784E-2</v>
      </c>
      <c r="T36" s="250">
        <f>Operations!$AV$8</f>
        <v>494.4666666666667</v>
      </c>
      <c r="U36" s="252">
        <f t="shared" si="2"/>
        <v>-7.7946295375435182E-2</v>
      </c>
      <c r="V36" s="780">
        <v>710</v>
      </c>
      <c r="W36" s="252">
        <f t="shared" ref="W36:W57" si="16">V36/V35-1</f>
        <v>4.6271735926908253E-2</v>
      </c>
      <c r="X36" s="250"/>
      <c r="Y36" s="252"/>
      <c r="Z36" s="250">
        <f>Operations!$AV$11</f>
        <v>735</v>
      </c>
      <c r="AA36" s="252">
        <f t="shared" si="3"/>
        <v>-8.9887640449437534E-3</v>
      </c>
      <c r="AB36" s="250">
        <f>Operations!$AV$12</f>
        <v>596.66666666666663</v>
      </c>
      <c r="AC36" s="252">
        <f t="shared" si="4"/>
        <v>-5.5555555555556468E-3</v>
      </c>
      <c r="AD36" s="250">
        <f>Operations!$AV$72</f>
        <v>265.71333333333331</v>
      </c>
      <c r="AE36" s="250">
        <f>Operations!$AV$73</f>
        <v>307.81666666666666</v>
      </c>
      <c r="AF36" s="250">
        <f>Operations!$AV$74</f>
        <v>293.92256666666668</v>
      </c>
      <c r="AG36" s="252">
        <f t="shared" si="12"/>
        <v>-2.1825689786245883E-2</v>
      </c>
      <c r="AH36" s="780">
        <v>733.61333333333334</v>
      </c>
      <c r="AI36" s="252">
        <f t="shared" si="12"/>
        <v>5.02195075396068E-2</v>
      </c>
      <c r="AJ36" s="669">
        <f t="shared" si="15"/>
        <v>-1.6666666666666288</v>
      </c>
      <c r="AK36" s="493"/>
      <c r="AL36" s="246"/>
      <c r="AM36" s="246"/>
      <c r="AN36" s="246"/>
      <c r="AO36" s="251"/>
      <c r="AQ36" s="401">
        <v>40178</v>
      </c>
    </row>
    <row r="37" spans="1:43">
      <c r="A37" s="367">
        <v>40238</v>
      </c>
      <c r="B37" s="249" t="s">
        <v>318</v>
      </c>
      <c r="C37" s="250">
        <f>Operations!$AX$18</f>
        <v>634</v>
      </c>
      <c r="D37" s="252">
        <f t="shared" si="6"/>
        <v>6.1976549413735427E-2</v>
      </c>
      <c r="E37" s="250">
        <f>Operations!$AX$19</f>
        <v>618</v>
      </c>
      <c r="F37" s="252">
        <f t="shared" si="7"/>
        <v>0.15514018691588793</v>
      </c>
      <c r="G37" s="250">
        <f>Operations!$AX$20</f>
        <v>740</v>
      </c>
      <c r="H37" s="252">
        <f t="shared" si="8"/>
        <v>1.9283746556473913E-2</v>
      </c>
      <c r="I37" s="250">
        <f>Operations!$AX$21</f>
        <v>637</v>
      </c>
      <c r="J37" s="252">
        <f t="shared" si="9"/>
        <v>7.0588235294117618E-2</v>
      </c>
      <c r="K37" s="250">
        <f>Operations!$AX$77</f>
        <v>318</v>
      </c>
      <c r="L37" s="252">
        <f t="shared" si="10"/>
        <v>0.15217391304347827</v>
      </c>
      <c r="M37" s="256">
        <f t="shared" si="14"/>
        <v>316</v>
      </c>
      <c r="N37" s="253"/>
      <c r="O37" s="253"/>
      <c r="P37" s="253"/>
      <c r="Q37" s="250"/>
      <c r="R37" s="250">
        <f>Operations!$AX$6</f>
        <v>592</v>
      </c>
      <c r="S37" s="252">
        <f t="shared" ref="S37:S44" si="17">R37/R36-1</f>
        <v>0.1212121212121211</v>
      </c>
      <c r="T37" s="250">
        <f>Operations!$AX$8</f>
        <v>522</v>
      </c>
      <c r="U37" s="252">
        <f t="shared" ref="U37:U44" si="18">T37/T36-1</f>
        <v>5.5682890656599593E-2</v>
      </c>
      <c r="V37" s="780">
        <v>824.73333333333323</v>
      </c>
      <c r="W37" s="252">
        <f t="shared" si="16"/>
        <v>0.16159624413145535</v>
      </c>
      <c r="X37" s="250"/>
      <c r="Y37" s="252"/>
      <c r="Z37" s="250">
        <f>Operations!$AX$11</f>
        <v>735</v>
      </c>
      <c r="AA37" s="252">
        <f t="shared" ref="AA37:AA44" si="19">Z37/Z36-1</f>
        <v>0</v>
      </c>
      <c r="AB37" s="250">
        <f>Operations!$AX$12</f>
        <v>681.66666666666663</v>
      </c>
      <c r="AC37" s="252">
        <f t="shared" ref="AC37:AC44" si="20">AB37/AB36-1</f>
        <v>0.14245810055865915</v>
      </c>
      <c r="AD37" s="250">
        <f>Operations!$AX$72</f>
        <v>358.61666666666662</v>
      </c>
      <c r="AE37" s="250">
        <f>Operations!$AX$73</f>
        <v>414.06333333333333</v>
      </c>
      <c r="AF37" s="250">
        <f>Operations!$AX$74</f>
        <v>395.76593333333335</v>
      </c>
      <c r="AG37" s="252">
        <f t="shared" ref="AG37:AG44" si="21">AF37/AF36-1</f>
        <v>0.34649726906531053</v>
      </c>
      <c r="AH37" s="780">
        <v>801.66666666666663</v>
      </c>
      <c r="AI37" s="252">
        <f t="shared" ref="AI37:AI66" si="22">AH37/AH36-1</f>
        <v>9.2764580796423024E-2</v>
      </c>
      <c r="AJ37" s="669">
        <f t="shared" si="15"/>
        <v>-44.666666666666629</v>
      </c>
      <c r="AK37" s="246"/>
      <c r="AL37" s="246"/>
      <c r="AM37" s="246"/>
      <c r="AN37" s="246"/>
      <c r="AO37" s="251"/>
      <c r="AQ37" s="401">
        <v>40268</v>
      </c>
    </row>
    <row r="38" spans="1:43">
      <c r="A38" s="367">
        <v>40330</v>
      </c>
      <c r="B38" s="249" t="s">
        <v>319</v>
      </c>
      <c r="C38" s="250">
        <f>Operations!$AY$18</f>
        <v>726</v>
      </c>
      <c r="D38" s="252">
        <f t="shared" si="6"/>
        <v>0.14511041009463721</v>
      </c>
      <c r="E38" s="250">
        <f>Operations!$AY$19</f>
        <v>709</v>
      </c>
      <c r="F38" s="252">
        <f t="shared" si="7"/>
        <v>0.14724919093851141</v>
      </c>
      <c r="G38" s="250">
        <f>Operations!$AY$20</f>
        <v>770</v>
      </c>
      <c r="H38" s="252">
        <f t="shared" si="8"/>
        <v>4.0540540540540571E-2</v>
      </c>
      <c r="I38" s="250">
        <f>Operations!$AY$21</f>
        <v>761</v>
      </c>
      <c r="J38" s="252">
        <f t="shared" si="9"/>
        <v>0.19466248037676603</v>
      </c>
      <c r="K38" s="250">
        <f>Operations!$AY$77</f>
        <v>373</v>
      </c>
      <c r="L38" s="252">
        <f t="shared" si="10"/>
        <v>0.17295597484276737</v>
      </c>
      <c r="M38" s="256">
        <f t="shared" si="14"/>
        <v>353</v>
      </c>
      <c r="N38" s="253"/>
      <c r="O38" s="253"/>
      <c r="P38" s="253"/>
      <c r="Q38" s="250"/>
      <c r="R38" s="250">
        <f>Operations!$AY$6</f>
        <v>682</v>
      </c>
      <c r="S38" s="252">
        <f t="shared" si="17"/>
        <v>0.15202702702702697</v>
      </c>
      <c r="T38" s="250">
        <f>Operations!$AY$8</f>
        <v>616.86666666666667</v>
      </c>
      <c r="U38" s="252">
        <f t="shared" si="18"/>
        <v>0.18173690932311626</v>
      </c>
      <c r="V38" s="780">
        <v>840.73333333333323</v>
      </c>
      <c r="W38" s="252">
        <f t="shared" si="16"/>
        <v>1.9400210168943444E-2</v>
      </c>
      <c r="X38" s="250"/>
      <c r="Y38" s="252"/>
      <c r="Z38" s="250">
        <f>Operations!$AY$11</f>
        <v>769.66666666666663</v>
      </c>
      <c r="AA38" s="252">
        <f t="shared" si="19"/>
        <v>4.7165532879818617E-2</v>
      </c>
      <c r="AB38" s="250">
        <f>Operations!$AY$12</f>
        <v>823.33333333333337</v>
      </c>
      <c r="AC38" s="252">
        <f t="shared" si="20"/>
        <v>0.20782396088019572</v>
      </c>
      <c r="AD38" s="250">
        <f>Operations!$AY$72</f>
        <v>368.89333333333337</v>
      </c>
      <c r="AE38" s="250">
        <f>Operations!$AY$73</f>
        <v>467.1133333333334</v>
      </c>
      <c r="AF38" s="250">
        <f>Operations!$AY$74</f>
        <v>434.7007333333334</v>
      </c>
      <c r="AG38" s="252">
        <f t="shared" si="21"/>
        <v>9.8378351244313045E-2</v>
      </c>
      <c r="AH38" s="780">
        <v>872.42666666666662</v>
      </c>
      <c r="AI38" s="252">
        <f t="shared" si="22"/>
        <v>8.8266112266112362E-2</v>
      </c>
      <c r="AJ38" s="669">
        <f t="shared" si="15"/>
        <v>-62.333333333333371</v>
      </c>
      <c r="AK38" s="246"/>
      <c r="AL38" s="246"/>
      <c r="AM38" s="246"/>
      <c r="AN38" s="246"/>
      <c r="AO38" s="251"/>
      <c r="AQ38" s="401">
        <v>40359</v>
      </c>
    </row>
    <row r="39" spans="1:43">
      <c r="A39" s="367">
        <v>40422</v>
      </c>
      <c r="B39" s="249" t="s">
        <v>320</v>
      </c>
      <c r="C39" s="250">
        <f>Operations!$AZ$18</f>
        <v>680</v>
      </c>
      <c r="D39" s="252">
        <f t="shared" si="6"/>
        <v>-6.3360881542699699E-2</v>
      </c>
      <c r="E39" s="250">
        <f>Operations!$AZ$19</f>
        <v>666</v>
      </c>
      <c r="F39" s="252">
        <f t="shared" si="7"/>
        <v>-6.0648801128349805E-2</v>
      </c>
      <c r="G39" s="250">
        <f>Operations!$AZ$20</f>
        <v>786</v>
      </c>
      <c r="H39" s="252">
        <f t="shared" si="8"/>
        <v>2.0779220779220786E-2</v>
      </c>
      <c r="I39" s="250">
        <f>Operations!$AZ$21</f>
        <v>752</v>
      </c>
      <c r="J39" s="252">
        <f t="shared" si="9"/>
        <v>-1.1826544021025009E-2</v>
      </c>
      <c r="K39" s="250">
        <f>Operations!$AZ$77</f>
        <v>354</v>
      </c>
      <c r="L39" s="252">
        <f t="shared" si="10"/>
        <v>-5.0938337801608613E-2</v>
      </c>
      <c r="M39" s="256">
        <f t="shared" si="14"/>
        <v>326</v>
      </c>
      <c r="N39" s="253"/>
      <c r="O39" s="253"/>
      <c r="P39" s="253"/>
      <c r="Q39" s="250"/>
      <c r="R39" s="250">
        <f>Operations!$AZ$6</f>
        <v>582.66666666666663</v>
      </c>
      <c r="S39" s="252">
        <f t="shared" si="17"/>
        <v>-0.14565004887585542</v>
      </c>
      <c r="T39" s="250">
        <f>Operations!$AZ$8</f>
        <v>599.93333333333339</v>
      </c>
      <c r="U39" s="252">
        <f t="shared" si="18"/>
        <v>-2.7450556576245511E-2</v>
      </c>
      <c r="V39" s="780">
        <v>854.4</v>
      </c>
      <c r="W39" s="252">
        <f t="shared" si="16"/>
        <v>1.6255649829514107E-2</v>
      </c>
      <c r="X39" s="250"/>
      <c r="Y39" s="252"/>
      <c r="Z39" s="250">
        <f>Operations!$AZ$11</f>
        <v>734.66666666666663</v>
      </c>
      <c r="AA39" s="252">
        <f t="shared" si="19"/>
        <v>-4.5474231268947563E-2</v>
      </c>
      <c r="AB39" s="250">
        <f>Operations!$AZ$12</f>
        <v>755.66666666666663</v>
      </c>
      <c r="AC39" s="252">
        <f t="shared" si="20"/>
        <v>-8.2186234817813841E-2</v>
      </c>
      <c r="AD39" s="250">
        <f>Operations!$AZ$72</f>
        <v>339.70666666666665</v>
      </c>
      <c r="AE39" s="250">
        <f>Operations!$AZ$73</f>
        <v>417.85666666666674</v>
      </c>
      <c r="AF39" s="250">
        <f>Operations!$AZ$74</f>
        <v>392.06716666666676</v>
      </c>
      <c r="AG39" s="252">
        <f t="shared" si="21"/>
        <v>-9.8075672290101057E-2</v>
      </c>
      <c r="AH39" s="780">
        <v>836.59</v>
      </c>
      <c r="AI39" s="252">
        <f t="shared" si="22"/>
        <v>-4.1076995965276808E-2</v>
      </c>
      <c r="AJ39" s="669">
        <f t="shared" si="15"/>
        <v>-3.6666666666666288</v>
      </c>
      <c r="AK39" s="493"/>
      <c r="AL39" s="246"/>
      <c r="AM39" s="246"/>
      <c r="AN39" s="246"/>
      <c r="AO39" s="251"/>
      <c r="AQ39" s="401">
        <v>40451</v>
      </c>
    </row>
    <row r="40" spans="1:43">
      <c r="A40" s="367">
        <v>40513</v>
      </c>
      <c r="B40" s="249" t="s">
        <v>321</v>
      </c>
      <c r="C40" s="250">
        <f>Operations!$BA$18</f>
        <v>637</v>
      </c>
      <c r="D40" s="252">
        <f t="shared" si="6"/>
        <v>-6.3235294117647056E-2</v>
      </c>
      <c r="E40" s="250">
        <f>Operations!$BA$19</f>
        <v>669</v>
      </c>
      <c r="F40" s="252">
        <f t="shared" si="7"/>
        <v>4.5045045045044585E-3</v>
      </c>
      <c r="G40" s="250">
        <f>Operations!$BA$20</f>
        <v>773</v>
      </c>
      <c r="H40" s="252">
        <f t="shared" si="8"/>
        <v>-1.653944020356235E-2</v>
      </c>
      <c r="I40" s="250">
        <f>Operations!$BA$21</f>
        <v>731</v>
      </c>
      <c r="J40" s="252">
        <f t="shared" si="9"/>
        <v>-2.7925531914893664E-2</v>
      </c>
      <c r="K40" s="250">
        <f>Operations!$BA$77</f>
        <v>359</v>
      </c>
      <c r="L40" s="252">
        <f t="shared" si="10"/>
        <v>1.4124293785310771E-2</v>
      </c>
      <c r="M40" s="256">
        <f t="shared" si="14"/>
        <v>278</v>
      </c>
      <c r="N40" s="253"/>
      <c r="O40" s="253"/>
      <c r="P40" s="253"/>
      <c r="Q40" s="250"/>
      <c r="R40" s="250">
        <f>Operations!$BA$6</f>
        <v>557</v>
      </c>
      <c r="S40" s="252">
        <f t="shared" si="17"/>
        <v>-4.4050343249427804E-2</v>
      </c>
      <c r="T40" s="250">
        <f>Operations!$BA$8</f>
        <v>645.5333333333333</v>
      </c>
      <c r="U40" s="252">
        <f t="shared" si="18"/>
        <v>7.6008445382820256E-2</v>
      </c>
      <c r="V40" s="780">
        <v>852.33333333333337</v>
      </c>
      <c r="W40" s="252">
        <f t="shared" si="16"/>
        <v>-2.4188514357053048E-3</v>
      </c>
      <c r="X40" s="250"/>
      <c r="Y40" s="252"/>
      <c r="Z40" s="250">
        <f>Operations!$BA$11</f>
        <v>758.66666666666663</v>
      </c>
      <c r="AA40" s="252">
        <f t="shared" si="19"/>
        <v>3.2667876588021727E-2</v>
      </c>
      <c r="AB40" s="250">
        <f>Operations!$BA$12</f>
        <v>736.66666666666663</v>
      </c>
      <c r="AC40" s="252">
        <f t="shared" si="20"/>
        <v>-2.5143361270401399E-2</v>
      </c>
      <c r="AD40" s="250">
        <f>Operations!$BA$72</f>
        <v>367.51666666666665</v>
      </c>
      <c r="AE40" s="250">
        <f>Operations!$BA$73</f>
        <v>406.64000000000004</v>
      </c>
      <c r="AF40" s="250">
        <f>Operations!$BA$74</f>
        <v>393.72930000000008</v>
      </c>
      <c r="AG40" s="252">
        <f t="shared" si="21"/>
        <v>4.2394096589741803E-3</v>
      </c>
      <c r="AH40" s="780">
        <v>817.80666666666673</v>
      </c>
      <c r="AI40" s="252">
        <f t="shared" si="22"/>
        <v>-2.2452256581280361E-2</v>
      </c>
      <c r="AJ40" s="669">
        <f t="shared" si="15"/>
        <v>-5.6666666666666288</v>
      </c>
      <c r="AK40" s="246"/>
      <c r="AL40" s="246"/>
      <c r="AM40" s="246"/>
      <c r="AN40" s="246"/>
      <c r="AO40" s="251"/>
      <c r="AQ40" s="401">
        <v>40543</v>
      </c>
    </row>
    <row r="41" spans="1:43">
      <c r="A41" s="367">
        <v>40603</v>
      </c>
      <c r="B41" s="249" t="s">
        <v>199</v>
      </c>
      <c r="C41" s="250">
        <f>Operations!$BC$18</f>
        <v>755</v>
      </c>
      <c r="D41" s="252">
        <f t="shared" si="6"/>
        <v>0.18524332810047106</v>
      </c>
      <c r="E41" s="250">
        <f>Operations!$BC$19</f>
        <v>779</v>
      </c>
      <c r="F41" s="252">
        <f t="shared" si="7"/>
        <v>0.16442451420029891</v>
      </c>
      <c r="G41" s="250">
        <f>Operations!$BC$20</f>
        <v>831</v>
      </c>
      <c r="H41" s="252">
        <f t="shared" si="8"/>
        <v>7.5032341526519941E-2</v>
      </c>
      <c r="I41" s="250">
        <f>Operations!$BC$21</f>
        <v>880</v>
      </c>
      <c r="J41" s="252">
        <f t="shared" si="9"/>
        <v>0.20383036935704513</v>
      </c>
      <c r="K41" s="250">
        <f>Operations!$BC$77</f>
        <v>424</v>
      </c>
      <c r="L41" s="252">
        <f t="shared" ref="L41:L57" si="23">K41/K40-1</f>
        <v>0.18105849582172695</v>
      </c>
      <c r="M41" s="256">
        <f t="shared" ref="M41:M57" si="24">C41-K41</f>
        <v>331</v>
      </c>
      <c r="N41" s="253"/>
      <c r="O41" s="253"/>
      <c r="P41" s="253"/>
      <c r="Q41" s="250"/>
      <c r="R41" s="250">
        <f>Operations!$BC$6</f>
        <v>795.66666666666663</v>
      </c>
      <c r="S41" s="252">
        <f t="shared" si="17"/>
        <v>0.42848593656493117</v>
      </c>
      <c r="T41" s="250">
        <f>Operations!$BC$8</f>
        <v>761.66666666666663</v>
      </c>
      <c r="U41" s="252">
        <f t="shared" si="18"/>
        <v>0.17990292264793961</v>
      </c>
      <c r="V41" s="780">
        <v>963</v>
      </c>
      <c r="W41" s="252">
        <f t="shared" si="16"/>
        <v>0.12983965584669521</v>
      </c>
      <c r="X41" s="250">
        <f>Operations!$BC$10</f>
        <v>818.9167440420922</v>
      </c>
      <c r="Y41" s="252"/>
      <c r="Z41" s="250">
        <f>Operations!$BC$11</f>
        <v>875</v>
      </c>
      <c r="AA41" s="252">
        <f t="shared" si="19"/>
        <v>0.15333919156414777</v>
      </c>
      <c r="AB41" s="250">
        <f>Operations!$BC$12</f>
        <v>943.33333333333337</v>
      </c>
      <c r="AC41" s="252">
        <f t="shared" si="20"/>
        <v>0.28054298642533948</v>
      </c>
      <c r="AD41" s="250">
        <f>Operations!$BC$72</f>
        <v>456.45666666666665</v>
      </c>
      <c r="AE41" s="250">
        <f>Operations!$BC$73</f>
        <v>485.19333333333333</v>
      </c>
      <c r="AF41" s="250">
        <f>Operations!$BC$74</f>
        <v>475.71023333333335</v>
      </c>
      <c r="AG41" s="252">
        <f t="shared" si="21"/>
        <v>0.20821649121193997</v>
      </c>
      <c r="AH41" s="780">
        <v>1076.6666666666667</v>
      </c>
      <c r="AI41" s="252">
        <f t="shared" si="22"/>
        <v>0.31652957911812907</v>
      </c>
      <c r="AJ41" s="669">
        <f t="shared" si="15"/>
        <v>-63.333333333333371</v>
      </c>
      <c r="AK41" s="246"/>
      <c r="AL41" s="246"/>
      <c r="AM41" s="246"/>
      <c r="AN41" s="246"/>
      <c r="AO41" s="251"/>
      <c r="AQ41" s="401">
        <v>40633</v>
      </c>
    </row>
    <row r="42" spans="1:43">
      <c r="A42" s="367">
        <v>40695</v>
      </c>
      <c r="B42" s="249" t="s">
        <v>200</v>
      </c>
      <c r="C42" s="250">
        <f>Operations!$BD$18</f>
        <v>894</v>
      </c>
      <c r="D42" s="252">
        <f t="shared" si="6"/>
        <v>0.18410596026490067</v>
      </c>
      <c r="E42" s="250">
        <f>Operations!$BD$19</f>
        <v>803</v>
      </c>
      <c r="F42" s="252">
        <f t="shared" si="7"/>
        <v>3.0808729139923052E-2</v>
      </c>
      <c r="G42" s="250">
        <f>Operations!$BD$20</f>
        <v>923</v>
      </c>
      <c r="H42" s="252">
        <f t="shared" si="8"/>
        <v>0.1107099879663056</v>
      </c>
      <c r="I42" s="250">
        <f>Operations!$BD$21</f>
        <v>1029</v>
      </c>
      <c r="J42" s="252">
        <f t="shared" si="9"/>
        <v>0.16931818181818192</v>
      </c>
      <c r="K42" s="250">
        <f>Operations!$BD$77</f>
        <v>444</v>
      </c>
      <c r="L42" s="252">
        <f t="shared" si="23"/>
        <v>4.7169811320754818E-2</v>
      </c>
      <c r="M42" s="256">
        <f t="shared" si="24"/>
        <v>450</v>
      </c>
      <c r="N42" s="253"/>
      <c r="O42" s="253"/>
      <c r="P42" s="253"/>
      <c r="Q42" s="250"/>
      <c r="R42" s="250">
        <f>Operations!$BD$6</f>
        <v>813</v>
      </c>
      <c r="S42" s="252">
        <f t="shared" si="17"/>
        <v>2.1784666945957376E-2</v>
      </c>
      <c r="T42" s="250">
        <f>Operations!$BD$8</f>
        <v>754.79999999999984</v>
      </c>
      <c r="U42" s="252">
        <f t="shared" si="18"/>
        <v>-9.0153172866522802E-3</v>
      </c>
      <c r="V42" s="780">
        <v>1039.7333333333333</v>
      </c>
      <c r="W42" s="252">
        <f t="shared" si="16"/>
        <v>7.9681550709588045E-2</v>
      </c>
      <c r="X42" s="250">
        <f>Operations!$BD$10</f>
        <v>828.37574480044952</v>
      </c>
      <c r="Y42" s="252">
        <f t="shared" ref="Y42:Y61" si="25">X42/X41-1</f>
        <v>1.155062566149101E-2</v>
      </c>
      <c r="Z42" s="250">
        <f>Operations!$BD$11</f>
        <v>895</v>
      </c>
      <c r="AA42" s="252">
        <f t="shared" si="19"/>
        <v>2.2857142857142909E-2</v>
      </c>
      <c r="AB42" s="250">
        <f>Operations!$BD$12</f>
        <v>1040</v>
      </c>
      <c r="AC42" s="252">
        <f t="shared" si="20"/>
        <v>0.10247349823321561</v>
      </c>
      <c r="AD42" s="250">
        <f>Operations!$BD$72</f>
        <v>447.39333333333337</v>
      </c>
      <c r="AE42" s="250">
        <f>Operations!$BD$73</f>
        <v>498.10666666666663</v>
      </c>
      <c r="AF42" s="250">
        <f>Operations!$BD$74</f>
        <v>481.37126666666666</v>
      </c>
      <c r="AG42" s="252">
        <f t="shared" si="21"/>
        <v>1.190017144190092E-2</v>
      </c>
      <c r="AH42" s="780">
        <v>1076.4266666666665</v>
      </c>
      <c r="AI42" s="252">
        <f t="shared" si="22"/>
        <v>-2.2291021671849709E-4</v>
      </c>
      <c r="AJ42" s="669">
        <f t="shared" si="15"/>
        <v>-11</v>
      </c>
      <c r="AK42" s="246"/>
      <c r="AL42" s="246"/>
      <c r="AM42" s="246"/>
      <c r="AN42" s="246"/>
      <c r="AO42" s="251"/>
      <c r="AQ42" s="401">
        <v>40724</v>
      </c>
    </row>
    <row r="43" spans="1:43">
      <c r="A43" s="367">
        <v>40787</v>
      </c>
      <c r="B43" s="249" t="s">
        <v>201</v>
      </c>
      <c r="C43" s="250">
        <f>Operations!$BE$18</f>
        <v>800</v>
      </c>
      <c r="D43" s="252">
        <f t="shared" si="6"/>
        <v>-0.10514541387024612</v>
      </c>
      <c r="E43" s="250">
        <f>Operations!$BE$19</f>
        <v>811</v>
      </c>
      <c r="F43" s="252">
        <f t="shared" si="7"/>
        <v>9.9626400996264408E-3</v>
      </c>
      <c r="G43" s="250">
        <f>Operations!$BE$20</f>
        <v>901</v>
      </c>
      <c r="H43" s="252">
        <f t="shared" si="8"/>
        <v>-2.3835319609967542E-2</v>
      </c>
      <c r="I43" s="250">
        <f>Operations!$BE$21</f>
        <v>1021</v>
      </c>
      <c r="J43" s="252">
        <f t="shared" si="9"/>
        <v>-7.7745383867833251E-3</v>
      </c>
      <c r="K43" s="250">
        <f>Operations!$BE$77</f>
        <v>449</v>
      </c>
      <c r="L43" s="252">
        <f t="shared" si="23"/>
        <v>1.1261261261261257E-2</v>
      </c>
      <c r="M43" s="256">
        <f t="shared" si="24"/>
        <v>351</v>
      </c>
      <c r="N43" s="253"/>
      <c r="O43" s="253"/>
      <c r="P43" s="253"/>
      <c r="Q43" s="250"/>
      <c r="R43" s="250">
        <f>Operations!$BE$6</f>
        <v>687.66781577912843</v>
      </c>
      <c r="S43" s="252">
        <f t="shared" si="17"/>
        <v>-0.15416012819295399</v>
      </c>
      <c r="T43" s="250">
        <f>Operations!$BE$8</f>
        <v>750.26666666666677</v>
      </c>
      <c r="U43" s="252">
        <f t="shared" si="18"/>
        <v>-6.0060060060056486E-3</v>
      </c>
      <c r="V43" s="780">
        <v>1053.6666666666667</v>
      </c>
      <c r="W43" s="252">
        <f t="shared" si="16"/>
        <v>1.3400872018466403E-2</v>
      </c>
      <c r="X43" s="250">
        <f>Operations!$BE$10</f>
        <v>826.2407059144183</v>
      </c>
      <c r="Y43" s="252">
        <f t="shared" si="25"/>
        <v>-2.5773797693044997E-3</v>
      </c>
      <c r="Z43" s="250">
        <f>Operations!$BE$11</f>
        <v>831.33200278206175</v>
      </c>
      <c r="AA43" s="252">
        <f t="shared" si="19"/>
        <v>-7.1137427059148828E-2</v>
      </c>
      <c r="AB43" s="250">
        <f>Operations!$BE$12</f>
        <v>994.00087695424725</v>
      </c>
      <c r="AC43" s="252">
        <f t="shared" si="20"/>
        <v>-4.4229926005531439E-2</v>
      </c>
      <c r="AD43" s="250">
        <f>Operations!$BE$72</f>
        <v>450</v>
      </c>
      <c r="AE43" s="250">
        <f>Operations!$BE$73</f>
        <v>511.63333333333338</v>
      </c>
      <c r="AF43" s="250">
        <f>Operations!$BE$74</f>
        <v>491.29433333333338</v>
      </c>
      <c r="AG43" s="252">
        <f t="shared" si="21"/>
        <v>2.0614164894761089E-2</v>
      </c>
      <c r="AH43" s="780">
        <v>961.7166666666667</v>
      </c>
      <c r="AI43" s="252">
        <f t="shared" si="22"/>
        <v>-0.10656555021552772</v>
      </c>
      <c r="AJ43" s="669">
        <f t="shared" si="15"/>
        <v>26.999123045752754</v>
      </c>
      <c r="AK43" s="246"/>
      <c r="AL43" s="358">
        <f>Operations!$BE$119</f>
        <v>82</v>
      </c>
      <c r="AM43" s="358">
        <f>Operations!$BE$120+Operations!$BE$121</f>
        <v>201</v>
      </c>
      <c r="AN43" s="358">
        <f>Operations!$BE$122</f>
        <v>312</v>
      </c>
      <c r="AO43" s="359">
        <f>SUM(AL43:AN43)</f>
        <v>595</v>
      </c>
      <c r="AQ43" s="401">
        <v>40816</v>
      </c>
    </row>
    <row r="44" spans="1:43">
      <c r="A44" s="367">
        <v>40878</v>
      </c>
      <c r="B44" s="249" t="s">
        <v>202</v>
      </c>
      <c r="C44" s="250">
        <f>Operations!$BF$18</f>
        <v>747</v>
      </c>
      <c r="D44" s="252">
        <f t="shared" si="6"/>
        <v>-6.6250000000000031E-2</v>
      </c>
      <c r="E44" s="250">
        <f>Operations!$BF$19</f>
        <v>796</v>
      </c>
      <c r="F44" s="252">
        <f t="shared" si="7"/>
        <v>-1.8495684340320562E-2</v>
      </c>
      <c r="G44" s="250">
        <f>Operations!$BF$20</f>
        <v>891</v>
      </c>
      <c r="H44" s="252">
        <f t="shared" si="8"/>
        <v>-1.1098779134295245E-2</v>
      </c>
      <c r="I44" s="250">
        <f>Operations!$BF$21</f>
        <v>946</v>
      </c>
      <c r="J44" s="252">
        <f t="shared" si="9"/>
        <v>-7.3457394711067603E-2</v>
      </c>
      <c r="K44" s="250">
        <f>Operations!$BF$77</f>
        <v>441</v>
      </c>
      <c r="L44" s="252">
        <f t="shared" si="23"/>
        <v>-1.7817371937639215E-2</v>
      </c>
      <c r="M44" s="256">
        <f t="shared" si="24"/>
        <v>306</v>
      </c>
      <c r="N44" s="253"/>
      <c r="O44" s="253"/>
      <c r="P44" s="253"/>
      <c r="Q44" s="250"/>
      <c r="R44" s="250">
        <f>Operations!$BF$6</f>
        <v>657.66666666666663</v>
      </c>
      <c r="S44" s="252">
        <f t="shared" si="17"/>
        <v>-4.362738581631953E-2</v>
      </c>
      <c r="T44" s="250">
        <f>Operations!$BF$8</f>
        <v>782.06666666666661</v>
      </c>
      <c r="U44" s="252">
        <f t="shared" si="18"/>
        <v>4.238492980273656E-2</v>
      </c>
      <c r="V44" s="780">
        <v>1056.6666666666667</v>
      </c>
      <c r="W44" s="252">
        <f t="shared" si="16"/>
        <v>2.847200253084381E-3</v>
      </c>
      <c r="X44" s="250">
        <f>Operations!$BF$10</f>
        <v>852.49903685092113</v>
      </c>
      <c r="Y44" s="252">
        <f t="shared" si="25"/>
        <v>3.1780485696891736E-2</v>
      </c>
      <c r="Z44" s="250">
        <f>Operations!$BF$11</f>
        <v>820.33333333333337</v>
      </c>
      <c r="AA44" s="252">
        <f t="shared" si="19"/>
        <v>-1.3230176887117584E-2</v>
      </c>
      <c r="AB44" s="250">
        <f>Operations!$BF$12</f>
        <v>904.66666666666663</v>
      </c>
      <c r="AC44" s="252">
        <f t="shared" si="20"/>
        <v>-8.9873371702963389E-2</v>
      </c>
      <c r="AD44" s="250">
        <f>Operations!$BF$72</f>
        <v>429.87000000000006</v>
      </c>
      <c r="AE44" s="250">
        <f>Operations!$BF$73</f>
        <v>482.8</v>
      </c>
      <c r="AF44" s="250">
        <f>Operations!$BF$74</f>
        <v>465.33310000000006</v>
      </c>
      <c r="AG44" s="252">
        <f t="shared" si="21"/>
        <v>-5.2842525492186265E-2</v>
      </c>
      <c r="AH44" s="780">
        <v>930.25666666666666</v>
      </c>
      <c r="AI44" s="252">
        <f t="shared" si="22"/>
        <v>-3.2712337313484552E-2</v>
      </c>
      <c r="AJ44" s="669">
        <f t="shared" si="15"/>
        <v>41.333333333333371</v>
      </c>
      <c r="AK44" s="454"/>
      <c r="AL44" s="358">
        <f>Operations!$BF$119</f>
        <v>69</v>
      </c>
      <c r="AM44" s="358">
        <f>Operations!$BF$120+Operations!$BF$121</f>
        <v>191</v>
      </c>
      <c r="AN44" s="358">
        <f>Operations!$BF$122</f>
        <v>266</v>
      </c>
      <c r="AO44" s="359">
        <f t="shared" ref="AO44:AO52" si="26">SUM(AL44:AN44)</f>
        <v>526</v>
      </c>
      <c r="AQ44" s="401">
        <v>40908</v>
      </c>
    </row>
    <row r="45" spans="1:43">
      <c r="A45" s="367">
        <v>40969</v>
      </c>
      <c r="B45" s="249" t="s">
        <v>134</v>
      </c>
      <c r="C45" s="250">
        <f>Operations!$BH$18</f>
        <v>780</v>
      </c>
      <c r="D45" s="252">
        <f t="shared" si="6"/>
        <v>4.4176706827309342E-2</v>
      </c>
      <c r="E45" s="250">
        <f>Operations!$BH$19</f>
        <v>823</v>
      </c>
      <c r="F45" s="252">
        <f t="shared" si="7"/>
        <v>3.3919597989949812E-2</v>
      </c>
      <c r="G45" s="250">
        <f>Operations!$BH$20</f>
        <v>866</v>
      </c>
      <c r="H45" s="252">
        <f t="shared" si="8"/>
        <v>-2.8058361391694708E-2</v>
      </c>
      <c r="I45" s="250">
        <f>Operations!$BH$21</f>
        <v>929</v>
      </c>
      <c r="J45" s="252">
        <f t="shared" si="9"/>
        <v>-1.7970401691331905E-2</v>
      </c>
      <c r="K45" s="250">
        <f>Operations!$BH$77</f>
        <v>445</v>
      </c>
      <c r="L45" s="252">
        <f t="shared" si="23"/>
        <v>9.0702947845804349E-3</v>
      </c>
      <c r="M45" s="256">
        <f t="shared" si="24"/>
        <v>335</v>
      </c>
      <c r="N45" s="253"/>
      <c r="O45" s="253"/>
      <c r="P45" s="253"/>
      <c r="Q45" s="250"/>
      <c r="R45" s="250">
        <f>Operations!$BH$6</f>
        <v>720.66666666666663</v>
      </c>
      <c r="S45" s="252">
        <f t="shared" ref="S45:S57" si="27">R45/R44-1</f>
        <v>9.5793208312214828E-2</v>
      </c>
      <c r="T45" s="250">
        <f>Operations!$BH$8</f>
        <v>767.13333333333333</v>
      </c>
      <c r="U45" s="252">
        <f t="shared" ref="U45:U57" si="28">T45/T44-1</f>
        <v>-1.909470633364585E-2</v>
      </c>
      <c r="V45" s="250">
        <f>Operations!$BH$9</f>
        <v>1093.8666666666666</v>
      </c>
      <c r="W45" s="252">
        <f t="shared" si="16"/>
        <v>3.5205047318611848E-2</v>
      </c>
      <c r="X45" s="250">
        <f>Operations!$BH$10</f>
        <v>846.48470790378019</v>
      </c>
      <c r="Y45" s="252">
        <f t="shared" si="25"/>
        <v>-7.0549392869199146E-3</v>
      </c>
      <c r="Z45" s="250">
        <f>Operations!$BH$11</f>
        <v>837.66666666666663</v>
      </c>
      <c r="AA45" s="252">
        <f t="shared" ref="AA45:AA57" si="29">Z45/Z44-1</f>
        <v>2.1129622104835377E-2</v>
      </c>
      <c r="AB45" s="250">
        <f>Operations!$BH$12</f>
        <v>914.66666666666663</v>
      </c>
      <c r="AC45" s="252">
        <f t="shared" ref="AC45:AC57" si="30">AB45/AB44-1</f>
        <v>1.1053795136330091E-2</v>
      </c>
      <c r="AD45" s="250">
        <f>Operations!$BH$72</f>
        <v>449.5</v>
      </c>
      <c r="AE45" s="250">
        <f>Operations!$BH$73</f>
        <v>487.22666666666669</v>
      </c>
      <c r="AF45" s="250">
        <f>Operations!$BH$74</f>
        <v>474.77686666666671</v>
      </c>
      <c r="AG45" s="252">
        <f t="shared" ref="AG45:AG57" si="31">AF45/AF44-1</f>
        <v>2.0294637683557548E-2</v>
      </c>
      <c r="AH45" s="780">
        <v>993.95333333333338</v>
      </c>
      <c r="AI45" s="252">
        <f t="shared" si="22"/>
        <v>6.8472142096984046E-2</v>
      </c>
      <c r="AJ45" s="669">
        <f t="shared" si="15"/>
        <v>14.333333333333371</v>
      </c>
      <c r="AK45" s="454"/>
      <c r="AL45" s="358">
        <f>Operations!$BH$119</f>
        <v>64</v>
      </c>
      <c r="AM45" s="358">
        <f>Operations!$BH$120+Operations!$BH$121</f>
        <v>203</v>
      </c>
      <c r="AN45" s="358">
        <f>Operations!$BH$122</f>
        <v>250</v>
      </c>
      <c r="AO45" s="359">
        <f t="shared" si="26"/>
        <v>517</v>
      </c>
      <c r="AQ45" s="401">
        <v>40999</v>
      </c>
    </row>
    <row r="46" spans="1:43">
      <c r="A46" s="367">
        <v>41061</v>
      </c>
      <c r="B46" s="249" t="s">
        <v>135</v>
      </c>
      <c r="C46" s="250">
        <f>Operations!$BI$18</f>
        <v>759</v>
      </c>
      <c r="D46" s="252">
        <f t="shared" si="6"/>
        <v>-2.6923076923076938E-2</v>
      </c>
      <c r="E46" s="250">
        <f>Operations!$BI$19</f>
        <v>795</v>
      </c>
      <c r="F46" s="252">
        <f t="shared" si="7"/>
        <v>-3.402187120291611E-2</v>
      </c>
      <c r="G46" s="250">
        <f>Operations!$BI$20</f>
        <v>905</v>
      </c>
      <c r="H46" s="252">
        <f t="shared" si="8"/>
        <v>4.503464203233265E-2</v>
      </c>
      <c r="I46" s="250">
        <f>Operations!$BI$21</f>
        <v>922</v>
      </c>
      <c r="J46" s="252">
        <f t="shared" si="9"/>
        <v>-7.5349838536060698E-3</v>
      </c>
      <c r="K46" s="250">
        <f>Operations!$BI$77</f>
        <v>427</v>
      </c>
      <c r="L46" s="252">
        <f t="shared" si="23"/>
        <v>-4.0449438202247223E-2</v>
      </c>
      <c r="M46" s="256">
        <f t="shared" si="24"/>
        <v>332</v>
      </c>
      <c r="N46" s="253"/>
      <c r="O46" s="253"/>
      <c r="P46" s="253"/>
      <c r="Q46" s="250"/>
      <c r="R46" s="250">
        <f>Operations!$BI$6</f>
        <v>660</v>
      </c>
      <c r="S46" s="252">
        <f t="shared" si="27"/>
        <v>-8.418131359851988E-2</v>
      </c>
      <c r="T46" s="250">
        <f>Operations!$BI$8</f>
        <v>740.86666666666679</v>
      </c>
      <c r="U46" s="252">
        <f t="shared" si="28"/>
        <v>-3.4240027809159468E-2</v>
      </c>
      <c r="V46" s="250">
        <f>Operations!$BI$9</f>
        <v>1021.1999999999999</v>
      </c>
      <c r="W46" s="252">
        <f t="shared" si="16"/>
        <v>-6.6431009263773766E-2</v>
      </c>
      <c r="X46" s="250">
        <f>Operations!$BI$10</f>
        <v>805.66069182389947</v>
      </c>
      <c r="Y46" s="252">
        <f t="shared" si="25"/>
        <v>-4.8227706535864723E-2</v>
      </c>
      <c r="Z46" s="250">
        <f>Operations!$BI$11</f>
        <v>819</v>
      </c>
      <c r="AA46" s="252">
        <f t="shared" si="29"/>
        <v>-2.2284122562674091E-2</v>
      </c>
      <c r="AB46" s="250">
        <f>Operations!$BI$12</f>
        <v>870.66666666666663</v>
      </c>
      <c r="AC46" s="252">
        <f t="shared" si="30"/>
        <v>-4.8104956268221533E-2</v>
      </c>
      <c r="AD46" s="250">
        <f>Operations!$BI$72</f>
        <v>414.82666666666665</v>
      </c>
      <c r="AE46" s="250">
        <f>Operations!$BI$73</f>
        <v>429.26333333333332</v>
      </c>
      <c r="AF46" s="250">
        <f>Operations!$BI$74</f>
        <v>424.49923333333334</v>
      </c>
      <c r="AG46" s="252">
        <f t="shared" si="31"/>
        <v>-0.10589739488851824</v>
      </c>
      <c r="AH46" s="780">
        <v>971.94666666666672</v>
      </c>
      <c r="AI46" s="252">
        <f t="shared" si="22"/>
        <v>-2.2140543150919179E-2</v>
      </c>
      <c r="AJ46" s="669">
        <f t="shared" si="15"/>
        <v>51.333333333333371</v>
      </c>
      <c r="AK46" s="454"/>
      <c r="AL46" s="358">
        <f>Operations!$BI$119</f>
        <v>75</v>
      </c>
      <c r="AM46" s="358">
        <f>Operations!$BI$120+Operations!$BI$121</f>
        <v>208</v>
      </c>
      <c r="AN46" s="358">
        <f>Operations!$BI$122</f>
        <v>322</v>
      </c>
      <c r="AO46" s="359">
        <f t="shared" si="26"/>
        <v>605</v>
      </c>
      <c r="AQ46" s="401">
        <v>41090</v>
      </c>
    </row>
    <row r="47" spans="1:43">
      <c r="A47" s="367">
        <v>41153</v>
      </c>
      <c r="B47" s="249" t="s">
        <v>136</v>
      </c>
      <c r="C47" s="250">
        <f>Operations!$BJ$18</f>
        <v>707</v>
      </c>
      <c r="D47" s="252">
        <f t="shared" si="6"/>
        <v>-6.8511198945981566E-2</v>
      </c>
      <c r="E47" s="250">
        <f>Operations!$BJ$19</f>
        <v>745</v>
      </c>
      <c r="F47" s="252">
        <f t="shared" si="7"/>
        <v>-6.2893081761006275E-2</v>
      </c>
      <c r="G47" s="250">
        <f>Operations!$BJ$20</f>
        <v>958</v>
      </c>
      <c r="H47" s="252">
        <f t="shared" si="8"/>
        <v>5.8563535911602127E-2</v>
      </c>
      <c r="I47" s="250">
        <f>Operations!$BJ$21</f>
        <v>837</v>
      </c>
      <c r="J47" s="252">
        <f t="shared" si="9"/>
        <v>-9.2190889370932783E-2</v>
      </c>
      <c r="K47" s="250">
        <f>Operations!$BJ$77</f>
        <v>380</v>
      </c>
      <c r="L47" s="252">
        <f t="shared" si="23"/>
        <v>-0.11007025761124123</v>
      </c>
      <c r="M47" s="256">
        <f t="shared" si="24"/>
        <v>327</v>
      </c>
      <c r="N47" s="253"/>
      <c r="O47" s="253"/>
      <c r="P47" s="253"/>
      <c r="Q47" s="250"/>
      <c r="R47" s="250">
        <f>Operations!$BJ$6</f>
        <v>625.66666666666663</v>
      </c>
      <c r="S47" s="252">
        <f t="shared" si="27"/>
        <v>-5.2020202020202078E-2</v>
      </c>
      <c r="T47" s="250">
        <f>Operations!$BJ$8</f>
        <v>690.33333333333337</v>
      </c>
      <c r="U47" s="252">
        <f t="shared" si="28"/>
        <v>-6.8208404571223014E-2</v>
      </c>
      <c r="V47" s="250">
        <f>Operations!$BJ$9</f>
        <v>900.86666666666679</v>
      </c>
      <c r="W47" s="252">
        <f t="shared" si="16"/>
        <v>-0.11783522653087852</v>
      </c>
      <c r="X47" s="250">
        <f>Operations!$BJ$10</f>
        <v>738.84788061198913</v>
      </c>
      <c r="Y47" s="252">
        <f t="shared" si="25"/>
        <v>-8.2929218081442935E-2</v>
      </c>
      <c r="Z47" s="250">
        <f>Operations!$BJ$11</f>
        <v>769.66666666666663</v>
      </c>
      <c r="AA47" s="252">
        <f t="shared" si="29"/>
        <v>-6.0236060236060318E-2</v>
      </c>
      <c r="AB47" s="250">
        <f>Operations!$BJ$12</f>
        <v>781</v>
      </c>
      <c r="AC47" s="252">
        <f t="shared" si="30"/>
        <v>-0.10298621745788661</v>
      </c>
      <c r="AD47" s="250">
        <f>Operations!$BJ$72</f>
        <v>373.72</v>
      </c>
      <c r="AE47" s="250">
        <f>Operations!$BJ$73</f>
        <v>382.78</v>
      </c>
      <c r="AF47" s="250">
        <f>Operations!$BJ$74</f>
        <v>379.79020000000003</v>
      </c>
      <c r="AG47" s="252">
        <f t="shared" si="31"/>
        <v>-0.10532182351016417</v>
      </c>
      <c r="AH47" s="780">
        <v>916.49666666666656</v>
      </c>
      <c r="AI47" s="252">
        <f t="shared" si="22"/>
        <v>-5.7050455443371506E-2</v>
      </c>
      <c r="AJ47" s="669">
        <f t="shared" si="15"/>
        <v>56</v>
      </c>
      <c r="AK47" s="454"/>
      <c r="AL47" s="358">
        <f>Operations!$BJ$119</f>
        <v>78</v>
      </c>
      <c r="AM47" s="358">
        <f>Operations!$BJ$120+Operations!$BJ$121</f>
        <v>198</v>
      </c>
      <c r="AN47" s="358">
        <f>Operations!$BJ$122</f>
        <v>343</v>
      </c>
      <c r="AO47" s="359">
        <f t="shared" si="26"/>
        <v>619</v>
      </c>
      <c r="AQ47" s="401">
        <v>41182</v>
      </c>
    </row>
    <row r="48" spans="1:43">
      <c r="A48" s="367">
        <v>41244</v>
      </c>
      <c r="B48" s="249" t="s">
        <v>137</v>
      </c>
      <c r="C48" s="250">
        <f>Operations!$BK$18</f>
        <v>690</v>
      </c>
      <c r="D48" s="252">
        <f t="shared" si="6"/>
        <v>-2.4045261669024098E-2</v>
      </c>
      <c r="E48" s="250">
        <f>Operations!$BK$19</f>
        <v>723</v>
      </c>
      <c r="F48" s="252">
        <f t="shared" si="7"/>
        <v>-2.9530201342281903E-2</v>
      </c>
      <c r="G48" s="250">
        <f>Operations!$BK$20</f>
        <v>956</v>
      </c>
      <c r="H48" s="252">
        <f t="shared" si="8"/>
        <v>-2.0876826722338038E-3</v>
      </c>
      <c r="I48" s="250">
        <f>Operations!$BK$21</f>
        <v>778</v>
      </c>
      <c r="J48" s="252">
        <f t="shared" si="9"/>
        <v>-7.0489844683393033E-2</v>
      </c>
      <c r="K48" s="250">
        <f>Operations!$BK$77</f>
        <v>372</v>
      </c>
      <c r="L48" s="252">
        <f t="shared" si="23"/>
        <v>-2.1052631578947323E-2</v>
      </c>
      <c r="M48" s="256">
        <f t="shared" si="24"/>
        <v>318</v>
      </c>
      <c r="N48" s="253"/>
      <c r="O48" s="253"/>
      <c r="P48" s="253"/>
      <c r="Q48" s="250"/>
      <c r="R48" s="250">
        <f>Operations!$BK$6</f>
        <v>619.99869456856368</v>
      </c>
      <c r="S48" s="252">
        <f t="shared" si="27"/>
        <v>-9.0590923251512301E-3</v>
      </c>
      <c r="T48" s="250">
        <f>Operations!$BK$8</f>
        <v>661.73333333333323</v>
      </c>
      <c r="U48" s="252">
        <f t="shared" si="28"/>
        <v>-4.1429261226460845E-2</v>
      </c>
      <c r="V48" s="250">
        <f>Operations!$BK$9</f>
        <v>870.93333333333339</v>
      </c>
      <c r="W48" s="252">
        <f t="shared" si="16"/>
        <v>-3.3227262635980193E-2</v>
      </c>
      <c r="X48" s="250">
        <f>Operations!$BK$10</f>
        <v>716.82146746918886</v>
      </c>
      <c r="Y48" s="252">
        <f t="shared" si="25"/>
        <v>-2.9811837755500781E-2</v>
      </c>
      <c r="Z48" s="250">
        <f>Operations!$BK$11</f>
        <v>757.66499387763997</v>
      </c>
      <c r="AA48" s="252">
        <f t="shared" si="29"/>
        <v>-1.5593338400640921E-2</v>
      </c>
      <c r="AB48" s="250">
        <f>Operations!$BK$12</f>
        <v>700.33333333333337</v>
      </c>
      <c r="AC48" s="252">
        <f t="shared" si="30"/>
        <v>-0.10328638497652576</v>
      </c>
      <c r="AD48" s="250">
        <f>Operations!$BK$72</f>
        <v>369.33</v>
      </c>
      <c r="AE48" s="250">
        <f>Operations!$BK$73</f>
        <v>371.62999999999994</v>
      </c>
      <c r="AF48" s="250">
        <f>Operations!$BK$74</f>
        <v>370.87099999999998</v>
      </c>
      <c r="AG48" s="252">
        <f t="shared" si="31"/>
        <v>-2.3484544888204173E-2</v>
      </c>
      <c r="AH48" s="780">
        <v>903.70333333333338</v>
      </c>
      <c r="AI48" s="252">
        <f t="shared" si="22"/>
        <v>-1.395895238753353E-2</v>
      </c>
      <c r="AJ48" s="669">
        <f t="shared" si="15"/>
        <v>77.666666666666629</v>
      </c>
      <c r="AK48" s="454"/>
      <c r="AL48" s="358">
        <f>Operations!$BK$119</f>
        <v>74</v>
      </c>
      <c r="AM48" s="358">
        <f>Operations!$BK$120+Operations!$BK$121</f>
        <v>191</v>
      </c>
      <c r="AN48" s="358">
        <f>Operations!$BK$122</f>
        <v>265</v>
      </c>
      <c r="AO48" s="359">
        <f t="shared" si="26"/>
        <v>530</v>
      </c>
      <c r="AQ48" s="401">
        <v>41274</v>
      </c>
    </row>
    <row r="49" spans="1:43">
      <c r="A49" s="367">
        <v>41334</v>
      </c>
      <c r="B49" s="249" t="s">
        <v>514</v>
      </c>
      <c r="C49" s="250">
        <f>Operations!$BM$18</f>
        <v>699</v>
      </c>
      <c r="D49" s="252">
        <f t="shared" si="6"/>
        <v>1.304347826086949E-2</v>
      </c>
      <c r="E49" s="250">
        <f>Operations!$BM$19</f>
        <v>732</v>
      </c>
      <c r="F49" s="252">
        <f t="shared" si="7"/>
        <v>1.2448132780082943E-2</v>
      </c>
      <c r="G49" s="250">
        <f>Operations!$BM$20</f>
        <v>949</v>
      </c>
      <c r="H49" s="252">
        <f t="shared" si="8"/>
        <v>-7.3221757322176062E-3</v>
      </c>
      <c r="I49" s="250">
        <f>Operations!$BM$21</f>
        <v>769</v>
      </c>
      <c r="J49" s="252">
        <f t="shared" si="9"/>
        <v>-1.1568123393316143E-2</v>
      </c>
      <c r="K49" s="250">
        <f>Operations!$BM$77</f>
        <v>379</v>
      </c>
      <c r="L49" s="252">
        <f t="shared" si="23"/>
        <v>1.8817204301075252E-2</v>
      </c>
      <c r="M49" s="256">
        <f t="shared" si="24"/>
        <v>320</v>
      </c>
      <c r="N49" s="253"/>
      <c r="O49" s="253"/>
      <c r="P49" s="253"/>
      <c r="Q49" s="250"/>
      <c r="R49" s="250">
        <f>Operations!$BM$6</f>
        <v>616.66666666666663</v>
      </c>
      <c r="S49" s="252">
        <f t="shared" si="27"/>
        <v>-5.3742498671157657E-3</v>
      </c>
      <c r="T49" s="250">
        <f>Operations!$BM$8</f>
        <v>678.73333333333335</v>
      </c>
      <c r="U49" s="252">
        <f t="shared" si="28"/>
        <v>2.5690106790247969E-2</v>
      </c>
      <c r="V49" s="250">
        <f>Operations!$BM$9</f>
        <v>868.06666666666672</v>
      </c>
      <c r="W49" s="252">
        <f t="shared" si="16"/>
        <v>-3.2914880587875395E-3</v>
      </c>
      <c r="X49" s="250">
        <f>Operations!$BM$10</f>
        <v>726.55933490442521</v>
      </c>
      <c r="Y49" s="252">
        <f t="shared" si="25"/>
        <v>1.3584787673305732E-2</v>
      </c>
      <c r="Z49" s="250">
        <f>Operations!$BM$11</f>
        <v>766.99496851300648</v>
      </c>
      <c r="AA49" s="252">
        <f t="shared" si="29"/>
        <v>1.2314116015333942E-2</v>
      </c>
      <c r="AB49" s="250">
        <f>Operations!$BM$12</f>
        <v>718</v>
      </c>
      <c r="AC49" s="252">
        <f t="shared" si="30"/>
        <v>2.5226082817705775E-2</v>
      </c>
      <c r="AD49" s="250">
        <f>Operations!$BM$72</f>
        <v>390.07333333333332</v>
      </c>
      <c r="AE49" s="250">
        <f>Operations!$BM$73</f>
        <v>393.1033333333333</v>
      </c>
      <c r="AF49" s="250">
        <f>Operations!$BM$74</f>
        <v>392.10343333333333</v>
      </c>
      <c r="AG49" s="252">
        <f t="shared" si="31"/>
        <v>5.7250184925036862E-2</v>
      </c>
      <c r="AH49" s="780">
        <v>925.77</v>
      </c>
      <c r="AI49" s="252">
        <f t="shared" si="22"/>
        <v>2.4418042794279726E-2</v>
      </c>
      <c r="AJ49" s="669">
        <f t="shared" si="15"/>
        <v>51</v>
      </c>
      <c r="AK49" s="454"/>
      <c r="AL49" s="358">
        <f>Operations!$BM$119</f>
        <v>71</v>
      </c>
      <c r="AM49" s="358">
        <f>Operations!$BM$120+Operations!$BM$121</f>
        <v>191</v>
      </c>
      <c r="AN49" s="358">
        <f>Operations!$BM$122</f>
        <v>228</v>
      </c>
      <c r="AO49" s="359">
        <f>SUM(AL49:AN49)</f>
        <v>490</v>
      </c>
      <c r="AQ49" s="401">
        <v>41364</v>
      </c>
    </row>
    <row r="50" spans="1:43">
      <c r="A50" s="367">
        <v>41426</v>
      </c>
      <c r="B50" s="249" t="s">
        <v>515</v>
      </c>
      <c r="C50" s="250">
        <f>Operations!$BN$18</f>
        <v>676</v>
      </c>
      <c r="D50" s="252">
        <f t="shared" si="6"/>
        <v>-3.2904148783977072E-2</v>
      </c>
      <c r="E50" s="250">
        <f>Operations!$BN$19</f>
        <v>731</v>
      </c>
      <c r="F50" s="252">
        <f t="shared" si="7"/>
        <v>-1.366120218579181E-3</v>
      </c>
      <c r="G50" s="250">
        <f>Operations!$BN$20</f>
        <v>959</v>
      </c>
      <c r="H50" s="252">
        <f t="shared" si="8"/>
        <v>1.0537407797681864E-2</v>
      </c>
      <c r="I50" s="250">
        <f>Operations!$BN$21</f>
        <v>765</v>
      </c>
      <c r="J50" s="252">
        <f t="shared" si="9"/>
        <v>-5.2015604681404648E-3</v>
      </c>
      <c r="K50" s="250">
        <f>Operations!$BN$77</f>
        <v>377</v>
      </c>
      <c r="L50" s="252">
        <f t="shared" si="23"/>
        <v>-5.2770448548812299E-3</v>
      </c>
      <c r="M50" s="256">
        <f t="shared" si="24"/>
        <v>299</v>
      </c>
      <c r="N50" s="253"/>
      <c r="O50" s="253"/>
      <c r="P50" s="253"/>
      <c r="Q50" s="250"/>
      <c r="R50" s="250">
        <f>Operations!$BN$6</f>
        <v>592.33333333333337</v>
      </c>
      <c r="S50" s="252">
        <f t="shared" si="27"/>
        <v>-3.9459459459459389E-2</v>
      </c>
      <c r="T50" s="250">
        <f>Operations!$BN$8</f>
        <v>662.53333333333342</v>
      </c>
      <c r="U50" s="252">
        <f t="shared" si="28"/>
        <v>-2.3867989392004629E-2</v>
      </c>
      <c r="V50" s="250">
        <f>Operations!$BN$9</f>
        <v>863.93333333333339</v>
      </c>
      <c r="W50" s="252">
        <f t="shared" si="16"/>
        <v>-4.7615390523001455E-3</v>
      </c>
      <c r="X50" s="250">
        <f>Operations!$BN$10</f>
        <v>713.4473958333333</v>
      </c>
      <c r="Y50" s="252">
        <f t="shared" si="25"/>
        <v>-1.8046618412543958E-2</v>
      </c>
      <c r="Z50" s="250">
        <f>Operations!$BN$11</f>
        <v>769.66161768645463</v>
      </c>
      <c r="AA50" s="252">
        <f t="shared" si="29"/>
        <v>3.4767492394611743E-3</v>
      </c>
      <c r="AB50" s="250">
        <f>Operations!$BN$12</f>
        <v>718</v>
      </c>
      <c r="AC50" s="252">
        <f t="shared" si="30"/>
        <v>0</v>
      </c>
      <c r="AD50" s="250">
        <f>Operations!$BN$72</f>
        <v>374.86666666666662</v>
      </c>
      <c r="AE50" s="250">
        <f>Operations!$BN$73</f>
        <v>392.21333333333331</v>
      </c>
      <c r="AF50" s="250">
        <f>Operations!$BN$74</f>
        <v>386.48893333333331</v>
      </c>
      <c r="AG50" s="252">
        <f t="shared" si="31"/>
        <v>-1.4318925882056854E-2</v>
      </c>
      <c r="AH50" s="780">
        <v>912.12</v>
      </c>
      <c r="AI50" s="252">
        <f t="shared" si="22"/>
        <v>-1.4744482970932227E-2</v>
      </c>
      <c r="AJ50" s="669">
        <f t="shared" si="15"/>
        <v>47</v>
      </c>
      <c r="AK50" s="454">
        <f t="shared" ref="AK50:AK64" si="32">+K50-AF50</f>
        <v>-9.488933333333307</v>
      </c>
      <c r="AL50" s="358">
        <f>Operations!$BN$119</f>
        <v>91</v>
      </c>
      <c r="AM50" s="358">
        <f>Operations!$BN$120+Operations!$BN$121</f>
        <v>207</v>
      </c>
      <c r="AN50" s="358">
        <f>Operations!$BN$122</f>
        <v>280</v>
      </c>
      <c r="AO50" s="359">
        <f t="shared" si="26"/>
        <v>578</v>
      </c>
      <c r="AQ50" s="401">
        <v>41455</v>
      </c>
    </row>
    <row r="51" spans="1:43">
      <c r="A51" s="367">
        <v>41518</v>
      </c>
      <c r="B51" s="249" t="s">
        <v>516</v>
      </c>
      <c r="C51" s="250">
        <f>Operations!$BO$18</f>
        <v>693</v>
      </c>
      <c r="D51" s="252">
        <f t="shared" si="6"/>
        <v>2.5147928994082802E-2</v>
      </c>
      <c r="E51" s="250">
        <f>Operations!$BO$19</f>
        <v>708</v>
      </c>
      <c r="F51" s="252">
        <f t="shared" si="7"/>
        <v>-3.1463748290013638E-2</v>
      </c>
      <c r="G51" s="250">
        <f>Operations!$BO$20</f>
        <v>923</v>
      </c>
      <c r="H51" s="252">
        <f t="shared" si="8"/>
        <v>-3.7539103232533844E-2</v>
      </c>
      <c r="I51" s="250">
        <f>Operations!$BO$21</f>
        <v>753</v>
      </c>
      <c r="J51" s="252">
        <f t="shared" si="9"/>
        <v>-1.5686274509803977E-2</v>
      </c>
      <c r="K51" s="250">
        <f>Operations!$BO$77</f>
        <v>372</v>
      </c>
      <c r="L51" s="252">
        <f t="shared" si="23"/>
        <v>-1.3262599469496039E-2</v>
      </c>
      <c r="M51" s="256">
        <f t="shared" si="24"/>
        <v>321</v>
      </c>
      <c r="N51" s="253"/>
      <c r="O51" s="253"/>
      <c r="P51" s="253"/>
      <c r="Q51" s="250"/>
      <c r="R51" s="250">
        <f>Operations!$BO$6</f>
        <v>643.66666666666663</v>
      </c>
      <c r="S51" s="252">
        <f t="shared" si="27"/>
        <v>8.6662915025323528E-2</v>
      </c>
      <c r="T51" s="250">
        <f>Operations!$BO$8</f>
        <v>645</v>
      </c>
      <c r="U51" s="252">
        <f t="shared" si="28"/>
        <v>-2.6464077279130693E-2</v>
      </c>
      <c r="V51" s="250">
        <f>Operations!$BO$9</f>
        <v>831.93333333333339</v>
      </c>
      <c r="W51" s="252">
        <f t="shared" si="16"/>
        <v>-3.70398950536307E-2</v>
      </c>
      <c r="X51" s="250">
        <f>Operations!$BO$10</f>
        <v>689.69200743494423</v>
      </c>
      <c r="Y51" s="252">
        <f t="shared" si="25"/>
        <v>-3.3296622199653347E-2</v>
      </c>
      <c r="Z51" s="250">
        <f>Operations!$BO$11</f>
        <v>762.32833245947234</v>
      </c>
      <c r="AA51" s="252">
        <f t="shared" si="29"/>
        <v>-9.5279341706366871E-3</v>
      </c>
      <c r="AB51" s="250">
        <f>Operations!$BO$12</f>
        <v>706.33333333333337</v>
      </c>
      <c r="AC51" s="252">
        <f t="shared" si="30"/>
        <v>-1.624883936861643E-2</v>
      </c>
      <c r="AD51" s="250">
        <f>Operations!$BO$72</f>
        <v>366.6033333333333</v>
      </c>
      <c r="AE51" s="250">
        <f>Operations!$BO$73</f>
        <v>404.09999999999997</v>
      </c>
      <c r="AF51" s="250">
        <f>Operations!$BO$74</f>
        <v>391.72609999999997</v>
      </c>
      <c r="AG51" s="252">
        <f t="shared" si="31"/>
        <v>1.3550625166671493E-2</v>
      </c>
      <c r="AH51" s="780">
        <v>930.15333333333331</v>
      </c>
      <c r="AI51" s="252">
        <f t="shared" si="22"/>
        <v>1.9770790393076831E-2</v>
      </c>
      <c r="AJ51" s="669">
        <f t="shared" si="15"/>
        <v>46.666666666666629</v>
      </c>
      <c r="AK51" s="454">
        <f t="shared" si="32"/>
        <v>-19.726099999999974</v>
      </c>
      <c r="AL51" s="358">
        <f>Operations!$BO$119</f>
        <v>86</v>
      </c>
      <c r="AM51" s="358">
        <f>Operations!$BO$120+Operations!$BO$121</f>
        <v>203</v>
      </c>
      <c r="AN51" s="358">
        <f>Operations!$BO$122</f>
        <v>305</v>
      </c>
      <c r="AO51" s="359">
        <f t="shared" si="26"/>
        <v>594</v>
      </c>
      <c r="AQ51" s="401">
        <v>41547</v>
      </c>
    </row>
    <row r="52" spans="1:43">
      <c r="A52" s="367">
        <v>41609</v>
      </c>
      <c r="B52" s="249" t="s">
        <v>517</v>
      </c>
      <c r="C52" s="250">
        <f>Operations!$BP$18</f>
        <v>724</v>
      </c>
      <c r="D52" s="252">
        <f t="shared" si="6"/>
        <v>4.4733044733044736E-2</v>
      </c>
      <c r="E52" s="250">
        <f>Operations!$BP$19</f>
        <v>709</v>
      </c>
      <c r="F52" s="252">
        <f t="shared" si="7"/>
        <v>1.4124293785311437E-3</v>
      </c>
      <c r="G52" s="250">
        <f>Operations!$BP$20</f>
        <v>969</v>
      </c>
      <c r="H52" s="252">
        <f t="shared" si="8"/>
        <v>4.9837486457204871E-2</v>
      </c>
      <c r="I52" s="250">
        <f>Operations!$BP$21</f>
        <v>767</v>
      </c>
      <c r="J52" s="252">
        <f t="shared" si="9"/>
        <v>1.8592297476759612E-2</v>
      </c>
      <c r="K52" s="250">
        <f>Operations!$BP$77</f>
        <v>377</v>
      </c>
      <c r="L52" s="252">
        <f t="shared" si="23"/>
        <v>1.3440860215053752E-2</v>
      </c>
      <c r="M52" s="256">
        <f t="shared" si="24"/>
        <v>347</v>
      </c>
      <c r="N52" s="253"/>
      <c r="O52" s="253"/>
      <c r="P52" s="253"/>
      <c r="Q52" s="250"/>
      <c r="R52" s="250">
        <f>Operations!$BP$6</f>
        <v>658.99708081915003</v>
      </c>
      <c r="S52" s="252">
        <f t="shared" si="27"/>
        <v>2.3817318724728143E-2</v>
      </c>
      <c r="T52" s="250">
        <f>Operations!$BP$8</f>
        <v>651.80000000000007</v>
      </c>
      <c r="U52" s="252">
        <f t="shared" si="28"/>
        <v>1.054263565891489E-2</v>
      </c>
      <c r="V52" s="250">
        <f>Operations!$BP$9</f>
        <v>824.06666666666661</v>
      </c>
      <c r="W52" s="252">
        <f t="shared" si="16"/>
        <v>-9.4558858882924923E-3</v>
      </c>
      <c r="X52" s="250">
        <f>Operations!$BP$10</f>
        <v>694.60873261205575</v>
      </c>
      <c r="Y52" s="252">
        <f t="shared" si="25"/>
        <v>7.1288707482597413E-3</v>
      </c>
      <c r="Z52" s="250">
        <f>Operations!$BP$11</f>
        <v>758.66168984598119</v>
      </c>
      <c r="AA52" s="252">
        <f t="shared" si="29"/>
        <v>-4.8097944905990397E-3</v>
      </c>
      <c r="AB52" s="250">
        <f>Operations!$BP$12</f>
        <v>721.33333333333337</v>
      </c>
      <c r="AC52" s="252">
        <f t="shared" si="30"/>
        <v>2.1236432279376993E-2</v>
      </c>
      <c r="AD52" s="250">
        <f>Operations!$BP$72</f>
        <v>383.98333333333335</v>
      </c>
      <c r="AE52" s="250">
        <f>Operations!$BP$73</f>
        <v>417.89333333333337</v>
      </c>
      <c r="AF52" s="250">
        <f>Operations!$BP$74</f>
        <v>406.70303333333334</v>
      </c>
      <c r="AG52" s="252">
        <f t="shared" si="31"/>
        <v>3.823317704215623E-2</v>
      </c>
      <c r="AH52" s="780">
        <v>952.18666666666661</v>
      </c>
      <c r="AI52" s="252">
        <f t="shared" si="22"/>
        <v>2.3687850748622008E-2</v>
      </c>
      <c r="AJ52" s="669">
        <f t="shared" si="15"/>
        <v>45.666666666666629</v>
      </c>
      <c r="AK52" s="454">
        <f t="shared" si="32"/>
        <v>-29.703033333333337</v>
      </c>
      <c r="AL52" s="358">
        <f>Operations!$BP$119</f>
        <v>94</v>
      </c>
      <c r="AM52" s="358">
        <f>Operations!$BP$120+Operations!$BP$121</f>
        <v>207</v>
      </c>
      <c r="AN52" s="358">
        <f>Operations!$BP$122</f>
        <v>252</v>
      </c>
      <c r="AO52" s="359">
        <f t="shared" si="26"/>
        <v>553</v>
      </c>
      <c r="AQ52" s="401">
        <v>41639</v>
      </c>
    </row>
    <row r="53" spans="1:43">
      <c r="A53" s="367">
        <v>41699</v>
      </c>
      <c r="B53" s="249" t="s">
        <v>518</v>
      </c>
      <c r="C53" s="250">
        <f>Operations!$BR$18</f>
        <v>744</v>
      </c>
      <c r="D53" s="252">
        <f t="shared" si="6"/>
        <v>2.7624309392265234E-2</v>
      </c>
      <c r="E53" s="250">
        <f>Operations!$BR$19</f>
        <v>737</v>
      </c>
      <c r="F53" s="252">
        <f t="shared" si="7"/>
        <v>3.9492242595204452E-2</v>
      </c>
      <c r="G53" s="250">
        <f>Operations!$BR$20</f>
        <v>941</v>
      </c>
      <c r="H53" s="252">
        <f t="shared" si="8"/>
        <v>-2.8895768833849367E-2</v>
      </c>
      <c r="I53" s="250">
        <f>Operations!$BR$21</f>
        <v>816</v>
      </c>
      <c r="J53" s="252">
        <f t="shared" si="9"/>
        <v>6.3885267275097801E-2</v>
      </c>
      <c r="K53" s="250">
        <f>Operations!$BR$77</f>
        <v>398</v>
      </c>
      <c r="L53" s="252">
        <f t="shared" si="23"/>
        <v>5.5702917771883298E-2</v>
      </c>
      <c r="M53" s="256">
        <f t="shared" si="24"/>
        <v>346</v>
      </c>
      <c r="N53" s="253"/>
      <c r="O53" s="253"/>
      <c r="P53" s="253"/>
      <c r="Q53" s="250"/>
      <c r="R53" s="250">
        <f>Operations!$BR$6</f>
        <v>654.66666666666663</v>
      </c>
      <c r="S53" s="252">
        <f t="shared" si="27"/>
        <v>-6.5712190213355059E-3</v>
      </c>
      <c r="T53" s="250">
        <f>Operations!$BR$8</f>
        <v>687</v>
      </c>
      <c r="U53" s="252">
        <f t="shared" si="28"/>
        <v>5.4004295796256319E-2</v>
      </c>
      <c r="V53" s="250">
        <f>Operations!$BR$9</f>
        <v>877.86666666666679</v>
      </c>
      <c r="W53" s="252">
        <f t="shared" si="16"/>
        <v>6.5285980098697793E-2</v>
      </c>
      <c r="X53" s="250">
        <f>Operations!$BR$10</f>
        <v>743.51122625215896</v>
      </c>
      <c r="Y53" s="252">
        <f t="shared" si="25"/>
        <v>7.0402935270057476E-2</v>
      </c>
      <c r="Z53" s="250">
        <f>Operations!$BR$11</f>
        <v>791.33333333333337</v>
      </c>
      <c r="AA53" s="252">
        <f t="shared" si="29"/>
        <v>4.3064838945518602E-2</v>
      </c>
      <c r="AB53" s="250">
        <f>Operations!$BR$12</f>
        <v>787</v>
      </c>
      <c r="AC53" s="252">
        <f t="shared" si="30"/>
        <v>9.1035120147874293E-2</v>
      </c>
      <c r="AD53" s="250">
        <f>Operations!$BR$72</f>
        <v>412.41333333333336</v>
      </c>
      <c r="AE53" s="250">
        <f>Operations!$BR$73</f>
        <v>414.45</v>
      </c>
      <c r="AF53" s="250">
        <f>Operations!$BR$74</f>
        <v>413.77790000000005</v>
      </c>
      <c r="AG53" s="252">
        <f t="shared" si="31"/>
        <v>1.7395657486695359E-2</v>
      </c>
      <c r="AH53" s="780">
        <v>981.62</v>
      </c>
      <c r="AI53" s="252">
        <f t="shared" si="22"/>
        <v>3.0911305906405007E-2</v>
      </c>
      <c r="AJ53" s="669">
        <f t="shared" si="15"/>
        <v>29</v>
      </c>
      <c r="AK53" s="454">
        <f t="shared" si="32"/>
        <v>-15.777900000000045</v>
      </c>
      <c r="AL53" s="358">
        <f>Operations!$BR$119</f>
        <v>92</v>
      </c>
      <c r="AM53" s="358">
        <f>Operations!$BR$120+Operations!$BR$121</f>
        <v>225</v>
      </c>
      <c r="AN53" s="358">
        <f>Operations!$BR$122</f>
        <v>239</v>
      </c>
      <c r="AO53" s="359">
        <f t="shared" ref="AO53:AO64" si="33">SUM(AL53:AN53)</f>
        <v>556</v>
      </c>
      <c r="AQ53" s="401">
        <v>41729</v>
      </c>
    </row>
    <row r="54" spans="1:43">
      <c r="A54" s="367">
        <v>41791</v>
      </c>
      <c r="B54" s="249" t="s">
        <v>519</v>
      </c>
      <c r="C54" s="250">
        <f>Operations!$BS$18</f>
        <v>737</v>
      </c>
      <c r="D54" s="252">
        <f t="shared" si="6"/>
        <v>-9.4086021505376261E-3</v>
      </c>
      <c r="E54" s="250">
        <f>Operations!$BS$19</f>
        <v>732</v>
      </c>
      <c r="F54" s="252">
        <f t="shared" si="7"/>
        <v>-6.7842605156037683E-3</v>
      </c>
      <c r="G54" s="250">
        <f>Operations!$BS$20</f>
        <v>1039</v>
      </c>
      <c r="H54" s="252">
        <f t="shared" si="8"/>
        <v>0.10414452709883104</v>
      </c>
      <c r="I54" s="250">
        <f>Operations!$BS$21</f>
        <v>837</v>
      </c>
      <c r="J54" s="252">
        <f t="shared" si="9"/>
        <v>2.5735294117646967E-2</v>
      </c>
      <c r="K54" s="250">
        <f>Operations!$BS$77</f>
        <v>384</v>
      </c>
      <c r="L54" s="252">
        <f t="shared" si="23"/>
        <v>-3.5175879396984966E-2</v>
      </c>
      <c r="M54" s="256">
        <f t="shared" si="24"/>
        <v>353</v>
      </c>
      <c r="N54" s="253"/>
      <c r="O54" s="253"/>
      <c r="P54" s="253"/>
      <c r="Q54" s="250"/>
      <c r="R54" s="250">
        <f>Operations!$BS$6</f>
        <v>671</v>
      </c>
      <c r="S54" s="252">
        <f t="shared" si="27"/>
        <v>2.4949083503055025E-2</v>
      </c>
      <c r="T54" s="250">
        <f>Operations!$BS$8</f>
        <v>687.13333333333333</v>
      </c>
      <c r="U54" s="252">
        <f t="shared" si="28"/>
        <v>1.9408054342551218E-4</v>
      </c>
      <c r="V54" s="250">
        <f>Operations!$BS$9</f>
        <v>897.6</v>
      </c>
      <c r="W54" s="252">
        <f t="shared" si="16"/>
        <v>2.2478736330498128E-2</v>
      </c>
      <c r="X54" s="250">
        <f>Operations!$BS$10</f>
        <v>746.00512820512836</v>
      </c>
      <c r="Y54" s="252">
        <f t="shared" si="25"/>
        <v>3.3542223236364688E-3</v>
      </c>
      <c r="Z54" s="250">
        <f>Operations!$BS$11</f>
        <v>794</v>
      </c>
      <c r="AA54" s="252">
        <f t="shared" si="29"/>
        <v>3.3698399326032025E-3</v>
      </c>
      <c r="AB54" s="250">
        <f>Operations!$BS$12</f>
        <v>811.66666666666663</v>
      </c>
      <c r="AC54" s="252">
        <f t="shared" si="30"/>
        <v>3.1342651418890144E-2</v>
      </c>
      <c r="AD54" s="250">
        <f>Operations!$BS$72</f>
        <v>383.64333333333337</v>
      </c>
      <c r="AE54" s="250">
        <f>Operations!$BS$73</f>
        <v>397.29333333333335</v>
      </c>
      <c r="AF54" s="250">
        <f>Operations!$BS$74</f>
        <v>392.7888333333334</v>
      </c>
      <c r="AG54" s="252">
        <f t="shared" si="31"/>
        <v>-5.0725441515041436E-2</v>
      </c>
      <c r="AH54" s="780">
        <v>956.29333333333341</v>
      </c>
      <c r="AI54" s="252">
        <f t="shared" si="22"/>
        <v>-2.580088696915972E-2</v>
      </c>
      <c r="AJ54" s="669">
        <f>I54-AB54</f>
        <v>25.333333333333371</v>
      </c>
      <c r="AK54" s="454">
        <f t="shared" si="32"/>
        <v>-8.7888333333334003</v>
      </c>
      <c r="AL54" s="358">
        <f>Operations!$BS$119</f>
        <v>97</v>
      </c>
      <c r="AM54" s="358">
        <f>Operations!$BS$120+Operations!$BS$121</f>
        <v>234</v>
      </c>
      <c r="AN54" s="358">
        <f>Operations!$BS$122</f>
        <v>321</v>
      </c>
      <c r="AO54" s="359">
        <f t="shared" si="33"/>
        <v>652</v>
      </c>
      <c r="AQ54" s="401">
        <v>41820</v>
      </c>
    </row>
    <row r="55" spans="1:43">
      <c r="A55" s="367">
        <v>41883</v>
      </c>
      <c r="B55" s="249" t="s">
        <v>520</v>
      </c>
      <c r="C55" s="250">
        <f>Operations!$BT$18</f>
        <v>750</v>
      </c>
      <c r="D55" s="252">
        <f t="shared" si="6"/>
        <v>1.7639077340569909E-2</v>
      </c>
      <c r="E55" s="250">
        <f>Operations!$BT$19</f>
        <v>738</v>
      </c>
      <c r="F55" s="252">
        <f t="shared" si="7"/>
        <v>8.1967213114753079E-3</v>
      </c>
      <c r="G55" s="250">
        <f>Operations!$BT$20</f>
        <v>1058</v>
      </c>
      <c r="H55" s="252">
        <f t="shared" si="8"/>
        <v>1.8286814244465877E-2</v>
      </c>
      <c r="I55" s="250">
        <f>Operations!$BT$21</f>
        <v>863</v>
      </c>
      <c r="J55" s="252">
        <f t="shared" si="9"/>
        <v>3.1063321385901954E-2</v>
      </c>
      <c r="K55" s="250">
        <f>Operations!$BT$77</f>
        <v>379</v>
      </c>
      <c r="L55" s="252">
        <f t="shared" si="23"/>
        <v>-1.302083333333337E-2</v>
      </c>
      <c r="M55" s="256">
        <f t="shared" si="24"/>
        <v>371</v>
      </c>
      <c r="N55" s="253"/>
      <c r="O55" s="253"/>
      <c r="P55" s="253"/>
      <c r="Q55" s="250"/>
      <c r="R55" s="250">
        <f>Operations!$BT$6</f>
        <v>667.66666666666663</v>
      </c>
      <c r="S55" s="252">
        <f t="shared" si="27"/>
        <v>-4.9677098857426882E-3</v>
      </c>
      <c r="T55" s="250">
        <f>Operations!$BT$8</f>
        <v>662.6</v>
      </c>
      <c r="U55" s="252">
        <f t="shared" si="28"/>
        <v>-3.5703890559813711E-2</v>
      </c>
      <c r="V55" s="250">
        <f>Operations!$BT$9</f>
        <v>902.4666666666667</v>
      </c>
      <c r="W55" s="252">
        <f t="shared" si="16"/>
        <v>5.4218657159834649E-3</v>
      </c>
      <c r="X55" s="250">
        <f>Operations!$BT$10</f>
        <v>726.47927208166891</v>
      </c>
      <c r="Y55" s="252">
        <f t="shared" si="25"/>
        <v>-2.617388994421288E-2</v>
      </c>
      <c r="Z55" s="250">
        <f>Operations!$BT$11</f>
        <v>799</v>
      </c>
      <c r="AA55" s="252">
        <f t="shared" si="29"/>
        <v>6.297229219143663E-3</v>
      </c>
      <c r="AB55" s="250">
        <f>Operations!$BT$12</f>
        <v>846.66666666666663</v>
      </c>
      <c r="AC55" s="252">
        <f t="shared" si="30"/>
        <v>4.3121149897330513E-2</v>
      </c>
      <c r="AD55" s="250">
        <f>Operations!$BT$72</f>
        <v>374.24333333333334</v>
      </c>
      <c r="AE55" s="250">
        <f>Operations!$BT$73</f>
        <v>397</v>
      </c>
      <c r="AF55" s="250">
        <f>Operations!$BT$74</f>
        <v>389.49030000000005</v>
      </c>
      <c r="AG55" s="252">
        <f t="shared" si="31"/>
        <v>-8.397726853232923E-3</v>
      </c>
      <c r="AH55" s="780">
        <v>935.43999999999994</v>
      </c>
      <c r="AI55" s="252">
        <f t="shared" si="22"/>
        <v>-2.1806419229804086E-2</v>
      </c>
      <c r="AJ55" s="669">
        <f t="shared" ref="AJ55:AJ61" si="34">I55-AB55</f>
        <v>16.333333333333371</v>
      </c>
      <c r="AK55" s="454">
        <f t="shared" si="32"/>
        <v>-10.490300000000047</v>
      </c>
      <c r="AL55" s="358">
        <f>Operations!$BT$119</f>
        <v>128</v>
      </c>
      <c r="AM55" s="358">
        <f>Operations!$BT$120+Operations!$BT$121</f>
        <v>242</v>
      </c>
      <c r="AN55" s="358">
        <f>Operations!$BT$122</f>
        <v>342</v>
      </c>
      <c r="AO55" s="359">
        <f t="shared" si="33"/>
        <v>712</v>
      </c>
      <c r="AQ55" s="401">
        <v>41912</v>
      </c>
    </row>
    <row r="56" spans="1:43">
      <c r="A56" s="367">
        <v>41974</v>
      </c>
      <c r="B56" s="249" t="s">
        <v>521</v>
      </c>
      <c r="C56" s="250">
        <f>Operations!$BU$18</f>
        <v>712</v>
      </c>
      <c r="D56" s="252">
        <f t="shared" si="6"/>
        <v>-5.0666666666666638E-2</v>
      </c>
      <c r="E56" s="250">
        <f>Operations!$BU$19</f>
        <v>724</v>
      </c>
      <c r="F56" s="252">
        <f t="shared" si="7"/>
        <v>-1.8970189701897011E-2</v>
      </c>
      <c r="G56" s="250">
        <f>Operations!$BU$20</f>
        <v>1063</v>
      </c>
      <c r="H56" s="252">
        <f t="shared" si="8"/>
        <v>4.725897920604849E-3</v>
      </c>
      <c r="I56" s="250">
        <f>Operations!$BU$21</f>
        <v>875</v>
      </c>
      <c r="J56" s="252">
        <f t="shared" si="9"/>
        <v>1.3904982618771822E-2</v>
      </c>
      <c r="K56" s="250">
        <f>Operations!$BU$77</f>
        <v>363</v>
      </c>
      <c r="L56" s="252">
        <f t="shared" si="23"/>
        <v>-4.2216358839050172E-2</v>
      </c>
      <c r="M56" s="256">
        <f t="shared" si="24"/>
        <v>349</v>
      </c>
      <c r="N56" s="253"/>
      <c r="O56" s="253"/>
      <c r="P56" s="253"/>
      <c r="Q56" s="250"/>
      <c r="R56" s="250">
        <f>Operations!$BU$6</f>
        <v>634.33333333333337</v>
      </c>
      <c r="S56" s="252">
        <f t="shared" si="27"/>
        <v>-4.9925112331502652E-2</v>
      </c>
      <c r="T56" s="250">
        <f>Operations!$BU$8</f>
        <v>671.93333333333328</v>
      </c>
      <c r="U56" s="252">
        <f t="shared" si="28"/>
        <v>1.4085924137237082E-2</v>
      </c>
      <c r="V56" s="250">
        <f>Operations!$BU$9</f>
        <v>926.06666666666661</v>
      </c>
      <c r="W56" s="252">
        <f t="shared" si="16"/>
        <v>2.6150550343502887E-2</v>
      </c>
      <c r="X56" s="250">
        <f>Operations!$BU$10</f>
        <v>753.71397157414845</v>
      </c>
      <c r="Y56" s="252">
        <f t="shared" si="25"/>
        <v>3.7488611911033143E-2</v>
      </c>
      <c r="Z56" s="250">
        <f>Operations!$BU$11</f>
        <v>796</v>
      </c>
      <c r="AA56" s="252">
        <f t="shared" si="29"/>
        <v>-3.754693366708417E-3</v>
      </c>
      <c r="AB56" s="250">
        <f>Operations!$BU$12</f>
        <v>794</v>
      </c>
      <c r="AC56" s="252">
        <f t="shared" si="30"/>
        <v>-6.2204724409448797E-2</v>
      </c>
      <c r="AD56" s="250">
        <f>Operations!$BU$72</f>
        <v>338.38333333333338</v>
      </c>
      <c r="AE56" s="250">
        <f>Operations!$BU$73</f>
        <v>362.80666666666667</v>
      </c>
      <c r="AF56" s="250">
        <f>Operations!$BU$74</f>
        <v>354.74696666666671</v>
      </c>
      <c r="AG56" s="252">
        <f t="shared" si="31"/>
        <v>-8.9202050303520575E-2</v>
      </c>
      <c r="AH56" s="780">
        <v>895.50666666666666</v>
      </c>
      <c r="AI56" s="252">
        <f t="shared" si="22"/>
        <v>-4.2689358305538883E-2</v>
      </c>
      <c r="AJ56" s="669">
        <f t="shared" si="34"/>
        <v>81</v>
      </c>
      <c r="AK56" s="454">
        <f t="shared" si="32"/>
        <v>8.2530333333332919</v>
      </c>
      <c r="AL56" s="358">
        <f>Operations!$BU$119</f>
        <v>104</v>
      </c>
      <c r="AM56" s="358">
        <f>Operations!$BU$120+Operations!$BU$121</f>
        <v>199</v>
      </c>
      <c r="AN56" s="358">
        <f>Operations!$BU$122</f>
        <v>283</v>
      </c>
      <c r="AO56" s="359">
        <f t="shared" si="33"/>
        <v>586</v>
      </c>
      <c r="AQ56" s="401">
        <v>42004</v>
      </c>
    </row>
    <row r="57" spans="1:43">
      <c r="A57" s="367">
        <v>42064</v>
      </c>
      <c r="B57" s="249" t="s">
        <v>401</v>
      </c>
      <c r="C57" s="250">
        <f>Operations!$BW$18</f>
        <v>663</v>
      </c>
      <c r="D57" s="252">
        <f t="shared" si="6"/>
        <v>-6.8820224719101097E-2</v>
      </c>
      <c r="E57" s="250">
        <f>Operations!$BW$19</f>
        <v>698</v>
      </c>
      <c r="F57" s="252">
        <f t="shared" si="7"/>
        <v>-3.5911602209944715E-2</v>
      </c>
      <c r="G57" s="250">
        <f>Operations!$BW$20</f>
        <v>996</v>
      </c>
      <c r="H57" s="252">
        <f t="shared" si="8"/>
        <v>-6.3029162746942591E-2</v>
      </c>
      <c r="I57" s="250">
        <f>Operations!$BW$21</f>
        <v>805</v>
      </c>
      <c r="J57" s="252">
        <f t="shared" si="9"/>
        <v>-7.999999999999996E-2</v>
      </c>
      <c r="K57" s="250">
        <f>Operations!$BW$77</f>
        <v>324</v>
      </c>
      <c r="L57" s="252">
        <f t="shared" si="23"/>
        <v>-0.1074380165289256</v>
      </c>
      <c r="M57" s="256">
        <f t="shared" si="24"/>
        <v>339</v>
      </c>
      <c r="N57" s="253"/>
      <c r="O57" s="253"/>
      <c r="P57" s="253"/>
      <c r="Q57" s="250"/>
      <c r="R57" s="250">
        <f>Operations!$BW$6</f>
        <v>536.33333333333337</v>
      </c>
      <c r="S57" s="252">
        <f t="shared" si="27"/>
        <v>-0.15449290593799259</v>
      </c>
      <c r="T57" s="250">
        <f>Operations!$BW$8</f>
        <v>622.66666666666663</v>
      </c>
      <c r="U57" s="252">
        <f t="shared" si="28"/>
        <v>-7.3320765949002831E-2</v>
      </c>
      <c r="V57" s="250">
        <f>Operations!$BW$9</f>
        <v>895.46666666666658</v>
      </c>
      <c r="W57" s="252">
        <f t="shared" si="16"/>
        <v>-3.3042977467425017E-2</v>
      </c>
      <c r="X57" s="250">
        <f>Operations!$BW$10</f>
        <v>715.69309462915601</v>
      </c>
      <c r="Y57" s="252">
        <f t="shared" si="25"/>
        <v>-5.0444702339250802E-2</v>
      </c>
      <c r="Z57" s="250">
        <f>Operations!$BW$11</f>
        <v>751.33333333333337</v>
      </c>
      <c r="AA57" s="252">
        <f t="shared" si="29"/>
        <v>-5.6113902847571118E-2</v>
      </c>
      <c r="AB57" s="250">
        <f>Operations!$BW$12</f>
        <v>664.33333333333337</v>
      </c>
      <c r="AC57" s="252">
        <f t="shared" si="30"/>
        <v>-0.16330814441645669</v>
      </c>
      <c r="AD57" s="250">
        <f>Operations!$BW$72</f>
        <v>277.58666666666664</v>
      </c>
      <c r="AE57" s="250">
        <f>Operations!$BW$73</f>
        <v>290.99333333333334</v>
      </c>
      <c r="AF57" s="250">
        <f>Operations!$BW$74</f>
        <v>286.56913333333335</v>
      </c>
      <c r="AG57" s="252">
        <f t="shared" si="31"/>
        <v>-0.19218722001757316</v>
      </c>
      <c r="AH57" s="780">
        <v>836.2833333333333</v>
      </c>
      <c r="AI57" s="252">
        <f t="shared" si="22"/>
        <v>-6.6133883239283597E-2</v>
      </c>
      <c r="AJ57" s="669">
        <f t="shared" si="34"/>
        <v>140.66666666666663</v>
      </c>
      <c r="AK57" s="454">
        <f t="shared" si="32"/>
        <v>37.430866666666645</v>
      </c>
      <c r="AL57" s="358">
        <f>Operations!$BW$119</f>
        <v>89</v>
      </c>
      <c r="AM57" s="358">
        <f>Operations!$BW$120+Operations!$BW$121</f>
        <v>212</v>
      </c>
      <c r="AN57" s="358">
        <f>Operations!$BW$122</f>
        <v>262</v>
      </c>
      <c r="AO57" s="359">
        <f t="shared" si="33"/>
        <v>563</v>
      </c>
      <c r="AQ57" s="401">
        <v>42094</v>
      </c>
    </row>
    <row r="58" spans="1:43">
      <c r="A58" s="367">
        <v>42156</v>
      </c>
      <c r="B58" s="249" t="s">
        <v>402</v>
      </c>
      <c r="C58" s="250">
        <f>Operations!$BX$18</f>
        <v>560</v>
      </c>
      <c r="D58" s="252">
        <f t="shared" ref="D58:D66" si="35">C58/C57-1</f>
        <v>-0.15535444947209653</v>
      </c>
      <c r="E58" s="250">
        <f>Operations!$BX$19</f>
        <v>623</v>
      </c>
      <c r="F58" s="252">
        <f t="shared" ref="F58:F66" si="36">E58/E57-1</f>
        <v>-0.10744985673352436</v>
      </c>
      <c r="G58" s="250">
        <f>Operations!$BX$20</f>
        <v>991</v>
      </c>
      <c r="H58" s="252">
        <f t="shared" ref="H58:H66" si="37">G58/G57-1</f>
        <v>-5.020080321285092E-3</v>
      </c>
      <c r="I58" s="250">
        <f>Operations!$BX$21</f>
        <v>691</v>
      </c>
      <c r="J58" s="252">
        <f t="shared" ref="J58:J66" si="38">I58/I57-1</f>
        <v>-0.14161490683229816</v>
      </c>
      <c r="K58" s="250">
        <f>Operations!$BX$77</f>
        <v>271</v>
      </c>
      <c r="L58" s="252">
        <f t="shared" ref="L58:L66" si="39">K58/K57-1</f>
        <v>-0.1635802469135802</v>
      </c>
      <c r="M58" s="256">
        <f t="shared" ref="M58:M63" si="40">C58-K58</f>
        <v>289</v>
      </c>
      <c r="N58" s="253"/>
      <c r="O58" s="253"/>
      <c r="P58" s="253"/>
      <c r="Q58" s="250"/>
      <c r="R58" s="250">
        <f>Operations!$BX$6</f>
        <v>453.66666666666669</v>
      </c>
      <c r="S58" s="252">
        <f>R58/R57-1</f>
        <v>-0.15413300186451218</v>
      </c>
      <c r="T58" s="250">
        <f>Operations!$BX$8</f>
        <v>587.66666666666663</v>
      </c>
      <c r="U58" s="252">
        <f>T58/T57-1</f>
        <v>-5.6209850107066361E-2</v>
      </c>
      <c r="V58" s="250">
        <f>Operations!$BX$9</f>
        <v>776.33333333333337</v>
      </c>
      <c r="W58" s="252">
        <f>V58/V57-1</f>
        <v>-0.13304050029779624</v>
      </c>
      <c r="X58" s="250">
        <f>Operations!$BX$10</f>
        <v>644.66565961732124</v>
      </c>
      <c r="Y58" s="252">
        <f>X58/X57-1</f>
        <v>-9.9242867571103788E-2</v>
      </c>
      <c r="Z58" s="250">
        <f>Operations!$BX$11</f>
        <v>702</v>
      </c>
      <c r="AA58" s="252">
        <f>Z58/Z57-1</f>
        <v>-6.5661047027506747E-2</v>
      </c>
      <c r="AB58" s="250">
        <f>Operations!$BX$12</f>
        <v>581.33333333333337</v>
      </c>
      <c r="AC58" s="252">
        <f>AB58/AB57-1</f>
        <v>-0.12493728048168584</v>
      </c>
      <c r="AD58" s="250">
        <f>Operations!$BX$72</f>
        <v>249.18333333333331</v>
      </c>
      <c r="AE58" s="250">
        <f>Operations!$BX$73</f>
        <v>248.18333333333331</v>
      </c>
      <c r="AF58" s="250">
        <f>Operations!$BX$74</f>
        <v>248.51333333333332</v>
      </c>
      <c r="AG58" s="252">
        <f>AF58/AF57-1</f>
        <v>-0.13279797289170725</v>
      </c>
      <c r="AH58" s="780">
        <v>719.63666666666666</v>
      </c>
      <c r="AI58" s="252">
        <f t="shared" si="22"/>
        <v>-0.13948223289554973</v>
      </c>
      <c r="AJ58" s="669">
        <f t="shared" si="34"/>
        <v>109.66666666666663</v>
      </c>
      <c r="AK58" s="454">
        <f t="shared" si="32"/>
        <v>22.486666666666679</v>
      </c>
      <c r="AL58" s="358">
        <f>Operations!$BX$119</f>
        <v>97</v>
      </c>
      <c r="AM58" s="358">
        <f>Operations!$BX$120+Operations!$BX$121</f>
        <v>209</v>
      </c>
      <c r="AN58" s="358">
        <f>Operations!$BX$122</f>
        <v>324</v>
      </c>
      <c r="AO58" s="359">
        <f t="shared" si="33"/>
        <v>630</v>
      </c>
      <c r="AQ58" s="401">
        <v>42185</v>
      </c>
    </row>
    <row r="59" spans="1:43">
      <c r="A59" s="367">
        <v>42248</v>
      </c>
      <c r="B59" s="513" t="s">
        <v>403</v>
      </c>
      <c r="C59" s="250">
        <f>Operations!$BY$18</f>
        <v>552</v>
      </c>
      <c r="D59" s="252">
        <f t="shared" si="35"/>
        <v>-1.4285714285714235E-2</v>
      </c>
      <c r="E59" s="250">
        <f>Operations!$BY$19</f>
        <v>625</v>
      </c>
      <c r="F59" s="252">
        <f t="shared" si="36"/>
        <v>3.2102728731941976E-3</v>
      </c>
      <c r="G59" s="250">
        <f>Operations!$BY$20</f>
        <v>926</v>
      </c>
      <c r="H59" s="252">
        <f t="shared" si="37"/>
        <v>-6.5590312815338003E-2</v>
      </c>
      <c r="I59" s="250">
        <f>Operations!$BY$21</f>
        <v>648</v>
      </c>
      <c r="J59" s="252">
        <f t="shared" si="38"/>
        <v>-6.2228654124457328E-2</v>
      </c>
      <c r="K59" s="250">
        <f>Operations!$BY$77</f>
        <v>262</v>
      </c>
      <c r="L59" s="252">
        <f t="shared" si="39"/>
        <v>-3.3210332103321027E-2</v>
      </c>
      <c r="M59" s="256">
        <f t="shared" si="40"/>
        <v>290</v>
      </c>
      <c r="N59" s="253"/>
      <c r="O59" s="253"/>
      <c r="P59" s="253"/>
      <c r="Q59" s="514"/>
      <c r="R59" s="514">
        <f>Operations!$BY$6</f>
        <v>459</v>
      </c>
      <c r="S59" s="252">
        <f>R59/R58-1</f>
        <v>1.1756061719323974E-2</v>
      </c>
      <c r="T59" s="250">
        <f>Operations!$BY$8</f>
        <v>565.53333333333342</v>
      </c>
      <c r="U59" s="515">
        <f>T59/T58-1</f>
        <v>-3.766307430516147E-2</v>
      </c>
      <c r="V59" s="514">
        <f>Operations!$BY$9</f>
        <v>727.33333333333337</v>
      </c>
      <c r="W59" s="252">
        <f>V59/V58-1</f>
        <v>-6.3117217689995675E-2</v>
      </c>
      <c r="X59" s="250">
        <f>Operations!$BY$10</f>
        <v>618.62603226688555</v>
      </c>
      <c r="Y59" s="252">
        <f>X59/X58-1</f>
        <v>-4.03924529901174E-2</v>
      </c>
      <c r="Z59" s="514">
        <f>Operations!$BY$11</f>
        <v>685</v>
      </c>
      <c r="AA59" s="252">
        <f>Z59/Z58-1</f>
        <v>-2.4216524216524205E-2</v>
      </c>
      <c r="AB59" s="514">
        <f>Operations!$BY$12</f>
        <v>540.66666666666663</v>
      </c>
      <c r="AC59" s="252">
        <f>AB59/AB58-1</f>
        <v>-6.995412844036708E-2</v>
      </c>
      <c r="AD59" s="514">
        <f>Operations!$BY$72</f>
        <v>244.09</v>
      </c>
      <c r="AE59" s="514">
        <f>Operations!$BY$73</f>
        <v>254.76333333333332</v>
      </c>
      <c r="AF59" s="514">
        <f>Operations!$BY$74</f>
        <v>251.24113333333332</v>
      </c>
      <c r="AG59" s="252">
        <f>AF59/AF58-1</f>
        <v>1.0976473428655709E-2</v>
      </c>
      <c r="AH59" s="780">
        <v>705.09</v>
      </c>
      <c r="AI59" s="252">
        <f t="shared" si="22"/>
        <v>-2.0213904238712943E-2</v>
      </c>
      <c r="AJ59" s="669">
        <f t="shared" si="34"/>
        <v>107.33333333333337</v>
      </c>
      <c r="AK59" s="454">
        <f t="shared" si="32"/>
        <v>10.758866666666677</v>
      </c>
      <c r="AL59" s="358">
        <f>Operations!$BY$119</f>
        <v>124</v>
      </c>
      <c r="AM59" s="358">
        <f>Operations!$BY$120+Operations!$BY$121</f>
        <v>224</v>
      </c>
      <c r="AN59" s="358">
        <f>Operations!$BY$122</f>
        <v>339</v>
      </c>
      <c r="AO59" s="359">
        <f t="shared" si="33"/>
        <v>687</v>
      </c>
      <c r="AQ59" s="401">
        <v>42277</v>
      </c>
    </row>
    <row r="60" spans="1:43">
      <c r="A60" s="367">
        <v>42339</v>
      </c>
      <c r="B60" s="513" t="s">
        <v>404</v>
      </c>
      <c r="C60" s="514">
        <f>Operations!$BZ$18</f>
        <v>508</v>
      </c>
      <c r="D60" s="515">
        <f t="shared" si="35"/>
        <v>-7.9710144927536253E-2</v>
      </c>
      <c r="E60" s="514">
        <f>Operations!$BZ$19</f>
        <v>558</v>
      </c>
      <c r="F60" s="515">
        <f t="shared" si="36"/>
        <v>-0.10719999999999996</v>
      </c>
      <c r="G60" s="514">
        <f>Operations!$BZ$20</f>
        <v>923</v>
      </c>
      <c r="H60" s="515">
        <f t="shared" si="37"/>
        <v>-3.2397408207343048E-3</v>
      </c>
      <c r="I60" s="514">
        <f>Operations!$BZ$21</f>
        <v>588</v>
      </c>
      <c r="J60" s="515">
        <f t="shared" si="38"/>
        <v>-9.259259259259256E-2</v>
      </c>
      <c r="K60" s="514">
        <f>Operations!$BZ$77</f>
        <v>219</v>
      </c>
      <c r="L60" s="515">
        <f t="shared" si="39"/>
        <v>-0.16412213740458015</v>
      </c>
      <c r="M60" s="669">
        <f t="shared" si="40"/>
        <v>289</v>
      </c>
      <c r="N60" s="670"/>
      <c r="O60" s="670"/>
      <c r="P60" s="670"/>
      <c r="Q60" s="514"/>
      <c r="R60" s="514">
        <f>Operations!$BZ$6</f>
        <v>387</v>
      </c>
      <c r="S60" s="515">
        <f>R60/R59-1</f>
        <v>-0.15686274509803921</v>
      </c>
      <c r="T60" s="250">
        <f>Operations!$BZ$8</f>
        <v>507.13333333333338</v>
      </c>
      <c r="U60" s="515">
        <f>T60/T59-1</f>
        <v>-0.10326535423788763</v>
      </c>
      <c r="V60" s="514">
        <f>Operations!$BZ$9</f>
        <v>648</v>
      </c>
      <c r="W60" s="515">
        <f>V60/V59-1</f>
        <v>-0.10907424381301567</v>
      </c>
      <c r="X60" s="250">
        <f>Operations!$BZ$10</f>
        <v>559.59764121663568</v>
      </c>
      <c r="Y60" s="515">
        <f t="shared" si="25"/>
        <v>-9.541853716363502E-2</v>
      </c>
      <c r="Z60" s="514">
        <f>Operations!$BZ$11</f>
        <v>644</v>
      </c>
      <c r="AA60" s="515">
        <f>Z60/Z59-1</f>
        <v>-5.9854014598540117E-2</v>
      </c>
      <c r="AB60" s="514">
        <f>Operations!$BZ$12</f>
        <v>458.66666666666669</v>
      </c>
      <c r="AC60" s="515">
        <f>AB60/AB59-1</f>
        <v>-0.15166461159062872</v>
      </c>
      <c r="AD60" s="514">
        <f>Operations!$BZ$72</f>
        <v>171.85666666666668</v>
      </c>
      <c r="AE60" s="514">
        <f>Operations!$BZ$73</f>
        <v>175.89333333333335</v>
      </c>
      <c r="AF60" s="514">
        <f>Operations!$BZ$74</f>
        <v>174.56123333333335</v>
      </c>
      <c r="AG60" s="515">
        <f>AF60/AF59-1</f>
        <v>-0.30520440256996129</v>
      </c>
      <c r="AH60" s="780">
        <v>623.3366666666667</v>
      </c>
      <c r="AI60" s="252">
        <f t="shared" si="22"/>
        <v>-0.1159473731485815</v>
      </c>
      <c r="AJ60" s="669">
        <f t="shared" si="34"/>
        <v>129.33333333333331</v>
      </c>
      <c r="AK60" s="454">
        <f t="shared" si="32"/>
        <v>44.438766666666652</v>
      </c>
      <c r="AL60" s="671">
        <f>Operations!$BZ$119</f>
        <v>117</v>
      </c>
      <c r="AM60" s="671">
        <f>Operations!$BZ$120+Operations!$BZ$121</f>
        <v>205</v>
      </c>
      <c r="AN60" s="671">
        <f>Operations!$BZ$122</f>
        <v>265</v>
      </c>
      <c r="AO60" s="672">
        <f t="shared" si="33"/>
        <v>587</v>
      </c>
      <c r="AP60" s="396"/>
      <c r="AQ60" s="673">
        <v>42369</v>
      </c>
    </row>
    <row r="61" spans="1:43">
      <c r="A61" s="367">
        <v>42430</v>
      </c>
      <c r="B61" s="513" t="s">
        <v>211</v>
      </c>
      <c r="C61" s="514">
        <f>Operations!$CB$18</f>
        <v>471</v>
      </c>
      <c r="D61" s="515">
        <f t="shared" si="35"/>
        <v>-7.283464566929132E-2</v>
      </c>
      <c r="E61" s="514">
        <f>Operations!$CB$19</f>
        <v>505</v>
      </c>
      <c r="F61" s="515">
        <f t="shared" si="36"/>
        <v>-9.4982078853046548E-2</v>
      </c>
      <c r="G61" s="514">
        <f>Operations!$CB$20</f>
        <v>870</v>
      </c>
      <c r="H61" s="515">
        <f t="shared" si="37"/>
        <v>-5.7421451787649014E-2</v>
      </c>
      <c r="I61" s="514">
        <f>Operations!$CB$21</f>
        <v>545</v>
      </c>
      <c r="J61" s="515">
        <f t="shared" si="38"/>
        <v>-7.3129251700680298E-2</v>
      </c>
      <c r="K61" s="514">
        <f>Operations!$CB$77</f>
        <v>193</v>
      </c>
      <c r="L61" s="515">
        <f t="shared" si="39"/>
        <v>-0.11872146118721461</v>
      </c>
      <c r="M61" s="669">
        <f t="shared" si="40"/>
        <v>278</v>
      </c>
      <c r="N61" s="670"/>
      <c r="O61" s="670"/>
      <c r="P61" s="670"/>
      <c r="Q61" s="514"/>
      <c r="R61" s="514">
        <f>Operations!$CB$6</f>
        <v>398.33333333333331</v>
      </c>
      <c r="S61" s="515">
        <f>R61/R60-1</f>
        <v>2.9285099052540842E-2</v>
      </c>
      <c r="T61" s="250">
        <f>Operations!$CB$8</f>
        <v>478.8</v>
      </c>
      <c r="U61" s="515">
        <f>T61/T60-1</f>
        <v>-5.5869593795188743E-2</v>
      </c>
      <c r="V61" s="514">
        <f>Operations!$CB$9</f>
        <v>623.19999999999993</v>
      </c>
      <c r="W61" s="515">
        <f>V61/V60-1</f>
        <v>-3.8271604938271753E-2</v>
      </c>
      <c r="X61" s="250">
        <f>Operations!$CB$10</f>
        <v>521.42730627306275</v>
      </c>
      <c r="Y61" s="515">
        <f t="shared" si="25"/>
        <v>-6.8210321366948268E-2</v>
      </c>
      <c r="Z61" s="514">
        <f>Operations!$CB$11</f>
        <v>615.66666666666663</v>
      </c>
      <c r="AA61" s="515">
        <f>Z61/Z60-1</f>
        <v>-4.3995859213250554E-2</v>
      </c>
      <c r="AB61" s="514">
        <f>Operations!$CB$12</f>
        <v>473.33333333333331</v>
      </c>
      <c r="AC61" s="515">
        <f>AB61/AB60-1</f>
        <v>3.1976744186046346E-2</v>
      </c>
      <c r="AD61" s="514">
        <f>Operations!$CB$72</f>
        <v>194.21666666666667</v>
      </c>
      <c r="AE61" s="514">
        <f>Operations!$CB$73</f>
        <v>183.29333333333332</v>
      </c>
      <c r="AF61" s="514">
        <f>Operations!$CB$74</f>
        <v>186.89803333333333</v>
      </c>
      <c r="AG61" s="515">
        <f>AF61/AF60-1</f>
        <v>7.0673194525626704E-2</v>
      </c>
      <c r="AH61" s="780">
        <v>631.63666666666666</v>
      </c>
      <c r="AI61" s="252">
        <f t="shared" si="22"/>
        <v>1.3315436815845905E-2</v>
      </c>
      <c r="AJ61" s="669">
        <f t="shared" si="34"/>
        <v>71.666666666666686</v>
      </c>
      <c r="AK61" s="454">
        <f t="shared" si="32"/>
        <v>6.1019666666666694</v>
      </c>
      <c r="AL61" s="358">
        <f>Operations!$CB$119</f>
        <v>98</v>
      </c>
      <c r="AM61" s="358">
        <f>Operations!$CB$120+Operations!$CB$121</f>
        <v>220</v>
      </c>
      <c r="AN61" s="358">
        <f>Operations!$CB$122</f>
        <v>242</v>
      </c>
      <c r="AO61" s="359">
        <f t="shared" si="33"/>
        <v>560</v>
      </c>
      <c r="AQ61" s="401">
        <v>42460</v>
      </c>
    </row>
    <row r="62" spans="1:43">
      <c r="A62" s="367">
        <v>42522</v>
      </c>
      <c r="B62" s="513" t="s">
        <v>212</v>
      </c>
      <c r="C62" s="514">
        <f>Operations!$CC$18</f>
        <v>550</v>
      </c>
      <c r="D62" s="515">
        <f t="shared" si="35"/>
        <v>0.16772823779193202</v>
      </c>
      <c r="E62" s="514">
        <f>Operations!$CC$19</f>
        <v>561</v>
      </c>
      <c r="F62" s="515">
        <f t="shared" si="36"/>
        <v>0.11089108910891099</v>
      </c>
      <c r="G62" s="514">
        <f>Operations!$CC$20</f>
        <v>845</v>
      </c>
      <c r="H62" s="515">
        <f t="shared" si="37"/>
        <v>-2.8735632183908066E-2</v>
      </c>
      <c r="I62" s="514">
        <f>Operations!$CC$21</f>
        <v>604</v>
      </c>
      <c r="J62" s="515">
        <f t="shared" si="38"/>
        <v>0.10825688073394502</v>
      </c>
      <c r="K62" s="514">
        <f>Operations!$CC$77</f>
        <v>232</v>
      </c>
      <c r="L62" s="515">
        <f t="shared" si="39"/>
        <v>0.20207253886010368</v>
      </c>
      <c r="M62" s="669">
        <f t="shared" si="40"/>
        <v>318</v>
      </c>
      <c r="N62" s="670"/>
      <c r="O62" s="670"/>
      <c r="P62" s="670"/>
      <c r="Q62" s="514"/>
      <c r="R62" s="514">
        <f>Operations!$CC$6</f>
        <v>561.66666666666663</v>
      </c>
      <c r="S62" s="515">
        <f t="shared" ref="S62:S63" si="41">R62/R61-1</f>
        <v>0.41004184100418417</v>
      </c>
      <c r="T62" s="250">
        <f>Operations!$CC$8</f>
        <v>540.4</v>
      </c>
      <c r="U62" s="515">
        <f t="shared" ref="U62:U63" si="42">T62/T61-1</f>
        <v>0.1286549707602338</v>
      </c>
      <c r="V62" s="514">
        <f>Operations!$CC$9</f>
        <v>645.26666666666665</v>
      </c>
      <c r="W62" s="515">
        <f t="shared" ref="W62:W63" si="43">V62/V61-1</f>
        <v>3.5408643560119968E-2</v>
      </c>
      <c r="X62" s="250">
        <f>Operations!$CC$10</f>
        <v>570.7082851637764</v>
      </c>
      <c r="Y62" s="515">
        <f t="shared" ref="Y62:Y63" si="44">X62/X61-1</f>
        <v>9.4511695681902097E-2</v>
      </c>
      <c r="Z62" s="514">
        <f>Operations!$CC$11</f>
        <v>642.06666666666661</v>
      </c>
      <c r="AA62" s="515">
        <f t="shared" ref="AA62:AA63" si="45">Z62/Z61-1</f>
        <v>4.2880346507850442E-2</v>
      </c>
      <c r="AB62" s="514">
        <f>Operations!$CC$12</f>
        <v>622</v>
      </c>
      <c r="AC62" s="515">
        <f t="shared" ref="AC62:AC63" si="46">AB62/AB61-1</f>
        <v>0.31408450704225355</v>
      </c>
      <c r="AD62" s="514">
        <f>Operations!$CC$72</f>
        <v>260.70666666666665</v>
      </c>
      <c r="AE62" s="514">
        <f>Operations!$CC$73</f>
        <v>259.92333333333335</v>
      </c>
      <c r="AF62" s="514">
        <f>Operations!$CC$74</f>
        <v>260.18183333333332</v>
      </c>
      <c r="AG62" s="515">
        <f t="shared" ref="AG62:AG63" si="47">AF62/AF61-1</f>
        <v>0.39210578459805445</v>
      </c>
      <c r="AH62" s="780">
        <v>772.28666666666675</v>
      </c>
      <c r="AI62" s="252">
        <f t="shared" si="22"/>
        <v>0.22267548326833486</v>
      </c>
      <c r="AJ62" s="669">
        <f t="shared" ref="AJ62:AJ68" si="48">I62-AB62</f>
        <v>-18</v>
      </c>
      <c r="AK62" s="454">
        <f t="shared" si="32"/>
        <v>-28.181833333333316</v>
      </c>
      <c r="AL62" s="358">
        <f>Operations!$CC$119</f>
        <v>95</v>
      </c>
      <c r="AM62" s="358">
        <f>Operations!$CC$120+Operations!$CC$121</f>
        <v>218</v>
      </c>
      <c r="AN62" s="358">
        <f>Operations!$CC$122</f>
        <v>304</v>
      </c>
      <c r="AO62" s="359">
        <f t="shared" si="33"/>
        <v>617</v>
      </c>
      <c r="AQ62" s="401">
        <v>42551</v>
      </c>
    </row>
    <row r="63" spans="1:43">
      <c r="A63" s="367">
        <v>42614</v>
      </c>
      <c r="B63" s="693" t="s">
        <v>213</v>
      </c>
      <c r="C63" s="694">
        <f>Operations!$CD$18</f>
        <v>666</v>
      </c>
      <c r="D63" s="695">
        <f t="shared" si="35"/>
        <v>0.21090909090909093</v>
      </c>
      <c r="E63" s="694">
        <f>Operations!$CD$19</f>
        <v>567</v>
      </c>
      <c r="F63" s="695">
        <f t="shared" si="36"/>
        <v>1.0695187165775444E-2</v>
      </c>
      <c r="G63" s="694">
        <f>Operations!$CD$20</f>
        <v>865</v>
      </c>
      <c r="H63" s="695">
        <f t="shared" si="37"/>
        <v>2.3668639053254337E-2</v>
      </c>
      <c r="I63" s="694">
        <f>Operations!$CD$21</f>
        <v>661</v>
      </c>
      <c r="J63" s="695">
        <f t="shared" si="38"/>
        <v>9.43708609271523E-2</v>
      </c>
      <c r="K63" s="694">
        <f>Operations!$CD$77</f>
        <v>252</v>
      </c>
      <c r="L63" s="695">
        <f t="shared" si="39"/>
        <v>8.6206896551724199E-2</v>
      </c>
      <c r="M63" s="696">
        <f t="shared" si="40"/>
        <v>414</v>
      </c>
      <c r="N63" s="697"/>
      <c r="O63" s="696"/>
      <c r="P63" s="697"/>
      <c r="Q63" s="694"/>
      <c r="R63" s="694">
        <f>Operations!$CD$6</f>
        <v>592</v>
      </c>
      <c r="S63" s="695">
        <f t="shared" si="41"/>
        <v>5.4005934718101001E-2</v>
      </c>
      <c r="T63" s="250">
        <f>Operations!$CD$8</f>
        <v>524.5333333333333</v>
      </c>
      <c r="U63" s="695">
        <f t="shared" si="42"/>
        <v>-2.9360967184801412E-2</v>
      </c>
      <c r="V63" s="694">
        <f>Operations!$CD$9</f>
        <v>639.4</v>
      </c>
      <c r="W63" s="695">
        <f t="shared" si="43"/>
        <v>-9.0918483314391674E-3</v>
      </c>
      <c r="X63" s="250">
        <f>Operations!$CD$10</f>
        <v>559.6607543323139</v>
      </c>
      <c r="Y63" s="695">
        <f t="shared" si="44"/>
        <v>-1.9357579202292752E-2</v>
      </c>
      <c r="Z63" s="694">
        <f>Operations!$CD$11</f>
        <v>668.66666666666663</v>
      </c>
      <c r="AA63" s="695">
        <f t="shared" si="45"/>
        <v>4.1428719759111221E-2</v>
      </c>
      <c r="AB63" s="694">
        <f>Operations!$CD$12</f>
        <v>570.33333333333337</v>
      </c>
      <c r="AC63" s="695">
        <f t="shared" si="46"/>
        <v>-8.3065380493033136E-2</v>
      </c>
      <c r="AD63" s="694">
        <f>Operations!$CD$72</f>
        <v>235.08</v>
      </c>
      <c r="AE63" s="694">
        <f>Operations!$CD$73</f>
        <v>261.29333333333335</v>
      </c>
      <c r="AF63" s="694">
        <f>Operations!$CD$74</f>
        <v>252.64293333333336</v>
      </c>
      <c r="AG63" s="695">
        <f t="shared" si="47"/>
        <v>-2.897550495134471E-2</v>
      </c>
      <c r="AH63" s="780">
        <v>818.83333333333337</v>
      </c>
      <c r="AI63" s="252">
        <f t="shared" si="22"/>
        <v>6.0271229163609386E-2</v>
      </c>
      <c r="AJ63" s="696">
        <f t="shared" si="48"/>
        <v>90.666666666666629</v>
      </c>
      <c r="AK63" s="454">
        <f t="shared" si="32"/>
        <v>-0.64293333333336022</v>
      </c>
      <c r="AL63" s="358">
        <f>Operations!$CD$119</f>
        <v>129</v>
      </c>
      <c r="AM63" s="358">
        <f>Operations!$CD$120+Operations!$CD$121</f>
        <v>222</v>
      </c>
      <c r="AN63" s="358">
        <f>Operations!$CD$122</f>
        <v>311</v>
      </c>
      <c r="AO63" s="359">
        <f t="shared" si="33"/>
        <v>662</v>
      </c>
      <c r="AQ63" s="401">
        <v>42643</v>
      </c>
    </row>
    <row r="64" spans="1:43">
      <c r="A64" s="367">
        <v>42705</v>
      </c>
      <c r="B64" s="693" t="s">
        <v>214</v>
      </c>
      <c r="C64" s="694">
        <f>Operations!$CE$18</f>
        <v>603</v>
      </c>
      <c r="D64" s="695">
        <f t="shared" si="35"/>
        <v>-9.4594594594594628E-2</v>
      </c>
      <c r="E64" s="694">
        <f>Operations!$CE$19</f>
        <v>544</v>
      </c>
      <c r="F64" s="695">
        <f t="shared" si="36"/>
        <v>-4.0564373897707284E-2</v>
      </c>
      <c r="G64" s="694">
        <f>Operations!$CE$20</f>
        <v>837</v>
      </c>
      <c r="H64" s="695">
        <f t="shared" si="37"/>
        <v>-3.2369942196531776E-2</v>
      </c>
      <c r="I64" s="694">
        <f>Operations!$CE$21</f>
        <v>584</v>
      </c>
      <c r="J64" s="695">
        <f t="shared" si="38"/>
        <v>-0.11649016641452348</v>
      </c>
      <c r="K64" s="694">
        <f>Operations!$CE$77</f>
        <v>236</v>
      </c>
      <c r="L64" s="695">
        <f t="shared" si="39"/>
        <v>-6.3492063492063489E-2</v>
      </c>
      <c r="M64" s="696">
        <f t="shared" ref="M64:M66" si="49">C64-K64</f>
        <v>367</v>
      </c>
      <c r="N64" s="696"/>
      <c r="O64" s="694">
        <f>Operations!$CE$158</f>
        <v>737</v>
      </c>
      <c r="P64" s="695"/>
      <c r="Q64" s="694"/>
      <c r="R64" s="694">
        <f>Operations!$CE$6</f>
        <v>521</v>
      </c>
      <c r="S64" s="695">
        <f t="shared" ref="S64:S68" si="50">R64/R63-1</f>
        <v>-0.11993243243243246</v>
      </c>
      <c r="T64" s="250">
        <f>Operations!$CE$8</f>
        <v>503.93333333333334</v>
      </c>
      <c r="U64" s="695">
        <f t="shared" ref="U64:U66" si="51">T64/T63-1</f>
        <v>-3.9273004575495651E-2</v>
      </c>
      <c r="V64" s="694">
        <f>Operations!$CE$9</f>
        <v>601.26666666666665</v>
      </c>
      <c r="W64" s="695">
        <f t="shared" ref="W64:W66" si="52">V64/V63-1</f>
        <v>-5.9639245125638563E-2</v>
      </c>
      <c r="X64" s="250">
        <f>Operations!$CE$10</f>
        <v>534.90654998674086</v>
      </c>
      <c r="Y64" s="695">
        <f t="shared" ref="Y64:Y66" si="53">X64/X63-1</f>
        <v>-4.4230731124081157E-2</v>
      </c>
      <c r="Z64" s="694">
        <f>Operations!$CE$11</f>
        <v>650.33333333333337</v>
      </c>
      <c r="AA64" s="695">
        <f t="shared" ref="AA64:AA66" si="54">Z64/Z63-1</f>
        <v>-2.7417746759720751E-2</v>
      </c>
      <c r="AB64" s="694">
        <f>Operations!$CE$12</f>
        <v>509.66666666666669</v>
      </c>
      <c r="AC64" s="695">
        <f t="shared" ref="AC64:AC66" si="55">AB64/AB63-1</f>
        <v>-0.10637054354178843</v>
      </c>
      <c r="AD64" s="694">
        <f>Operations!$CE$72</f>
        <v>227.43666666666664</v>
      </c>
      <c r="AE64" s="694">
        <f>Operations!$CE$73</f>
        <v>234.56333333333336</v>
      </c>
      <c r="AF64" s="694">
        <f>Operations!$CE$74</f>
        <v>232.21153333333336</v>
      </c>
      <c r="AG64" s="695">
        <f t="shared" ref="AG64:AG66" si="56">AF64/AF63-1</f>
        <v>-8.08706569799168E-2</v>
      </c>
      <c r="AH64" s="780">
        <v>803.60333333333335</v>
      </c>
      <c r="AI64" s="252">
        <f t="shared" si="22"/>
        <v>-1.8599633625076328E-2</v>
      </c>
      <c r="AJ64" s="696">
        <f t="shared" ref="AJ64:AJ66" si="57">I64-AB64</f>
        <v>74.333333333333314</v>
      </c>
      <c r="AK64" s="454">
        <f t="shared" si="32"/>
        <v>3.7884666666666362</v>
      </c>
      <c r="AL64" s="358">
        <f>Operations!$CE$119</f>
        <v>123</v>
      </c>
      <c r="AM64" s="358">
        <f>Operations!$CE$120+Operations!$CE$121</f>
        <v>208</v>
      </c>
      <c r="AN64" s="358">
        <f>Operations!$CE$122</f>
        <v>258</v>
      </c>
      <c r="AO64" s="359">
        <f t="shared" si="33"/>
        <v>589</v>
      </c>
      <c r="AQ64" s="401">
        <v>42735</v>
      </c>
    </row>
    <row r="65" spans="1:43">
      <c r="A65" s="367">
        <v>42795</v>
      </c>
      <c r="B65" s="693" t="s">
        <v>596</v>
      </c>
      <c r="C65" s="694">
        <f>Operations!$CG$18</f>
        <v>661</v>
      </c>
      <c r="D65" s="695">
        <f t="shared" si="35"/>
        <v>9.6185737976782759E-2</v>
      </c>
      <c r="E65" s="694">
        <f>Operations!$CG$19</f>
        <v>600</v>
      </c>
      <c r="F65" s="695">
        <f t="shared" si="36"/>
        <v>0.10294117647058831</v>
      </c>
      <c r="G65" s="694">
        <f>Operations!$CG$20</f>
        <v>738</v>
      </c>
      <c r="H65" s="695">
        <f t="shared" si="37"/>
        <v>-0.11827956989247312</v>
      </c>
      <c r="I65" s="694">
        <f>Operations!$CG$21</f>
        <v>703</v>
      </c>
      <c r="J65" s="695">
        <f t="shared" si="38"/>
        <v>0.20376712328767121</v>
      </c>
      <c r="K65" s="694">
        <f>Operations!$CG$77</f>
        <v>284</v>
      </c>
      <c r="L65" s="695">
        <f t="shared" si="39"/>
        <v>0.20338983050847448</v>
      </c>
      <c r="M65" s="696">
        <f t="shared" si="49"/>
        <v>377</v>
      </c>
      <c r="N65" s="696"/>
      <c r="O65" s="694">
        <f>Operations!$CG$158</f>
        <v>955</v>
      </c>
      <c r="P65" s="695">
        <f t="shared" ref="P65:P66" si="58">O65/O64-1</f>
        <v>0.29579375848032563</v>
      </c>
      <c r="Q65" s="694"/>
      <c r="R65" s="694">
        <f>Operations!$CG$6</f>
        <v>622.66666666666663</v>
      </c>
      <c r="S65" s="695">
        <f t="shared" si="50"/>
        <v>0.1951375559820856</v>
      </c>
      <c r="T65" s="514">
        <f>Operations!$CG$8</f>
        <v>545.06666666666672</v>
      </c>
      <c r="U65" s="515">
        <f t="shared" si="51"/>
        <v>8.1624553512369413E-2</v>
      </c>
      <c r="V65" s="514">
        <f>Operations!$CG$9</f>
        <v>691.19999999999993</v>
      </c>
      <c r="W65" s="515">
        <f t="shared" si="52"/>
        <v>0.14957312340614259</v>
      </c>
      <c r="X65" s="514">
        <f>Operations!$CG$10</f>
        <v>588.68855721393038</v>
      </c>
      <c r="Y65" s="515">
        <f t="shared" si="53"/>
        <v>0.10054467874532969</v>
      </c>
      <c r="Z65" s="514">
        <f>Operations!$CG$11</f>
        <v>703</v>
      </c>
      <c r="AA65" s="515">
        <f t="shared" si="54"/>
        <v>8.0984110712455148E-2</v>
      </c>
      <c r="AB65" s="514">
        <f>Operations!$CG$12</f>
        <v>682</v>
      </c>
      <c r="AC65" s="515">
        <f t="shared" si="55"/>
        <v>0.33812949640287759</v>
      </c>
      <c r="AD65" s="514">
        <f>Operations!$CG$72</f>
        <v>301.52666666666664</v>
      </c>
      <c r="AE65" s="514">
        <f>Operations!$CG$73</f>
        <v>325.10999999999996</v>
      </c>
      <c r="AF65" s="514">
        <f>Operations!$CG$74</f>
        <v>317.32749999999999</v>
      </c>
      <c r="AG65" s="515">
        <f t="shared" si="56"/>
        <v>0.3665449577152784</v>
      </c>
      <c r="AH65" s="514">
        <f>Operations!$CG$7</f>
        <v>908.79333333333341</v>
      </c>
      <c r="AI65" s="252">
        <f t="shared" si="22"/>
        <v>0.1308979139791191</v>
      </c>
      <c r="AJ65" s="696">
        <f t="shared" si="57"/>
        <v>21</v>
      </c>
      <c r="AK65" s="454">
        <f>+K65-AF65</f>
        <v>-33.327499999999986</v>
      </c>
      <c r="AL65" s="358">
        <f>Operations!$CG$119</f>
        <v>101</v>
      </c>
      <c r="AM65" s="358">
        <f>Operations!$CG$120+Operations!$CG$121</f>
        <v>228</v>
      </c>
      <c r="AN65" s="358">
        <f>Operations!$CG$122</f>
        <v>247</v>
      </c>
      <c r="AO65" s="359">
        <f t="shared" ref="AO65" si="59">SUM(AL65:AN65)</f>
        <v>576</v>
      </c>
      <c r="AQ65" s="401">
        <v>42825</v>
      </c>
    </row>
    <row r="66" spans="1:43">
      <c r="A66" s="367">
        <v>42887</v>
      </c>
      <c r="B66" s="693" t="s">
        <v>597</v>
      </c>
      <c r="C66" s="694">
        <f>Operations!$CH$18</f>
        <v>709</v>
      </c>
      <c r="D66" s="695">
        <f t="shared" si="35"/>
        <v>7.2617246596066609E-2</v>
      </c>
      <c r="E66" s="694">
        <f>Operations!$CH$19</f>
        <v>605</v>
      </c>
      <c r="F66" s="695">
        <f t="shared" si="36"/>
        <v>8.3333333333333037E-3</v>
      </c>
      <c r="G66" s="694">
        <f>Operations!$CH$20</f>
        <v>766</v>
      </c>
      <c r="H66" s="695">
        <f t="shared" si="37"/>
        <v>3.7940379403794022E-2</v>
      </c>
      <c r="I66" s="694">
        <f>Operations!$CH$21</f>
        <v>746</v>
      </c>
      <c r="J66" s="695">
        <f t="shared" si="38"/>
        <v>6.1166429587482307E-2</v>
      </c>
      <c r="K66" s="694">
        <f>Operations!$CH$77</f>
        <v>313</v>
      </c>
      <c r="L66" s="695">
        <f t="shared" si="39"/>
        <v>0.102112676056338</v>
      </c>
      <c r="M66" s="696">
        <f t="shared" si="49"/>
        <v>396</v>
      </c>
      <c r="N66" s="696"/>
      <c r="O66" s="694">
        <f>Operations!$CH$158</f>
        <v>1005</v>
      </c>
      <c r="P66" s="695">
        <f t="shared" si="58"/>
        <v>5.2356020942408321E-2</v>
      </c>
      <c r="Q66" s="694"/>
      <c r="R66" s="694">
        <f>Operations!$CH$6</f>
        <v>623.59420289855063</v>
      </c>
      <c r="S66" s="695">
        <f t="shared" si="50"/>
        <v>1.4896192160878119E-3</v>
      </c>
      <c r="T66" s="514">
        <f>Operations!$CH$8</f>
        <v>532.80000000000007</v>
      </c>
      <c r="U66" s="515">
        <f t="shared" si="51"/>
        <v>-2.2504892367905982E-2</v>
      </c>
      <c r="V66" s="514">
        <f>Operations!$CH$9</f>
        <v>754.66666666666663</v>
      </c>
      <c r="W66" s="515">
        <f t="shared" si="52"/>
        <v>9.1820987654321007E-2</v>
      </c>
      <c r="X66" s="514">
        <f>Operations!$CH$10</f>
        <v>592.24183969636078</v>
      </c>
      <c r="Y66" s="515">
        <f t="shared" si="53"/>
        <v>6.0359292513632035E-3</v>
      </c>
      <c r="Z66" s="514">
        <f>Operations!$CH$11</f>
        <v>712.19999999999993</v>
      </c>
      <c r="AA66" s="515">
        <f t="shared" si="54"/>
        <v>1.3086770981507678E-2</v>
      </c>
      <c r="AB66" s="514">
        <f>Operations!$CH$12</f>
        <v>717.78260869565213</v>
      </c>
      <c r="AC66" s="515">
        <f t="shared" si="55"/>
        <v>5.2467168175442946E-2</v>
      </c>
      <c r="AD66" s="514">
        <f>Operations!$CH$72</f>
        <v>292.27333333333331</v>
      </c>
      <c r="AE66" s="514">
        <f>Operations!$CH$73</f>
        <v>351.33333333333331</v>
      </c>
      <c r="AF66" s="514">
        <f>Operations!$CH$74</f>
        <v>331.84353333333331</v>
      </c>
      <c r="AG66" s="515">
        <f t="shared" si="56"/>
        <v>4.5744643415188913E-2</v>
      </c>
      <c r="AH66" s="514">
        <f>Operations!$CH$7</f>
        <v>925.30333333333328</v>
      </c>
      <c r="AI66" s="252">
        <f t="shared" si="22"/>
        <v>1.8166946647202309E-2</v>
      </c>
      <c r="AJ66" s="696">
        <f t="shared" si="57"/>
        <v>28.217391304347871</v>
      </c>
      <c r="AK66" s="454">
        <f>+K66-AF66</f>
        <v>-18.843533333333312</v>
      </c>
      <c r="AL66" s="358">
        <f>Operations!$CH$119</f>
        <v>104</v>
      </c>
      <c r="AM66" s="358">
        <f>Operations!$CH$120+Operations!$CH$121</f>
        <v>224</v>
      </c>
      <c r="AN66" s="358">
        <f>Operations!$CH$122</f>
        <v>291</v>
      </c>
      <c r="AO66" s="359">
        <f t="shared" ref="AO66" si="60">SUM(AL66:AN66)</f>
        <v>619</v>
      </c>
      <c r="AQ66" s="401">
        <v>42916</v>
      </c>
    </row>
    <row r="67" spans="1:43">
      <c r="A67" s="367">
        <v>42979</v>
      </c>
      <c r="B67" s="693" t="s">
        <v>598</v>
      </c>
      <c r="C67" s="694">
        <f>Operations!$CI$18</f>
        <v>695</v>
      </c>
      <c r="D67" s="695">
        <f t="shared" ref="D67:D69" si="61">C67/C66-1</f>
        <v>-1.9746121297602226E-2</v>
      </c>
      <c r="E67" s="694">
        <f>Operations!$CI$19</f>
        <v>624</v>
      </c>
      <c r="F67" s="695">
        <f t="shared" ref="F67:F68" si="62">E67/E66-1</f>
        <v>3.140495867768589E-2</v>
      </c>
      <c r="G67" s="694">
        <f>Operations!$CI$20</f>
        <v>769</v>
      </c>
      <c r="H67" s="695">
        <f t="shared" ref="H67:H68" si="63">G67/G66-1</f>
        <v>3.916449086161844E-3</v>
      </c>
      <c r="I67" s="694">
        <f>Operations!$CI$21</f>
        <v>749</v>
      </c>
      <c r="J67" s="695">
        <f t="shared" ref="J67:J68" si="64">I67/I66-1</f>
        <v>4.0214477211795163E-3</v>
      </c>
      <c r="K67" s="694">
        <f>Operations!$CI$77</f>
        <v>317</v>
      </c>
      <c r="L67" s="695">
        <f t="shared" ref="L67:L68" si="65">K67/K66-1</f>
        <v>1.2779552715654896E-2</v>
      </c>
      <c r="M67" s="696">
        <f t="shared" ref="M67:M68" si="66">C67-K67</f>
        <v>378</v>
      </c>
      <c r="N67" s="696"/>
      <c r="O67" s="694">
        <f>Operations!$CI$158</f>
        <v>1009</v>
      </c>
      <c r="P67" s="695">
        <f t="shared" ref="P67:P68" si="67">O67/O66-1</f>
        <v>3.9800995024874553E-3</v>
      </c>
      <c r="Q67" s="694"/>
      <c r="R67" s="694">
        <f>Operations!$CI$6</f>
        <v>621.41847826086962</v>
      </c>
      <c r="S67" s="695">
        <f t="shared" si="50"/>
        <v>-3.4890071581293869E-3</v>
      </c>
      <c r="T67" s="514">
        <f>Operations!$CI$8</f>
        <v>549</v>
      </c>
      <c r="U67" s="515">
        <f t="shared" ref="U67:U68" si="68">T67/T66-1</f>
        <v>3.0405405405405261E-2</v>
      </c>
      <c r="V67" s="514">
        <f>Operations!$CI$9</f>
        <v>796.93333333333339</v>
      </c>
      <c r="W67" s="515">
        <f t="shared" ref="W67:W68" si="69">V67/V66-1</f>
        <v>5.600706713780923E-2</v>
      </c>
      <c r="X67" s="514">
        <f>Operations!$CI$10</f>
        <v>615.6039847772555</v>
      </c>
      <c r="Y67" s="515">
        <f t="shared" ref="Y67:Y68" si="70">X67/X66-1</f>
        <v>3.9446968307528474E-2</v>
      </c>
      <c r="Z67" s="514">
        <f>Operations!$CI$11</f>
        <v>700</v>
      </c>
      <c r="AA67" s="515">
        <f t="shared" ref="AA67:AA68" si="71">Z67/Z66-1</f>
        <v>-1.7130019657399465E-2</v>
      </c>
      <c r="AB67" s="514">
        <f>Operations!$CI$12</f>
        <v>691.80105401844537</v>
      </c>
      <c r="AC67" s="515">
        <f t="shared" ref="AC67:AC68" si="72">AB67/AB66-1</f>
        <v>-3.6196968779196537E-2</v>
      </c>
      <c r="AD67" s="514">
        <f>Operations!$CI$72</f>
        <v>289.08666666666664</v>
      </c>
      <c r="AE67" s="514">
        <f>Operations!$CI$73</f>
        <v>359.12999999999994</v>
      </c>
      <c r="AF67" s="514">
        <f>Operations!$CI$74</f>
        <v>336.01569999999998</v>
      </c>
      <c r="AG67" s="515">
        <f t="shared" ref="AG67:AG68" si="73">AF67/AF66-1</f>
        <v>1.2572692391374041E-2</v>
      </c>
      <c r="AH67" s="514">
        <f>Operations!$CI$7</f>
        <v>886.70666666666659</v>
      </c>
      <c r="AI67" s="252">
        <f t="shared" ref="AI67" si="74">AH67/AH66-1</f>
        <v>-4.171244744966518E-2</v>
      </c>
      <c r="AJ67" s="696">
        <f t="shared" ref="AJ67" si="75">I67-AB67</f>
        <v>57.19894598155463</v>
      </c>
      <c r="AK67" s="454">
        <f>+K67-AF67</f>
        <v>-19.015699999999981</v>
      </c>
      <c r="AL67" s="358">
        <f>Operations!$CI$119</f>
        <v>127</v>
      </c>
      <c r="AM67" s="358">
        <f>Operations!$CI$120+Operations!$CI$121</f>
        <v>238</v>
      </c>
      <c r="AN67" s="358">
        <f>Operations!$CI$122</f>
        <v>319</v>
      </c>
      <c r="AO67" s="359">
        <f t="shared" ref="AO67:AO76" si="76">SUM(AL67:AN67)</f>
        <v>684</v>
      </c>
      <c r="AQ67" s="401">
        <v>43008</v>
      </c>
    </row>
    <row r="68" spans="1:43">
      <c r="A68" s="367">
        <v>43070</v>
      </c>
      <c r="B68" s="693" t="s">
        <v>599</v>
      </c>
      <c r="C68" s="694">
        <f>Operations!$CJ$18</f>
        <v>691</v>
      </c>
      <c r="D68" s="695">
        <f t="shared" si="61"/>
        <v>-5.7553956834532904E-3</v>
      </c>
      <c r="E68" s="694">
        <f>Operations!$CJ$19</f>
        <v>607</v>
      </c>
      <c r="F68" s="695">
        <f t="shared" si="62"/>
        <v>-2.7243589743589758E-2</v>
      </c>
      <c r="G68" s="694">
        <f>Operations!$CJ$20</f>
        <v>764</v>
      </c>
      <c r="H68" s="695">
        <f t="shared" si="63"/>
        <v>-6.5019505851755532E-3</v>
      </c>
      <c r="I68" s="694">
        <f>Operations!$CJ$21</f>
        <v>727</v>
      </c>
      <c r="J68" s="695">
        <f t="shared" si="64"/>
        <v>-2.9372496662216308E-2</v>
      </c>
      <c r="K68" s="694">
        <f>Operations!$CJ$77</f>
        <v>317</v>
      </c>
      <c r="L68" s="695">
        <f t="shared" si="65"/>
        <v>0</v>
      </c>
      <c r="M68" s="696">
        <f t="shared" si="66"/>
        <v>374</v>
      </c>
      <c r="N68" s="696"/>
      <c r="O68" s="694">
        <f>Operations!$CJ$158</f>
        <v>1031</v>
      </c>
      <c r="P68" s="695">
        <f t="shared" si="67"/>
        <v>2.1803766105054523E-2</v>
      </c>
      <c r="Q68" s="694"/>
      <c r="R68" s="694">
        <f>Operations!$CJ$6</f>
        <v>618.09489302967552</v>
      </c>
      <c r="S68" s="695">
        <f t="shared" si="50"/>
        <v>-5.3483849410073114E-3</v>
      </c>
      <c r="T68" s="514">
        <f>Operations!$CJ$8</f>
        <v>564.4</v>
      </c>
      <c r="U68" s="515">
        <f t="shared" si="68"/>
        <v>2.8051001821493671E-2</v>
      </c>
      <c r="V68" s="514">
        <f>Operations!$CJ$9</f>
        <v>788.80000000000007</v>
      </c>
      <c r="W68" s="515">
        <f t="shared" si="69"/>
        <v>-1.0205788857286291E-2</v>
      </c>
      <c r="X68" s="514">
        <f>Operations!$CJ$10</f>
        <v>623.60844327176778</v>
      </c>
      <c r="Y68" s="515">
        <f t="shared" si="70"/>
        <v>1.3002609944782195E-2</v>
      </c>
      <c r="Z68" s="514">
        <f>Operations!$CJ$11</f>
        <v>620</v>
      </c>
      <c r="AA68" s="515">
        <f t="shared" si="71"/>
        <v>-0.11428571428571432</v>
      </c>
      <c r="AB68" s="514">
        <f>Operations!$CJ$12</f>
        <v>640.61304347826081</v>
      </c>
      <c r="AC68" s="515">
        <f t="shared" si="72"/>
        <v>-7.3992385878642764E-2</v>
      </c>
      <c r="AD68" s="514">
        <f>Operations!$CJ$72</f>
        <v>272.81666666666666</v>
      </c>
      <c r="AE68" s="514">
        <f>Operations!$CJ$73</f>
        <v>332.75666666666666</v>
      </c>
      <c r="AF68" s="514">
        <f>Operations!$CJ$74</f>
        <v>312.97646666666668</v>
      </c>
      <c r="AG68" s="515">
        <f t="shared" si="73"/>
        <v>-6.8565943000083895E-2</v>
      </c>
      <c r="AH68" s="514">
        <f>Operations!$CJ$7</f>
        <v>892.08333333333337</v>
      </c>
      <c r="AI68" s="252">
        <f t="shared" ref="AI68:AI76" si="77">AH68/AH67-1</f>
        <v>6.0636362269372857E-3</v>
      </c>
      <c r="AJ68" s="696">
        <f t="shared" si="48"/>
        <v>86.386956521739194</v>
      </c>
      <c r="AK68" s="454">
        <f>+K68-AF68</f>
        <v>4.0235333333333188</v>
      </c>
      <c r="AL68" s="358">
        <f>Operations!$CJ$119</f>
        <v>140</v>
      </c>
      <c r="AM68" s="358">
        <f>Operations!$CJ$120+Operations!$CJ$121</f>
        <v>254</v>
      </c>
      <c r="AN68" s="358">
        <f>Operations!$CJ$122</f>
        <v>285</v>
      </c>
      <c r="AO68" s="359">
        <f t="shared" si="76"/>
        <v>679</v>
      </c>
      <c r="AQ68" s="401">
        <v>43100</v>
      </c>
    </row>
    <row r="69" spans="1:43">
      <c r="A69" s="367">
        <v>43160</v>
      </c>
      <c r="B69" s="693" t="s">
        <v>621</v>
      </c>
      <c r="C69" s="694">
        <f>Operations!$CL$18</f>
        <v>723</v>
      </c>
      <c r="D69" s="695">
        <f t="shared" si="61"/>
        <v>4.6309696092619479E-2</v>
      </c>
      <c r="E69" s="694">
        <f>Operations!$CL$19</f>
        <v>660</v>
      </c>
      <c r="F69" s="695">
        <f t="shared" ref="F69" si="78">E69/E68-1</f>
        <v>8.7314662273476173E-2</v>
      </c>
      <c r="G69" s="694">
        <f>Operations!$CL$20</f>
        <v>798</v>
      </c>
      <c r="H69" s="695">
        <f t="shared" ref="H69" si="79">G69/G68-1</f>
        <v>4.4502617801047029E-2</v>
      </c>
      <c r="I69" s="694">
        <f>Operations!$CL$21</f>
        <v>785</v>
      </c>
      <c r="J69" s="695">
        <f t="shared" ref="J69" si="80">I69/I68-1</f>
        <v>7.9779917469050998E-2</v>
      </c>
      <c r="K69" s="694">
        <f>Operations!$CL$77</f>
        <v>337</v>
      </c>
      <c r="L69" s="695">
        <f t="shared" ref="L69" si="81">K69/K68-1</f>
        <v>6.3091482649842323E-2</v>
      </c>
      <c r="M69" s="696">
        <f t="shared" ref="M69" si="82">C69-K69</f>
        <v>386</v>
      </c>
      <c r="N69" s="696"/>
      <c r="O69" s="722">
        <f t="shared" ref="O69:O80" si="83">AH69+125</f>
        <v>1045</v>
      </c>
      <c r="P69" s="695">
        <f t="shared" ref="P69" si="84">O69/O68-1</f>
        <v>1.3579049466537318E-2</v>
      </c>
      <c r="Q69" s="694"/>
      <c r="R69" s="694">
        <f>Operations!$CL$6</f>
        <v>741.07743412384718</v>
      </c>
      <c r="S69" s="695">
        <f t="shared" ref="S69" si="85">R69/R68-1</f>
        <v>0.19897032394387892</v>
      </c>
      <c r="T69" s="514">
        <f>Operations!$CL$8</f>
        <v>637</v>
      </c>
      <c r="U69" s="515">
        <f t="shared" ref="U69" si="86">T69/T68-1</f>
        <v>0.12863217576187114</v>
      </c>
      <c r="V69" s="514">
        <f>Operations!$CL$9</f>
        <v>824.13333333333333</v>
      </c>
      <c r="W69" s="515">
        <f t="shared" ref="W69" si="87">V69/V68-1</f>
        <v>4.4793779580797777E-2</v>
      </c>
      <c r="X69" s="514">
        <f>Operations!$CL$10</f>
        <v>682.33817888148587</v>
      </c>
      <c r="Y69" s="515">
        <f t="shared" ref="Y69" si="88">X69/X68-1</f>
        <v>9.4177261779189392E-2</v>
      </c>
      <c r="Z69" s="514">
        <f>Operations!$CL$11</f>
        <v>690</v>
      </c>
      <c r="AA69" s="515">
        <f t="shared" ref="AA69" si="89">Z69/Z68-1</f>
        <v>0.11290322580645151</v>
      </c>
      <c r="AB69" s="514">
        <f>Operations!$CL$12</f>
        <v>819.5927865612648</v>
      </c>
      <c r="AC69" s="515">
        <f t="shared" ref="AC69" si="90">AB69/AB68-1</f>
        <v>0.27938822804983632</v>
      </c>
      <c r="AD69" s="514">
        <f>Operations!$CL$72</f>
        <v>332.51333333333332</v>
      </c>
      <c r="AE69" s="514">
        <f>Operations!$CL$73</f>
        <v>366.45666666666671</v>
      </c>
      <c r="AF69" s="514">
        <f>Operations!$CL$74</f>
        <v>355.2553666666667</v>
      </c>
      <c r="AG69" s="515">
        <f t="shared" ref="AG69" si="91">AF69/AF68-1</f>
        <v>0.13508651449193088</v>
      </c>
      <c r="AH69" s="514">
        <f>Operations!$CL$7</f>
        <v>920</v>
      </c>
      <c r="AI69" s="252">
        <f t="shared" ref="AI69" si="92">AH69/AH68-1</f>
        <v>3.1293787949556284E-2</v>
      </c>
      <c r="AJ69" s="696">
        <f t="shared" ref="AJ69" si="93">I69-AB69</f>
        <v>-34.592786561264802</v>
      </c>
      <c r="AL69" s="358">
        <f>Operations!$CL$119</f>
        <v>105</v>
      </c>
      <c r="AM69" s="358">
        <f>Operations!$CL$120+Operations!$CL$121</f>
        <v>253</v>
      </c>
      <c r="AN69" s="358">
        <f>Operations!$CL$122</f>
        <v>290</v>
      </c>
      <c r="AO69" s="359">
        <f t="shared" si="76"/>
        <v>648</v>
      </c>
      <c r="AQ69" s="401">
        <v>43190</v>
      </c>
    </row>
    <row r="70" spans="1:43">
      <c r="A70" s="367">
        <v>43252</v>
      </c>
      <c r="B70" s="720" t="s">
        <v>622</v>
      </c>
      <c r="C70" s="1304">
        <f>0.72*R70+0.35*C69-20</f>
        <v>870.24999999999989</v>
      </c>
      <c r="D70" s="721"/>
      <c r="E70" s="722">
        <f t="shared" ref="E70:E80" si="94">E69*0.2+X70*0.8-10</f>
        <v>744.02331568593797</v>
      </c>
      <c r="F70" s="721"/>
      <c r="G70" s="1304">
        <f>G69*0.7+Z70*0.3+55</f>
        <v>864.09999999999991</v>
      </c>
      <c r="H70" s="721"/>
      <c r="I70" s="1304">
        <f>+R70*0.25+AB70*0.52+0.62*I69-0.34*AB69-20</f>
        <v>911.08845256916993</v>
      </c>
      <c r="J70" s="721"/>
      <c r="K70" s="722">
        <f t="shared" ref="K70:K80" si="95">K69*0.595+AD70*0.145+AE70*0.247+10</f>
        <v>359.98500000000001</v>
      </c>
      <c r="L70" s="721"/>
      <c r="M70" s="722">
        <f t="shared" ref="M70:M72" si="96">C70-K70</f>
        <v>510.26499999999987</v>
      </c>
      <c r="N70" s="721"/>
      <c r="O70" s="722">
        <f t="shared" si="83"/>
        <v>1205</v>
      </c>
      <c r="P70" s="721">
        <f t="shared" ref="P70:P72" si="97">O70/O69-1</f>
        <v>0.15311004784688986</v>
      </c>
      <c r="Q70" s="722"/>
      <c r="R70" s="722">
        <f>Operations!$CM$6</f>
        <v>885</v>
      </c>
      <c r="S70" s="721"/>
      <c r="T70" s="722">
        <f>Operations!$CM$8</f>
        <v>730</v>
      </c>
      <c r="U70" s="721"/>
      <c r="V70" s="722">
        <f>Operations!$CM$9</f>
        <v>910</v>
      </c>
      <c r="W70" s="721"/>
      <c r="X70" s="722">
        <f>Operations!$CM$10</f>
        <v>777.52914460742238</v>
      </c>
      <c r="Y70" s="721"/>
      <c r="Z70" s="722">
        <f>Operations!$CM$11</f>
        <v>835</v>
      </c>
      <c r="AA70" s="721"/>
      <c r="AB70" s="722">
        <f>Operations!$CM$12</f>
        <v>965</v>
      </c>
      <c r="AC70" s="721"/>
      <c r="AD70" s="722">
        <f>Operations!$CM$72</f>
        <v>375</v>
      </c>
      <c r="AE70" s="722">
        <f>Operations!$CM$73</f>
        <v>385</v>
      </c>
      <c r="AF70" s="722">
        <f>Operations!$CM$74</f>
        <v>381.7</v>
      </c>
      <c r="AG70" s="721"/>
      <c r="AH70" s="722">
        <f>Operations!$CM$7</f>
        <v>1080</v>
      </c>
      <c r="AI70" s="721">
        <f t="shared" si="77"/>
        <v>0.17391304347826098</v>
      </c>
      <c r="AJ70" s="723">
        <f t="shared" ref="AJ70:AJ76" si="98">I70-AB70</f>
        <v>-53.911547430830069</v>
      </c>
      <c r="AL70" s="358">
        <f>Operations!$CM$119</f>
        <v>107.12</v>
      </c>
      <c r="AM70" s="358">
        <f>Operations!$CM$120+Operations!$CM$121</f>
        <v>230.72000000000003</v>
      </c>
      <c r="AN70" s="358">
        <f>Operations!$CM$122</f>
        <v>299.73</v>
      </c>
      <c r="AO70" s="359">
        <f t="shared" si="76"/>
        <v>637.57000000000005</v>
      </c>
      <c r="AQ70" s="401">
        <v>43281</v>
      </c>
    </row>
    <row r="71" spans="1:43">
      <c r="A71" s="367">
        <v>43344</v>
      </c>
      <c r="B71" s="720" t="s">
        <v>623</v>
      </c>
      <c r="C71" s="1304">
        <f>0.72*R71+0.35*C70+5</f>
        <v>907.1875</v>
      </c>
      <c r="D71" s="721"/>
      <c r="E71" s="722">
        <f t="shared" si="94"/>
        <v>761.16688662439299</v>
      </c>
      <c r="F71" s="721"/>
      <c r="G71" s="1304">
        <f t="shared" ref="G71:G80" si="99">G70*0.7+Z71*0.3+55</f>
        <v>908.86999999999989</v>
      </c>
      <c r="H71" s="721"/>
      <c r="I71" s="1304">
        <f>+R71*0.25+AB71*0.52+0.62*I70-0.34*AB70+30</f>
        <v>947.47484059288524</v>
      </c>
      <c r="J71" s="721"/>
      <c r="K71" s="722">
        <f t="shared" si="95"/>
        <v>367.78107499999999</v>
      </c>
      <c r="L71" s="721"/>
      <c r="M71" s="722">
        <f t="shared" si="96"/>
        <v>539.40642500000001</v>
      </c>
      <c r="N71" s="721"/>
      <c r="O71" s="722">
        <f t="shared" si="83"/>
        <v>1200</v>
      </c>
      <c r="P71" s="721">
        <f t="shared" si="97"/>
        <v>-4.1493775933609811E-3</v>
      </c>
      <c r="Q71" s="722"/>
      <c r="R71" s="722">
        <f>Operations!$CN$6</f>
        <v>830</v>
      </c>
      <c r="S71" s="721"/>
      <c r="T71" s="722">
        <f>Operations!$CN$8</f>
        <v>725</v>
      </c>
      <c r="U71" s="721"/>
      <c r="V71" s="722">
        <f>Operations!$CN$9</f>
        <v>925</v>
      </c>
      <c r="W71" s="721"/>
      <c r="X71" s="722">
        <f>Operations!$CN$10</f>
        <v>777.95277935900663</v>
      </c>
      <c r="Y71" s="721"/>
      <c r="Z71" s="722">
        <f>Operations!$CN$11</f>
        <v>830</v>
      </c>
      <c r="AA71" s="721"/>
      <c r="AB71" s="722">
        <f>Operations!$CN$12</f>
        <v>910</v>
      </c>
      <c r="AC71" s="721"/>
      <c r="AD71" s="722">
        <f>Operations!$CN$72</f>
        <v>360</v>
      </c>
      <c r="AE71" s="722">
        <f>Operations!$CN$73</f>
        <v>370</v>
      </c>
      <c r="AF71" s="722">
        <f>Operations!$CN$74</f>
        <v>366.70000000000005</v>
      </c>
      <c r="AG71" s="721"/>
      <c r="AH71" s="722">
        <f>Operations!$CN$7</f>
        <v>1075</v>
      </c>
      <c r="AI71" s="721">
        <f t="shared" si="77"/>
        <v>-4.6296296296296502E-3</v>
      </c>
      <c r="AJ71" s="723">
        <f t="shared" si="98"/>
        <v>37.474840592885243</v>
      </c>
      <c r="AL71" s="358">
        <f>Operations!$CN$119</f>
        <v>130.81</v>
      </c>
      <c r="AM71" s="358">
        <f>Operations!$CN$120+Operations!$CN$121</f>
        <v>245.14000000000001</v>
      </c>
      <c r="AN71" s="358">
        <f>Operations!$CN$122</f>
        <v>328.57</v>
      </c>
      <c r="AO71" s="359">
        <f t="shared" si="76"/>
        <v>704.52</v>
      </c>
      <c r="AQ71" s="401">
        <v>43373</v>
      </c>
    </row>
    <row r="72" spans="1:43">
      <c r="A72" s="367">
        <v>43435</v>
      </c>
      <c r="B72" s="720" t="s">
        <v>624</v>
      </c>
      <c r="C72" s="722">
        <f t="shared" ref="C72:C76" si="100">0.72*R72+0.35*C71</f>
        <v>882.71562499999993</v>
      </c>
      <c r="D72" s="721"/>
      <c r="E72" s="722">
        <f t="shared" si="94"/>
        <v>748.71691781060326</v>
      </c>
      <c r="F72" s="721"/>
      <c r="G72" s="1304">
        <f t="shared" si="99"/>
        <v>935.70899999999983</v>
      </c>
      <c r="H72" s="721"/>
      <c r="I72" s="1304">
        <f>+R72*0.25+AB72*0.52+0.62*I71-0.34*AB71-20</f>
        <v>904.08440116758857</v>
      </c>
      <c r="J72" s="721"/>
      <c r="K72" s="722">
        <f t="shared" si="95"/>
        <v>366.53973962499998</v>
      </c>
      <c r="L72" s="721"/>
      <c r="M72" s="722">
        <f t="shared" si="96"/>
        <v>516.17588537500001</v>
      </c>
      <c r="N72" s="721"/>
      <c r="O72" s="722">
        <f t="shared" si="83"/>
        <v>1185</v>
      </c>
      <c r="P72" s="721">
        <f t="shared" si="97"/>
        <v>-1.2499999999999956E-2</v>
      </c>
      <c r="Q72" s="722"/>
      <c r="R72" s="722">
        <f>Operations!$CO$6</f>
        <v>785</v>
      </c>
      <c r="S72" s="721"/>
      <c r="T72" s="722">
        <f>Operations!$CO$8</f>
        <v>710</v>
      </c>
      <c r="U72" s="721"/>
      <c r="V72" s="722">
        <f>Operations!$CO$9</f>
        <v>895</v>
      </c>
      <c r="W72" s="721"/>
      <c r="X72" s="722">
        <f>Operations!$CO$10</f>
        <v>758.1044256071558</v>
      </c>
      <c r="Y72" s="721"/>
      <c r="Z72" s="722">
        <f>Operations!$CO$11</f>
        <v>815</v>
      </c>
      <c r="AA72" s="721"/>
      <c r="AB72" s="722">
        <f>Operations!$CO$12</f>
        <v>865</v>
      </c>
      <c r="AC72" s="721"/>
      <c r="AD72" s="722">
        <f>Operations!$CO$72</f>
        <v>345</v>
      </c>
      <c r="AE72" s="722">
        <f>Operations!$CO$73</f>
        <v>355</v>
      </c>
      <c r="AF72" s="722">
        <f>Operations!$CO$74</f>
        <v>351.70000000000005</v>
      </c>
      <c r="AG72" s="721"/>
      <c r="AH72" s="722">
        <f>Operations!$CO$7</f>
        <v>1060</v>
      </c>
      <c r="AI72" s="721">
        <f t="shared" si="77"/>
        <v>-1.3953488372092981E-2</v>
      </c>
      <c r="AJ72" s="723">
        <f t="shared" si="98"/>
        <v>39.084401167588567</v>
      </c>
      <c r="AL72" s="358">
        <f>Operations!$CO$119</f>
        <v>144.20000000000002</v>
      </c>
      <c r="AM72" s="358">
        <f>Operations!$CO$120+Operations!$CO$121</f>
        <v>261.62</v>
      </c>
      <c r="AN72" s="358">
        <f>Operations!$CO$122</f>
        <v>293.55</v>
      </c>
      <c r="AO72" s="359">
        <f t="shared" si="76"/>
        <v>699.37000000000012</v>
      </c>
      <c r="AQ72" s="401">
        <v>43465</v>
      </c>
    </row>
    <row r="73" spans="1:43">
      <c r="A73" s="367">
        <v>43525</v>
      </c>
      <c r="B73" s="720" t="s">
        <v>633</v>
      </c>
      <c r="C73" s="722">
        <f t="shared" si="100"/>
        <v>884.95046875000003</v>
      </c>
      <c r="D73" s="721"/>
      <c r="E73" s="722">
        <f t="shared" si="94"/>
        <v>751.0651577652925</v>
      </c>
      <c r="F73" s="721"/>
      <c r="G73" s="1304">
        <f t="shared" si="99"/>
        <v>957.49629999999979</v>
      </c>
      <c r="H73" s="721"/>
      <c r="I73" s="722">
        <f t="shared" ref="I73:I80" si="101">+R73*0.25+AB73*0.52+0.62*I72-0.34*AB72+10</f>
        <v>934.03232872390493</v>
      </c>
      <c r="J73" s="721"/>
      <c r="K73" s="722">
        <f t="shared" si="95"/>
        <v>369.7211450768749</v>
      </c>
      <c r="L73" s="721"/>
      <c r="M73" s="722">
        <f t="shared" ref="M73:M80" si="102">C73-K73</f>
        <v>515.22932367312512</v>
      </c>
      <c r="N73" s="721"/>
      <c r="O73" s="722">
        <f t="shared" si="83"/>
        <v>1195</v>
      </c>
      <c r="P73" s="721">
        <f t="shared" ref="P73:P80" si="103">O73/O72-1</f>
        <v>8.4388185654007408E-3</v>
      </c>
      <c r="Q73" s="722"/>
      <c r="R73" s="722">
        <f>Operations!$CQ$6</f>
        <v>800</v>
      </c>
      <c r="S73" s="721"/>
      <c r="T73" s="722">
        <f>Operations!$CQ$8</f>
        <v>720</v>
      </c>
      <c r="U73" s="721"/>
      <c r="V73" s="722">
        <f>Operations!$CQ$9</f>
        <v>905</v>
      </c>
      <c r="W73" s="721"/>
      <c r="X73" s="722">
        <f>Operations!$CQ$10</f>
        <v>764.15221775396469</v>
      </c>
      <c r="Y73" s="721"/>
      <c r="Z73" s="722">
        <f>Operations!$CQ$11</f>
        <v>825</v>
      </c>
      <c r="AA73" s="721"/>
      <c r="AB73" s="722">
        <f>Operations!$CQ$12</f>
        <v>880</v>
      </c>
      <c r="AC73" s="721"/>
      <c r="AD73" s="722">
        <f>Operations!$CQ$72</f>
        <v>355</v>
      </c>
      <c r="AE73" s="722">
        <f>Operations!$CQ$73</f>
        <v>365</v>
      </c>
      <c r="AF73" s="722">
        <f>Operations!$CQ$74</f>
        <v>361.70000000000005</v>
      </c>
      <c r="AG73" s="721"/>
      <c r="AH73" s="722">
        <f>Operations!$CQ$7</f>
        <v>1070</v>
      </c>
      <c r="AI73" s="721">
        <f t="shared" si="77"/>
        <v>9.4339622641510523E-3</v>
      </c>
      <c r="AJ73" s="723">
        <f t="shared" si="98"/>
        <v>54.032328723904925</v>
      </c>
      <c r="AL73" s="358">
        <f>Operations!$CQ$119</f>
        <v>107.10000000000001</v>
      </c>
      <c r="AM73" s="358">
        <f>(Operations!$CQ$120)+(Operations!$CQ$121)</f>
        <v>258.06</v>
      </c>
      <c r="AN73" s="358">
        <f>Operations!$CQ$122</f>
        <v>295.8</v>
      </c>
      <c r="AO73" s="359">
        <f t="shared" si="76"/>
        <v>660.96</v>
      </c>
      <c r="AQ73" s="401">
        <v>43555</v>
      </c>
    </row>
    <row r="74" spans="1:43">
      <c r="A74" s="367">
        <v>43617</v>
      </c>
      <c r="B74" s="720" t="s">
        <v>634</v>
      </c>
      <c r="C74" s="722">
        <f t="shared" si="100"/>
        <v>864.1326640625</v>
      </c>
      <c r="D74" s="721"/>
      <c r="E74" s="722">
        <f t="shared" si="94"/>
        <v>758.72568334950472</v>
      </c>
      <c r="F74" s="721"/>
      <c r="G74" s="1304">
        <f t="shared" si="99"/>
        <v>974.24740999999983</v>
      </c>
      <c r="H74" s="721"/>
      <c r="I74" s="722">
        <f t="shared" si="101"/>
        <v>924.40004380882101</v>
      </c>
      <c r="J74" s="721"/>
      <c r="K74" s="722">
        <f t="shared" si="95"/>
        <v>373.57408132074056</v>
      </c>
      <c r="L74" s="721"/>
      <c r="M74" s="722">
        <f t="shared" si="102"/>
        <v>490.55858274175944</v>
      </c>
      <c r="N74" s="721"/>
      <c r="O74" s="722">
        <f t="shared" si="83"/>
        <v>1200</v>
      </c>
      <c r="P74" s="721">
        <f t="shared" si="103"/>
        <v>4.1841004184099972E-3</v>
      </c>
      <c r="Q74" s="722"/>
      <c r="R74" s="722">
        <f>Operations!$CR$6</f>
        <v>770</v>
      </c>
      <c r="S74" s="721"/>
      <c r="T74" s="722">
        <f>Operations!$CR$8</f>
        <v>725</v>
      </c>
      <c r="U74" s="721"/>
      <c r="V74" s="722">
        <f>Operations!$CR$9</f>
        <v>910</v>
      </c>
      <c r="W74" s="721"/>
      <c r="X74" s="722">
        <f>Operations!$CR$10</f>
        <v>773.14081474555769</v>
      </c>
      <c r="Y74" s="721"/>
      <c r="Z74" s="722">
        <f>Operations!$CR$11</f>
        <v>830</v>
      </c>
      <c r="AA74" s="721"/>
      <c r="AB74" s="722">
        <f>Operations!$CR$12</f>
        <v>850</v>
      </c>
      <c r="AC74" s="721"/>
      <c r="AD74" s="722">
        <f>Operations!$CR$72</f>
        <v>360</v>
      </c>
      <c r="AE74" s="722">
        <f>Operations!$CR$73</f>
        <v>370</v>
      </c>
      <c r="AF74" s="722">
        <f>Operations!$CR$74</f>
        <v>366.70000000000005</v>
      </c>
      <c r="AG74" s="721"/>
      <c r="AH74" s="722">
        <f>Operations!$CR$7</f>
        <v>1075</v>
      </c>
      <c r="AI74" s="721">
        <f t="shared" si="77"/>
        <v>4.6728971962617383E-3</v>
      </c>
      <c r="AJ74" s="723">
        <f t="shared" si="98"/>
        <v>74.40004380882101</v>
      </c>
      <c r="AL74" s="358">
        <f>Operations!$CR$119</f>
        <v>109.2624</v>
      </c>
      <c r="AM74" s="358">
        <f>(Operations!$CR$120)+(Operations!$CR$121)</f>
        <v>235.33440000000002</v>
      </c>
      <c r="AN74" s="358">
        <f>Operations!$CR$122</f>
        <v>305.72460000000001</v>
      </c>
      <c r="AO74" s="359">
        <f t="shared" si="76"/>
        <v>650.32140000000004</v>
      </c>
      <c r="AQ74" s="401">
        <v>43646</v>
      </c>
    </row>
    <row r="75" spans="1:43">
      <c r="A75" s="367">
        <v>43709</v>
      </c>
      <c r="B75" s="720" t="s">
        <v>635</v>
      </c>
      <c r="C75" s="722">
        <f t="shared" si="100"/>
        <v>849.64643242187492</v>
      </c>
      <c r="D75" s="721"/>
      <c r="E75" s="722">
        <f t="shared" si="94"/>
        <v>738.4497544783278</v>
      </c>
      <c r="F75" s="721"/>
      <c r="G75" s="1304">
        <f t="shared" si="99"/>
        <v>976.97318699999983</v>
      </c>
      <c r="H75" s="721"/>
      <c r="I75" s="722">
        <f t="shared" si="101"/>
        <v>920.92802716146889</v>
      </c>
      <c r="J75" s="721"/>
      <c r="K75" s="722">
        <f t="shared" si="95"/>
        <v>371.94657838584061</v>
      </c>
      <c r="L75" s="721"/>
      <c r="M75" s="722">
        <f t="shared" si="102"/>
        <v>477.69985403603431</v>
      </c>
      <c r="N75" s="721"/>
      <c r="O75" s="722">
        <f t="shared" si="83"/>
        <v>1170</v>
      </c>
      <c r="P75" s="721">
        <f t="shared" si="103"/>
        <v>-2.5000000000000022E-2</v>
      </c>
      <c r="Q75" s="722"/>
      <c r="R75" s="722">
        <f>Operations!$CS$6</f>
        <v>760</v>
      </c>
      <c r="S75" s="721"/>
      <c r="T75" s="722">
        <f>Operations!$CS$8</f>
        <v>695</v>
      </c>
      <c r="U75" s="721"/>
      <c r="V75" s="722">
        <f>Operations!$CS$9</f>
        <v>890</v>
      </c>
      <c r="W75" s="721"/>
      <c r="X75" s="722">
        <f>Operations!$CS$10</f>
        <v>745.88077226053349</v>
      </c>
      <c r="Y75" s="721"/>
      <c r="Z75" s="722">
        <f>Operations!$CS$11</f>
        <v>800</v>
      </c>
      <c r="AA75" s="721"/>
      <c r="AB75" s="722">
        <f>Operations!$CS$12</f>
        <v>840</v>
      </c>
      <c r="AC75" s="721"/>
      <c r="AD75" s="722">
        <f>Operations!$CS$72</f>
        <v>350</v>
      </c>
      <c r="AE75" s="722">
        <f>Operations!$CS$73</f>
        <v>360</v>
      </c>
      <c r="AF75" s="722">
        <f>Operations!$CS$74</f>
        <v>356.70000000000005</v>
      </c>
      <c r="AG75" s="721"/>
      <c r="AH75" s="722">
        <f>Operations!$CS$7</f>
        <v>1045</v>
      </c>
      <c r="AI75" s="721">
        <f t="shared" si="77"/>
        <v>-2.7906976744186074E-2</v>
      </c>
      <c r="AJ75" s="723">
        <f t="shared" si="98"/>
        <v>80.92802716146889</v>
      </c>
      <c r="AL75" s="358">
        <f>Operations!$CS$119</f>
        <v>133.42619999999999</v>
      </c>
      <c r="AM75" s="358">
        <f>(Operations!$CS$120)+(Operations!$CS$121)</f>
        <v>250.04280000000003</v>
      </c>
      <c r="AN75" s="358">
        <f>Operations!$CS$122</f>
        <v>335.14139999999998</v>
      </c>
      <c r="AO75" s="359">
        <f t="shared" si="76"/>
        <v>718.61040000000003</v>
      </c>
      <c r="AQ75" s="401">
        <v>43738</v>
      </c>
    </row>
    <row r="76" spans="1:43">
      <c r="A76" s="367">
        <v>43800</v>
      </c>
      <c r="B76" s="720" t="s">
        <v>636</v>
      </c>
      <c r="C76" s="722">
        <f t="shared" si="100"/>
        <v>812.17625134765615</v>
      </c>
      <c r="D76" s="721"/>
      <c r="E76" s="722">
        <f t="shared" si="94"/>
        <v>697.66211387139833</v>
      </c>
      <c r="F76" s="721"/>
      <c r="G76" s="1304">
        <f t="shared" si="99"/>
        <v>965.38123089999988</v>
      </c>
      <c r="H76" s="721"/>
      <c r="I76" s="722">
        <f t="shared" si="101"/>
        <v>887.52537684011065</v>
      </c>
      <c r="J76" s="721"/>
      <c r="K76" s="722">
        <f t="shared" si="95"/>
        <v>367.56821413957516</v>
      </c>
      <c r="L76" s="721"/>
      <c r="M76" s="722">
        <f t="shared" si="102"/>
        <v>444.60803720808099</v>
      </c>
      <c r="N76" s="721"/>
      <c r="O76" s="722">
        <f t="shared" si="83"/>
        <v>1125</v>
      </c>
      <c r="P76" s="721">
        <f t="shared" si="103"/>
        <v>-3.8461538461538436E-2</v>
      </c>
      <c r="Q76" s="722"/>
      <c r="R76" s="722">
        <f>Operations!$CT$6</f>
        <v>715</v>
      </c>
      <c r="S76" s="721"/>
      <c r="T76" s="722">
        <f>Operations!$CT$8</f>
        <v>650</v>
      </c>
      <c r="U76" s="721"/>
      <c r="V76" s="722">
        <f>Operations!$CT$9</f>
        <v>845</v>
      </c>
      <c r="W76" s="721"/>
      <c r="X76" s="722">
        <f>Operations!$CT$10</f>
        <v>699.96520371966596</v>
      </c>
      <c r="Y76" s="721"/>
      <c r="Z76" s="722">
        <f>Operations!$CT$11</f>
        <v>755</v>
      </c>
      <c r="AA76" s="721"/>
      <c r="AB76" s="722">
        <f>Operations!$CT$12</f>
        <v>795</v>
      </c>
      <c r="AC76" s="721"/>
      <c r="AD76" s="722">
        <f>Operations!$CT$72</f>
        <v>335</v>
      </c>
      <c r="AE76" s="722">
        <f>Operations!$CT$73</f>
        <v>355</v>
      </c>
      <c r="AF76" s="722">
        <f>Operations!$CT$74</f>
        <v>348.40000000000003</v>
      </c>
      <c r="AG76" s="721"/>
      <c r="AH76" s="722">
        <f>Operations!$CT$7</f>
        <v>1000</v>
      </c>
      <c r="AI76" s="721">
        <f t="shared" si="77"/>
        <v>-4.3062200956937802E-2</v>
      </c>
      <c r="AJ76" s="723">
        <f t="shared" si="98"/>
        <v>92.525376840110653</v>
      </c>
      <c r="AL76" s="358">
        <f>Operations!$CT$119</f>
        <v>147.08400000000003</v>
      </c>
      <c r="AM76" s="358">
        <f>(Operations!$CT$120)+(Operations!$CT$121)</f>
        <v>266.85239999999999</v>
      </c>
      <c r="AN76" s="358">
        <f>Operations!$CT$122</f>
        <v>299.42099999999999</v>
      </c>
      <c r="AO76" s="359">
        <f t="shared" si="76"/>
        <v>713.3574000000001</v>
      </c>
      <c r="AQ76" s="401">
        <v>43830</v>
      </c>
    </row>
    <row r="77" spans="1:43">
      <c r="A77" s="367">
        <v>43891</v>
      </c>
      <c r="B77" s="720" t="s">
        <v>652</v>
      </c>
      <c r="C77" s="1304">
        <f>0.72*R77+0.35*C76+20</f>
        <v>779.46168797167957</v>
      </c>
      <c r="D77" s="721"/>
      <c r="E77" s="722">
        <f t="shared" si="94"/>
        <v>637.39444946459298</v>
      </c>
      <c r="F77" s="721"/>
      <c r="G77" s="1304">
        <f t="shared" si="99"/>
        <v>939.26686162999988</v>
      </c>
      <c r="H77" s="721"/>
      <c r="I77" s="722">
        <f t="shared" si="101"/>
        <v>839.76573364086858</v>
      </c>
      <c r="J77" s="721"/>
      <c r="K77" s="722">
        <f t="shared" si="95"/>
        <v>353.20308741304723</v>
      </c>
      <c r="L77" s="721"/>
      <c r="M77" s="722">
        <f t="shared" si="102"/>
        <v>426.25860055863234</v>
      </c>
      <c r="N77" s="721"/>
      <c r="O77" s="722">
        <f t="shared" si="83"/>
        <v>1065</v>
      </c>
      <c r="P77" s="721">
        <f t="shared" si="103"/>
        <v>-5.3333333333333344E-2</v>
      </c>
      <c r="Q77" s="722"/>
      <c r="R77" s="722">
        <f>Operations!$CV$6</f>
        <v>660</v>
      </c>
      <c r="S77" s="721"/>
      <c r="T77" s="722">
        <f>Operations!$CV$8</f>
        <v>590</v>
      </c>
      <c r="U77" s="721"/>
      <c r="V77" s="722">
        <f>Operations!$CV$9</f>
        <v>805</v>
      </c>
      <c r="W77" s="721"/>
      <c r="X77" s="722">
        <f>Operations!$CV$10</f>
        <v>634.8275333628917</v>
      </c>
      <c r="Y77" s="721"/>
      <c r="Z77" s="722">
        <f>Operations!$CV$11</f>
        <v>695</v>
      </c>
      <c r="AA77" s="721"/>
      <c r="AB77" s="722">
        <f>Operations!$CV$12</f>
        <v>740</v>
      </c>
      <c r="AC77" s="721"/>
      <c r="AD77" s="722">
        <f>Operations!$CV$72</f>
        <v>305</v>
      </c>
      <c r="AE77" s="722">
        <f>Operations!$CV$73</f>
        <v>325</v>
      </c>
      <c r="AF77" s="722">
        <f>Operations!$CV$74</f>
        <v>318.39999999999998</v>
      </c>
      <c r="AG77" s="721"/>
      <c r="AH77" s="722">
        <f>Operations!$CV$7</f>
        <v>940</v>
      </c>
      <c r="AI77" s="721">
        <f t="shared" ref="AI77:AI80" si="104">AH77/AH76-1</f>
        <v>-6.0000000000000053E-2</v>
      </c>
      <c r="AJ77" s="723">
        <f t="shared" ref="AJ77:AJ80" si="105">I77-AB77</f>
        <v>99.765733640868575</v>
      </c>
      <c r="AL77" s="358">
        <f>Operations!$CV$119</f>
        <v>109.242</v>
      </c>
      <c r="AM77" s="358">
        <f>(Operations!$CV$120)+(Operations!$CV$121)</f>
        <v>263.22120000000001</v>
      </c>
      <c r="AN77" s="358">
        <f>Operations!$CV$122</f>
        <v>301.71600000000001</v>
      </c>
      <c r="AO77" s="359">
        <f t="shared" ref="AO77:AO78" si="106">SUM(AL77:AN77)</f>
        <v>674.17920000000004</v>
      </c>
      <c r="AQ77" s="401">
        <v>43921</v>
      </c>
    </row>
    <row r="78" spans="1:43">
      <c r="A78" s="367">
        <v>43983</v>
      </c>
      <c r="B78" s="720" t="s">
        <v>653</v>
      </c>
      <c r="C78" s="1304">
        <f t="shared" ref="C78:C80" si="107">0.72*R78+0.35*C77+20</f>
        <v>778.81159079008785</v>
      </c>
      <c r="D78" s="721"/>
      <c r="E78" s="722">
        <f t="shared" si="94"/>
        <v>626.54625189512342</v>
      </c>
      <c r="F78" s="721"/>
      <c r="G78" s="1304">
        <f t="shared" si="99"/>
        <v>923.98680314099988</v>
      </c>
      <c r="H78" s="721"/>
      <c r="I78" s="722">
        <f t="shared" si="101"/>
        <v>840.40475485733839</v>
      </c>
      <c r="J78" s="721"/>
      <c r="K78" s="722">
        <f t="shared" si="95"/>
        <v>346.61583701076307</v>
      </c>
      <c r="L78" s="721"/>
      <c r="M78" s="722">
        <f t="shared" si="102"/>
        <v>432.19575377932478</v>
      </c>
      <c r="N78" s="721"/>
      <c r="O78" s="722">
        <f t="shared" si="83"/>
        <v>1060</v>
      </c>
      <c r="P78" s="721">
        <f t="shared" si="103"/>
        <v>-4.6948356807511304E-3</v>
      </c>
      <c r="Q78" s="722"/>
      <c r="R78" s="722">
        <f>Operations!$CW$6</f>
        <v>675</v>
      </c>
      <c r="S78" s="721"/>
      <c r="T78" s="722">
        <f>Operations!$CW$8</f>
        <v>585</v>
      </c>
      <c r="U78" s="721"/>
      <c r="V78" s="722">
        <f>Operations!$CW$9</f>
        <v>810</v>
      </c>
      <c r="W78" s="721"/>
      <c r="X78" s="722">
        <f>Operations!$CW$10</f>
        <v>636.33420250275594</v>
      </c>
      <c r="Y78" s="721"/>
      <c r="Z78" s="722">
        <f>Operations!$CW$11</f>
        <v>705</v>
      </c>
      <c r="AA78" s="721"/>
      <c r="AB78" s="722">
        <f>Operations!$CW$12</f>
        <v>755</v>
      </c>
      <c r="AC78" s="721"/>
      <c r="AD78" s="722">
        <f>Operations!$CW$72</f>
        <v>310</v>
      </c>
      <c r="AE78" s="722">
        <f>Operations!$CW$73</f>
        <v>330</v>
      </c>
      <c r="AF78" s="722">
        <f>Operations!$CW$74</f>
        <v>323.40000000000003</v>
      </c>
      <c r="AG78" s="721"/>
      <c r="AH78" s="722">
        <f>Operations!$CW$7</f>
        <v>935</v>
      </c>
      <c r="AI78" s="721">
        <f t="shared" si="104"/>
        <v>-5.3191489361702482E-3</v>
      </c>
      <c r="AJ78" s="723">
        <f t="shared" si="105"/>
        <v>85.404754857338389</v>
      </c>
      <c r="AL78" s="358">
        <f>Operations!$CW$119</f>
        <v>111.447648</v>
      </c>
      <c r="AM78" s="358">
        <f>(Operations!$CW$120)+(Operations!$CW$121)</f>
        <v>240.041088</v>
      </c>
      <c r="AN78" s="358">
        <f>Operations!$CW$122</f>
        <v>311.83909199999999</v>
      </c>
      <c r="AO78" s="359">
        <f t="shared" si="106"/>
        <v>663.32782799999995</v>
      </c>
      <c r="AQ78" s="401">
        <v>44012</v>
      </c>
    </row>
    <row r="79" spans="1:43">
      <c r="A79" s="367">
        <v>44075</v>
      </c>
      <c r="B79" s="720" t="s">
        <v>654</v>
      </c>
      <c r="C79" s="1304">
        <f t="shared" si="107"/>
        <v>756.98405677653068</v>
      </c>
      <c r="D79" s="721"/>
      <c r="E79" s="722">
        <f t="shared" si="94"/>
        <v>616.49294376609794</v>
      </c>
      <c r="F79" s="721"/>
      <c r="G79" s="1304">
        <f t="shared" si="99"/>
        <v>910.29076219869989</v>
      </c>
      <c r="H79" s="721"/>
      <c r="I79" s="722">
        <f t="shared" si="101"/>
        <v>812.60094801154969</v>
      </c>
      <c r="J79" s="721"/>
      <c r="K79" s="722">
        <f t="shared" si="95"/>
        <v>338.77642302140401</v>
      </c>
      <c r="L79" s="721"/>
      <c r="M79" s="722">
        <f t="shared" si="102"/>
        <v>418.20763375512666</v>
      </c>
      <c r="N79" s="721"/>
      <c r="O79" s="722">
        <f t="shared" si="83"/>
        <v>1050</v>
      </c>
      <c r="P79" s="721">
        <f t="shared" si="103"/>
        <v>-9.4339622641509413E-3</v>
      </c>
      <c r="Q79" s="722"/>
      <c r="R79" s="722">
        <f>Operations!$CX$6</f>
        <v>645</v>
      </c>
      <c r="S79" s="721"/>
      <c r="T79" s="722">
        <f>Operations!$CX$8</f>
        <v>575</v>
      </c>
      <c r="U79" s="721"/>
      <c r="V79" s="722">
        <f>Operations!$CX$9</f>
        <v>800</v>
      </c>
      <c r="W79" s="721"/>
      <c r="X79" s="722">
        <f>Operations!$CX$10</f>
        <v>626.47961673384157</v>
      </c>
      <c r="Y79" s="721"/>
      <c r="Z79" s="722">
        <f>Operations!$CX$11</f>
        <v>695</v>
      </c>
      <c r="AA79" s="721"/>
      <c r="AB79" s="722">
        <f>Operations!$CX$12</f>
        <v>725</v>
      </c>
      <c r="AC79" s="721"/>
      <c r="AD79" s="722">
        <f>Operations!$CX$72</f>
        <v>300</v>
      </c>
      <c r="AE79" s="722">
        <f>Operations!$CX$73</f>
        <v>320</v>
      </c>
      <c r="AF79" s="722">
        <f>Operations!$CX$74</f>
        <v>313.39999999999998</v>
      </c>
      <c r="AG79" s="721"/>
      <c r="AH79" s="722">
        <f>Operations!$CX$7</f>
        <v>925</v>
      </c>
      <c r="AI79" s="721">
        <f t="shared" si="104"/>
        <v>-1.0695187165775444E-2</v>
      </c>
      <c r="AJ79" s="723">
        <f t="shared" si="105"/>
        <v>87.60094801154969</v>
      </c>
      <c r="AL79" s="358">
        <f>Operations!$CX$119</f>
        <v>136.09472399999999</v>
      </c>
      <c r="AM79" s="358">
        <f>(Operations!$CX$120)+(Operations!$CX$121)</f>
        <v>255.04365600000003</v>
      </c>
      <c r="AN79" s="358">
        <f>Operations!$CX$122</f>
        <v>341.84422799999999</v>
      </c>
      <c r="AO79" s="359">
        <f t="shared" ref="AO79:AO80" si="108">SUM(AL79:AN79)</f>
        <v>732.98260800000003</v>
      </c>
      <c r="AQ79" s="401">
        <v>44104</v>
      </c>
    </row>
    <row r="80" spans="1:43">
      <c r="A80" s="367">
        <v>44166</v>
      </c>
      <c r="B80" s="720" t="s">
        <v>655</v>
      </c>
      <c r="C80" s="1304">
        <f t="shared" si="107"/>
        <v>749.3444198717857</v>
      </c>
      <c r="D80" s="721"/>
      <c r="E80" s="722">
        <f t="shared" si="94"/>
        <v>601.70959527096727</v>
      </c>
      <c r="F80" s="721"/>
      <c r="G80" s="1304">
        <f t="shared" si="99"/>
        <v>896.2035335390899</v>
      </c>
      <c r="H80" s="721"/>
      <c r="I80" s="722">
        <f t="shared" si="101"/>
        <v>805.56258776716072</v>
      </c>
      <c r="J80" s="721"/>
      <c r="K80" s="722">
        <f t="shared" si="95"/>
        <v>328.23197169773539</v>
      </c>
      <c r="L80" s="721"/>
      <c r="M80" s="722">
        <f t="shared" si="102"/>
        <v>421.11244817405031</v>
      </c>
      <c r="N80" s="721"/>
      <c r="O80" s="722">
        <f t="shared" si="83"/>
        <v>1035</v>
      </c>
      <c r="P80" s="721">
        <f t="shared" si="103"/>
        <v>-1.4285714285714235E-2</v>
      </c>
      <c r="Q80" s="722"/>
      <c r="R80" s="722">
        <f>Operations!$CY$6</f>
        <v>645</v>
      </c>
      <c r="S80" s="721"/>
      <c r="T80" s="722">
        <f>Operations!$CY$8</f>
        <v>560</v>
      </c>
      <c r="U80" s="721"/>
      <c r="V80" s="722">
        <f>Operations!$CY$9</f>
        <v>785</v>
      </c>
      <c r="W80" s="721"/>
      <c r="X80" s="722">
        <f>Operations!$CY$10</f>
        <v>610.51375814718449</v>
      </c>
      <c r="Y80" s="721"/>
      <c r="Z80" s="722">
        <f>Operations!$CY$11</f>
        <v>680</v>
      </c>
      <c r="AA80" s="721"/>
      <c r="AB80" s="722">
        <f>Operations!$CY$12</f>
        <v>725</v>
      </c>
      <c r="AC80" s="721"/>
      <c r="AD80" s="722">
        <f>Operations!$CY$72</f>
        <v>285</v>
      </c>
      <c r="AE80" s="722">
        <f>Operations!$CY$73</f>
        <v>305</v>
      </c>
      <c r="AF80" s="722">
        <f>Operations!$CY$74</f>
        <v>298.40000000000003</v>
      </c>
      <c r="AG80" s="721"/>
      <c r="AH80" s="722">
        <f>Operations!$CY$7</f>
        <v>910</v>
      </c>
      <c r="AI80" s="721">
        <f t="shared" si="104"/>
        <v>-1.6216216216216162E-2</v>
      </c>
      <c r="AJ80" s="723">
        <f t="shared" si="105"/>
        <v>80.562587767160721</v>
      </c>
      <c r="AL80" s="358">
        <f>Operations!$CY$119</f>
        <v>150.02568000000002</v>
      </c>
      <c r="AM80" s="358">
        <f>(Operations!$CY$120)+(Operations!$CY$121)</f>
        <v>272.18944799999997</v>
      </c>
      <c r="AN80" s="358">
        <f>Operations!$CY$122</f>
        <v>305.40942000000001</v>
      </c>
      <c r="AO80" s="359">
        <f t="shared" si="108"/>
        <v>727.624548</v>
      </c>
      <c r="AQ80" s="401">
        <v>44196</v>
      </c>
    </row>
    <row r="81" spans="1:56">
      <c r="A81" s="536"/>
      <c r="R81" s="454"/>
      <c r="AF81" s="454"/>
      <c r="AH81" s="454"/>
    </row>
    <row r="82" spans="1:56">
      <c r="N82" s="685"/>
      <c r="O82" s="685"/>
      <c r="P82" s="685"/>
      <c r="S82" s="684">
        <f>VAR(S41:S60)</f>
        <v>1.6397637739444731E-2</v>
      </c>
      <c r="W82" s="684">
        <f>VAR(W41:W60)</f>
        <v>4.3705247299794178E-3</v>
      </c>
      <c r="AA82" s="684">
        <f>VAR(AA41:AA60)</f>
        <v>2.4696800841004559E-3</v>
      </c>
      <c r="AC82" s="684">
        <f>VAR(AC41:AC60)</f>
        <v>1.0663178590023257E-2</v>
      </c>
      <c r="AD82" s="684"/>
      <c r="AE82" s="684"/>
    </row>
    <row r="83" spans="1:56">
      <c r="B83" s="768" t="s">
        <v>630</v>
      </c>
      <c r="C83" s="677">
        <f>AVERAGE(C53:C56)</f>
        <v>735.75</v>
      </c>
      <c r="D83" s="676"/>
      <c r="E83" s="677">
        <f>AVERAGE(E53:E56)</f>
        <v>732.75</v>
      </c>
      <c r="F83" s="676"/>
      <c r="G83" s="677">
        <f>AVERAGE(G53:G56)</f>
        <v>1025.25</v>
      </c>
      <c r="H83" s="676"/>
      <c r="I83" s="677">
        <f>AVERAGE(I53:I56)</f>
        <v>847.75</v>
      </c>
      <c r="J83" s="676"/>
      <c r="K83" s="677">
        <f>AVERAGE(K53:K56)</f>
        <v>381</v>
      </c>
      <c r="L83" s="676"/>
      <c r="M83" s="677">
        <f>AVERAGE(M53:M56)</f>
        <v>354.75</v>
      </c>
      <c r="N83" s="676"/>
      <c r="O83" s="676"/>
      <c r="P83" s="676"/>
      <c r="Q83" s="676"/>
      <c r="R83" s="677">
        <f>AVERAGE(R53:R56)</f>
        <v>656.91666666666663</v>
      </c>
      <c r="S83" s="676"/>
      <c r="T83" s="677">
        <f>AVERAGE(T53:T56)</f>
        <v>677.16666666666663</v>
      </c>
      <c r="U83" s="676"/>
      <c r="V83" s="677">
        <f>AVERAGE(V53:V56)</f>
        <v>901</v>
      </c>
      <c r="W83" s="676"/>
      <c r="X83" s="677">
        <f>AVERAGE(X53:X56)</f>
        <v>742.42739952827628</v>
      </c>
      <c r="Y83" s="676"/>
      <c r="Z83" s="677">
        <f>AVERAGE(Z53:Z56)</f>
        <v>795.08333333333337</v>
      </c>
      <c r="AA83" s="676"/>
      <c r="AB83" s="677">
        <f>AVERAGE(AB53:AB56)</f>
        <v>809.83333333333326</v>
      </c>
      <c r="AC83" s="676"/>
      <c r="AD83" s="676"/>
      <c r="AE83" s="676"/>
      <c r="AF83" s="677">
        <f>AVERAGE(AF53:AF56)</f>
        <v>387.70100000000002</v>
      </c>
      <c r="AG83" s="676"/>
      <c r="AH83" s="678"/>
      <c r="AI83" s="678"/>
      <c r="AJ83" s="678"/>
    </row>
    <row r="84" spans="1:56">
      <c r="B84" s="768" t="s">
        <v>610</v>
      </c>
      <c r="C84" s="677">
        <f>AVERAGE(C57:C60)</f>
        <v>570.75</v>
      </c>
      <c r="D84" s="676"/>
      <c r="E84" s="677">
        <f>AVERAGE(E57:E60)</f>
        <v>626</v>
      </c>
      <c r="F84" s="676"/>
      <c r="G84" s="677">
        <f>AVERAGE(G57:G60)</f>
        <v>959</v>
      </c>
      <c r="H84" s="676"/>
      <c r="I84" s="677">
        <f>AVERAGE(I57:I60)</f>
        <v>683</v>
      </c>
      <c r="J84" s="676"/>
      <c r="K84" s="677">
        <f>AVERAGE(K57:K60)</f>
        <v>269</v>
      </c>
      <c r="L84" s="676"/>
      <c r="M84" s="677">
        <f>AVERAGE(M57:M60)</f>
        <v>301.75</v>
      </c>
      <c r="N84" s="676"/>
      <c r="O84" s="676"/>
      <c r="P84" s="676"/>
      <c r="Q84" s="676"/>
      <c r="R84" s="677">
        <f>AVERAGE(R57:R60)</f>
        <v>459</v>
      </c>
      <c r="S84" s="676"/>
      <c r="T84" s="677">
        <f>AVERAGE(T57:T60)</f>
        <v>570.75</v>
      </c>
      <c r="U84" s="676"/>
      <c r="V84" s="677">
        <f>AVERAGE(V57:V60)</f>
        <v>761.7833333333333</v>
      </c>
      <c r="W84" s="676"/>
      <c r="X84" s="677">
        <f>AVERAGE(X57:X60)</f>
        <v>634.64560693249962</v>
      </c>
      <c r="Y84" s="676"/>
      <c r="Z84" s="677">
        <f>AVERAGE(Z57:Z60)</f>
        <v>695.58333333333337</v>
      </c>
      <c r="AA84" s="676"/>
      <c r="AB84" s="677">
        <f>AVERAGE(AB57:AB60)</f>
        <v>561.25</v>
      </c>
      <c r="AC84" s="676"/>
      <c r="AD84" s="676"/>
      <c r="AE84" s="676"/>
      <c r="AF84" s="677">
        <f>AVERAGE(AF57:AF60)</f>
        <v>240.22120833333335</v>
      </c>
      <c r="AG84" s="676"/>
      <c r="AH84" s="678"/>
      <c r="AI84" s="678"/>
      <c r="AJ84" s="678"/>
    </row>
    <row r="85" spans="1:56">
      <c r="B85" s="768" t="s">
        <v>609</v>
      </c>
      <c r="C85" s="677">
        <f>AVERAGE(C61:C64)</f>
        <v>572.5</v>
      </c>
      <c r="D85" s="676"/>
      <c r="E85" s="677">
        <f>AVERAGE(E61:E64)</f>
        <v>544.25</v>
      </c>
      <c r="F85" s="676"/>
      <c r="G85" s="677">
        <f>AVERAGE(G61:G64)</f>
        <v>854.25</v>
      </c>
      <c r="H85" s="676"/>
      <c r="I85" s="677">
        <f>AVERAGE(I61:I64)</f>
        <v>598.5</v>
      </c>
      <c r="J85" s="676"/>
      <c r="K85" s="677">
        <f>AVERAGE(K61:K64)</f>
        <v>228.25</v>
      </c>
      <c r="L85" s="676"/>
      <c r="M85" s="677">
        <f>AVERAGE(M61:M64)</f>
        <v>344.25</v>
      </c>
      <c r="N85" s="676"/>
      <c r="O85" s="676"/>
      <c r="P85" s="676"/>
      <c r="Q85" s="676"/>
      <c r="R85" s="677">
        <f>AVERAGE(R61:R64)</f>
        <v>518.25</v>
      </c>
      <c r="S85" s="676"/>
      <c r="T85" s="677">
        <f>AVERAGE(T61:T64)</f>
        <v>511.91666666666669</v>
      </c>
      <c r="U85" s="676"/>
      <c r="V85" s="677">
        <f>AVERAGE(V61:V64)</f>
        <v>627.2833333333333</v>
      </c>
      <c r="W85" s="676"/>
      <c r="X85" s="677">
        <f>AVERAGE(X61:X64)</f>
        <v>546.67572393897353</v>
      </c>
      <c r="Y85" s="676"/>
      <c r="Z85" s="677">
        <f>AVERAGE(Z61:Z64)</f>
        <v>644.18333333333328</v>
      </c>
      <c r="AA85" s="676"/>
      <c r="AB85" s="677">
        <f>AVERAGE(AB61:AB64)</f>
        <v>543.83333333333326</v>
      </c>
      <c r="AC85" s="676"/>
      <c r="AD85" s="676"/>
      <c r="AE85" s="676"/>
      <c r="AF85" s="677">
        <f>AVERAGE(AF61:AF64)</f>
        <v>232.98358333333334</v>
      </c>
      <c r="AG85" s="676"/>
      <c r="AH85" s="678"/>
      <c r="AI85" s="678"/>
      <c r="AJ85" s="678"/>
    </row>
    <row r="86" spans="1:56">
      <c r="B86" s="768" t="s">
        <v>648</v>
      </c>
      <c r="C86" s="677">
        <f>AVERAGE(C65:C68)</f>
        <v>689</v>
      </c>
      <c r="D86" s="676"/>
      <c r="E86" s="677">
        <f>AVERAGE(E65:E68)</f>
        <v>609</v>
      </c>
      <c r="F86" s="676"/>
      <c r="G86" s="677">
        <f>AVERAGE(G65:G68)</f>
        <v>759.25</v>
      </c>
      <c r="H86" s="676"/>
      <c r="I86" s="677">
        <f>AVERAGE(I65:I68)</f>
        <v>731.25</v>
      </c>
      <c r="J86" s="676"/>
      <c r="K86" s="677">
        <f>AVERAGE(K65:K68)</f>
        <v>307.75</v>
      </c>
      <c r="L86" s="676"/>
      <c r="M86" s="677">
        <f>AVERAGE(M65:M68)</f>
        <v>381.25</v>
      </c>
      <c r="N86" s="676"/>
      <c r="O86" s="676"/>
      <c r="P86" s="676"/>
      <c r="Q86" s="676"/>
      <c r="R86" s="677">
        <f>AVERAGE(R65:R68)</f>
        <v>621.4435602139406</v>
      </c>
      <c r="S86" s="676"/>
      <c r="T86" s="677">
        <f>AVERAGE(T65:T68)</f>
        <v>547.81666666666672</v>
      </c>
      <c r="U86" s="676"/>
      <c r="V86" s="677">
        <f>AVERAGE(V65:V68)</f>
        <v>757.90000000000009</v>
      </c>
      <c r="W86" s="676"/>
      <c r="X86" s="677">
        <f>AVERAGE(X65:X68)</f>
        <v>605.03570623982864</v>
      </c>
      <c r="Y86" s="676"/>
      <c r="Z86" s="677">
        <f>AVERAGE(Z65:Z68)</f>
        <v>683.8</v>
      </c>
      <c r="AA86" s="676"/>
      <c r="AB86" s="677">
        <f>AVERAGE(AB65:AB68)</f>
        <v>683.04917654808958</v>
      </c>
      <c r="AC86" s="676"/>
      <c r="AD86" s="676"/>
      <c r="AE86" s="676"/>
      <c r="AF86" s="677">
        <f>AVERAGE(AF65:AF68)</f>
        <v>324.54079999999999</v>
      </c>
      <c r="AG86" s="676"/>
      <c r="AH86" s="678"/>
      <c r="AI86" s="678"/>
      <c r="AJ86" s="678"/>
    </row>
    <row r="87" spans="1:56">
      <c r="B87" s="768" t="s">
        <v>643</v>
      </c>
      <c r="C87" s="677"/>
      <c r="D87" s="676"/>
      <c r="E87" s="677"/>
      <c r="F87" s="676"/>
      <c r="G87" s="677"/>
      <c r="H87" s="676"/>
      <c r="I87" s="677"/>
      <c r="J87" s="676"/>
      <c r="K87" s="677"/>
      <c r="L87" s="676"/>
      <c r="M87" s="677"/>
      <c r="N87" s="676"/>
      <c r="O87" s="676"/>
      <c r="P87" s="676"/>
      <c r="Q87" s="676"/>
      <c r="R87" s="677"/>
      <c r="S87" s="676"/>
      <c r="T87" s="677"/>
      <c r="U87" s="676"/>
      <c r="V87" s="677"/>
      <c r="W87" s="676"/>
      <c r="X87" s="677"/>
      <c r="Y87" s="676"/>
      <c r="Z87" s="677"/>
      <c r="AA87" s="676"/>
      <c r="AB87" s="677"/>
      <c r="AC87" s="676"/>
      <c r="AD87" s="676"/>
      <c r="AE87" s="676"/>
      <c r="AF87" s="677"/>
      <c r="AG87" s="676"/>
      <c r="AH87" s="678"/>
      <c r="AI87" s="678"/>
      <c r="AJ87" s="678"/>
    </row>
    <row r="88" spans="1:56">
      <c r="B88" s="768">
        <v>2014</v>
      </c>
      <c r="C88" s="677">
        <f>C83-R83</f>
        <v>78.833333333333371</v>
      </c>
      <c r="D88" s="676"/>
      <c r="E88" s="677">
        <f>E83-X83</f>
        <v>-9.6773995282762826</v>
      </c>
      <c r="F88" s="676"/>
      <c r="G88" s="677">
        <f>G83-Z83</f>
        <v>230.16666666666663</v>
      </c>
      <c r="H88" s="676"/>
      <c r="I88" s="677">
        <f>I83-AB83</f>
        <v>37.916666666666742</v>
      </c>
      <c r="J88" s="676"/>
      <c r="K88" s="677">
        <f>K83-AF83</f>
        <v>-6.7010000000000218</v>
      </c>
      <c r="L88" s="676"/>
      <c r="M88" s="677"/>
      <c r="N88" s="676"/>
      <c r="O88" s="676"/>
      <c r="P88" s="676"/>
      <c r="Q88" s="676"/>
      <c r="R88" s="677"/>
      <c r="S88" s="676"/>
      <c r="T88" s="676"/>
      <c r="U88" s="676"/>
      <c r="V88" s="676"/>
      <c r="W88" s="676"/>
      <c r="X88" s="677"/>
      <c r="Y88" s="676"/>
      <c r="Z88" s="676"/>
      <c r="AA88" s="676"/>
      <c r="AB88" s="676"/>
      <c r="AC88" s="676"/>
      <c r="AD88" s="676"/>
      <c r="AE88" s="676"/>
      <c r="AF88" s="676"/>
      <c r="AG88" s="676"/>
      <c r="AH88" s="678"/>
      <c r="AI88" s="678"/>
      <c r="AJ88" s="678"/>
    </row>
    <row r="89" spans="1:56">
      <c r="B89" s="768">
        <v>2015</v>
      </c>
      <c r="C89" s="677">
        <f t="shared" ref="C89:C91" si="109">C84-R84</f>
        <v>111.75</v>
      </c>
      <c r="D89" s="676"/>
      <c r="E89" s="677">
        <f t="shared" ref="E89:E91" si="110">E84-X84</f>
        <v>-8.6456069324996179</v>
      </c>
      <c r="F89" s="676"/>
      <c r="G89" s="677">
        <f t="shared" ref="G89:G91" si="111">G84-Z84</f>
        <v>263.41666666666663</v>
      </c>
      <c r="H89" s="676"/>
      <c r="I89" s="677">
        <f t="shared" ref="I89:I91" si="112">I84-AB84</f>
        <v>121.75</v>
      </c>
      <c r="J89" s="676"/>
      <c r="K89" s="677">
        <f t="shared" ref="K89:K91" si="113">K84-AF84</f>
        <v>28.778791666666649</v>
      </c>
      <c r="L89" s="676"/>
      <c r="M89" s="676"/>
      <c r="N89" s="676"/>
      <c r="O89" s="676"/>
      <c r="P89" s="676"/>
      <c r="Q89" s="676"/>
      <c r="R89" s="676"/>
      <c r="S89" s="676"/>
      <c r="T89" s="676"/>
      <c r="U89" s="676"/>
      <c r="V89" s="676"/>
      <c r="W89" s="676"/>
      <c r="X89" s="676"/>
      <c r="Y89" s="676"/>
      <c r="Z89" s="676"/>
      <c r="AA89" s="676"/>
      <c r="AB89" s="676"/>
      <c r="AC89" s="676"/>
      <c r="AD89" s="676"/>
      <c r="AE89" s="676"/>
      <c r="AF89" s="676"/>
      <c r="AG89" s="676"/>
      <c r="AH89" s="678"/>
      <c r="AI89" s="678"/>
      <c r="AJ89" s="678"/>
    </row>
    <row r="90" spans="1:56">
      <c r="B90" s="768">
        <v>2016</v>
      </c>
      <c r="C90" s="677">
        <f t="shared" si="109"/>
        <v>54.25</v>
      </c>
      <c r="D90" s="676"/>
      <c r="E90" s="677">
        <f t="shared" si="110"/>
        <v>-2.4257239389735332</v>
      </c>
      <c r="F90" s="676"/>
      <c r="G90" s="677">
        <f t="shared" si="111"/>
        <v>210.06666666666672</v>
      </c>
      <c r="H90" s="676"/>
      <c r="I90" s="677">
        <f t="shared" si="112"/>
        <v>54.666666666666742</v>
      </c>
      <c r="J90" s="676"/>
      <c r="K90" s="677">
        <f t="shared" si="113"/>
        <v>-4.7335833333333426</v>
      </c>
      <c r="L90" s="676"/>
      <c r="M90" s="676"/>
      <c r="N90" s="676"/>
      <c r="O90" s="676"/>
      <c r="P90" s="676"/>
      <c r="Q90" s="676"/>
      <c r="R90" s="676"/>
      <c r="S90" s="676"/>
      <c r="T90" s="676"/>
      <c r="U90" s="676"/>
      <c r="V90" s="676"/>
      <c r="W90" s="676"/>
      <c r="X90" s="676"/>
      <c r="Y90" s="676"/>
      <c r="Z90" s="676"/>
      <c r="AA90" s="676"/>
      <c r="AB90" s="676"/>
      <c r="AC90" s="676"/>
      <c r="AD90" s="676"/>
      <c r="AE90" s="676"/>
      <c r="AF90" s="676"/>
      <c r="AG90" s="676"/>
      <c r="AH90" s="678"/>
      <c r="AI90" s="678"/>
      <c r="AJ90" s="678"/>
    </row>
    <row r="91" spans="1:56">
      <c r="B91" s="768">
        <v>2017</v>
      </c>
      <c r="C91" s="677">
        <f t="shared" si="109"/>
        <v>67.5564397860594</v>
      </c>
      <c r="D91" s="676"/>
      <c r="E91" s="677">
        <f t="shared" si="110"/>
        <v>3.9642937601713584</v>
      </c>
      <c r="F91" s="676"/>
      <c r="G91" s="677">
        <f t="shared" si="111"/>
        <v>75.450000000000045</v>
      </c>
      <c r="H91" s="676"/>
      <c r="I91" s="677">
        <f t="shared" si="112"/>
        <v>48.200823451910424</v>
      </c>
      <c r="J91" s="676"/>
      <c r="K91" s="677">
        <f t="shared" si="113"/>
        <v>-16.79079999999999</v>
      </c>
      <c r="L91" s="676"/>
      <c r="M91" s="676"/>
      <c r="N91" s="676"/>
      <c r="O91" s="676"/>
      <c r="P91" s="676"/>
      <c r="Q91" s="676"/>
      <c r="R91" s="676"/>
      <c r="S91" s="676"/>
      <c r="T91" s="676"/>
      <c r="U91" s="676"/>
      <c r="V91" s="676"/>
      <c r="W91" s="676"/>
      <c r="X91" s="676"/>
      <c r="Y91" s="676"/>
      <c r="Z91" s="676"/>
      <c r="AA91" s="676"/>
      <c r="AB91" s="676"/>
      <c r="AC91" s="676"/>
      <c r="AD91" s="676"/>
      <c r="AE91" s="676"/>
      <c r="AF91" s="676"/>
      <c r="AG91" s="676"/>
      <c r="AH91" s="678"/>
      <c r="AI91" s="678"/>
      <c r="AJ91" s="678"/>
    </row>
    <row r="94" spans="1:56">
      <c r="AM94" s="772" t="s">
        <v>462</v>
      </c>
      <c r="AN94" s="771"/>
      <c r="AO94" s="771"/>
      <c r="AP94" s="771"/>
      <c r="AQ94" s="771"/>
      <c r="AR94" s="771"/>
      <c r="AS94" s="771"/>
      <c r="AT94" s="771"/>
      <c r="AU94" s="678"/>
      <c r="AV94" s="772" t="s">
        <v>148</v>
      </c>
      <c r="AW94" s="771"/>
      <c r="AX94" s="771"/>
      <c r="AY94" s="771"/>
      <c r="AZ94" s="771"/>
      <c r="BA94" s="771"/>
      <c r="BB94" s="771"/>
      <c r="BC94" s="771"/>
      <c r="BD94" s="678"/>
    </row>
    <row r="95" spans="1:56">
      <c r="AM95" s="678"/>
      <c r="AN95" s="678"/>
      <c r="AO95" s="678"/>
      <c r="AP95" s="678"/>
      <c r="AQ95" s="678"/>
      <c r="AR95" s="678"/>
      <c r="AS95" s="678"/>
      <c r="AT95" s="678"/>
      <c r="AU95" s="678"/>
      <c r="AV95" s="678"/>
      <c r="AW95" s="678"/>
      <c r="AX95" s="678"/>
      <c r="AY95" s="678"/>
      <c r="AZ95" s="678"/>
      <c r="BA95" s="678"/>
      <c r="BB95" s="678"/>
      <c r="BC95" s="678"/>
      <c r="BD95" s="678"/>
    </row>
    <row r="96" spans="1:56">
      <c r="AM96" s="678"/>
      <c r="AN96" s="678"/>
      <c r="AO96" s="678"/>
      <c r="AP96" s="678"/>
      <c r="AQ96" s="678"/>
      <c r="AR96" s="678"/>
      <c r="AS96" s="678"/>
      <c r="AT96" s="678"/>
      <c r="AU96" s="678"/>
      <c r="AV96" s="678"/>
      <c r="AW96" s="678"/>
      <c r="AX96" s="678"/>
      <c r="AY96" s="678"/>
      <c r="AZ96" s="678"/>
      <c r="BA96" s="678"/>
      <c r="BB96" s="678"/>
      <c r="BC96" s="678"/>
      <c r="BD96" s="678"/>
    </row>
    <row r="97" spans="39:56">
      <c r="AM97" s="678"/>
      <c r="AN97" s="678"/>
      <c r="AO97" s="678"/>
      <c r="AP97" s="678"/>
      <c r="AQ97" s="678"/>
      <c r="AR97" s="678"/>
      <c r="AS97" s="678"/>
      <c r="AT97" s="678"/>
      <c r="AU97" s="678"/>
      <c r="AV97" s="678"/>
      <c r="AW97" s="678"/>
      <c r="AX97" s="678"/>
      <c r="AY97" s="678"/>
      <c r="AZ97" s="678"/>
      <c r="BA97" s="678"/>
      <c r="BB97" s="678"/>
      <c r="BC97" s="678"/>
      <c r="BD97" s="678"/>
    </row>
    <row r="98" spans="39:56">
      <c r="AM98" s="678"/>
      <c r="AN98" s="678"/>
      <c r="AO98" s="678"/>
      <c r="AP98" s="678"/>
      <c r="AQ98" s="678"/>
      <c r="AR98" s="678"/>
      <c r="AS98" s="678"/>
      <c r="AT98" s="678"/>
      <c r="AU98" s="678"/>
      <c r="AV98" s="678"/>
      <c r="AW98" s="678"/>
      <c r="AX98" s="678"/>
      <c r="AY98" s="678"/>
      <c r="AZ98" s="678"/>
      <c r="BA98" s="678"/>
      <c r="BB98" s="678"/>
      <c r="BC98" s="678"/>
      <c r="BD98" s="678"/>
    </row>
    <row r="99" spans="39:56">
      <c r="AM99" s="678"/>
      <c r="AN99" s="678"/>
      <c r="AO99" s="678"/>
      <c r="AP99" s="678"/>
      <c r="AQ99" s="678"/>
      <c r="AR99" s="678"/>
      <c r="AS99" s="678"/>
      <c r="AT99" s="678"/>
      <c r="AU99" s="678"/>
      <c r="AV99" s="678"/>
      <c r="AW99" s="678"/>
      <c r="AX99" s="678"/>
      <c r="AY99" s="678"/>
      <c r="AZ99" s="678"/>
      <c r="BA99" s="678"/>
      <c r="BB99" s="678"/>
      <c r="BC99" s="678"/>
      <c r="BD99" s="678"/>
    </row>
    <row r="100" spans="39:56">
      <c r="AM100" s="678"/>
      <c r="AN100" s="678"/>
      <c r="AO100" s="678"/>
      <c r="AP100" s="678"/>
      <c r="AQ100" s="678"/>
      <c r="AR100" s="678"/>
      <c r="AS100" s="678"/>
      <c r="AT100" s="678"/>
      <c r="AU100" s="678"/>
      <c r="AV100" s="678"/>
      <c r="AW100" s="678"/>
      <c r="AX100" s="678"/>
      <c r="AY100" s="678"/>
      <c r="AZ100" s="678"/>
      <c r="BA100" s="678"/>
      <c r="BB100" s="678"/>
      <c r="BC100" s="678"/>
      <c r="BD100" s="678"/>
    </row>
    <row r="101" spans="39:56">
      <c r="AM101" s="678"/>
      <c r="AN101" s="678"/>
      <c r="AO101" s="678"/>
      <c r="AP101" s="678"/>
      <c r="AQ101" s="678"/>
      <c r="AR101" s="678"/>
      <c r="AS101" s="678"/>
      <c r="AT101" s="678"/>
      <c r="AU101" s="678"/>
      <c r="AV101" s="678"/>
      <c r="AW101" s="678"/>
      <c r="AX101" s="678"/>
      <c r="AY101" s="678"/>
      <c r="AZ101" s="678"/>
      <c r="BA101" s="678"/>
      <c r="BB101" s="678"/>
      <c r="BC101" s="678"/>
      <c r="BD101" s="678"/>
    </row>
    <row r="102" spans="39:56">
      <c r="AM102" s="678"/>
      <c r="AN102" s="678"/>
      <c r="AO102" s="678"/>
      <c r="AP102" s="678"/>
      <c r="AQ102" s="678"/>
      <c r="AR102" s="678"/>
      <c r="AS102" s="678"/>
      <c r="AT102" s="678"/>
      <c r="AU102" s="678"/>
      <c r="AV102" s="678"/>
      <c r="AW102" s="678"/>
      <c r="AX102" s="678"/>
      <c r="AY102" s="678"/>
      <c r="AZ102" s="678"/>
      <c r="BA102" s="678"/>
      <c r="BB102" s="678"/>
      <c r="BC102" s="678"/>
      <c r="BD102" s="678"/>
    </row>
    <row r="103" spans="39:56">
      <c r="AM103" s="678"/>
      <c r="AN103" s="678"/>
      <c r="AO103" s="678"/>
      <c r="AP103" s="678"/>
      <c r="AQ103" s="678"/>
      <c r="AR103" s="678"/>
      <c r="AS103" s="678"/>
      <c r="AT103" s="678"/>
      <c r="AU103" s="678"/>
      <c r="AV103" s="678"/>
      <c r="AW103" s="678"/>
      <c r="AX103" s="678"/>
      <c r="AY103" s="678"/>
      <c r="AZ103" s="678"/>
      <c r="BA103" s="678"/>
      <c r="BB103" s="678"/>
      <c r="BC103" s="678"/>
      <c r="BD103" s="678"/>
    </row>
    <row r="104" spans="39:56">
      <c r="AM104" s="678"/>
      <c r="AN104" s="678"/>
      <c r="AO104" s="678"/>
      <c r="AP104" s="678"/>
      <c r="AQ104" s="678"/>
      <c r="AR104" s="678"/>
      <c r="AS104" s="678"/>
      <c r="AT104" s="678"/>
      <c r="AU104" s="678"/>
      <c r="AV104" s="678"/>
      <c r="AW104" s="678"/>
      <c r="AX104" s="678"/>
      <c r="AY104" s="678"/>
      <c r="AZ104" s="678"/>
      <c r="BA104" s="678"/>
      <c r="BB104" s="678"/>
      <c r="BC104" s="678"/>
      <c r="BD104" s="678"/>
    </row>
    <row r="105" spans="39:56">
      <c r="AM105" s="678"/>
      <c r="AN105" s="678"/>
      <c r="AO105" s="678"/>
      <c r="AP105" s="678"/>
      <c r="AQ105" s="678"/>
      <c r="AR105" s="678"/>
      <c r="AS105" s="678"/>
      <c r="AT105" s="678"/>
      <c r="AU105" s="678"/>
      <c r="AV105" s="678"/>
      <c r="AW105" s="678"/>
      <c r="AX105" s="678"/>
      <c r="AY105" s="678"/>
      <c r="AZ105" s="678"/>
      <c r="BA105" s="678"/>
      <c r="BB105" s="678"/>
      <c r="BC105" s="678"/>
      <c r="BD105" s="678"/>
    </row>
    <row r="106" spans="39:56">
      <c r="AM106" s="678"/>
      <c r="AN106" s="678"/>
      <c r="AO106" s="678"/>
      <c r="AP106" s="678"/>
      <c r="AQ106" s="678"/>
      <c r="AR106" s="678"/>
      <c r="AS106" s="678"/>
      <c r="AT106" s="678"/>
      <c r="AU106" s="678"/>
      <c r="AV106" s="678"/>
      <c r="AW106" s="678"/>
      <c r="AX106" s="678"/>
      <c r="AY106" s="678"/>
      <c r="AZ106" s="678"/>
      <c r="BA106" s="678"/>
      <c r="BB106" s="678"/>
      <c r="BC106" s="678"/>
      <c r="BD106" s="678"/>
    </row>
    <row r="107" spans="39:56">
      <c r="AM107" s="678"/>
      <c r="AN107" s="678"/>
      <c r="AO107" s="678"/>
      <c r="AP107" s="678"/>
      <c r="AQ107" s="678"/>
      <c r="AR107" s="678"/>
      <c r="AS107" s="678"/>
      <c r="AT107" s="678"/>
      <c r="AU107" s="678"/>
      <c r="AV107" s="678"/>
      <c r="AW107" s="678"/>
      <c r="AX107" s="678"/>
      <c r="AY107" s="678"/>
      <c r="AZ107" s="678"/>
      <c r="BA107" s="678"/>
      <c r="BB107" s="678"/>
      <c r="BC107" s="678"/>
      <c r="BD107" s="678"/>
    </row>
    <row r="108" spans="39:56">
      <c r="AM108" s="678"/>
      <c r="AN108" s="678"/>
      <c r="AO108" s="678"/>
      <c r="AP108" s="678"/>
      <c r="AQ108" s="678"/>
      <c r="AR108" s="678"/>
      <c r="AS108" s="678"/>
      <c r="AT108" s="678"/>
      <c r="AU108" s="678"/>
      <c r="AV108" s="678"/>
      <c r="AW108" s="678"/>
      <c r="AX108" s="678"/>
      <c r="AY108" s="678"/>
      <c r="AZ108" s="678"/>
      <c r="BA108" s="678"/>
      <c r="BB108" s="678"/>
      <c r="BC108" s="678"/>
      <c r="BD108" s="678"/>
    </row>
    <row r="109" spans="39:56">
      <c r="AM109" s="678"/>
      <c r="AN109" s="678"/>
      <c r="AO109" s="678"/>
      <c r="AP109" s="678"/>
      <c r="AQ109" s="678"/>
      <c r="AR109" s="678"/>
      <c r="AS109" s="678"/>
      <c r="AT109" s="678"/>
      <c r="AU109" s="678"/>
      <c r="AV109" s="678"/>
      <c r="AW109" s="678"/>
      <c r="AX109" s="678"/>
      <c r="AY109" s="678"/>
      <c r="AZ109" s="678"/>
      <c r="BA109" s="678"/>
      <c r="BB109" s="678"/>
      <c r="BC109" s="678"/>
      <c r="BD109" s="678"/>
    </row>
    <row r="110" spans="39:56">
      <c r="AM110" s="678"/>
      <c r="AN110" s="678"/>
      <c r="AO110" s="678"/>
      <c r="AP110" s="678"/>
      <c r="AQ110" s="678"/>
      <c r="AR110" s="678"/>
      <c r="AS110" s="678"/>
      <c r="AT110" s="678"/>
      <c r="AU110" s="678"/>
      <c r="AV110" s="678"/>
      <c r="AW110" s="678"/>
      <c r="AX110" s="678"/>
      <c r="AY110" s="678"/>
      <c r="AZ110" s="678"/>
      <c r="BA110" s="678"/>
      <c r="BB110" s="678"/>
      <c r="BC110" s="678"/>
      <c r="BD110" s="678"/>
    </row>
    <row r="111" spans="39:56">
      <c r="AM111" s="678"/>
      <c r="AN111" s="678"/>
      <c r="AO111" s="678"/>
      <c r="AP111" s="678"/>
      <c r="AQ111" s="678"/>
      <c r="AR111" s="678"/>
      <c r="AS111" s="678"/>
      <c r="AT111" s="678"/>
      <c r="AU111" s="678"/>
      <c r="AV111" s="678"/>
      <c r="AW111" s="678"/>
      <c r="AX111" s="678"/>
      <c r="AY111" s="678"/>
      <c r="AZ111" s="678"/>
      <c r="BA111" s="678"/>
      <c r="BB111" s="678"/>
      <c r="BC111" s="678"/>
      <c r="BD111" s="678"/>
    </row>
    <row r="112" spans="39:56">
      <c r="AM112" s="678"/>
      <c r="AN112" s="678"/>
      <c r="AO112" s="678"/>
      <c r="AP112" s="678"/>
      <c r="AQ112" s="678"/>
      <c r="AR112" s="678"/>
      <c r="AS112" s="678"/>
      <c r="AT112" s="678"/>
      <c r="AU112" s="678"/>
      <c r="AV112" s="678"/>
      <c r="AW112" s="678"/>
      <c r="AX112" s="678"/>
      <c r="AY112" s="678"/>
      <c r="AZ112" s="678"/>
      <c r="BA112" s="678"/>
      <c r="BB112" s="678"/>
      <c r="BC112" s="678"/>
      <c r="BD112" s="678"/>
    </row>
    <row r="113" spans="24:64">
      <c r="AM113" s="678"/>
      <c r="AN113" s="678"/>
      <c r="AO113" s="678"/>
      <c r="AP113" s="678"/>
      <c r="AQ113" s="678"/>
      <c r="AR113" s="678"/>
      <c r="AS113" s="678"/>
      <c r="AT113" s="678"/>
      <c r="AU113" s="678"/>
      <c r="AV113" s="678"/>
      <c r="AW113" s="678"/>
      <c r="AX113" s="678"/>
      <c r="AY113" s="678"/>
      <c r="AZ113" s="678"/>
      <c r="BA113" s="678"/>
      <c r="BB113" s="678"/>
      <c r="BC113" s="678"/>
      <c r="BD113" s="678"/>
    </row>
    <row r="114" spans="24:64">
      <c r="AM114" s="771"/>
      <c r="AN114" s="771"/>
      <c r="AO114" s="771"/>
      <c r="AP114" s="771"/>
      <c r="AQ114" s="771"/>
      <c r="AR114" s="771"/>
      <c r="AS114" s="771"/>
      <c r="AT114" s="771"/>
      <c r="AU114" s="678"/>
      <c r="AV114" s="771"/>
      <c r="AW114" s="771"/>
      <c r="AX114" s="771"/>
      <c r="AY114" s="771"/>
      <c r="AZ114" s="771"/>
      <c r="BA114" s="771"/>
      <c r="BB114" s="771"/>
      <c r="BC114" s="771"/>
      <c r="BD114" s="678"/>
    </row>
    <row r="115" spans="24:64">
      <c r="X115" s="772" t="s">
        <v>647</v>
      </c>
      <c r="Y115" s="771"/>
      <c r="Z115" s="771"/>
      <c r="AA115" s="771"/>
      <c r="AB115" s="771"/>
      <c r="AC115" s="771"/>
      <c r="AD115" s="771"/>
      <c r="AE115" s="771"/>
      <c r="AF115" s="771"/>
      <c r="AG115" s="771"/>
      <c r="AH115" s="771"/>
      <c r="AI115" s="771"/>
      <c r="AJ115" s="771"/>
      <c r="AK115" s="771"/>
      <c r="AL115" s="678"/>
      <c r="AM115" s="772" t="s">
        <v>464</v>
      </c>
      <c r="AN115" s="771"/>
      <c r="AO115" s="771"/>
      <c r="AP115" s="771"/>
      <c r="AQ115" s="771"/>
      <c r="AR115" s="771"/>
      <c r="AS115" s="771"/>
      <c r="AT115" s="771"/>
      <c r="AU115" s="678"/>
      <c r="AV115" s="772" t="s">
        <v>465</v>
      </c>
      <c r="AW115" s="771"/>
      <c r="AX115" s="771"/>
      <c r="AY115" s="771"/>
      <c r="AZ115" s="771"/>
      <c r="BA115" s="771"/>
      <c r="BB115" s="771"/>
      <c r="BC115" s="771"/>
      <c r="BD115" s="678"/>
      <c r="BE115" s="772" t="s">
        <v>463</v>
      </c>
      <c r="BF115" s="771"/>
      <c r="BG115" s="771"/>
      <c r="BH115" s="771"/>
      <c r="BI115" s="771"/>
      <c r="BJ115" s="771"/>
      <c r="BK115" s="771"/>
      <c r="BL115" s="771"/>
    </row>
    <row r="116" spans="24:64">
      <c r="X116" s="678"/>
      <c r="Y116" s="678"/>
      <c r="Z116" s="678"/>
      <c r="AA116" s="678"/>
      <c r="AB116" s="678"/>
      <c r="AC116" s="678"/>
      <c r="AD116" s="678"/>
      <c r="AE116" s="678"/>
      <c r="AF116" s="678"/>
      <c r="AG116" s="678"/>
      <c r="AH116" s="678"/>
      <c r="AI116" s="678"/>
      <c r="AJ116" s="678"/>
      <c r="AK116" s="678"/>
      <c r="AL116" s="678"/>
      <c r="AM116" s="678"/>
      <c r="AN116" s="678"/>
      <c r="AO116" s="678"/>
      <c r="AP116" s="678"/>
      <c r="AQ116" s="678"/>
      <c r="AR116" s="678"/>
      <c r="AS116" s="678"/>
      <c r="AT116" s="678"/>
      <c r="AU116" s="678"/>
      <c r="AV116" s="678"/>
      <c r="AW116" s="678"/>
      <c r="AX116" s="678"/>
      <c r="AY116" s="678"/>
      <c r="AZ116" s="678"/>
      <c r="BA116" s="678"/>
      <c r="BB116" s="678"/>
      <c r="BC116" s="678"/>
      <c r="BD116" s="773"/>
      <c r="BE116" s="773"/>
      <c r="BF116" s="773"/>
      <c r="BG116" s="773"/>
      <c r="BH116" s="773"/>
      <c r="BI116" s="773"/>
      <c r="BJ116" s="773"/>
      <c r="BK116" s="773"/>
      <c r="BL116" s="773"/>
    </row>
    <row r="117" spans="24:64">
      <c r="X117" s="678"/>
      <c r="Y117" s="678"/>
      <c r="Z117" s="678"/>
      <c r="AA117" s="678"/>
      <c r="AB117" s="678"/>
      <c r="AC117" s="678"/>
      <c r="AD117" s="678"/>
      <c r="AE117" s="678"/>
      <c r="AF117" s="678"/>
      <c r="AG117" s="678"/>
      <c r="AH117" s="678"/>
      <c r="AI117" s="678"/>
      <c r="AJ117" s="678"/>
      <c r="AK117" s="678"/>
      <c r="AL117" s="678"/>
      <c r="AM117" s="678"/>
      <c r="AN117" s="678"/>
      <c r="AO117" s="678"/>
      <c r="AP117" s="678"/>
      <c r="AQ117" s="678"/>
      <c r="AR117" s="678"/>
      <c r="AS117" s="678"/>
      <c r="AT117" s="678"/>
      <c r="AU117" s="678"/>
      <c r="AV117" s="678"/>
      <c r="AW117" s="678"/>
      <c r="AX117" s="678"/>
      <c r="AY117" s="678"/>
      <c r="AZ117" s="678"/>
      <c r="BA117" s="678"/>
      <c r="BB117" s="678"/>
      <c r="BC117" s="678"/>
      <c r="BD117" s="773"/>
      <c r="BE117" s="773"/>
      <c r="BF117" s="773"/>
      <c r="BG117" s="773"/>
      <c r="BH117" s="773"/>
      <c r="BI117" s="773"/>
      <c r="BJ117" s="773"/>
      <c r="BK117" s="773"/>
      <c r="BL117" s="773"/>
    </row>
    <row r="118" spans="24:64">
      <c r="X118" s="678"/>
      <c r="Y118" s="678"/>
      <c r="Z118" s="678"/>
      <c r="AA118" s="678"/>
      <c r="AB118" s="678"/>
      <c r="AC118" s="678"/>
      <c r="AD118" s="678"/>
      <c r="AE118" s="678"/>
      <c r="AF118" s="678"/>
      <c r="AG118" s="678"/>
      <c r="AH118" s="678"/>
      <c r="AI118" s="678"/>
      <c r="AJ118" s="678"/>
      <c r="AK118" s="678"/>
      <c r="AL118" s="678"/>
      <c r="AM118" s="678"/>
      <c r="AN118" s="678"/>
      <c r="AO118" s="678"/>
      <c r="AP118" s="678"/>
      <c r="AQ118" s="678"/>
      <c r="AR118" s="678"/>
      <c r="AS118" s="678"/>
      <c r="AT118" s="678"/>
      <c r="AU118" s="678"/>
      <c r="AV118" s="678"/>
      <c r="AW118" s="678"/>
      <c r="AX118" s="678"/>
      <c r="AY118" s="678"/>
      <c r="AZ118" s="678"/>
      <c r="BA118" s="678"/>
      <c r="BB118" s="678"/>
      <c r="BC118" s="678"/>
      <c r="BD118" s="773"/>
      <c r="BE118" s="773"/>
      <c r="BF118" s="773"/>
      <c r="BG118" s="773"/>
      <c r="BH118" s="773"/>
      <c r="BI118" s="773"/>
      <c r="BJ118" s="773"/>
      <c r="BK118" s="773"/>
      <c r="BL118" s="773"/>
    </row>
    <row r="119" spans="24:64">
      <c r="X119" s="678"/>
      <c r="Y119" s="678"/>
      <c r="Z119" s="678"/>
      <c r="AA119" s="678"/>
      <c r="AB119" s="678"/>
      <c r="AC119" s="678"/>
      <c r="AD119" s="678"/>
      <c r="AE119" s="678"/>
      <c r="AF119" s="678"/>
      <c r="AG119" s="678"/>
      <c r="AH119" s="678"/>
      <c r="AI119" s="678"/>
      <c r="AJ119" s="678"/>
      <c r="AK119" s="678"/>
      <c r="AL119" s="678"/>
      <c r="AM119" s="678"/>
      <c r="AN119" s="678"/>
      <c r="AO119" s="678"/>
      <c r="AP119" s="678"/>
      <c r="AQ119" s="678"/>
      <c r="AR119" s="678"/>
      <c r="AS119" s="678"/>
      <c r="AT119" s="678"/>
      <c r="AU119" s="678"/>
      <c r="AV119" s="678"/>
      <c r="AW119" s="678"/>
      <c r="AX119" s="678"/>
      <c r="AY119" s="678"/>
      <c r="AZ119" s="678"/>
      <c r="BA119" s="678"/>
      <c r="BB119" s="678"/>
      <c r="BC119" s="678"/>
      <c r="BD119" s="773"/>
      <c r="BE119" s="773"/>
      <c r="BF119" s="773"/>
      <c r="BG119" s="773"/>
      <c r="BH119" s="773"/>
      <c r="BI119" s="773"/>
      <c r="BJ119" s="773"/>
      <c r="BK119" s="773"/>
      <c r="BL119" s="773"/>
    </row>
    <row r="120" spans="24:64">
      <c r="X120" s="678"/>
      <c r="Y120" s="678"/>
      <c r="Z120" s="678"/>
      <c r="AA120" s="678"/>
      <c r="AB120" s="678"/>
      <c r="AC120" s="678"/>
      <c r="AD120" s="678"/>
      <c r="AE120" s="678"/>
      <c r="AF120" s="678"/>
      <c r="AG120" s="678"/>
      <c r="AH120" s="678"/>
      <c r="AI120" s="678"/>
      <c r="AJ120" s="678"/>
      <c r="AK120" s="678"/>
      <c r="AL120" s="678"/>
      <c r="AM120" s="678"/>
      <c r="AN120" s="678"/>
      <c r="AO120" s="678"/>
      <c r="AP120" s="678"/>
      <c r="AQ120" s="678"/>
      <c r="AR120" s="678"/>
      <c r="AS120" s="678"/>
      <c r="AT120" s="678"/>
      <c r="AU120" s="678"/>
      <c r="AV120" s="678"/>
      <c r="AW120" s="678"/>
      <c r="AX120" s="678"/>
      <c r="AY120" s="678"/>
      <c r="AZ120" s="678"/>
      <c r="BA120" s="678"/>
      <c r="BB120" s="678"/>
      <c r="BC120" s="678"/>
      <c r="BD120" s="773"/>
      <c r="BE120" s="773"/>
      <c r="BF120" s="773"/>
      <c r="BG120" s="773"/>
      <c r="BH120" s="773"/>
      <c r="BI120" s="773"/>
      <c r="BJ120" s="773"/>
      <c r="BK120" s="773"/>
      <c r="BL120" s="773"/>
    </row>
    <row r="121" spans="24:64">
      <c r="X121" s="678"/>
      <c r="Y121" s="678"/>
      <c r="Z121" s="678"/>
      <c r="AA121" s="678"/>
      <c r="AB121" s="678"/>
      <c r="AC121" s="678"/>
      <c r="AD121" s="678"/>
      <c r="AE121" s="678"/>
      <c r="AF121" s="678"/>
      <c r="AG121" s="678"/>
      <c r="AH121" s="678"/>
      <c r="AI121" s="678"/>
      <c r="AJ121" s="678"/>
      <c r="AK121" s="678"/>
      <c r="AL121" s="678"/>
      <c r="AM121" s="678"/>
      <c r="AN121" s="678"/>
      <c r="AO121" s="678"/>
      <c r="AP121" s="678"/>
      <c r="AQ121" s="678"/>
      <c r="AR121" s="678"/>
      <c r="AS121" s="678"/>
      <c r="AT121" s="678"/>
      <c r="AU121" s="678"/>
      <c r="AV121" s="678"/>
      <c r="AW121" s="678"/>
      <c r="AX121" s="678"/>
      <c r="AY121" s="678"/>
      <c r="AZ121" s="678"/>
      <c r="BA121" s="678"/>
      <c r="BB121" s="678"/>
      <c r="BC121" s="678"/>
      <c r="BD121" s="773"/>
      <c r="BE121" s="773"/>
      <c r="BF121" s="773"/>
      <c r="BG121" s="773"/>
      <c r="BH121" s="773"/>
      <c r="BI121" s="773"/>
      <c r="BJ121" s="773"/>
      <c r="BK121" s="773"/>
      <c r="BL121" s="773"/>
    </row>
    <row r="122" spans="24:64">
      <c r="X122" s="678"/>
      <c r="Y122" s="678"/>
      <c r="Z122" s="678"/>
      <c r="AA122" s="678"/>
      <c r="AB122" s="678"/>
      <c r="AC122" s="678"/>
      <c r="AD122" s="678"/>
      <c r="AE122" s="678"/>
      <c r="AF122" s="678"/>
      <c r="AG122" s="678"/>
      <c r="AH122" s="678"/>
      <c r="AI122" s="678"/>
      <c r="AJ122" s="678"/>
      <c r="AK122" s="678"/>
      <c r="AL122" s="678"/>
      <c r="AM122" s="678"/>
      <c r="AN122" s="678"/>
      <c r="AO122" s="678"/>
      <c r="AP122" s="678"/>
      <c r="AQ122" s="678"/>
      <c r="AR122" s="678"/>
      <c r="AS122" s="678"/>
      <c r="AT122" s="678"/>
      <c r="AU122" s="678"/>
      <c r="AV122" s="678"/>
      <c r="AW122" s="678"/>
      <c r="AX122" s="678"/>
      <c r="AY122" s="678"/>
      <c r="AZ122" s="678"/>
      <c r="BA122" s="678"/>
      <c r="BB122" s="678"/>
      <c r="BC122" s="678"/>
      <c r="BD122" s="773"/>
      <c r="BE122" s="773"/>
      <c r="BF122" s="773"/>
      <c r="BG122" s="773"/>
      <c r="BH122" s="773"/>
      <c r="BI122" s="773"/>
      <c r="BJ122" s="773"/>
      <c r="BK122" s="773"/>
      <c r="BL122" s="773"/>
    </row>
    <row r="123" spans="24:64">
      <c r="X123" s="678"/>
      <c r="Y123" s="678"/>
      <c r="Z123" s="678"/>
      <c r="AA123" s="678"/>
      <c r="AB123" s="678"/>
      <c r="AC123" s="678"/>
      <c r="AD123" s="678"/>
      <c r="AE123" s="678"/>
      <c r="AF123" s="678"/>
      <c r="AG123" s="678"/>
      <c r="AH123" s="678"/>
      <c r="AI123" s="678"/>
      <c r="AJ123" s="678"/>
      <c r="AK123" s="678"/>
      <c r="AL123" s="678"/>
      <c r="AM123" s="678"/>
      <c r="AN123" s="678"/>
      <c r="AO123" s="678"/>
      <c r="AP123" s="678"/>
      <c r="AQ123" s="678"/>
      <c r="AR123" s="678"/>
      <c r="AS123" s="678"/>
      <c r="AT123" s="678"/>
      <c r="AU123" s="678"/>
      <c r="AV123" s="678"/>
      <c r="AW123" s="678"/>
      <c r="AX123" s="678"/>
      <c r="AY123" s="678"/>
      <c r="AZ123" s="678"/>
      <c r="BA123" s="678"/>
      <c r="BB123" s="678"/>
      <c r="BC123" s="678"/>
      <c r="BD123" s="773"/>
      <c r="BE123" s="773"/>
      <c r="BF123" s="773"/>
      <c r="BG123" s="773"/>
      <c r="BH123" s="773"/>
      <c r="BI123" s="773"/>
      <c r="BJ123" s="773"/>
      <c r="BK123" s="773"/>
      <c r="BL123" s="773"/>
    </row>
    <row r="124" spans="24:64">
      <c r="X124" s="678"/>
      <c r="Y124" s="678"/>
      <c r="Z124" s="678"/>
      <c r="AA124" s="678"/>
      <c r="AB124" s="678"/>
      <c r="AC124" s="678"/>
      <c r="AD124" s="678"/>
      <c r="AE124" s="678"/>
      <c r="AF124" s="678"/>
      <c r="AG124" s="678"/>
      <c r="AH124" s="678"/>
      <c r="AI124" s="678"/>
      <c r="AJ124" s="678"/>
      <c r="AK124" s="678"/>
      <c r="AL124" s="678"/>
      <c r="AM124" s="678"/>
      <c r="AN124" s="678"/>
      <c r="AO124" s="678"/>
      <c r="AP124" s="678"/>
      <c r="AQ124" s="678"/>
      <c r="AR124" s="678"/>
      <c r="AS124" s="678"/>
      <c r="AT124" s="678"/>
      <c r="AU124" s="678"/>
      <c r="AV124" s="678"/>
      <c r="AW124" s="678"/>
      <c r="AX124" s="678"/>
      <c r="AY124" s="678"/>
      <c r="AZ124" s="678"/>
      <c r="BA124" s="678"/>
      <c r="BB124" s="678"/>
      <c r="BC124" s="678"/>
      <c r="BD124" s="773"/>
      <c r="BE124" s="773"/>
      <c r="BF124" s="773"/>
      <c r="BG124" s="773"/>
      <c r="BH124" s="773"/>
      <c r="BI124" s="773"/>
      <c r="BJ124" s="773"/>
      <c r="BK124" s="773"/>
      <c r="BL124" s="773"/>
    </row>
    <row r="125" spans="24:64">
      <c r="X125" s="678"/>
      <c r="Y125" s="678"/>
      <c r="Z125" s="678"/>
      <c r="AA125" s="678"/>
      <c r="AB125" s="678"/>
      <c r="AC125" s="678"/>
      <c r="AD125" s="678"/>
      <c r="AE125" s="678"/>
      <c r="AF125" s="678"/>
      <c r="AG125" s="678"/>
      <c r="AH125" s="678"/>
      <c r="AI125" s="678"/>
      <c r="AJ125" s="678"/>
      <c r="AK125" s="678"/>
      <c r="AL125" s="678"/>
      <c r="AM125" s="678"/>
      <c r="AN125" s="678"/>
      <c r="AO125" s="678"/>
      <c r="AP125" s="678"/>
      <c r="AQ125" s="678"/>
      <c r="AR125" s="678"/>
      <c r="AS125" s="678"/>
      <c r="AT125" s="678"/>
      <c r="AU125" s="678"/>
      <c r="AV125" s="678"/>
      <c r="AW125" s="678"/>
      <c r="AX125" s="678"/>
      <c r="AY125" s="678"/>
      <c r="AZ125" s="678"/>
      <c r="BA125" s="678"/>
      <c r="BB125" s="678"/>
      <c r="BC125" s="678"/>
      <c r="BD125" s="773"/>
      <c r="BE125" s="773"/>
      <c r="BF125" s="773"/>
      <c r="BG125" s="773"/>
      <c r="BH125" s="773"/>
      <c r="BI125" s="773"/>
      <c r="BJ125" s="773"/>
      <c r="BK125" s="773"/>
      <c r="BL125" s="773"/>
    </row>
    <row r="126" spans="24:64">
      <c r="X126" s="678"/>
      <c r="Y126" s="678"/>
      <c r="Z126" s="678"/>
      <c r="AA126" s="678"/>
      <c r="AB126" s="678"/>
      <c r="AC126" s="678"/>
      <c r="AD126" s="678"/>
      <c r="AE126" s="678"/>
      <c r="AF126" s="678"/>
      <c r="AG126" s="678"/>
      <c r="AH126" s="678"/>
      <c r="AI126" s="678"/>
      <c r="AJ126" s="678"/>
      <c r="AK126" s="678"/>
      <c r="AL126" s="678"/>
      <c r="AM126" s="678"/>
      <c r="AN126" s="678"/>
      <c r="AO126" s="678"/>
      <c r="AP126" s="678"/>
      <c r="AQ126" s="678"/>
      <c r="AR126" s="678"/>
      <c r="AS126" s="678"/>
      <c r="AT126" s="678"/>
      <c r="AU126" s="678"/>
      <c r="AV126" s="678"/>
      <c r="AW126" s="678"/>
      <c r="AX126" s="678"/>
      <c r="AY126" s="678"/>
      <c r="AZ126" s="678"/>
      <c r="BA126" s="678"/>
      <c r="BB126" s="678"/>
      <c r="BC126" s="678"/>
      <c r="BD126" s="773"/>
      <c r="BE126" s="773"/>
      <c r="BF126" s="773"/>
      <c r="BG126" s="773"/>
      <c r="BH126" s="773"/>
      <c r="BI126" s="773"/>
      <c r="BJ126" s="773"/>
      <c r="BK126" s="773"/>
      <c r="BL126" s="773"/>
    </row>
    <row r="127" spans="24:64">
      <c r="X127" s="678"/>
      <c r="Y127" s="678"/>
      <c r="Z127" s="678"/>
      <c r="AA127" s="678"/>
      <c r="AB127" s="678"/>
      <c r="AC127" s="678"/>
      <c r="AD127" s="678"/>
      <c r="AE127" s="678"/>
      <c r="AF127" s="678"/>
      <c r="AG127" s="678"/>
      <c r="AH127" s="678"/>
      <c r="AI127" s="678"/>
      <c r="AJ127" s="678"/>
      <c r="AK127" s="678"/>
      <c r="AL127" s="678"/>
      <c r="AM127" s="678"/>
      <c r="AN127" s="678"/>
      <c r="AO127" s="678"/>
      <c r="AP127" s="678"/>
      <c r="AQ127" s="678"/>
      <c r="AR127" s="678"/>
      <c r="AS127" s="678"/>
      <c r="AT127" s="678"/>
      <c r="AU127" s="678"/>
      <c r="AV127" s="678"/>
      <c r="AW127" s="678"/>
      <c r="AX127" s="678"/>
      <c r="AY127" s="678"/>
      <c r="AZ127" s="678"/>
      <c r="BA127" s="678"/>
      <c r="BB127" s="678"/>
      <c r="BC127" s="678"/>
      <c r="BD127" s="773"/>
      <c r="BE127" s="773"/>
      <c r="BF127" s="773"/>
      <c r="BG127" s="773"/>
      <c r="BH127" s="773"/>
      <c r="BI127" s="773"/>
      <c r="BJ127" s="773"/>
      <c r="BK127" s="773"/>
      <c r="BL127" s="773"/>
    </row>
    <row r="128" spans="24:64">
      <c r="X128" s="678"/>
      <c r="Y128" s="678"/>
      <c r="Z128" s="678"/>
      <c r="AA128" s="678"/>
      <c r="AB128" s="678"/>
      <c r="AC128" s="678"/>
      <c r="AD128" s="678"/>
      <c r="AE128" s="678"/>
      <c r="AF128" s="678"/>
      <c r="AG128" s="678"/>
      <c r="AH128" s="678"/>
      <c r="AI128" s="678"/>
      <c r="AJ128" s="678"/>
      <c r="AK128" s="678"/>
      <c r="AL128" s="678"/>
      <c r="AM128" s="678"/>
      <c r="AN128" s="678"/>
      <c r="AO128" s="678"/>
      <c r="AP128" s="678"/>
      <c r="AQ128" s="678"/>
      <c r="AR128" s="678"/>
      <c r="AS128" s="678"/>
      <c r="AT128" s="678"/>
      <c r="AU128" s="678"/>
      <c r="AV128" s="678"/>
      <c r="AW128" s="678"/>
      <c r="AX128" s="678"/>
      <c r="AY128" s="678"/>
      <c r="AZ128" s="678"/>
      <c r="BA128" s="678"/>
      <c r="BB128" s="678"/>
      <c r="BC128" s="678"/>
      <c r="BD128" s="773"/>
      <c r="BE128" s="773"/>
      <c r="BF128" s="773"/>
      <c r="BG128" s="773"/>
      <c r="BH128" s="773"/>
      <c r="BI128" s="773"/>
      <c r="BJ128" s="773"/>
      <c r="BK128" s="773"/>
      <c r="BL128" s="773"/>
    </row>
    <row r="129" spans="24:64">
      <c r="X129" s="678"/>
      <c r="Y129" s="678"/>
      <c r="Z129" s="678"/>
      <c r="AA129" s="678"/>
      <c r="AB129" s="678"/>
      <c r="AC129" s="678"/>
      <c r="AD129" s="678"/>
      <c r="AE129" s="678"/>
      <c r="AF129" s="678"/>
      <c r="AG129" s="678"/>
      <c r="AH129" s="678"/>
      <c r="AI129" s="678"/>
      <c r="AJ129" s="678"/>
      <c r="AK129" s="678"/>
      <c r="AL129" s="678"/>
      <c r="AM129" s="678"/>
      <c r="AN129" s="678"/>
      <c r="AO129" s="678"/>
      <c r="AP129" s="678"/>
      <c r="AQ129" s="678"/>
      <c r="AR129" s="678"/>
      <c r="AS129" s="678"/>
      <c r="AT129" s="678"/>
      <c r="AU129" s="678"/>
      <c r="AV129" s="678"/>
      <c r="AW129" s="678"/>
      <c r="AX129" s="678"/>
      <c r="AY129" s="678"/>
      <c r="AZ129" s="678"/>
      <c r="BA129" s="678"/>
      <c r="BB129" s="678"/>
      <c r="BC129" s="678"/>
      <c r="BD129" s="773"/>
      <c r="BE129" s="773"/>
      <c r="BF129" s="773"/>
      <c r="BG129" s="773"/>
      <c r="BH129" s="773"/>
      <c r="BI129" s="773"/>
      <c r="BJ129" s="773"/>
      <c r="BK129" s="773"/>
      <c r="BL129" s="773"/>
    </row>
    <row r="130" spans="24:64">
      <c r="X130" s="678"/>
      <c r="Y130" s="678"/>
      <c r="Z130" s="678"/>
      <c r="AA130" s="678"/>
      <c r="AB130" s="678"/>
      <c r="AC130" s="678"/>
      <c r="AD130" s="678"/>
      <c r="AE130" s="678"/>
      <c r="AF130" s="678"/>
      <c r="AG130" s="678"/>
      <c r="AH130" s="678"/>
      <c r="AI130" s="678"/>
      <c r="AJ130" s="678"/>
      <c r="AK130" s="678"/>
      <c r="AL130" s="678"/>
      <c r="AM130" s="678"/>
      <c r="AN130" s="678"/>
      <c r="AO130" s="678"/>
      <c r="AP130" s="678"/>
      <c r="AQ130" s="678"/>
      <c r="AR130" s="678"/>
      <c r="AS130" s="678"/>
      <c r="AT130" s="678"/>
      <c r="AU130" s="678"/>
      <c r="AV130" s="678"/>
      <c r="AW130" s="678"/>
      <c r="AX130" s="678"/>
      <c r="AY130" s="678"/>
      <c r="AZ130" s="678"/>
      <c r="BA130" s="678"/>
      <c r="BB130" s="678"/>
      <c r="BC130" s="678"/>
      <c r="BD130" s="773"/>
      <c r="BE130" s="773"/>
      <c r="BF130" s="773"/>
      <c r="BG130" s="773"/>
      <c r="BH130" s="773"/>
      <c r="BI130" s="773"/>
      <c r="BJ130" s="773"/>
      <c r="BK130" s="773"/>
      <c r="BL130" s="773"/>
    </row>
    <row r="131" spans="24:64">
      <c r="X131" s="678"/>
      <c r="Y131" s="678"/>
      <c r="Z131" s="678"/>
      <c r="AA131" s="678"/>
      <c r="AB131" s="678"/>
      <c r="AC131" s="678"/>
      <c r="AD131" s="678"/>
      <c r="AE131" s="678"/>
      <c r="AF131" s="678"/>
      <c r="AG131" s="678"/>
      <c r="AH131" s="678"/>
      <c r="AI131" s="678"/>
      <c r="AJ131" s="678"/>
      <c r="AK131" s="678"/>
      <c r="AL131" s="678"/>
      <c r="AM131" s="678"/>
      <c r="AN131" s="678"/>
      <c r="AO131" s="678"/>
      <c r="AP131" s="678"/>
      <c r="AQ131" s="678"/>
      <c r="AR131" s="678"/>
      <c r="AS131" s="678"/>
      <c r="AT131" s="678"/>
      <c r="AU131" s="678"/>
      <c r="AV131" s="678"/>
      <c r="AW131" s="678"/>
      <c r="AX131" s="678"/>
      <c r="AY131" s="678"/>
      <c r="AZ131" s="678"/>
      <c r="BA131" s="678"/>
      <c r="BB131" s="678"/>
      <c r="BC131" s="678"/>
      <c r="BD131" s="773"/>
      <c r="BE131" s="773"/>
      <c r="BF131" s="773"/>
      <c r="BG131" s="773"/>
      <c r="BH131" s="773"/>
      <c r="BI131" s="773"/>
      <c r="BJ131" s="773"/>
      <c r="BK131" s="773"/>
      <c r="BL131" s="773"/>
    </row>
    <row r="132" spans="24:64">
      <c r="X132" s="678"/>
      <c r="Y132" s="678"/>
      <c r="Z132" s="678"/>
      <c r="AA132" s="678"/>
      <c r="AB132" s="678"/>
      <c r="AC132" s="678"/>
      <c r="AD132" s="678"/>
      <c r="AE132" s="678"/>
      <c r="AF132" s="678"/>
      <c r="AG132" s="678"/>
      <c r="AH132" s="678"/>
      <c r="AI132" s="678"/>
      <c r="AJ132" s="678"/>
      <c r="AK132" s="678"/>
      <c r="AL132" s="678"/>
      <c r="AM132" s="678"/>
      <c r="AN132" s="678"/>
      <c r="AO132" s="678"/>
      <c r="AP132" s="678"/>
      <c r="AQ132" s="678"/>
      <c r="AR132" s="678"/>
      <c r="AS132" s="678"/>
      <c r="AT132" s="678"/>
      <c r="AU132" s="678"/>
      <c r="AV132" s="678"/>
      <c r="AW132" s="678"/>
      <c r="AX132" s="678"/>
      <c r="AY132" s="678"/>
      <c r="AZ132" s="678"/>
      <c r="BA132" s="678"/>
      <c r="BB132" s="678"/>
      <c r="BC132" s="678"/>
      <c r="BD132" s="773"/>
      <c r="BE132" s="773"/>
      <c r="BF132" s="773"/>
      <c r="BG132" s="773"/>
      <c r="BH132" s="773"/>
      <c r="BI132" s="773"/>
      <c r="BJ132" s="773"/>
      <c r="BK132" s="773"/>
      <c r="BL132" s="773"/>
    </row>
    <row r="133" spans="24:64">
      <c r="X133" s="678"/>
      <c r="Y133" s="678"/>
      <c r="Z133" s="678"/>
      <c r="AA133" s="678"/>
      <c r="AB133" s="678"/>
      <c r="AC133" s="678"/>
      <c r="AD133" s="678"/>
      <c r="AE133" s="678"/>
      <c r="AF133" s="678"/>
      <c r="AG133" s="678"/>
      <c r="AH133" s="678"/>
      <c r="AI133" s="678"/>
      <c r="AJ133" s="678"/>
      <c r="AK133" s="678"/>
      <c r="AL133" s="678"/>
      <c r="AM133" s="678"/>
      <c r="AN133" s="678"/>
      <c r="AO133" s="678"/>
      <c r="AP133" s="678"/>
      <c r="AQ133" s="678"/>
      <c r="AR133" s="678"/>
      <c r="AS133" s="678"/>
      <c r="AT133" s="678"/>
      <c r="AU133" s="678"/>
      <c r="AV133" s="678"/>
      <c r="AW133" s="678"/>
      <c r="AX133" s="678"/>
      <c r="AY133" s="678"/>
      <c r="AZ133" s="678"/>
      <c r="BA133" s="678"/>
      <c r="BB133" s="678"/>
      <c r="BC133" s="678"/>
      <c r="BD133" s="773"/>
      <c r="BE133" s="773"/>
      <c r="BF133" s="773"/>
      <c r="BG133" s="773"/>
      <c r="BH133" s="773"/>
      <c r="BI133" s="773"/>
      <c r="BJ133" s="773"/>
      <c r="BK133" s="773"/>
      <c r="BL133" s="773"/>
    </row>
    <row r="134" spans="24:64">
      <c r="X134" s="678"/>
      <c r="Y134" s="678"/>
      <c r="Z134" s="678"/>
      <c r="AA134" s="678"/>
      <c r="AB134" s="678"/>
      <c r="AC134" s="678"/>
      <c r="AD134" s="678"/>
      <c r="AE134" s="678"/>
      <c r="AF134" s="678"/>
      <c r="AG134" s="678"/>
      <c r="AH134" s="678"/>
      <c r="AI134" s="678"/>
      <c r="AJ134" s="678"/>
      <c r="AK134" s="678"/>
      <c r="AL134" s="678"/>
      <c r="AM134" s="678"/>
      <c r="AN134" s="678"/>
      <c r="AO134" s="678"/>
      <c r="AP134" s="678"/>
      <c r="AQ134" s="678"/>
      <c r="AR134" s="678"/>
      <c r="AS134" s="678"/>
      <c r="AT134" s="678"/>
      <c r="AU134" s="678"/>
      <c r="AV134" s="678"/>
      <c r="AW134" s="678"/>
      <c r="AX134" s="678"/>
      <c r="AY134" s="678"/>
      <c r="AZ134" s="678"/>
      <c r="BA134" s="678"/>
      <c r="BB134" s="678"/>
      <c r="BC134" s="678"/>
      <c r="BD134" s="773"/>
      <c r="BE134" s="773"/>
      <c r="BF134" s="773"/>
      <c r="BG134" s="773"/>
      <c r="BH134" s="773"/>
      <c r="BI134" s="773"/>
      <c r="BJ134" s="773"/>
      <c r="BK134" s="773"/>
      <c r="BL134" s="773"/>
    </row>
    <row r="135" spans="24:64">
      <c r="X135" s="771"/>
      <c r="Y135" s="771"/>
      <c r="Z135" s="771"/>
      <c r="AA135" s="771"/>
      <c r="AB135" s="771"/>
      <c r="AC135" s="771"/>
      <c r="AD135" s="771"/>
      <c r="AE135" s="771"/>
      <c r="AF135" s="771"/>
      <c r="AG135" s="771"/>
      <c r="AH135" s="771"/>
      <c r="AI135" s="771"/>
      <c r="AJ135" s="771"/>
      <c r="AK135" s="771"/>
      <c r="AL135" s="678"/>
      <c r="AM135" s="771"/>
      <c r="AN135" s="771"/>
      <c r="AO135" s="771"/>
      <c r="AP135" s="771"/>
      <c r="AQ135" s="771"/>
      <c r="AR135" s="771"/>
      <c r="AS135" s="771"/>
      <c r="AT135" s="771"/>
      <c r="AU135" s="678"/>
      <c r="AV135" s="771"/>
      <c r="AW135" s="771"/>
      <c r="AX135" s="771"/>
      <c r="AY135" s="771"/>
      <c r="AZ135" s="771"/>
      <c r="BA135" s="771"/>
      <c r="BB135" s="771"/>
      <c r="BC135" s="771"/>
      <c r="BD135" s="678"/>
      <c r="BE135" s="771"/>
      <c r="BF135" s="771"/>
      <c r="BG135" s="771"/>
      <c r="BH135" s="771"/>
      <c r="BI135" s="771"/>
      <c r="BJ135" s="771"/>
      <c r="BK135" s="771"/>
      <c r="BL135" s="771"/>
    </row>
    <row r="136" spans="24:64">
      <c r="X136" s="678"/>
      <c r="Y136" s="678"/>
      <c r="Z136" s="678"/>
      <c r="AA136" s="678"/>
      <c r="AB136" s="678"/>
      <c r="AC136" s="678"/>
      <c r="AD136" s="678"/>
      <c r="AE136" s="678"/>
      <c r="AF136" s="678"/>
      <c r="AG136" s="678"/>
      <c r="AH136" s="678"/>
      <c r="AI136" s="678"/>
      <c r="AJ136" s="678"/>
      <c r="AK136" s="678"/>
      <c r="AL136" s="678"/>
      <c r="AM136" s="678"/>
      <c r="AN136" s="678"/>
      <c r="AO136" s="678"/>
      <c r="AP136" s="678"/>
      <c r="AQ136" s="678"/>
      <c r="AR136" s="678"/>
      <c r="AS136" s="678"/>
      <c r="AT136" s="678"/>
      <c r="AU136" s="678"/>
      <c r="AV136" s="678"/>
      <c r="AW136" s="678"/>
      <c r="AX136" s="678"/>
      <c r="AY136" s="678"/>
      <c r="AZ136" s="678"/>
      <c r="BA136" s="678"/>
      <c r="BB136" s="678"/>
      <c r="BC136" s="678"/>
      <c r="BD136" s="678"/>
      <c r="BE136" s="678"/>
      <c r="BF136" s="678"/>
      <c r="BG136" s="678"/>
      <c r="BH136" s="678"/>
      <c r="BI136" s="678"/>
      <c r="BJ136" s="678"/>
      <c r="BK136" s="678"/>
      <c r="BL136" s="678"/>
    </row>
  </sheetData>
  <customSheetViews>
    <customSheetView guid="{369D7CB1-F197-472C-B000-1EA674ACAF81}" showRuler="0">
      <pane xSplit="1" ySplit="4" topLeftCell="J29" activePane="bottomRight" state="frozen"/>
      <selection pane="bottomRight" activeCell="J31" sqref="J31"/>
      <pageMargins left="0.75" right="0.75" top="1" bottom="1" header="0.5" footer="0.5"/>
      <headerFooter alignWithMargins="0"/>
    </customSheetView>
    <customSheetView guid="{DF927CC8-17A7-49F4-AF19-6FEA0A559180}" showRuler="0">
      <pane xSplit="1" ySplit="4" topLeftCell="I20" activePane="bottomRight" state="frozen"/>
      <selection pane="bottomRight" activeCell="J28" sqref="J28"/>
      <pageMargins left="0.75" right="0.75" top="1" bottom="1" header="0.5" footer="0.5"/>
      <headerFooter alignWithMargins="0"/>
    </customSheetView>
    <customSheetView guid="{08BAB49F-44A8-4F04-A2E3-24B12C6D0857}" showGridLines="0" hiddenRows="1">
      <pane xSplit="1" ySplit="3" topLeftCell="B21" activePane="bottomRight" state="frozen"/>
      <selection pane="bottomRight" activeCell="A59" sqref="A59"/>
      <pageMargins left="0.75" right="0.75" top="1" bottom="1" header="0.5" footer="0.5"/>
      <pageSetup orientation="portrait" r:id="rId1"/>
      <headerFooter alignWithMargins="0"/>
    </customSheetView>
    <customSheetView guid="{4482C16F-8DC0-49F3-9E1F-335117126152}" showGridLines="0" hiddenRows="1">
      <pane xSplit="1" ySplit="3" topLeftCell="B21" activePane="bottomRight" state="frozen"/>
      <selection pane="bottomRight" activeCell="A59" sqref="A59"/>
      <pageMargins left="0.75" right="0.75" top="1" bottom="1" header="0.5" footer="0.5"/>
      <pageSetup orientation="portrait" r:id="rId2"/>
      <headerFooter alignWithMargins="0"/>
    </customSheetView>
  </customSheetViews>
  <phoneticPr fontId="0" type="noConversion"/>
  <pageMargins left="0.75" right="0.75" top="1" bottom="1" header="0.5" footer="0.5"/>
  <pageSetup scale="26" orientation="portrait" r:id="rId3"/>
  <headerFooter alignWithMargins="0"/>
  <drawing r:id="rId4"/>
  <legacyDrawing r:id="rId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1">
    <tabColor theme="0" tint="-0.499984740745262"/>
    <pageSetUpPr fitToPage="1"/>
  </sheetPr>
  <dimension ref="A1:CZ161"/>
  <sheetViews>
    <sheetView showGridLines="0" zoomScaleNormal="100" zoomScaleSheetLayoutView="85" workbookViewId="0">
      <pane xSplit="9" ySplit="4" topLeftCell="CF113" activePane="bottomRight" state="frozen"/>
      <selection pane="topRight"/>
      <selection pane="bottomLeft"/>
      <selection pane="bottomRight"/>
    </sheetView>
  </sheetViews>
  <sheetFormatPr defaultRowHeight="12.75" outlineLevelRow="2" outlineLevelCol="1"/>
  <cols>
    <col min="1" max="3" width="2.28515625" customWidth="1"/>
    <col min="4" max="5" width="2.5703125" customWidth="1"/>
    <col min="6" max="8" width="7.7109375" customWidth="1"/>
    <col min="9" max="9" width="7.7109375" hidden="1" customWidth="1"/>
    <col min="10" max="43" width="9.140625" hidden="1" customWidth="1" outlineLevel="1"/>
    <col min="44" max="44" width="9.140625" customWidth="1" collapsed="1"/>
    <col min="45" max="48" width="9.140625" hidden="1" customWidth="1" outlineLevel="1"/>
    <col min="49" max="49" width="9.140625" customWidth="1" collapsed="1"/>
    <col min="50" max="53" width="9.140625" hidden="1" customWidth="1" outlineLevel="1"/>
    <col min="54" max="54" width="9.140625" customWidth="1" collapsed="1"/>
    <col min="55" max="58" width="9.140625" hidden="1" customWidth="1" outlineLevel="1"/>
    <col min="59" max="59" width="9.140625" customWidth="1" collapsed="1"/>
    <col min="60" max="63" width="9.140625" hidden="1" customWidth="1" outlineLevel="1"/>
    <col min="64" max="64" width="9.140625" customWidth="1" collapsed="1"/>
    <col min="65" max="68" width="9.140625" hidden="1" customWidth="1" outlineLevel="1"/>
    <col min="69" max="69" width="9.140625" customWidth="1" collapsed="1"/>
    <col min="70" max="73" width="9.140625" hidden="1" customWidth="1" outlineLevel="1"/>
    <col min="74" max="74" width="9.140625" customWidth="1" collapsed="1"/>
    <col min="75" max="78" width="9.140625" hidden="1" customWidth="1" outlineLevel="1"/>
    <col min="79" max="79" width="9.140625" customWidth="1" collapsed="1"/>
    <col min="80" max="83" width="9.140625" hidden="1" customWidth="1" outlineLevel="1"/>
    <col min="84" max="84" width="9.140625" customWidth="1" collapsed="1"/>
    <col min="85" max="88" width="9.140625" customWidth="1" outlineLevel="1"/>
    <col min="89" max="89" width="9.140625" customWidth="1"/>
    <col min="90" max="93" width="9.140625" customWidth="1" outlineLevel="1"/>
    <col min="94" max="94" width="9.140625" customWidth="1"/>
    <col min="95" max="98" width="9.140625" hidden="1" customWidth="1" outlineLevel="1"/>
    <col min="99" max="99" width="9.140625" customWidth="1" collapsed="1"/>
    <col min="100" max="103" width="9.140625" hidden="1" customWidth="1" outlineLevel="1"/>
    <col min="104" max="104" width="9.140625" customWidth="1" collapsed="1"/>
  </cols>
  <sheetData>
    <row r="1" spans="1:104" ht="15">
      <c r="A1" s="67" t="s">
        <v>330</v>
      </c>
      <c r="B1" s="66"/>
      <c r="C1" s="66"/>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c r="AU1" s="20"/>
      <c r="AV1" s="20"/>
      <c r="AW1" s="20"/>
      <c r="AX1" s="20"/>
      <c r="AY1" s="20"/>
      <c r="AZ1" s="20"/>
      <c r="BA1" s="20"/>
      <c r="BB1" s="20"/>
      <c r="BC1" s="20"/>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4"/>
      <c r="CR1" s="24"/>
      <c r="CS1" s="24"/>
      <c r="CT1" s="24"/>
      <c r="CU1" s="24"/>
      <c r="CV1" s="24"/>
      <c r="CW1" s="24"/>
      <c r="CX1" s="24"/>
      <c r="CY1" s="24"/>
      <c r="CZ1" s="24"/>
    </row>
    <row r="2" spans="1:104" ht="15">
      <c r="A2" s="68" t="s">
        <v>512</v>
      </c>
      <c r="B2" s="69"/>
      <c r="C2" s="69"/>
      <c r="D2" s="69"/>
      <c r="E2" s="69"/>
      <c r="F2" s="69"/>
      <c r="G2" s="69"/>
      <c r="H2" s="69"/>
      <c r="I2" s="69"/>
      <c r="J2" s="69"/>
      <c r="K2" s="69"/>
      <c r="L2" s="69"/>
      <c r="M2" s="69"/>
      <c r="N2" s="69"/>
      <c r="O2" s="69"/>
      <c r="P2" s="69"/>
      <c r="Q2" s="69"/>
      <c r="R2" s="69"/>
      <c r="S2" s="69"/>
      <c r="T2" s="69"/>
      <c r="U2" s="69"/>
      <c r="V2" s="69"/>
      <c r="W2" s="69"/>
      <c r="X2" s="69"/>
      <c r="Y2" s="69"/>
      <c r="Z2" s="69"/>
      <c r="AA2" s="69"/>
      <c r="AB2" s="69"/>
      <c r="AC2" s="69"/>
      <c r="AD2" s="69"/>
      <c r="AE2" s="69"/>
      <c r="AF2" s="69"/>
      <c r="AG2" s="69"/>
      <c r="AH2" s="69"/>
      <c r="AI2" s="69"/>
      <c r="AJ2" s="69"/>
      <c r="AK2" s="69"/>
      <c r="AL2" s="69"/>
      <c r="AM2" s="69"/>
      <c r="AN2" s="69"/>
      <c r="AO2" s="69"/>
      <c r="AP2" s="69"/>
      <c r="AQ2" s="69"/>
      <c r="AR2" s="69"/>
      <c r="AS2" s="69"/>
      <c r="AT2" s="69"/>
      <c r="AU2" s="69"/>
      <c r="AV2" s="69"/>
      <c r="AW2" s="20"/>
      <c r="AX2" s="202"/>
      <c r="AY2" s="20"/>
      <c r="AZ2" s="20"/>
      <c r="BA2" s="20"/>
      <c r="BB2" s="20"/>
      <c r="BC2" s="20"/>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c r="CJ2" s="24"/>
      <c r="CK2" s="24"/>
      <c r="CL2" s="24"/>
      <c r="CM2" s="24"/>
      <c r="CN2" s="24"/>
      <c r="CO2" s="24"/>
      <c r="CP2" s="24"/>
      <c r="CQ2" s="24"/>
      <c r="CR2" s="24"/>
      <c r="CS2" s="24"/>
      <c r="CT2" s="24"/>
      <c r="CU2" s="24"/>
      <c r="CV2" s="24"/>
      <c r="CW2" s="24"/>
      <c r="CX2" s="24"/>
      <c r="CY2" s="24"/>
      <c r="CZ2" s="24"/>
    </row>
    <row r="3" spans="1:104" ht="15" hidden="1" customHeight="1" outlineLevel="1">
      <c r="A3" s="301"/>
      <c r="B3" s="301"/>
      <c r="C3" s="301"/>
      <c r="D3" s="301"/>
      <c r="E3" s="301"/>
      <c r="F3" s="301"/>
      <c r="G3" s="301"/>
      <c r="H3" s="301"/>
      <c r="I3" s="302">
        <v>39447</v>
      </c>
      <c r="J3" s="302"/>
      <c r="K3" s="302"/>
      <c r="L3" s="302"/>
      <c r="M3" s="302"/>
      <c r="N3" s="302"/>
      <c r="O3" s="302"/>
      <c r="P3" s="302"/>
      <c r="Q3" s="302"/>
      <c r="R3" s="302"/>
      <c r="S3" s="302"/>
      <c r="T3" s="302"/>
      <c r="U3" s="302"/>
      <c r="V3" s="302"/>
      <c r="W3" s="302"/>
      <c r="X3" s="302"/>
      <c r="Y3" s="302"/>
      <c r="Z3" s="302"/>
      <c r="AA3" s="302"/>
      <c r="AB3" s="302"/>
      <c r="AC3" s="302"/>
      <c r="AD3" s="302"/>
      <c r="AE3" s="302"/>
      <c r="AF3" s="302"/>
      <c r="AG3" s="302"/>
      <c r="AH3" s="302"/>
      <c r="AI3" s="302"/>
      <c r="AJ3" s="302"/>
      <c r="AK3" s="302"/>
      <c r="AL3" s="302"/>
      <c r="AM3" s="302"/>
      <c r="AN3" s="302">
        <v>39538</v>
      </c>
      <c r="AO3" s="302">
        <v>39629</v>
      </c>
      <c r="AP3" s="302">
        <v>39721</v>
      </c>
      <c r="AQ3" s="302">
        <v>39813</v>
      </c>
      <c r="AR3" s="302">
        <f>AQ3</f>
        <v>39813</v>
      </c>
      <c r="AS3" s="736">
        <v>39903</v>
      </c>
      <c r="AT3" s="736">
        <v>39994</v>
      </c>
      <c r="AU3" s="736">
        <v>40086</v>
      </c>
      <c r="AV3" s="736">
        <v>40178</v>
      </c>
      <c r="AW3" s="302">
        <f>AV3</f>
        <v>40178</v>
      </c>
      <c r="AX3" s="736">
        <v>40268</v>
      </c>
      <c r="AY3" s="736">
        <v>40359</v>
      </c>
      <c r="AZ3" s="736">
        <v>40451</v>
      </c>
      <c r="BA3" s="736">
        <v>40543</v>
      </c>
      <c r="BB3" s="302">
        <f>BA3</f>
        <v>40543</v>
      </c>
      <c r="BC3" s="736">
        <v>40633</v>
      </c>
      <c r="BD3" s="736">
        <v>40724</v>
      </c>
      <c r="BE3" s="736">
        <v>40816</v>
      </c>
      <c r="BF3" s="736">
        <v>40908</v>
      </c>
      <c r="BG3" s="302">
        <f>BF3</f>
        <v>40908</v>
      </c>
      <c r="BH3" s="736">
        <v>40999</v>
      </c>
      <c r="BI3" s="736">
        <v>41090</v>
      </c>
      <c r="BJ3" s="736">
        <v>41182</v>
      </c>
      <c r="BK3" s="736">
        <v>41274</v>
      </c>
      <c r="BL3" s="302">
        <f>BK3</f>
        <v>41274</v>
      </c>
      <c r="BM3" s="736">
        <v>41364</v>
      </c>
      <c r="BN3" s="736">
        <v>41455</v>
      </c>
      <c r="BO3" s="736">
        <v>41547</v>
      </c>
      <c r="BP3" s="736">
        <v>41639</v>
      </c>
      <c r="BQ3" s="302">
        <f>BP3</f>
        <v>41639</v>
      </c>
      <c r="BR3" s="736">
        <v>41729</v>
      </c>
      <c r="BS3" s="736">
        <v>41820</v>
      </c>
      <c r="BT3" s="736">
        <v>41912</v>
      </c>
      <c r="BU3" s="736">
        <v>42004</v>
      </c>
      <c r="BV3" s="302">
        <f>BU3</f>
        <v>42004</v>
      </c>
      <c r="BW3" s="736">
        <v>42094</v>
      </c>
      <c r="BX3" s="736">
        <v>42185</v>
      </c>
      <c r="BY3" s="736">
        <v>42277</v>
      </c>
      <c r="BZ3" s="736">
        <v>42369</v>
      </c>
      <c r="CA3" s="302">
        <f>BZ3</f>
        <v>42369</v>
      </c>
      <c r="CB3" s="737">
        <f>Operations!CB3</f>
        <v>42430</v>
      </c>
      <c r="CC3" s="737">
        <f>Operations!CC3</f>
        <v>42522</v>
      </c>
      <c r="CD3" s="737">
        <f>Operations!CD3</f>
        <v>42614</v>
      </c>
      <c r="CE3" s="737">
        <f>Operations!CE3</f>
        <v>42705</v>
      </c>
      <c r="CF3" s="761">
        <f>CE3</f>
        <v>42705</v>
      </c>
      <c r="CG3" s="737">
        <f>Operations!CG3</f>
        <v>42795</v>
      </c>
      <c r="CH3" s="737">
        <f>Operations!CH3</f>
        <v>42887</v>
      </c>
      <c r="CI3" s="737">
        <f>Operations!CI3</f>
        <v>42979</v>
      </c>
      <c r="CJ3" s="737">
        <f>Operations!CJ3</f>
        <v>43070</v>
      </c>
      <c r="CK3" s="761">
        <f>CJ3</f>
        <v>43070</v>
      </c>
      <c r="CL3" s="737">
        <f>Operations!CL3</f>
        <v>43160</v>
      </c>
      <c r="CM3" s="737">
        <f>Operations!CM3</f>
        <v>43252</v>
      </c>
      <c r="CN3" s="737">
        <f>Operations!CN3</f>
        <v>43344</v>
      </c>
      <c r="CO3" s="737">
        <f>Operations!CO3</f>
        <v>43435</v>
      </c>
      <c r="CP3" s="302">
        <f>CO3</f>
        <v>43435</v>
      </c>
      <c r="CQ3" s="737">
        <f>Operations!CQ3</f>
        <v>43525</v>
      </c>
      <c r="CR3" s="737">
        <f>Operations!CR3</f>
        <v>43617</v>
      </c>
      <c r="CS3" s="737">
        <f>Operations!CS3</f>
        <v>43709</v>
      </c>
      <c r="CT3" s="737">
        <f>Operations!CT3</f>
        <v>43800</v>
      </c>
      <c r="CU3" s="302">
        <f>CT3</f>
        <v>43800</v>
      </c>
      <c r="CV3" s="737"/>
      <c r="CW3" s="737"/>
      <c r="CX3" s="737"/>
      <c r="CY3" s="737"/>
      <c r="CZ3" s="302"/>
    </row>
    <row r="4" spans="1:104" collapsed="1">
      <c r="A4" s="749" t="s">
        <v>174</v>
      </c>
      <c r="B4" s="750"/>
      <c r="C4" s="750"/>
      <c r="D4" s="751"/>
      <c r="E4" s="751"/>
      <c r="F4" s="752"/>
      <c r="G4" s="752" t="s">
        <v>175</v>
      </c>
      <c r="H4" s="752" t="s">
        <v>235</v>
      </c>
      <c r="I4" s="1223"/>
      <c r="J4" s="1224"/>
      <c r="K4" s="1224"/>
      <c r="L4" s="1224"/>
      <c r="M4" s="1224"/>
      <c r="N4" s="1224"/>
      <c r="O4" s="1224"/>
      <c r="P4" s="1224"/>
      <c r="Q4" s="1224"/>
      <c r="R4" s="1224"/>
      <c r="S4" s="1224"/>
      <c r="T4" s="1224"/>
      <c r="U4" s="1224"/>
      <c r="V4" s="1224"/>
      <c r="W4" s="1224"/>
      <c r="X4" s="1224"/>
      <c r="Y4" s="1224"/>
      <c r="Z4" s="1224"/>
      <c r="AA4" s="1224"/>
      <c r="AB4" s="1224"/>
      <c r="AC4" s="1224"/>
      <c r="AD4" s="1224"/>
      <c r="AE4" s="1224"/>
      <c r="AF4" s="1224"/>
      <c r="AG4" s="1224"/>
      <c r="AH4" s="1224"/>
      <c r="AI4" s="1224"/>
      <c r="AJ4" s="1224"/>
      <c r="AK4" s="1224"/>
      <c r="AL4" s="1224"/>
      <c r="AM4" s="1224"/>
      <c r="AN4" s="1225" t="str">
        <f>Operations!AN4</f>
        <v>1Q</v>
      </c>
      <c r="AO4" s="1225" t="str">
        <f>Operations!AO4</f>
        <v>2Q</v>
      </c>
      <c r="AP4" s="1225" t="str">
        <f>Operations!AP4</f>
        <v>3Q</v>
      </c>
      <c r="AQ4" s="1225" t="str">
        <f>Operations!AQ4</f>
        <v>4Q</v>
      </c>
      <c r="AR4" s="753">
        <f>Operations!AR4</f>
        <v>2008</v>
      </c>
      <c r="AS4" s="829" t="str">
        <f>Operations!AS4</f>
        <v>1Q</v>
      </c>
      <c r="AT4" s="830" t="str">
        <f>Operations!AT4</f>
        <v>2Q</v>
      </c>
      <c r="AU4" s="830" t="str">
        <f>Operations!AU4</f>
        <v>3Q</v>
      </c>
      <c r="AV4" s="831" t="str">
        <f>Operations!AV4</f>
        <v>4Q</v>
      </c>
      <c r="AW4" s="743">
        <f>Operations!AW4</f>
        <v>2009</v>
      </c>
      <c r="AX4" s="829" t="str">
        <f>Operations!AX4</f>
        <v>1Q</v>
      </c>
      <c r="AY4" s="830" t="str">
        <f>Operations!AY4</f>
        <v>2Q</v>
      </c>
      <c r="AZ4" s="830" t="str">
        <f>Operations!AZ4</f>
        <v>3Q</v>
      </c>
      <c r="BA4" s="831" t="str">
        <f>Operations!BA4</f>
        <v>4Q</v>
      </c>
      <c r="BB4" s="743">
        <f>Operations!BB4</f>
        <v>2010</v>
      </c>
      <c r="BC4" s="829" t="str">
        <f>Operations!BC4</f>
        <v>1Q</v>
      </c>
      <c r="BD4" s="830" t="str">
        <f>Operations!BD4</f>
        <v>2Q</v>
      </c>
      <c r="BE4" s="830" t="str">
        <f>Operations!BE4</f>
        <v>3Q</v>
      </c>
      <c r="BF4" s="831" t="str">
        <f>Operations!BF4</f>
        <v>4Q</v>
      </c>
      <c r="BG4" s="743">
        <f>Operations!BG4</f>
        <v>2011</v>
      </c>
      <c r="BH4" s="829" t="str">
        <f>Operations!BH4</f>
        <v>1Q</v>
      </c>
      <c r="BI4" s="830" t="str">
        <f>Operations!BI4</f>
        <v>2Q</v>
      </c>
      <c r="BJ4" s="830" t="str">
        <f>Operations!BJ4</f>
        <v>3Q</v>
      </c>
      <c r="BK4" s="831" t="str">
        <f>Operations!BK4</f>
        <v>4Q</v>
      </c>
      <c r="BL4" s="743">
        <f>Operations!BL4</f>
        <v>2012</v>
      </c>
      <c r="BM4" s="829" t="str">
        <f>Operations!BM4</f>
        <v>1Q</v>
      </c>
      <c r="BN4" s="830" t="str">
        <f>Operations!BN4</f>
        <v>2Q</v>
      </c>
      <c r="BO4" s="830" t="str">
        <f>Operations!BO4</f>
        <v>3Q</v>
      </c>
      <c r="BP4" s="831" t="str">
        <f>Operations!BP4</f>
        <v>4Q</v>
      </c>
      <c r="BQ4" s="743">
        <f>Operations!BQ4</f>
        <v>2013</v>
      </c>
      <c r="BR4" s="829" t="str">
        <f>Operations!BR4</f>
        <v>1Q</v>
      </c>
      <c r="BS4" s="830" t="str">
        <f>Operations!BS4</f>
        <v>2Q</v>
      </c>
      <c r="BT4" s="830" t="str">
        <f>Operations!BT4</f>
        <v>3Q</v>
      </c>
      <c r="BU4" s="831" t="str">
        <f>Operations!BU4</f>
        <v>4Q</v>
      </c>
      <c r="BV4" s="743">
        <f>Operations!BV4</f>
        <v>2014</v>
      </c>
      <c r="BW4" s="829" t="str">
        <f>Operations!BW4</f>
        <v>1Q</v>
      </c>
      <c r="BX4" s="830" t="str">
        <f>Operations!BX4</f>
        <v>2Q</v>
      </c>
      <c r="BY4" s="830" t="str">
        <f>Operations!BY4</f>
        <v>3Q</v>
      </c>
      <c r="BZ4" s="831" t="str">
        <f>Operations!BZ4</f>
        <v>4Q</v>
      </c>
      <c r="CA4" s="743">
        <f>Operations!CA4</f>
        <v>2015</v>
      </c>
      <c r="CB4" s="829" t="str">
        <f>Operations!CB4</f>
        <v>1Q</v>
      </c>
      <c r="CC4" s="830" t="str">
        <f>Operations!CC4</f>
        <v>2Q</v>
      </c>
      <c r="CD4" s="830" t="str">
        <f>Operations!CD4</f>
        <v>3Q</v>
      </c>
      <c r="CE4" s="831" t="str">
        <f>Operations!CE4</f>
        <v>4Q</v>
      </c>
      <c r="CF4" s="743">
        <f>Operations!CF4</f>
        <v>2016</v>
      </c>
      <c r="CG4" s="829" t="str">
        <f>Operations!CG4</f>
        <v>1Q</v>
      </c>
      <c r="CH4" s="830" t="str">
        <f>Operations!CH4</f>
        <v>2Q</v>
      </c>
      <c r="CI4" s="830" t="str">
        <f>Operations!CI4</f>
        <v>3Q</v>
      </c>
      <c r="CJ4" s="831" t="str">
        <f>Operations!CJ4</f>
        <v>4Q</v>
      </c>
      <c r="CK4" s="743">
        <f>Operations!CK4</f>
        <v>2017</v>
      </c>
      <c r="CL4" s="829" t="str">
        <f>Operations!CL4</f>
        <v>1Q</v>
      </c>
      <c r="CM4" s="830" t="str">
        <f>Operations!CM4</f>
        <v>2QE</v>
      </c>
      <c r="CN4" s="830" t="str">
        <f>Operations!CN4</f>
        <v>3QE</v>
      </c>
      <c r="CO4" s="831" t="str">
        <f>Operations!CO4</f>
        <v>4QE</v>
      </c>
      <c r="CP4" s="743" t="str">
        <f>Operations!CP4</f>
        <v>2018E</v>
      </c>
      <c r="CQ4" s="829" t="str">
        <f>Operations!CQ4</f>
        <v>1QE</v>
      </c>
      <c r="CR4" s="830" t="str">
        <f>Operations!CR4</f>
        <v>2QE</v>
      </c>
      <c r="CS4" s="830" t="str">
        <f>Operations!CS4</f>
        <v>3QE</v>
      </c>
      <c r="CT4" s="831" t="str">
        <f>Operations!CT4</f>
        <v>4QE</v>
      </c>
      <c r="CU4" s="743" t="str">
        <f>Operations!CU4</f>
        <v>2019E</v>
      </c>
      <c r="CV4" s="829" t="str">
        <f>Operations!CV4</f>
        <v>1QE</v>
      </c>
      <c r="CW4" s="830" t="str">
        <f>Operations!CW4</f>
        <v>2QE</v>
      </c>
      <c r="CX4" s="830" t="str">
        <f>Operations!CX4</f>
        <v>3QE</v>
      </c>
      <c r="CY4" s="831" t="str">
        <f>Operations!CY4</f>
        <v>4QE</v>
      </c>
      <c r="CZ4" s="743" t="str">
        <f>Operations!CZ4</f>
        <v>2020E</v>
      </c>
    </row>
    <row r="5" spans="1:104" ht="6.2" customHeight="1">
      <c r="A5" s="305"/>
      <c r="B5" s="305"/>
      <c r="C5" s="305"/>
      <c r="D5" s="306"/>
      <c r="E5" s="306"/>
      <c r="F5" s="306"/>
      <c r="G5" s="306"/>
      <c r="H5" s="306"/>
      <c r="I5" s="306"/>
      <c r="J5" s="306"/>
      <c r="K5" s="306"/>
      <c r="L5" s="306"/>
      <c r="M5" s="306"/>
      <c r="N5" s="306"/>
      <c r="O5" s="306"/>
      <c r="P5" s="306"/>
      <c r="Q5" s="306"/>
      <c r="R5" s="306"/>
      <c r="S5" s="306"/>
      <c r="T5" s="306"/>
      <c r="U5" s="306"/>
      <c r="V5" s="306"/>
      <c r="W5" s="306"/>
      <c r="X5" s="306"/>
      <c r="Y5" s="306"/>
      <c r="Z5" s="306"/>
      <c r="AA5" s="306"/>
      <c r="AB5" s="306"/>
      <c r="AC5" s="306"/>
      <c r="AD5" s="306"/>
      <c r="AE5" s="306"/>
      <c r="AF5" s="306"/>
      <c r="AG5" s="306"/>
      <c r="AH5" s="306"/>
      <c r="AI5" s="306"/>
      <c r="AJ5" s="306"/>
      <c r="AK5" s="306"/>
      <c r="AL5" s="306"/>
      <c r="AM5" s="306"/>
      <c r="AN5" s="307"/>
      <c r="AO5" s="307"/>
      <c r="AP5" s="307"/>
      <c r="AQ5" s="308"/>
      <c r="AR5" s="308"/>
      <c r="AS5" s="1226"/>
      <c r="AT5" s="308"/>
      <c r="AU5" s="308"/>
      <c r="AV5" s="1227"/>
      <c r="AW5" s="308"/>
      <c r="AX5" s="1226"/>
      <c r="AY5" s="308"/>
      <c r="AZ5" s="308"/>
      <c r="BA5" s="1227"/>
      <c r="BB5" s="308"/>
      <c r="BC5" s="1226"/>
      <c r="BD5" s="308"/>
      <c r="BE5" s="308"/>
      <c r="BF5" s="1227"/>
      <c r="BG5" s="308"/>
      <c r="BH5" s="1226"/>
      <c r="BI5" s="308"/>
      <c r="BJ5" s="308"/>
      <c r="BK5" s="1227"/>
      <c r="BL5" s="308"/>
      <c r="BM5" s="1226"/>
      <c r="BN5" s="308"/>
      <c r="BO5" s="308"/>
      <c r="BP5" s="1227"/>
      <c r="BQ5" s="308"/>
      <c r="BR5" s="1226"/>
      <c r="BS5" s="308"/>
      <c r="BT5" s="308"/>
      <c r="BU5" s="1227"/>
      <c r="BV5" s="308"/>
      <c r="BW5" s="1226"/>
      <c r="BX5" s="308"/>
      <c r="BY5" s="308"/>
      <c r="BZ5" s="1227"/>
      <c r="CA5" s="308"/>
      <c r="CB5" s="1226"/>
      <c r="CC5" s="308"/>
      <c r="CD5" s="308"/>
      <c r="CE5" s="1227"/>
      <c r="CF5" s="308"/>
      <c r="CG5" s="1226"/>
      <c r="CH5" s="308"/>
      <c r="CI5" s="308"/>
      <c r="CJ5" s="1227"/>
      <c r="CK5" s="308"/>
      <c r="CL5" s="1226"/>
      <c r="CM5" s="308"/>
      <c r="CN5" s="308"/>
      <c r="CO5" s="1227"/>
      <c r="CP5" s="308"/>
      <c r="CQ5" s="1226"/>
      <c r="CR5" s="308"/>
      <c r="CS5" s="308"/>
      <c r="CT5" s="1227"/>
      <c r="CU5" s="308"/>
      <c r="CV5" s="1226"/>
      <c r="CW5" s="308"/>
      <c r="CX5" s="308"/>
      <c r="CY5" s="1227"/>
      <c r="CZ5" s="308"/>
    </row>
    <row r="6" spans="1:104" ht="13.5" customHeight="1">
      <c r="A6" s="305" t="s">
        <v>176</v>
      </c>
      <c r="B6" s="305"/>
      <c r="C6" s="305"/>
      <c r="D6" s="306"/>
      <c r="E6" s="306"/>
      <c r="F6" s="306"/>
      <c r="G6" s="306"/>
      <c r="H6" s="306"/>
      <c r="I6" s="306"/>
      <c r="J6" s="306"/>
      <c r="K6" s="306"/>
      <c r="L6" s="306"/>
      <c r="M6" s="306"/>
      <c r="N6" s="306"/>
      <c r="O6" s="306"/>
      <c r="P6" s="306"/>
      <c r="Q6" s="306"/>
      <c r="R6" s="306"/>
      <c r="S6" s="306"/>
      <c r="T6" s="306"/>
      <c r="U6" s="306"/>
      <c r="V6" s="306"/>
      <c r="W6" s="306"/>
      <c r="X6" s="306"/>
      <c r="Y6" s="306"/>
      <c r="Z6" s="306"/>
      <c r="AA6" s="306"/>
      <c r="AB6" s="306"/>
      <c r="AC6" s="306"/>
      <c r="AD6" s="306"/>
      <c r="AE6" s="306"/>
      <c r="AF6" s="306"/>
      <c r="AG6" s="306"/>
      <c r="AH6" s="306"/>
      <c r="AI6" s="306"/>
      <c r="AJ6" s="306"/>
      <c r="AK6" s="306"/>
      <c r="AL6" s="306"/>
      <c r="AM6" s="306"/>
      <c r="AN6" s="604">
        <v>3.4316308333333337E-2</v>
      </c>
      <c r="AO6" s="604">
        <v>2.3720438095238099E-2</v>
      </c>
      <c r="AP6" s="604">
        <v>2.4923512698412701E-2</v>
      </c>
      <c r="AQ6" s="604">
        <v>1.0207993442622951E-2</v>
      </c>
      <c r="AR6" s="309">
        <f>AVERAGE(AN6:AQ6)</f>
        <v>2.3292063142401773E-2</v>
      </c>
      <c r="AS6" s="1228">
        <v>2.6047196721311469E-3</v>
      </c>
      <c r="AT6" s="534">
        <v>2.4850442622950828E-3</v>
      </c>
      <c r="AU6" s="534">
        <v>2.3227687499999998E-3</v>
      </c>
      <c r="AV6" s="1229">
        <v>1.8248901639344251E-3</v>
      </c>
      <c r="AW6" s="309">
        <f>AVERAGE(AS6:AV6)</f>
        <v>2.3093557120901637E-3</v>
      </c>
      <c r="AX6" s="1270">
        <v>1.8388770491803283E-3</v>
      </c>
      <c r="AY6" s="534">
        <v>2.7903508196721314E-3</v>
      </c>
      <c r="AZ6" s="534">
        <v>2.5060547169811318E-3</v>
      </c>
      <c r="BA6" s="1271">
        <v>1.6639999999999999E-3</v>
      </c>
      <c r="BB6" s="309">
        <f>AVERAGE(AX6:BA6)</f>
        <v>2.199820646458398E-3</v>
      </c>
      <c r="BC6" s="1270">
        <f>(1+0.003494)/(1+BA6)-1</f>
        <v>1.8269599386619984E-3</v>
      </c>
      <c r="BD6" s="534">
        <v>3.0950000000000001E-3</v>
      </c>
      <c r="BE6" s="534">
        <v>3.0000000000000001E-3</v>
      </c>
      <c r="BF6" s="1271">
        <v>3.0000000000000001E-3</v>
      </c>
      <c r="BG6" s="309">
        <f>AVERAGE(BC6:BF6)</f>
        <v>2.7304899846654993E-3</v>
      </c>
      <c r="BH6" s="1270">
        <v>3.0000000000000001E-3</v>
      </c>
      <c r="BI6" s="534">
        <v>3.0000000000000001E-3</v>
      </c>
      <c r="BJ6" s="534">
        <v>3.0000000000000001E-3</v>
      </c>
      <c r="BK6" s="1271">
        <v>3.0000000000000001E-3</v>
      </c>
      <c r="BL6" s="309">
        <f>AVERAGE(BH6:BK6)</f>
        <v>3.0000000000000001E-3</v>
      </c>
      <c r="BM6" s="1270">
        <v>5.0000000000000001E-3</v>
      </c>
      <c r="BN6" s="534">
        <v>5.0000000000000001E-3</v>
      </c>
      <c r="BO6" s="534">
        <v>5.0000000000000001E-3</v>
      </c>
      <c r="BP6" s="1271">
        <v>5.0000000000000001E-3</v>
      </c>
      <c r="BQ6" s="309">
        <f>AVERAGE(BM6:BP6)</f>
        <v>5.0000000000000001E-3</v>
      </c>
      <c r="BR6" s="1270">
        <v>5.0000000000000001E-3</v>
      </c>
      <c r="BS6" s="534">
        <v>5.0000000000000001E-3</v>
      </c>
      <c r="BT6" s="534">
        <v>5.0000000000000001E-3</v>
      </c>
      <c r="BU6" s="1271">
        <v>5.0000000000000001E-3</v>
      </c>
      <c r="BV6" s="309">
        <f>AVERAGE(BR6:BU6)</f>
        <v>5.0000000000000001E-3</v>
      </c>
      <c r="BW6" s="1270">
        <v>5.0000000000000001E-3</v>
      </c>
      <c r="BX6" s="534">
        <v>5.0000000000000001E-3</v>
      </c>
      <c r="BY6" s="534">
        <v>5.0000000000000001E-3</v>
      </c>
      <c r="BZ6" s="1271">
        <v>5.0000000000000001E-3</v>
      </c>
      <c r="CA6" s="309">
        <f>AVERAGE(BW6:BZ6)</f>
        <v>5.0000000000000001E-3</v>
      </c>
      <c r="CB6" s="1270">
        <v>5.0000000000000001E-3</v>
      </c>
      <c r="CC6" s="534">
        <v>5.0000000000000001E-3</v>
      </c>
      <c r="CD6" s="534">
        <v>5.0000000000000001E-3</v>
      </c>
      <c r="CE6" s="1271">
        <v>5.0000000000000001E-3</v>
      </c>
      <c r="CF6" s="309">
        <f>AVERAGE(CB6:CE6)</f>
        <v>5.0000000000000001E-3</v>
      </c>
      <c r="CG6" s="1270">
        <v>5.0000000000000001E-3</v>
      </c>
      <c r="CH6" s="534">
        <v>5.0000000000000001E-3</v>
      </c>
      <c r="CI6" s="534">
        <v>5.0000000000000001E-3</v>
      </c>
      <c r="CJ6" s="1271">
        <v>5.0000000000000001E-3</v>
      </c>
      <c r="CK6" s="309">
        <f>AVERAGE(CG6:CJ6)</f>
        <v>5.0000000000000001E-3</v>
      </c>
      <c r="CL6" s="1270">
        <v>5.0000000000000001E-3</v>
      </c>
      <c r="CM6" s="534">
        <v>5.0000000000000001E-3</v>
      </c>
      <c r="CN6" s="534">
        <v>5.0000000000000001E-3</v>
      </c>
      <c r="CO6" s="1271">
        <v>5.0000000000000001E-3</v>
      </c>
      <c r="CP6" s="309">
        <f>AVERAGE(CL6:CO6)</f>
        <v>5.0000000000000001E-3</v>
      </c>
      <c r="CQ6" s="1270">
        <v>5.0000000000000001E-3</v>
      </c>
      <c r="CR6" s="534">
        <v>5.0000000000000001E-3</v>
      </c>
      <c r="CS6" s="534">
        <v>5.0000000000000001E-3</v>
      </c>
      <c r="CT6" s="1271">
        <v>5.0000000000000001E-3</v>
      </c>
      <c r="CU6" s="309">
        <f>AVERAGE(CQ6:CT6)</f>
        <v>5.0000000000000001E-3</v>
      </c>
      <c r="CV6" s="1270">
        <v>5.0000000000000001E-3</v>
      </c>
      <c r="CW6" s="534">
        <v>5.0000000000000001E-3</v>
      </c>
      <c r="CX6" s="534">
        <v>5.0000000000000001E-3</v>
      </c>
      <c r="CY6" s="1271">
        <v>5.0000000000000001E-3</v>
      </c>
      <c r="CZ6" s="309">
        <f>AVERAGE(CV6:CY6)</f>
        <v>5.0000000000000001E-3</v>
      </c>
    </row>
    <row r="7" spans="1:104" ht="6.2" customHeight="1">
      <c r="A7" s="305"/>
      <c r="B7" s="305"/>
      <c r="C7" s="305"/>
      <c r="D7" s="306"/>
      <c r="E7" s="306"/>
      <c r="F7" s="306"/>
      <c r="G7" s="306"/>
      <c r="H7" s="306"/>
      <c r="I7" s="306"/>
      <c r="J7" s="306"/>
      <c r="K7" s="306"/>
      <c r="L7" s="306"/>
      <c r="M7" s="306"/>
      <c r="N7" s="306"/>
      <c r="O7" s="306"/>
      <c r="P7" s="306"/>
      <c r="Q7" s="306"/>
      <c r="R7" s="306"/>
      <c r="S7" s="306"/>
      <c r="T7" s="306"/>
      <c r="U7" s="306"/>
      <c r="V7" s="306"/>
      <c r="W7" s="306"/>
      <c r="X7" s="306"/>
      <c r="Y7" s="306"/>
      <c r="Z7" s="306"/>
      <c r="AA7" s="306"/>
      <c r="AB7" s="306"/>
      <c r="AC7" s="306"/>
      <c r="AD7" s="306"/>
      <c r="AE7" s="306"/>
      <c r="AF7" s="306"/>
      <c r="AG7" s="306"/>
      <c r="AH7" s="306"/>
      <c r="AI7" s="306"/>
      <c r="AJ7" s="306"/>
      <c r="AK7" s="306"/>
      <c r="AL7" s="306"/>
      <c r="AM7" s="306"/>
      <c r="AN7" s="306"/>
      <c r="AO7" s="306"/>
      <c r="AP7" s="306"/>
      <c r="AQ7" s="311"/>
      <c r="AR7" s="312"/>
      <c r="AS7" s="1230"/>
      <c r="AT7" s="314"/>
      <c r="AU7" s="314"/>
      <c r="AV7" s="1231"/>
      <c r="AW7" s="313"/>
      <c r="AX7" s="1230"/>
      <c r="AY7" s="314"/>
      <c r="AZ7" s="314"/>
      <c r="BA7" s="1231"/>
      <c r="BB7" s="314"/>
      <c r="BC7" s="1230"/>
      <c r="BD7" s="314"/>
      <c r="BE7" s="314"/>
      <c r="BF7" s="1231"/>
      <c r="BG7" s="314"/>
      <c r="BH7" s="1230"/>
      <c r="BI7" s="314"/>
      <c r="BJ7" s="314"/>
      <c r="BK7" s="1231"/>
      <c r="BL7" s="314"/>
      <c r="BM7" s="1230"/>
      <c r="BN7" s="314"/>
      <c r="BO7" s="314"/>
      <c r="BP7" s="1231"/>
      <c r="BQ7" s="314"/>
      <c r="BR7" s="1230"/>
      <c r="BS7" s="314"/>
      <c r="BT7" s="314"/>
      <c r="BU7" s="1231"/>
      <c r="BV7" s="314"/>
      <c r="BW7" s="1230"/>
      <c r="BX7" s="314"/>
      <c r="BY7" s="314"/>
      <c r="BZ7" s="1231"/>
      <c r="CA7" s="314"/>
      <c r="CB7" s="1230"/>
      <c r="CC7" s="314"/>
      <c r="CD7" s="314"/>
      <c r="CE7" s="1231"/>
      <c r="CF7" s="314"/>
      <c r="CG7" s="1230"/>
      <c r="CH7" s="314"/>
      <c r="CI7" s="314"/>
      <c r="CJ7" s="1231"/>
      <c r="CK7" s="314"/>
      <c r="CL7" s="1230"/>
      <c r="CM7" s="314"/>
      <c r="CN7" s="314"/>
      <c r="CO7" s="1231"/>
      <c r="CP7" s="314"/>
      <c r="CQ7" s="1230"/>
      <c r="CR7" s="314"/>
      <c r="CS7" s="314"/>
      <c r="CT7" s="1231"/>
      <c r="CU7" s="314"/>
      <c r="CV7" s="1230"/>
      <c r="CW7" s="314"/>
      <c r="CX7" s="314"/>
      <c r="CY7" s="1231"/>
      <c r="CZ7" s="314"/>
    </row>
    <row r="8" spans="1:104" ht="13.5" customHeight="1">
      <c r="A8" s="315" t="s">
        <v>177</v>
      </c>
      <c r="B8" s="305"/>
      <c r="C8" s="305"/>
      <c r="D8" s="306"/>
      <c r="E8" s="306"/>
      <c r="F8" s="306"/>
      <c r="G8" s="306"/>
      <c r="H8" s="306"/>
      <c r="I8" s="306"/>
      <c r="J8" s="306"/>
      <c r="K8" s="306"/>
      <c r="L8" s="306"/>
      <c r="M8" s="306"/>
      <c r="N8" s="306"/>
      <c r="O8" s="306"/>
      <c r="P8" s="306"/>
      <c r="Q8" s="306"/>
      <c r="R8" s="306"/>
      <c r="S8" s="306"/>
      <c r="T8" s="306"/>
      <c r="U8" s="306"/>
      <c r="V8" s="306"/>
      <c r="W8" s="306"/>
      <c r="X8" s="306"/>
      <c r="Y8" s="306"/>
      <c r="Z8" s="306"/>
      <c r="AA8" s="306"/>
      <c r="AB8" s="306"/>
      <c r="AC8" s="306"/>
      <c r="AD8" s="306"/>
      <c r="AE8" s="306"/>
      <c r="AF8" s="306"/>
      <c r="AG8" s="306"/>
      <c r="AH8" s="306"/>
      <c r="AI8" s="306"/>
      <c r="AJ8" s="306"/>
      <c r="AK8" s="306"/>
      <c r="AL8" s="306"/>
      <c r="AM8" s="306"/>
      <c r="AN8" s="306"/>
      <c r="AO8" s="306"/>
      <c r="AP8" s="306"/>
      <c r="AQ8" s="316"/>
      <c r="AR8" s="316"/>
      <c r="AS8" s="1232"/>
      <c r="AT8" s="317"/>
      <c r="AU8" s="317"/>
      <c r="AV8" s="1233"/>
      <c r="AW8" s="317"/>
      <c r="AX8" s="1232"/>
      <c r="AY8" s="317"/>
      <c r="AZ8" s="317"/>
      <c r="BA8" s="1233"/>
      <c r="BB8" s="317"/>
      <c r="BC8" s="1232"/>
      <c r="BD8" s="317"/>
      <c r="BE8" s="317"/>
      <c r="BF8" s="1233"/>
      <c r="BG8" s="317"/>
      <c r="BH8" s="1232"/>
      <c r="BI8" s="317"/>
      <c r="BJ8" s="317"/>
      <c r="BK8" s="1233"/>
      <c r="BL8" s="317"/>
      <c r="BM8" s="1232"/>
      <c r="BN8" s="317"/>
      <c r="BO8" s="317"/>
      <c r="BP8" s="1233"/>
      <c r="BQ8" s="317"/>
      <c r="BR8" s="1232"/>
      <c r="BS8" s="317"/>
      <c r="BT8" s="317"/>
      <c r="BU8" s="1233"/>
      <c r="BV8" s="317"/>
      <c r="BW8" s="1232"/>
      <c r="BX8" s="317"/>
      <c r="BY8" s="317"/>
      <c r="BZ8" s="1233"/>
      <c r="CA8" s="317"/>
      <c r="CB8" s="1232"/>
      <c r="CC8" s="317"/>
      <c r="CD8" s="317"/>
      <c r="CE8" s="1237"/>
      <c r="CF8" s="607"/>
      <c r="CG8" s="1236"/>
      <c r="CH8" s="607"/>
      <c r="CI8" s="317"/>
      <c r="CJ8" s="1237"/>
      <c r="CK8" s="607"/>
      <c r="CL8" s="1232"/>
      <c r="CM8" s="317"/>
      <c r="CN8" s="317"/>
      <c r="CO8" s="1233"/>
      <c r="CP8" s="317"/>
      <c r="CQ8" s="1232"/>
      <c r="CR8" s="317"/>
      <c r="CS8" s="317"/>
      <c r="CT8" s="1233"/>
      <c r="CU8" s="317"/>
      <c r="CV8" s="1232"/>
      <c r="CW8" s="317"/>
      <c r="CX8" s="317"/>
      <c r="CY8" s="1233"/>
      <c r="CZ8" s="317"/>
    </row>
    <row r="9" spans="1:104" ht="13.5" customHeight="1">
      <c r="A9" s="318" t="s">
        <v>178</v>
      </c>
      <c r="B9" s="318"/>
      <c r="C9" s="318"/>
      <c r="D9" s="319"/>
      <c r="E9" s="319"/>
      <c r="F9" s="319"/>
      <c r="G9" s="319"/>
      <c r="H9" s="319"/>
      <c r="I9" s="319"/>
      <c r="J9" s="319"/>
      <c r="K9" s="319"/>
      <c r="L9" s="319"/>
      <c r="M9" s="319"/>
      <c r="N9" s="319"/>
      <c r="O9" s="319"/>
      <c r="P9" s="319"/>
      <c r="Q9" s="319"/>
      <c r="R9" s="319"/>
      <c r="S9" s="319"/>
      <c r="T9" s="319"/>
      <c r="U9" s="319"/>
      <c r="V9" s="319"/>
      <c r="W9" s="319"/>
      <c r="X9" s="319"/>
      <c r="Y9" s="319"/>
      <c r="Z9" s="319"/>
      <c r="AA9" s="319"/>
      <c r="AB9" s="319"/>
      <c r="AC9" s="319"/>
      <c r="AD9" s="319"/>
      <c r="AE9" s="319"/>
      <c r="AF9" s="319"/>
      <c r="AG9" s="319"/>
      <c r="AH9" s="319"/>
      <c r="AI9" s="319"/>
      <c r="AJ9" s="319"/>
      <c r="AK9" s="319"/>
      <c r="AL9" s="319"/>
      <c r="AM9" s="319"/>
      <c r="AN9" s="319"/>
      <c r="AO9" s="319"/>
      <c r="AP9" s="319"/>
      <c r="AQ9" s="320"/>
      <c r="AR9" s="321"/>
      <c r="AS9" s="1234">
        <f>$G10/10000+AS6</f>
        <v>5.1047196721311465E-3</v>
      </c>
      <c r="AT9" s="310">
        <f>$G10/10000+AT6</f>
        <v>4.9850442622950825E-3</v>
      </c>
      <c r="AU9" s="310">
        <f>$G10/10000+AU6</f>
        <v>4.8227687499999995E-3</v>
      </c>
      <c r="AV9" s="1235">
        <f>$G10/10000+AV6</f>
        <v>4.3248901639344247E-3</v>
      </c>
      <c r="AW9" s="322"/>
      <c r="AX9" s="1234">
        <f>$G10/10000+AX6</f>
        <v>4.3388770491803279E-3</v>
      </c>
      <c r="AY9" s="310">
        <f>$G10/10000+AY6</f>
        <v>5.2903508196721315E-3</v>
      </c>
      <c r="AZ9" s="310">
        <f>$G10/10000+AZ6</f>
        <v>5.0060547169811318E-3</v>
      </c>
      <c r="BA9" s="1235">
        <f>$G10/10000+BA6</f>
        <v>4.1640000000000002E-3</v>
      </c>
      <c r="BB9" s="314"/>
      <c r="BC9" s="1234">
        <f>$G10/10000+BC6</f>
        <v>4.3269599386619988E-3</v>
      </c>
      <c r="BD9" s="310">
        <f>$G10/10000+BD6</f>
        <v>5.5950000000000001E-3</v>
      </c>
      <c r="BE9" s="310">
        <f>$G10/10000+BE6</f>
        <v>5.4999999999999997E-3</v>
      </c>
      <c r="BF9" s="1235">
        <f>$G10/10000+BF6</f>
        <v>5.4999999999999997E-3</v>
      </c>
      <c r="BG9" s="314"/>
      <c r="BH9" s="1234">
        <f>$G10/10000+BH6</f>
        <v>5.4999999999999997E-3</v>
      </c>
      <c r="BI9" s="310">
        <f>$G10/10000+BI6</f>
        <v>5.4999999999999997E-3</v>
      </c>
      <c r="BJ9" s="310">
        <f>$G10/10000+BJ6</f>
        <v>5.4999999999999997E-3</v>
      </c>
      <c r="BK9" s="1235">
        <f>$G10/10000+BK6</f>
        <v>5.4999999999999997E-3</v>
      </c>
      <c r="BL9" s="314"/>
      <c r="BM9" s="1234">
        <f>$G10/10000+BM6</f>
        <v>7.4999999999999997E-3</v>
      </c>
      <c r="BN9" s="310">
        <f>$G10/10000+BN6</f>
        <v>7.4999999999999997E-3</v>
      </c>
      <c r="BO9" s="310">
        <f>$G10/10000+BO6</f>
        <v>7.4999999999999997E-3</v>
      </c>
      <c r="BP9" s="1235">
        <f>$G10/10000+BP6</f>
        <v>7.4999999999999997E-3</v>
      </c>
      <c r="BQ9" s="314"/>
      <c r="BR9" s="1234">
        <f>$G10/10000+BR6</f>
        <v>7.4999999999999997E-3</v>
      </c>
      <c r="BS9" s="310">
        <f>$G10/10000+BS6</f>
        <v>7.4999999999999997E-3</v>
      </c>
      <c r="BT9" s="310">
        <f>$G10/10000+BT6</f>
        <v>7.4999999999999997E-3</v>
      </c>
      <c r="BU9" s="1235">
        <f>$G10/10000+BU6</f>
        <v>7.4999999999999997E-3</v>
      </c>
      <c r="BV9" s="314"/>
      <c r="BW9" s="1234">
        <f>$G10/10000+BW6</f>
        <v>7.4999999999999997E-3</v>
      </c>
      <c r="BX9" s="310">
        <f>$G10/10000+BX6</f>
        <v>7.4999999999999997E-3</v>
      </c>
      <c r="BY9" s="310">
        <f>$G10/10000+BY6</f>
        <v>7.4999999999999997E-3</v>
      </c>
      <c r="BZ9" s="1235">
        <f>$G10/10000+BZ6</f>
        <v>7.4999999999999997E-3</v>
      </c>
      <c r="CA9" s="314"/>
      <c r="CB9" s="1234">
        <f>$G10/10000+CB6</f>
        <v>7.4999999999999997E-3</v>
      </c>
      <c r="CC9" s="310">
        <f>$G10/10000+CC6</f>
        <v>7.4999999999999997E-3</v>
      </c>
      <c r="CD9" s="310">
        <f>$G10/10000+CD6</f>
        <v>7.4999999999999997E-3</v>
      </c>
      <c r="CE9" s="1235">
        <f>$G10/10000+CE6</f>
        <v>7.4999999999999997E-3</v>
      </c>
      <c r="CF9" s="314"/>
      <c r="CG9" s="1234">
        <f>$G10/10000+CG6</f>
        <v>7.4999999999999997E-3</v>
      </c>
      <c r="CH9" s="310">
        <f>$G10/10000+CH6</f>
        <v>7.4999999999999997E-3</v>
      </c>
      <c r="CI9" s="608">
        <f>$G10/10000+CI6</f>
        <v>7.4999999999999997E-3</v>
      </c>
      <c r="CJ9" s="1279">
        <f>$G10/10000+CJ6</f>
        <v>7.4999999999999997E-3</v>
      </c>
      <c r="CK9" s="314"/>
      <c r="CL9" s="1234">
        <f>$G10/10000+CL6</f>
        <v>7.4999999999999997E-3</v>
      </c>
      <c r="CM9" s="608">
        <f>$G10/10000+CM6</f>
        <v>7.4999999999999997E-3</v>
      </c>
      <c r="CN9" s="608">
        <f>$G10/10000+CN6</f>
        <v>7.4999999999999997E-3</v>
      </c>
      <c r="CO9" s="1279">
        <f>$G10/10000+CO6</f>
        <v>7.4999999999999997E-3</v>
      </c>
      <c r="CP9" s="314"/>
      <c r="CQ9" s="1234">
        <f>$G10/10000+CQ6</f>
        <v>7.4999999999999997E-3</v>
      </c>
      <c r="CR9" s="608">
        <f>$G10/10000+CR6</f>
        <v>7.4999999999999997E-3</v>
      </c>
      <c r="CS9" s="608">
        <f>$G10/10000+CS6</f>
        <v>7.4999999999999997E-3</v>
      </c>
      <c r="CT9" s="1279">
        <f>$G10/10000+CT6</f>
        <v>7.4999999999999997E-3</v>
      </c>
      <c r="CU9" s="314"/>
      <c r="CV9" s="1234">
        <f>$G10/10000+CV6</f>
        <v>7.4999999999999997E-3</v>
      </c>
      <c r="CW9" s="608">
        <f>$G10/10000+CW6</f>
        <v>7.4999999999999997E-3</v>
      </c>
      <c r="CX9" s="608">
        <f>$G10/10000+CX6</f>
        <v>7.4999999999999997E-3</v>
      </c>
      <c r="CY9" s="1279">
        <f>$G10/10000+CY6</f>
        <v>7.4999999999999997E-3</v>
      </c>
      <c r="CZ9" s="314"/>
    </row>
    <row r="10" spans="1:104" ht="13.5" customHeight="1">
      <c r="A10" s="305"/>
      <c r="B10" s="305" t="s">
        <v>179</v>
      </c>
      <c r="C10" s="305"/>
      <c r="D10" s="306"/>
      <c r="E10" s="306"/>
      <c r="F10" s="306"/>
      <c r="G10" s="323">
        <v>25</v>
      </c>
      <c r="H10" s="324">
        <v>41243</v>
      </c>
      <c r="I10" s="306"/>
      <c r="J10" s="306"/>
      <c r="K10" s="306"/>
      <c r="L10" s="306"/>
      <c r="M10" s="306"/>
      <c r="N10" s="306"/>
      <c r="O10" s="306"/>
      <c r="P10" s="306"/>
      <c r="Q10" s="306"/>
      <c r="R10" s="306"/>
      <c r="S10" s="306"/>
      <c r="T10" s="306"/>
      <c r="U10" s="306"/>
      <c r="V10" s="306"/>
      <c r="W10" s="306"/>
      <c r="X10" s="306"/>
      <c r="Y10" s="306"/>
      <c r="Z10" s="306"/>
      <c r="AA10" s="306"/>
      <c r="AB10" s="306"/>
      <c r="AC10" s="306"/>
      <c r="AD10" s="306"/>
      <c r="AE10" s="306"/>
      <c r="AF10" s="306"/>
      <c r="AG10" s="306"/>
      <c r="AH10" s="306"/>
      <c r="AI10" s="306"/>
      <c r="AJ10" s="306"/>
      <c r="AK10" s="306"/>
      <c r="AL10" s="306"/>
      <c r="AM10" s="306"/>
      <c r="AN10" s="306"/>
      <c r="AO10" s="306"/>
      <c r="AP10" s="306"/>
      <c r="AQ10" s="316"/>
      <c r="AR10" s="316"/>
      <c r="AS10" s="1236">
        <f>+AR13</f>
        <v>0</v>
      </c>
      <c r="AT10" s="607">
        <f>+AS13</f>
        <v>0</v>
      </c>
      <c r="AU10" s="607">
        <f>+AT13</f>
        <v>0</v>
      </c>
      <c r="AV10" s="1237">
        <f>+AU13</f>
        <v>0</v>
      </c>
      <c r="AW10" s="317"/>
      <c r="AX10" s="1236">
        <f>+AW13</f>
        <v>0</v>
      </c>
      <c r="AY10" s="607">
        <f>+AX13</f>
        <v>0</v>
      </c>
      <c r="AZ10" s="607">
        <f>+AY13</f>
        <v>0</v>
      </c>
      <c r="BA10" s="1237">
        <f>+AZ13</f>
        <v>0</v>
      </c>
      <c r="BB10" s="317"/>
      <c r="BC10" s="1236">
        <f>+BB13</f>
        <v>0</v>
      </c>
      <c r="BD10" s="607">
        <f>+BC13</f>
        <v>0</v>
      </c>
      <c r="BE10" s="607">
        <f>+BD13</f>
        <v>0</v>
      </c>
      <c r="BF10" s="1237">
        <f>+BE13</f>
        <v>0</v>
      </c>
      <c r="BG10" s="317"/>
      <c r="BH10" s="1236">
        <f>+BG13</f>
        <v>0</v>
      </c>
      <c r="BI10" s="607">
        <f>+BH13</f>
        <v>0</v>
      </c>
      <c r="BJ10" s="607">
        <f>+BI13</f>
        <v>0</v>
      </c>
      <c r="BK10" s="1237">
        <f>+BJ13</f>
        <v>0</v>
      </c>
      <c r="BL10" s="317"/>
      <c r="BM10" s="1236">
        <f>+BL13</f>
        <v>0</v>
      </c>
      <c r="BN10" s="607">
        <f>+BM13</f>
        <v>0</v>
      </c>
      <c r="BO10" s="607">
        <f>+BN13</f>
        <v>0</v>
      </c>
      <c r="BP10" s="1237">
        <f>+BO13</f>
        <v>0</v>
      </c>
      <c r="BQ10" s="317"/>
      <c r="BR10" s="1236">
        <f>+BQ13</f>
        <v>0</v>
      </c>
      <c r="BS10" s="607">
        <f>+BR13</f>
        <v>0</v>
      </c>
      <c r="BT10" s="607">
        <f>+BS13</f>
        <v>0</v>
      </c>
      <c r="BU10" s="1237">
        <f>+BT13</f>
        <v>0</v>
      </c>
      <c r="BV10" s="317"/>
      <c r="BW10" s="1236">
        <f>+BV13</f>
        <v>0</v>
      </c>
      <c r="BX10" s="607">
        <f>+BW13</f>
        <v>0</v>
      </c>
      <c r="BY10" s="607">
        <f>+BX13</f>
        <v>0</v>
      </c>
      <c r="BZ10" s="1237">
        <f>+BY13</f>
        <v>0</v>
      </c>
      <c r="CA10" s="317"/>
      <c r="CB10" s="1236">
        <f>+CA13</f>
        <v>0</v>
      </c>
      <c r="CC10" s="607">
        <f>+CB13</f>
        <v>0</v>
      </c>
      <c r="CD10" s="607">
        <f>+CC13</f>
        <v>0</v>
      </c>
      <c r="CE10" s="1237">
        <f>+CD13</f>
        <v>0</v>
      </c>
      <c r="CF10" s="607"/>
      <c r="CG10" s="1236">
        <f>+CF13</f>
        <v>0</v>
      </c>
      <c r="CH10" s="607">
        <f>+CG13</f>
        <v>0</v>
      </c>
      <c r="CI10" s="607">
        <f>+CH13</f>
        <v>0</v>
      </c>
      <c r="CJ10" s="1237">
        <f>+CI13</f>
        <v>0</v>
      </c>
      <c r="CK10" s="607"/>
      <c r="CL10" s="1236">
        <f>+CK13</f>
        <v>0</v>
      </c>
      <c r="CM10" s="607">
        <f>+CL13</f>
        <v>0</v>
      </c>
      <c r="CN10" s="607">
        <f>+CM13</f>
        <v>0</v>
      </c>
      <c r="CO10" s="1237">
        <f>+CN13</f>
        <v>0</v>
      </c>
      <c r="CP10" s="317"/>
      <c r="CQ10" s="1236">
        <f>+CP13</f>
        <v>0</v>
      </c>
      <c r="CR10" s="607">
        <f>+CQ13</f>
        <v>0</v>
      </c>
      <c r="CS10" s="607">
        <f>+CR13</f>
        <v>0</v>
      </c>
      <c r="CT10" s="1237">
        <f>+CS13</f>
        <v>0</v>
      </c>
      <c r="CU10" s="317"/>
      <c r="CV10" s="1236">
        <f>+CU13</f>
        <v>0</v>
      </c>
      <c r="CW10" s="607">
        <f>+CV13</f>
        <v>0</v>
      </c>
      <c r="CX10" s="607">
        <f>+CW13</f>
        <v>0</v>
      </c>
      <c r="CY10" s="1237">
        <f>+CX13</f>
        <v>0</v>
      </c>
      <c r="CZ10" s="317"/>
    </row>
    <row r="11" spans="1:104" ht="13.5" customHeight="1">
      <c r="A11" s="305"/>
      <c r="B11" s="305" t="s">
        <v>180</v>
      </c>
      <c r="C11" s="305"/>
      <c r="D11" s="306"/>
      <c r="E11" s="306"/>
      <c r="F11" s="325"/>
      <c r="G11" s="306"/>
      <c r="H11" s="306"/>
      <c r="I11" s="306"/>
      <c r="J11" s="306"/>
      <c r="K11" s="306"/>
      <c r="L11" s="306"/>
      <c r="M11" s="306"/>
      <c r="N11" s="306"/>
      <c r="O11" s="306"/>
      <c r="P11" s="306"/>
      <c r="Q11" s="306"/>
      <c r="R11" s="306"/>
      <c r="S11" s="306"/>
      <c r="T11" s="306"/>
      <c r="U11" s="306"/>
      <c r="V11" s="306"/>
      <c r="W11" s="306"/>
      <c r="X11" s="306"/>
      <c r="Y11" s="306"/>
      <c r="Z11" s="306"/>
      <c r="AA11" s="306"/>
      <c r="AB11" s="306"/>
      <c r="AC11" s="306"/>
      <c r="AD11" s="306"/>
      <c r="AE11" s="306"/>
      <c r="AF11" s="306"/>
      <c r="AG11" s="306"/>
      <c r="AH11" s="306"/>
      <c r="AI11" s="306"/>
      <c r="AJ11" s="306"/>
      <c r="AK11" s="306"/>
      <c r="AL11" s="306"/>
      <c r="AM11" s="306"/>
      <c r="AN11" s="306"/>
      <c r="AO11" s="306"/>
      <c r="AP11" s="306"/>
      <c r="AQ11" s="316"/>
      <c r="AR11" s="316"/>
      <c r="AS11" s="1236"/>
      <c r="AT11" s="607">
        <f>AS13</f>
        <v>0</v>
      </c>
      <c r="AU11" s="607">
        <f>AT13</f>
        <v>0</v>
      </c>
      <c r="AV11" s="1237">
        <f>AU13</f>
        <v>0</v>
      </c>
      <c r="AW11" s="317"/>
      <c r="AX11" s="1236"/>
      <c r="AY11" s="607">
        <f>AX13</f>
        <v>0</v>
      </c>
      <c r="AZ11" s="607">
        <f>AY13</f>
        <v>0</v>
      </c>
      <c r="BA11" s="1237">
        <f>AZ13</f>
        <v>0</v>
      </c>
      <c r="BB11" s="317"/>
      <c r="BC11" s="1236">
        <f>BA13</f>
        <v>0</v>
      </c>
      <c r="BD11" s="607">
        <f>BC13</f>
        <v>0</v>
      </c>
      <c r="BE11" s="607">
        <f>BD13</f>
        <v>0</v>
      </c>
      <c r="BF11" s="1237">
        <f>BE13</f>
        <v>0</v>
      </c>
      <c r="BG11" s="317"/>
      <c r="BH11" s="1238">
        <v>0</v>
      </c>
      <c r="BI11" s="605">
        <v>0</v>
      </c>
      <c r="BJ11" s="605">
        <v>0</v>
      </c>
      <c r="BK11" s="1239">
        <v>0</v>
      </c>
      <c r="BL11" s="317"/>
      <c r="BM11" s="1238">
        <v>0</v>
      </c>
      <c r="BN11" s="605">
        <v>0</v>
      </c>
      <c r="BO11" s="605">
        <v>0</v>
      </c>
      <c r="BP11" s="1239">
        <v>0</v>
      </c>
      <c r="BQ11" s="317"/>
      <c r="BR11" s="1238">
        <v>0</v>
      </c>
      <c r="BS11" s="605">
        <v>0</v>
      </c>
      <c r="BT11" s="605">
        <v>0</v>
      </c>
      <c r="BU11" s="1239">
        <v>0</v>
      </c>
      <c r="BV11" s="317"/>
      <c r="BW11" s="1238">
        <v>0</v>
      </c>
      <c r="BX11" s="605">
        <v>0</v>
      </c>
      <c r="BY11" s="605">
        <v>0</v>
      </c>
      <c r="BZ11" s="1239">
        <v>0</v>
      </c>
      <c r="CA11" s="317"/>
      <c r="CB11" s="1238">
        <v>0</v>
      </c>
      <c r="CC11" s="605">
        <v>0</v>
      </c>
      <c r="CD11" s="605">
        <v>0</v>
      </c>
      <c r="CE11" s="1239">
        <v>0</v>
      </c>
      <c r="CF11" s="607"/>
      <c r="CG11" s="1238">
        <v>0</v>
      </c>
      <c r="CH11" s="605">
        <v>0</v>
      </c>
      <c r="CI11" s="605">
        <v>0</v>
      </c>
      <c r="CJ11" s="1239">
        <v>0</v>
      </c>
      <c r="CK11" s="607"/>
      <c r="CL11" s="1238">
        <v>0</v>
      </c>
      <c r="CM11" s="605">
        <v>0</v>
      </c>
      <c r="CN11" s="605">
        <v>0</v>
      </c>
      <c r="CO11" s="1239">
        <v>0</v>
      </c>
      <c r="CP11" s="317"/>
      <c r="CQ11" s="1238">
        <v>0</v>
      </c>
      <c r="CR11" s="605">
        <v>0</v>
      </c>
      <c r="CS11" s="605">
        <v>0</v>
      </c>
      <c r="CT11" s="1239">
        <v>0</v>
      </c>
      <c r="CU11" s="317"/>
      <c r="CV11" s="1238">
        <v>0</v>
      </c>
      <c r="CW11" s="605">
        <v>0</v>
      </c>
      <c r="CX11" s="605">
        <v>0</v>
      </c>
      <c r="CY11" s="1239">
        <v>0</v>
      </c>
      <c r="CZ11" s="317"/>
    </row>
    <row r="12" spans="1:104" ht="13.5" customHeight="1">
      <c r="A12" s="305"/>
      <c r="B12" s="305" t="s">
        <v>181</v>
      </c>
      <c r="C12" s="305"/>
      <c r="D12" s="306"/>
      <c r="E12" s="306"/>
      <c r="F12" s="306"/>
      <c r="G12" s="326"/>
      <c r="H12" s="326"/>
      <c r="I12" s="306"/>
      <c r="J12" s="306"/>
      <c r="K12" s="306"/>
      <c r="L12" s="306"/>
      <c r="M12" s="306"/>
      <c r="N12" s="306"/>
      <c r="O12" s="306"/>
      <c r="P12" s="306"/>
      <c r="Q12" s="306"/>
      <c r="R12" s="306"/>
      <c r="S12" s="306"/>
      <c r="T12" s="306"/>
      <c r="U12" s="306"/>
      <c r="V12" s="306"/>
      <c r="W12" s="306"/>
      <c r="X12" s="306"/>
      <c r="Y12" s="306"/>
      <c r="Z12" s="306"/>
      <c r="AA12" s="306"/>
      <c r="AB12" s="306"/>
      <c r="AC12" s="306"/>
      <c r="AD12" s="306"/>
      <c r="AE12" s="306"/>
      <c r="AF12" s="306"/>
      <c r="AG12" s="306"/>
      <c r="AH12" s="306"/>
      <c r="AI12" s="306"/>
      <c r="AJ12" s="306"/>
      <c r="AK12" s="306"/>
      <c r="AL12" s="306"/>
      <c r="AM12" s="306"/>
      <c r="AN12" s="306"/>
      <c r="AO12" s="306"/>
      <c r="AP12" s="306"/>
      <c r="AQ12" s="316"/>
      <c r="AR12" s="316"/>
      <c r="AS12" s="1236">
        <f>-AS10</f>
        <v>0</v>
      </c>
      <c r="AT12" s="607">
        <f>-AT10</f>
        <v>0</v>
      </c>
      <c r="AU12" s="607">
        <f>-AU10</f>
        <v>0</v>
      </c>
      <c r="AV12" s="1237">
        <f>-AV10</f>
        <v>0</v>
      </c>
      <c r="AW12" s="317"/>
      <c r="AX12" s="1236">
        <f>-AX10</f>
        <v>0</v>
      </c>
      <c r="AY12" s="607">
        <f>-AY10</f>
        <v>0</v>
      </c>
      <c r="AZ12" s="607">
        <f>-AZ10</f>
        <v>0</v>
      </c>
      <c r="BA12" s="1237">
        <f>-BA10</f>
        <v>0</v>
      </c>
      <c r="BB12" s="317"/>
      <c r="BC12" s="1236">
        <f>-BC10</f>
        <v>0</v>
      </c>
      <c r="BD12" s="607">
        <f>-BD10</f>
        <v>0</v>
      </c>
      <c r="BE12" s="607">
        <f>-BE10</f>
        <v>0</v>
      </c>
      <c r="BF12" s="1237">
        <f>-BF10</f>
        <v>0</v>
      </c>
      <c r="BG12" s="317"/>
      <c r="BH12" s="1236">
        <f>-BH10</f>
        <v>0</v>
      </c>
      <c r="BI12" s="607">
        <f>-BI10</f>
        <v>0</v>
      </c>
      <c r="BJ12" s="605">
        <v>0</v>
      </c>
      <c r="BK12" s="1239">
        <v>0</v>
      </c>
      <c r="BL12" s="317"/>
      <c r="BM12" s="1236">
        <f>-BM10</f>
        <v>0</v>
      </c>
      <c r="BN12" s="607">
        <f>-BN10</f>
        <v>0</v>
      </c>
      <c r="BO12" s="605">
        <v>0</v>
      </c>
      <c r="BP12" s="1239">
        <v>0</v>
      </c>
      <c r="BQ12" s="317"/>
      <c r="BR12" s="1236">
        <f>-BR10</f>
        <v>0</v>
      </c>
      <c r="BS12" s="607">
        <f>-BS10</f>
        <v>0</v>
      </c>
      <c r="BT12" s="605">
        <v>0</v>
      </c>
      <c r="BU12" s="1239">
        <v>0</v>
      </c>
      <c r="BV12" s="317"/>
      <c r="BW12" s="1238">
        <v>0</v>
      </c>
      <c r="BX12" s="605">
        <v>0</v>
      </c>
      <c r="BY12" s="605">
        <v>0</v>
      </c>
      <c r="BZ12" s="1239">
        <v>0</v>
      </c>
      <c r="CA12" s="317"/>
      <c r="CB12" s="1238">
        <v>0</v>
      </c>
      <c r="CC12" s="607">
        <f>-CC10</f>
        <v>0</v>
      </c>
      <c r="CD12" s="605">
        <v>0</v>
      </c>
      <c r="CE12" s="1239">
        <v>0</v>
      </c>
      <c r="CF12" s="607"/>
      <c r="CG12" s="1238">
        <v>0</v>
      </c>
      <c r="CH12" s="605">
        <f>-CH10</f>
        <v>0</v>
      </c>
      <c r="CI12" s="605">
        <v>0</v>
      </c>
      <c r="CJ12" s="1239">
        <v>0</v>
      </c>
      <c r="CK12" s="607"/>
      <c r="CL12" s="1238">
        <v>0</v>
      </c>
      <c r="CM12" s="607">
        <f>-CM10</f>
        <v>0</v>
      </c>
      <c r="CN12" s="605">
        <v>0</v>
      </c>
      <c r="CO12" s="1239">
        <v>0</v>
      </c>
      <c r="CP12" s="317"/>
      <c r="CQ12" s="1238">
        <v>0</v>
      </c>
      <c r="CR12" s="607">
        <f>-CR10</f>
        <v>0</v>
      </c>
      <c r="CS12" s="605">
        <v>0</v>
      </c>
      <c r="CT12" s="1239">
        <v>0</v>
      </c>
      <c r="CU12" s="317"/>
      <c r="CV12" s="1238">
        <v>0</v>
      </c>
      <c r="CW12" s="607">
        <f>-CW10</f>
        <v>0</v>
      </c>
      <c r="CX12" s="605">
        <v>0</v>
      </c>
      <c r="CY12" s="1239">
        <v>0</v>
      </c>
      <c r="CZ12" s="317"/>
    </row>
    <row r="13" spans="1:104" ht="13.5" customHeight="1">
      <c r="A13" s="305"/>
      <c r="B13" s="305" t="s">
        <v>182</v>
      </c>
      <c r="C13" s="305"/>
      <c r="D13" s="306"/>
      <c r="E13" s="306"/>
      <c r="F13" s="306"/>
      <c r="G13" s="326"/>
      <c r="H13" s="326"/>
      <c r="I13" s="327"/>
      <c r="J13" s="327"/>
      <c r="K13" s="327"/>
      <c r="L13" s="327"/>
      <c r="M13" s="327"/>
      <c r="N13" s="327"/>
      <c r="O13" s="327"/>
      <c r="P13" s="327"/>
      <c r="Q13" s="327"/>
      <c r="R13" s="327"/>
      <c r="S13" s="327"/>
      <c r="T13" s="327"/>
      <c r="U13" s="327"/>
      <c r="V13" s="327"/>
      <c r="W13" s="327"/>
      <c r="X13" s="327"/>
      <c r="Y13" s="327"/>
      <c r="Z13" s="327"/>
      <c r="AA13" s="327"/>
      <c r="AB13" s="327"/>
      <c r="AC13" s="327"/>
      <c r="AD13" s="327"/>
      <c r="AE13" s="327"/>
      <c r="AF13" s="327"/>
      <c r="AG13" s="327"/>
      <c r="AH13" s="327"/>
      <c r="AI13" s="327"/>
      <c r="AJ13" s="327"/>
      <c r="AK13" s="327"/>
      <c r="AL13" s="327"/>
      <c r="AM13" s="327"/>
      <c r="AN13" s="327"/>
      <c r="AO13" s="327"/>
      <c r="AP13" s="327"/>
      <c r="AQ13" s="606">
        <v>0</v>
      </c>
      <c r="AR13" s="606">
        <v>0</v>
      </c>
      <c r="AS13" s="1238">
        <v>0</v>
      </c>
      <c r="AT13" s="605">
        <v>0</v>
      </c>
      <c r="AU13" s="605">
        <v>0</v>
      </c>
      <c r="AV13" s="1239">
        <v>0</v>
      </c>
      <c r="AW13" s="607">
        <f>+AV13</f>
        <v>0</v>
      </c>
      <c r="AX13" s="1238">
        <v>0</v>
      </c>
      <c r="AY13" s="605">
        <v>0</v>
      </c>
      <c r="AZ13" s="605">
        <v>0</v>
      </c>
      <c r="BA13" s="1239">
        <v>0</v>
      </c>
      <c r="BB13" s="607">
        <f>BA13</f>
        <v>0</v>
      </c>
      <c r="BC13" s="1238">
        <v>0</v>
      </c>
      <c r="BD13" s="605">
        <v>0</v>
      </c>
      <c r="BE13" s="607">
        <f>+BE10+BE11+BE12</f>
        <v>0</v>
      </c>
      <c r="BF13" s="1237">
        <f>+BF10+BF11+BF12</f>
        <v>0</v>
      </c>
      <c r="BG13" s="607">
        <f>BF13</f>
        <v>0</v>
      </c>
      <c r="BH13" s="1236">
        <f>+BH10+BH11+BH12</f>
        <v>0</v>
      </c>
      <c r="BI13" s="605">
        <v>0</v>
      </c>
      <c r="BJ13" s="607">
        <f>+BJ10+BJ11+BJ12</f>
        <v>0</v>
      </c>
      <c r="BK13" s="1237">
        <f>+BK10+BK11+BK12</f>
        <v>0</v>
      </c>
      <c r="BL13" s="607">
        <f>BK13</f>
        <v>0</v>
      </c>
      <c r="BM13" s="1236">
        <f>+BM10+BM11+BM12</f>
        <v>0</v>
      </c>
      <c r="BN13" s="605">
        <v>0</v>
      </c>
      <c r="BO13" s="607">
        <f>+BO10+BO11+BO12</f>
        <v>0</v>
      </c>
      <c r="BP13" s="1237">
        <f>+BP10+BP11+BP12</f>
        <v>0</v>
      </c>
      <c r="BQ13" s="607">
        <f>BP13</f>
        <v>0</v>
      </c>
      <c r="BR13" s="1236">
        <f>+BR10+BR11+BR12</f>
        <v>0</v>
      </c>
      <c r="BS13" s="605">
        <v>0</v>
      </c>
      <c r="BT13" s="607">
        <f>+BT10+BT11+BT12</f>
        <v>0</v>
      </c>
      <c r="BU13" s="1237">
        <f>+BU10+BU11+BU12</f>
        <v>0</v>
      </c>
      <c r="BV13" s="607">
        <f>BU13</f>
        <v>0</v>
      </c>
      <c r="BW13" s="1236">
        <f>+BW10+BW11+BW12</f>
        <v>0</v>
      </c>
      <c r="BX13" s="607">
        <f>+BX10+BX11+BX12</f>
        <v>0</v>
      </c>
      <c r="BY13" s="607">
        <f>+BY10+BY11+BY12</f>
        <v>0</v>
      </c>
      <c r="BZ13" s="1237">
        <f>+BZ10+BZ11+BZ12</f>
        <v>0</v>
      </c>
      <c r="CA13" s="607">
        <f>BZ13</f>
        <v>0</v>
      </c>
      <c r="CB13" s="1236">
        <f>+CB10+CB11+CB12</f>
        <v>0</v>
      </c>
      <c r="CC13" s="605">
        <v>0</v>
      </c>
      <c r="CD13" s="607">
        <f>+CD10+CD11+CD12</f>
        <v>0</v>
      </c>
      <c r="CE13" s="1237">
        <f>+CE10+CE11+CE12</f>
        <v>0</v>
      </c>
      <c r="CF13" s="607">
        <f>CE13</f>
        <v>0</v>
      </c>
      <c r="CG13" s="1236">
        <f>+CG10+CG11+CG12</f>
        <v>0</v>
      </c>
      <c r="CH13" s="607">
        <v>0</v>
      </c>
      <c r="CI13" s="607">
        <f>+CI10+CI11+CI12</f>
        <v>0</v>
      </c>
      <c r="CJ13" s="1237">
        <f>+CJ10+CJ11+CJ12</f>
        <v>0</v>
      </c>
      <c r="CK13" s="607">
        <f>CJ13</f>
        <v>0</v>
      </c>
      <c r="CL13" s="1236">
        <f>+CL10+CL11+CL12</f>
        <v>0</v>
      </c>
      <c r="CM13" s="605">
        <v>0</v>
      </c>
      <c r="CN13" s="607">
        <f>+CN10+CN11+CN12</f>
        <v>0</v>
      </c>
      <c r="CO13" s="1237">
        <f>+CO10+CO11+CO12</f>
        <v>0</v>
      </c>
      <c r="CP13" s="607">
        <f>CO13</f>
        <v>0</v>
      </c>
      <c r="CQ13" s="1236">
        <f>+CQ10+CQ11+CQ12</f>
        <v>0</v>
      </c>
      <c r="CR13" s="605">
        <v>0</v>
      </c>
      <c r="CS13" s="607">
        <f>+CS10+CS11+CS12</f>
        <v>0</v>
      </c>
      <c r="CT13" s="1237">
        <f>+CT10+CT11+CT12</f>
        <v>0</v>
      </c>
      <c r="CU13" s="607">
        <f>CT13</f>
        <v>0</v>
      </c>
      <c r="CV13" s="1236">
        <f>+CV10+CV11+CV12</f>
        <v>0</v>
      </c>
      <c r="CW13" s="605">
        <v>0</v>
      </c>
      <c r="CX13" s="607">
        <f>+CX10+CX11+CX12</f>
        <v>0</v>
      </c>
      <c r="CY13" s="1237">
        <f>+CY10+CY11+CY12</f>
        <v>0</v>
      </c>
      <c r="CZ13" s="607">
        <f>CY13</f>
        <v>0</v>
      </c>
    </row>
    <row r="14" spans="1:104" ht="13.5" customHeight="1">
      <c r="A14" s="305"/>
      <c r="B14" s="305" t="s">
        <v>183</v>
      </c>
      <c r="C14" s="305"/>
      <c r="D14" s="306"/>
      <c r="E14" s="306"/>
      <c r="F14" s="306"/>
      <c r="G14" s="326"/>
      <c r="H14" s="326"/>
      <c r="I14" s="306"/>
      <c r="J14" s="306"/>
      <c r="K14" s="306"/>
      <c r="L14" s="306"/>
      <c r="M14" s="306"/>
      <c r="N14" s="306"/>
      <c r="O14" s="306"/>
      <c r="P14" s="306"/>
      <c r="Q14" s="306"/>
      <c r="R14" s="306"/>
      <c r="S14" s="306"/>
      <c r="T14" s="306"/>
      <c r="U14" s="306"/>
      <c r="V14" s="306"/>
      <c r="W14" s="306"/>
      <c r="X14" s="306"/>
      <c r="Y14" s="306"/>
      <c r="Z14" s="306"/>
      <c r="AA14" s="306"/>
      <c r="AB14" s="306"/>
      <c r="AC14" s="306"/>
      <c r="AD14" s="306"/>
      <c r="AE14" s="306"/>
      <c r="AF14" s="306"/>
      <c r="AG14" s="306"/>
      <c r="AH14" s="306"/>
      <c r="AI14" s="306"/>
      <c r="AJ14" s="306"/>
      <c r="AK14" s="306"/>
      <c r="AL14" s="306"/>
      <c r="AM14" s="306"/>
      <c r="AN14" s="306"/>
      <c r="AO14" s="306"/>
      <c r="AP14" s="306"/>
      <c r="AQ14" s="316"/>
      <c r="AR14" s="316"/>
      <c r="AS14" s="1236">
        <f>+AVERAGE(AS10,AS13)</f>
        <v>0</v>
      </c>
      <c r="AT14" s="607">
        <f>+AVERAGE(AT10,AT13)</f>
        <v>0</v>
      </c>
      <c r="AU14" s="607">
        <f>+AVERAGE(AU10,AU13)</f>
        <v>0</v>
      </c>
      <c r="AV14" s="1237">
        <f>+AVERAGE(AV10,AV13)</f>
        <v>0</v>
      </c>
      <c r="AW14" s="317"/>
      <c r="AX14" s="1236">
        <f>+AVERAGE(AX10,AX13)</f>
        <v>0</v>
      </c>
      <c r="AY14" s="607">
        <f>+AVERAGE(AY10,AY13)</f>
        <v>0</v>
      </c>
      <c r="AZ14" s="607">
        <f>+AVERAGE(AZ10,AZ13)</f>
        <v>0</v>
      </c>
      <c r="BA14" s="1237">
        <f>+AVERAGE(BA10,BA13)</f>
        <v>0</v>
      </c>
      <c r="BB14" s="317"/>
      <c r="BC14" s="1236">
        <f>+AVERAGE(BC10,BC13)</f>
        <v>0</v>
      </c>
      <c r="BD14" s="607">
        <f>+AVERAGE(BD10,BD13)</f>
        <v>0</v>
      </c>
      <c r="BE14" s="607">
        <f>+AVERAGE(BE10,BE13)</f>
        <v>0</v>
      </c>
      <c r="BF14" s="1237">
        <f>+AVERAGE(BF10,BF13)</f>
        <v>0</v>
      </c>
      <c r="BG14" s="317"/>
      <c r="BH14" s="1236">
        <f>+AVERAGE(BH10,BH13)</f>
        <v>0</v>
      </c>
      <c r="BI14" s="607">
        <f>+AVERAGE(BI10,BI13)</f>
        <v>0</v>
      </c>
      <c r="BJ14" s="607">
        <f>+AVERAGE(BJ10,BJ13)</f>
        <v>0</v>
      </c>
      <c r="BK14" s="1237">
        <f>+AVERAGE(BK10,BK13)</f>
        <v>0</v>
      </c>
      <c r="BL14" s="317"/>
      <c r="BM14" s="1236">
        <f>+AVERAGE(BM10,BM13)</f>
        <v>0</v>
      </c>
      <c r="BN14" s="607">
        <f>+AVERAGE(BN10,BN13)</f>
        <v>0</v>
      </c>
      <c r="BO14" s="607">
        <f>+AVERAGE(BO10,BO13)</f>
        <v>0</v>
      </c>
      <c r="BP14" s="1237">
        <f>+AVERAGE(BP10,BP13)</f>
        <v>0</v>
      </c>
      <c r="BQ14" s="317"/>
      <c r="BR14" s="1236">
        <f>+AVERAGE(BR10,BR13)</f>
        <v>0</v>
      </c>
      <c r="BS14" s="607">
        <f>+AVERAGE(BS10,BS13)</f>
        <v>0</v>
      </c>
      <c r="BT14" s="607">
        <f>+AVERAGE(BT10,BT13)</f>
        <v>0</v>
      </c>
      <c r="BU14" s="1237">
        <f>+AVERAGE(BU10,BU13)</f>
        <v>0</v>
      </c>
      <c r="BV14" s="317"/>
      <c r="BW14" s="1236">
        <f>+AVERAGE(BW10,BW13)</f>
        <v>0</v>
      </c>
      <c r="BX14" s="607">
        <f>+AVERAGE(BX10,BX13)</f>
        <v>0</v>
      </c>
      <c r="BY14" s="607">
        <f>+AVERAGE(BY10,BY13)</f>
        <v>0</v>
      </c>
      <c r="BZ14" s="1237">
        <f>+AVERAGE(BZ10,BZ13)</f>
        <v>0</v>
      </c>
      <c r="CA14" s="317"/>
      <c r="CB14" s="1236">
        <f>+AVERAGE(CB10,CB13)</f>
        <v>0</v>
      </c>
      <c r="CC14" s="607">
        <f>+AVERAGE(CC10,CC13)</f>
        <v>0</v>
      </c>
      <c r="CD14" s="607">
        <f>+AVERAGE(CD10,CD13)</f>
        <v>0</v>
      </c>
      <c r="CE14" s="1237">
        <f>+AVERAGE(CE10,CE13)</f>
        <v>0</v>
      </c>
      <c r="CF14" s="607"/>
      <c r="CG14" s="1236">
        <f>+AVERAGE(CG10,CG13)</f>
        <v>0</v>
      </c>
      <c r="CH14" s="607">
        <f>+AVERAGE(CH10,CH13)</f>
        <v>0</v>
      </c>
      <c r="CI14" s="607">
        <f>+AVERAGE(CI10,CI13)</f>
        <v>0</v>
      </c>
      <c r="CJ14" s="1237">
        <f>+AVERAGE(CJ10,CJ13)</f>
        <v>0</v>
      </c>
      <c r="CK14" s="607"/>
      <c r="CL14" s="1236">
        <f>+AVERAGE(CL10,CL13)</f>
        <v>0</v>
      </c>
      <c r="CM14" s="607">
        <f>+AVERAGE(CM10,CM13)</f>
        <v>0</v>
      </c>
      <c r="CN14" s="607">
        <f>+AVERAGE(CN10,CN13)</f>
        <v>0</v>
      </c>
      <c r="CO14" s="1237">
        <f>+AVERAGE(CO10,CO13)</f>
        <v>0</v>
      </c>
      <c r="CP14" s="317"/>
      <c r="CQ14" s="1236">
        <f>+AVERAGE(CQ10,CQ13)</f>
        <v>0</v>
      </c>
      <c r="CR14" s="607">
        <f>+AVERAGE(CR10,CR13)</f>
        <v>0</v>
      </c>
      <c r="CS14" s="607">
        <f>+AVERAGE(CS10,CS13)</f>
        <v>0</v>
      </c>
      <c r="CT14" s="1237">
        <f>+AVERAGE(CT10,CT13)</f>
        <v>0</v>
      </c>
      <c r="CU14" s="317"/>
      <c r="CV14" s="1236">
        <f>+AVERAGE(CV10,CV13)</f>
        <v>0</v>
      </c>
      <c r="CW14" s="607">
        <f>+AVERAGE(CW10,CW13)</f>
        <v>0</v>
      </c>
      <c r="CX14" s="607">
        <f>+AVERAGE(CX10,CX13)</f>
        <v>0</v>
      </c>
      <c r="CY14" s="1237">
        <f>+AVERAGE(CY10,CY13)</f>
        <v>0</v>
      </c>
      <c r="CZ14" s="317"/>
    </row>
    <row r="15" spans="1:104" ht="13.5" customHeight="1">
      <c r="A15" s="305"/>
      <c r="B15" s="305" t="s">
        <v>575</v>
      </c>
      <c r="C15" s="305"/>
      <c r="D15" s="306"/>
      <c r="E15" s="306"/>
      <c r="F15" s="306"/>
      <c r="G15" s="326"/>
      <c r="H15" s="326"/>
      <c r="I15" s="306"/>
      <c r="J15" s="306"/>
      <c r="K15" s="306"/>
      <c r="L15" s="306"/>
      <c r="M15" s="306"/>
      <c r="N15" s="306"/>
      <c r="O15" s="306"/>
      <c r="P15" s="306"/>
      <c r="Q15" s="306"/>
      <c r="R15" s="306"/>
      <c r="S15" s="306"/>
      <c r="T15" s="306"/>
      <c r="U15" s="306"/>
      <c r="V15" s="306"/>
      <c r="W15" s="306"/>
      <c r="X15" s="306"/>
      <c r="Y15" s="306"/>
      <c r="Z15" s="306"/>
      <c r="AA15" s="306"/>
      <c r="AB15" s="306"/>
      <c r="AC15" s="306"/>
      <c r="AD15" s="306"/>
      <c r="AE15" s="306"/>
      <c r="AF15" s="306"/>
      <c r="AG15" s="306"/>
      <c r="AH15" s="306"/>
      <c r="AI15" s="306"/>
      <c r="AJ15" s="306"/>
      <c r="AK15" s="306"/>
      <c r="AL15" s="306"/>
      <c r="AM15" s="306"/>
      <c r="AN15" s="306"/>
      <c r="AO15" s="306"/>
      <c r="AP15" s="306"/>
      <c r="AQ15" s="316"/>
      <c r="AR15" s="316"/>
      <c r="AS15" s="1236">
        <f>+AS$9*AS14/4</f>
        <v>0</v>
      </c>
      <c r="AT15" s="607">
        <f>+AT$9*AT14/4</f>
        <v>0</v>
      </c>
      <c r="AU15" s="607">
        <f>+AU$9*AU14/4</f>
        <v>0</v>
      </c>
      <c r="AV15" s="1237">
        <f>+AV$9*AV14/4</f>
        <v>0</v>
      </c>
      <c r="AW15" s="317"/>
      <c r="AX15" s="1236">
        <f>+AX$9*AX14/4</f>
        <v>0</v>
      </c>
      <c r="AY15" s="607">
        <f>+AY$9*AY14/4</f>
        <v>0</v>
      </c>
      <c r="AZ15" s="607">
        <f>+AZ$9*AZ14/4</f>
        <v>0</v>
      </c>
      <c r="BA15" s="1237">
        <f>+BA$9*BA14/4</f>
        <v>0</v>
      </c>
      <c r="BB15" s="317"/>
      <c r="BC15" s="1236">
        <f>+BC$9*BC14/4</f>
        <v>0</v>
      </c>
      <c r="BD15" s="607">
        <f>+BD$9*BD14/4</f>
        <v>0</v>
      </c>
      <c r="BE15" s="607">
        <f>+BE$9*BE14/4</f>
        <v>0</v>
      </c>
      <c r="BF15" s="1237">
        <f>+BF$9*BF14/4</f>
        <v>0</v>
      </c>
      <c r="BG15" s="317"/>
      <c r="BH15" s="1236">
        <f>+BH$9*BH14/4</f>
        <v>0</v>
      </c>
      <c r="BI15" s="607">
        <f>+BI$9*BI14/4</f>
        <v>0</v>
      </c>
      <c r="BJ15" s="607">
        <f>+BJ$9*BJ14/4</f>
        <v>0</v>
      </c>
      <c r="BK15" s="1237">
        <f>+BK$9*BK14/4</f>
        <v>0</v>
      </c>
      <c r="BL15" s="317"/>
      <c r="BM15" s="1236">
        <f>+BM$9*BM14/4</f>
        <v>0</v>
      </c>
      <c r="BN15" s="607">
        <f>+BN$9*BN14/4</f>
        <v>0</v>
      </c>
      <c r="BO15" s="607">
        <f>+BO$9*BO14/4</f>
        <v>0</v>
      </c>
      <c r="BP15" s="1237">
        <f>+BP$9*BP14/4</f>
        <v>0</v>
      </c>
      <c r="BQ15" s="317"/>
      <c r="BR15" s="1236">
        <f>+BR$9*BR14/4</f>
        <v>0</v>
      </c>
      <c r="BS15" s="607">
        <f>+BS$9*BS14/4</f>
        <v>0</v>
      </c>
      <c r="BT15" s="607">
        <f>+BT$9*BT14/4</f>
        <v>0</v>
      </c>
      <c r="BU15" s="1237">
        <f>+BU$9*BU14/4</f>
        <v>0</v>
      </c>
      <c r="BV15" s="317"/>
      <c r="BW15" s="1236">
        <f>+BW$9*BW14/4</f>
        <v>0</v>
      </c>
      <c r="BX15" s="607">
        <f>+BX$9*BX14/4</f>
        <v>0</v>
      </c>
      <c r="BY15" s="607">
        <f>+BY$9*BY14/4</f>
        <v>0</v>
      </c>
      <c r="BZ15" s="1237">
        <f>+BZ$9*BZ14/4</f>
        <v>0</v>
      </c>
      <c r="CA15" s="317"/>
      <c r="CB15" s="1236">
        <f>+CB$9*CB14/4</f>
        <v>0</v>
      </c>
      <c r="CC15" s="607">
        <f>+CC$9*CC14/4</f>
        <v>0</v>
      </c>
      <c r="CD15" s="607">
        <f>+CD$9*CD14/4</f>
        <v>0</v>
      </c>
      <c r="CE15" s="1237">
        <f>+CE$9*CE14/4</f>
        <v>0</v>
      </c>
      <c r="CF15" s="607"/>
      <c r="CG15" s="1236">
        <f>+CG$9*CG14/4</f>
        <v>0</v>
      </c>
      <c r="CH15" s="607">
        <f>+CH$9*CH14/4</f>
        <v>0</v>
      </c>
      <c r="CI15" s="607">
        <f>+CI$9*CI14/4</f>
        <v>0</v>
      </c>
      <c r="CJ15" s="1237">
        <f>+CJ$9*CJ14/4</f>
        <v>0</v>
      </c>
      <c r="CK15" s="607"/>
      <c r="CL15" s="1236">
        <f>+CL$9*CL14/4</f>
        <v>0</v>
      </c>
      <c r="CM15" s="607">
        <f>+CM$9*CM14/4</f>
        <v>0</v>
      </c>
      <c r="CN15" s="607">
        <f>+CN$9*CN14/4</f>
        <v>0</v>
      </c>
      <c r="CO15" s="1237">
        <f>+CO$9*CO14/4</f>
        <v>0</v>
      </c>
      <c r="CP15" s="317"/>
      <c r="CQ15" s="1236">
        <f>+CQ$9*CQ14/4</f>
        <v>0</v>
      </c>
      <c r="CR15" s="607">
        <f>+CR$9*CR14/4</f>
        <v>0</v>
      </c>
      <c r="CS15" s="607">
        <f>+CS$9*CS14/4</f>
        <v>0</v>
      </c>
      <c r="CT15" s="1237">
        <f>+CT$9*CT14/4</f>
        <v>0</v>
      </c>
      <c r="CU15" s="317"/>
      <c r="CV15" s="1236">
        <f>+CV$9*CV14/4</f>
        <v>0</v>
      </c>
      <c r="CW15" s="607">
        <f>+CW$9*CW14/4</f>
        <v>0</v>
      </c>
      <c r="CX15" s="607">
        <f>+CX$9*CX14/4</f>
        <v>0</v>
      </c>
      <c r="CY15" s="1237">
        <f>+CY$9*CY14/4</f>
        <v>0</v>
      </c>
      <c r="CZ15" s="317"/>
    </row>
    <row r="16" spans="1:104" ht="13.5" customHeight="1">
      <c r="A16" s="305"/>
      <c r="B16" s="305" t="s">
        <v>184</v>
      </c>
      <c r="C16" s="305"/>
      <c r="D16" s="306"/>
      <c r="E16" s="306"/>
      <c r="F16" s="306"/>
      <c r="G16" s="306"/>
      <c r="H16" s="306"/>
      <c r="I16" s="306"/>
      <c r="J16" s="306"/>
      <c r="K16" s="306"/>
      <c r="L16" s="306"/>
      <c r="M16" s="306"/>
      <c r="N16" s="306"/>
      <c r="O16" s="306"/>
      <c r="P16" s="306"/>
      <c r="Q16" s="306"/>
      <c r="R16" s="306"/>
      <c r="S16" s="306"/>
      <c r="T16" s="306"/>
      <c r="U16" s="306"/>
      <c r="V16" s="306"/>
      <c r="W16" s="306"/>
      <c r="X16" s="306"/>
      <c r="Y16" s="306"/>
      <c r="Z16" s="306"/>
      <c r="AA16" s="306"/>
      <c r="AB16" s="306"/>
      <c r="AC16" s="306"/>
      <c r="AD16" s="306"/>
      <c r="AE16" s="306"/>
      <c r="AF16" s="306"/>
      <c r="AG16" s="306"/>
      <c r="AH16" s="306"/>
      <c r="AI16" s="306"/>
      <c r="AJ16" s="306"/>
      <c r="AK16" s="306"/>
      <c r="AL16" s="306"/>
      <c r="AM16" s="306"/>
      <c r="AN16" s="306"/>
      <c r="AO16" s="306"/>
      <c r="AP16" s="306"/>
      <c r="AQ16" s="316"/>
      <c r="AR16" s="316"/>
      <c r="AS16" s="1236">
        <f>+AS15</f>
        <v>0</v>
      </c>
      <c r="AT16" s="607">
        <f>+AT15</f>
        <v>0</v>
      </c>
      <c r="AU16" s="607">
        <f>+AU15</f>
        <v>0</v>
      </c>
      <c r="AV16" s="1237">
        <f>+AV15</f>
        <v>0</v>
      </c>
      <c r="AW16" s="317"/>
      <c r="AX16" s="1236">
        <f>+AX15</f>
        <v>0</v>
      </c>
      <c r="AY16" s="607">
        <f>+AY15</f>
        <v>0</v>
      </c>
      <c r="AZ16" s="607">
        <f>+AZ15</f>
        <v>0</v>
      </c>
      <c r="BA16" s="1237">
        <f>+BA15</f>
        <v>0</v>
      </c>
      <c r="BB16" s="317"/>
      <c r="BC16" s="1236">
        <f>+BC15</f>
        <v>0</v>
      </c>
      <c r="BD16" s="607">
        <f>+BD15</f>
        <v>0</v>
      </c>
      <c r="BE16" s="607">
        <f>+BE15</f>
        <v>0</v>
      </c>
      <c r="BF16" s="1237">
        <f>+BF15</f>
        <v>0</v>
      </c>
      <c r="BG16" s="317"/>
      <c r="BH16" s="1236">
        <f>+BH15</f>
        <v>0</v>
      </c>
      <c r="BI16" s="607">
        <f>+BI15</f>
        <v>0</v>
      </c>
      <c r="BJ16" s="607">
        <f>+BJ15</f>
        <v>0</v>
      </c>
      <c r="BK16" s="1237">
        <f>+BK15</f>
        <v>0</v>
      </c>
      <c r="BL16" s="317"/>
      <c r="BM16" s="1236">
        <f>+BM15</f>
        <v>0</v>
      </c>
      <c r="BN16" s="607">
        <f>+BN15</f>
        <v>0</v>
      </c>
      <c r="BO16" s="607">
        <f>+BO15</f>
        <v>0</v>
      </c>
      <c r="BP16" s="1237">
        <f>+BP15</f>
        <v>0</v>
      </c>
      <c r="BQ16" s="317"/>
      <c r="BR16" s="1236">
        <f>+BR15</f>
        <v>0</v>
      </c>
      <c r="BS16" s="607">
        <f>+BS15</f>
        <v>0</v>
      </c>
      <c r="BT16" s="607">
        <f>+BT15</f>
        <v>0</v>
      </c>
      <c r="BU16" s="1237">
        <f>+BU15</f>
        <v>0</v>
      </c>
      <c r="BV16" s="317"/>
      <c r="BW16" s="1236">
        <f>+BW15</f>
        <v>0</v>
      </c>
      <c r="BX16" s="607">
        <f>+BX15</f>
        <v>0</v>
      </c>
      <c r="BY16" s="607">
        <f>+BY15</f>
        <v>0</v>
      </c>
      <c r="BZ16" s="1237">
        <f>+BZ15</f>
        <v>0</v>
      </c>
      <c r="CA16" s="317"/>
      <c r="CB16" s="1236">
        <f>+CB15</f>
        <v>0</v>
      </c>
      <c r="CC16" s="607">
        <f>+CC15</f>
        <v>0</v>
      </c>
      <c r="CD16" s="607">
        <f>+CD15</f>
        <v>0</v>
      </c>
      <c r="CE16" s="1237">
        <f>+CE15</f>
        <v>0</v>
      </c>
      <c r="CF16" s="607"/>
      <c r="CG16" s="1236">
        <f>+CG15</f>
        <v>0</v>
      </c>
      <c r="CH16" s="607">
        <f>+CH15</f>
        <v>0</v>
      </c>
      <c r="CI16" s="607">
        <f>+CI15</f>
        <v>0</v>
      </c>
      <c r="CJ16" s="1237">
        <f>+CJ15</f>
        <v>0</v>
      </c>
      <c r="CK16" s="607"/>
      <c r="CL16" s="1236">
        <f>+CL15</f>
        <v>0</v>
      </c>
      <c r="CM16" s="607">
        <f>+CM15</f>
        <v>0</v>
      </c>
      <c r="CN16" s="607">
        <f>+CN15</f>
        <v>0</v>
      </c>
      <c r="CO16" s="1237">
        <f>+CO15</f>
        <v>0</v>
      </c>
      <c r="CP16" s="317"/>
      <c r="CQ16" s="1236">
        <f>+CQ15</f>
        <v>0</v>
      </c>
      <c r="CR16" s="607">
        <f>+CR15</f>
        <v>0</v>
      </c>
      <c r="CS16" s="607">
        <f>+CS15</f>
        <v>0</v>
      </c>
      <c r="CT16" s="1237">
        <f>+CT15</f>
        <v>0</v>
      </c>
      <c r="CU16" s="317"/>
      <c r="CV16" s="1236">
        <f>+CV15</f>
        <v>0</v>
      </c>
      <c r="CW16" s="607">
        <f>+CW15</f>
        <v>0</v>
      </c>
      <c r="CX16" s="607">
        <f>+CX15</f>
        <v>0</v>
      </c>
      <c r="CY16" s="1237">
        <f>+CY15</f>
        <v>0</v>
      </c>
      <c r="CZ16" s="317"/>
    </row>
    <row r="17" spans="1:104" ht="6.2" customHeight="1">
      <c r="A17" s="305"/>
      <c r="B17" s="305"/>
      <c r="C17" s="305"/>
      <c r="D17" s="306"/>
      <c r="E17" s="306"/>
      <c r="F17" s="306"/>
      <c r="G17" s="306"/>
      <c r="H17" s="306"/>
      <c r="I17" s="306"/>
      <c r="J17" s="306"/>
      <c r="K17" s="306"/>
      <c r="L17" s="306"/>
      <c r="M17" s="306"/>
      <c r="N17" s="306"/>
      <c r="O17" s="306"/>
      <c r="P17" s="306"/>
      <c r="Q17" s="306"/>
      <c r="R17" s="306"/>
      <c r="S17" s="306"/>
      <c r="T17" s="306"/>
      <c r="U17" s="306"/>
      <c r="V17" s="306"/>
      <c r="W17" s="306"/>
      <c r="X17" s="306"/>
      <c r="Y17" s="306"/>
      <c r="Z17" s="306"/>
      <c r="AA17" s="306"/>
      <c r="AB17" s="306"/>
      <c r="AC17" s="306"/>
      <c r="AD17" s="306"/>
      <c r="AE17" s="306"/>
      <c r="AF17" s="306"/>
      <c r="AG17" s="306"/>
      <c r="AH17" s="306"/>
      <c r="AI17" s="306"/>
      <c r="AJ17" s="306"/>
      <c r="AK17" s="306"/>
      <c r="AL17" s="306"/>
      <c r="AM17" s="306"/>
      <c r="AN17" s="306"/>
      <c r="AO17" s="306"/>
      <c r="AP17" s="306"/>
      <c r="AQ17" s="316"/>
      <c r="AR17" s="316"/>
      <c r="AS17" s="1232"/>
      <c r="AT17" s="317"/>
      <c r="AU17" s="317"/>
      <c r="AV17" s="1233"/>
      <c r="AW17" s="317"/>
      <c r="AX17" s="1232"/>
      <c r="AY17" s="317"/>
      <c r="AZ17" s="317"/>
      <c r="BA17" s="1233"/>
      <c r="BB17" s="317"/>
      <c r="BC17" s="1232"/>
      <c r="BD17" s="317"/>
      <c r="BE17" s="317"/>
      <c r="BF17" s="1233"/>
      <c r="BG17" s="317"/>
      <c r="BH17" s="1232"/>
      <c r="BI17" s="317"/>
      <c r="BJ17" s="317"/>
      <c r="BK17" s="1233"/>
      <c r="BL17" s="317"/>
      <c r="BM17" s="1232"/>
      <c r="BN17" s="317"/>
      <c r="BO17" s="317"/>
      <c r="BP17" s="1233"/>
      <c r="BQ17" s="317"/>
      <c r="BR17" s="1232"/>
      <c r="BS17" s="317"/>
      <c r="BT17" s="317"/>
      <c r="BU17" s="1233"/>
      <c r="BV17" s="317"/>
      <c r="BW17" s="1232"/>
      <c r="BX17" s="317"/>
      <c r="BY17" s="317"/>
      <c r="BZ17" s="1233"/>
      <c r="CA17" s="317"/>
      <c r="CB17" s="1232"/>
      <c r="CC17" s="317"/>
      <c r="CD17" s="317"/>
      <c r="CE17" s="1237"/>
      <c r="CF17" s="607"/>
      <c r="CG17" s="1236"/>
      <c r="CH17" s="607"/>
      <c r="CI17" s="317"/>
      <c r="CJ17" s="1237"/>
      <c r="CK17" s="607"/>
      <c r="CL17" s="1232"/>
      <c r="CM17" s="317"/>
      <c r="CN17" s="317"/>
      <c r="CO17" s="1233"/>
      <c r="CP17" s="317"/>
      <c r="CQ17" s="1232"/>
      <c r="CR17" s="317"/>
      <c r="CS17" s="317"/>
      <c r="CT17" s="1233"/>
      <c r="CU17" s="317"/>
      <c r="CV17" s="1232"/>
      <c r="CW17" s="317"/>
      <c r="CX17" s="317"/>
      <c r="CY17" s="1233"/>
      <c r="CZ17" s="317"/>
    </row>
    <row r="18" spans="1:104" ht="13.5" customHeight="1">
      <c r="A18" s="305"/>
      <c r="B18" s="305" t="s">
        <v>185</v>
      </c>
      <c r="C18" s="305"/>
      <c r="D18" s="306"/>
      <c r="E18" s="306"/>
      <c r="F18" s="329" t="s">
        <v>186</v>
      </c>
      <c r="G18" s="330">
        <v>1500</v>
      </c>
      <c r="H18" s="306"/>
      <c r="I18" s="306"/>
      <c r="J18" s="306"/>
      <c r="K18" s="306"/>
      <c r="L18" s="306"/>
      <c r="M18" s="306"/>
      <c r="N18" s="306"/>
      <c r="O18" s="306"/>
      <c r="P18" s="306"/>
      <c r="Q18" s="306"/>
      <c r="R18" s="306"/>
      <c r="S18" s="306"/>
      <c r="T18" s="306"/>
      <c r="U18" s="306"/>
      <c r="V18" s="306"/>
      <c r="W18" s="306"/>
      <c r="X18" s="306"/>
      <c r="Y18" s="306"/>
      <c r="Z18" s="306"/>
      <c r="AA18" s="306"/>
      <c r="AB18" s="306"/>
      <c r="AC18" s="306"/>
      <c r="AD18" s="306"/>
      <c r="AE18" s="306"/>
      <c r="AF18" s="306"/>
      <c r="AG18" s="306"/>
      <c r="AH18" s="306"/>
      <c r="AI18" s="306"/>
      <c r="AJ18" s="306"/>
      <c r="AK18" s="306"/>
      <c r="AL18" s="306"/>
      <c r="AM18" s="306"/>
      <c r="AN18" s="306"/>
      <c r="AO18" s="306"/>
      <c r="AP18" s="306"/>
      <c r="AQ18" s="331">
        <f>+$G$18</f>
        <v>1500</v>
      </c>
      <c r="AR18" s="316"/>
      <c r="AS18" s="1236">
        <f>+$G$18</f>
        <v>1500</v>
      </c>
      <c r="AT18" s="607">
        <f>+$G$18</f>
        <v>1500</v>
      </c>
      <c r="AU18" s="607">
        <f>+$G$18</f>
        <v>1500</v>
      </c>
      <c r="AV18" s="1237">
        <f>+$G$18</f>
        <v>1500</v>
      </c>
      <c r="AW18" s="317"/>
      <c r="AX18" s="1236">
        <f>+$G$18</f>
        <v>1500</v>
      </c>
      <c r="AY18" s="607">
        <f>+$G$18</f>
        <v>1500</v>
      </c>
      <c r="AZ18" s="607">
        <f>+$G$18</f>
        <v>1500</v>
      </c>
      <c r="BA18" s="1237">
        <f>+$G$18</f>
        <v>1500</v>
      </c>
      <c r="BB18" s="328"/>
      <c r="BC18" s="1236">
        <f>+$G$18</f>
        <v>1500</v>
      </c>
      <c r="BD18" s="607">
        <f>+$G$18</f>
        <v>1500</v>
      </c>
      <c r="BE18" s="607">
        <f>+$G$18</f>
        <v>1500</v>
      </c>
      <c r="BF18" s="1237">
        <f>+$G$18</f>
        <v>1500</v>
      </c>
      <c r="BG18" s="328"/>
      <c r="BH18" s="1236">
        <f>+$G$18</f>
        <v>1500</v>
      </c>
      <c r="BI18" s="607">
        <f>+$G$18</f>
        <v>1500</v>
      </c>
      <c r="BJ18" s="607">
        <f>+$G$18</f>
        <v>1500</v>
      </c>
      <c r="BK18" s="1237">
        <f>+$G$18</f>
        <v>1500</v>
      </c>
      <c r="BL18" s="328"/>
      <c r="BM18" s="1236">
        <f>+$G$18</f>
        <v>1500</v>
      </c>
      <c r="BN18" s="607">
        <f>+$G$18</f>
        <v>1500</v>
      </c>
      <c r="BO18" s="607">
        <f>+$G$18</f>
        <v>1500</v>
      </c>
      <c r="BP18" s="1237">
        <f>+$G$18</f>
        <v>1500</v>
      </c>
      <c r="BQ18" s="328"/>
      <c r="BR18" s="1236">
        <f>+$G$18</f>
        <v>1500</v>
      </c>
      <c r="BS18" s="607">
        <f>+$G$18</f>
        <v>1500</v>
      </c>
      <c r="BT18" s="607">
        <f>+$G$18</f>
        <v>1500</v>
      </c>
      <c r="BU18" s="1237">
        <f>+$G$18</f>
        <v>1500</v>
      </c>
      <c r="BV18" s="328"/>
      <c r="BW18" s="1236">
        <f>+$G$18</f>
        <v>1500</v>
      </c>
      <c r="BX18" s="607">
        <f>+$G$18</f>
        <v>1500</v>
      </c>
      <c r="BY18" s="607">
        <f>+$G$18</f>
        <v>1500</v>
      </c>
      <c r="BZ18" s="1237">
        <f>+$G$18</f>
        <v>1500</v>
      </c>
      <c r="CA18" s="328"/>
      <c r="CB18" s="1236">
        <f>+$G$18</f>
        <v>1500</v>
      </c>
      <c r="CC18" s="607">
        <f>+$G$18</f>
        <v>1500</v>
      </c>
      <c r="CD18" s="607">
        <f>+$G$18</f>
        <v>1500</v>
      </c>
      <c r="CE18" s="1237">
        <f>+$G$18</f>
        <v>1500</v>
      </c>
      <c r="CF18" s="328"/>
      <c r="CG18" s="1236">
        <f>+$G$18</f>
        <v>1500</v>
      </c>
      <c r="CH18" s="607">
        <f>+$G$18</f>
        <v>1500</v>
      </c>
      <c r="CI18" s="607">
        <f>+$G$18</f>
        <v>1500</v>
      </c>
      <c r="CJ18" s="1237">
        <f>+$G$18</f>
        <v>1500</v>
      </c>
      <c r="CK18" s="328"/>
      <c r="CL18" s="1236">
        <f>+$G$18</f>
        <v>1500</v>
      </c>
      <c r="CM18" s="607">
        <f>+$G$18</f>
        <v>1500</v>
      </c>
      <c r="CN18" s="607">
        <f>+$G$18</f>
        <v>1500</v>
      </c>
      <c r="CO18" s="1237">
        <f>+$G$18</f>
        <v>1500</v>
      </c>
      <c r="CP18" s="328"/>
      <c r="CQ18" s="1236">
        <f>+$G$18</f>
        <v>1500</v>
      </c>
      <c r="CR18" s="607">
        <f>+$G$18</f>
        <v>1500</v>
      </c>
      <c r="CS18" s="607">
        <f>+$G$18</f>
        <v>1500</v>
      </c>
      <c r="CT18" s="1237">
        <f>+$G$18</f>
        <v>1500</v>
      </c>
      <c r="CU18" s="328"/>
      <c r="CV18" s="1236">
        <f>+$G$18</f>
        <v>1500</v>
      </c>
      <c r="CW18" s="607">
        <f>+$G$18</f>
        <v>1500</v>
      </c>
      <c r="CX18" s="607">
        <f>+$G$18</f>
        <v>1500</v>
      </c>
      <c r="CY18" s="1237">
        <f>+$G$18</f>
        <v>1500</v>
      </c>
      <c r="CZ18" s="328"/>
    </row>
    <row r="19" spans="1:104" ht="6.2" customHeight="1" outlineLevel="1">
      <c r="A19" s="305"/>
      <c r="B19" s="305"/>
      <c r="C19" s="305"/>
      <c r="D19" s="306"/>
      <c r="E19" s="306"/>
      <c r="F19" s="306"/>
      <c r="G19" s="306"/>
      <c r="H19" s="306"/>
      <c r="I19" s="306"/>
      <c r="J19" s="306"/>
      <c r="K19" s="306"/>
      <c r="L19" s="306"/>
      <c r="M19" s="306"/>
      <c r="N19" s="306"/>
      <c r="O19" s="306"/>
      <c r="P19" s="306"/>
      <c r="Q19" s="306"/>
      <c r="R19" s="306"/>
      <c r="S19" s="306"/>
      <c r="T19" s="306"/>
      <c r="U19" s="306"/>
      <c r="V19" s="306"/>
      <c r="W19" s="306"/>
      <c r="X19" s="306"/>
      <c r="Y19" s="306"/>
      <c r="Z19" s="306"/>
      <c r="AA19" s="306"/>
      <c r="AB19" s="306"/>
      <c r="AC19" s="306"/>
      <c r="AD19" s="306"/>
      <c r="AE19" s="306"/>
      <c r="AF19" s="306"/>
      <c r="AG19" s="306"/>
      <c r="AH19" s="306"/>
      <c r="AI19" s="306"/>
      <c r="AJ19" s="306"/>
      <c r="AK19" s="306"/>
      <c r="AL19" s="306"/>
      <c r="AM19" s="306"/>
      <c r="AN19" s="306"/>
      <c r="AO19" s="306"/>
      <c r="AP19" s="306"/>
      <c r="AQ19" s="332"/>
      <c r="AR19" s="332"/>
      <c r="AS19" s="1240"/>
      <c r="AT19" s="307"/>
      <c r="AU19" s="307"/>
      <c r="AV19" s="1241"/>
      <c r="AW19" s="307"/>
      <c r="AX19" s="1240"/>
      <c r="AY19" s="307"/>
      <c r="AZ19" s="307"/>
      <c r="BA19" s="1241"/>
      <c r="BB19" s="307"/>
      <c r="BC19" s="1240"/>
      <c r="BD19" s="307"/>
      <c r="BE19" s="307"/>
      <c r="BF19" s="1241"/>
      <c r="BG19" s="307"/>
      <c r="BH19" s="1240"/>
      <c r="BI19" s="307"/>
      <c r="BJ19" s="307"/>
      <c r="BK19" s="1241"/>
      <c r="BL19" s="307"/>
      <c r="BM19" s="1240"/>
      <c r="BN19" s="307"/>
      <c r="BO19" s="307"/>
      <c r="BP19" s="1241"/>
      <c r="BQ19" s="307"/>
      <c r="BR19" s="1240"/>
      <c r="BS19" s="307"/>
      <c r="BT19" s="307"/>
      <c r="BU19" s="1241"/>
      <c r="BV19" s="307"/>
      <c r="BW19" s="1240"/>
      <c r="BX19" s="307"/>
      <c r="BY19" s="307"/>
      <c r="BZ19" s="1241"/>
      <c r="CA19" s="307"/>
      <c r="CB19" s="1240"/>
      <c r="CC19" s="307"/>
      <c r="CD19" s="307"/>
      <c r="CE19" s="1275"/>
      <c r="CF19" s="762"/>
      <c r="CG19" s="1280"/>
      <c r="CH19" s="762"/>
      <c r="CI19" s="307"/>
      <c r="CJ19" s="1275"/>
      <c r="CK19" s="762"/>
      <c r="CL19" s="1240"/>
      <c r="CM19" s="307"/>
      <c r="CN19" s="307"/>
      <c r="CO19" s="1241"/>
      <c r="CP19" s="307"/>
      <c r="CQ19" s="1240"/>
      <c r="CR19" s="307"/>
      <c r="CS19" s="307"/>
      <c r="CT19" s="1241"/>
      <c r="CU19" s="307"/>
      <c r="CV19" s="1240"/>
      <c r="CW19" s="307"/>
      <c r="CX19" s="307"/>
      <c r="CY19" s="1241"/>
      <c r="CZ19" s="307"/>
    </row>
    <row r="20" spans="1:104" ht="13.5" customHeight="1" outlineLevel="1">
      <c r="A20" s="315" t="s">
        <v>263</v>
      </c>
      <c r="B20" s="305"/>
      <c r="C20" s="305"/>
      <c r="D20" s="306"/>
      <c r="E20" s="306"/>
      <c r="F20" s="306"/>
      <c r="G20" s="306"/>
      <c r="H20" s="306"/>
      <c r="I20" s="306"/>
      <c r="J20" s="306"/>
      <c r="K20" s="306"/>
      <c r="L20" s="306"/>
      <c r="M20" s="306"/>
      <c r="N20" s="306"/>
      <c r="O20" s="306"/>
      <c r="P20" s="306"/>
      <c r="Q20" s="306"/>
      <c r="R20" s="306"/>
      <c r="S20" s="306"/>
      <c r="T20" s="306"/>
      <c r="U20" s="306"/>
      <c r="V20" s="306"/>
      <c r="W20" s="306"/>
      <c r="X20" s="306"/>
      <c r="Y20" s="306"/>
      <c r="Z20" s="306"/>
      <c r="AA20" s="306"/>
      <c r="AB20" s="306"/>
      <c r="AC20" s="306"/>
      <c r="AD20" s="306"/>
      <c r="AE20" s="306"/>
      <c r="AF20" s="306"/>
      <c r="AG20" s="306"/>
      <c r="AH20" s="306"/>
      <c r="AI20" s="306"/>
      <c r="AJ20" s="306"/>
      <c r="AK20" s="306"/>
      <c r="AL20" s="306"/>
      <c r="AM20" s="306"/>
      <c r="AN20" s="306"/>
      <c r="AO20" s="306"/>
      <c r="AP20" s="306"/>
      <c r="AQ20" s="316"/>
      <c r="AR20" s="316"/>
      <c r="AS20" s="1232"/>
      <c r="AT20" s="317"/>
      <c r="AU20" s="317"/>
      <c r="AV20" s="1233"/>
      <c r="AW20" s="317"/>
      <c r="AX20" s="1232"/>
      <c r="AY20" s="317"/>
      <c r="AZ20" s="317"/>
      <c r="BA20" s="1233"/>
      <c r="BB20" s="317"/>
      <c r="BC20" s="1232"/>
      <c r="BD20" s="317"/>
      <c r="BE20" s="317"/>
      <c r="BF20" s="1233"/>
      <c r="BG20" s="317"/>
      <c r="BH20" s="1232"/>
      <c r="BI20" s="317"/>
      <c r="BJ20" s="317"/>
      <c r="BK20" s="1233"/>
      <c r="BL20" s="317"/>
      <c r="BM20" s="1232"/>
      <c r="BN20" s="317"/>
      <c r="BO20" s="317"/>
      <c r="BP20" s="1233"/>
      <c r="BQ20" s="317"/>
      <c r="BR20" s="1232"/>
      <c r="BS20" s="317"/>
      <c r="BT20" s="317"/>
      <c r="BU20" s="1233"/>
      <c r="BV20" s="317"/>
      <c r="BW20" s="1232"/>
      <c r="BX20" s="317"/>
      <c r="BY20" s="317"/>
      <c r="BZ20" s="1233"/>
      <c r="CA20" s="317"/>
      <c r="CB20" s="1232"/>
      <c r="CC20" s="317"/>
      <c r="CD20" s="317"/>
      <c r="CE20" s="1237"/>
      <c r="CF20" s="607"/>
      <c r="CG20" s="1236"/>
      <c r="CH20" s="607"/>
      <c r="CI20" s="317"/>
      <c r="CJ20" s="1237"/>
      <c r="CK20" s="607"/>
      <c r="CL20" s="1232"/>
      <c r="CM20" s="317"/>
      <c r="CN20" s="317"/>
      <c r="CO20" s="1233"/>
      <c r="CP20" s="317"/>
      <c r="CQ20" s="1232"/>
      <c r="CR20" s="317"/>
      <c r="CS20" s="317"/>
      <c r="CT20" s="1233"/>
      <c r="CU20" s="317"/>
      <c r="CV20" s="1232"/>
      <c r="CW20" s="317"/>
      <c r="CX20" s="317"/>
      <c r="CY20" s="1233"/>
      <c r="CZ20" s="317"/>
    </row>
    <row r="21" spans="1:104" ht="13.5" customHeight="1" outlineLevel="1">
      <c r="A21" s="318" t="s">
        <v>11</v>
      </c>
      <c r="B21" s="305"/>
      <c r="C21" s="305"/>
      <c r="D21" s="306"/>
      <c r="E21" s="306"/>
      <c r="F21" s="306"/>
      <c r="G21" s="306"/>
      <c r="H21" s="306"/>
      <c r="I21" s="306"/>
      <c r="J21" s="306"/>
      <c r="K21" s="306"/>
      <c r="L21" s="306"/>
      <c r="M21" s="306"/>
      <c r="N21" s="306"/>
      <c r="O21" s="306"/>
      <c r="P21" s="306"/>
      <c r="Q21" s="306"/>
      <c r="R21" s="306"/>
      <c r="S21" s="306"/>
      <c r="T21" s="306"/>
      <c r="U21" s="306"/>
      <c r="V21" s="306"/>
      <c r="W21" s="306"/>
      <c r="X21" s="306"/>
      <c r="Y21" s="306"/>
      <c r="Z21" s="306"/>
      <c r="AA21" s="306"/>
      <c r="AB21" s="306"/>
      <c r="AC21" s="306"/>
      <c r="AD21" s="306"/>
      <c r="AE21" s="306"/>
      <c r="AF21" s="306"/>
      <c r="AG21" s="306"/>
      <c r="AH21" s="306"/>
      <c r="AI21" s="306"/>
      <c r="AJ21" s="306"/>
      <c r="AK21" s="306"/>
      <c r="AL21" s="306"/>
      <c r="AM21" s="306"/>
      <c r="AN21" s="306"/>
      <c r="AO21" s="306"/>
      <c r="AP21" s="306"/>
      <c r="AQ21" s="316"/>
      <c r="AR21" s="316"/>
      <c r="AS21" s="1234">
        <f>$G22/10000+AS6</f>
        <v>2.6050196721311468E-3</v>
      </c>
      <c r="AT21" s="310">
        <f>$G22/10000+AT6</f>
        <v>2.4853442622950828E-3</v>
      </c>
      <c r="AU21" s="310">
        <f>$G22/10000+AU6</f>
        <v>2.3230687499999998E-3</v>
      </c>
      <c r="AV21" s="1235">
        <f>$G22/10000+AV6</f>
        <v>1.825190163934425E-3</v>
      </c>
      <c r="AW21" s="317"/>
      <c r="AX21" s="1234">
        <f>$G22/10000+AX6</f>
        <v>1.8391770491803282E-3</v>
      </c>
      <c r="AY21" s="310">
        <f>$G22/10000+AY6</f>
        <v>2.7906508196721314E-3</v>
      </c>
      <c r="AZ21" s="310">
        <f>$G22/10000+AZ6</f>
        <v>2.5063547169811317E-3</v>
      </c>
      <c r="BA21" s="1235">
        <f>$G22/10000+BA6</f>
        <v>1.6642999999999999E-3</v>
      </c>
      <c r="BB21" s="317"/>
      <c r="BC21" s="1234">
        <f>$G22/10000+BC6</f>
        <v>1.8272599386619983E-3</v>
      </c>
      <c r="BD21" s="310">
        <f>$G22/10000+BD6</f>
        <v>3.0953E-3</v>
      </c>
      <c r="BE21" s="310">
        <f>$G22/10000+BE6</f>
        <v>3.0003E-3</v>
      </c>
      <c r="BF21" s="1235">
        <f>$G22/10000+BF6</f>
        <v>3.0003E-3</v>
      </c>
      <c r="BG21" s="317"/>
      <c r="BH21" s="1234">
        <f>$G22/10000+BH6</f>
        <v>3.0003E-3</v>
      </c>
      <c r="BI21" s="310">
        <f>$G22/10000+BI6</f>
        <v>3.0003E-3</v>
      </c>
      <c r="BJ21" s="310">
        <f>$G22/10000+BJ6</f>
        <v>3.0003E-3</v>
      </c>
      <c r="BK21" s="1235">
        <f>$G22/10000+BK6</f>
        <v>3.0003E-3</v>
      </c>
      <c r="BL21" s="317"/>
      <c r="BM21" s="1234">
        <f>$G22/10000+BM6</f>
        <v>5.0003000000000001E-3</v>
      </c>
      <c r="BN21" s="310">
        <f>$G22/10000+BN6</f>
        <v>5.0003000000000001E-3</v>
      </c>
      <c r="BO21" s="310">
        <f>$G22/10000+BO6</f>
        <v>5.0003000000000001E-3</v>
      </c>
      <c r="BP21" s="1235">
        <f>$G22/10000+BP6</f>
        <v>5.0003000000000001E-3</v>
      </c>
      <c r="BQ21" s="317"/>
      <c r="BR21" s="1234">
        <f>$G22/10000+BR6</f>
        <v>5.0003000000000001E-3</v>
      </c>
      <c r="BS21" s="310">
        <f>$G22/10000+BS6</f>
        <v>5.0003000000000001E-3</v>
      </c>
      <c r="BT21" s="310">
        <f>$G22/10000+BT6</f>
        <v>5.0003000000000001E-3</v>
      </c>
      <c r="BU21" s="1235">
        <f>$G22/10000+BU6</f>
        <v>5.0003000000000001E-3</v>
      </c>
      <c r="BV21" s="317"/>
      <c r="BW21" s="1234">
        <f>$G22/10000+BW6</f>
        <v>5.0003000000000001E-3</v>
      </c>
      <c r="BX21" s="310">
        <f>$G22/10000+BX6</f>
        <v>5.0003000000000001E-3</v>
      </c>
      <c r="BY21" s="310">
        <f>$G22/10000+BY6</f>
        <v>5.0003000000000001E-3</v>
      </c>
      <c r="BZ21" s="1235">
        <f>$G22/10000+BZ6</f>
        <v>5.0003000000000001E-3</v>
      </c>
      <c r="CA21" s="317"/>
      <c r="CB21" s="1234">
        <f>$G22/10000+CB6</f>
        <v>5.0003000000000001E-3</v>
      </c>
      <c r="CC21" s="310">
        <f>$G22/10000+CC6</f>
        <v>5.0003000000000001E-3</v>
      </c>
      <c r="CD21" s="310">
        <f>$G22/10000+CD6</f>
        <v>5.0003000000000001E-3</v>
      </c>
      <c r="CE21" s="1235">
        <f>$G22/10000+CE6</f>
        <v>5.0003000000000001E-3</v>
      </c>
      <c r="CF21" s="607"/>
      <c r="CG21" s="1234">
        <f>$G22/10000+CG6</f>
        <v>5.0003000000000001E-3</v>
      </c>
      <c r="CH21" s="310">
        <f>$G22/10000+CH6</f>
        <v>5.0003000000000001E-3</v>
      </c>
      <c r="CI21" s="310">
        <f>$G22/10000+CI6</f>
        <v>5.0003000000000001E-3</v>
      </c>
      <c r="CJ21" s="1235">
        <f>$G22/10000+CJ6</f>
        <v>5.0003000000000001E-3</v>
      </c>
      <c r="CK21" s="607"/>
      <c r="CL21" s="1234">
        <f>$G22/10000+CL6</f>
        <v>5.0003000000000001E-3</v>
      </c>
      <c r="CM21" s="310">
        <f>$G22/10000+CM6</f>
        <v>5.0003000000000001E-3</v>
      </c>
      <c r="CN21" s="310">
        <f>$G22/10000+CN6</f>
        <v>5.0003000000000001E-3</v>
      </c>
      <c r="CO21" s="1235">
        <f>$G22/10000+CO6</f>
        <v>5.0003000000000001E-3</v>
      </c>
      <c r="CP21" s="317"/>
      <c r="CQ21" s="1234">
        <f>$G22/10000+CQ6</f>
        <v>5.0003000000000001E-3</v>
      </c>
      <c r="CR21" s="310">
        <f>$G22/10000+CR6</f>
        <v>5.0003000000000001E-3</v>
      </c>
      <c r="CS21" s="310">
        <f>$G22/10000+CS6</f>
        <v>5.0003000000000001E-3</v>
      </c>
      <c r="CT21" s="1235">
        <f>$G22/10000+CT6</f>
        <v>5.0003000000000001E-3</v>
      </c>
      <c r="CU21" s="317"/>
      <c r="CV21" s="1234">
        <f>$G22/10000+CV6</f>
        <v>5.0003000000000001E-3</v>
      </c>
      <c r="CW21" s="310">
        <f>$G22/10000+CW6</f>
        <v>5.0003000000000001E-3</v>
      </c>
      <c r="CX21" s="310">
        <f>$G22/10000+CX6</f>
        <v>5.0003000000000001E-3</v>
      </c>
      <c r="CY21" s="1235">
        <f>$G22/10000+CY6</f>
        <v>5.0003000000000001E-3</v>
      </c>
      <c r="CZ21" s="317"/>
    </row>
    <row r="22" spans="1:104" ht="13.5" customHeight="1" outlineLevel="1">
      <c r="A22" s="305"/>
      <c r="B22" s="305" t="s">
        <v>179</v>
      </c>
      <c r="C22" s="305"/>
      <c r="D22" s="306"/>
      <c r="E22" s="306"/>
      <c r="F22" s="306"/>
      <c r="G22" s="333">
        <v>3.0000000000000001E-3</v>
      </c>
      <c r="H22" s="400">
        <v>51317</v>
      </c>
      <c r="I22" s="306"/>
      <c r="J22" s="306"/>
      <c r="K22" s="306"/>
      <c r="L22" s="306"/>
      <c r="M22" s="306"/>
      <c r="N22" s="306"/>
      <c r="O22" s="306"/>
      <c r="P22" s="306"/>
      <c r="Q22" s="306"/>
      <c r="R22" s="306"/>
      <c r="S22" s="306"/>
      <c r="T22" s="306"/>
      <c r="U22" s="306"/>
      <c r="V22" s="306"/>
      <c r="W22" s="306"/>
      <c r="X22" s="306"/>
      <c r="Y22" s="306"/>
      <c r="Z22" s="306"/>
      <c r="AA22" s="306"/>
      <c r="AB22" s="306"/>
      <c r="AC22" s="306"/>
      <c r="AD22" s="306"/>
      <c r="AE22" s="306"/>
      <c r="AF22" s="306"/>
      <c r="AG22" s="306"/>
      <c r="AH22" s="306"/>
      <c r="AI22" s="306"/>
      <c r="AJ22" s="306"/>
      <c r="AK22" s="306"/>
      <c r="AL22" s="306"/>
      <c r="AM22" s="306"/>
      <c r="AN22" s="306"/>
      <c r="AO22" s="306"/>
      <c r="AP22" s="306"/>
      <c r="AQ22" s="316"/>
      <c r="AR22" s="316"/>
      <c r="AS22" s="1236">
        <f>+AR24</f>
        <v>441.6</v>
      </c>
      <c r="AT22" s="607">
        <f>+AS24</f>
        <v>441.6</v>
      </c>
      <c r="AU22" s="607">
        <f>+AT24</f>
        <v>441.6</v>
      </c>
      <c r="AV22" s="1237">
        <f>+AU24</f>
        <v>436.2</v>
      </c>
      <c r="AW22" s="317"/>
      <c r="AX22" s="1236">
        <f>+AW24</f>
        <v>436.2</v>
      </c>
      <c r="AY22" s="607">
        <f>+AX24</f>
        <v>436.2</v>
      </c>
      <c r="AZ22" s="607">
        <f>+AY24</f>
        <v>436.2</v>
      </c>
      <c r="BA22" s="1237">
        <f>+AZ24</f>
        <v>436.2</v>
      </c>
      <c r="BB22" s="317"/>
      <c r="BC22" s="1236">
        <f>BB24</f>
        <v>436.2</v>
      </c>
      <c r="BD22" s="607">
        <f>+BC24</f>
        <v>436.2</v>
      </c>
      <c r="BE22" s="607">
        <f>+BD24</f>
        <v>436.2</v>
      </c>
      <c r="BF22" s="1239">
        <v>1030.2</v>
      </c>
      <c r="BG22" s="317"/>
      <c r="BH22" s="1236">
        <f>BG24</f>
        <v>1030.2</v>
      </c>
      <c r="BI22" s="607">
        <f>+BH24</f>
        <v>1030.2</v>
      </c>
      <c r="BJ22" s="607">
        <f>+BI24</f>
        <v>1030.2</v>
      </c>
      <c r="BK22" s="1237">
        <f>+BJ24</f>
        <v>1030.2</v>
      </c>
      <c r="BL22" s="317"/>
      <c r="BM22" s="1236">
        <f>BL24</f>
        <v>1030.2</v>
      </c>
      <c r="BN22" s="607">
        <f>+BM24</f>
        <v>1030.2</v>
      </c>
      <c r="BO22" s="607">
        <f>+BN24</f>
        <v>1030.2</v>
      </c>
      <c r="BP22" s="1237">
        <f>+BO24</f>
        <v>1030.2</v>
      </c>
      <c r="BQ22" s="317"/>
      <c r="BR22" s="1236">
        <f>BQ24</f>
        <v>1030.2</v>
      </c>
      <c r="BS22" s="607">
        <f>+BR24</f>
        <v>1030.2</v>
      </c>
      <c r="BT22" s="607">
        <f>+BS24</f>
        <v>1030.2</v>
      </c>
      <c r="BU22" s="1237">
        <f>+BT24</f>
        <v>1030.2</v>
      </c>
      <c r="BV22" s="317"/>
      <c r="BW22" s="1236">
        <f>BV24</f>
        <v>1030.2</v>
      </c>
      <c r="BX22" s="607">
        <f>+BW24</f>
        <v>1030.2</v>
      </c>
      <c r="BY22" s="607">
        <f>+BX24</f>
        <v>1030.2</v>
      </c>
      <c r="BZ22" s="1237">
        <f>+BY24</f>
        <v>1030.2</v>
      </c>
      <c r="CA22" s="682"/>
      <c r="CB22" s="1236">
        <f>CA24</f>
        <v>1026.9349999999999</v>
      </c>
      <c r="CC22" s="607">
        <f>+CB24</f>
        <v>1026.9349999999999</v>
      </c>
      <c r="CD22" s="607">
        <f>+CC24</f>
        <v>1026.9349999999999</v>
      </c>
      <c r="CE22" s="1237">
        <f>+CD24</f>
        <v>1026.9349999999999</v>
      </c>
      <c r="CF22" s="763"/>
      <c r="CG22" s="1236">
        <f>CF24</f>
        <v>1010.5999999999999</v>
      </c>
      <c r="CH22" s="607">
        <f>+CG24</f>
        <v>1010.5999999999999</v>
      </c>
      <c r="CI22" s="607">
        <f>+CH24</f>
        <v>1010.5999999999999</v>
      </c>
      <c r="CJ22" s="1237">
        <f>+CI24</f>
        <v>1010.5999999999999</v>
      </c>
      <c r="CK22" s="607"/>
      <c r="CL22" s="1236">
        <f>CK24</f>
        <v>1010.5999999999999</v>
      </c>
      <c r="CM22" s="607">
        <f>+CL24</f>
        <v>1010.5999999999999</v>
      </c>
      <c r="CN22" s="607">
        <f>+CM24</f>
        <v>1010.5999999999999</v>
      </c>
      <c r="CO22" s="1237">
        <f>+CN24</f>
        <v>1010.5999999999999</v>
      </c>
      <c r="CP22" s="317"/>
      <c r="CQ22" s="1236">
        <f>CP24</f>
        <v>1010.5999999999999</v>
      </c>
      <c r="CR22" s="607">
        <f>+CQ24</f>
        <v>1010.5999999999999</v>
      </c>
      <c r="CS22" s="607">
        <f>+CR24</f>
        <v>1010.5999999999999</v>
      </c>
      <c r="CT22" s="1237">
        <f>+CS24</f>
        <v>1010.5999999999999</v>
      </c>
      <c r="CU22" s="317"/>
      <c r="CV22" s="1236">
        <f>CU24</f>
        <v>1010.5999999999999</v>
      </c>
      <c r="CW22" s="607">
        <f>+CV24</f>
        <v>1010.5999999999999</v>
      </c>
      <c r="CX22" s="607">
        <f>+CW24</f>
        <v>1010.5999999999999</v>
      </c>
      <c r="CY22" s="1237">
        <f>+CX24</f>
        <v>1010.5999999999999</v>
      </c>
      <c r="CZ22" s="317"/>
    </row>
    <row r="23" spans="1:104" ht="13.5" customHeight="1" outlineLevel="1">
      <c r="A23" s="305"/>
      <c r="B23" s="305" t="s">
        <v>181</v>
      </c>
      <c r="C23" s="305"/>
      <c r="D23" s="306"/>
      <c r="E23" s="306"/>
      <c r="F23" s="306"/>
      <c r="G23" s="326"/>
      <c r="H23" s="326"/>
      <c r="I23" s="306"/>
      <c r="J23" s="306"/>
      <c r="K23" s="306"/>
      <c r="L23" s="306"/>
      <c r="M23" s="306"/>
      <c r="N23" s="306"/>
      <c r="O23" s="306"/>
      <c r="P23" s="306"/>
      <c r="Q23" s="306"/>
      <c r="R23" s="306"/>
      <c r="S23" s="306"/>
      <c r="T23" s="306"/>
      <c r="U23" s="306"/>
      <c r="V23" s="306"/>
      <c r="W23" s="306"/>
      <c r="X23" s="306"/>
      <c r="Y23" s="306"/>
      <c r="Z23" s="306"/>
      <c r="AA23" s="306"/>
      <c r="AB23" s="306"/>
      <c r="AC23" s="306"/>
      <c r="AD23" s="306"/>
      <c r="AE23" s="306"/>
      <c r="AF23" s="306"/>
      <c r="AG23" s="306"/>
      <c r="AH23" s="306"/>
      <c r="AI23" s="306"/>
      <c r="AJ23" s="306"/>
      <c r="AK23" s="306"/>
      <c r="AL23" s="306"/>
      <c r="AM23" s="306"/>
      <c r="AN23" s="306"/>
      <c r="AO23" s="306"/>
      <c r="AP23" s="306"/>
      <c r="AQ23" s="316"/>
      <c r="AR23" s="316"/>
      <c r="AS23" s="1238">
        <v>0</v>
      </c>
      <c r="AT23" s="605">
        <v>0</v>
      </c>
      <c r="AU23" s="607">
        <f>AU24-AU22</f>
        <v>-5.4000000000000341</v>
      </c>
      <c r="AV23" s="1239">
        <v>0</v>
      </c>
      <c r="AW23" s="317"/>
      <c r="AX23" s="1238">
        <v>0</v>
      </c>
      <c r="AY23" s="605">
        <v>0</v>
      </c>
      <c r="AZ23" s="605">
        <v>0</v>
      </c>
      <c r="BA23" s="1239">
        <v>0</v>
      </c>
      <c r="BB23" s="317"/>
      <c r="BC23" s="1238">
        <v>0</v>
      </c>
      <c r="BD23" s="605">
        <v>0</v>
      </c>
      <c r="BE23" s="605">
        <v>0</v>
      </c>
      <c r="BF23" s="1239">
        <v>0</v>
      </c>
      <c r="BG23" s="317"/>
      <c r="BH23" s="1238">
        <v>0</v>
      </c>
      <c r="BI23" s="605">
        <v>0</v>
      </c>
      <c r="BJ23" s="605">
        <v>0</v>
      </c>
      <c r="BK23" s="1239">
        <v>0</v>
      </c>
      <c r="BL23" s="317"/>
      <c r="BM23" s="1238">
        <v>0</v>
      </c>
      <c r="BN23" s="605">
        <v>0</v>
      </c>
      <c r="BO23" s="605">
        <v>0</v>
      </c>
      <c r="BP23" s="1239">
        <v>0</v>
      </c>
      <c r="BQ23" s="317"/>
      <c r="BR23" s="1238">
        <v>0</v>
      </c>
      <c r="BS23" s="605">
        <v>0</v>
      </c>
      <c r="BT23" s="605">
        <v>0</v>
      </c>
      <c r="BU23" s="1239">
        <v>0</v>
      </c>
      <c r="BV23" s="317"/>
      <c r="BW23" s="1238">
        <v>0</v>
      </c>
      <c r="BX23" s="605">
        <v>0</v>
      </c>
      <c r="BY23" s="605">
        <v>0</v>
      </c>
      <c r="BZ23" s="1239">
        <v>-3.2650000000000001</v>
      </c>
      <c r="CA23" s="317"/>
      <c r="CB23" s="1238">
        <v>0</v>
      </c>
      <c r="CC23" s="605">
        <v>0</v>
      </c>
      <c r="CD23" s="605">
        <v>0</v>
      </c>
      <c r="CE23" s="1239">
        <v>-16.335000000000001</v>
      </c>
      <c r="CF23" s="607"/>
      <c r="CG23" s="1238">
        <v>0</v>
      </c>
      <c r="CH23" s="605">
        <v>0</v>
      </c>
      <c r="CI23" s="605">
        <v>0</v>
      </c>
      <c r="CJ23" s="1239">
        <v>0</v>
      </c>
      <c r="CK23" s="607"/>
      <c r="CL23" s="1238">
        <v>0</v>
      </c>
      <c r="CM23" s="605">
        <v>0</v>
      </c>
      <c r="CN23" s="605">
        <v>0</v>
      </c>
      <c r="CO23" s="1239">
        <v>0</v>
      </c>
      <c r="CP23" s="317"/>
      <c r="CQ23" s="1238">
        <v>0</v>
      </c>
      <c r="CR23" s="605">
        <v>0</v>
      </c>
      <c r="CS23" s="605">
        <v>0</v>
      </c>
      <c r="CT23" s="1239">
        <v>0</v>
      </c>
      <c r="CU23" s="317"/>
      <c r="CV23" s="1238">
        <v>0</v>
      </c>
      <c r="CW23" s="605">
        <v>0</v>
      </c>
      <c r="CX23" s="605">
        <v>0</v>
      </c>
      <c r="CY23" s="1239">
        <v>0</v>
      </c>
      <c r="CZ23" s="317"/>
    </row>
    <row r="24" spans="1:104" ht="13.5" customHeight="1" outlineLevel="1">
      <c r="A24" s="305"/>
      <c r="B24" s="305" t="s">
        <v>182</v>
      </c>
      <c r="C24" s="305"/>
      <c r="D24" s="306"/>
      <c r="E24" s="306"/>
      <c r="F24" s="306"/>
      <c r="G24" s="326"/>
      <c r="H24" s="326"/>
      <c r="I24" s="327"/>
      <c r="J24" s="327"/>
      <c r="K24" s="327"/>
      <c r="L24" s="327"/>
      <c r="M24" s="327"/>
      <c r="N24" s="327"/>
      <c r="O24" s="327"/>
      <c r="P24" s="327"/>
      <c r="Q24" s="327"/>
      <c r="R24" s="327"/>
      <c r="S24" s="327"/>
      <c r="T24" s="327"/>
      <c r="U24" s="327"/>
      <c r="V24" s="327"/>
      <c r="W24" s="327"/>
      <c r="X24" s="327"/>
      <c r="Y24" s="327"/>
      <c r="Z24" s="327"/>
      <c r="AA24" s="327"/>
      <c r="AB24" s="327"/>
      <c r="AC24" s="327"/>
      <c r="AD24" s="327"/>
      <c r="AE24" s="327"/>
      <c r="AF24" s="327"/>
      <c r="AG24" s="327"/>
      <c r="AH24" s="327"/>
      <c r="AI24" s="327"/>
      <c r="AJ24" s="327"/>
      <c r="AK24" s="327"/>
      <c r="AL24" s="327"/>
      <c r="AM24" s="327"/>
      <c r="AN24" s="327"/>
      <c r="AO24" s="327"/>
      <c r="AP24" s="327"/>
      <c r="AQ24" s="606">
        <v>441.6</v>
      </c>
      <c r="AR24" s="316">
        <f>+AQ24</f>
        <v>441.6</v>
      </c>
      <c r="AS24" s="1236">
        <f>+AS22+AS23</f>
        <v>441.6</v>
      </c>
      <c r="AT24" s="607">
        <f>+AT22+AT23</f>
        <v>441.6</v>
      </c>
      <c r="AU24" s="605">
        <v>436.2</v>
      </c>
      <c r="AV24" s="1237">
        <f>+AV22+AV23</f>
        <v>436.2</v>
      </c>
      <c r="AW24" s="607">
        <f>+AV24</f>
        <v>436.2</v>
      </c>
      <c r="AX24" s="1236">
        <f>+AX22+AX23</f>
        <v>436.2</v>
      </c>
      <c r="AY24" s="607">
        <f>+AY22+AY23</f>
        <v>436.2</v>
      </c>
      <c r="AZ24" s="607">
        <f>+AZ22+AZ23</f>
        <v>436.2</v>
      </c>
      <c r="BA24" s="1237">
        <f>+BA22+BA23</f>
        <v>436.2</v>
      </c>
      <c r="BB24" s="607">
        <f>+BA24</f>
        <v>436.2</v>
      </c>
      <c r="BC24" s="1236">
        <f>+BC22+BC23</f>
        <v>436.2</v>
      </c>
      <c r="BD24" s="607">
        <f>+BD22+BD23</f>
        <v>436.2</v>
      </c>
      <c r="BE24" s="607">
        <f>+BE22+BE23</f>
        <v>436.2</v>
      </c>
      <c r="BF24" s="1237">
        <f>+BF22+BF23</f>
        <v>1030.2</v>
      </c>
      <c r="BG24" s="607">
        <f>+BF24</f>
        <v>1030.2</v>
      </c>
      <c r="BH24" s="1236">
        <f>+BH22+BH23</f>
        <v>1030.2</v>
      </c>
      <c r="BI24" s="607">
        <f>+BI22+BI23</f>
        <v>1030.2</v>
      </c>
      <c r="BJ24" s="607">
        <f>+BJ22+BJ23</f>
        <v>1030.2</v>
      </c>
      <c r="BK24" s="1237">
        <f>+BK22+BK23</f>
        <v>1030.2</v>
      </c>
      <c r="BL24" s="607">
        <f>+BK24</f>
        <v>1030.2</v>
      </c>
      <c r="BM24" s="1236">
        <f>+BM22+BM23</f>
        <v>1030.2</v>
      </c>
      <c r="BN24" s="607">
        <f>+BN22+BN23</f>
        <v>1030.2</v>
      </c>
      <c r="BO24" s="607">
        <f>+BO22+BO23</f>
        <v>1030.2</v>
      </c>
      <c r="BP24" s="1237">
        <f>+BP22+BP23</f>
        <v>1030.2</v>
      </c>
      <c r="BQ24" s="607">
        <f>+BP24</f>
        <v>1030.2</v>
      </c>
      <c r="BR24" s="1236">
        <f>+BR22+BR23</f>
        <v>1030.2</v>
      </c>
      <c r="BS24" s="607">
        <f>+BS22+BS23</f>
        <v>1030.2</v>
      </c>
      <c r="BT24" s="607">
        <f>+BT22+BT23</f>
        <v>1030.2</v>
      </c>
      <c r="BU24" s="1237">
        <f>+BU22+BU23</f>
        <v>1030.2</v>
      </c>
      <c r="BV24" s="607">
        <f>+BU24</f>
        <v>1030.2</v>
      </c>
      <c r="BW24" s="1236">
        <f>+BW22+BW23</f>
        <v>1030.2</v>
      </c>
      <c r="BX24" s="607">
        <f>+BX22+BX23</f>
        <v>1030.2</v>
      </c>
      <c r="BY24" s="607">
        <f>+BY22+BY23</f>
        <v>1030.2</v>
      </c>
      <c r="BZ24" s="1237">
        <f>+BZ22+BZ23</f>
        <v>1026.9349999999999</v>
      </c>
      <c r="CA24" s="607">
        <f>+BZ24</f>
        <v>1026.9349999999999</v>
      </c>
      <c r="CB24" s="1236">
        <f>+CB22+CB23</f>
        <v>1026.9349999999999</v>
      </c>
      <c r="CC24" s="607">
        <f>+CC22+CC23</f>
        <v>1026.9349999999999</v>
      </c>
      <c r="CD24" s="607">
        <f>+CD22+CD23</f>
        <v>1026.9349999999999</v>
      </c>
      <c r="CE24" s="1237">
        <f>+CE22+CE23</f>
        <v>1010.5999999999999</v>
      </c>
      <c r="CF24" s="607">
        <f>+CE24</f>
        <v>1010.5999999999999</v>
      </c>
      <c r="CG24" s="1281">
        <f>+CG22+CG23</f>
        <v>1010.5999999999999</v>
      </c>
      <c r="CH24" s="681">
        <f>+CH22+CH23</f>
        <v>1010.5999999999999</v>
      </c>
      <c r="CI24" s="681">
        <f>+CI22+CI23</f>
        <v>1010.5999999999999</v>
      </c>
      <c r="CJ24" s="1284">
        <f>+CJ22+CJ23</f>
        <v>1010.5999999999999</v>
      </c>
      <c r="CK24" s="607">
        <f>+CJ24</f>
        <v>1010.5999999999999</v>
      </c>
      <c r="CL24" s="1236">
        <f>+CL22+CL23</f>
        <v>1010.5999999999999</v>
      </c>
      <c r="CM24" s="607">
        <f>+CM22+CM23</f>
        <v>1010.5999999999999</v>
      </c>
      <c r="CN24" s="607">
        <f>+CN22+CN23</f>
        <v>1010.5999999999999</v>
      </c>
      <c r="CO24" s="1237">
        <f>+CO22+CO23</f>
        <v>1010.5999999999999</v>
      </c>
      <c r="CP24" s="607">
        <f>+CO24</f>
        <v>1010.5999999999999</v>
      </c>
      <c r="CQ24" s="1236">
        <f>+CQ22+CQ23</f>
        <v>1010.5999999999999</v>
      </c>
      <c r="CR24" s="607">
        <f>+CR22+CR23</f>
        <v>1010.5999999999999</v>
      </c>
      <c r="CS24" s="607">
        <f>+CS22+CS23</f>
        <v>1010.5999999999999</v>
      </c>
      <c r="CT24" s="1237">
        <f>+CT22+CT23</f>
        <v>1010.5999999999999</v>
      </c>
      <c r="CU24" s="607">
        <f>+CT24</f>
        <v>1010.5999999999999</v>
      </c>
      <c r="CV24" s="1236">
        <f>+CV22+CV23</f>
        <v>1010.5999999999999</v>
      </c>
      <c r="CW24" s="607">
        <f>+CW22+CW23</f>
        <v>1010.5999999999999</v>
      </c>
      <c r="CX24" s="607">
        <f>+CX22+CX23</f>
        <v>1010.5999999999999</v>
      </c>
      <c r="CY24" s="1237">
        <f>+CY22+CY23</f>
        <v>1010.5999999999999</v>
      </c>
      <c r="CZ24" s="607">
        <f>+CY24</f>
        <v>1010.5999999999999</v>
      </c>
    </row>
    <row r="25" spans="1:104" ht="13.5" customHeight="1" outlineLevel="1">
      <c r="A25" s="305"/>
      <c r="B25" s="305" t="s">
        <v>183</v>
      </c>
      <c r="C25" s="305"/>
      <c r="D25" s="306"/>
      <c r="E25" s="306"/>
      <c r="F25" s="306"/>
      <c r="G25" s="326"/>
      <c r="H25" s="326"/>
      <c r="I25" s="306"/>
      <c r="J25" s="306"/>
      <c r="K25" s="306"/>
      <c r="L25" s="306"/>
      <c r="M25" s="306"/>
      <c r="N25" s="306"/>
      <c r="O25" s="306"/>
      <c r="P25" s="306"/>
      <c r="Q25" s="306"/>
      <c r="R25" s="306"/>
      <c r="S25" s="306"/>
      <c r="T25" s="306"/>
      <c r="U25" s="306"/>
      <c r="V25" s="306"/>
      <c r="W25" s="306"/>
      <c r="X25" s="306"/>
      <c r="Y25" s="306"/>
      <c r="Z25" s="306"/>
      <c r="AA25" s="306"/>
      <c r="AB25" s="306"/>
      <c r="AC25" s="306"/>
      <c r="AD25" s="306"/>
      <c r="AE25" s="306"/>
      <c r="AF25" s="306"/>
      <c r="AG25" s="306"/>
      <c r="AH25" s="306"/>
      <c r="AI25" s="306"/>
      <c r="AJ25" s="306"/>
      <c r="AK25" s="306"/>
      <c r="AL25" s="306"/>
      <c r="AM25" s="306"/>
      <c r="AN25" s="306"/>
      <c r="AO25" s="306"/>
      <c r="AP25" s="306"/>
      <c r="AQ25" s="316"/>
      <c r="AR25" s="316"/>
      <c r="AS25" s="1236">
        <f>+AVERAGE(AS22,AS24)</f>
        <v>441.6</v>
      </c>
      <c r="AT25" s="607">
        <f>+AVERAGE(AT22,AT24)</f>
        <v>441.6</v>
      </c>
      <c r="AU25" s="607">
        <f>+AVERAGE(AU22,AU24)</f>
        <v>438.9</v>
      </c>
      <c r="AV25" s="1237">
        <f>+AVERAGE(AV22,AV24)</f>
        <v>436.2</v>
      </c>
      <c r="AW25" s="317"/>
      <c r="AX25" s="1236">
        <f>+AVERAGE(AX22,AX24)</f>
        <v>436.2</v>
      </c>
      <c r="AY25" s="607">
        <f>+AVERAGE(AY22,AY24)</f>
        <v>436.2</v>
      </c>
      <c r="AZ25" s="607">
        <f>+AVERAGE(AZ22,AZ24)</f>
        <v>436.2</v>
      </c>
      <c r="BA25" s="1237">
        <f>+AVERAGE(BA22,BA24)</f>
        <v>436.2</v>
      </c>
      <c r="BB25" s="317"/>
      <c r="BC25" s="1236">
        <f>+AVERAGE(BC22,BC24)</f>
        <v>436.2</v>
      </c>
      <c r="BD25" s="607">
        <f>+AVERAGE(BD22,BD24)</f>
        <v>436.2</v>
      </c>
      <c r="BE25" s="607">
        <f>+AVERAGE(BE22,BE24)</f>
        <v>436.2</v>
      </c>
      <c r="BF25" s="1237">
        <f>+AVERAGE(BF22,BF24)</f>
        <v>1030.2</v>
      </c>
      <c r="BG25" s="317"/>
      <c r="BH25" s="1236">
        <f>+AVERAGE(BH22,BH24)</f>
        <v>1030.2</v>
      </c>
      <c r="BI25" s="607">
        <f>+AVERAGE(BI22,BI24)</f>
        <v>1030.2</v>
      </c>
      <c r="BJ25" s="607">
        <f>+AVERAGE(BJ22,BJ24)</f>
        <v>1030.2</v>
      </c>
      <c r="BK25" s="1237">
        <f>+AVERAGE(BK22,BK24)</f>
        <v>1030.2</v>
      </c>
      <c r="BL25" s="317"/>
      <c r="BM25" s="1236">
        <f>+AVERAGE(BM22,BM24)</f>
        <v>1030.2</v>
      </c>
      <c r="BN25" s="607">
        <f>+AVERAGE(BN22,BN24)</f>
        <v>1030.2</v>
      </c>
      <c r="BO25" s="607">
        <f>+AVERAGE(BO22,BO24)</f>
        <v>1030.2</v>
      </c>
      <c r="BP25" s="1237">
        <f>+AVERAGE(BP22,BP24)</f>
        <v>1030.2</v>
      </c>
      <c r="BQ25" s="317"/>
      <c r="BR25" s="1236">
        <f>+AVERAGE(BR22,BR24)</f>
        <v>1030.2</v>
      </c>
      <c r="BS25" s="607">
        <f>+AVERAGE(BS22,BS24)</f>
        <v>1030.2</v>
      </c>
      <c r="BT25" s="607">
        <f>+AVERAGE(BT22,BT24)</f>
        <v>1030.2</v>
      </c>
      <c r="BU25" s="1237">
        <f>+AVERAGE(BU22,BU24)</f>
        <v>1030.2</v>
      </c>
      <c r="BV25" s="317"/>
      <c r="BW25" s="1236">
        <f>+AVERAGE(BW22,BW24)</f>
        <v>1030.2</v>
      </c>
      <c r="BX25" s="607">
        <f>+AVERAGE(BX22,BX24)</f>
        <v>1030.2</v>
      </c>
      <c r="BY25" s="607">
        <f>+AVERAGE(BY22,BY24)</f>
        <v>1030.2</v>
      </c>
      <c r="BZ25" s="1237">
        <f>+AVERAGE(BZ22,BZ24)</f>
        <v>1028.5675000000001</v>
      </c>
      <c r="CA25" s="317"/>
      <c r="CB25" s="1236">
        <f>+AVERAGE(CB22,CB24)</f>
        <v>1026.9349999999999</v>
      </c>
      <c r="CC25" s="607">
        <f>+AVERAGE(CC22,CC24)</f>
        <v>1026.9349999999999</v>
      </c>
      <c r="CD25" s="607">
        <f>+AVERAGE(CD22,CD24)</f>
        <v>1026.9349999999999</v>
      </c>
      <c r="CE25" s="1237">
        <f>+AVERAGE(CE22,CE24)</f>
        <v>1018.7674999999999</v>
      </c>
      <c r="CF25" s="607"/>
      <c r="CG25" s="1236">
        <f>+AVERAGE(CG22,CG24)</f>
        <v>1010.5999999999999</v>
      </c>
      <c r="CH25" s="607">
        <f>+AVERAGE(CH22,CH24)</f>
        <v>1010.5999999999999</v>
      </c>
      <c r="CI25" s="607">
        <f>+AVERAGE(CI22,CI24)</f>
        <v>1010.5999999999999</v>
      </c>
      <c r="CJ25" s="1237">
        <f>+AVERAGE(CJ22,CJ24)</f>
        <v>1010.5999999999999</v>
      </c>
      <c r="CK25" s="607"/>
      <c r="CL25" s="1236">
        <f>+AVERAGE(CL22,CL24)</f>
        <v>1010.5999999999999</v>
      </c>
      <c r="CM25" s="607">
        <f>+AVERAGE(CM22,CM24)</f>
        <v>1010.5999999999999</v>
      </c>
      <c r="CN25" s="607">
        <f>+AVERAGE(CN22,CN24)</f>
        <v>1010.5999999999999</v>
      </c>
      <c r="CO25" s="1237">
        <f>+AVERAGE(CO22,CO24)</f>
        <v>1010.5999999999999</v>
      </c>
      <c r="CP25" s="317"/>
      <c r="CQ25" s="1236">
        <f>+AVERAGE(CQ22,CQ24)</f>
        <v>1010.5999999999999</v>
      </c>
      <c r="CR25" s="607">
        <f>+AVERAGE(CR22,CR24)</f>
        <v>1010.5999999999999</v>
      </c>
      <c r="CS25" s="607">
        <f>+AVERAGE(CS22,CS24)</f>
        <v>1010.5999999999999</v>
      </c>
      <c r="CT25" s="1237">
        <f>+AVERAGE(CT22,CT24)</f>
        <v>1010.5999999999999</v>
      </c>
      <c r="CU25" s="317"/>
      <c r="CV25" s="1236">
        <f>+AVERAGE(CV22,CV24)</f>
        <v>1010.5999999999999</v>
      </c>
      <c r="CW25" s="607">
        <f>+AVERAGE(CW22,CW24)</f>
        <v>1010.5999999999999</v>
      </c>
      <c r="CX25" s="607">
        <f>+AVERAGE(CX22,CX24)</f>
        <v>1010.5999999999999</v>
      </c>
      <c r="CY25" s="1237">
        <f>+AVERAGE(CY22,CY24)</f>
        <v>1010.5999999999999</v>
      </c>
      <c r="CZ25" s="317"/>
    </row>
    <row r="26" spans="1:104" ht="13.5" customHeight="1" outlineLevel="1">
      <c r="A26" s="305"/>
      <c r="B26" s="305" t="s">
        <v>575</v>
      </c>
      <c r="C26" s="305"/>
      <c r="D26" s="306"/>
      <c r="E26" s="306"/>
      <c r="F26" s="306"/>
      <c r="G26" s="326"/>
      <c r="H26" s="326"/>
      <c r="I26" s="306"/>
      <c r="J26" s="306"/>
      <c r="K26" s="306"/>
      <c r="L26" s="306"/>
      <c r="M26" s="306"/>
      <c r="N26" s="306"/>
      <c r="O26" s="306"/>
      <c r="P26" s="306"/>
      <c r="Q26" s="306"/>
      <c r="R26" s="306"/>
      <c r="S26" s="306"/>
      <c r="T26" s="306"/>
      <c r="U26" s="306"/>
      <c r="V26" s="306"/>
      <c r="W26" s="306"/>
      <c r="X26" s="306"/>
      <c r="Y26" s="306"/>
      <c r="Z26" s="306"/>
      <c r="AA26" s="306"/>
      <c r="AB26" s="306"/>
      <c r="AC26" s="306"/>
      <c r="AD26" s="306"/>
      <c r="AE26" s="306"/>
      <c r="AF26" s="306"/>
      <c r="AG26" s="306"/>
      <c r="AH26" s="306"/>
      <c r="AI26" s="306"/>
      <c r="AJ26" s="306"/>
      <c r="AK26" s="306"/>
      <c r="AL26" s="306"/>
      <c r="AM26" s="306"/>
      <c r="AN26" s="306"/>
      <c r="AO26" s="306"/>
      <c r="AP26" s="306"/>
      <c r="AQ26" s="316"/>
      <c r="AR26" s="316"/>
      <c r="AS26" s="1236">
        <f>+AS$21*AS25/4</f>
        <v>0.28759417180327862</v>
      </c>
      <c r="AT26" s="607">
        <f>+AT$21*AT25/4</f>
        <v>0.27438200655737716</v>
      </c>
      <c r="AU26" s="607">
        <f>+AU$21*AU25/4</f>
        <v>0.25489871859374996</v>
      </c>
      <c r="AV26" s="1237">
        <f>+AV$21*AV25/4</f>
        <v>0.19903698737704906</v>
      </c>
      <c r="AW26" s="317"/>
      <c r="AX26" s="1236">
        <f>+AX$21*AX25/4</f>
        <v>0.2005622572131148</v>
      </c>
      <c r="AY26" s="607">
        <f>+AY$21*AY25/4</f>
        <v>0.30432047188524591</v>
      </c>
      <c r="AZ26" s="607">
        <f>+AZ$21*AZ25/4</f>
        <v>0.2733179818867924</v>
      </c>
      <c r="BA26" s="1237">
        <f>+BA$21*BA25/4</f>
        <v>0.18149191499999998</v>
      </c>
      <c r="BB26" s="317"/>
      <c r="BC26" s="1236">
        <f>+BC$21*BC25/4</f>
        <v>0.19926269631109092</v>
      </c>
      <c r="BD26" s="607">
        <f>+BD$21*BD25/4</f>
        <v>0.33754246500000001</v>
      </c>
      <c r="BE26" s="607">
        <f>+BE$21*BE25/4</f>
        <v>0.32718271500000001</v>
      </c>
      <c r="BF26" s="1237">
        <f>+BF$21*BF25/4</f>
        <v>0.772727265</v>
      </c>
      <c r="BG26" s="317"/>
      <c r="BH26" s="1236">
        <f>+BH$21*BH25/4</f>
        <v>0.772727265</v>
      </c>
      <c r="BI26" s="607">
        <f>+BI$21*BI25/4</f>
        <v>0.772727265</v>
      </c>
      <c r="BJ26" s="607">
        <f>+BJ$21*BJ25/4</f>
        <v>0.772727265</v>
      </c>
      <c r="BK26" s="1237">
        <f>+BK$21*BK25/4</f>
        <v>0.772727265</v>
      </c>
      <c r="BL26" s="317"/>
      <c r="BM26" s="1236">
        <f>+BM$21*BM25/4</f>
        <v>1.287827265</v>
      </c>
      <c r="BN26" s="607">
        <f>+BN$21*BN25/4</f>
        <v>1.287827265</v>
      </c>
      <c r="BO26" s="607">
        <f>+BO$21*BO25/4</f>
        <v>1.287827265</v>
      </c>
      <c r="BP26" s="1237">
        <f>+BP$21*BP25/4</f>
        <v>1.287827265</v>
      </c>
      <c r="BQ26" s="317"/>
      <c r="BR26" s="1236">
        <f>+BR$21*BR25/4</f>
        <v>1.287827265</v>
      </c>
      <c r="BS26" s="607">
        <f>+BS$21*BS25/4</f>
        <v>1.287827265</v>
      </c>
      <c r="BT26" s="607">
        <f>+BT$21*BT25/4</f>
        <v>1.287827265</v>
      </c>
      <c r="BU26" s="1237">
        <f>+BU$21*BU25/4</f>
        <v>1.287827265</v>
      </c>
      <c r="BV26" s="317"/>
      <c r="BW26" s="1236">
        <f>+BW$21*BW25/4</f>
        <v>1.287827265</v>
      </c>
      <c r="BX26" s="607">
        <f>+BX$21*BX25/4</f>
        <v>1.287827265</v>
      </c>
      <c r="BY26" s="607">
        <f>+BY$21*BY25/4</f>
        <v>1.287827265</v>
      </c>
      <c r="BZ26" s="1237">
        <f>+BZ$21*BZ25/4</f>
        <v>1.2857865175625001</v>
      </c>
      <c r="CA26" s="317"/>
      <c r="CB26" s="1236">
        <f>+CB$21*CB25/4</f>
        <v>1.2837457701249999</v>
      </c>
      <c r="CC26" s="607">
        <f>+CC$21*CC25/4</f>
        <v>1.2837457701249999</v>
      </c>
      <c r="CD26" s="607">
        <f>+CD$21*CD25/4</f>
        <v>1.2837457701249999</v>
      </c>
      <c r="CE26" s="1237">
        <f>+CE$21*CE25/4</f>
        <v>1.2735357825625</v>
      </c>
      <c r="CF26" s="607"/>
      <c r="CG26" s="1236">
        <f>+CG$21*CG25/4</f>
        <v>1.2633257949999999</v>
      </c>
      <c r="CH26" s="607">
        <f>+CH$21*CH25/4</f>
        <v>1.2633257949999999</v>
      </c>
      <c r="CI26" s="607">
        <f>+CI$21*CI25/4</f>
        <v>1.2633257949999999</v>
      </c>
      <c r="CJ26" s="1237">
        <f>+CJ$21*CJ25/4</f>
        <v>1.2633257949999999</v>
      </c>
      <c r="CK26" s="607"/>
      <c r="CL26" s="1236">
        <f>+CL$21*CL25/4</f>
        <v>1.2633257949999999</v>
      </c>
      <c r="CM26" s="607">
        <f>+CM$21*CM25/4</f>
        <v>1.2633257949999999</v>
      </c>
      <c r="CN26" s="607">
        <f>+CN$21*CN25/4</f>
        <v>1.2633257949999999</v>
      </c>
      <c r="CO26" s="1237">
        <f>+CO$21*CO25/4</f>
        <v>1.2633257949999999</v>
      </c>
      <c r="CP26" s="317"/>
      <c r="CQ26" s="1236">
        <f>+CQ$21*CQ25/4</f>
        <v>1.2633257949999999</v>
      </c>
      <c r="CR26" s="607">
        <f>+CR$21*CR25/4</f>
        <v>1.2633257949999999</v>
      </c>
      <c r="CS26" s="607">
        <f>+CS$21*CS25/4</f>
        <v>1.2633257949999999</v>
      </c>
      <c r="CT26" s="1237">
        <f>+CT$21*CT25/4</f>
        <v>1.2633257949999999</v>
      </c>
      <c r="CU26" s="317"/>
      <c r="CV26" s="1236">
        <f>+CV$21*CV25/4</f>
        <v>1.2633257949999999</v>
      </c>
      <c r="CW26" s="607">
        <f>+CW$21*CW25/4</f>
        <v>1.2633257949999999</v>
      </c>
      <c r="CX26" s="607">
        <f>+CX$21*CX25/4</f>
        <v>1.2633257949999999</v>
      </c>
      <c r="CY26" s="1237">
        <f>+CY$21*CY25/4</f>
        <v>1.2633257949999999</v>
      </c>
      <c r="CZ26" s="317"/>
    </row>
    <row r="27" spans="1:104" ht="13.5" customHeight="1" outlineLevel="1">
      <c r="A27" s="305"/>
      <c r="B27" s="305" t="s">
        <v>184</v>
      </c>
      <c r="C27" s="305"/>
      <c r="D27" s="306"/>
      <c r="E27" s="306"/>
      <c r="F27" s="306"/>
      <c r="G27" s="306"/>
      <c r="H27" s="306"/>
      <c r="I27" s="306"/>
      <c r="J27" s="306"/>
      <c r="K27" s="306"/>
      <c r="L27" s="306"/>
      <c r="M27" s="306"/>
      <c r="N27" s="306"/>
      <c r="O27" s="306"/>
      <c r="P27" s="306"/>
      <c r="Q27" s="306"/>
      <c r="R27" s="306"/>
      <c r="S27" s="306"/>
      <c r="T27" s="306"/>
      <c r="U27" s="306"/>
      <c r="V27" s="306"/>
      <c r="W27" s="306"/>
      <c r="X27" s="306"/>
      <c r="Y27" s="306"/>
      <c r="Z27" s="306"/>
      <c r="AA27" s="306"/>
      <c r="AB27" s="306"/>
      <c r="AC27" s="306"/>
      <c r="AD27" s="306"/>
      <c r="AE27" s="306"/>
      <c r="AF27" s="306"/>
      <c r="AG27" s="306"/>
      <c r="AH27" s="306"/>
      <c r="AI27" s="306"/>
      <c r="AJ27" s="306"/>
      <c r="AK27" s="306"/>
      <c r="AL27" s="306"/>
      <c r="AM27" s="306"/>
      <c r="AN27" s="306"/>
      <c r="AO27" s="306"/>
      <c r="AP27" s="306"/>
      <c r="AQ27" s="316"/>
      <c r="AR27" s="316"/>
      <c r="AS27" s="1240"/>
      <c r="AT27" s="607">
        <f>+AS26+AT26</f>
        <v>0.56197617836065583</v>
      </c>
      <c r="AU27" s="307"/>
      <c r="AV27" s="1237">
        <f>+AU26+AV26</f>
        <v>0.45393570597079902</v>
      </c>
      <c r="AW27" s="307"/>
      <c r="AX27" s="1240"/>
      <c r="AY27" s="607">
        <f>+AX26+AY26</f>
        <v>0.50488272909836074</v>
      </c>
      <c r="AZ27" s="307"/>
      <c r="BA27" s="1237">
        <f>+AZ26+BA26</f>
        <v>0.45480989688679241</v>
      </c>
      <c r="BB27" s="307"/>
      <c r="BC27" s="1240"/>
      <c r="BD27" s="607">
        <f>+BC26+BD26</f>
        <v>0.53680516131109091</v>
      </c>
      <c r="BE27" s="307"/>
      <c r="BF27" s="1237">
        <f>+BE26+BF26</f>
        <v>1.0999099800000001</v>
      </c>
      <c r="BG27" s="307"/>
      <c r="BH27" s="1240"/>
      <c r="BI27" s="607">
        <f>+BH26+BI26</f>
        <v>1.54545453</v>
      </c>
      <c r="BJ27" s="307"/>
      <c r="BK27" s="1237">
        <f>+BJ26+BK26</f>
        <v>1.54545453</v>
      </c>
      <c r="BL27" s="307"/>
      <c r="BM27" s="1240"/>
      <c r="BN27" s="607">
        <f>+BM26+BN26</f>
        <v>2.57565453</v>
      </c>
      <c r="BO27" s="307"/>
      <c r="BP27" s="1237">
        <f>+BO26+BP26</f>
        <v>2.57565453</v>
      </c>
      <c r="BQ27" s="307"/>
      <c r="BR27" s="1240"/>
      <c r="BS27" s="607">
        <f>+BR26+BS26</f>
        <v>2.57565453</v>
      </c>
      <c r="BT27" s="307"/>
      <c r="BU27" s="1237">
        <f>+BT26+BU26</f>
        <v>2.57565453</v>
      </c>
      <c r="BV27" s="307"/>
      <c r="BW27" s="1240"/>
      <c r="BX27" s="607">
        <f>+BW26+BX26</f>
        <v>2.57565453</v>
      </c>
      <c r="BY27" s="307"/>
      <c r="BZ27" s="1237">
        <f>+BY26+BZ26</f>
        <v>2.5736137825625001</v>
      </c>
      <c r="CA27" s="307"/>
      <c r="CB27" s="1240"/>
      <c r="CC27" s="607">
        <f>+CB26+CC26</f>
        <v>2.5674915402499998</v>
      </c>
      <c r="CD27" s="307"/>
      <c r="CE27" s="1237">
        <f>+CD26+CE26</f>
        <v>2.5572815526874999</v>
      </c>
      <c r="CF27" s="762"/>
      <c r="CG27" s="1280"/>
      <c r="CH27" s="762">
        <f>+CG26+CH26</f>
        <v>2.5266515899999997</v>
      </c>
      <c r="CI27" s="307"/>
      <c r="CJ27" s="1237">
        <f>+CI26+CJ26</f>
        <v>2.5266515899999997</v>
      </c>
      <c r="CK27" s="762"/>
      <c r="CL27" s="1240"/>
      <c r="CM27" s="607">
        <f>+CL26+CM26</f>
        <v>2.5266515899999997</v>
      </c>
      <c r="CN27" s="307"/>
      <c r="CO27" s="1237">
        <f>+CN26+CO26</f>
        <v>2.5266515899999997</v>
      </c>
      <c r="CP27" s="307"/>
      <c r="CQ27" s="1240"/>
      <c r="CR27" s="607">
        <f>+CQ26+CR26</f>
        <v>2.5266515899999997</v>
      </c>
      <c r="CS27" s="307"/>
      <c r="CT27" s="1237">
        <f>+CS26+CT26</f>
        <v>2.5266515899999997</v>
      </c>
      <c r="CU27" s="307"/>
      <c r="CV27" s="1240"/>
      <c r="CW27" s="607">
        <f>+CV26+CW26</f>
        <v>2.5266515899999997</v>
      </c>
      <c r="CX27" s="307"/>
      <c r="CY27" s="1237">
        <f>+CX26+CY26</f>
        <v>2.5266515899999997</v>
      </c>
      <c r="CZ27" s="307"/>
    </row>
    <row r="28" spans="1:104" ht="6.2" customHeight="1" outlineLevel="1">
      <c r="A28" s="305"/>
      <c r="B28" s="305"/>
      <c r="C28" s="305"/>
      <c r="D28" s="306"/>
      <c r="E28" s="306"/>
      <c r="F28" s="306"/>
      <c r="G28" s="306"/>
      <c r="H28" s="306"/>
      <c r="I28" s="306"/>
      <c r="J28" s="306"/>
      <c r="K28" s="306"/>
      <c r="L28" s="306"/>
      <c r="M28" s="306"/>
      <c r="N28" s="306"/>
      <c r="O28" s="306"/>
      <c r="P28" s="306"/>
      <c r="Q28" s="306"/>
      <c r="R28" s="306"/>
      <c r="S28" s="306"/>
      <c r="T28" s="306"/>
      <c r="U28" s="306"/>
      <c r="V28" s="306"/>
      <c r="W28" s="306"/>
      <c r="X28" s="306"/>
      <c r="Y28" s="306"/>
      <c r="Z28" s="306"/>
      <c r="AA28" s="306"/>
      <c r="AB28" s="306"/>
      <c r="AC28" s="306"/>
      <c r="AD28" s="306"/>
      <c r="AE28" s="306"/>
      <c r="AF28" s="306"/>
      <c r="AG28" s="306"/>
      <c r="AH28" s="306"/>
      <c r="AI28" s="306"/>
      <c r="AJ28" s="306"/>
      <c r="AK28" s="306"/>
      <c r="AL28" s="306"/>
      <c r="AM28" s="306"/>
      <c r="AN28" s="306"/>
      <c r="AO28" s="306"/>
      <c r="AP28" s="306"/>
      <c r="AQ28" s="316"/>
      <c r="AR28" s="316"/>
      <c r="AS28" s="1232"/>
      <c r="AT28" s="317"/>
      <c r="AU28" s="317"/>
      <c r="AV28" s="1233"/>
      <c r="AW28" s="317"/>
      <c r="AX28" s="1232"/>
      <c r="AY28" s="317"/>
      <c r="AZ28" s="317"/>
      <c r="BA28" s="1233"/>
      <c r="BB28" s="317"/>
      <c r="BC28" s="1232"/>
      <c r="BD28" s="317"/>
      <c r="BE28" s="317"/>
      <c r="BF28" s="1233"/>
      <c r="BG28" s="317"/>
      <c r="BH28" s="1232"/>
      <c r="BI28" s="317"/>
      <c r="BJ28" s="317"/>
      <c r="BK28" s="1233"/>
      <c r="BL28" s="317"/>
      <c r="BM28" s="1232"/>
      <c r="BN28" s="317"/>
      <c r="BO28" s="317"/>
      <c r="BP28" s="1233"/>
      <c r="BQ28" s="317"/>
      <c r="BR28" s="1232"/>
      <c r="BS28" s="317"/>
      <c r="BT28" s="317"/>
      <c r="BU28" s="1233"/>
      <c r="BV28" s="317"/>
      <c r="BW28" s="1232"/>
      <c r="BX28" s="317"/>
      <c r="BY28" s="317"/>
      <c r="BZ28" s="1233"/>
      <c r="CA28" s="317"/>
      <c r="CB28" s="1232"/>
      <c r="CC28" s="317"/>
      <c r="CD28" s="317"/>
      <c r="CE28" s="1237"/>
      <c r="CF28" s="607"/>
      <c r="CG28" s="1236"/>
      <c r="CH28" s="607"/>
      <c r="CI28" s="317"/>
      <c r="CJ28" s="1237"/>
      <c r="CK28" s="607"/>
      <c r="CL28" s="1232"/>
      <c r="CM28" s="317"/>
      <c r="CN28" s="317"/>
      <c r="CO28" s="1233"/>
      <c r="CP28" s="317"/>
      <c r="CQ28" s="1232"/>
      <c r="CR28" s="317"/>
      <c r="CS28" s="317"/>
      <c r="CT28" s="1233"/>
      <c r="CU28" s="317"/>
      <c r="CV28" s="1232"/>
      <c r="CW28" s="317"/>
      <c r="CX28" s="317"/>
      <c r="CY28" s="1233"/>
      <c r="CZ28" s="317"/>
    </row>
    <row r="29" spans="1:104" ht="13.5" customHeight="1" outlineLevel="2">
      <c r="A29" s="315" t="s">
        <v>12</v>
      </c>
      <c r="B29" s="305"/>
      <c r="C29" s="305"/>
      <c r="D29" s="306"/>
      <c r="E29" s="306"/>
      <c r="F29" s="306"/>
      <c r="G29" s="333">
        <v>0.06</v>
      </c>
      <c r="H29" s="324">
        <v>41194</v>
      </c>
      <c r="I29" s="306"/>
      <c r="J29" s="306"/>
      <c r="K29" s="306"/>
      <c r="L29" s="306"/>
      <c r="M29" s="306"/>
      <c r="N29" s="306"/>
      <c r="O29" s="306"/>
      <c r="P29" s="306"/>
      <c r="Q29" s="306"/>
      <c r="R29" s="306"/>
      <c r="S29" s="306"/>
      <c r="T29" s="306"/>
      <c r="U29" s="306"/>
      <c r="V29" s="306"/>
      <c r="W29" s="306"/>
      <c r="X29" s="306"/>
      <c r="Y29" s="306"/>
      <c r="Z29" s="306"/>
      <c r="AA29" s="306"/>
      <c r="AB29" s="306"/>
      <c r="AC29" s="306"/>
      <c r="AD29" s="306"/>
      <c r="AE29" s="306"/>
      <c r="AF29" s="306"/>
      <c r="AG29" s="306"/>
      <c r="AH29" s="306"/>
      <c r="AI29" s="306"/>
      <c r="AJ29" s="306"/>
      <c r="AK29" s="306"/>
      <c r="AL29" s="306"/>
      <c r="AM29" s="306"/>
      <c r="AN29" s="306"/>
      <c r="AO29" s="306"/>
      <c r="AP29" s="306"/>
      <c r="AQ29" s="332"/>
      <c r="AR29" s="332"/>
      <c r="AS29" s="1240"/>
      <c r="AT29" s="307"/>
      <c r="AU29" s="307"/>
      <c r="AV29" s="1241"/>
      <c r="AW29" s="307"/>
      <c r="AX29" s="1240"/>
      <c r="AY29" s="307"/>
      <c r="AZ29" s="307"/>
      <c r="BA29" s="1241"/>
      <c r="BB29" s="307"/>
      <c r="BC29" s="1240"/>
      <c r="BD29" s="307"/>
      <c r="BE29" s="307"/>
      <c r="BF29" s="1241"/>
      <c r="BG29" s="307"/>
      <c r="BH29" s="1240"/>
      <c r="BI29" s="307"/>
      <c r="BJ29" s="307"/>
      <c r="BK29" s="1241"/>
      <c r="BL29" s="307"/>
      <c r="BM29" s="1240"/>
      <c r="BN29" s="307"/>
      <c r="BO29" s="307"/>
      <c r="BP29" s="1241"/>
      <c r="BQ29" s="307"/>
      <c r="BR29" s="1240"/>
      <c r="BS29" s="307"/>
      <c r="BT29" s="307"/>
      <c r="BU29" s="1241"/>
      <c r="BV29" s="307"/>
      <c r="BW29" s="1240"/>
      <c r="BX29" s="307"/>
      <c r="BY29" s="307"/>
      <c r="BZ29" s="1241"/>
      <c r="CA29" s="307"/>
      <c r="CB29" s="1240"/>
      <c r="CC29" s="307"/>
      <c r="CD29" s="307"/>
      <c r="CE29" s="1275"/>
      <c r="CF29" s="762"/>
      <c r="CG29" s="1280"/>
      <c r="CH29" s="762"/>
      <c r="CI29" s="307"/>
      <c r="CJ29" s="1275"/>
      <c r="CK29" s="762"/>
      <c r="CL29" s="1240"/>
      <c r="CM29" s="307"/>
      <c r="CN29" s="307"/>
      <c r="CO29" s="1241"/>
      <c r="CP29" s="307"/>
      <c r="CQ29" s="1240"/>
      <c r="CR29" s="307"/>
      <c r="CS29" s="307"/>
      <c r="CT29" s="1241"/>
      <c r="CU29" s="307"/>
      <c r="CV29" s="1240"/>
      <c r="CW29" s="307"/>
      <c r="CX29" s="307"/>
      <c r="CY29" s="1241"/>
      <c r="CZ29" s="307"/>
    </row>
    <row r="30" spans="1:104" ht="13.5" customHeight="1" outlineLevel="2">
      <c r="A30" s="305"/>
      <c r="B30" s="305" t="s">
        <v>179</v>
      </c>
      <c r="C30" s="305"/>
      <c r="D30" s="306"/>
      <c r="E30" s="306"/>
      <c r="F30" s="306"/>
      <c r="G30" s="306"/>
      <c r="H30" s="334"/>
      <c r="I30" s="334"/>
      <c r="J30" s="334"/>
      <c r="K30" s="334"/>
      <c r="L30" s="334"/>
      <c r="M30" s="334"/>
      <c r="N30" s="334"/>
      <c r="O30" s="334"/>
      <c r="P30" s="334"/>
      <c r="Q30" s="334"/>
      <c r="R30" s="334"/>
      <c r="S30" s="334"/>
      <c r="T30" s="334"/>
      <c r="U30" s="334"/>
      <c r="V30" s="334"/>
      <c r="W30" s="334"/>
      <c r="X30" s="334"/>
      <c r="Y30" s="334"/>
      <c r="Z30" s="334"/>
      <c r="AA30" s="334"/>
      <c r="AB30" s="334"/>
      <c r="AC30" s="334"/>
      <c r="AD30" s="334"/>
      <c r="AE30" s="334"/>
      <c r="AF30" s="334"/>
      <c r="AG30" s="334"/>
      <c r="AH30" s="334"/>
      <c r="AI30" s="334"/>
      <c r="AJ30" s="334"/>
      <c r="AK30" s="334"/>
      <c r="AL30" s="334"/>
      <c r="AM30" s="334"/>
      <c r="AN30" s="334"/>
      <c r="AO30" s="334"/>
      <c r="AP30" s="334"/>
      <c r="AQ30" s="316"/>
      <c r="AR30" s="316"/>
      <c r="AS30" s="1236">
        <f>+AR32</f>
        <v>175</v>
      </c>
      <c r="AT30" s="607">
        <f>+AS32</f>
        <v>0</v>
      </c>
      <c r="AU30" s="607">
        <f>+AT32</f>
        <v>0</v>
      </c>
      <c r="AV30" s="1237">
        <f>+AU32</f>
        <v>0</v>
      </c>
      <c r="AW30" s="317"/>
      <c r="AX30" s="1236">
        <f>+AW32</f>
        <v>0</v>
      </c>
      <c r="AY30" s="607">
        <f>+AX32</f>
        <v>0</v>
      </c>
      <c r="AZ30" s="607">
        <f>+AY32</f>
        <v>0</v>
      </c>
      <c r="BA30" s="1237">
        <f>+AZ32</f>
        <v>0</v>
      </c>
      <c r="BB30" s="317"/>
      <c r="BC30" s="1236">
        <f>+BB32</f>
        <v>0</v>
      </c>
      <c r="BD30" s="607">
        <f>+BC32</f>
        <v>0</v>
      </c>
      <c r="BE30" s="607">
        <f>+BD32</f>
        <v>0</v>
      </c>
      <c r="BF30" s="1237">
        <f>+BE32</f>
        <v>0</v>
      </c>
      <c r="BG30" s="317"/>
      <c r="BH30" s="1236">
        <f>+BG32</f>
        <v>0</v>
      </c>
      <c r="BI30" s="607">
        <f>+BH32</f>
        <v>0</v>
      </c>
      <c r="BJ30" s="607">
        <f>+BI32</f>
        <v>0</v>
      </c>
      <c r="BK30" s="1237">
        <f>+BJ32</f>
        <v>0</v>
      </c>
      <c r="BL30" s="317"/>
      <c r="BM30" s="1236">
        <f>+BL32</f>
        <v>0</v>
      </c>
      <c r="BN30" s="607">
        <f>+BM32</f>
        <v>0</v>
      </c>
      <c r="BO30" s="607">
        <f>+BN32</f>
        <v>0</v>
      </c>
      <c r="BP30" s="1237">
        <f>+BO32</f>
        <v>0</v>
      </c>
      <c r="BQ30" s="317"/>
      <c r="BR30" s="1236">
        <f>+BQ32</f>
        <v>0</v>
      </c>
      <c r="BS30" s="607">
        <f>+BR32</f>
        <v>0</v>
      </c>
      <c r="BT30" s="607">
        <f>+BS32</f>
        <v>0</v>
      </c>
      <c r="BU30" s="1237">
        <f>+BT32</f>
        <v>0</v>
      </c>
      <c r="BV30" s="317"/>
      <c r="BW30" s="1236">
        <f>+BV32</f>
        <v>0</v>
      </c>
      <c r="BX30" s="607">
        <f>+BW32</f>
        <v>0</v>
      </c>
      <c r="BY30" s="607">
        <f>+BX32</f>
        <v>0</v>
      </c>
      <c r="BZ30" s="1237">
        <f>+BY32</f>
        <v>0</v>
      </c>
      <c r="CA30" s="317"/>
      <c r="CB30" s="1236">
        <f>+CA32</f>
        <v>0</v>
      </c>
      <c r="CC30" s="607">
        <f>+CB32</f>
        <v>0</v>
      </c>
      <c r="CD30" s="607">
        <f>+CC32</f>
        <v>0</v>
      </c>
      <c r="CE30" s="1237">
        <f>+CD32</f>
        <v>0</v>
      </c>
      <c r="CF30" s="607"/>
      <c r="CG30" s="1236">
        <f>+CF32</f>
        <v>0</v>
      </c>
      <c r="CH30" s="607">
        <f>+CG32</f>
        <v>0</v>
      </c>
      <c r="CI30" s="607">
        <f>+CH32</f>
        <v>0</v>
      </c>
      <c r="CJ30" s="1237">
        <f>+CI32</f>
        <v>0</v>
      </c>
      <c r="CK30" s="607"/>
      <c r="CL30" s="1236">
        <f>+CK32</f>
        <v>0</v>
      </c>
      <c r="CM30" s="607">
        <f>+CL32</f>
        <v>0</v>
      </c>
      <c r="CN30" s="607">
        <f>+CM32</f>
        <v>0</v>
      </c>
      <c r="CO30" s="1237">
        <f>+CN32</f>
        <v>0</v>
      </c>
      <c r="CP30" s="317"/>
      <c r="CQ30" s="1236">
        <f>+CP32</f>
        <v>0</v>
      </c>
      <c r="CR30" s="607">
        <f>+CQ32</f>
        <v>0</v>
      </c>
      <c r="CS30" s="607">
        <f>+CR32</f>
        <v>0</v>
      </c>
      <c r="CT30" s="1237">
        <f>+CS32</f>
        <v>0</v>
      </c>
      <c r="CU30" s="317"/>
      <c r="CV30" s="1236"/>
      <c r="CW30" s="607"/>
      <c r="CX30" s="607"/>
      <c r="CY30" s="1237"/>
      <c r="CZ30" s="317"/>
    </row>
    <row r="31" spans="1:104" ht="13.5" customHeight="1" outlineLevel="2">
      <c r="A31" s="305"/>
      <c r="B31" s="305" t="s">
        <v>181</v>
      </c>
      <c r="C31" s="305"/>
      <c r="D31" s="306"/>
      <c r="E31" s="306"/>
      <c r="F31" s="306"/>
      <c r="G31" s="306"/>
      <c r="H31" s="334"/>
      <c r="I31" s="334"/>
      <c r="J31" s="334"/>
      <c r="K31" s="334"/>
      <c r="L31" s="334"/>
      <c r="M31" s="334"/>
      <c r="N31" s="334"/>
      <c r="O31" s="334"/>
      <c r="P31" s="334"/>
      <c r="Q31" s="334"/>
      <c r="R31" s="334"/>
      <c r="S31" s="334"/>
      <c r="T31" s="334"/>
      <c r="U31" s="334"/>
      <c r="V31" s="334"/>
      <c r="W31" s="334"/>
      <c r="X31" s="334"/>
      <c r="Y31" s="334"/>
      <c r="Z31" s="334"/>
      <c r="AA31" s="334"/>
      <c r="AB31" s="334"/>
      <c r="AC31" s="334"/>
      <c r="AD31" s="334"/>
      <c r="AE31" s="334"/>
      <c r="AF31" s="334"/>
      <c r="AG31" s="334"/>
      <c r="AH31" s="334"/>
      <c r="AI31" s="334"/>
      <c r="AJ31" s="334"/>
      <c r="AK31" s="334"/>
      <c r="AL31" s="334"/>
      <c r="AM31" s="334"/>
      <c r="AN31" s="334"/>
      <c r="AO31" s="334"/>
      <c r="AP31" s="334"/>
      <c r="AQ31" s="606">
        <v>0</v>
      </c>
      <c r="AR31" s="316"/>
      <c r="AS31" s="1238">
        <v>-175</v>
      </c>
      <c r="AT31" s="605">
        <v>0</v>
      </c>
      <c r="AU31" s="605">
        <v>0</v>
      </c>
      <c r="AV31" s="1239">
        <v>0</v>
      </c>
      <c r="AW31" s="317"/>
      <c r="AX31" s="1238">
        <v>0</v>
      </c>
      <c r="AY31" s="605">
        <v>0</v>
      </c>
      <c r="AZ31" s="605">
        <v>0</v>
      </c>
      <c r="BA31" s="1239">
        <v>0</v>
      </c>
      <c r="BB31" s="317"/>
      <c r="BC31" s="1238">
        <v>0</v>
      </c>
      <c r="BD31" s="605">
        <v>0</v>
      </c>
      <c r="BE31" s="605">
        <v>0</v>
      </c>
      <c r="BF31" s="1239">
        <v>0</v>
      </c>
      <c r="BG31" s="317"/>
      <c r="BH31" s="1238">
        <v>0</v>
      </c>
      <c r="BI31" s="605">
        <v>0</v>
      </c>
      <c r="BJ31" s="605">
        <v>0</v>
      </c>
      <c r="BK31" s="1239">
        <v>0</v>
      </c>
      <c r="BL31" s="317"/>
      <c r="BM31" s="1238">
        <v>0</v>
      </c>
      <c r="BN31" s="605">
        <v>0</v>
      </c>
      <c r="BO31" s="605">
        <v>0</v>
      </c>
      <c r="BP31" s="1239">
        <v>0</v>
      </c>
      <c r="BQ31" s="317"/>
      <c r="BR31" s="1238">
        <v>0</v>
      </c>
      <c r="BS31" s="605">
        <v>0</v>
      </c>
      <c r="BT31" s="605">
        <v>0</v>
      </c>
      <c r="BU31" s="1239">
        <v>0</v>
      </c>
      <c r="BV31" s="317"/>
      <c r="BW31" s="1238">
        <v>0</v>
      </c>
      <c r="BX31" s="605">
        <v>0</v>
      </c>
      <c r="BY31" s="605">
        <v>0</v>
      </c>
      <c r="BZ31" s="1239">
        <v>0</v>
      </c>
      <c r="CA31" s="317"/>
      <c r="CB31" s="1238">
        <v>0</v>
      </c>
      <c r="CC31" s="605">
        <v>0</v>
      </c>
      <c r="CD31" s="605">
        <v>0</v>
      </c>
      <c r="CE31" s="1239">
        <v>0</v>
      </c>
      <c r="CF31" s="607"/>
      <c r="CG31" s="1238">
        <v>0</v>
      </c>
      <c r="CH31" s="605">
        <v>0</v>
      </c>
      <c r="CI31" s="605">
        <v>0</v>
      </c>
      <c r="CJ31" s="1239">
        <v>0</v>
      </c>
      <c r="CK31" s="607"/>
      <c r="CL31" s="1238">
        <v>0</v>
      </c>
      <c r="CM31" s="605">
        <v>0</v>
      </c>
      <c r="CN31" s="605">
        <v>0</v>
      </c>
      <c r="CO31" s="1239">
        <v>0</v>
      </c>
      <c r="CP31" s="317"/>
      <c r="CQ31" s="1238">
        <v>0</v>
      </c>
      <c r="CR31" s="605">
        <v>0</v>
      </c>
      <c r="CS31" s="605">
        <v>0</v>
      </c>
      <c r="CT31" s="1239">
        <v>0</v>
      </c>
      <c r="CU31" s="317"/>
      <c r="CV31" s="1238"/>
      <c r="CW31" s="605"/>
      <c r="CX31" s="605"/>
      <c r="CY31" s="1239"/>
      <c r="CZ31" s="317"/>
    </row>
    <row r="32" spans="1:104" ht="13.5" customHeight="1" outlineLevel="2">
      <c r="A32" s="305"/>
      <c r="B32" s="305" t="s">
        <v>182</v>
      </c>
      <c r="C32" s="305"/>
      <c r="D32" s="306"/>
      <c r="E32" s="306"/>
      <c r="F32" s="306"/>
      <c r="G32" s="306"/>
      <c r="H32" s="335">
        <v>0</v>
      </c>
      <c r="I32" s="335"/>
      <c r="J32" s="335"/>
      <c r="K32" s="335"/>
      <c r="L32" s="335"/>
      <c r="M32" s="335"/>
      <c r="N32" s="335"/>
      <c r="O32" s="335"/>
      <c r="P32" s="335"/>
      <c r="Q32" s="335"/>
      <c r="R32" s="335"/>
      <c r="S32" s="335"/>
      <c r="T32" s="335"/>
      <c r="U32" s="335"/>
      <c r="V32" s="335"/>
      <c r="W32" s="335"/>
      <c r="X32" s="335"/>
      <c r="Y32" s="335"/>
      <c r="Z32" s="335"/>
      <c r="AA32" s="335"/>
      <c r="AB32" s="335"/>
      <c r="AC32" s="335"/>
      <c r="AD32" s="335"/>
      <c r="AE32" s="335"/>
      <c r="AF32" s="335"/>
      <c r="AG32" s="335"/>
      <c r="AH32" s="335"/>
      <c r="AI32" s="335"/>
      <c r="AJ32" s="335"/>
      <c r="AK32" s="335"/>
      <c r="AL32" s="335"/>
      <c r="AM32" s="335"/>
      <c r="AN32" s="335"/>
      <c r="AO32" s="335"/>
      <c r="AP32" s="335"/>
      <c r="AQ32" s="606">
        <v>175</v>
      </c>
      <c r="AR32" s="316">
        <f>+AQ32</f>
        <v>175</v>
      </c>
      <c r="AS32" s="1236">
        <f>+AS30+AS31</f>
        <v>0</v>
      </c>
      <c r="AT32" s="607">
        <f>+AT30+AT31</f>
        <v>0</v>
      </c>
      <c r="AU32" s="607">
        <f>+AU30+AU31</f>
        <v>0</v>
      </c>
      <c r="AV32" s="1237">
        <f>+AV30+AV31</f>
        <v>0</v>
      </c>
      <c r="AW32" s="607">
        <f>+AV32</f>
        <v>0</v>
      </c>
      <c r="AX32" s="1236">
        <f>+AX30+AX31</f>
        <v>0</v>
      </c>
      <c r="AY32" s="607">
        <f>+AY30+AY31</f>
        <v>0</v>
      </c>
      <c r="AZ32" s="607">
        <f>+AZ30+AZ31</f>
        <v>0</v>
      </c>
      <c r="BA32" s="1237">
        <f>+BA30+BA31</f>
        <v>0</v>
      </c>
      <c r="BB32" s="607">
        <f>+BA32</f>
        <v>0</v>
      </c>
      <c r="BC32" s="1236">
        <f>+BC30+BC31</f>
        <v>0</v>
      </c>
      <c r="BD32" s="607">
        <f>+BD30+BD31</f>
        <v>0</v>
      </c>
      <c r="BE32" s="607">
        <f>+BE30+BE31</f>
        <v>0</v>
      </c>
      <c r="BF32" s="1237">
        <f>+BF30+BF31</f>
        <v>0</v>
      </c>
      <c r="BG32" s="607">
        <f>+BF32</f>
        <v>0</v>
      </c>
      <c r="BH32" s="1236">
        <f>+BH30+BH31</f>
        <v>0</v>
      </c>
      <c r="BI32" s="607">
        <f>+BI30+BI31</f>
        <v>0</v>
      </c>
      <c r="BJ32" s="607">
        <f>+BJ30+BJ31</f>
        <v>0</v>
      </c>
      <c r="BK32" s="1237">
        <f>+BK30+BK31</f>
        <v>0</v>
      </c>
      <c r="BL32" s="607">
        <f>+BK32</f>
        <v>0</v>
      </c>
      <c r="BM32" s="1236">
        <f>+BM30+BM31</f>
        <v>0</v>
      </c>
      <c r="BN32" s="607">
        <f>+BN30+BN31</f>
        <v>0</v>
      </c>
      <c r="BO32" s="607">
        <f>+BO30+BO31</f>
        <v>0</v>
      </c>
      <c r="BP32" s="1237">
        <f>+BP30+BP31</f>
        <v>0</v>
      </c>
      <c r="BQ32" s="607">
        <f>+BP32</f>
        <v>0</v>
      </c>
      <c r="BR32" s="1236">
        <f>+BR30+BR31</f>
        <v>0</v>
      </c>
      <c r="BS32" s="607">
        <f>+BS30+BS31</f>
        <v>0</v>
      </c>
      <c r="BT32" s="607">
        <f>+BT30+BT31</f>
        <v>0</v>
      </c>
      <c r="BU32" s="1237">
        <f>+BU30+BU31</f>
        <v>0</v>
      </c>
      <c r="BV32" s="607">
        <f>+BU32</f>
        <v>0</v>
      </c>
      <c r="BW32" s="1236">
        <f>+BW30+BW31</f>
        <v>0</v>
      </c>
      <c r="BX32" s="607">
        <f>+BX30+BX31</f>
        <v>0</v>
      </c>
      <c r="BY32" s="607">
        <f>+BY30+BY31</f>
        <v>0</v>
      </c>
      <c r="BZ32" s="1237">
        <f>+BZ30+BZ31</f>
        <v>0</v>
      </c>
      <c r="CA32" s="607">
        <f>+BZ32</f>
        <v>0</v>
      </c>
      <c r="CB32" s="1236">
        <f>+CB30+CB31</f>
        <v>0</v>
      </c>
      <c r="CC32" s="607">
        <f>+CC30+CC31</f>
        <v>0</v>
      </c>
      <c r="CD32" s="607">
        <f>+CD30+CD31</f>
        <v>0</v>
      </c>
      <c r="CE32" s="1237">
        <f>+CE30+CE31</f>
        <v>0</v>
      </c>
      <c r="CF32" s="607">
        <f>+CE32</f>
        <v>0</v>
      </c>
      <c r="CG32" s="1236">
        <f>+CG30+CG31</f>
        <v>0</v>
      </c>
      <c r="CH32" s="607">
        <f>+CH30+CH31</f>
        <v>0</v>
      </c>
      <c r="CI32" s="607">
        <f>+CI30+CI31</f>
        <v>0</v>
      </c>
      <c r="CJ32" s="1237">
        <f>+CJ30+CJ31</f>
        <v>0</v>
      </c>
      <c r="CK32" s="607">
        <f>+CJ32</f>
        <v>0</v>
      </c>
      <c r="CL32" s="1236">
        <f>+CL30+CL31</f>
        <v>0</v>
      </c>
      <c r="CM32" s="607">
        <f>+CM30+CM31</f>
        <v>0</v>
      </c>
      <c r="CN32" s="607">
        <f>+CN30+CN31</f>
        <v>0</v>
      </c>
      <c r="CO32" s="1237">
        <f>+CO30+CO31</f>
        <v>0</v>
      </c>
      <c r="CP32" s="607">
        <f>+CO32</f>
        <v>0</v>
      </c>
      <c r="CQ32" s="1236">
        <f>+CQ30+CQ31</f>
        <v>0</v>
      </c>
      <c r="CR32" s="607">
        <f>+CR30+CR31</f>
        <v>0</v>
      </c>
      <c r="CS32" s="607">
        <f>+CS30+CS31</f>
        <v>0</v>
      </c>
      <c r="CT32" s="1237">
        <f>+CT30+CT31</f>
        <v>0</v>
      </c>
      <c r="CU32" s="607">
        <f>+CT32</f>
        <v>0</v>
      </c>
      <c r="CV32" s="1236"/>
      <c r="CW32" s="607"/>
      <c r="CX32" s="607"/>
      <c r="CY32" s="1237"/>
      <c r="CZ32" s="607"/>
    </row>
    <row r="33" spans="1:104" ht="13.5" customHeight="1" outlineLevel="2">
      <c r="A33" s="305"/>
      <c r="B33" s="305" t="s">
        <v>183</v>
      </c>
      <c r="C33" s="305"/>
      <c r="D33" s="306"/>
      <c r="E33" s="306"/>
      <c r="F33" s="306"/>
      <c r="G33" s="306"/>
      <c r="H33" s="334"/>
      <c r="I33" s="334"/>
      <c r="J33" s="334"/>
      <c r="K33" s="334"/>
      <c r="L33" s="334"/>
      <c r="M33" s="334"/>
      <c r="N33" s="334"/>
      <c r="O33" s="334"/>
      <c r="P33" s="334"/>
      <c r="Q33" s="334"/>
      <c r="R33" s="334"/>
      <c r="S33" s="334"/>
      <c r="T33" s="334"/>
      <c r="U33" s="334"/>
      <c r="V33" s="334"/>
      <c r="W33" s="334"/>
      <c r="X33" s="334"/>
      <c r="Y33" s="334"/>
      <c r="Z33" s="334"/>
      <c r="AA33" s="334"/>
      <c r="AB33" s="334"/>
      <c r="AC33" s="334"/>
      <c r="AD33" s="334"/>
      <c r="AE33" s="334"/>
      <c r="AF33" s="334"/>
      <c r="AG33" s="334"/>
      <c r="AH33" s="334"/>
      <c r="AI33" s="334"/>
      <c r="AJ33" s="334"/>
      <c r="AK33" s="334"/>
      <c r="AL33" s="334"/>
      <c r="AM33" s="334"/>
      <c r="AN33" s="334"/>
      <c r="AO33" s="334"/>
      <c r="AP33" s="334"/>
      <c r="AQ33" s="316"/>
      <c r="AR33" s="316"/>
      <c r="AS33" s="1236">
        <f>+AVERAGE(AS30,AS32)</f>
        <v>87.5</v>
      </c>
      <c r="AT33" s="607">
        <f>+AVERAGE(AT30,AT32)</f>
        <v>0</v>
      </c>
      <c r="AU33" s="607">
        <f>+AVERAGE(AU30,AU32)</f>
        <v>0</v>
      </c>
      <c r="AV33" s="1237">
        <f>+AVERAGE(AV30,AV32)</f>
        <v>0</v>
      </c>
      <c r="AW33" s="317"/>
      <c r="AX33" s="1236">
        <f>+AVERAGE(AX30,AX32)</f>
        <v>0</v>
      </c>
      <c r="AY33" s="607">
        <f>+AVERAGE(AY30,AY32)</f>
        <v>0</v>
      </c>
      <c r="AZ33" s="607">
        <f>+AVERAGE(AZ30,AZ32)</f>
        <v>0</v>
      </c>
      <c r="BA33" s="1237">
        <f>+AVERAGE(BA30,BA32)</f>
        <v>0</v>
      </c>
      <c r="BB33" s="317"/>
      <c r="BC33" s="1236">
        <f>+AVERAGE(BC30,BC32)</f>
        <v>0</v>
      </c>
      <c r="BD33" s="607">
        <f>+AVERAGE(BD30,BD32)</f>
        <v>0</v>
      </c>
      <c r="BE33" s="607">
        <f>+AVERAGE(BE30,BE32)</f>
        <v>0</v>
      </c>
      <c r="BF33" s="1237">
        <f>+AVERAGE(BF30,BF32)</f>
        <v>0</v>
      </c>
      <c r="BG33" s="317"/>
      <c r="BH33" s="1236">
        <f>+AVERAGE(BH30,BH32)</f>
        <v>0</v>
      </c>
      <c r="BI33" s="607">
        <f>+AVERAGE(BI30,BI32)</f>
        <v>0</v>
      </c>
      <c r="BJ33" s="607">
        <f>+AVERAGE(BJ30,BJ32)</f>
        <v>0</v>
      </c>
      <c r="BK33" s="1237">
        <f>+AVERAGE(BK30,BK32)</f>
        <v>0</v>
      </c>
      <c r="BL33" s="317"/>
      <c r="BM33" s="1236">
        <f>+AVERAGE(BM30,BM32)</f>
        <v>0</v>
      </c>
      <c r="BN33" s="607">
        <f>+AVERAGE(BN30,BN32)</f>
        <v>0</v>
      </c>
      <c r="BO33" s="607">
        <f>+AVERAGE(BO30,BO32)</f>
        <v>0</v>
      </c>
      <c r="BP33" s="1237">
        <f>+AVERAGE(BP30,BP32)</f>
        <v>0</v>
      </c>
      <c r="BQ33" s="317"/>
      <c r="BR33" s="1236">
        <f>+AVERAGE(BR30,BR32)</f>
        <v>0</v>
      </c>
      <c r="BS33" s="607">
        <f>+AVERAGE(BS30,BS32)</f>
        <v>0</v>
      </c>
      <c r="BT33" s="607">
        <f>+AVERAGE(BT30,BT32)</f>
        <v>0</v>
      </c>
      <c r="BU33" s="1237">
        <f>+AVERAGE(BU30,BU32)</f>
        <v>0</v>
      </c>
      <c r="BV33" s="317"/>
      <c r="BW33" s="1236">
        <f>+AVERAGE(BW30,BW32)</f>
        <v>0</v>
      </c>
      <c r="BX33" s="607">
        <f>+AVERAGE(BX30,BX32)</f>
        <v>0</v>
      </c>
      <c r="BY33" s="607">
        <f>+AVERAGE(BY30,BY32)</f>
        <v>0</v>
      </c>
      <c r="BZ33" s="1237">
        <f>+AVERAGE(BZ30,BZ32)</f>
        <v>0</v>
      </c>
      <c r="CA33" s="317"/>
      <c r="CB33" s="1236">
        <f>+AVERAGE(CB30,CB32)</f>
        <v>0</v>
      </c>
      <c r="CC33" s="607">
        <f>+AVERAGE(CC30,CC32)</f>
        <v>0</v>
      </c>
      <c r="CD33" s="607">
        <f>+AVERAGE(CD30,CD32)</f>
        <v>0</v>
      </c>
      <c r="CE33" s="1237">
        <f>+AVERAGE(CE30,CE32)</f>
        <v>0</v>
      </c>
      <c r="CF33" s="607"/>
      <c r="CG33" s="1236">
        <f>+AVERAGE(CG30,CG32)</f>
        <v>0</v>
      </c>
      <c r="CH33" s="607">
        <f>+AVERAGE(CH30,CH32)</f>
        <v>0</v>
      </c>
      <c r="CI33" s="607">
        <f>+AVERAGE(CI30,CI32)</f>
        <v>0</v>
      </c>
      <c r="CJ33" s="1237">
        <f>+AVERAGE(CJ30,CJ32)</f>
        <v>0</v>
      </c>
      <c r="CK33" s="607"/>
      <c r="CL33" s="1236">
        <f>+AVERAGE(CL30,CL32)</f>
        <v>0</v>
      </c>
      <c r="CM33" s="607">
        <f>+AVERAGE(CM30,CM32)</f>
        <v>0</v>
      </c>
      <c r="CN33" s="607">
        <f>+AVERAGE(CN30,CN32)</f>
        <v>0</v>
      </c>
      <c r="CO33" s="1237">
        <f>+AVERAGE(CO30,CO32)</f>
        <v>0</v>
      </c>
      <c r="CP33" s="317"/>
      <c r="CQ33" s="1236">
        <f>+AVERAGE(CQ30,CQ32)</f>
        <v>0</v>
      </c>
      <c r="CR33" s="607">
        <f>+AVERAGE(CR30,CR32)</f>
        <v>0</v>
      </c>
      <c r="CS33" s="607">
        <f>+AVERAGE(CS30,CS32)</f>
        <v>0</v>
      </c>
      <c r="CT33" s="1237">
        <f>+AVERAGE(CT30,CT32)</f>
        <v>0</v>
      </c>
      <c r="CU33" s="317"/>
      <c r="CV33" s="1236"/>
      <c r="CW33" s="607"/>
      <c r="CX33" s="607"/>
      <c r="CY33" s="1237"/>
      <c r="CZ33" s="317"/>
    </row>
    <row r="34" spans="1:104" ht="13.5" customHeight="1" outlineLevel="2">
      <c r="A34" s="305"/>
      <c r="B34" s="305" t="s">
        <v>575</v>
      </c>
      <c r="C34" s="305"/>
      <c r="D34" s="306"/>
      <c r="E34" s="306"/>
      <c r="F34" s="306"/>
      <c r="G34" s="306"/>
      <c r="H34" s="334"/>
      <c r="I34" s="334"/>
      <c r="J34" s="334"/>
      <c r="K34" s="334"/>
      <c r="L34" s="334"/>
      <c r="M34" s="334"/>
      <c r="N34" s="334"/>
      <c r="O34" s="334"/>
      <c r="P34" s="334"/>
      <c r="Q34" s="334"/>
      <c r="R34" s="334"/>
      <c r="S34" s="334"/>
      <c r="T34" s="334"/>
      <c r="U34" s="334"/>
      <c r="V34" s="334"/>
      <c r="W34" s="334"/>
      <c r="X34" s="334"/>
      <c r="Y34" s="334"/>
      <c r="Z34" s="334"/>
      <c r="AA34" s="334"/>
      <c r="AB34" s="334"/>
      <c r="AC34" s="334"/>
      <c r="AD34" s="334"/>
      <c r="AE34" s="334"/>
      <c r="AF34" s="334"/>
      <c r="AG34" s="334"/>
      <c r="AH34" s="334"/>
      <c r="AI34" s="334"/>
      <c r="AJ34" s="334"/>
      <c r="AK34" s="334"/>
      <c r="AL34" s="334"/>
      <c r="AM34" s="334"/>
      <c r="AN34" s="334"/>
      <c r="AO34" s="334"/>
      <c r="AP34" s="334"/>
      <c r="AQ34" s="316"/>
      <c r="AR34" s="316"/>
      <c r="AS34" s="1236">
        <f>+AS33*$G29/4</f>
        <v>1.3125</v>
      </c>
      <c r="AT34" s="607">
        <f>+AT33*$G29/4</f>
        <v>0</v>
      </c>
      <c r="AU34" s="607">
        <f>+AU33*$G29/4</f>
        <v>0</v>
      </c>
      <c r="AV34" s="1237">
        <f>+AV33*$G29/4</f>
        <v>0</v>
      </c>
      <c r="AW34" s="317"/>
      <c r="AX34" s="1236">
        <f>+AX33*$G29/4</f>
        <v>0</v>
      </c>
      <c r="AY34" s="607">
        <f>+AY33*$G29/4</f>
        <v>0</v>
      </c>
      <c r="AZ34" s="607">
        <f>+AZ33*$G29/4</f>
        <v>0</v>
      </c>
      <c r="BA34" s="1237">
        <f>+BA33*$G29/4</f>
        <v>0</v>
      </c>
      <c r="BB34" s="317"/>
      <c r="BC34" s="1236">
        <f>+BC33*$G29/4</f>
        <v>0</v>
      </c>
      <c r="BD34" s="607">
        <f>+BD33*$G29/4</f>
        <v>0</v>
      </c>
      <c r="BE34" s="607">
        <f>+BE33*$G29/4</f>
        <v>0</v>
      </c>
      <c r="BF34" s="1237">
        <f>+BF33*$G29/4</f>
        <v>0</v>
      </c>
      <c r="BG34" s="317"/>
      <c r="BH34" s="1236">
        <f>+BH33*$G29/4</f>
        <v>0</v>
      </c>
      <c r="BI34" s="607">
        <f>+BI33*$G29/4</f>
        <v>0</v>
      </c>
      <c r="BJ34" s="607">
        <f>+BJ33*$G29/4</f>
        <v>0</v>
      </c>
      <c r="BK34" s="1237">
        <f>+BK33*$G29/4</f>
        <v>0</v>
      </c>
      <c r="BL34" s="317"/>
      <c r="BM34" s="1236">
        <f>+BM33*$G29/4</f>
        <v>0</v>
      </c>
      <c r="BN34" s="607">
        <f>+BN33*$G29/4</f>
        <v>0</v>
      </c>
      <c r="BO34" s="607">
        <f>+BO33*$G29/4</f>
        <v>0</v>
      </c>
      <c r="BP34" s="1237">
        <f>+BP33*$G29/4</f>
        <v>0</v>
      </c>
      <c r="BQ34" s="317"/>
      <c r="BR34" s="1236">
        <f>+BR33*$G29/4</f>
        <v>0</v>
      </c>
      <c r="BS34" s="607">
        <f>+BS33*$G29/4</f>
        <v>0</v>
      </c>
      <c r="BT34" s="607">
        <f>+BT33*$G29/4</f>
        <v>0</v>
      </c>
      <c r="BU34" s="1237">
        <f>+BU33*$G29/4</f>
        <v>0</v>
      </c>
      <c r="BV34" s="317"/>
      <c r="BW34" s="1236">
        <f>+BW33*$G29/4</f>
        <v>0</v>
      </c>
      <c r="BX34" s="607">
        <f>+BX33*$G29/4</f>
        <v>0</v>
      </c>
      <c r="BY34" s="607">
        <f>+BY33*$G29/4</f>
        <v>0</v>
      </c>
      <c r="BZ34" s="1237">
        <f>+BZ33*$G29/4</f>
        <v>0</v>
      </c>
      <c r="CA34" s="317"/>
      <c r="CB34" s="1236">
        <f>+CB33*$G29/4</f>
        <v>0</v>
      </c>
      <c r="CC34" s="607">
        <f>+CC33*$G29/4</f>
        <v>0</v>
      </c>
      <c r="CD34" s="607">
        <f>+CD33*$G29/4</f>
        <v>0</v>
      </c>
      <c r="CE34" s="1237">
        <f>+CE33*$G29/4</f>
        <v>0</v>
      </c>
      <c r="CF34" s="607"/>
      <c r="CG34" s="1236">
        <f>+CG33*$G29/4</f>
        <v>0</v>
      </c>
      <c r="CH34" s="607">
        <f>+CH33*$G29/4</f>
        <v>0</v>
      </c>
      <c r="CI34" s="607">
        <f>+CI33*$G29/4</f>
        <v>0</v>
      </c>
      <c r="CJ34" s="1237">
        <f>+CJ33*$G29/4</f>
        <v>0</v>
      </c>
      <c r="CK34" s="607"/>
      <c r="CL34" s="1236">
        <f>+CL33*$G29/4</f>
        <v>0</v>
      </c>
      <c r="CM34" s="607">
        <f>+CM33*$G29/4</f>
        <v>0</v>
      </c>
      <c r="CN34" s="607">
        <f>+CN33*$G29/4</f>
        <v>0</v>
      </c>
      <c r="CO34" s="1237">
        <f>+CO33*$G29/4</f>
        <v>0</v>
      </c>
      <c r="CP34" s="317"/>
      <c r="CQ34" s="1236">
        <f>+CQ33*$G29/4</f>
        <v>0</v>
      </c>
      <c r="CR34" s="607">
        <f>+CR33*$G29/4</f>
        <v>0</v>
      </c>
      <c r="CS34" s="607">
        <f>+CS33*$G29/4</f>
        <v>0</v>
      </c>
      <c r="CT34" s="1237">
        <f>+CT33*$G29/4</f>
        <v>0</v>
      </c>
      <c r="CU34" s="317"/>
      <c r="CV34" s="1236"/>
      <c r="CW34" s="607"/>
      <c r="CX34" s="607"/>
      <c r="CY34" s="1237"/>
      <c r="CZ34" s="317"/>
    </row>
    <row r="35" spans="1:104" ht="13.5" customHeight="1" outlineLevel="2">
      <c r="A35" s="305"/>
      <c r="B35" s="305" t="s">
        <v>184</v>
      </c>
      <c r="C35" s="305"/>
      <c r="D35" s="306"/>
      <c r="E35" s="306"/>
      <c r="F35" s="306"/>
      <c r="G35" s="306"/>
      <c r="H35" s="306"/>
      <c r="I35" s="306"/>
      <c r="J35" s="306"/>
      <c r="K35" s="306"/>
      <c r="L35" s="306"/>
      <c r="M35" s="306"/>
      <c r="N35" s="306"/>
      <c r="O35" s="306"/>
      <c r="P35" s="306"/>
      <c r="Q35" s="306"/>
      <c r="R35" s="306"/>
      <c r="S35" s="306"/>
      <c r="T35" s="306"/>
      <c r="U35" s="306"/>
      <c r="V35" s="306"/>
      <c r="W35" s="306"/>
      <c r="X35" s="306"/>
      <c r="Y35" s="306"/>
      <c r="Z35" s="306"/>
      <c r="AA35" s="306"/>
      <c r="AB35" s="306"/>
      <c r="AC35" s="306"/>
      <c r="AD35" s="306"/>
      <c r="AE35" s="306"/>
      <c r="AF35" s="306"/>
      <c r="AG35" s="306"/>
      <c r="AH35" s="306"/>
      <c r="AI35" s="306"/>
      <c r="AJ35" s="306"/>
      <c r="AK35" s="306"/>
      <c r="AL35" s="306"/>
      <c r="AM35" s="306"/>
      <c r="AN35" s="306"/>
      <c r="AO35" s="306"/>
      <c r="AP35" s="306"/>
      <c r="AQ35" s="316"/>
      <c r="AR35" s="332"/>
      <c r="AS35" s="1240"/>
      <c r="AT35" s="607">
        <f>+AS34+AT34</f>
        <v>1.3125</v>
      </c>
      <c r="AU35" s="307"/>
      <c r="AV35" s="1237">
        <f>+AU34+AV34</f>
        <v>0</v>
      </c>
      <c r="AW35" s="307"/>
      <c r="AX35" s="1240"/>
      <c r="AY35" s="607">
        <f>+AX34+AY34</f>
        <v>0</v>
      </c>
      <c r="AZ35" s="307"/>
      <c r="BA35" s="1237">
        <f>+AZ34+BA34</f>
        <v>0</v>
      </c>
      <c r="BB35" s="317"/>
      <c r="BC35" s="1240"/>
      <c r="BD35" s="607">
        <f>+BC34+BD34</f>
        <v>0</v>
      </c>
      <c r="BE35" s="307"/>
      <c r="BF35" s="1237">
        <f>+BE34+BF34</f>
        <v>0</v>
      </c>
      <c r="BG35" s="317"/>
      <c r="BH35" s="1240"/>
      <c r="BI35" s="607">
        <f>+BH34+BI34</f>
        <v>0</v>
      </c>
      <c r="BJ35" s="307"/>
      <c r="BK35" s="1237">
        <f>+BJ34+BK34</f>
        <v>0</v>
      </c>
      <c r="BL35" s="317"/>
      <c r="BM35" s="1240"/>
      <c r="BN35" s="607">
        <f>+BM34+BN34</f>
        <v>0</v>
      </c>
      <c r="BO35" s="307"/>
      <c r="BP35" s="1237">
        <f>+BO34+BP34</f>
        <v>0</v>
      </c>
      <c r="BQ35" s="317"/>
      <c r="BR35" s="1240"/>
      <c r="BS35" s="607">
        <f>+BR34+BS34</f>
        <v>0</v>
      </c>
      <c r="BT35" s="307"/>
      <c r="BU35" s="1237">
        <f>+BT34+BU34</f>
        <v>0</v>
      </c>
      <c r="BV35" s="317"/>
      <c r="BW35" s="1240"/>
      <c r="BX35" s="607">
        <f>+BW34+BX34</f>
        <v>0</v>
      </c>
      <c r="BY35" s="307"/>
      <c r="BZ35" s="1237">
        <f>+BY34+BZ34</f>
        <v>0</v>
      </c>
      <c r="CA35" s="317"/>
      <c r="CB35" s="1240"/>
      <c r="CC35" s="607">
        <f>+CB34+CC34</f>
        <v>0</v>
      </c>
      <c r="CD35" s="307"/>
      <c r="CE35" s="1237">
        <f>+CD34+CE34</f>
        <v>0</v>
      </c>
      <c r="CF35" s="607"/>
      <c r="CG35" s="1280"/>
      <c r="CH35" s="762">
        <f>+CG34+CH34</f>
        <v>0</v>
      </c>
      <c r="CI35" s="307"/>
      <c r="CJ35" s="1237">
        <f>+CI34+CJ34</f>
        <v>0</v>
      </c>
      <c r="CK35" s="607"/>
      <c r="CL35" s="1240"/>
      <c r="CM35" s="607">
        <f>+CL34+CM34</f>
        <v>0</v>
      </c>
      <c r="CN35" s="307"/>
      <c r="CO35" s="1237">
        <f>+CN34+CO34</f>
        <v>0</v>
      </c>
      <c r="CP35" s="317"/>
      <c r="CQ35" s="1240"/>
      <c r="CR35" s="607">
        <f>+CQ34+CR34</f>
        <v>0</v>
      </c>
      <c r="CS35" s="307"/>
      <c r="CT35" s="1237">
        <f>+CS34+CT34</f>
        <v>0</v>
      </c>
      <c r="CU35" s="317"/>
      <c r="CV35" s="1240"/>
      <c r="CW35" s="607"/>
      <c r="CX35" s="307"/>
      <c r="CY35" s="1237"/>
      <c r="CZ35" s="317"/>
    </row>
    <row r="36" spans="1:104" ht="6.2" customHeight="1" outlineLevel="2">
      <c r="A36" s="305"/>
      <c r="B36" s="305"/>
      <c r="C36" s="305"/>
      <c r="D36" s="306"/>
      <c r="E36" s="306"/>
      <c r="F36" s="306"/>
      <c r="G36" s="306"/>
      <c r="H36" s="306"/>
      <c r="I36" s="306"/>
      <c r="J36" s="306"/>
      <c r="K36" s="306"/>
      <c r="L36" s="306"/>
      <c r="M36" s="306"/>
      <c r="N36" s="306"/>
      <c r="O36" s="306"/>
      <c r="P36" s="306"/>
      <c r="Q36" s="306"/>
      <c r="R36" s="306"/>
      <c r="S36" s="306"/>
      <c r="T36" s="306"/>
      <c r="U36" s="306"/>
      <c r="V36" s="306"/>
      <c r="W36" s="306"/>
      <c r="X36" s="306"/>
      <c r="Y36" s="306"/>
      <c r="Z36" s="306"/>
      <c r="AA36" s="306"/>
      <c r="AB36" s="306"/>
      <c r="AC36" s="306"/>
      <c r="AD36" s="306"/>
      <c r="AE36" s="306"/>
      <c r="AF36" s="306"/>
      <c r="AG36" s="306"/>
      <c r="AH36" s="306"/>
      <c r="AI36" s="306"/>
      <c r="AJ36" s="306"/>
      <c r="AK36" s="306"/>
      <c r="AL36" s="306"/>
      <c r="AM36" s="306"/>
      <c r="AN36" s="306"/>
      <c r="AO36" s="306"/>
      <c r="AP36" s="306"/>
      <c r="AQ36" s="332"/>
      <c r="AR36" s="332"/>
      <c r="AS36" s="1240"/>
      <c r="AT36" s="307"/>
      <c r="AU36" s="307"/>
      <c r="AV36" s="1241"/>
      <c r="AW36" s="307"/>
      <c r="AX36" s="1240"/>
      <c r="AY36" s="307"/>
      <c r="AZ36" s="307"/>
      <c r="BA36" s="1241"/>
      <c r="BB36" s="307"/>
      <c r="BC36" s="1240"/>
      <c r="BD36" s="307"/>
      <c r="BE36" s="307"/>
      <c r="BF36" s="1241"/>
      <c r="BG36" s="307"/>
      <c r="BH36" s="1240"/>
      <c r="BI36" s="307"/>
      <c r="BJ36" s="307"/>
      <c r="BK36" s="1241"/>
      <c r="BL36" s="307"/>
      <c r="BM36" s="1240"/>
      <c r="BN36" s="307"/>
      <c r="BO36" s="307"/>
      <c r="BP36" s="1241"/>
      <c r="BQ36" s="307"/>
      <c r="BR36" s="1240"/>
      <c r="BS36" s="307"/>
      <c r="BT36" s="307"/>
      <c r="BU36" s="1241"/>
      <c r="BV36" s="307"/>
      <c r="BW36" s="1240"/>
      <c r="BX36" s="307"/>
      <c r="BY36" s="307"/>
      <c r="BZ36" s="1241"/>
      <c r="CA36" s="307"/>
      <c r="CB36" s="1240"/>
      <c r="CC36" s="307"/>
      <c r="CD36" s="307"/>
      <c r="CE36" s="1275"/>
      <c r="CF36" s="762"/>
      <c r="CG36" s="1280"/>
      <c r="CH36" s="762"/>
      <c r="CI36" s="307"/>
      <c r="CJ36" s="1275"/>
      <c r="CK36" s="762"/>
      <c r="CL36" s="1240"/>
      <c r="CM36" s="307"/>
      <c r="CN36" s="307"/>
      <c r="CO36" s="1241"/>
      <c r="CP36" s="307"/>
      <c r="CQ36" s="1240"/>
      <c r="CR36" s="307"/>
      <c r="CS36" s="307"/>
      <c r="CT36" s="1241"/>
      <c r="CU36" s="307"/>
      <c r="CV36" s="1240"/>
      <c r="CW36" s="307"/>
      <c r="CX36" s="307"/>
      <c r="CY36" s="1241"/>
      <c r="CZ36" s="307"/>
    </row>
    <row r="37" spans="1:104" ht="13.5" customHeight="1" outlineLevel="2">
      <c r="A37" s="315" t="s">
        <v>13</v>
      </c>
      <c r="B37" s="305"/>
      <c r="C37" s="305"/>
      <c r="D37" s="306"/>
      <c r="E37" s="306"/>
      <c r="F37" s="306"/>
      <c r="G37" s="333">
        <v>4.8750000000000002E-2</v>
      </c>
      <c r="H37" s="324">
        <v>41183</v>
      </c>
      <c r="I37" s="306"/>
      <c r="J37" s="306"/>
      <c r="K37" s="306"/>
      <c r="L37" s="306"/>
      <c r="M37" s="306"/>
      <c r="N37" s="306"/>
      <c r="O37" s="306"/>
      <c r="P37" s="306"/>
      <c r="Q37" s="306"/>
      <c r="R37" s="306"/>
      <c r="S37" s="306"/>
      <c r="T37" s="306"/>
      <c r="U37" s="306"/>
      <c r="V37" s="306"/>
      <c r="W37" s="306"/>
      <c r="X37" s="306"/>
      <c r="Y37" s="306"/>
      <c r="Z37" s="306"/>
      <c r="AA37" s="306"/>
      <c r="AB37" s="306"/>
      <c r="AC37" s="306"/>
      <c r="AD37" s="306"/>
      <c r="AE37" s="306"/>
      <c r="AF37" s="306"/>
      <c r="AG37" s="306"/>
      <c r="AH37" s="306"/>
      <c r="AI37" s="306"/>
      <c r="AJ37" s="306"/>
      <c r="AK37" s="306"/>
      <c r="AL37" s="306"/>
      <c r="AM37" s="306"/>
      <c r="AN37" s="306"/>
      <c r="AO37" s="306"/>
      <c r="AP37" s="306"/>
      <c r="AQ37" s="332"/>
      <c r="AR37" s="332"/>
      <c r="AS37" s="1240"/>
      <c r="AT37" s="307"/>
      <c r="AU37" s="307"/>
      <c r="AV37" s="1241"/>
      <c r="AW37" s="307"/>
      <c r="AX37" s="1240"/>
      <c r="AY37" s="307"/>
      <c r="AZ37" s="307"/>
      <c r="BA37" s="1241"/>
      <c r="BB37" s="307"/>
      <c r="BC37" s="1240"/>
      <c r="BD37" s="307"/>
      <c r="BE37" s="307"/>
      <c r="BF37" s="1241"/>
      <c r="BG37" s="307"/>
      <c r="BH37" s="1240"/>
      <c r="BI37" s="307"/>
      <c r="BJ37" s="307"/>
      <c r="BK37" s="1241"/>
      <c r="BL37" s="307"/>
      <c r="BM37" s="1240"/>
      <c r="BN37" s="307"/>
      <c r="BO37" s="307"/>
      <c r="BP37" s="1241"/>
      <c r="BQ37" s="307"/>
      <c r="BR37" s="1240"/>
      <c r="BS37" s="307"/>
      <c r="BT37" s="307"/>
      <c r="BU37" s="1241"/>
      <c r="BV37" s="307"/>
      <c r="BW37" s="1240"/>
      <c r="BX37" s="307"/>
      <c r="BY37" s="307"/>
      <c r="BZ37" s="1241"/>
      <c r="CA37" s="307"/>
      <c r="CB37" s="1240"/>
      <c r="CC37" s="307"/>
      <c r="CD37" s="307"/>
      <c r="CE37" s="1275"/>
      <c r="CF37" s="762"/>
      <c r="CG37" s="1280"/>
      <c r="CH37" s="762"/>
      <c r="CI37" s="307"/>
      <c r="CJ37" s="1275"/>
      <c r="CK37" s="762"/>
      <c r="CL37" s="1240"/>
      <c r="CM37" s="307"/>
      <c r="CN37" s="307"/>
      <c r="CO37" s="1241"/>
      <c r="CP37" s="307"/>
      <c r="CQ37" s="1240"/>
      <c r="CR37" s="307"/>
      <c r="CS37" s="307"/>
      <c r="CT37" s="1241"/>
      <c r="CU37" s="307"/>
      <c r="CV37" s="1240"/>
      <c r="CW37" s="307"/>
      <c r="CX37" s="307"/>
      <c r="CY37" s="1241"/>
      <c r="CZ37" s="307"/>
    </row>
    <row r="38" spans="1:104" ht="13.5" customHeight="1" outlineLevel="2">
      <c r="A38" s="305"/>
      <c r="B38" s="305" t="s">
        <v>179</v>
      </c>
      <c r="C38" s="305"/>
      <c r="D38" s="306"/>
      <c r="E38" s="306"/>
      <c r="F38" s="306"/>
      <c r="G38" s="306"/>
      <c r="H38" s="334"/>
      <c r="I38" s="334"/>
      <c r="J38" s="334"/>
      <c r="K38" s="334"/>
      <c r="L38" s="334"/>
      <c r="M38" s="334"/>
      <c r="N38" s="334"/>
      <c r="O38" s="334"/>
      <c r="P38" s="334"/>
      <c r="Q38" s="334"/>
      <c r="R38" s="334"/>
      <c r="S38" s="334"/>
      <c r="T38" s="334"/>
      <c r="U38" s="334"/>
      <c r="V38" s="334"/>
      <c r="W38" s="334"/>
      <c r="X38" s="334"/>
      <c r="Y38" s="334"/>
      <c r="Z38" s="334"/>
      <c r="AA38" s="334"/>
      <c r="AB38" s="334"/>
      <c r="AC38" s="334"/>
      <c r="AD38" s="334"/>
      <c r="AE38" s="334"/>
      <c r="AF38" s="334"/>
      <c r="AG38" s="334"/>
      <c r="AH38" s="334"/>
      <c r="AI38" s="334"/>
      <c r="AJ38" s="334"/>
      <c r="AK38" s="334"/>
      <c r="AL38" s="334"/>
      <c r="AM38" s="334"/>
      <c r="AN38" s="334"/>
      <c r="AO38" s="334"/>
      <c r="AP38" s="334"/>
      <c r="AQ38" s="316"/>
      <c r="AR38" s="316"/>
      <c r="AS38" s="1236">
        <f>+AR40</f>
        <v>350</v>
      </c>
      <c r="AT38" s="607">
        <f>+AS40</f>
        <v>350</v>
      </c>
      <c r="AU38" s="607">
        <f>+AT40</f>
        <v>350</v>
      </c>
      <c r="AV38" s="1237">
        <f>+AU40</f>
        <v>350</v>
      </c>
      <c r="AW38" s="317"/>
      <c r="AX38" s="1236">
        <f>+AW40</f>
        <v>350</v>
      </c>
      <c r="AY38" s="607">
        <f>+AX40</f>
        <v>350</v>
      </c>
      <c r="AZ38" s="607">
        <f>+AY40</f>
        <v>350</v>
      </c>
      <c r="BA38" s="1237">
        <f>+AZ40</f>
        <v>350</v>
      </c>
      <c r="BB38" s="317"/>
      <c r="BC38" s="1236">
        <f>+BB40</f>
        <v>350</v>
      </c>
      <c r="BD38" s="607">
        <f>+BC40</f>
        <v>350</v>
      </c>
      <c r="BE38" s="607">
        <f>+BD40</f>
        <v>350</v>
      </c>
      <c r="BF38" s="1237">
        <f>+BE40</f>
        <v>350</v>
      </c>
      <c r="BG38" s="317"/>
      <c r="BH38" s="1236">
        <f>+BG40</f>
        <v>350</v>
      </c>
      <c r="BI38" s="607">
        <f>+BH40</f>
        <v>350</v>
      </c>
      <c r="BJ38" s="607">
        <f>+BI40</f>
        <v>350</v>
      </c>
      <c r="BK38" s="1237">
        <f>+BJ40</f>
        <v>350</v>
      </c>
      <c r="BL38" s="317"/>
      <c r="BM38" s="1236">
        <f>+BL40</f>
        <v>0</v>
      </c>
      <c r="BN38" s="607">
        <f>+BM40</f>
        <v>0</v>
      </c>
      <c r="BO38" s="607">
        <f>+BN40</f>
        <v>0</v>
      </c>
      <c r="BP38" s="1237">
        <f>+BO40</f>
        <v>0</v>
      </c>
      <c r="BQ38" s="317"/>
      <c r="BR38" s="1236">
        <f>+BQ40</f>
        <v>0</v>
      </c>
      <c r="BS38" s="607">
        <f>+BR40</f>
        <v>0</v>
      </c>
      <c r="BT38" s="607">
        <f>+BS40</f>
        <v>0</v>
      </c>
      <c r="BU38" s="1237">
        <f>+BT40</f>
        <v>0</v>
      </c>
      <c r="BV38" s="317"/>
      <c r="BW38" s="1236">
        <f>+BV40</f>
        <v>0</v>
      </c>
      <c r="BX38" s="607">
        <f>+BW40</f>
        <v>0</v>
      </c>
      <c r="BY38" s="607">
        <f>+BX40</f>
        <v>0</v>
      </c>
      <c r="BZ38" s="1237">
        <f>+BY40</f>
        <v>0</v>
      </c>
      <c r="CA38" s="317"/>
      <c r="CB38" s="1236">
        <f>+CA40</f>
        <v>0</v>
      </c>
      <c r="CC38" s="607">
        <f>+CB40</f>
        <v>0</v>
      </c>
      <c r="CD38" s="607">
        <f>+CC40</f>
        <v>0</v>
      </c>
      <c r="CE38" s="1237">
        <f>+CD40</f>
        <v>0</v>
      </c>
      <c r="CF38" s="607"/>
      <c r="CG38" s="1236">
        <f>+CF40</f>
        <v>0</v>
      </c>
      <c r="CH38" s="607">
        <f>+CG40</f>
        <v>0</v>
      </c>
      <c r="CI38" s="607">
        <f>+CH40</f>
        <v>0</v>
      </c>
      <c r="CJ38" s="1237">
        <f>+CI40</f>
        <v>0</v>
      </c>
      <c r="CK38" s="607"/>
      <c r="CL38" s="1236">
        <f>+CK40</f>
        <v>0</v>
      </c>
      <c r="CM38" s="607">
        <f>+CL40</f>
        <v>0</v>
      </c>
      <c r="CN38" s="607">
        <f>+CM40</f>
        <v>0</v>
      </c>
      <c r="CO38" s="1237">
        <f>+CN40</f>
        <v>0</v>
      </c>
      <c r="CP38" s="317"/>
      <c r="CQ38" s="1236">
        <f>+CP40</f>
        <v>0</v>
      </c>
      <c r="CR38" s="607">
        <f>+CQ40</f>
        <v>0</v>
      </c>
      <c r="CS38" s="607">
        <f>+CR40</f>
        <v>0</v>
      </c>
      <c r="CT38" s="1237">
        <f>+CS40</f>
        <v>0</v>
      </c>
      <c r="CU38" s="317"/>
      <c r="CV38" s="1236"/>
      <c r="CW38" s="607"/>
      <c r="CX38" s="607"/>
      <c r="CY38" s="1237"/>
      <c r="CZ38" s="317"/>
    </row>
    <row r="39" spans="1:104" ht="13.5" customHeight="1" outlineLevel="2">
      <c r="A39" s="305"/>
      <c r="B39" s="305" t="s">
        <v>181</v>
      </c>
      <c r="C39" s="305"/>
      <c r="D39" s="306"/>
      <c r="E39" s="306"/>
      <c r="F39" s="306"/>
      <c r="G39" s="306"/>
      <c r="H39" s="334"/>
      <c r="I39" s="334"/>
      <c r="J39" s="334"/>
      <c r="K39" s="334"/>
      <c r="L39" s="334"/>
      <c r="M39" s="334"/>
      <c r="N39" s="334"/>
      <c r="O39" s="334"/>
      <c r="P39" s="334"/>
      <c r="Q39" s="334"/>
      <c r="R39" s="334"/>
      <c r="S39" s="334"/>
      <c r="T39" s="334"/>
      <c r="U39" s="334"/>
      <c r="V39" s="334"/>
      <c r="W39" s="334"/>
      <c r="X39" s="334"/>
      <c r="Y39" s="334"/>
      <c r="Z39" s="334"/>
      <c r="AA39" s="334"/>
      <c r="AB39" s="334"/>
      <c r="AC39" s="334"/>
      <c r="AD39" s="334"/>
      <c r="AE39" s="334"/>
      <c r="AF39" s="334"/>
      <c r="AG39" s="334"/>
      <c r="AH39" s="334"/>
      <c r="AI39" s="334"/>
      <c r="AJ39" s="334"/>
      <c r="AK39" s="334"/>
      <c r="AL39" s="334"/>
      <c r="AM39" s="334"/>
      <c r="AN39" s="334"/>
      <c r="AO39" s="334"/>
      <c r="AP39" s="334"/>
      <c r="AQ39" s="606">
        <v>0</v>
      </c>
      <c r="AR39" s="316"/>
      <c r="AS39" s="1238">
        <v>0</v>
      </c>
      <c r="AT39" s="605">
        <v>0</v>
      </c>
      <c r="AU39" s="605">
        <v>0</v>
      </c>
      <c r="AV39" s="1239">
        <v>0</v>
      </c>
      <c r="AW39" s="317"/>
      <c r="AX39" s="1238">
        <v>0</v>
      </c>
      <c r="AY39" s="605">
        <v>0</v>
      </c>
      <c r="AZ39" s="605">
        <v>0</v>
      </c>
      <c r="BA39" s="1239">
        <v>0</v>
      </c>
      <c r="BB39" s="317"/>
      <c r="BC39" s="1238">
        <v>0</v>
      </c>
      <c r="BD39" s="605">
        <v>0</v>
      </c>
      <c r="BE39" s="605">
        <v>0</v>
      </c>
      <c r="BF39" s="1239">
        <v>0</v>
      </c>
      <c r="BG39" s="317"/>
      <c r="BH39" s="1238">
        <v>0</v>
      </c>
      <c r="BI39" s="605">
        <v>0</v>
      </c>
      <c r="BJ39" s="605">
        <v>0</v>
      </c>
      <c r="BK39" s="1239">
        <v>-350</v>
      </c>
      <c r="BL39" s="317"/>
      <c r="BM39" s="1238">
        <v>0</v>
      </c>
      <c r="BN39" s="605">
        <v>0</v>
      </c>
      <c r="BO39" s="605">
        <v>0</v>
      </c>
      <c r="BP39" s="1239">
        <v>0</v>
      </c>
      <c r="BQ39" s="317"/>
      <c r="BR39" s="1238">
        <v>0</v>
      </c>
      <c r="BS39" s="605">
        <v>0</v>
      </c>
      <c r="BT39" s="605">
        <v>0</v>
      </c>
      <c r="BU39" s="1239">
        <v>0</v>
      </c>
      <c r="BV39" s="317"/>
      <c r="BW39" s="1238">
        <v>0</v>
      </c>
      <c r="BX39" s="605">
        <v>0</v>
      </c>
      <c r="BY39" s="605">
        <v>0</v>
      </c>
      <c r="BZ39" s="1239">
        <v>0</v>
      </c>
      <c r="CA39" s="317"/>
      <c r="CB39" s="1238">
        <v>0</v>
      </c>
      <c r="CC39" s="605">
        <v>0</v>
      </c>
      <c r="CD39" s="605">
        <v>0</v>
      </c>
      <c r="CE39" s="1239">
        <v>0</v>
      </c>
      <c r="CF39" s="607"/>
      <c r="CG39" s="1238">
        <v>0</v>
      </c>
      <c r="CH39" s="605">
        <v>0</v>
      </c>
      <c r="CI39" s="605">
        <v>0</v>
      </c>
      <c r="CJ39" s="1239">
        <v>0</v>
      </c>
      <c r="CK39" s="607"/>
      <c r="CL39" s="1238">
        <v>0</v>
      </c>
      <c r="CM39" s="605">
        <v>0</v>
      </c>
      <c r="CN39" s="605">
        <v>0</v>
      </c>
      <c r="CO39" s="1239">
        <v>0</v>
      </c>
      <c r="CP39" s="317"/>
      <c r="CQ39" s="1238">
        <v>0</v>
      </c>
      <c r="CR39" s="605">
        <v>0</v>
      </c>
      <c r="CS39" s="605">
        <v>0</v>
      </c>
      <c r="CT39" s="1239">
        <v>0</v>
      </c>
      <c r="CU39" s="317"/>
      <c r="CV39" s="1238"/>
      <c r="CW39" s="605"/>
      <c r="CX39" s="605"/>
      <c r="CY39" s="1239"/>
      <c r="CZ39" s="317"/>
    </row>
    <row r="40" spans="1:104" ht="13.5" customHeight="1" outlineLevel="2">
      <c r="A40" s="305"/>
      <c r="B40" s="305" t="s">
        <v>182</v>
      </c>
      <c r="C40" s="305"/>
      <c r="D40" s="306"/>
      <c r="E40" s="306"/>
      <c r="F40" s="306"/>
      <c r="G40" s="306"/>
      <c r="H40" s="335">
        <v>0</v>
      </c>
      <c r="I40" s="335"/>
      <c r="J40" s="335"/>
      <c r="K40" s="335"/>
      <c r="L40" s="335"/>
      <c r="M40" s="335"/>
      <c r="N40" s="335"/>
      <c r="O40" s="335"/>
      <c r="P40" s="335"/>
      <c r="Q40" s="335"/>
      <c r="R40" s="335"/>
      <c r="S40" s="335"/>
      <c r="T40" s="335"/>
      <c r="U40" s="335"/>
      <c r="V40" s="335"/>
      <c r="W40" s="335"/>
      <c r="X40" s="335"/>
      <c r="Y40" s="335"/>
      <c r="Z40" s="335"/>
      <c r="AA40" s="335"/>
      <c r="AB40" s="335"/>
      <c r="AC40" s="335"/>
      <c r="AD40" s="335"/>
      <c r="AE40" s="335"/>
      <c r="AF40" s="335"/>
      <c r="AG40" s="335"/>
      <c r="AH40" s="335"/>
      <c r="AI40" s="335"/>
      <c r="AJ40" s="335"/>
      <c r="AK40" s="335"/>
      <c r="AL40" s="335"/>
      <c r="AM40" s="335"/>
      <c r="AN40" s="335"/>
      <c r="AO40" s="335"/>
      <c r="AP40" s="335"/>
      <c r="AQ40" s="606">
        <v>350</v>
      </c>
      <c r="AR40" s="316">
        <f>+AQ40</f>
        <v>350</v>
      </c>
      <c r="AS40" s="1236">
        <f>+AS38+AS39</f>
        <v>350</v>
      </c>
      <c r="AT40" s="607">
        <f>+AT38+AT39</f>
        <v>350</v>
      </c>
      <c r="AU40" s="607">
        <f>+AU38+AU39</f>
        <v>350</v>
      </c>
      <c r="AV40" s="1237">
        <f>+AV38+AV39</f>
        <v>350</v>
      </c>
      <c r="AW40" s="607">
        <f>+AV40</f>
        <v>350</v>
      </c>
      <c r="AX40" s="1236">
        <f>+AX38+AX39</f>
        <v>350</v>
      </c>
      <c r="AY40" s="607">
        <f>+AY38+AY39</f>
        <v>350</v>
      </c>
      <c r="AZ40" s="607">
        <f>+AZ38+AZ39</f>
        <v>350</v>
      </c>
      <c r="BA40" s="1237">
        <f>+BA38+BA39</f>
        <v>350</v>
      </c>
      <c r="BB40" s="607">
        <f>+BA40</f>
        <v>350</v>
      </c>
      <c r="BC40" s="1236">
        <f>+BC38+BC39</f>
        <v>350</v>
      </c>
      <c r="BD40" s="607">
        <f>+BD38+BD39</f>
        <v>350</v>
      </c>
      <c r="BE40" s="607">
        <f>+BE38+BE39</f>
        <v>350</v>
      </c>
      <c r="BF40" s="1237">
        <f>+BF38+BF39</f>
        <v>350</v>
      </c>
      <c r="BG40" s="607">
        <f>+BF40</f>
        <v>350</v>
      </c>
      <c r="BH40" s="1236">
        <f>+BH38+BH39</f>
        <v>350</v>
      </c>
      <c r="BI40" s="607">
        <f>+BI38+BI39</f>
        <v>350</v>
      </c>
      <c r="BJ40" s="607">
        <f>+BJ38+BJ39</f>
        <v>350</v>
      </c>
      <c r="BK40" s="1237">
        <f>+BK38+BK39</f>
        <v>0</v>
      </c>
      <c r="BL40" s="607">
        <f>+BK40</f>
        <v>0</v>
      </c>
      <c r="BM40" s="1236">
        <f>+BM38+BM39</f>
        <v>0</v>
      </c>
      <c r="BN40" s="607">
        <f>+BN38+BN39</f>
        <v>0</v>
      </c>
      <c r="BO40" s="607">
        <f>+BO38+BO39</f>
        <v>0</v>
      </c>
      <c r="BP40" s="1237">
        <f>+BP38+BP39</f>
        <v>0</v>
      </c>
      <c r="BQ40" s="607">
        <f>+BP40</f>
        <v>0</v>
      </c>
      <c r="BR40" s="1236">
        <f>+BR38+BR39</f>
        <v>0</v>
      </c>
      <c r="BS40" s="607">
        <f>+BS38+BS39</f>
        <v>0</v>
      </c>
      <c r="BT40" s="607">
        <f>+BT38+BT39</f>
        <v>0</v>
      </c>
      <c r="BU40" s="1237">
        <f>+BU38+BU39</f>
        <v>0</v>
      </c>
      <c r="BV40" s="607">
        <f>+BU40</f>
        <v>0</v>
      </c>
      <c r="BW40" s="1236">
        <f>+BW38+BW39</f>
        <v>0</v>
      </c>
      <c r="BX40" s="607">
        <f>+BX38+BX39</f>
        <v>0</v>
      </c>
      <c r="BY40" s="607">
        <f>+BY38+BY39</f>
        <v>0</v>
      </c>
      <c r="BZ40" s="1237">
        <f>+BZ38+BZ39</f>
        <v>0</v>
      </c>
      <c r="CA40" s="607">
        <f>+BZ40</f>
        <v>0</v>
      </c>
      <c r="CB40" s="1236">
        <f>+CB38+CB39</f>
        <v>0</v>
      </c>
      <c r="CC40" s="607">
        <f>+CC38+CC39</f>
        <v>0</v>
      </c>
      <c r="CD40" s="607">
        <f>+CD38+CD39</f>
        <v>0</v>
      </c>
      <c r="CE40" s="1237">
        <f>+CE38+CE39</f>
        <v>0</v>
      </c>
      <c r="CF40" s="607">
        <f>+CE40</f>
        <v>0</v>
      </c>
      <c r="CG40" s="1236">
        <f>+CG38+CG39</f>
        <v>0</v>
      </c>
      <c r="CH40" s="607">
        <f>+CH38+CH39</f>
        <v>0</v>
      </c>
      <c r="CI40" s="607">
        <f>+CI38+CI39</f>
        <v>0</v>
      </c>
      <c r="CJ40" s="1237">
        <f>+CJ38+CJ39</f>
        <v>0</v>
      </c>
      <c r="CK40" s="607">
        <f>+CJ40</f>
        <v>0</v>
      </c>
      <c r="CL40" s="1236">
        <f>+CL38+CL39</f>
        <v>0</v>
      </c>
      <c r="CM40" s="607">
        <f>+CM38+CM39</f>
        <v>0</v>
      </c>
      <c r="CN40" s="607">
        <f>+CN38+CN39</f>
        <v>0</v>
      </c>
      <c r="CO40" s="1237">
        <f>+CO38+CO39</f>
        <v>0</v>
      </c>
      <c r="CP40" s="607">
        <f>+CO40</f>
        <v>0</v>
      </c>
      <c r="CQ40" s="1236">
        <f>+CQ38+CQ39</f>
        <v>0</v>
      </c>
      <c r="CR40" s="607">
        <f>+CR38+CR39</f>
        <v>0</v>
      </c>
      <c r="CS40" s="607">
        <f>+CS38+CS39</f>
        <v>0</v>
      </c>
      <c r="CT40" s="1237">
        <f>+CT38+CT39</f>
        <v>0</v>
      </c>
      <c r="CU40" s="607">
        <f>+CT40</f>
        <v>0</v>
      </c>
      <c r="CV40" s="1236"/>
      <c r="CW40" s="607"/>
      <c r="CX40" s="607"/>
      <c r="CY40" s="1237"/>
      <c r="CZ40" s="607"/>
    </row>
    <row r="41" spans="1:104" ht="13.5" customHeight="1" outlineLevel="2">
      <c r="A41" s="305"/>
      <c r="B41" s="305" t="s">
        <v>183</v>
      </c>
      <c r="C41" s="305"/>
      <c r="D41" s="306"/>
      <c r="E41" s="306"/>
      <c r="F41" s="306"/>
      <c r="G41" s="306"/>
      <c r="H41" s="334"/>
      <c r="I41" s="334"/>
      <c r="J41" s="334"/>
      <c r="K41" s="334"/>
      <c r="L41" s="334"/>
      <c r="M41" s="334"/>
      <c r="N41" s="334"/>
      <c r="O41" s="334"/>
      <c r="P41" s="334"/>
      <c r="Q41" s="334"/>
      <c r="R41" s="334"/>
      <c r="S41" s="334"/>
      <c r="T41" s="334"/>
      <c r="U41" s="334"/>
      <c r="V41" s="334"/>
      <c r="W41" s="334"/>
      <c r="X41" s="334"/>
      <c r="Y41" s="334"/>
      <c r="Z41" s="334"/>
      <c r="AA41" s="334"/>
      <c r="AB41" s="334"/>
      <c r="AC41" s="334"/>
      <c r="AD41" s="334"/>
      <c r="AE41" s="334"/>
      <c r="AF41" s="334"/>
      <c r="AG41" s="334"/>
      <c r="AH41" s="334"/>
      <c r="AI41" s="334"/>
      <c r="AJ41" s="334"/>
      <c r="AK41" s="334"/>
      <c r="AL41" s="334"/>
      <c r="AM41" s="334"/>
      <c r="AN41" s="334"/>
      <c r="AO41" s="334"/>
      <c r="AP41" s="334"/>
      <c r="AQ41" s="316"/>
      <c r="AR41" s="316"/>
      <c r="AS41" s="1236">
        <f>+AVERAGE(AS38,AS40)</f>
        <v>350</v>
      </c>
      <c r="AT41" s="607">
        <f>+AVERAGE(AT38,AT40)</f>
        <v>350</v>
      </c>
      <c r="AU41" s="607">
        <f>+AVERAGE(AU38,AU40)</f>
        <v>350</v>
      </c>
      <c r="AV41" s="1237">
        <f>+AVERAGE(AV38,AV40)</f>
        <v>350</v>
      </c>
      <c r="AW41" s="317"/>
      <c r="AX41" s="1236">
        <f>+AVERAGE(AX38,AX40)</f>
        <v>350</v>
      </c>
      <c r="AY41" s="607">
        <f>+AVERAGE(AY38,AY40)</f>
        <v>350</v>
      </c>
      <c r="AZ41" s="607">
        <f>+AVERAGE(AZ38,AZ40)</f>
        <v>350</v>
      </c>
      <c r="BA41" s="1237">
        <f>+AVERAGE(BA38,BA40)</f>
        <v>350</v>
      </c>
      <c r="BB41" s="317"/>
      <c r="BC41" s="1236">
        <f>+AVERAGE(BC38,BC40)</f>
        <v>350</v>
      </c>
      <c r="BD41" s="607">
        <f>+AVERAGE(BD38,BD40)</f>
        <v>350</v>
      </c>
      <c r="BE41" s="607">
        <f>+AVERAGE(BE38,BE40)</f>
        <v>350</v>
      </c>
      <c r="BF41" s="1237">
        <f>+AVERAGE(BF38,BF40)</f>
        <v>350</v>
      </c>
      <c r="BG41" s="317"/>
      <c r="BH41" s="1236">
        <f>+AVERAGE(BH38,BH40)</f>
        <v>350</v>
      </c>
      <c r="BI41" s="607">
        <f>+AVERAGE(BI38,BI40)</f>
        <v>350</v>
      </c>
      <c r="BJ41" s="607">
        <f>+AVERAGE(BJ38,BJ40)</f>
        <v>350</v>
      </c>
      <c r="BK41" s="1237">
        <f>+AVERAGE(BK38,BK40)</f>
        <v>175</v>
      </c>
      <c r="BL41" s="317"/>
      <c r="BM41" s="1236">
        <f>+AVERAGE(BM38,BM40)</f>
        <v>0</v>
      </c>
      <c r="BN41" s="607">
        <f>+AVERAGE(BN38,BN40)</f>
        <v>0</v>
      </c>
      <c r="BO41" s="607">
        <f>+AVERAGE(BO38,BO40)</f>
        <v>0</v>
      </c>
      <c r="BP41" s="1237">
        <f>+AVERAGE(BP38,BP40)</f>
        <v>0</v>
      </c>
      <c r="BQ41" s="317"/>
      <c r="BR41" s="1236">
        <f>+AVERAGE(BR38,BR40)</f>
        <v>0</v>
      </c>
      <c r="BS41" s="607">
        <f>+AVERAGE(BS38,BS40)</f>
        <v>0</v>
      </c>
      <c r="BT41" s="607">
        <f>+AVERAGE(BT38,BT40)</f>
        <v>0</v>
      </c>
      <c r="BU41" s="1237">
        <f>+AVERAGE(BU38,BU40)</f>
        <v>0</v>
      </c>
      <c r="BV41" s="317"/>
      <c r="BW41" s="1236">
        <f>+AVERAGE(BW38,BW40)</f>
        <v>0</v>
      </c>
      <c r="BX41" s="607">
        <f>+AVERAGE(BX38,BX40)</f>
        <v>0</v>
      </c>
      <c r="BY41" s="607">
        <f>+AVERAGE(BY38,BY40)</f>
        <v>0</v>
      </c>
      <c r="BZ41" s="1237">
        <f>+AVERAGE(BZ38,BZ40)</f>
        <v>0</v>
      </c>
      <c r="CA41" s="317"/>
      <c r="CB41" s="1236">
        <f>+AVERAGE(CB38,CB40)</f>
        <v>0</v>
      </c>
      <c r="CC41" s="607">
        <f>+AVERAGE(CC38,CC40)</f>
        <v>0</v>
      </c>
      <c r="CD41" s="607">
        <f>+AVERAGE(CD38,CD40)</f>
        <v>0</v>
      </c>
      <c r="CE41" s="1237">
        <f>+AVERAGE(CE38,CE40)</f>
        <v>0</v>
      </c>
      <c r="CF41" s="607"/>
      <c r="CG41" s="1236">
        <f>+AVERAGE(CG38,CG40)</f>
        <v>0</v>
      </c>
      <c r="CH41" s="607">
        <f>+AVERAGE(CH38,CH40)</f>
        <v>0</v>
      </c>
      <c r="CI41" s="607">
        <f>+AVERAGE(CI38,CI40)</f>
        <v>0</v>
      </c>
      <c r="CJ41" s="1237">
        <f>+AVERAGE(CJ38,CJ40)</f>
        <v>0</v>
      </c>
      <c r="CK41" s="607"/>
      <c r="CL41" s="1236">
        <f>+AVERAGE(CL38,CL40)</f>
        <v>0</v>
      </c>
      <c r="CM41" s="607">
        <f>+AVERAGE(CM38,CM40)</f>
        <v>0</v>
      </c>
      <c r="CN41" s="607">
        <f>+AVERAGE(CN38,CN40)</f>
        <v>0</v>
      </c>
      <c r="CO41" s="1237">
        <f>+AVERAGE(CO38,CO40)</f>
        <v>0</v>
      </c>
      <c r="CP41" s="317"/>
      <c r="CQ41" s="1236">
        <f>+AVERAGE(CQ38,CQ40)</f>
        <v>0</v>
      </c>
      <c r="CR41" s="607">
        <f>+AVERAGE(CR38,CR40)</f>
        <v>0</v>
      </c>
      <c r="CS41" s="607">
        <f>+AVERAGE(CS38,CS40)</f>
        <v>0</v>
      </c>
      <c r="CT41" s="1237">
        <f>+AVERAGE(CT38,CT40)</f>
        <v>0</v>
      </c>
      <c r="CU41" s="317"/>
      <c r="CV41" s="1236"/>
      <c r="CW41" s="607"/>
      <c r="CX41" s="607"/>
      <c r="CY41" s="1237"/>
      <c r="CZ41" s="317"/>
    </row>
    <row r="42" spans="1:104" ht="13.5" customHeight="1" outlineLevel="2">
      <c r="A42" s="305"/>
      <c r="B42" s="305" t="s">
        <v>575</v>
      </c>
      <c r="C42" s="305"/>
      <c r="D42" s="306"/>
      <c r="E42" s="306"/>
      <c r="F42" s="306"/>
      <c r="G42" s="306"/>
      <c r="H42" s="334"/>
      <c r="I42" s="334"/>
      <c r="J42" s="334"/>
      <c r="K42" s="334"/>
      <c r="L42" s="334"/>
      <c r="M42" s="334"/>
      <c r="N42" s="334"/>
      <c r="O42" s="334"/>
      <c r="P42" s="334"/>
      <c r="Q42" s="334"/>
      <c r="R42" s="334"/>
      <c r="S42" s="334"/>
      <c r="T42" s="334"/>
      <c r="U42" s="334"/>
      <c r="V42" s="334"/>
      <c r="W42" s="334"/>
      <c r="X42" s="334"/>
      <c r="Y42" s="334"/>
      <c r="Z42" s="334"/>
      <c r="AA42" s="334"/>
      <c r="AB42" s="334"/>
      <c r="AC42" s="334"/>
      <c r="AD42" s="334"/>
      <c r="AE42" s="334"/>
      <c r="AF42" s="334"/>
      <c r="AG42" s="334"/>
      <c r="AH42" s="334"/>
      <c r="AI42" s="334"/>
      <c r="AJ42" s="334"/>
      <c r="AK42" s="334"/>
      <c r="AL42" s="334"/>
      <c r="AM42" s="334"/>
      <c r="AN42" s="334"/>
      <c r="AO42" s="334"/>
      <c r="AP42" s="334"/>
      <c r="AQ42" s="316"/>
      <c r="AR42" s="316"/>
      <c r="AS42" s="1236">
        <f>+AS41*$G37/4</f>
        <v>4.265625</v>
      </c>
      <c r="AT42" s="607">
        <f>+AT41*$G37/4</f>
        <v>4.265625</v>
      </c>
      <c r="AU42" s="607">
        <f>+AU41*$G37/4</f>
        <v>4.265625</v>
      </c>
      <c r="AV42" s="1237">
        <f>+AV41*$G37/4</f>
        <v>4.265625</v>
      </c>
      <c r="AW42" s="317"/>
      <c r="AX42" s="1236">
        <f>+AX41*$G37/4</f>
        <v>4.265625</v>
      </c>
      <c r="AY42" s="607">
        <f>+AY41*$G37/4</f>
        <v>4.265625</v>
      </c>
      <c r="AZ42" s="607">
        <f>+AZ41*$G37/4</f>
        <v>4.265625</v>
      </c>
      <c r="BA42" s="1237">
        <f>+BA41*$G37/4</f>
        <v>4.265625</v>
      </c>
      <c r="BB42" s="317"/>
      <c r="BC42" s="1236">
        <f>+BC41*$G37/4</f>
        <v>4.265625</v>
      </c>
      <c r="BD42" s="607">
        <f>+BD41*$G37/4</f>
        <v>4.265625</v>
      </c>
      <c r="BE42" s="607">
        <f>+BE41*$G37/4</f>
        <v>4.265625</v>
      </c>
      <c r="BF42" s="1237">
        <f>+BF41*$G37/4</f>
        <v>4.265625</v>
      </c>
      <c r="BG42" s="317"/>
      <c r="BH42" s="1236">
        <f>+BH41*$G37/4</f>
        <v>4.265625</v>
      </c>
      <c r="BI42" s="607">
        <f>+BI41*$G37/4</f>
        <v>4.265625</v>
      </c>
      <c r="BJ42" s="607">
        <f>+BJ41*$G37/4</f>
        <v>4.265625</v>
      </c>
      <c r="BK42" s="1237">
        <f>+BK41*$G37/4</f>
        <v>2.1328125</v>
      </c>
      <c r="BL42" s="317"/>
      <c r="BM42" s="1236">
        <f>+BM41*$G37/4</f>
        <v>0</v>
      </c>
      <c r="BN42" s="607">
        <f>+BN41*$G37/4</f>
        <v>0</v>
      </c>
      <c r="BO42" s="607">
        <f>+BO41*$G37/4</f>
        <v>0</v>
      </c>
      <c r="BP42" s="1237">
        <f>+BP41*$G37/4</f>
        <v>0</v>
      </c>
      <c r="BQ42" s="317"/>
      <c r="BR42" s="1236">
        <f>+BR41*$G37/4</f>
        <v>0</v>
      </c>
      <c r="BS42" s="607">
        <f>+BS41*$G37/4</f>
        <v>0</v>
      </c>
      <c r="BT42" s="607">
        <f>+BT41*$G37/4</f>
        <v>0</v>
      </c>
      <c r="BU42" s="1237">
        <f>+BU41*$G37/4</f>
        <v>0</v>
      </c>
      <c r="BV42" s="317"/>
      <c r="BW42" s="1236">
        <f>+BW41*$G37/4</f>
        <v>0</v>
      </c>
      <c r="BX42" s="607">
        <f>+BX41*$G37/4</f>
        <v>0</v>
      </c>
      <c r="BY42" s="607">
        <f>+BY41*$G37/4</f>
        <v>0</v>
      </c>
      <c r="BZ42" s="1237">
        <f>+BZ41*$G37/4</f>
        <v>0</v>
      </c>
      <c r="CA42" s="317"/>
      <c r="CB42" s="1236">
        <f>+CB41*$G37/4</f>
        <v>0</v>
      </c>
      <c r="CC42" s="607">
        <f>+CC41*$G37/4</f>
        <v>0</v>
      </c>
      <c r="CD42" s="607">
        <f>+CD41*$G37/4</f>
        <v>0</v>
      </c>
      <c r="CE42" s="1237">
        <f>+CE41*$G37/4</f>
        <v>0</v>
      </c>
      <c r="CF42" s="607"/>
      <c r="CG42" s="1236">
        <f>+CG41*$G37/4</f>
        <v>0</v>
      </c>
      <c r="CH42" s="607">
        <f>+CH41*$G37/4</f>
        <v>0</v>
      </c>
      <c r="CI42" s="607">
        <f>+CI41*$G37/4</f>
        <v>0</v>
      </c>
      <c r="CJ42" s="1237">
        <f>+CJ41*$G37/4</f>
        <v>0</v>
      </c>
      <c r="CK42" s="607"/>
      <c r="CL42" s="1236">
        <f>+CL41*$G37/4</f>
        <v>0</v>
      </c>
      <c r="CM42" s="607">
        <f>+CM41*$G37/4</f>
        <v>0</v>
      </c>
      <c r="CN42" s="607">
        <f>+CN41*$G37/4</f>
        <v>0</v>
      </c>
      <c r="CO42" s="1237">
        <f>+CO41*$G37/4</f>
        <v>0</v>
      </c>
      <c r="CP42" s="317"/>
      <c r="CQ42" s="1236">
        <f>+CQ41*$G37/4</f>
        <v>0</v>
      </c>
      <c r="CR42" s="607">
        <f>+CR41*$G37/4</f>
        <v>0</v>
      </c>
      <c r="CS42" s="607">
        <f>+CS41*$G37/4</f>
        <v>0</v>
      </c>
      <c r="CT42" s="1237">
        <f>+CT41*$G37/4</f>
        <v>0</v>
      </c>
      <c r="CU42" s="317"/>
      <c r="CV42" s="1236"/>
      <c r="CW42" s="607"/>
      <c r="CX42" s="607"/>
      <c r="CY42" s="1237"/>
      <c r="CZ42" s="317"/>
    </row>
    <row r="43" spans="1:104" ht="13.5" customHeight="1" outlineLevel="2">
      <c r="A43" s="305"/>
      <c r="B43" s="305" t="s">
        <v>184</v>
      </c>
      <c r="C43" s="305"/>
      <c r="D43" s="306"/>
      <c r="E43" s="306"/>
      <c r="F43" s="306"/>
      <c r="G43" s="306"/>
      <c r="H43" s="306"/>
      <c r="I43" s="306"/>
      <c r="J43" s="306"/>
      <c r="K43" s="306"/>
      <c r="L43" s="306"/>
      <c r="M43" s="306"/>
      <c r="N43" s="306"/>
      <c r="O43" s="306"/>
      <c r="P43" s="306"/>
      <c r="Q43" s="306"/>
      <c r="R43" s="306"/>
      <c r="S43" s="306"/>
      <c r="T43" s="306"/>
      <c r="U43" s="306"/>
      <c r="V43" s="306"/>
      <c r="W43" s="306"/>
      <c r="X43" s="306"/>
      <c r="Y43" s="306"/>
      <c r="Z43" s="306"/>
      <c r="AA43" s="306"/>
      <c r="AB43" s="306"/>
      <c r="AC43" s="306"/>
      <c r="AD43" s="306"/>
      <c r="AE43" s="306"/>
      <c r="AF43" s="306"/>
      <c r="AG43" s="306"/>
      <c r="AH43" s="306"/>
      <c r="AI43" s="306"/>
      <c r="AJ43" s="306"/>
      <c r="AK43" s="306"/>
      <c r="AL43" s="306"/>
      <c r="AM43" s="306"/>
      <c r="AN43" s="306"/>
      <c r="AO43" s="306"/>
      <c r="AP43" s="306"/>
      <c r="AQ43" s="316"/>
      <c r="AR43" s="332"/>
      <c r="AS43" s="1240"/>
      <c r="AT43" s="607">
        <f>+AS42+AT42</f>
        <v>8.53125</v>
      </c>
      <c r="AU43" s="307"/>
      <c r="AV43" s="1237">
        <f>+AU42+AV42</f>
        <v>8.53125</v>
      </c>
      <c r="AW43" s="307"/>
      <c r="AX43" s="1240"/>
      <c r="AY43" s="607">
        <f>+AX42+AY42</f>
        <v>8.53125</v>
      </c>
      <c r="AZ43" s="307"/>
      <c r="BA43" s="1237">
        <f>+AZ42+BA42</f>
        <v>8.53125</v>
      </c>
      <c r="BB43" s="317"/>
      <c r="BC43" s="1240"/>
      <c r="BD43" s="607">
        <f>+BC42+BD42</f>
        <v>8.53125</v>
      </c>
      <c r="BE43" s="307"/>
      <c r="BF43" s="1237">
        <f>+BE42+BF42</f>
        <v>8.53125</v>
      </c>
      <c r="BG43" s="317"/>
      <c r="BH43" s="1240"/>
      <c r="BI43" s="607">
        <f>+BH42+BI42</f>
        <v>8.53125</v>
      </c>
      <c r="BJ43" s="307"/>
      <c r="BK43" s="1237">
        <f>+BJ42+BK42</f>
        <v>6.3984375</v>
      </c>
      <c r="BL43" s="317"/>
      <c r="BM43" s="1240"/>
      <c r="BN43" s="607">
        <f>+BM42+BN42</f>
        <v>0</v>
      </c>
      <c r="BO43" s="307"/>
      <c r="BP43" s="1237">
        <f>+BO42+BP42</f>
        <v>0</v>
      </c>
      <c r="BQ43" s="317"/>
      <c r="BR43" s="1240"/>
      <c r="BS43" s="607">
        <f>+BR42+BS42</f>
        <v>0</v>
      </c>
      <c r="BT43" s="307"/>
      <c r="BU43" s="1237">
        <f>+BT42+BU42</f>
        <v>0</v>
      </c>
      <c r="BV43" s="317"/>
      <c r="BW43" s="1240"/>
      <c r="BX43" s="607">
        <f>+BW42+BX42</f>
        <v>0</v>
      </c>
      <c r="BY43" s="307"/>
      <c r="BZ43" s="1237">
        <f>+BY42+BZ42</f>
        <v>0</v>
      </c>
      <c r="CA43" s="317"/>
      <c r="CB43" s="1240"/>
      <c r="CC43" s="607">
        <f>+CB42+CC42</f>
        <v>0</v>
      </c>
      <c r="CD43" s="307"/>
      <c r="CE43" s="1237">
        <f>+CD42+CE42</f>
        <v>0</v>
      </c>
      <c r="CF43" s="607"/>
      <c r="CG43" s="1280"/>
      <c r="CH43" s="762">
        <f>+CG42+CH42</f>
        <v>0</v>
      </c>
      <c r="CI43" s="307"/>
      <c r="CJ43" s="1237">
        <f>+CI42+CJ42</f>
        <v>0</v>
      </c>
      <c r="CK43" s="607"/>
      <c r="CL43" s="1240"/>
      <c r="CM43" s="607">
        <f>+CL42+CM42</f>
        <v>0</v>
      </c>
      <c r="CN43" s="307"/>
      <c r="CO43" s="1237">
        <f>+CN42+CO42</f>
        <v>0</v>
      </c>
      <c r="CP43" s="317"/>
      <c r="CQ43" s="1240"/>
      <c r="CR43" s="607">
        <f>+CQ42+CR42</f>
        <v>0</v>
      </c>
      <c r="CS43" s="307"/>
      <c r="CT43" s="1237">
        <f>+CS42+CT42</f>
        <v>0</v>
      </c>
      <c r="CU43" s="317"/>
      <c r="CV43" s="1240"/>
      <c r="CW43" s="607"/>
      <c r="CX43" s="307"/>
      <c r="CY43" s="1237"/>
      <c r="CZ43" s="317"/>
    </row>
    <row r="44" spans="1:104" ht="6.2" customHeight="1" outlineLevel="2">
      <c r="A44" s="305"/>
      <c r="B44" s="305"/>
      <c r="C44" s="305"/>
      <c r="D44" s="306"/>
      <c r="E44" s="306"/>
      <c r="F44" s="306"/>
      <c r="G44" s="306"/>
      <c r="H44" s="306"/>
      <c r="I44" s="306"/>
      <c r="J44" s="306"/>
      <c r="K44" s="306"/>
      <c r="L44" s="306"/>
      <c r="M44" s="306"/>
      <c r="N44" s="306"/>
      <c r="O44" s="306"/>
      <c r="P44" s="306"/>
      <c r="Q44" s="306"/>
      <c r="R44" s="306"/>
      <c r="S44" s="306"/>
      <c r="T44" s="306"/>
      <c r="U44" s="306"/>
      <c r="V44" s="306"/>
      <c r="W44" s="306"/>
      <c r="X44" s="306"/>
      <c r="Y44" s="306"/>
      <c r="Z44" s="306"/>
      <c r="AA44" s="306"/>
      <c r="AB44" s="306"/>
      <c r="AC44" s="306"/>
      <c r="AD44" s="306"/>
      <c r="AE44" s="306"/>
      <c r="AF44" s="306"/>
      <c r="AG44" s="306"/>
      <c r="AH44" s="306"/>
      <c r="AI44" s="306"/>
      <c r="AJ44" s="306"/>
      <c r="AK44" s="306"/>
      <c r="AL44" s="306"/>
      <c r="AM44" s="306"/>
      <c r="AN44" s="306"/>
      <c r="AO44" s="306"/>
      <c r="AP44" s="306"/>
      <c r="AQ44" s="332"/>
      <c r="AR44" s="332"/>
      <c r="AS44" s="1240"/>
      <c r="AT44" s="307"/>
      <c r="AU44" s="307"/>
      <c r="AV44" s="1241"/>
      <c r="AW44" s="307"/>
      <c r="AX44" s="1240"/>
      <c r="AY44" s="307"/>
      <c r="AZ44" s="307"/>
      <c r="BA44" s="1241"/>
      <c r="BB44" s="307"/>
      <c r="BC44" s="1240"/>
      <c r="BD44" s="307"/>
      <c r="BE44" s="307"/>
      <c r="BF44" s="1241"/>
      <c r="BG44" s="307"/>
      <c r="BH44" s="1240"/>
      <c r="BI44" s="307"/>
      <c r="BJ44" s="307"/>
      <c r="BK44" s="1241"/>
      <c r="BL44" s="307"/>
      <c r="BM44" s="1240"/>
      <c r="BN44" s="307"/>
      <c r="BO44" s="307"/>
      <c r="BP44" s="1241"/>
      <c r="BQ44" s="307"/>
      <c r="BR44" s="1240"/>
      <c r="BS44" s="307"/>
      <c r="BT44" s="307"/>
      <c r="BU44" s="1241"/>
      <c r="BV44" s="307"/>
      <c r="BW44" s="1240"/>
      <c r="BX44" s="307"/>
      <c r="BY44" s="307"/>
      <c r="BZ44" s="1241"/>
      <c r="CA44" s="307"/>
      <c r="CB44" s="1240"/>
      <c r="CC44" s="307"/>
      <c r="CD44" s="307"/>
      <c r="CE44" s="1275"/>
      <c r="CF44" s="762"/>
      <c r="CG44" s="1280"/>
      <c r="CH44" s="762"/>
      <c r="CI44" s="307"/>
      <c r="CJ44" s="1275"/>
      <c r="CK44" s="762"/>
      <c r="CL44" s="1240"/>
      <c r="CM44" s="307"/>
      <c r="CN44" s="307"/>
      <c r="CO44" s="1241"/>
      <c r="CP44" s="307"/>
      <c r="CQ44" s="1240"/>
      <c r="CR44" s="307"/>
      <c r="CS44" s="307"/>
      <c r="CT44" s="1241"/>
      <c r="CU44" s="307"/>
      <c r="CV44" s="1240"/>
      <c r="CW44" s="307"/>
      <c r="CX44" s="307"/>
      <c r="CY44" s="1241"/>
      <c r="CZ44" s="307"/>
    </row>
    <row r="45" spans="1:104" ht="13.5" customHeight="1" outlineLevel="2">
      <c r="A45" s="315" t="s">
        <v>14</v>
      </c>
      <c r="B45" s="305"/>
      <c r="C45" s="305"/>
      <c r="D45" s="306"/>
      <c r="E45" s="306"/>
      <c r="F45" s="306"/>
      <c r="G45" s="333">
        <v>0.05</v>
      </c>
      <c r="H45" s="324">
        <v>41244</v>
      </c>
      <c r="I45" s="306"/>
      <c r="J45" s="306"/>
      <c r="K45" s="306"/>
      <c r="L45" s="306"/>
      <c r="M45" s="306"/>
      <c r="N45" s="306"/>
      <c r="O45" s="306"/>
      <c r="P45" s="306"/>
      <c r="Q45" s="306"/>
      <c r="R45" s="306"/>
      <c r="S45" s="306"/>
      <c r="T45" s="306"/>
      <c r="U45" s="306"/>
      <c r="V45" s="306"/>
      <c r="W45" s="306"/>
      <c r="X45" s="306"/>
      <c r="Y45" s="306"/>
      <c r="Z45" s="306"/>
      <c r="AA45" s="306"/>
      <c r="AB45" s="306"/>
      <c r="AC45" s="306"/>
      <c r="AD45" s="306"/>
      <c r="AE45" s="306"/>
      <c r="AF45" s="306"/>
      <c r="AG45" s="306"/>
      <c r="AH45" s="306"/>
      <c r="AI45" s="306"/>
      <c r="AJ45" s="306"/>
      <c r="AK45" s="306"/>
      <c r="AL45" s="306"/>
      <c r="AM45" s="306"/>
      <c r="AN45" s="306"/>
      <c r="AO45" s="306"/>
      <c r="AP45" s="306"/>
      <c r="AQ45" s="332"/>
      <c r="AR45" s="332"/>
      <c r="AS45" s="1240"/>
      <c r="AT45" s="307"/>
      <c r="AU45" s="307"/>
      <c r="AV45" s="1241"/>
      <c r="AW45" s="307"/>
      <c r="AX45" s="1240"/>
      <c r="AY45" s="307"/>
      <c r="AZ45" s="307"/>
      <c r="BA45" s="1241"/>
      <c r="BB45" s="307"/>
      <c r="BC45" s="1240"/>
      <c r="BD45" s="307"/>
      <c r="BE45" s="307"/>
      <c r="BF45" s="1241"/>
      <c r="BG45" s="307"/>
      <c r="BH45" s="1240"/>
      <c r="BI45" s="307"/>
      <c r="BJ45" s="307"/>
      <c r="BK45" s="1241"/>
      <c r="BL45" s="307"/>
      <c r="BM45" s="1240"/>
      <c r="BN45" s="307"/>
      <c r="BO45" s="307"/>
      <c r="BP45" s="1241"/>
      <c r="BQ45" s="307"/>
      <c r="BR45" s="1240"/>
      <c r="BS45" s="307"/>
      <c r="BT45" s="307"/>
      <c r="BU45" s="1241"/>
      <c r="BV45" s="307"/>
      <c r="BW45" s="1240"/>
      <c r="BX45" s="307"/>
      <c r="BY45" s="307"/>
      <c r="BZ45" s="1241"/>
      <c r="CA45" s="307"/>
      <c r="CB45" s="1240"/>
      <c r="CC45" s="307"/>
      <c r="CD45" s="307"/>
      <c r="CE45" s="1275"/>
      <c r="CF45" s="762"/>
      <c r="CG45" s="1280"/>
      <c r="CH45" s="762"/>
      <c r="CI45" s="307"/>
      <c r="CJ45" s="1275"/>
      <c r="CK45" s="762"/>
      <c r="CL45" s="1240"/>
      <c r="CM45" s="307"/>
      <c r="CN45" s="307"/>
      <c r="CO45" s="1241"/>
      <c r="CP45" s="307"/>
      <c r="CQ45" s="1240"/>
      <c r="CR45" s="307"/>
      <c r="CS45" s="307"/>
      <c r="CT45" s="1241"/>
      <c r="CU45" s="307"/>
      <c r="CV45" s="1240"/>
      <c r="CW45" s="307"/>
      <c r="CX45" s="307"/>
      <c r="CY45" s="1241"/>
      <c r="CZ45" s="307"/>
    </row>
    <row r="46" spans="1:104" ht="13.5" customHeight="1" outlineLevel="2">
      <c r="A46" s="305"/>
      <c r="B46" s="305" t="s">
        <v>179</v>
      </c>
      <c r="C46" s="305"/>
      <c r="D46" s="306"/>
      <c r="E46" s="306"/>
      <c r="F46" s="306"/>
      <c r="G46" s="306"/>
      <c r="H46" s="334"/>
      <c r="I46" s="334"/>
      <c r="J46" s="334"/>
      <c r="K46" s="334"/>
      <c r="L46" s="334"/>
      <c r="M46" s="334"/>
      <c r="N46" s="334"/>
      <c r="O46" s="334"/>
      <c r="P46" s="334"/>
      <c r="Q46" s="334"/>
      <c r="R46" s="334"/>
      <c r="S46" s="334"/>
      <c r="T46" s="334"/>
      <c r="U46" s="334"/>
      <c r="V46" s="334"/>
      <c r="W46" s="334"/>
      <c r="X46" s="334"/>
      <c r="Y46" s="334"/>
      <c r="Z46" s="334"/>
      <c r="AA46" s="334"/>
      <c r="AB46" s="334"/>
      <c r="AC46" s="334"/>
      <c r="AD46" s="334"/>
      <c r="AE46" s="334"/>
      <c r="AF46" s="334"/>
      <c r="AG46" s="334"/>
      <c r="AH46" s="334"/>
      <c r="AI46" s="334"/>
      <c r="AJ46" s="334"/>
      <c r="AK46" s="334"/>
      <c r="AL46" s="334"/>
      <c r="AM46" s="334"/>
      <c r="AN46" s="334"/>
      <c r="AO46" s="334"/>
      <c r="AP46" s="334"/>
      <c r="AQ46" s="316"/>
      <c r="AR46" s="316"/>
      <c r="AS46" s="1236">
        <f>+AR48</f>
        <v>300</v>
      </c>
      <c r="AT46" s="607">
        <f>+AS48</f>
        <v>300</v>
      </c>
      <c r="AU46" s="607">
        <f>+AT48</f>
        <v>300</v>
      </c>
      <c r="AV46" s="1237">
        <f>+AU48</f>
        <v>300</v>
      </c>
      <c r="AW46" s="317"/>
      <c r="AX46" s="1236">
        <f>+AW48</f>
        <v>300</v>
      </c>
      <c r="AY46" s="607">
        <f>+AX48</f>
        <v>300</v>
      </c>
      <c r="AZ46" s="607">
        <f>+AY48</f>
        <v>300</v>
      </c>
      <c r="BA46" s="1237">
        <f>+AZ48</f>
        <v>300</v>
      </c>
      <c r="BB46" s="317"/>
      <c r="BC46" s="1236">
        <f>+BB48</f>
        <v>300</v>
      </c>
      <c r="BD46" s="607">
        <f>+BC48</f>
        <v>300</v>
      </c>
      <c r="BE46" s="607">
        <f>+BD48</f>
        <v>300</v>
      </c>
      <c r="BF46" s="1237">
        <f>+BE48</f>
        <v>300</v>
      </c>
      <c r="BG46" s="317"/>
      <c r="BH46" s="1236">
        <f>+BG48</f>
        <v>300</v>
      </c>
      <c r="BI46" s="607">
        <f>+BH48</f>
        <v>300</v>
      </c>
      <c r="BJ46" s="607">
        <f>+BI48</f>
        <v>300</v>
      </c>
      <c r="BK46" s="1237">
        <f>+BJ48</f>
        <v>300</v>
      </c>
      <c r="BL46" s="317"/>
      <c r="BM46" s="1236">
        <f>+BL48</f>
        <v>0</v>
      </c>
      <c r="BN46" s="607">
        <f>+BM48</f>
        <v>0</v>
      </c>
      <c r="BO46" s="607">
        <f>+BN48</f>
        <v>0</v>
      </c>
      <c r="BP46" s="1237">
        <f>+BO48</f>
        <v>0</v>
      </c>
      <c r="BQ46" s="317"/>
      <c r="BR46" s="1236">
        <f>+BQ48</f>
        <v>0</v>
      </c>
      <c r="BS46" s="607">
        <f>+BR48</f>
        <v>0</v>
      </c>
      <c r="BT46" s="607">
        <f>+BS48</f>
        <v>0</v>
      </c>
      <c r="BU46" s="1237">
        <f>+BT48</f>
        <v>0</v>
      </c>
      <c r="BV46" s="317"/>
      <c r="BW46" s="1236">
        <f>+BV48</f>
        <v>0</v>
      </c>
      <c r="BX46" s="607">
        <f>+BW48</f>
        <v>0</v>
      </c>
      <c r="BY46" s="607">
        <f>+BX48</f>
        <v>0</v>
      </c>
      <c r="BZ46" s="1237">
        <f>+BY48</f>
        <v>0</v>
      </c>
      <c r="CA46" s="317"/>
      <c r="CB46" s="1236">
        <f>+CA48</f>
        <v>0</v>
      </c>
      <c r="CC46" s="607">
        <f>+CB48</f>
        <v>0</v>
      </c>
      <c r="CD46" s="607">
        <f>+CC48</f>
        <v>0</v>
      </c>
      <c r="CE46" s="1237">
        <f>+CD48</f>
        <v>0</v>
      </c>
      <c r="CF46" s="607"/>
      <c r="CG46" s="1236">
        <f>+CF48</f>
        <v>0</v>
      </c>
      <c r="CH46" s="607">
        <f>+CG48</f>
        <v>0</v>
      </c>
      <c r="CI46" s="607">
        <f>+CH48</f>
        <v>0</v>
      </c>
      <c r="CJ46" s="1237">
        <f>+CI48</f>
        <v>0</v>
      </c>
      <c r="CK46" s="607"/>
      <c r="CL46" s="1236">
        <f>+CK48</f>
        <v>0</v>
      </c>
      <c r="CM46" s="607">
        <f>+CL48</f>
        <v>0</v>
      </c>
      <c r="CN46" s="607">
        <f>+CM48</f>
        <v>0</v>
      </c>
      <c r="CO46" s="1237">
        <f>+CN48</f>
        <v>0</v>
      </c>
      <c r="CP46" s="317"/>
      <c r="CQ46" s="1236">
        <f>+CP48</f>
        <v>0</v>
      </c>
      <c r="CR46" s="607">
        <f>+CQ48</f>
        <v>0</v>
      </c>
      <c r="CS46" s="607">
        <f>+CR48</f>
        <v>0</v>
      </c>
      <c r="CT46" s="1237">
        <f>+CS48</f>
        <v>0</v>
      </c>
      <c r="CU46" s="317"/>
      <c r="CV46" s="1236"/>
      <c r="CW46" s="607"/>
      <c r="CX46" s="607"/>
      <c r="CY46" s="1237"/>
      <c r="CZ46" s="317"/>
    </row>
    <row r="47" spans="1:104" ht="13.5" customHeight="1" outlineLevel="2">
      <c r="A47" s="305"/>
      <c r="B47" s="305" t="s">
        <v>181</v>
      </c>
      <c r="C47" s="305"/>
      <c r="D47" s="306"/>
      <c r="E47" s="306"/>
      <c r="F47" s="306"/>
      <c r="G47" s="306"/>
      <c r="H47" s="334"/>
      <c r="I47" s="334"/>
      <c r="J47" s="334"/>
      <c r="K47" s="334"/>
      <c r="L47" s="334"/>
      <c r="M47" s="334"/>
      <c r="N47" s="334"/>
      <c r="O47" s="334"/>
      <c r="P47" s="334"/>
      <c r="Q47" s="334"/>
      <c r="R47" s="334"/>
      <c r="S47" s="334"/>
      <c r="T47" s="334"/>
      <c r="U47" s="334"/>
      <c r="V47" s="334"/>
      <c r="W47" s="334"/>
      <c r="X47" s="334"/>
      <c r="Y47" s="334"/>
      <c r="Z47" s="334"/>
      <c r="AA47" s="334"/>
      <c r="AB47" s="334"/>
      <c r="AC47" s="334"/>
      <c r="AD47" s="334"/>
      <c r="AE47" s="334"/>
      <c r="AF47" s="334"/>
      <c r="AG47" s="334"/>
      <c r="AH47" s="334"/>
      <c r="AI47" s="334"/>
      <c r="AJ47" s="334"/>
      <c r="AK47" s="334"/>
      <c r="AL47" s="334"/>
      <c r="AM47" s="334"/>
      <c r="AN47" s="334"/>
      <c r="AO47" s="334"/>
      <c r="AP47" s="334"/>
      <c r="AQ47" s="606">
        <v>0</v>
      </c>
      <c r="AR47" s="316"/>
      <c r="AS47" s="1238">
        <v>0</v>
      </c>
      <c r="AT47" s="605">
        <v>0</v>
      </c>
      <c r="AU47" s="605">
        <v>0</v>
      </c>
      <c r="AV47" s="1239">
        <v>0</v>
      </c>
      <c r="AW47" s="317"/>
      <c r="AX47" s="1238">
        <v>0</v>
      </c>
      <c r="AY47" s="605">
        <v>0</v>
      </c>
      <c r="AZ47" s="605">
        <v>0</v>
      </c>
      <c r="BA47" s="1239">
        <v>0</v>
      </c>
      <c r="BB47" s="317"/>
      <c r="BC47" s="1238">
        <v>0</v>
      </c>
      <c r="BD47" s="605">
        <v>0</v>
      </c>
      <c r="BE47" s="605">
        <v>0</v>
      </c>
      <c r="BF47" s="1239">
        <v>0</v>
      </c>
      <c r="BG47" s="317"/>
      <c r="BH47" s="1238">
        <v>0</v>
      </c>
      <c r="BI47" s="605">
        <v>0</v>
      </c>
      <c r="BJ47" s="605">
        <v>0</v>
      </c>
      <c r="BK47" s="1239">
        <v>-300</v>
      </c>
      <c r="BL47" s="317"/>
      <c r="BM47" s="1238">
        <v>0</v>
      </c>
      <c r="BN47" s="605">
        <v>0</v>
      </c>
      <c r="BO47" s="605">
        <v>0</v>
      </c>
      <c r="BP47" s="1239">
        <v>0</v>
      </c>
      <c r="BQ47" s="317"/>
      <c r="BR47" s="1238">
        <v>0</v>
      </c>
      <c r="BS47" s="605">
        <v>0</v>
      </c>
      <c r="BT47" s="605">
        <v>0</v>
      </c>
      <c r="BU47" s="1239">
        <v>0</v>
      </c>
      <c r="BV47" s="317"/>
      <c r="BW47" s="1238">
        <v>0</v>
      </c>
      <c r="BX47" s="605">
        <v>0</v>
      </c>
      <c r="BY47" s="605">
        <v>0</v>
      </c>
      <c r="BZ47" s="1239">
        <v>0</v>
      </c>
      <c r="CA47" s="317"/>
      <c r="CB47" s="1238">
        <v>0</v>
      </c>
      <c r="CC47" s="605">
        <v>0</v>
      </c>
      <c r="CD47" s="605">
        <v>0</v>
      </c>
      <c r="CE47" s="1239">
        <v>0</v>
      </c>
      <c r="CF47" s="607"/>
      <c r="CG47" s="1238">
        <v>0</v>
      </c>
      <c r="CH47" s="605">
        <v>0</v>
      </c>
      <c r="CI47" s="605">
        <v>0</v>
      </c>
      <c r="CJ47" s="1239">
        <v>0</v>
      </c>
      <c r="CK47" s="607"/>
      <c r="CL47" s="1238">
        <v>0</v>
      </c>
      <c r="CM47" s="605">
        <v>0</v>
      </c>
      <c r="CN47" s="605">
        <v>0</v>
      </c>
      <c r="CO47" s="1239">
        <v>0</v>
      </c>
      <c r="CP47" s="317"/>
      <c r="CQ47" s="1238">
        <v>0</v>
      </c>
      <c r="CR47" s="605">
        <v>0</v>
      </c>
      <c r="CS47" s="605">
        <v>0</v>
      </c>
      <c r="CT47" s="1239">
        <v>0</v>
      </c>
      <c r="CU47" s="317"/>
      <c r="CV47" s="1238"/>
      <c r="CW47" s="605"/>
      <c r="CX47" s="605"/>
      <c r="CY47" s="1239"/>
      <c r="CZ47" s="317"/>
    </row>
    <row r="48" spans="1:104" ht="13.5" customHeight="1" outlineLevel="2">
      <c r="A48" s="305"/>
      <c r="B48" s="305" t="s">
        <v>182</v>
      </c>
      <c r="C48" s="305"/>
      <c r="D48" s="306"/>
      <c r="E48" s="306"/>
      <c r="F48" s="306"/>
      <c r="G48" s="306"/>
      <c r="H48" s="335">
        <v>0</v>
      </c>
      <c r="I48" s="335"/>
      <c r="J48" s="335"/>
      <c r="K48" s="335"/>
      <c r="L48" s="335"/>
      <c r="M48" s="335"/>
      <c r="N48" s="335"/>
      <c r="O48" s="335"/>
      <c r="P48" s="335"/>
      <c r="Q48" s="335"/>
      <c r="R48" s="335"/>
      <c r="S48" s="335"/>
      <c r="T48" s="335"/>
      <c r="U48" s="335"/>
      <c r="V48" s="335"/>
      <c r="W48" s="335"/>
      <c r="X48" s="335"/>
      <c r="Y48" s="335"/>
      <c r="Z48" s="335"/>
      <c r="AA48" s="335"/>
      <c r="AB48" s="335"/>
      <c r="AC48" s="335"/>
      <c r="AD48" s="335"/>
      <c r="AE48" s="335"/>
      <c r="AF48" s="335"/>
      <c r="AG48" s="335"/>
      <c r="AH48" s="335"/>
      <c r="AI48" s="335"/>
      <c r="AJ48" s="335"/>
      <c r="AK48" s="335"/>
      <c r="AL48" s="335"/>
      <c r="AM48" s="335"/>
      <c r="AN48" s="335"/>
      <c r="AO48" s="335"/>
      <c r="AP48" s="335"/>
      <c r="AQ48" s="606">
        <v>300</v>
      </c>
      <c r="AR48" s="316">
        <f>+AQ48</f>
        <v>300</v>
      </c>
      <c r="AS48" s="1236">
        <f>+AS46+AS47</f>
        <v>300</v>
      </c>
      <c r="AT48" s="607">
        <f>+AT46+AT47</f>
        <v>300</v>
      </c>
      <c r="AU48" s="607">
        <f>+AU46+AU47</f>
        <v>300</v>
      </c>
      <c r="AV48" s="1237">
        <f>+AV46+AV47</f>
        <v>300</v>
      </c>
      <c r="AW48" s="607">
        <f>+AV48</f>
        <v>300</v>
      </c>
      <c r="AX48" s="1236">
        <f>+AX46+AX47</f>
        <v>300</v>
      </c>
      <c r="AY48" s="607">
        <f>+AY46+AY47</f>
        <v>300</v>
      </c>
      <c r="AZ48" s="607">
        <f>+AZ46+AZ47</f>
        <v>300</v>
      </c>
      <c r="BA48" s="1237">
        <f>+BA46+BA47</f>
        <v>300</v>
      </c>
      <c r="BB48" s="607">
        <f>+BA48</f>
        <v>300</v>
      </c>
      <c r="BC48" s="1236">
        <f>+BC46+BC47</f>
        <v>300</v>
      </c>
      <c r="BD48" s="607">
        <f>+BD46+BD47</f>
        <v>300</v>
      </c>
      <c r="BE48" s="607">
        <f>+BE46+BE47</f>
        <v>300</v>
      </c>
      <c r="BF48" s="1237">
        <f>+BF46+BF47</f>
        <v>300</v>
      </c>
      <c r="BG48" s="607">
        <f>+BF48</f>
        <v>300</v>
      </c>
      <c r="BH48" s="1236">
        <f>+BH46+BH47</f>
        <v>300</v>
      </c>
      <c r="BI48" s="607">
        <f>+BI46+BI47</f>
        <v>300</v>
      </c>
      <c r="BJ48" s="607">
        <f>+BJ46+BJ47</f>
        <v>300</v>
      </c>
      <c r="BK48" s="1237">
        <f>+BK46+BK47</f>
        <v>0</v>
      </c>
      <c r="BL48" s="607">
        <f>+BK48</f>
        <v>0</v>
      </c>
      <c r="BM48" s="1236">
        <f>+BM46+BM47</f>
        <v>0</v>
      </c>
      <c r="BN48" s="607">
        <f>+BN46+BN47</f>
        <v>0</v>
      </c>
      <c r="BO48" s="607">
        <f>+BO46+BO47</f>
        <v>0</v>
      </c>
      <c r="BP48" s="1237">
        <f>+BP46+BP47</f>
        <v>0</v>
      </c>
      <c r="BQ48" s="607">
        <f>+BP48</f>
        <v>0</v>
      </c>
      <c r="BR48" s="1236">
        <f>+BR46+BR47</f>
        <v>0</v>
      </c>
      <c r="BS48" s="607">
        <f>+BS46+BS47</f>
        <v>0</v>
      </c>
      <c r="BT48" s="607">
        <f>+BT46+BT47</f>
        <v>0</v>
      </c>
      <c r="BU48" s="1237">
        <f>+BU46+BU47</f>
        <v>0</v>
      </c>
      <c r="BV48" s="607">
        <f>+BU48</f>
        <v>0</v>
      </c>
      <c r="BW48" s="1236">
        <f>+BW46+BW47</f>
        <v>0</v>
      </c>
      <c r="BX48" s="607">
        <f>+BX46+BX47</f>
        <v>0</v>
      </c>
      <c r="BY48" s="607">
        <f>+BY46+BY47</f>
        <v>0</v>
      </c>
      <c r="BZ48" s="1237">
        <f>+BZ46+BZ47</f>
        <v>0</v>
      </c>
      <c r="CA48" s="607">
        <f>+BZ48</f>
        <v>0</v>
      </c>
      <c r="CB48" s="1236">
        <f>+CB46+CB47</f>
        <v>0</v>
      </c>
      <c r="CC48" s="607">
        <f>+CC46+CC47</f>
        <v>0</v>
      </c>
      <c r="CD48" s="607">
        <f>+CD46+CD47</f>
        <v>0</v>
      </c>
      <c r="CE48" s="1237">
        <f>+CE46+CE47</f>
        <v>0</v>
      </c>
      <c r="CF48" s="607">
        <f>+CE48</f>
        <v>0</v>
      </c>
      <c r="CG48" s="1236">
        <f>+CG46+CG47</f>
        <v>0</v>
      </c>
      <c r="CH48" s="607">
        <f>+CH46+CH47</f>
        <v>0</v>
      </c>
      <c r="CI48" s="607">
        <f>+CI46+CI47</f>
        <v>0</v>
      </c>
      <c r="CJ48" s="1237">
        <f>+CJ46+CJ47</f>
        <v>0</v>
      </c>
      <c r="CK48" s="607">
        <f>+CJ48</f>
        <v>0</v>
      </c>
      <c r="CL48" s="1236">
        <f>+CL46+CL47</f>
        <v>0</v>
      </c>
      <c r="CM48" s="607">
        <f>+CM46+CM47</f>
        <v>0</v>
      </c>
      <c r="CN48" s="607">
        <f>+CN46+CN47</f>
        <v>0</v>
      </c>
      <c r="CO48" s="1237">
        <f>+CO46+CO47</f>
        <v>0</v>
      </c>
      <c r="CP48" s="607">
        <f>+CO48</f>
        <v>0</v>
      </c>
      <c r="CQ48" s="1236">
        <f>+CQ46+CQ47</f>
        <v>0</v>
      </c>
      <c r="CR48" s="607">
        <f>+CR46+CR47</f>
        <v>0</v>
      </c>
      <c r="CS48" s="607">
        <f>+CS46+CS47</f>
        <v>0</v>
      </c>
      <c r="CT48" s="1237">
        <f>+CT46+CT47</f>
        <v>0</v>
      </c>
      <c r="CU48" s="607">
        <f>+CT48</f>
        <v>0</v>
      </c>
      <c r="CV48" s="1236"/>
      <c r="CW48" s="607"/>
      <c r="CX48" s="607"/>
      <c r="CY48" s="1237"/>
      <c r="CZ48" s="607"/>
    </row>
    <row r="49" spans="1:104" ht="13.5" customHeight="1" outlineLevel="2">
      <c r="A49" s="305"/>
      <c r="B49" s="305" t="s">
        <v>183</v>
      </c>
      <c r="C49" s="305"/>
      <c r="D49" s="306"/>
      <c r="E49" s="306"/>
      <c r="F49" s="306"/>
      <c r="G49" s="306"/>
      <c r="H49" s="334"/>
      <c r="I49" s="334"/>
      <c r="J49" s="334"/>
      <c r="K49" s="334"/>
      <c r="L49" s="334"/>
      <c r="M49" s="334"/>
      <c r="N49" s="334"/>
      <c r="O49" s="334"/>
      <c r="P49" s="334"/>
      <c r="Q49" s="334"/>
      <c r="R49" s="334"/>
      <c r="S49" s="334"/>
      <c r="T49" s="334"/>
      <c r="U49" s="334"/>
      <c r="V49" s="334"/>
      <c r="W49" s="334"/>
      <c r="X49" s="334"/>
      <c r="Y49" s="334"/>
      <c r="Z49" s="334"/>
      <c r="AA49" s="334"/>
      <c r="AB49" s="334"/>
      <c r="AC49" s="334"/>
      <c r="AD49" s="334"/>
      <c r="AE49" s="334"/>
      <c r="AF49" s="334"/>
      <c r="AG49" s="334"/>
      <c r="AH49" s="334"/>
      <c r="AI49" s="334"/>
      <c r="AJ49" s="334"/>
      <c r="AK49" s="334"/>
      <c r="AL49" s="334"/>
      <c r="AM49" s="334"/>
      <c r="AN49" s="334"/>
      <c r="AO49" s="334"/>
      <c r="AP49" s="334"/>
      <c r="AQ49" s="316"/>
      <c r="AR49" s="316"/>
      <c r="AS49" s="1236">
        <f>+AVERAGE(AS46,AS48)</f>
        <v>300</v>
      </c>
      <c r="AT49" s="607">
        <f>+AVERAGE(AT46,AT48)</f>
        <v>300</v>
      </c>
      <c r="AU49" s="607">
        <f>+AVERAGE(AU46,AU48)</f>
        <v>300</v>
      </c>
      <c r="AV49" s="1237">
        <f>+AVERAGE(AV46,AV48)</f>
        <v>300</v>
      </c>
      <c r="AW49" s="317"/>
      <c r="AX49" s="1236">
        <f>+AVERAGE(AX46,AX48)</f>
        <v>300</v>
      </c>
      <c r="AY49" s="607">
        <f>+AVERAGE(AY46,AY48)</f>
        <v>300</v>
      </c>
      <c r="AZ49" s="607">
        <f>+AVERAGE(AZ46,AZ48)</f>
        <v>300</v>
      </c>
      <c r="BA49" s="1237">
        <f>+AVERAGE(BA46,BA48)</f>
        <v>300</v>
      </c>
      <c r="BB49" s="317"/>
      <c r="BC49" s="1236">
        <f>+AVERAGE(BC46,BC48)</f>
        <v>300</v>
      </c>
      <c r="BD49" s="607">
        <f>+AVERAGE(BD46,BD48)</f>
        <v>300</v>
      </c>
      <c r="BE49" s="607">
        <f>+AVERAGE(BE46,BE48)</f>
        <v>300</v>
      </c>
      <c r="BF49" s="1237">
        <f>+AVERAGE(BF46,BF48)</f>
        <v>300</v>
      </c>
      <c r="BG49" s="317"/>
      <c r="BH49" s="1236">
        <f>+AVERAGE(BH46,BH48)</f>
        <v>300</v>
      </c>
      <c r="BI49" s="607">
        <f>+AVERAGE(BI46,BI48)</f>
        <v>300</v>
      </c>
      <c r="BJ49" s="607">
        <f>+AVERAGE(BJ46,BJ48)</f>
        <v>300</v>
      </c>
      <c r="BK49" s="1237">
        <f>+AVERAGE(BK46,BK48)</f>
        <v>150</v>
      </c>
      <c r="BL49" s="317"/>
      <c r="BM49" s="1236">
        <f>+AVERAGE(BM46,BM48)</f>
        <v>0</v>
      </c>
      <c r="BN49" s="607">
        <f>+AVERAGE(BN46,BN48)</f>
        <v>0</v>
      </c>
      <c r="BO49" s="607">
        <f>+AVERAGE(BO46,BO48)</f>
        <v>0</v>
      </c>
      <c r="BP49" s="1237">
        <f>+AVERAGE(BP46,BP48)</f>
        <v>0</v>
      </c>
      <c r="BQ49" s="317"/>
      <c r="BR49" s="1236">
        <f>+AVERAGE(BR46,BR48)</f>
        <v>0</v>
      </c>
      <c r="BS49" s="607">
        <f>+AVERAGE(BS46,BS48)</f>
        <v>0</v>
      </c>
      <c r="BT49" s="607">
        <f>+AVERAGE(BT46,BT48)</f>
        <v>0</v>
      </c>
      <c r="BU49" s="1237">
        <f>+AVERAGE(BU46,BU48)</f>
        <v>0</v>
      </c>
      <c r="BV49" s="317"/>
      <c r="BW49" s="1236">
        <f>+AVERAGE(BW46,BW48)</f>
        <v>0</v>
      </c>
      <c r="BX49" s="607">
        <f>+AVERAGE(BX46,BX48)</f>
        <v>0</v>
      </c>
      <c r="BY49" s="607">
        <f>+AVERAGE(BY46,BY48)</f>
        <v>0</v>
      </c>
      <c r="BZ49" s="1237">
        <f>+AVERAGE(BZ46,BZ48)</f>
        <v>0</v>
      </c>
      <c r="CA49" s="317"/>
      <c r="CB49" s="1236">
        <f>+AVERAGE(CB46,CB48)</f>
        <v>0</v>
      </c>
      <c r="CC49" s="607">
        <f>+AVERAGE(CC46,CC48)</f>
        <v>0</v>
      </c>
      <c r="CD49" s="607">
        <f>+AVERAGE(CD46,CD48)</f>
        <v>0</v>
      </c>
      <c r="CE49" s="1237">
        <f>+AVERAGE(CE46,CE48)</f>
        <v>0</v>
      </c>
      <c r="CF49" s="607"/>
      <c r="CG49" s="1236">
        <f>+AVERAGE(CG46,CG48)</f>
        <v>0</v>
      </c>
      <c r="CH49" s="607">
        <f>+AVERAGE(CH46,CH48)</f>
        <v>0</v>
      </c>
      <c r="CI49" s="607">
        <f>+AVERAGE(CI46,CI48)</f>
        <v>0</v>
      </c>
      <c r="CJ49" s="1237">
        <f>+AVERAGE(CJ46,CJ48)</f>
        <v>0</v>
      </c>
      <c r="CK49" s="607"/>
      <c r="CL49" s="1236">
        <f>+AVERAGE(CL46,CL48)</f>
        <v>0</v>
      </c>
      <c r="CM49" s="607">
        <f>+AVERAGE(CM46,CM48)</f>
        <v>0</v>
      </c>
      <c r="CN49" s="607">
        <f>+AVERAGE(CN46,CN48)</f>
        <v>0</v>
      </c>
      <c r="CO49" s="1237">
        <f>+AVERAGE(CO46,CO48)</f>
        <v>0</v>
      </c>
      <c r="CP49" s="317"/>
      <c r="CQ49" s="1236">
        <f>+AVERAGE(CQ46,CQ48)</f>
        <v>0</v>
      </c>
      <c r="CR49" s="607">
        <f>+AVERAGE(CR46,CR48)</f>
        <v>0</v>
      </c>
      <c r="CS49" s="607">
        <f>+AVERAGE(CS46,CS48)</f>
        <v>0</v>
      </c>
      <c r="CT49" s="1237">
        <f>+AVERAGE(CT46,CT48)</f>
        <v>0</v>
      </c>
      <c r="CU49" s="317"/>
      <c r="CV49" s="1236"/>
      <c r="CW49" s="607"/>
      <c r="CX49" s="607"/>
      <c r="CY49" s="1237"/>
      <c r="CZ49" s="317"/>
    </row>
    <row r="50" spans="1:104" ht="13.5" customHeight="1" outlineLevel="2">
      <c r="A50" s="305"/>
      <c r="B50" s="305" t="s">
        <v>575</v>
      </c>
      <c r="C50" s="305"/>
      <c r="D50" s="306"/>
      <c r="E50" s="306"/>
      <c r="F50" s="306"/>
      <c r="G50" s="306"/>
      <c r="H50" s="334"/>
      <c r="I50" s="334"/>
      <c r="J50" s="334"/>
      <c r="K50" s="334"/>
      <c r="L50" s="334"/>
      <c r="M50" s="334"/>
      <c r="N50" s="334"/>
      <c r="O50" s="334"/>
      <c r="P50" s="334"/>
      <c r="Q50" s="334"/>
      <c r="R50" s="334"/>
      <c r="S50" s="334"/>
      <c r="T50" s="334"/>
      <c r="U50" s="334"/>
      <c r="V50" s="334"/>
      <c r="W50" s="334"/>
      <c r="X50" s="334"/>
      <c r="Y50" s="334"/>
      <c r="Z50" s="334"/>
      <c r="AA50" s="334"/>
      <c r="AB50" s="334"/>
      <c r="AC50" s="334"/>
      <c r="AD50" s="334"/>
      <c r="AE50" s="334"/>
      <c r="AF50" s="334"/>
      <c r="AG50" s="334"/>
      <c r="AH50" s="334"/>
      <c r="AI50" s="334"/>
      <c r="AJ50" s="334"/>
      <c r="AK50" s="334"/>
      <c r="AL50" s="334"/>
      <c r="AM50" s="334"/>
      <c r="AN50" s="334"/>
      <c r="AO50" s="334"/>
      <c r="AP50" s="334"/>
      <c r="AQ50" s="316"/>
      <c r="AR50" s="316"/>
      <c r="AS50" s="1236">
        <f>+AS49*$G45/4</f>
        <v>3.75</v>
      </c>
      <c r="AT50" s="607">
        <f>+AT49*$G45/4</f>
        <v>3.75</v>
      </c>
      <c r="AU50" s="607">
        <f>+AU49*$G45/4</f>
        <v>3.75</v>
      </c>
      <c r="AV50" s="1237">
        <f>+AV49*$G45/4</f>
        <v>3.75</v>
      </c>
      <c r="AW50" s="317"/>
      <c r="AX50" s="1236">
        <f>+AX49*$G45/4</f>
        <v>3.75</v>
      </c>
      <c r="AY50" s="607">
        <f>+AY49*$G45/4</f>
        <v>3.75</v>
      </c>
      <c r="AZ50" s="607">
        <f>+AZ49*$G45/4</f>
        <v>3.75</v>
      </c>
      <c r="BA50" s="1237">
        <f>+BA49*$G45/4</f>
        <v>3.75</v>
      </c>
      <c r="BB50" s="317"/>
      <c r="BC50" s="1236">
        <f>+BC49*$G45/4</f>
        <v>3.75</v>
      </c>
      <c r="BD50" s="607">
        <f>+BD49*$G45/4</f>
        <v>3.75</v>
      </c>
      <c r="BE50" s="607">
        <f>+BE49*$G45/4</f>
        <v>3.75</v>
      </c>
      <c r="BF50" s="1237">
        <f>+BF49*$G45/4</f>
        <v>3.75</v>
      </c>
      <c r="BG50" s="317"/>
      <c r="BH50" s="1236">
        <f>+BH49*$G45/4</f>
        <v>3.75</v>
      </c>
      <c r="BI50" s="607">
        <f>+BI49*$G45/4</f>
        <v>3.75</v>
      </c>
      <c r="BJ50" s="607">
        <f>+BJ49*$G45/4</f>
        <v>3.75</v>
      </c>
      <c r="BK50" s="1237">
        <f>+BK49*$G45/4</f>
        <v>1.875</v>
      </c>
      <c r="BL50" s="317"/>
      <c r="BM50" s="1236">
        <f>+BM49*$G45/4</f>
        <v>0</v>
      </c>
      <c r="BN50" s="607">
        <f>+BN49*$G45/4</f>
        <v>0</v>
      </c>
      <c r="BO50" s="607">
        <f>+BO49*$G45/4</f>
        <v>0</v>
      </c>
      <c r="BP50" s="1237">
        <f>+BP49*$G45/4</f>
        <v>0</v>
      </c>
      <c r="BQ50" s="317"/>
      <c r="BR50" s="1236">
        <f>+BR49*$G45/4</f>
        <v>0</v>
      </c>
      <c r="BS50" s="607">
        <f>+BS49*$G45/4</f>
        <v>0</v>
      </c>
      <c r="BT50" s="607">
        <f>+BT49*$G45/4</f>
        <v>0</v>
      </c>
      <c r="BU50" s="1237">
        <f>+BU49*$G45/4</f>
        <v>0</v>
      </c>
      <c r="BV50" s="317"/>
      <c r="BW50" s="1236">
        <f>+BW49*$G45/4</f>
        <v>0</v>
      </c>
      <c r="BX50" s="607">
        <f>+BX49*$G45/4</f>
        <v>0</v>
      </c>
      <c r="BY50" s="607">
        <f>+BY49*$G45/4</f>
        <v>0</v>
      </c>
      <c r="BZ50" s="1237">
        <f>+BZ49*$G45/4</f>
        <v>0</v>
      </c>
      <c r="CA50" s="317"/>
      <c r="CB50" s="1236">
        <f>+CB49*$G45/4</f>
        <v>0</v>
      </c>
      <c r="CC50" s="607">
        <f>+CC49*$G45/4</f>
        <v>0</v>
      </c>
      <c r="CD50" s="607">
        <f>+CD49*$G45/4</f>
        <v>0</v>
      </c>
      <c r="CE50" s="1237">
        <f>+CE49*$G45/4</f>
        <v>0</v>
      </c>
      <c r="CF50" s="607"/>
      <c r="CG50" s="1236">
        <f>+CG49*$G45/4</f>
        <v>0</v>
      </c>
      <c r="CH50" s="607">
        <f>+CH49*$G45/4</f>
        <v>0</v>
      </c>
      <c r="CI50" s="607">
        <f>+CI49*$G45/4</f>
        <v>0</v>
      </c>
      <c r="CJ50" s="1237">
        <f>+CJ49*$G45/4</f>
        <v>0</v>
      </c>
      <c r="CK50" s="607"/>
      <c r="CL50" s="1236">
        <f>+CL49*$G45/4</f>
        <v>0</v>
      </c>
      <c r="CM50" s="607">
        <f>+CM49*$G45/4</f>
        <v>0</v>
      </c>
      <c r="CN50" s="607">
        <f>+CN49*$G45/4</f>
        <v>0</v>
      </c>
      <c r="CO50" s="1237">
        <f>+CO49*$G45/4</f>
        <v>0</v>
      </c>
      <c r="CP50" s="317"/>
      <c r="CQ50" s="1236">
        <f>+CQ49*$G45/4</f>
        <v>0</v>
      </c>
      <c r="CR50" s="607">
        <f>+CR49*$G45/4</f>
        <v>0</v>
      </c>
      <c r="CS50" s="607">
        <f>+CS49*$G45/4</f>
        <v>0</v>
      </c>
      <c r="CT50" s="1237">
        <f>+CT49*$G45/4</f>
        <v>0</v>
      </c>
      <c r="CU50" s="317"/>
      <c r="CV50" s="1236"/>
      <c r="CW50" s="607"/>
      <c r="CX50" s="607"/>
      <c r="CY50" s="1237"/>
      <c r="CZ50" s="317"/>
    </row>
    <row r="51" spans="1:104" ht="13.5" customHeight="1" outlineLevel="2">
      <c r="A51" s="305"/>
      <c r="B51" s="305" t="s">
        <v>184</v>
      </c>
      <c r="C51" s="305"/>
      <c r="D51" s="306"/>
      <c r="E51" s="306"/>
      <c r="F51" s="306"/>
      <c r="G51" s="306"/>
      <c r="H51" s="306"/>
      <c r="I51" s="306"/>
      <c r="J51" s="306"/>
      <c r="K51" s="306"/>
      <c r="L51" s="306"/>
      <c r="M51" s="306"/>
      <c r="N51" s="306"/>
      <c r="O51" s="306"/>
      <c r="P51" s="306"/>
      <c r="Q51" s="306"/>
      <c r="R51" s="306"/>
      <c r="S51" s="306"/>
      <c r="T51" s="306"/>
      <c r="U51" s="306"/>
      <c r="V51" s="306"/>
      <c r="W51" s="306"/>
      <c r="X51" s="306"/>
      <c r="Y51" s="306"/>
      <c r="Z51" s="306"/>
      <c r="AA51" s="306"/>
      <c r="AB51" s="306"/>
      <c r="AC51" s="306"/>
      <c r="AD51" s="306"/>
      <c r="AE51" s="306"/>
      <c r="AF51" s="306"/>
      <c r="AG51" s="306"/>
      <c r="AH51" s="306"/>
      <c r="AI51" s="306"/>
      <c r="AJ51" s="306"/>
      <c r="AK51" s="306"/>
      <c r="AL51" s="306"/>
      <c r="AM51" s="306"/>
      <c r="AN51" s="306"/>
      <c r="AO51" s="306"/>
      <c r="AP51" s="306"/>
      <c r="AQ51" s="316"/>
      <c r="AR51" s="332"/>
      <c r="AS51" s="1240"/>
      <c r="AT51" s="607">
        <f>+AS50+AT50</f>
        <v>7.5</v>
      </c>
      <c r="AU51" s="307"/>
      <c r="AV51" s="1237">
        <f>+AU50+AV50</f>
        <v>7.5</v>
      </c>
      <c r="AW51" s="307"/>
      <c r="AX51" s="1240"/>
      <c r="AY51" s="607">
        <f>+AX50+AY50</f>
        <v>7.5</v>
      </c>
      <c r="AZ51" s="307"/>
      <c r="BA51" s="1237">
        <f>+AZ50+BA50</f>
        <v>7.5</v>
      </c>
      <c r="BB51" s="317"/>
      <c r="BC51" s="1240"/>
      <c r="BD51" s="607">
        <f>+BC50+BD50</f>
        <v>7.5</v>
      </c>
      <c r="BE51" s="307"/>
      <c r="BF51" s="1237">
        <f>+BE50+BF50</f>
        <v>7.5</v>
      </c>
      <c r="BG51" s="317"/>
      <c r="BH51" s="1240"/>
      <c r="BI51" s="607">
        <f>+BH50+BI50</f>
        <v>7.5</v>
      </c>
      <c r="BJ51" s="307"/>
      <c r="BK51" s="1237">
        <f>+BJ50+BK50</f>
        <v>5.625</v>
      </c>
      <c r="BL51" s="317"/>
      <c r="BM51" s="1240"/>
      <c r="BN51" s="607">
        <f>+BM50+BN50</f>
        <v>0</v>
      </c>
      <c r="BO51" s="307"/>
      <c r="BP51" s="1237">
        <f>+BO50+BP50</f>
        <v>0</v>
      </c>
      <c r="BQ51" s="317"/>
      <c r="BR51" s="1240"/>
      <c r="BS51" s="607">
        <f>+BR50+BS50</f>
        <v>0</v>
      </c>
      <c r="BT51" s="307"/>
      <c r="BU51" s="1237">
        <f>+BT50+BU50</f>
        <v>0</v>
      </c>
      <c r="BV51" s="317"/>
      <c r="BW51" s="1240"/>
      <c r="BX51" s="607">
        <f>+BW50+BX50</f>
        <v>0</v>
      </c>
      <c r="BY51" s="307"/>
      <c r="BZ51" s="1237">
        <f>+BY50+BZ50</f>
        <v>0</v>
      </c>
      <c r="CA51" s="317"/>
      <c r="CB51" s="1240"/>
      <c r="CC51" s="607">
        <f>+CB50+CC50</f>
        <v>0</v>
      </c>
      <c r="CD51" s="307"/>
      <c r="CE51" s="1237">
        <f>+CD50+CE50</f>
        <v>0</v>
      </c>
      <c r="CF51" s="607"/>
      <c r="CG51" s="1280"/>
      <c r="CH51" s="762">
        <f>+CG50+CH50</f>
        <v>0</v>
      </c>
      <c r="CI51" s="307"/>
      <c r="CJ51" s="1237">
        <f>+CI50+CJ50</f>
        <v>0</v>
      </c>
      <c r="CK51" s="607"/>
      <c r="CL51" s="1240"/>
      <c r="CM51" s="607">
        <f>+CL50+CM50</f>
        <v>0</v>
      </c>
      <c r="CN51" s="307"/>
      <c r="CO51" s="1237">
        <f>+CN50+CO50</f>
        <v>0</v>
      </c>
      <c r="CP51" s="317"/>
      <c r="CQ51" s="1240"/>
      <c r="CR51" s="607">
        <f>+CQ50+CR50</f>
        <v>0</v>
      </c>
      <c r="CS51" s="307"/>
      <c r="CT51" s="1237">
        <f>+CS50+CT50</f>
        <v>0</v>
      </c>
      <c r="CU51" s="317"/>
      <c r="CV51" s="1240"/>
      <c r="CW51" s="607"/>
      <c r="CX51" s="307"/>
      <c r="CY51" s="1237"/>
      <c r="CZ51" s="317"/>
    </row>
    <row r="52" spans="1:104" ht="6.2" customHeight="1" outlineLevel="2">
      <c r="A52" s="305"/>
      <c r="B52" s="305"/>
      <c r="C52" s="305"/>
      <c r="D52" s="306"/>
      <c r="E52" s="306"/>
      <c r="F52" s="306"/>
      <c r="G52" s="306"/>
      <c r="H52" s="306"/>
      <c r="I52" s="306"/>
      <c r="J52" s="306"/>
      <c r="K52" s="306"/>
      <c r="L52" s="306"/>
      <c r="M52" s="306"/>
      <c r="N52" s="306"/>
      <c r="O52" s="306"/>
      <c r="P52" s="306"/>
      <c r="Q52" s="306"/>
      <c r="R52" s="306"/>
      <c r="S52" s="306"/>
      <c r="T52" s="306"/>
      <c r="U52" s="306"/>
      <c r="V52" s="306"/>
      <c r="W52" s="306"/>
      <c r="X52" s="306"/>
      <c r="Y52" s="306"/>
      <c r="Z52" s="306"/>
      <c r="AA52" s="306"/>
      <c r="AB52" s="306"/>
      <c r="AC52" s="306"/>
      <c r="AD52" s="306"/>
      <c r="AE52" s="306"/>
      <c r="AF52" s="306"/>
      <c r="AG52" s="306"/>
      <c r="AH52" s="306"/>
      <c r="AI52" s="306"/>
      <c r="AJ52" s="306"/>
      <c r="AK52" s="306"/>
      <c r="AL52" s="306"/>
      <c r="AM52" s="306"/>
      <c r="AN52" s="306"/>
      <c r="AO52" s="306"/>
      <c r="AP52" s="306"/>
      <c r="AQ52" s="332"/>
      <c r="AR52" s="332"/>
      <c r="AS52" s="1240"/>
      <c r="AT52" s="307"/>
      <c r="AU52" s="307"/>
      <c r="AV52" s="1241"/>
      <c r="AW52" s="307"/>
      <c r="AX52" s="1240"/>
      <c r="AY52" s="307"/>
      <c r="AZ52" s="307"/>
      <c r="BA52" s="1241"/>
      <c r="BB52" s="307"/>
      <c r="BC52" s="1240"/>
      <c r="BD52" s="307"/>
      <c r="BE52" s="307"/>
      <c r="BF52" s="1241"/>
      <c r="BG52" s="307"/>
      <c r="BH52" s="1240"/>
      <c r="BI52" s="307"/>
      <c r="BJ52" s="307"/>
      <c r="BK52" s="1241"/>
      <c r="BL52" s="307"/>
      <c r="BM52" s="1240"/>
      <c r="BN52" s="307"/>
      <c r="BO52" s="307"/>
      <c r="BP52" s="1241"/>
      <c r="BQ52" s="307"/>
      <c r="BR52" s="1240"/>
      <c r="BS52" s="307"/>
      <c r="BT52" s="307"/>
      <c r="BU52" s="1241"/>
      <c r="BV52" s="307"/>
      <c r="BW52" s="1240"/>
      <c r="BX52" s="307"/>
      <c r="BY52" s="307"/>
      <c r="BZ52" s="1241"/>
      <c r="CA52" s="307"/>
      <c r="CB52" s="1240"/>
      <c r="CC52" s="307"/>
      <c r="CD52" s="307"/>
      <c r="CE52" s="1275"/>
      <c r="CF52" s="762"/>
      <c r="CG52" s="1280"/>
      <c r="CH52" s="762"/>
      <c r="CI52" s="307"/>
      <c r="CJ52" s="1275"/>
      <c r="CK52" s="762"/>
      <c r="CL52" s="1240"/>
      <c r="CM52" s="307"/>
      <c r="CN52" s="307"/>
      <c r="CO52" s="1241"/>
      <c r="CP52" s="307"/>
      <c r="CQ52" s="1240"/>
      <c r="CR52" s="307"/>
      <c r="CS52" s="307"/>
      <c r="CT52" s="1241"/>
      <c r="CU52" s="307"/>
      <c r="CV52" s="1240"/>
      <c r="CW52" s="307"/>
      <c r="CX52" s="307"/>
      <c r="CY52" s="1241"/>
      <c r="CZ52" s="307"/>
    </row>
    <row r="53" spans="1:104" ht="13.5" customHeight="1" outlineLevel="2">
      <c r="A53" s="315" t="s">
        <v>15</v>
      </c>
      <c r="B53" s="305"/>
      <c r="C53" s="305"/>
      <c r="D53" s="306"/>
      <c r="E53" s="306"/>
      <c r="F53" s="306"/>
      <c r="G53" s="333">
        <v>0.05</v>
      </c>
      <c r="H53" s="324">
        <v>41426</v>
      </c>
      <c r="I53" s="306"/>
      <c r="J53" s="306"/>
      <c r="K53" s="306"/>
      <c r="L53" s="306"/>
      <c r="M53" s="306"/>
      <c r="N53" s="306"/>
      <c r="O53" s="306"/>
      <c r="P53" s="306"/>
      <c r="Q53" s="306"/>
      <c r="R53" s="306"/>
      <c r="S53" s="306"/>
      <c r="T53" s="306"/>
      <c r="U53" s="306"/>
      <c r="V53" s="306"/>
      <c r="W53" s="306"/>
      <c r="X53" s="306"/>
      <c r="Y53" s="306"/>
      <c r="Z53" s="306"/>
      <c r="AA53" s="306"/>
      <c r="AB53" s="306"/>
      <c r="AC53" s="306"/>
      <c r="AD53" s="306"/>
      <c r="AE53" s="306"/>
      <c r="AF53" s="306"/>
      <c r="AG53" s="306"/>
      <c r="AH53" s="306"/>
      <c r="AI53" s="306"/>
      <c r="AJ53" s="306"/>
      <c r="AK53" s="306"/>
      <c r="AL53" s="306"/>
      <c r="AM53" s="306"/>
      <c r="AN53" s="306"/>
      <c r="AO53" s="306"/>
      <c r="AP53" s="306"/>
      <c r="AQ53" s="332"/>
      <c r="AR53" s="332"/>
      <c r="AS53" s="1240"/>
      <c r="AT53" s="307"/>
      <c r="AU53" s="307"/>
      <c r="AV53" s="1241"/>
      <c r="AW53" s="307"/>
      <c r="AX53" s="1240"/>
      <c r="AY53" s="307"/>
      <c r="AZ53" s="307"/>
      <c r="BA53" s="1241"/>
      <c r="BB53" s="307"/>
      <c r="BC53" s="1240"/>
      <c r="BD53" s="307"/>
      <c r="BE53" s="307"/>
      <c r="BF53" s="1241"/>
      <c r="BG53" s="307"/>
      <c r="BH53" s="1240"/>
      <c r="BI53" s="307"/>
      <c r="BJ53" s="307"/>
      <c r="BK53" s="1241"/>
      <c r="BL53" s="307"/>
      <c r="BM53" s="1240"/>
      <c r="BN53" s="307"/>
      <c r="BO53" s="307"/>
      <c r="BP53" s="1241"/>
      <c r="BQ53" s="307"/>
      <c r="BR53" s="1240"/>
      <c r="BS53" s="307"/>
      <c r="BT53" s="307"/>
      <c r="BU53" s="1241"/>
      <c r="BV53" s="307"/>
      <c r="BW53" s="1240"/>
      <c r="BX53" s="307"/>
      <c r="BY53" s="307"/>
      <c r="BZ53" s="1241"/>
      <c r="CA53" s="307"/>
      <c r="CB53" s="1240"/>
      <c r="CC53" s="307"/>
      <c r="CD53" s="307"/>
      <c r="CE53" s="1275"/>
      <c r="CF53" s="762"/>
      <c r="CG53" s="1280"/>
      <c r="CH53" s="762"/>
      <c r="CI53" s="307"/>
      <c r="CJ53" s="1275"/>
      <c r="CK53" s="762"/>
      <c r="CL53" s="1240"/>
      <c r="CM53" s="307"/>
      <c r="CN53" s="307"/>
      <c r="CO53" s="1241"/>
      <c r="CP53" s="307"/>
      <c r="CQ53" s="1240"/>
      <c r="CR53" s="307"/>
      <c r="CS53" s="307"/>
      <c r="CT53" s="1241"/>
      <c r="CU53" s="307"/>
      <c r="CV53" s="1240"/>
      <c r="CW53" s="307"/>
      <c r="CX53" s="307"/>
      <c r="CY53" s="1241"/>
      <c r="CZ53" s="307"/>
    </row>
    <row r="54" spans="1:104" ht="13.5" customHeight="1" outlineLevel="2">
      <c r="A54" s="305"/>
      <c r="B54" s="305" t="s">
        <v>179</v>
      </c>
      <c r="C54" s="305"/>
      <c r="D54" s="306"/>
      <c r="E54" s="306"/>
      <c r="F54" s="306"/>
      <c r="G54" s="306"/>
      <c r="H54" s="334"/>
      <c r="I54" s="334"/>
      <c r="J54" s="334"/>
      <c r="K54" s="334"/>
      <c r="L54" s="334"/>
      <c r="M54" s="334"/>
      <c r="N54" s="334"/>
      <c r="O54" s="334"/>
      <c r="P54" s="334"/>
      <c r="Q54" s="334"/>
      <c r="R54" s="334"/>
      <c r="S54" s="334"/>
      <c r="T54" s="334"/>
      <c r="U54" s="334"/>
      <c r="V54" s="334"/>
      <c r="W54" s="334"/>
      <c r="X54" s="334"/>
      <c r="Y54" s="334"/>
      <c r="Z54" s="334"/>
      <c r="AA54" s="334"/>
      <c r="AB54" s="334"/>
      <c r="AC54" s="334"/>
      <c r="AD54" s="334"/>
      <c r="AE54" s="334"/>
      <c r="AF54" s="334"/>
      <c r="AG54" s="334"/>
      <c r="AH54" s="334"/>
      <c r="AI54" s="334"/>
      <c r="AJ54" s="334"/>
      <c r="AK54" s="334"/>
      <c r="AL54" s="334"/>
      <c r="AM54" s="334"/>
      <c r="AN54" s="334"/>
      <c r="AO54" s="334"/>
      <c r="AP54" s="334"/>
      <c r="AQ54" s="316"/>
      <c r="AR54" s="316"/>
      <c r="AS54" s="1236">
        <f>+AR56</f>
        <v>250</v>
      </c>
      <c r="AT54" s="607">
        <f>+AS56</f>
        <v>250</v>
      </c>
      <c r="AU54" s="607">
        <f>+AT56</f>
        <v>250</v>
      </c>
      <c r="AV54" s="1237">
        <f>+AU56</f>
        <v>250</v>
      </c>
      <c r="AW54" s="317"/>
      <c r="AX54" s="1236">
        <f>+AW56</f>
        <v>250</v>
      </c>
      <c r="AY54" s="607">
        <f>+AX56</f>
        <v>250</v>
      </c>
      <c r="AZ54" s="607">
        <f>+AY56</f>
        <v>250</v>
      </c>
      <c r="BA54" s="1237">
        <f>+AZ56</f>
        <v>250</v>
      </c>
      <c r="BB54" s="317"/>
      <c r="BC54" s="1236">
        <f>+BB56</f>
        <v>250</v>
      </c>
      <c r="BD54" s="607">
        <f>+BC56</f>
        <v>250</v>
      </c>
      <c r="BE54" s="607">
        <f>+BD56</f>
        <v>250</v>
      </c>
      <c r="BF54" s="1237">
        <f>+BE56</f>
        <v>250</v>
      </c>
      <c r="BG54" s="317"/>
      <c r="BH54" s="1236">
        <f>+BG56</f>
        <v>250</v>
      </c>
      <c r="BI54" s="607">
        <f>+BH56</f>
        <v>250</v>
      </c>
      <c r="BJ54" s="607">
        <f>+BI56</f>
        <v>250</v>
      </c>
      <c r="BK54" s="1237">
        <f>+BJ56</f>
        <v>250</v>
      </c>
      <c r="BL54" s="317"/>
      <c r="BM54" s="1236">
        <f>+BL56</f>
        <v>250</v>
      </c>
      <c r="BN54" s="607">
        <f>+BM56</f>
        <v>250</v>
      </c>
      <c r="BO54" s="607">
        <f>+BN56</f>
        <v>0</v>
      </c>
      <c r="BP54" s="1237">
        <f>+BO56</f>
        <v>0</v>
      </c>
      <c r="BQ54" s="317"/>
      <c r="BR54" s="1236">
        <f>+BQ56</f>
        <v>0</v>
      </c>
      <c r="BS54" s="607">
        <f>+BR56</f>
        <v>0</v>
      </c>
      <c r="BT54" s="607">
        <f>+BS56</f>
        <v>0</v>
      </c>
      <c r="BU54" s="1237">
        <f>+BT56</f>
        <v>0</v>
      </c>
      <c r="BV54" s="317"/>
      <c r="BW54" s="1236">
        <f>+BV56</f>
        <v>0</v>
      </c>
      <c r="BX54" s="607">
        <f>+BW56</f>
        <v>0</v>
      </c>
      <c r="BY54" s="607">
        <f>+BX56</f>
        <v>0</v>
      </c>
      <c r="BZ54" s="1237">
        <f>+BY56</f>
        <v>0</v>
      </c>
      <c r="CA54" s="317"/>
      <c r="CB54" s="1236">
        <f>+CA56</f>
        <v>0</v>
      </c>
      <c r="CC54" s="607">
        <f>+CB56</f>
        <v>0</v>
      </c>
      <c r="CD54" s="607">
        <f>+CC56</f>
        <v>0</v>
      </c>
      <c r="CE54" s="1237">
        <f>+CD56</f>
        <v>0</v>
      </c>
      <c r="CF54" s="607"/>
      <c r="CG54" s="1236">
        <f>+CF56</f>
        <v>0</v>
      </c>
      <c r="CH54" s="607">
        <f>+CG56</f>
        <v>0</v>
      </c>
      <c r="CI54" s="607">
        <f>+CH56</f>
        <v>0</v>
      </c>
      <c r="CJ54" s="1237">
        <f>+CI56</f>
        <v>0</v>
      </c>
      <c r="CK54" s="607"/>
      <c r="CL54" s="1236">
        <f>+CK56</f>
        <v>0</v>
      </c>
      <c r="CM54" s="607">
        <f>+CL56</f>
        <v>0</v>
      </c>
      <c r="CN54" s="607">
        <f>+CM56</f>
        <v>0</v>
      </c>
      <c r="CO54" s="1237">
        <f>+CN56</f>
        <v>0</v>
      </c>
      <c r="CP54" s="317"/>
      <c r="CQ54" s="1236">
        <f>+CP56</f>
        <v>0</v>
      </c>
      <c r="CR54" s="607">
        <f>+CQ56</f>
        <v>0</v>
      </c>
      <c r="CS54" s="607">
        <f>+CR56</f>
        <v>0</v>
      </c>
      <c r="CT54" s="1237">
        <f>+CS56</f>
        <v>0</v>
      </c>
      <c r="CU54" s="317"/>
      <c r="CV54" s="1236"/>
      <c r="CW54" s="607"/>
      <c r="CX54" s="607"/>
      <c r="CY54" s="1237"/>
      <c r="CZ54" s="317"/>
    </row>
    <row r="55" spans="1:104" ht="13.5" customHeight="1" outlineLevel="2">
      <c r="A55" s="305"/>
      <c r="B55" s="305" t="s">
        <v>181</v>
      </c>
      <c r="C55" s="305"/>
      <c r="D55" s="306"/>
      <c r="E55" s="306"/>
      <c r="F55" s="306"/>
      <c r="G55" s="306"/>
      <c r="H55" s="334"/>
      <c r="I55" s="334"/>
      <c r="J55" s="334"/>
      <c r="K55" s="334"/>
      <c r="L55" s="334"/>
      <c r="M55" s="334"/>
      <c r="N55" s="334"/>
      <c r="O55" s="334"/>
      <c r="P55" s="334"/>
      <c r="Q55" s="334"/>
      <c r="R55" s="334"/>
      <c r="S55" s="334"/>
      <c r="T55" s="334"/>
      <c r="U55" s="334"/>
      <c r="V55" s="334"/>
      <c r="W55" s="334"/>
      <c r="X55" s="334"/>
      <c r="Y55" s="334"/>
      <c r="Z55" s="334"/>
      <c r="AA55" s="334"/>
      <c r="AB55" s="334"/>
      <c r="AC55" s="334"/>
      <c r="AD55" s="334"/>
      <c r="AE55" s="334"/>
      <c r="AF55" s="334"/>
      <c r="AG55" s="334"/>
      <c r="AH55" s="334"/>
      <c r="AI55" s="334"/>
      <c r="AJ55" s="334"/>
      <c r="AK55" s="334"/>
      <c r="AL55" s="334"/>
      <c r="AM55" s="334"/>
      <c r="AN55" s="334"/>
      <c r="AO55" s="334"/>
      <c r="AP55" s="334"/>
      <c r="AQ55" s="606">
        <v>0</v>
      </c>
      <c r="AR55" s="316"/>
      <c r="AS55" s="1238">
        <v>0</v>
      </c>
      <c r="AT55" s="605">
        <v>0</v>
      </c>
      <c r="AU55" s="605">
        <v>0</v>
      </c>
      <c r="AV55" s="1239">
        <v>0</v>
      </c>
      <c r="AW55" s="317"/>
      <c r="AX55" s="1238">
        <v>0</v>
      </c>
      <c r="AY55" s="605">
        <v>0</v>
      </c>
      <c r="AZ55" s="605">
        <v>0</v>
      </c>
      <c r="BA55" s="1239">
        <v>0</v>
      </c>
      <c r="BB55" s="317"/>
      <c r="BC55" s="1238">
        <v>0</v>
      </c>
      <c r="BD55" s="605">
        <v>0</v>
      </c>
      <c r="BE55" s="605">
        <v>0</v>
      </c>
      <c r="BF55" s="1239">
        <v>0</v>
      </c>
      <c r="BG55" s="317"/>
      <c r="BH55" s="1238">
        <v>0</v>
      </c>
      <c r="BI55" s="605">
        <v>0</v>
      </c>
      <c r="BJ55" s="605">
        <v>0</v>
      </c>
      <c r="BK55" s="1239">
        <v>0</v>
      </c>
      <c r="BL55" s="317"/>
      <c r="BM55" s="1238">
        <v>0</v>
      </c>
      <c r="BN55" s="605">
        <v>-250</v>
      </c>
      <c r="BO55" s="605">
        <v>0</v>
      </c>
      <c r="BP55" s="1239">
        <v>0</v>
      </c>
      <c r="BQ55" s="317"/>
      <c r="BR55" s="1238">
        <v>0</v>
      </c>
      <c r="BS55" s="605">
        <v>0</v>
      </c>
      <c r="BT55" s="605">
        <v>0</v>
      </c>
      <c r="BU55" s="1239">
        <v>0</v>
      </c>
      <c r="BV55" s="317"/>
      <c r="BW55" s="1238">
        <v>0</v>
      </c>
      <c r="BX55" s="605">
        <v>0</v>
      </c>
      <c r="BY55" s="605">
        <v>0</v>
      </c>
      <c r="BZ55" s="1239">
        <v>0</v>
      </c>
      <c r="CA55" s="317"/>
      <c r="CB55" s="1238">
        <v>0</v>
      </c>
      <c r="CC55" s="605">
        <v>0</v>
      </c>
      <c r="CD55" s="605">
        <v>0</v>
      </c>
      <c r="CE55" s="1239">
        <v>0</v>
      </c>
      <c r="CF55" s="607"/>
      <c r="CG55" s="1238">
        <v>0</v>
      </c>
      <c r="CH55" s="605">
        <v>0</v>
      </c>
      <c r="CI55" s="605">
        <v>0</v>
      </c>
      <c r="CJ55" s="1239">
        <v>0</v>
      </c>
      <c r="CK55" s="607"/>
      <c r="CL55" s="1238">
        <v>0</v>
      </c>
      <c r="CM55" s="605">
        <v>0</v>
      </c>
      <c r="CN55" s="605">
        <v>0</v>
      </c>
      <c r="CO55" s="1239">
        <v>0</v>
      </c>
      <c r="CP55" s="317"/>
      <c r="CQ55" s="1238">
        <v>0</v>
      </c>
      <c r="CR55" s="605">
        <v>0</v>
      </c>
      <c r="CS55" s="605">
        <v>0</v>
      </c>
      <c r="CT55" s="1239">
        <v>0</v>
      </c>
      <c r="CU55" s="317"/>
      <c r="CV55" s="1238"/>
      <c r="CW55" s="605"/>
      <c r="CX55" s="605"/>
      <c r="CY55" s="1239"/>
      <c r="CZ55" s="317"/>
    </row>
    <row r="56" spans="1:104" ht="13.5" customHeight="1" outlineLevel="2">
      <c r="A56" s="305"/>
      <c r="B56" s="305" t="s">
        <v>182</v>
      </c>
      <c r="C56" s="305"/>
      <c r="D56" s="306"/>
      <c r="E56" s="306"/>
      <c r="F56" s="306"/>
      <c r="G56" s="306"/>
      <c r="H56" s="335">
        <v>0</v>
      </c>
      <c r="I56" s="335"/>
      <c r="J56" s="335"/>
      <c r="K56" s="335"/>
      <c r="L56" s="335"/>
      <c r="M56" s="335"/>
      <c r="N56" s="335"/>
      <c r="O56" s="335"/>
      <c r="P56" s="335"/>
      <c r="Q56" s="335"/>
      <c r="R56" s="335"/>
      <c r="S56" s="335"/>
      <c r="T56" s="335"/>
      <c r="U56" s="335"/>
      <c r="V56" s="335"/>
      <c r="W56" s="335"/>
      <c r="X56" s="335"/>
      <c r="Y56" s="335"/>
      <c r="Z56" s="335"/>
      <c r="AA56" s="335"/>
      <c r="AB56" s="335"/>
      <c r="AC56" s="335"/>
      <c r="AD56" s="335"/>
      <c r="AE56" s="335"/>
      <c r="AF56" s="335"/>
      <c r="AG56" s="335"/>
      <c r="AH56" s="335"/>
      <c r="AI56" s="335"/>
      <c r="AJ56" s="335"/>
      <c r="AK56" s="335"/>
      <c r="AL56" s="335"/>
      <c r="AM56" s="335"/>
      <c r="AN56" s="335"/>
      <c r="AO56" s="335"/>
      <c r="AP56" s="335"/>
      <c r="AQ56" s="606">
        <v>250</v>
      </c>
      <c r="AR56" s="316">
        <f>+AQ56</f>
        <v>250</v>
      </c>
      <c r="AS56" s="1236">
        <f>+AS54+AS55</f>
        <v>250</v>
      </c>
      <c r="AT56" s="607">
        <f>+AT54+AT55</f>
        <v>250</v>
      </c>
      <c r="AU56" s="607">
        <f>+AU54+AU55</f>
        <v>250</v>
      </c>
      <c r="AV56" s="1237">
        <f>+AV54+AV55</f>
        <v>250</v>
      </c>
      <c r="AW56" s="607">
        <f>+AV56</f>
        <v>250</v>
      </c>
      <c r="AX56" s="1236">
        <f>+AX54+AX55</f>
        <v>250</v>
      </c>
      <c r="AY56" s="607">
        <f>+AY54+AY55</f>
        <v>250</v>
      </c>
      <c r="AZ56" s="607">
        <f>+AZ54+AZ55</f>
        <v>250</v>
      </c>
      <c r="BA56" s="1237">
        <f>+BA54+BA55</f>
        <v>250</v>
      </c>
      <c r="BB56" s="607">
        <f>+BA56</f>
        <v>250</v>
      </c>
      <c r="BC56" s="1236">
        <f>+BC54+BC55</f>
        <v>250</v>
      </c>
      <c r="BD56" s="607">
        <f>+BD54+BD55</f>
        <v>250</v>
      </c>
      <c r="BE56" s="607">
        <f>+BE54+BE55</f>
        <v>250</v>
      </c>
      <c r="BF56" s="1237">
        <f>+BF54+BF55</f>
        <v>250</v>
      </c>
      <c r="BG56" s="607">
        <f>+BF56</f>
        <v>250</v>
      </c>
      <c r="BH56" s="1236">
        <f>+BH54+BH55</f>
        <v>250</v>
      </c>
      <c r="BI56" s="607">
        <f>+BI54+BI55</f>
        <v>250</v>
      </c>
      <c r="BJ56" s="607">
        <f>+BJ54+BJ55</f>
        <v>250</v>
      </c>
      <c r="BK56" s="1237">
        <f>+BK54+BK55</f>
        <v>250</v>
      </c>
      <c r="BL56" s="607">
        <f>+BK56</f>
        <v>250</v>
      </c>
      <c r="BM56" s="1236">
        <f>+BM54+BM55</f>
        <v>250</v>
      </c>
      <c r="BN56" s="607">
        <f>+BN54+BN55</f>
        <v>0</v>
      </c>
      <c r="BO56" s="607">
        <f>+BO54+BO55</f>
        <v>0</v>
      </c>
      <c r="BP56" s="1237">
        <f>+BP54+BP55</f>
        <v>0</v>
      </c>
      <c r="BQ56" s="607">
        <f>+BP56</f>
        <v>0</v>
      </c>
      <c r="BR56" s="1236">
        <f>+BR54+BR55</f>
        <v>0</v>
      </c>
      <c r="BS56" s="607">
        <f>+BS54+BS55</f>
        <v>0</v>
      </c>
      <c r="BT56" s="607">
        <f>+BT54+BT55</f>
        <v>0</v>
      </c>
      <c r="BU56" s="1237">
        <f>+BU54+BU55</f>
        <v>0</v>
      </c>
      <c r="BV56" s="607">
        <f>+BU56</f>
        <v>0</v>
      </c>
      <c r="BW56" s="1236">
        <f>+BW54+BW55</f>
        <v>0</v>
      </c>
      <c r="BX56" s="607">
        <f>+BX54+BX55</f>
        <v>0</v>
      </c>
      <c r="BY56" s="607">
        <f>+BY54+BY55</f>
        <v>0</v>
      </c>
      <c r="BZ56" s="1237">
        <f>+BZ54+BZ55</f>
        <v>0</v>
      </c>
      <c r="CA56" s="607">
        <f>+BZ56</f>
        <v>0</v>
      </c>
      <c r="CB56" s="1236">
        <f>+CB54+CB55</f>
        <v>0</v>
      </c>
      <c r="CC56" s="607">
        <f>+CC54+CC55</f>
        <v>0</v>
      </c>
      <c r="CD56" s="607">
        <f>+CD54+CD55</f>
        <v>0</v>
      </c>
      <c r="CE56" s="1237">
        <f>+CE54+CE55</f>
        <v>0</v>
      </c>
      <c r="CF56" s="607">
        <f>+CE56</f>
        <v>0</v>
      </c>
      <c r="CG56" s="1236">
        <f>+CG54+CG55</f>
        <v>0</v>
      </c>
      <c r="CH56" s="607">
        <f>+CH54+CH55</f>
        <v>0</v>
      </c>
      <c r="CI56" s="607">
        <f>+CI54+CI55</f>
        <v>0</v>
      </c>
      <c r="CJ56" s="1237">
        <f>+CJ54+CJ55</f>
        <v>0</v>
      </c>
      <c r="CK56" s="607">
        <f>+CJ56</f>
        <v>0</v>
      </c>
      <c r="CL56" s="1236">
        <f>+CL54+CL55</f>
        <v>0</v>
      </c>
      <c r="CM56" s="607">
        <f>+CM54+CM55</f>
        <v>0</v>
      </c>
      <c r="CN56" s="607">
        <f>+CN54+CN55</f>
        <v>0</v>
      </c>
      <c r="CO56" s="1237">
        <f>+CO54+CO55</f>
        <v>0</v>
      </c>
      <c r="CP56" s="607">
        <f>+CO56</f>
        <v>0</v>
      </c>
      <c r="CQ56" s="1236">
        <f>+CQ54+CQ55</f>
        <v>0</v>
      </c>
      <c r="CR56" s="607">
        <f>+CR54+CR55</f>
        <v>0</v>
      </c>
      <c r="CS56" s="607">
        <f>+CS54+CS55</f>
        <v>0</v>
      </c>
      <c r="CT56" s="1237">
        <f>+CT54+CT55</f>
        <v>0</v>
      </c>
      <c r="CU56" s="607">
        <f>+CT56</f>
        <v>0</v>
      </c>
      <c r="CV56" s="1236"/>
      <c r="CW56" s="607"/>
      <c r="CX56" s="607"/>
      <c r="CY56" s="1237"/>
      <c r="CZ56" s="607"/>
    </row>
    <row r="57" spans="1:104" ht="13.5" customHeight="1" outlineLevel="2">
      <c r="A57" s="305"/>
      <c r="B57" s="305" t="s">
        <v>183</v>
      </c>
      <c r="C57" s="305"/>
      <c r="D57" s="306"/>
      <c r="E57" s="306"/>
      <c r="F57" s="306"/>
      <c r="G57" s="306"/>
      <c r="H57" s="334"/>
      <c r="I57" s="334"/>
      <c r="J57" s="334"/>
      <c r="K57" s="334"/>
      <c r="L57" s="334"/>
      <c r="M57" s="334"/>
      <c r="N57" s="334"/>
      <c r="O57" s="334"/>
      <c r="P57" s="334"/>
      <c r="Q57" s="334"/>
      <c r="R57" s="334"/>
      <c r="S57" s="334"/>
      <c r="T57" s="334"/>
      <c r="U57" s="334"/>
      <c r="V57" s="334"/>
      <c r="W57" s="334"/>
      <c r="X57" s="334"/>
      <c r="Y57" s="334"/>
      <c r="Z57" s="334"/>
      <c r="AA57" s="334"/>
      <c r="AB57" s="334"/>
      <c r="AC57" s="334"/>
      <c r="AD57" s="334"/>
      <c r="AE57" s="334"/>
      <c r="AF57" s="334"/>
      <c r="AG57" s="334"/>
      <c r="AH57" s="334"/>
      <c r="AI57" s="334"/>
      <c r="AJ57" s="334"/>
      <c r="AK57" s="334"/>
      <c r="AL57" s="334"/>
      <c r="AM57" s="334"/>
      <c r="AN57" s="334"/>
      <c r="AO57" s="334"/>
      <c r="AP57" s="334"/>
      <c r="AQ57" s="316"/>
      <c r="AR57" s="316"/>
      <c r="AS57" s="1236">
        <f>+AVERAGE(AS54,AS56)</f>
        <v>250</v>
      </c>
      <c r="AT57" s="607">
        <f>+AVERAGE(AT54,AT56)</f>
        <v>250</v>
      </c>
      <c r="AU57" s="607">
        <f>+AVERAGE(AU54,AU56)</f>
        <v>250</v>
      </c>
      <c r="AV57" s="1237">
        <f>+AVERAGE(AV54,AV56)</f>
        <v>250</v>
      </c>
      <c r="AW57" s="317"/>
      <c r="AX57" s="1236">
        <f>+AVERAGE(AX54,AX56)</f>
        <v>250</v>
      </c>
      <c r="AY57" s="607">
        <f>+AVERAGE(AY54,AY56)</f>
        <v>250</v>
      </c>
      <c r="AZ57" s="607">
        <f>+AVERAGE(AZ54,AZ56)</f>
        <v>250</v>
      </c>
      <c r="BA57" s="1237">
        <f>+AVERAGE(BA54,BA56)</f>
        <v>250</v>
      </c>
      <c r="BB57" s="317"/>
      <c r="BC57" s="1236">
        <f>+AVERAGE(BC54,BC56)</f>
        <v>250</v>
      </c>
      <c r="BD57" s="607">
        <f>+AVERAGE(BD54,BD56)</f>
        <v>250</v>
      </c>
      <c r="BE57" s="607">
        <f>+AVERAGE(BE54,BE56)</f>
        <v>250</v>
      </c>
      <c r="BF57" s="1237">
        <f>+AVERAGE(BF54,BF56)</f>
        <v>250</v>
      </c>
      <c r="BG57" s="317"/>
      <c r="BH57" s="1236">
        <f>+AVERAGE(BH54,BH56)</f>
        <v>250</v>
      </c>
      <c r="BI57" s="607">
        <f>+AVERAGE(BI54,BI56)</f>
        <v>250</v>
      </c>
      <c r="BJ57" s="607">
        <f>+AVERAGE(BJ54,BJ56)</f>
        <v>250</v>
      </c>
      <c r="BK57" s="1237">
        <f>+AVERAGE(BK54,BK56)</f>
        <v>250</v>
      </c>
      <c r="BL57" s="317"/>
      <c r="BM57" s="1236">
        <f>+AVERAGE(BM54,BM56)</f>
        <v>250</v>
      </c>
      <c r="BN57" s="607">
        <f>+AVERAGE(BN54,BN56)</f>
        <v>125</v>
      </c>
      <c r="BO57" s="607">
        <f>+AVERAGE(BO54,BO56)</f>
        <v>0</v>
      </c>
      <c r="BP57" s="1237">
        <f>+AVERAGE(BP54,BP56)</f>
        <v>0</v>
      </c>
      <c r="BQ57" s="317"/>
      <c r="BR57" s="1236">
        <f>+AVERAGE(BR54,BR56)</f>
        <v>0</v>
      </c>
      <c r="BS57" s="607">
        <f>+AVERAGE(BS54,BS56)</f>
        <v>0</v>
      </c>
      <c r="BT57" s="607">
        <f>+AVERAGE(BT54,BT56)</f>
        <v>0</v>
      </c>
      <c r="BU57" s="1237">
        <f>+AVERAGE(BU54,BU56)</f>
        <v>0</v>
      </c>
      <c r="BV57" s="317"/>
      <c r="BW57" s="1236">
        <f>+AVERAGE(BW54,BW56)</f>
        <v>0</v>
      </c>
      <c r="BX57" s="607">
        <f>+AVERAGE(BX54,BX56)</f>
        <v>0</v>
      </c>
      <c r="BY57" s="607">
        <f>+AVERAGE(BY54,BY56)</f>
        <v>0</v>
      </c>
      <c r="BZ57" s="1237">
        <f>+AVERAGE(BZ54,BZ56)</f>
        <v>0</v>
      </c>
      <c r="CA57" s="317"/>
      <c r="CB57" s="1236">
        <f>+AVERAGE(CB54,CB56)</f>
        <v>0</v>
      </c>
      <c r="CC57" s="607">
        <f>+AVERAGE(CC54,CC56)</f>
        <v>0</v>
      </c>
      <c r="CD57" s="607">
        <f>+AVERAGE(CD54,CD56)</f>
        <v>0</v>
      </c>
      <c r="CE57" s="1237">
        <f>+AVERAGE(CE54,CE56)</f>
        <v>0</v>
      </c>
      <c r="CF57" s="607"/>
      <c r="CG57" s="1236">
        <f>+AVERAGE(CG54,CG56)</f>
        <v>0</v>
      </c>
      <c r="CH57" s="607">
        <f>+AVERAGE(CH54,CH56)</f>
        <v>0</v>
      </c>
      <c r="CI57" s="607">
        <f>+AVERAGE(CI54,CI56)</f>
        <v>0</v>
      </c>
      <c r="CJ57" s="1237">
        <f>+AVERAGE(CJ54,CJ56)</f>
        <v>0</v>
      </c>
      <c r="CK57" s="607"/>
      <c r="CL57" s="1236">
        <f>+AVERAGE(CL54,CL56)</f>
        <v>0</v>
      </c>
      <c r="CM57" s="607">
        <f>+AVERAGE(CM54,CM56)</f>
        <v>0</v>
      </c>
      <c r="CN57" s="607">
        <f>+AVERAGE(CN54,CN56)</f>
        <v>0</v>
      </c>
      <c r="CO57" s="1237">
        <f>+AVERAGE(CO54,CO56)</f>
        <v>0</v>
      </c>
      <c r="CP57" s="317"/>
      <c r="CQ57" s="1236">
        <f>+AVERAGE(CQ54,CQ56)</f>
        <v>0</v>
      </c>
      <c r="CR57" s="607">
        <f>+AVERAGE(CR54,CR56)</f>
        <v>0</v>
      </c>
      <c r="CS57" s="607">
        <f>+AVERAGE(CS54,CS56)</f>
        <v>0</v>
      </c>
      <c r="CT57" s="1237">
        <f>+AVERAGE(CT54,CT56)</f>
        <v>0</v>
      </c>
      <c r="CU57" s="317"/>
      <c r="CV57" s="1236"/>
      <c r="CW57" s="607"/>
      <c r="CX57" s="607"/>
      <c r="CY57" s="1237"/>
      <c r="CZ57" s="317"/>
    </row>
    <row r="58" spans="1:104" ht="13.5" customHeight="1" outlineLevel="2">
      <c r="A58" s="305"/>
      <c r="B58" s="305" t="s">
        <v>575</v>
      </c>
      <c r="C58" s="305"/>
      <c r="D58" s="306"/>
      <c r="E58" s="306"/>
      <c r="F58" s="306"/>
      <c r="G58" s="306"/>
      <c r="H58" s="334"/>
      <c r="I58" s="334"/>
      <c r="J58" s="334"/>
      <c r="K58" s="334"/>
      <c r="L58" s="334"/>
      <c r="M58" s="334"/>
      <c r="N58" s="334"/>
      <c r="O58" s="334"/>
      <c r="P58" s="334"/>
      <c r="Q58" s="334"/>
      <c r="R58" s="334"/>
      <c r="S58" s="334"/>
      <c r="T58" s="334"/>
      <c r="U58" s="334"/>
      <c r="V58" s="334"/>
      <c r="W58" s="334"/>
      <c r="X58" s="334"/>
      <c r="Y58" s="334"/>
      <c r="Z58" s="334"/>
      <c r="AA58" s="334"/>
      <c r="AB58" s="334"/>
      <c r="AC58" s="334"/>
      <c r="AD58" s="334"/>
      <c r="AE58" s="334"/>
      <c r="AF58" s="334"/>
      <c r="AG58" s="334"/>
      <c r="AH58" s="334"/>
      <c r="AI58" s="334"/>
      <c r="AJ58" s="334"/>
      <c r="AK58" s="334"/>
      <c r="AL58" s="334"/>
      <c r="AM58" s="334"/>
      <c r="AN58" s="334"/>
      <c r="AO58" s="334"/>
      <c r="AP58" s="334"/>
      <c r="AQ58" s="316"/>
      <c r="AR58" s="316"/>
      <c r="AS58" s="1236">
        <f>+AS57*$G53/4</f>
        <v>3.125</v>
      </c>
      <c r="AT58" s="607">
        <f>+AT57*$G53/4</f>
        <v>3.125</v>
      </c>
      <c r="AU58" s="607">
        <f>+AU57*$G53/4</f>
        <v>3.125</v>
      </c>
      <c r="AV58" s="1237">
        <f>+AV57*$G53/4</f>
        <v>3.125</v>
      </c>
      <c r="AW58" s="317"/>
      <c r="AX58" s="1236">
        <f>+AX57*$G53/4</f>
        <v>3.125</v>
      </c>
      <c r="AY58" s="607">
        <f>+AY57*$G53/4</f>
        <v>3.125</v>
      </c>
      <c r="AZ58" s="607">
        <f>+AZ57*$G53/4</f>
        <v>3.125</v>
      </c>
      <c r="BA58" s="1237">
        <f>+BA57*$G53/4</f>
        <v>3.125</v>
      </c>
      <c r="BB58" s="317"/>
      <c r="BC58" s="1236">
        <f>+BC57*$G53/4</f>
        <v>3.125</v>
      </c>
      <c r="BD58" s="607">
        <f>+BD57*$G53/4</f>
        <v>3.125</v>
      </c>
      <c r="BE58" s="607">
        <f>+BE57*$G53/4</f>
        <v>3.125</v>
      </c>
      <c r="BF58" s="1237">
        <f>+BF57*$G53/4</f>
        <v>3.125</v>
      </c>
      <c r="BG58" s="317"/>
      <c r="BH58" s="1236">
        <f>+BH57*$G53/4</f>
        <v>3.125</v>
      </c>
      <c r="BI58" s="607">
        <f>+BI57*$G53/4</f>
        <v>3.125</v>
      </c>
      <c r="BJ58" s="607">
        <f>+BJ57*$G53/4</f>
        <v>3.125</v>
      </c>
      <c r="BK58" s="1237">
        <f>+BK57*$G53/4</f>
        <v>3.125</v>
      </c>
      <c r="BL58" s="317"/>
      <c r="BM58" s="1236">
        <f>+BM57*$G53/4</f>
        <v>3.125</v>
      </c>
      <c r="BN58" s="607">
        <f>+BN57*$G53/4</f>
        <v>1.5625</v>
      </c>
      <c r="BO58" s="607">
        <f>+BO57*$G53/4</f>
        <v>0</v>
      </c>
      <c r="BP58" s="1237">
        <f>+BP57*$G53/4</f>
        <v>0</v>
      </c>
      <c r="BQ58" s="317"/>
      <c r="BR58" s="1236">
        <f>+BR57*$G53/4</f>
        <v>0</v>
      </c>
      <c r="BS58" s="607">
        <f>+BS57*$G53/4</f>
        <v>0</v>
      </c>
      <c r="BT58" s="607">
        <f>+BT57*$G53/4</f>
        <v>0</v>
      </c>
      <c r="BU58" s="1237">
        <f>+BU57*$G53/4</f>
        <v>0</v>
      </c>
      <c r="BV58" s="317"/>
      <c r="BW58" s="1236">
        <f>+BW57*$G53/4</f>
        <v>0</v>
      </c>
      <c r="BX58" s="607">
        <f>+BX57*$G53/4</f>
        <v>0</v>
      </c>
      <c r="BY58" s="607">
        <f>+BY57*$G53/4</f>
        <v>0</v>
      </c>
      <c r="BZ58" s="1237">
        <f>+BZ57*$G53/4</f>
        <v>0</v>
      </c>
      <c r="CA58" s="317"/>
      <c r="CB58" s="1236">
        <f>+CB57*$G53/4</f>
        <v>0</v>
      </c>
      <c r="CC58" s="607">
        <f>+CC57*$G53/4</f>
        <v>0</v>
      </c>
      <c r="CD58" s="607">
        <f>+CD57*$G53/4</f>
        <v>0</v>
      </c>
      <c r="CE58" s="1237">
        <f>+CE57*$G53/4</f>
        <v>0</v>
      </c>
      <c r="CF58" s="607"/>
      <c r="CG58" s="1236">
        <f>+CG57*$G53/4</f>
        <v>0</v>
      </c>
      <c r="CH58" s="607">
        <f>+CH57*$G53/4</f>
        <v>0</v>
      </c>
      <c r="CI58" s="607">
        <f>+CI57*$G53/4</f>
        <v>0</v>
      </c>
      <c r="CJ58" s="1237">
        <f>+CJ57*$G53/4</f>
        <v>0</v>
      </c>
      <c r="CK58" s="607"/>
      <c r="CL58" s="1236">
        <f>+CL57*$G53/4</f>
        <v>0</v>
      </c>
      <c r="CM58" s="607">
        <f>+CM57*$G53/4</f>
        <v>0</v>
      </c>
      <c r="CN58" s="607">
        <f>+CN57*$G53/4</f>
        <v>0</v>
      </c>
      <c r="CO58" s="1237">
        <f>+CO57*$G53/4</f>
        <v>0</v>
      </c>
      <c r="CP58" s="317"/>
      <c r="CQ58" s="1236">
        <f>+CQ57*$G53/4</f>
        <v>0</v>
      </c>
      <c r="CR58" s="607">
        <f>+CR57*$G53/4</f>
        <v>0</v>
      </c>
      <c r="CS58" s="607">
        <f>+CS57*$G53/4</f>
        <v>0</v>
      </c>
      <c r="CT58" s="1237">
        <f>+CT57*$G53/4</f>
        <v>0</v>
      </c>
      <c r="CU58" s="317"/>
      <c r="CV58" s="1236"/>
      <c r="CW58" s="607"/>
      <c r="CX58" s="607"/>
      <c r="CY58" s="1237"/>
      <c r="CZ58" s="317"/>
    </row>
    <row r="59" spans="1:104" ht="13.5" customHeight="1" outlineLevel="2">
      <c r="A59" s="305"/>
      <c r="B59" s="305" t="s">
        <v>184</v>
      </c>
      <c r="C59" s="305"/>
      <c r="D59" s="306"/>
      <c r="E59" s="306"/>
      <c r="F59" s="306"/>
      <c r="G59" s="306"/>
      <c r="H59" s="306"/>
      <c r="I59" s="306"/>
      <c r="J59" s="306"/>
      <c r="K59" s="306"/>
      <c r="L59" s="306"/>
      <c r="M59" s="306"/>
      <c r="N59" s="306"/>
      <c r="O59" s="306"/>
      <c r="P59" s="306"/>
      <c r="Q59" s="306"/>
      <c r="R59" s="306"/>
      <c r="S59" s="306"/>
      <c r="T59" s="306"/>
      <c r="U59" s="306"/>
      <c r="V59" s="306"/>
      <c r="W59" s="306"/>
      <c r="X59" s="306"/>
      <c r="Y59" s="306"/>
      <c r="Z59" s="306"/>
      <c r="AA59" s="306"/>
      <c r="AB59" s="306"/>
      <c r="AC59" s="306"/>
      <c r="AD59" s="306"/>
      <c r="AE59" s="306"/>
      <c r="AF59" s="306"/>
      <c r="AG59" s="306"/>
      <c r="AH59" s="306"/>
      <c r="AI59" s="306"/>
      <c r="AJ59" s="306"/>
      <c r="AK59" s="306"/>
      <c r="AL59" s="306"/>
      <c r="AM59" s="306"/>
      <c r="AN59" s="306"/>
      <c r="AO59" s="306"/>
      <c r="AP59" s="306"/>
      <c r="AQ59" s="316"/>
      <c r="AR59" s="332"/>
      <c r="AS59" s="1240"/>
      <c r="AT59" s="607">
        <f>+AS58+AT58</f>
        <v>6.25</v>
      </c>
      <c r="AU59" s="307"/>
      <c r="AV59" s="1237">
        <f>+AU58+AV58</f>
        <v>6.25</v>
      </c>
      <c r="AW59" s="307"/>
      <c r="AX59" s="1240"/>
      <c r="AY59" s="607">
        <f>+AX58+AY58</f>
        <v>6.25</v>
      </c>
      <c r="AZ59" s="307"/>
      <c r="BA59" s="1237">
        <f>+AZ58+BA58</f>
        <v>6.25</v>
      </c>
      <c r="BB59" s="307"/>
      <c r="BC59" s="1240"/>
      <c r="BD59" s="607">
        <f>+BC58+BD58</f>
        <v>6.25</v>
      </c>
      <c r="BE59" s="307"/>
      <c r="BF59" s="1237">
        <f>+BE58+BF58</f>
        <v>6.25</v>
      </c>
      <c r="BG59" s="307"/>
      <c r="BH59" s="1240"/>
      <c r="BI59" s="607">
        <f>+BH58+BI58</f>
        <v>6.25</v>
      </c>
      <c r="BJ59" s="307"/>
      <c r="BK59" s="1237">
        <f>+BJ58+BK58</f>
        <v>6.25</v>
      </c>
      <c r="BL59" s="307"/>
      <c r="BM59" s="1240"/>
      <c r="BN59" s="607">
        <f>+BM58+BN58</f>
        <v>4.6875</v>
      </c>
      <c r="BO59" s="307"/>
      <c r="BP59" s="1237">
        <f>+BO58+BP58</f>
        <v>0</v>
      </c>
      <c r="BQ59" s="307"/>
      <c r="BR59" s="1240"/>
      <c r="BS59" s="607">
        <f>+BR58+BS58</f>
        <v>0</v>
      </c>
      <c r="BT59" s="307"/>
      <c r="BU59" s="1237">
        <f>+BT58+BU58</f>
        <v>0</v>
      </c>
      <c r="BV59" s="307"/>
      <c r="BW59" s="1240"/>
      <c r="BX59" s="607">
        <f>+BW58+BX58</f>
        <v>0</v>
      </c>
      <c r="BY59" s="307"/>
      <c r="BZ59" s="1237">
        <f>+BY58+BZ58</f>
        <v>0</v>
      </c>
      <c r="CA59" s="307"/>
      <c r="CB59" s="1240"/>
      <c r="CC59" s="607">
        <f>+CB58+CC58</f>
        <v>0</v>
      </c>
      <c r="CD59" s="307"/>
      <c r="CE59" s="1237">
        <f>+CD58+CE58</f>
        <v>0</v>
      </c>
      <c r="CF59" s="762"/>
      <c r="CG59" s="1280"/>
      <c r="CH59" s="762">
        <f>+CG58+CH58</f>
        <v>0</v>
      </c>
      <c r="CI59" s="307"/>
      <c r="CJ59" s="1237">
        <f>+CI58+CJ58</f>
        <v>0</v>
      </c>
      <c r="CK59" s="762"/>
      <c r="CL59" s="1240"/>
      <c r="CM59" s="607">
        <f>+CL58+CM58</f>
        <v>0</v>
      </c>
      <c r="CN59" s="307"/>
      <c r="CO59" s="1237">
        <f>+CN58+CO58</f>
        <v>0</v>
      </c>
      <c r="CP59" s="307"/>
      <c r="CQ59" s="1240"/>
      <c r="CR59" s="607">
        <f>+CQ58+CR58</f>
        <v>0</v>
      </c>
      <c r="CS59" s="307"/>
      <c r="CT59" s="1237">
        <f>+CS58+CT58</f>
        <v>0</v>
      </c>
      <c r="CU59" s="307"/>
      <c r="CV59" s="1240"/>
      <c r="CW59" s="607"/>
      <c r="CX59" s="307"/>
      <c r="CY59" s="1237"/>
      <c r="CZ59" s="307"/>
    </row>
    <row r="60" spans="1:104" ht="6.2" customHeight="1" outlineLevel="1">
      <c r="A60" s="305"/>
      <c r="B60" s="305"/>
      <c r="C60" s="305"/>
      <c r="D60" s="306"/>
      <c r="E60" s="306"/>
      <c r="F60" s="306"/>
      <c r="G60" s="306"/>
      <c r="H60" s="306"/>
      <c r="I60" s="306"/>
      <c r="J60" s="306"/>
      <c r="K60" s="306"/>
      <c r="L60" s="306"/>
      <c r="M60" s="306"/>
      <c r="N60" s="306"/>
      <c r="O60" s="306"/>
      <c r="P60" s="306"/>
      <c r="Q60" s="306"/>
      <c r="R60" s="306"/>
      <c r="S60" s="306"/>
      <c r="T60" s="306"/>
      <c r="U60" s="306"/>
      <c r="V60" s="306"/>
      <c r="W60" s="306"/>
      <c r="X60" s="306"/>
      <c r="Y60" s="306"/>
      <c r="Z60" s="306"/>
      <c r="AA60" s="306"/>
      <c r="AB60" s="306"/>
      <c r="AC60" s="306"/>
      <c r="AD60" s="306"/>
      <c r="AE60" s="306"/>
      <c r="AF60" s="306"/>
      <c r="AG60" s="306"/>
      <c r="AH60" s="306"/>
      <c r="AI60" s="306"/>
      <c r="AJ60" s="306"/>
      <c r="AK60" s="306"/>
      <c r="AL60" s="306"/>
      <c r="AM60" s="306"/>
      <c r="AN60" s="306"/>
      <c r="AO60" s="306"/>
      <c r="AP60" s="306"/>
      <c r="AQ60" s="332"/>
      <c r="AR60" s="332"/>
      <c r="AS60" s="1240"/>
      <c r="AT60" s="307"/>
      <c r="AU60" s="307"/>
      <c r="AV60" s="1241"/>
      <c r="AW60" s="307"/>
      <c r="AX60" s="1240"/>
      <c r="AY60" s="307"/>
      <c r="AZ60" s="307"/>
      <c r="BA60" s="1241"/>
      <c r="BB60" s="307"/>
      <c r="BC60" s="1240"/>
      <c r="BD60" s="307"/>
      <c r="BE60" s="307"/>
      <c r="BF60" s="1241"/>
      <c r="BG60" s="307"/>
      <c r="BH60" s="1240"/>
      <c r="BI60" s="307"/>
      <c r="BJ60" s="307"/>
      <c r="BK60" s="1241"/>
      <c r="BL60" s="307"/>
      <c r="BM60" s="1240"/>
      <c r="BN60" s="307"/>
      <c r="BO60" s="307"/>
      <c r="BP60" s="1241"/>
      <c r="BQ60" s="307"/>
      <c r="BR60" s="1240"/>
      <c r="BS60" s="307"/>
      <c r="BT60" s="307"/>
      <c r="BU60" s="1241"/>
      <c r="BV60" s="307"/>
      <c r="BW60" s="1240"/>
      <c r="BX60" s="307"/>
      <c r="BY60" s="307"/>
      <c r="BZ60" s="1241"/>
      <c r="CA60" s="307"/>
      <c r="CB60" s="1240"/>
      <c r="CC60" s="307"/>
      <c r="CD60" s="307"/>
      <c r="CE60" s="1275"/>
      <c r="CF60" s="762"/>
      <c r="CG60" s="1280"/>
      <c r="CH60" s="762"/>
      <c r="CI60" s="307"/>
      <c r="CJ60" s="1275"/>
      <c r="CK60" s="762"/>
      <c r="CL60" s="1240"/>
      <c r="CM60" s="307"/>
      <c r="CN60" s="307"/>
      <c r="CO60" s="1241"/>
      <c r="CP60" s="307"/>
      <c r="CQ60" s="1240"/>
      <c r="CR60" s="307"/>
      <c r="CS60" s="307"/>
      <c r="CT60" s="1241"/>
      <c r="CU60" s="307"/>
      <c r="CV60" s="1240"/>
      <c r="CW60" s="307"/>
      <c r="CX60" s="307"/>
      <c r="CY60" s="1241"/>
      <c r="CZ60" s="307"/>
    </row>
    <row r="61" spans="1:104" ht="13.5" customHeight="1" outlineLevel="1">
      <c r="A61" s="315" t="s">
        <v>16</v>
      </c>
      <c r="B61" s="305"/>
      <c r="C61" s="305"/>
      <c r="D61" s="306"/>
      <c r="E61" s="306"/>
      <c r="F61" s="306"/>
      <c r="G61" s="333">
        <v>5.7500000000000002E-2</v>
      </c>
      <c r="H61" s="324">
        <v>43070</v>
      </c>
      <c r="I61" s="306"/>
      <c r="J61" s="306"/>
      <c r="K61" s="306"/>
      <c r="L61" s="306"/>
      <c r="M61" s="306"/>
      <c r="N61" s="306"/>
      <c r="O61" s="306"/>
      <c r="P61" s="306"/>
      <c r="Q61" s="306"/>
      <c r="R61" s="306"/>
      <c r="S61" s="306"/>
      <c r="T61" s="306"/>
      <c r="U61" s="306"/>
      <c r="V61" s="306"/>
      <c r="W61" s="306"/>
      <c r="X61" s="306"/>
      <c r="Y61" s="306"/>
      <c r="Z61" s="306"/>
      <c r="AA61" s="306"/>
      <c r="AB61" s="306"/>
      <c r="AC61" s="306"/>
      <c r="AD61" s="306"/>
      <c r="AE61" s="306"/>
      <c r="AF61" s="306"/>
      <c r="AG61" s="306"/>
      <c r="AH61" s="306"/>
      <c r="AI61" s="306"/>
      <c r="AJ61" s="306"/>
      <c r="AK61" s="306"/>
      <c r="AL61" s="306"/>
      <c r="AM61" s="306"/>
      <c r="AN61" s="306"/>
      <c r="AO61" s="306"/>
      <c r="AP61" s="306"/>
      <c r="AQ61" s="332"/>
      <c r="AR61" s="332"/>
      <c r="AS61" s="1240"/>
      <c r="AT61" s="307"/>
      <c r="AU61" s="307"/>
      <c r="AV61" s="1241"/>
      <c r="AW61" s="307"/>
      <c r="AX61" s="1240"/>
      <c r="AY61" s="307"/>
      <c r="AZ61" s="307"/>
      <c r="BA61" s="1241"/>
      <c r="BB61" s="307"/>
      <c r="BC61" s="1240"/>
      <c r="BD61" s="307"/>
      <c r="BE61" s="307"/>
      <c r="BF61" s="1241"/>
      <c r="BG61" s="307"/>
      <c r="BH61" s="1240"/>
      <c r="BI61" s="307"/>
      <c r="BJ61" s="307"/>
      <c r="BK61" s="1241"/>
      <c r="BL61" s="307"/>
      <c r="BM61" s="1240"/>
      <c r="BN61" s="307"/>
      <c r="BO61" s="307"/>
      <c r="BP61" s="1241"/>
      <c r="BQ61" s="307"/>
      <c r="BR61" s="1240"/>
      <c r="BS61" s="307"/>
      <c r="BT61" s="307"/>
      <c r="BU61" s="1241"/>
      <c r="BV61" s="307"/>
      <c r="BW61" s="1240"/>
      <c r="BX61" s="307"/>
      <c r="BY61" s="307"/>
      <c r="BZ61" s="1241"/>
      <c r="CA61" s="307"/>
      <c r="CB61" s="1240"/>
      <c r="CC61" s="307"/>
      <c r="CD61" s="307"/>
      <c r="CE61" s="1275"/>
      <c r="CF61" s="762"/>
      <c r="CG61" s="1280"/>
      <c r="CH61" s="762"/>
      <c r="CI61" s="307"/>
      <c r="CJ61" s="1275"/>
      <c r="CK61" s="762"/>
      <c r="CL61" s="1240"/>
      <c r="CM61" s="307"/>
      <c r="CN61" s="307"/>
      <c r="CO61" s="1241"/>
      <c r="CP61" s="307"/>
      <c r="CQ61" s="1240"/>
      <c r="CR61" s="307"/>
      <c r="CS61" s="307"/>
      <c r="CT61" s="1241"/>
      <c r="CU61" s="307"/>
      <c r="CV61" s="1240"/>
      <c r="CW61" s="307"/>
      <c r="CX61" s="307"/>
      <c r="CY61" s="1241"/>
      <c r="CZ61" s="307"/>
    </row>
    <row r="62" spans="1:104" ht="13.5" customHeight="1" outlineLevel="1">
      <c r="A62" s="305"/>
      <c r="B62" s="305" t="s">
        <v>179</v>
      </c>
      <c r="C62" s="305"/>
      <c r="D62" s="306"/>
      <c r="E62" s="306"/>
      <c r="F62" s="306"/>
      <c r="G62" s="306"/>
      <c r="H62" s="334"/>
      <c r="I62" s="334"/>
      <c r="J62" s="334"/>
      <c r="K62" s="334"/>
      <c r="L62" s="334"/>
      <c r="M62" s="334"/>
      <c r="N62" s="334"/>
      <c r="O62" s="334"/>
      <c r="P62" s="334"/>
      <c r="Q62" s="334"/>
      <c r="R62" s="334"/>
      <c r="S62" s="334"/>
      <c r="T62" s="334"/>
      <c r="U62" s="334"/>
      <c r="V62" s="334"/>
      <c r="W62" s="334"/>
      <c r="X62" s="334"/>
      <c r="Y62" s="334"/>
      <c r="Z62" s="334"/>
      <c r="AA62" s="334"/>
      <c r="AB62" s="334"/>
      <c r="AC62" s="334"/>
      <c r="AD62" s="334"/>
      <c r="AE62" s="334"/>
      <c r="AF62" s="334"/>
      <c r="AG62" s="334"/>
      <c r="AH62" s="334"/>
      <c r="AI62" s="334"/>
      <c r="AJ62" s="334"/>
      <c r="AK62" s="334"/>
      <c r="AL62" s="334"/>
      <c r="AM62" s="334"/>
      <c r="AN62" s="334"/>
      <c r="AO62" s="334"/>
      <c r="AP62" s="334"/>
      <c r="AQ62" s="316"/>
      <c r="AR62" s="316"/>
      <c r="AS62" s="1236">
        <f>+AR64</f>
        <v>600</v>
      </c>
      <c r="AT62" s="607">
        <f>+AS64</f>
        <v>600</v>
      </c>
      <c r="AU62" s="607">
        <f>+AT64</f>
        <v>600</v>
      </c>
      <c r="AV62" s="1237">
        <f>+AU64</f>
        <v>600</v>
      </c>
      <c r="AW62" s="317"/>
      <c r="AX62" s="1236">
        <f>+AW64</f>
        <v>600</v>
      </c>
      <c r="AY62" s="607">
        <f>+AX64</f>
        <v>600</v>
      </c>
      <c r="AZ62" s="607">
        <f>+AY64</f>
        <v>600</v>
      </c>
      <c r="BA62" s="1237">
        <f>+AZ64</f>
        <v>600</v>
      </c>
      <c r="BB62" s="317"/>
      <c r="BC62" s="1236">
        <f>+BB64</f>
        <v>600</v>
      </c>
      <c r="BD62" s="607">
        <f>+BC64</f>
        <v>600</v>
      </c>
      <c r="BE62" s="607">
        <f>+BD64</f>
        <v>600</v>
      </c>
      <c r="BF62" s="1237">
        <f>+BE64</f>
        <v>600</v>
      </c>
      <c r="BG62" s="317"/>
      <c r="BH62" s="1236">
        <f>+BG64</f>
        <v>600</v>
      </c>
      <c r="BI62" s="607">
        <f>+BH64</f>
        <v>600</v>
      </c>
      <c r="BJ62" s="607">
        <f>+BI64</f>
        <v>600</v>
      </c>
      <c r="BK62" s="1237">
        <f>+BJ64</f>
        <v>600</v>
      </c>
      <c r="BL62" s="317"/>
      <c r="BM62" s="1236">
        <f>+BL64</f>
        <v>600</v>
      </c>
      <c r="BN62" s="607">
        <f>+BM64</f>
        <v>600</v>
      </c>
      <c r="BO62" s="607">
        <f>+BN64</f>
        <v>600</v>
      </c>
      <c r="BP62" s="1237">
        <f>+BO64</f>
        <v>600</v>
      </c>
      <c r="BQ62" s="317"/>
      <c r="BR62" s="1236">
        <f>+BQ64</f>
        <v>600</v>
      </c>
      <c r="BS62" s="607">
        <f>+BR64</f>
        <v>600</v>
      </c>
      <c r="BT62" s="607">
        <f>+BS64</f>
        <v>600</v>
      </c>
      <c r="BU62" s="1237">
        <f>+BT64</f>
        <v>600</v>
      </c>
      <c r="BV62" s="317"/>
      <c r="BW62" s="1236">
        <f>+BV64</f>
        <v>600</v>
      </c>
      <c r="BX62" s="607">
        <f>+BW64</f>
        <v>600</v>
      </c>
      <c r="BY62" s="607">
        <f>+BX64</f>
        <v>600</v>
      </c>
      <c r="BZ62" s="1237">
        <f>+BY64</f>
        <v>600</v>
      </c>
      <c r="CA62" s="317"/>
      <c r="CB62" s="1236">
        <f>+CA64</f>
        <v>600</v>
      </c>
      <c r="CC62" s="607">
        <f>+CB64</f>
        <v>600</v>
      </c>
      <c r="CD62" s="607">
        <f>+CC64</f>
        <v>600</v>
      </c>
      <c r="CE62" s="1237">
        <f>+CD64</f>
        <v>600</v>
      </c>
      <c r="CF62" s="607"/>
      <c r="CG62" s="1236">
        <f>+CF64</f>
        <v>600</v>
      </c>
      <c r="CH62" s="607">
        <f>+CG64</f>
        <v>600</v>
      </c>
      <c r="CI62" s="607">
        <f>+CH64</f>
        <v>600</v>
      </c>
      <c r="CJ62" s="1237">
        <f>+CI64</f>
        <v>600</v>
      </c>
      <c r="CK62" s="607"/>
      <c r="CL62" s="1236">
        <f>+CK64</f>
        <v>600</v>
      </c>
      <c r="CM62" s="607">
        <f>+CL64</f>
        <v>600</v>
      </c>
      <c r="CN62" s="607">
        <f>+CM64</f>
        <v>600</v>
      </c>
      <c r="CO62" s="1237">
        <f>+CN64</f>
        <v>600</v>
      </c>
      <c r="CP62" s="317"/>
      <c r="CQ62" s="1236">
        <f>+CP64</f>
        <v>600</v>
      </c>
      <c r="CR62" s="607">
        <f>+CQ64</f>
        <v>600</v>
      </c>
      <c r="CS62" s="607">
        <f>+CR64</f>
        <v>600</v>
      </c>
      <c r="CT62" s="1237">
        <f>+CS64</f>
        <v>600</v>
      </c>
      <c r="CU62" s="317"/>
      <c r="CV62" s="1236">
        <f>+CU64</f>
        <v>600</v>
      </c>
      <c r="CW62" s="607">
        <f>+CV64</f>
        <v>600</v>
      </c>
      <c r="CX62" s="607">
        <f>+CW64</f>
        <v>600</v>
      </c>
      <c r="CY62" s="1237">
        <f>+CX64</f>
        <v>600</v>
      </c>
      <c r="CZ62" s="317"/>
    </row>
    <row r="63" spans="1:104" ht="13.5" customHeight="1" outlineLevel="1">
      <c r="A63" s="305"/>
      <c r="B63" s="305" t="s">
        <v>181</v>
      </c>
      <c r="C63" s="305"/>
      <c r="D63" s="306"/>
      <c r="E63" s="306"/>
      <c r="F63" s="306"/>
      <c r="G63" s="306"/>
      <c r="H63" s="334"/>
      <c r="I63" s="334"/>
      <c r="J63" s="334"/>
      <c r="K63" s="334"/>
      <c r="L63" s="334"/>
      <c r="M63" s="334"/>
      <c r="N63" s="334"/>
      <c r="O63" s="334"/>
      <c r="P63" s="334"/>
      <c r="Q63" s="334"/>
      <c r="R63" s="334"/>
      <c r="S63" s="334"/>
      <c r="T63" s="334"/>
      <c r="U63" s="334"/>
      <c r="V63" s="334"/>
      <c r="W63" s="334"/>
      <c r="X63" s="334"/>
      <c r="Y63" s="334"/>
      <c r="Z63" s="334"/>
      <c r="AA63" s="334"/>
      <c r="AB63" s="334"/>
      <c r="AC63" s="334"/>
      <c r="AD63" s="334"/>
      <c r="AE63" s="334"/>
      <c r="AF63" s="334"/>
      <c r="AG63" s="334"/>
      <c r="AH63" s="334"/>
      <c r="AI63" s="334"/>
      <c r="AJ63" s="334"/>
      <c r="AK63" s="334"/>
      <c r="AL63" s="334"/>
      <c r="AM63" s="334"/>
      <c r="AN63" s="334"/>
      <c r="AO63" s="334"/>
      <c r="AP63" s="334"/>
      <c r="AQ63" s="606">
        <v>0</v>
      </c>
      <c r="AR63" s="316"/>
      <c r="AS63" s="1238">
        <v>0</v>
      </c>
      <c r="AT63" s="605">
        <v>0</v>
      </c>
      <c r="AU63" s="605">
        <v>0</v>
      </c>
      <c r="AV63" s="1239">
        <v>0</v>
      </c>
      <c r="AW63" s="317"/>
      <c r="AX63" s="1238">
        <v>0</v>
      </c>
      <c r="AY63" s="605">
        <v>0</v>
      </c>
      <c r="AZ63" s="605">
        <v>0</v>
      </c>
      <c r="BA63" s="1239">
        <v>0</v>
      </c>
      <c r="BB63" s="317"/>
      <c r="BC63" s="1238">
        <v>0</v>
      </c>
      <c r="BD63" s="605">
        <v>0</v>
      </c>
      <c r="BE63" s="605">
        <v>0</v>
      </c>
      <c r="BF63" s="1239">
        <v>0</v>
      </c>
      <c r="BG63" s="317"/>
      <c r="BH63" s="1238">
        <v>0</v>
      </c>
      <c r="BI63" s="605">
        <v>0</v>
      </c>
      <c r="BJ63" s="605">
        <v>0</v>
      </c>
      <c r="BK63" s="1239">
        <v>0</v>
      </c>
      <c r="BL63" s="317"/>
      <c r="BM63" s="1238">
        <v>0</v>
      </c>
      <c r="BN63" s="605">
        <v>0</v>
      </c>
      <c r="BO63" s="605">
        <v>0</v>
      </c>
      <c r="BP63" s="1239">
        <v>0</v>
      </c>
      <c r="BQ63" s="317"/>
      <c r="BR63" s="1238">
        <v>0</v>
      </c>
      <c r="BS63" s="605">
        <v>0</v>
      </c>
      <c r="BT63" s="605">
        <v>0</v>
      </c>
      <c r="BU63" s="1239">
        <v>0</v>
      </c>
      <c r="BV63" s="317"/>
      <c r="BW63" s="1238">
        <v>0</v>
      </c>
      <c r="BX63" s="605">
        <v>0</v>
      </c>
      <c r="BY63" s="605">
        <v>0</v>
      </c>
      <c r="BZ63" s="1239">
        <v>0</v>
      </c>
      <c r="CA63" s="317"/>
      <c r="CB63" s="1238">
        <v>0</v>
      </c>
      <c r="CC63" s="605">
        <v>0</v>
      </c>
      <c r="CD63" s="605">
        <v>0</v>
      </c>
      <c r="CE63" s="1239">
        <v>0</v>
      </c>
      <c r="CF63" s="607"/>
      <c r="CG63" s="1238">
        <v>0</v>
      </c>
      <c r="CH63" s="605">
        <v>0</v>
      </c>
      <c r="CI63" s="605">
        <v>0</v>
      </c>
      <c r="CJ63" s="1239">
        <v>0</v>
      </c>
      <c r="CK63" s="607"/>
      <c r="CL63" s="1238">
        <v>0</v>
      </c>
      <c r="CM63" s="605">
        <v>0</v>
      </c>
      <c r="CN63" s="605">
        <v>0</v>
      </c>
      <c r="CO63" s="1239">
        <v>0</v>
      </c>
      <c r="CP63" s="317"/>
      <c r="CQ63" s="1238">
        <v>0</v>
      </c>
      <c r="CR63" s="605">
        <v>0</v>
      </c>
      <c r="CS63" s="605">
        <v>0</v>
      </c>
      <c r="CT63" s="1239">
        <v>0</v>
      </c>
      <c r="CU63" s="317"/>
      <c r="CV63" s="1238">
        <v>0</v>
      </c>
      <c r="CW63" s="605">
        <v>0</v>
      </c>
      <c r="CX63" s="605">
        <v>0</v>
      </c>
      <c r="CY63" s="1239">
        <v>0</v>
      </c>
      <c r="CZ63" s="317"/>
    </row>
    <row r="64" spans="1:104" ht="13.5" customHeight="1" outlineLevel="1">
      <c r="A64" s="305"/>
      <c r="B64" s="305" t="s">
        <v>182</v>
      </c>
      <c r="C64" s="305"/>
      <c r="D64" s="306"/>
      <c r="E64" s="306"/>
      <c r="F64" s="306"/>
      <c r="G64" s="306"/>
      <c r="H64" s="335">
        <v>0</v>
      </c>
      <c r="I64" s="335"/>
      <c r="J64" s="335"/>
      <c r="K64" s="335"/>
      <c r="L64" s="335"/>
      <c r="M64" s="335"/>
      <c r="N64" s="335"/>
      <c r="O64" s="335"/>
      <c r="P64" s="335"/>
      <c r="Q64" s="335"/>
      <c r="R64" s="335"/>
      <c r="S64" s="335"/>
      <c r="T64" s="335"/>
      <c r="U64" s="335"/>
      <c r="V64" s="335"/>
      <c r="W64" s="335"/>
      <c r="X64" s="335"/>
      <c r="Y64" s="335"/>
      <c r="Z64" s="335"/>
      <c r="AA64" s="335"/>
      <c r="AB64" s="335"/>
      <c r="AC64" s="335"/>
      <c r="AD64" s="335"/>
      <c r="AE64" s="335"/>
      <c r="AF64" s="335"/>
      <c r="AG64" s="335"/>
      <c r="AH64" s="335"/>
      <c r="AI64" s="335"/>
      <c r="AJ64" s="335"/>
      <c r="AK64" s="335"/>
      <c r="AL64" s="335"/>
      <c r="AM64" s="335"/>
      <c r="AN64" s="335"/>
      <c r="AO64" s="335"/>
      <c r="AP64" s="335"/>
      <c r="AQ64" s="606">
        <v>600</v>
      </c>
      <c r="AR64" s="316">
        <f>+AQ64</f>
        <v>600</v>
      </c>
      <c r="AS64" s="1236">
        <f>+AS62+AS63</f>
        <v>600</v>
      </c>
      <c r="AT64" s="607">
        <f>+AT62+AT63</f>
        <v>600</v>
      </c>
      <c r="AU64" s="607">
        <f>+AU62+AU63</f>
        <v>600</v>
      </c>
      <c r="AV64" s="1237">
        <f>+AV62+AV63</f>
        <v>600</v>
      </c>
      <c r="AW64" s="607">
        <f>+AV64</f>
        <v>600</v>
      </c>
      <c r="AX64" s="1236">
        <f>+AX62+AX63</f>
        <v>600</v>
      </c>
      <c r="AY64" s="607">
        <f>+AY62+AY63</f>
        <v>600</v>
      </c>
      <c r="AZ64" s="607">
        <f>+AZ62+AZ63</f>
        <v>600</v>
      </c>
      <c r="BA64" s="1237">
        <f>+BA62+BA63</f>
        <v>600</v>
      </c>
      <c r="BB64" s="607">
        <f>+BA64</f>
        <v>600</v>
      </c>
      <c r="BC64" s="1236">
        <f>+BC62+BC63</f>
        <v>600</v>
      </c>
      <c r="BD64" s="607">
        <f>+BD62+BD63</f>
        <v>600</v>
      </c>
      <c r="BE64" s="607">
        <f>+BE62+BE63</f>
        <v>600</v>
      </c>
      <c r="BF64" s="1237">
        <f>+BF62+BF63</f>
        <v>600</v>
      </c>
      <c r="BG64" s="607">
        <f>+BF64</f>
        <v>600</v>
      </c>
      <c r="BH64" s="1236">
        <f>+BH62+BH63</f>
        <v>600</v>
      </c>
      <c r="BI64" s="607">
        <f>+BI62+BI63</f>
        <v>600</v>
      </c>
      <c r="BJ64" s="607">
        <f>+BJ62+BJ63</f>
        <v>600</v>
      </c>
      <c r="BK64" s="1237">
        <f>+BK62+BK63</f>
        <v>600</v>
      </c>
      <c r="BL64" s="607">
        <f>+BK64</f>
        <v>600</v>
      </c>
      <c r="BM64" s="1236">
        <f>+BM62+BM63</f>
        <v>600</v>
      </c>
      <c r="BN64" s="607">
        <f>+BN62+BN63</f>
        <v>600</v>
      </c>
      <c r="BO64" s="607">
        <f>+BO62+BO63</f>
        <v>600</v>
      </c>
      <c r="BP64" s="1237">
        <f>+BP62+BP63</f>
        <v>600</v>
      </c>
      <c r="BQ64" s="607">
        <f>+BP64</f>
        <v>600</v>
      </c>
      <c r="BR64" s="1236">
        <f>+BR62+BR63</f>
        <v>600</v>
      </c>
      <c r="BS64" s="607">
        <f>+BS62+BS63</f>
        <v>600</v>
      </c>
      <c r="BT64" s="607">
        <f>+BT62+BT63</f>
        <v>600</v>
      </c>
      <c r="BU64" s="1237">
        <f>+BU62+BU63</f>
        <v>600</v>
      </c>
      <c r="BV64" s="607">
        <f>+BU64</f>
        <v>600</v>
      </c>
      <c r="BW64" s="1236">
        <f>+BW62+BW63</f>
        <v>600</v>
      </c>
      <c r="BX64" s="607">
        <f>+BX62+BX63</f>
        <v>600</v>
      </c>
      <c r="BY64" s="607">
        <f>+BY62+BY63</f>
        <v>600</v>
      </c>
      <c r="BZ64" s="1237">
        <f>+BZ62+BZ63</f>
        <v>600</v>
      </c>
      <c r="CA64" s="607">
        <f>+BZ64</f>
        <v>600</v>
      </c>
      <c r="CB64" s="1236">
        <f>+CB62+CB63</f>
        <v>600</v>
      </c>
      <c r="CC64" s="607">
        <f>+CC62+CC63</f>
        <v>600</v>
      </c>
      <c r="CD64" s="607">
        <f>+CD62+CD63</f>
        <v>600</v>
      </c>
      <c r="CE64" s="1237">
        <f>+CE62+CE63</f>
        <v>600</v>
      </c>
      <c r="CF64" s="607">
        <f>+CE64</f>
        <v>600</v>
      </c>
      <c r="CG64" s="1281">
        <f>+CG62+CG63</f>
        <v>600</v>
      </c>
      <c r="CH64" s="681">
        <f>+CH62+CH63</f>
        <v>600</v>
      </c>
      <c r="CI64" s="681">
        <f>+CI62+CI63</f>
        <v>600</v>
      </c>
      <c r="CJ64" s="1284">
        <f>+CJ62+CJ63</f>
        <v>600</v>
      </c>
      <c r="CK64" s="607">
        <f>+CJ64</f>
        <v>600</v>
      </c>
      <c r="CL64" s="1236">
        <f>+CL62+CL63</f>
        <v>600</v>
      </c>
      <c r="CM64" s="607">
        <f>+CM62+CM63</f>
        <v>600</v>
      </c>
      <c r="CN64" s="607">
        <f>+CN62+CN63</f>
        <v>600</v>
      </c>
      <c r="CO64" s="1237">
        <f>+CO62+CO63</f>
        <v>600</v>
      </c>
      <c r="CP64" s="607">
        <f>+CO64</f>
        <v>600</v>
      </c>
      <c r="CQ64" s="1236">
        <f>+CQ62+CQ63</f>
        <v>600</v>
      </c>
      <c r="CR64" s="607">
        <f>+CR62+CR63</f>
        <v>600</v>
      </c>
      <c r="CS64" s="607">
        <f>+CS62+CS63</f>
        <v>600</v>
      </c>
      <c r="CT64" s="1237">
        <f>+CT62+CT63</f>
        <v>600</v>
      </c>
      <c r="CU64" s="607">
        <f>+CT64</f>
        <v>600</v>
      </c>
      <c r="CV64" s="1236">
        <f>+CV62+CV63</f>
        <v>600</v>
      </c>
      <c r="CW64" s="607">
        <f>+CW62+CW63</f>
        <v>600</v>
      </c>
      <c r="CX64" s="607">
        <f>+CX62+CX63</f>
        <v>600</v>
      </c>
      <c r="CY64" s="1237">
        <f>+CY62+CY63</f>
        <v>600</v>
      </c>
      <c r="CZ64" s="607">
        <f>+CY64</f>
        <v>600</v>
      </c>
    </row>
    <row r="65" spans="1:104" ht="13.5" customHeight="1" outlineLevel="1">
      <c r="A65" s="305"/>
      <c r="B65" s="305" t="s">
        <v>183</v>
      </c>
      <c r="C65" s="305"/>
      <c r="D65" s="306"/>
      <c r="E65" s="306"/>
      <c r="F65" s="306"/>
      <c r="G65" s="306"/>
      <c r="H65" s="334"/>
      <c r="I65" s="334"/>
      <c r="J65" s="334"/>
      <c r="K65" s="334"/>
      <c r="L65" s="334"/>
      <c r="M65" s="334"/>
      <c r="N65" s="334"/>
      <c r="O65" s="334"/>
      <c r="P65" s="334"/>
      <c r="Q65" s="334"/>
      <c r="R65" s="334"/>
      <c r="S65" s="334"/>
      <c r="T65" s="334"/>
      <c r="U65" s="334"/>
      <c r="V65" s="334"/>
      <c r="W65" s="334"/>
      <c r="X65" s="334"/>
      <c r="Y65" s="334"/>
      <c r="Z65" s="334"/>
      <c r="AA65" s="334"/>
      <c r="AB65" s="334"/>
      <c r="AC65" s="334"/>
      <c r="AD65" s="334"/>
      <c r="AE65" s="334"/>
      <c r="AF65" s="334"/>
      <c r="AG65" s="334"/>
      <c r="AH65" s="334"/>
      <c r="AI65" s="334"/>
      <c r="AJ65" s="334"/>
      <c r="AK65" s="334"/>
      <c r="AL65" s="334"/>
      <c r="AM65" s="334"/>
      <c r="AN65" s="334"/>
      <c r="AO65" s="334"/>
      <c r="AP65" s="334"/>
      <c r="AQ65" s="316"/>
      <c r="AR65" s="316"/>
      <c r="AS65" s="1236">
        <f>+AVERAGE(AS62,AS64)</f>
        <v>600</v>
      </c>
      <c r="AT65" s="607">
        <f>+AVERAGE(AT62,AT64)</f>
        <v>600</v>
      </c>
      <c r="AU65" s="607">
        <f>+AVERAGE(AU62,AU64)</f>
        <v>600</v>
      </c>
      <c r="AV65" s="1237">
        <f>+AVERAGE(AV62,AV64)</f>
        <v>600</v>
      </c>
      <c r="AW65" s="317"/>
      <c r="AX65" s="1236">
        <f>+AVERAGE(AX62,AX64)</f>
        <v>600</v>
      </c>
      <c r="AY65" s="607">
        <f>+AVERAGE(AY62,AY64)</f>
        <v>600</v>
      </c>
      <c r="AZ65" s="607">
        <f>+AVERAGE(AZ62,AZ64)</f>
        <v>600</v>
      </c>
      <c r="BA65" s="1237">
        <f>+AVERAGE(BA62,BA64)</f>
        <v>600</v>
      </c>
      <c r="BB65" s="317"/>
      <c r="BC65" s="1236">
        <f>+AVERAGE(BC62,BC64)</f>
        <v>600</v>
      </c>
      <c r="BD65" s="607">
        <f>+AVERAGE(BD62,BD64)</f>
        <v>600</v>
      </c>
      <c r="BE65" s="607">
        <f>+AVERAGE(BE62,BE64)</f>
        <v>600</v>
      </c>
      <c r="BF65" s="1237">
        <f>+AVERAGE(BF62,BF64)</f>
        <v>600</v>
      </c>
      <c r="BG65" s="317"/>
      <c r="BH65" s="1236">
        <f>+AVERAGE(BH62,BH64)</f>
        <v>600</v>
      </c>
      <c r="BI65" s="607">
        <f>+AVERAGE(BI62,BI64)</f>
        <v>600</v>
      </c>
      <c r="BJ65" s="607">
        <f>+AVERAGE(BJ62,BJ64)</f>
        <v>600</v>
      </c>
      <c r="BK65" s="1237">
        <f>+AVERAGE(BK62,BK64)</f>
        <v>600</v>
      </c>
      <c r="BL65" s="317"/>
      <c r="BM65" s="1236">
        <f>+AVERAGE(BM62,BM64)</f>
        <v>600</v>
      </c>
      <c r="BN65" s="607">
        <f>+AVERAGE(BN62,BN64)</f>
        <v>600</v>
      </c>
      <c r="BO65" s="607">
        <f>+AVERAGE(BO62,BO64)</f>
        <v>600</v>
      </c>
      <c r="BP65" s="1237">
        <f>+AVERAGE(BP62,BP64)</f>
        <v>600</v>
      </c>
      <c r="BQ65" s="317"/>
      <c r="BR65" s="1236">
        <f>+AVERAGE(BR62,BR64)</f>
        <v>600</v>
      </c>
      <c r="BS65" s="607">
        <f>+AVERAGE(BS62,BS64)</f>
        <v>600</v>
      </c>
      <c r="BT65" s="607">
        <f>+AVERAGE(BT62,BT64)</f>
        <v>600</v>
      </c>
      <c r="BU65" s="1237">
        <f>+AVERAGE(BU62,BU64)</f>
        <v>600</v>
      </c>
      <c r="BV65" s="317"/>
      <c r="BW65" s="1236">
        <f>+AVERAGE(BW62,BW64)</f>
        <v>600</v>
      </c>
      <c r="BX65" s="607">
        <f>+AVERAGE(BX62,BX64)</f>
        <v>600</v>
      </c>
      <c r="BY65" s="607">
        <f>+AVERAGE(BY62,BY64)</f>
        <v>600</v>
      </c>
      <c r="BZ65" s="1237">
        <f>+AVERAGE(BZ62,BZ64)</f>
        <v>600</v>
      </c>
      <c r="CA65" s="317"/>
      <c r="CB65" s="1236">
        <f>+AVERAGE(CB62,CB64)</f>
        <v>600</v>
      </c>
      <c r="CC65" s="607">
        <f>+AVERAGE(CC62,CC64)</f>
        <v>600</v>
      </c>
      <c r="CD65" s="607">
        <f>+AVERAGE(CD62,CD64)</f>
        <v>600</v>
      </c>
      <c r="CE65" s="1237">
        <f>+AVERAGE(CE62,CE64)</f>
        <v>600</v>
      </c>
      <c r="CF65" s="607"/>
      <c r="CG65" s="1236">
        <f>+AVERAGE(CG62,CG64)</f>
        <v>600</v>
      </c>
      <c r="CH65" s="607">
        <f>+AVERAGE(CH62,CH64)</f>
        <v>600</v>
      </c>
      <c r="CI65" s="607">
        <f>+AVERAGE(CI62,CI64)</f>
        <v>600</v>
      </c>
      <c r="CJ65" s="1237">
        <f>+AVERAGE(CJ62,CJ64)</f>
        <v>600</v>
      </c>
      <c r="CK65" s="607"/>
      <c r="CL65" s="1236">
        <f>+AVERAGE(CL62,CL64)</f>
        <v>600</v>
      </c>
      <c r="CM65" s="607">
        <f>+AVERAGE(CM62,CM64)</f>
        <v>600</v>
      </c>
      <c r="CN65" s="607">
        <f>+AVERAGE(CN62,CN64)</f>
        <v>600</v>
      </c>
      <c r="CO65" s="1237">
        <f>+AVERAGE(CO62,CO64)</f>
        <v>600</v>
      </c>
      <c r="CP65" s="317"/>
      <c r="CQ65" s="1236">
        <f>+AVERAGE(CQ62,CQ64)</f>
        <v>600</v>
      </c>
      <c r="CR65" s="607">
        <f>+AVERAGE(CR62,CR64)</f>
        <v>600</v>
      </c>
      <c r="CS65" s="607">
        <f>+AVERAGE(CS62,CS64)</f>
        <v>600</v>
      </c>
      <c r="CT65" s="1237">
        <f>+AVERAGE(CT62,CT64)</f>
        <v>600</v>
      </c>
      <c r="CU65" s="317"/>
      <c r="CV65" s="1236">
        <f>+AVERAGE(CV62,CV64)</f>
        <v>600</v>
      </c>
      <c r="CW65" s="607">
        <f>+AVERAGE(CW62,CW64)</f>
        <v>600</v>
      </c>
      <c r="CX65" s="607">
        <f>+AVERAGE(CX62,CX64)</f>
        <v>600</v>
      </c>
      <c r="CY65" s="1237">
        <f>+AVERAGE(CY62,CY64)</f>
        <v>600</v>
      </c>
      <c r="CZ65" s="317"/>
    </row>
    <row r="66" spans="1:104" ht="13.5" customHeight="1" outlineLevel="1">
      <c r="A66" s="305"/>
      <c r="B66" s="305" t="s">
        <v>575</v>
      </c>
      <c r="C66" s="305"/>
      <c r="D66" s="306"/>
      <c r="E66" s="306"/>
      <c r="F66" s="306"/>
      <c r="G66" s="306"/>
      <c r="H66" s="334"/>
      <c r="I66" s="334"/>
      <c r="J66" s="334"/>
      <c r="K66" s="334"/>
      <c r="L66" s="334"/>
      <c r="M66" s="334"/>
      <c r="N66" s="334"/>
      <c r="O66" s="334"/>
      <c r="P66" s="334"/>
      <c r="Q66" s="334"/>
      <c r="R66" s="334"/>
      <c r="S66" s="334"/>
      <c r="T66" s="334"/>
      <c r="U66" s="334"/>
      <c r="V66" s="334"/>
      <c r="W66" s="334"/>
      <c r="X66" s="334"/>
      <c r="Y66" s="334"/>
      <c r="Z66" s="334"/>
      <c r="AA66" s="334"/>
      <c r="AB66" s="334"/>
      <c r="AC66" s="334"/>
      <c r="AD66" s="334"/>
      <c r="AE66" s="334"/>
      <c r="AF66" s="334"/>
      <c r="AG66" s="334"/>
      <c r="AH66" s="334"/>
      <c r="AI66" s="334"/>
      <c r="AJ66" s="334"/>
      <c r="AK66" s="334"/>
      <c r="AL66" s="334"/>
      <c r="AM66" s="334"/>
      <c r="AN66" s="334"/>
      <c r="AO66" s="334"/>
      <c r="AP66" s="334"/>
      <c r="AQ66" s="316"/>
      <c r="AR66" s="316"/>
      <c r="AS66" s="1236">
        <f>+AS65*$G61/4</f>
        <v>8.625</v>
      </c>
      <c r="AT66" s="607">
        <f>+AT65*$G61/4</f>
        <v>8.625</v>
      </c>
      <c r="AU66" s="607">
        <f>+AU65*$G61/4</f>
        <v>8.625</v>
      </c>
      <c r="AV66" s="1237">
        <f>+AV65*$G61/4</f>
        <v>8.625</v>
      </c>
      <c r="AW66" s="317"/>
      <c r="AX66" s="1236">
        <f>+AX65*$G61/4</f>
        <v>8.625</v>
      </c>
      <c r="AY66" s="607">
        <f>+AY65*$G61/4</f>
        <v>8.625</v>
      </c>
      <c r="AZ66" s="607">
        <f>+AZ65*$G61/4</f>
        <v>8.625</v>
      </c>
      <c r="BA66" s="1237">
        <f>+BA65*$G61/4</f>
        <v>8.625</v>
      </c>
      <c r="BB66" s="317"/>
      <c r="BC66" s="1236">
        <f>+BC65*$G61/4</f>
        <v>8.625</v>
      </c>
      <c r="BD66" s="607">
        <f>+BD65*$G61/4</f>
        <v>8.625</v>
      </c>
      <c r="BE66" s="607">
        <f>+BE65*$G61/4</f>
        <v>8.625</v>
      </c>
      <c r="BF66" s="1237">
        <f>+BF65*$G61/4</f>
        <v>8.625</v>
      </c>
      <c r="BG66" s="317"/>
      <c r="BH66" s="1236">
        <f>+BH65*$G61/4</f>
        <v>8.625</v>
      </c>
      <c r="BI66" s="607">
        <f>+BI65*$G61/4</f>
        <v>8.625</v>
      </c>
      <c r="BJ66" s="607">
        <f>+BJ65*$G61/4</f>
        <v>8.625</v>
      </c>
      <c r="BK66" s="1237">
        <f>+BK65*$G61/4</f>
        <v>8.625</v>
      </c>
      <c r="BL66" s="317"/>
      <c r="BM66" s="1236">
        <f>+BM65*$G61/4</f>
        <v>8.625</v>
      </c>
      <c r="BN66" s="607">
        <f>+BN65*$G61/4</f>
        <v>8.625</v>
      </c>
      <c r="BO66" s="607">
        <f>+BO65*$G61/4</f>
        <v>8.625</v>
      </c>
      <c r="BP66" s="1237">
        <f>+BP65*$G61/4</f>
        <v>8.625</v>
      </c>
      <c r="BQ66" s="317"/>
      <c r="BR66" s="1236">
        <f>+BR65*$G61/4</f>
        <v>8.625</v>
      </c>
      <c r="BS66" s="607">
        <f>+BS65*$G61/4</f>
        <v>8.625</v>
      </c>
      <c r="BT66" s="607">
        <f>+BT65*$G61/4</f>
        <v>8.625</v>
      </c>
      <c r="BU66" s="1237">
        <f>+BU65*$G61/4</f>
        <v>8.625</v>
      </c>
      <c r="BV66" s="317"/>
      <c r="BW66" s="1236">
        <f>+BW65*$G61/4</f>
        <v>8.625</v>
      </c>
      <c r="BX66" s="607">
        <f>+BX65*$G61/4</f>
        <v>8.625</v>
      </c>
      <c r="BY66" s="607">
        <f>+BY65*$G61/4</f>
        <v>8.625</v>
      </c>
      <c r="BZ66" s="1237">
        <f>+BZ65*$G61/4</f>
        <v>8.625</v>
      </c>
      <c r="CA66" s="317"/>
      <c r="CB66" s="1236">
        <f>+CB65*$G61/4</f>
        <v>8.625</v>
      </c>
      <c r="CC66" s="607">
        <f>+CC65*$G61/4</f>
        <v>8.625</v>
      </c>
      <c r="CD66" s="607">
        <f>+CD65*$G61/4</f>
        <v>8.625</v>
      </c>
      <c r="CE66" s="1237">
        <f>+CE65*$G61/4</f>
        <v>8.625</v>
      </c>
      <c r="CF66" s="607"/>
      <c r="CG66" s="1236">
        <f>+CG65*$G61/4</f>
        <v>8.625</v>
      </c>
      <c r="CH66" s="607">
        <f>+CH65*$G61/4</f>
        <v>8.625</v>
      </c>
      <c r="CI66" s="607">
        <f>+CI65*$G61/4</f>
        <v>8.625</v>
      </c>
      <c r="CJ66" s="1237">
        <f>+CJ65*$G61/4</f>
        <v>8.625</v>
      </c>
      <c r="CK66" s="607"/>
      <c r="CL66" s="1236">
        <f>+CL65*$G61/4</f>
        <v>8.625</v>
      </c>
      <c r="CM66" s="607">
        <f>+CM65*$G61/4</f>
        <v>8.625</v>
      </c>
      <c r="CN66" s="607">
        <f>+CN65*$G61/4</f>
        <v>8.625</v>
      </c>
      <c r="CO66" s="1237">
        <f>+CO65*$G61/4</f>
        <v>8.625</v>
      </c>
      <c r="CP66" s="317"/>
      <c r="CQ66" s="1236">
        <f>+CQ65*$G61/4</f>
        <v>8.625</v>
      </c>
      <c r="CR66" s="607">
        <f>+CR65*$G61/4</f>
        <v>8.625</v>
      </c>
      <c r="CS66" s="607">
        <f>+CS65*$G61/4</f>
        <v>8.625</v>
      </c>
      <c r="CT66" s="1237">
        <f>+CT65*$G61/4</f>
        <v>8.625</v>
      </c>
      <c r="CU66" s="317"/>
      <c r="CV66" s="1236">
        <f>+CV65*$G61/4</f>
        <v>8.625</v>
      </c>
      <c r="CW66" s="607">
        <f>+CW65*$G61/4</f>
        <v>8.625</v>
      </c>
      <c r="CX66" s="607">
        <f>+CX65*$G61/4</f>
        <v>8.625</v>
      </c>
      <c r="CY66" s="1237">
        <f>+CY65*$G61/4</f>
        <v>8.625</v>
      </c>
      <c r="CZ66" s="317"/>
    </row>
    <row r="67" spans="1:104" ht="13.5" customHeight="1" outlineLevel="1">
      <c r="A67" s="305"/>
      <c r="B67" s="305" t="s">
        <v>184</v>
      </c>
      <c r="C67" s="305"/>
      <c r="D67" s="306"/>
      <c r="E67" s="306"/>
      <c r="F67" s="306"/>
      <c r="G67" s="306"/>
      <c r="H67" s="306"/>
      <c r="I67" s="306"/>
      <c r="J67" s="306"/>
      <c r="K67" s="306"/>
      <c r="L67" s="306"/>
      <c r="M67" s="306"/>
      <c r="N67" s="306"/>
      <c r="O67" s="306"/>
      <c r="P67" s="306"/>
      <c r="Q67" s="306"/>
      <c r="R67" s="306"/>
      <c r="S67" s="306"/>
      <c r="T67" s="306"/>
      <c r="U67" s="306"/>
      <c r="V67" s="306"/>
      <c r="W67" s="306"/>
      <c r="X67" s="306"/>
      <c r="Y67" s="306"/>
      <c r="Z67" s="306"/>
      <c r="AA67" s="306"/>
      <c r="AB67" s="306"/>
      <c r="AC67" s="306"/>
      <c r="AD67" s="306"/>
      <c r="AE67" s="306"/>
      <c r="AF67" s="306"/>
      <c r="AG67" s="306"/>
      <c r="AH67" s="306"/>
      <c r="AI67" s="306"/>
      <c r="AJ67" s="306"/>
      <c r="AK67" s="306"/>
      <c r="AL67" s="306"/>
      <c r="AM67" s="306"/>
      <c r="AN67" s="306"/>
      <c r="AO67" s="306"/>
      <c r="AP67" s="306"/>
      <c r="AQ67" s="316"/>
      <c r="AR67" s="332"/>
      <c r="AS67" s="1240"/>
      <c r="AT67" s="607">
        <f>+AS66+AT66</f>
        <v>17.25</v>
      </c>
      <c r="AU67" s="307"/>
      <c r="AV67" s="1237">
        <f>+AU66+AV66</f>
        <v>17.25</v>
      </c>
      <c r="AW67" s="307"/>
      <c r="AX67" s="1240"/>
      <c r="AY67" s="607">
        <f>+AX66+AY66</f>
        <v>17.25</v>
      </c>
      <c r="AZ67" s="307"/>
      <c r="BA67" s="1237">
        <f>+AZ66+BA66</f>
        <v>17.25</v>
      </c>
      <c r="BB67" s="307"/>
      <c r="BC67" s="1240"/>
      <c r="BD67" s="607">
        <f>+BC66+BD66</f>
        <v>17.25</v>
      </c>
      <c r="BE67" s="307"/>
      <c r="BF67" s="1237">
        <f>+BE66+BF66</f>
        <v>17.25</v>
      </c>
      <c r="BG67" s="307"/>
      <c r="BH67" s="1240"/>
      <c r="BI67" s="607">
        <f>+BH66+BI66</f>
        <v>17.25</v>
      </c>
      <c r="BJ67" s="307"/>
      <c r="BK67" s="1237">
        <f>+BJ66+BK66</f>
        <v>17.25</v>
      </c>
      <c r="BL67" s="307"/>
      <c r="BM67" s="1240"/>
      <c r="BN67" s="607">
        <f>+BM66+BN66</f>
        <v>17.25</v>
      </c>
      <c r="BO67" s="307"/>
      <c r="BP67" s="1237">
        <f>+BO66+BP66</f>
        <v>17.25</v>
      </c>
      <c r="BQ67" s="307"/>
      <c r="BR67" s="1240"/>
      <c r="BS67" s="607">
        <f>+BR66+BS66</f>
        <v>17.25</v>
      </c>
      <c r="BT67" s="307"/>
      <c r="BU67" s="1237">
        <f>+BT66+BU66</f>
        <v>17.25</v>
      </c>
      <c r="BV67" s="307"/>
      <c r="BW67" s="1240"/>
      <c r="BX67" s="607">
        <f>+BW66+BX66</f>
        <v>17.25</v>
      </c>
      <c r="BY67" s="307"/>
      <c r="BZ67" s="1237">
        <f>+BY66+BZ66</f>
        <v>17.25</v>
      </c>
      <c r="CA67" s="307"/>
      <c r="CB67" s="1240"/>
      <c r="CC67" s="607">
        <f>+CB66+CC66</f>
        <v>17.25</v>
      </c>
      <c r="CD67" s="307"/>
      <c r="CE67" s="1237">
        <f>+CD66+CE66</f>
        <v>17.25</v>
      </c>
      <c r="CF67" s="762"/>
      <c r="CG67" s="1280"/>
      <c r="CH67" s="762">
        <f>+CG66+CH66</f>
        <v>17.25</v>
      </c>
      <c r="CI67" s="307"/>
      <c r="CJ67" s="1237">
        <f>+CI66+CJ66</f>
        <v>17.25</v>
      </c>
      <c r="CK67" s="762"/>
      <c r="CL67" s="1240"/>
      <c r="CM67" s="607">
        <f>+CL66+CM66</f>
        <v>17.25</v>
      </c>
      <c r="CN67" s="307"/>
      <c r="CO67" s="1237">
        <f>+CN66+CO66</f>
        <v>17.25</v>
      </c>
      <c r="CP67" s="307"/>
      <c r="CQ67" s="1240"/>
      <c r="CR67" s="607">
        <f>+CQ66+CR66</f>
        <v>17.25</v>
      </c>
      <c r="CS67" s="307"/>
      <c r="CT67" s="1237">
        <f>+CS66+CT66</f>
        <v>17.25</v>
      </c>
      <c r="CU67" s="307"/>
      <c r="CV67" s="1240"/>
      <c r="CW67" s="607">
        <f>+CV66+CW66</f>
        <v>17.25</v>
      </c>
      <c r="CX67" s="307"/>
      <c r="CY67" s="1237">
        <f>+CX66+CY66</f>
        <v>17.25</v>
      </c>
      <c r="CZ67" s="307"/>
    </row>
    <row r="68" spans="1:104" ht="6.2" customHeight="1" outlineLevel="1">
      <c r="A68" s="305"/>
      <c r="B68" s="305"/>
      <c r="C68" s="305"/>
      <c r="D68" s="306"/>
      <c r="E68" s="306"/>
      <c r="F68" s="306"/>
      <c r="G68" s="306"/>
      <c r="H68" s="306"/>
      <c r="I68" s="306"/>
      <c r="J68" s="306"/>
      <c r="K68" s="306"/>
      <c r="L68" s="306"/>
      <c r="M68" s="306"/>
      <c r="N68" s="306"/>
      <c r="O68" s="306"/>
      <c r="P68" s="306"/>
      <c r="Q68" s="306"/>
      <c r="R68" s="306"/>
      <c r="S68" s="306"/>
      <c r="T68" s="306"/>
      <c r="U68" s="306"/>
      <c r="V68" s="306"/>
      <c r="W68" s="306"/>
      <c r="X68" s="306"/>
      <c r="Y68" s="306"/>
      <c r="Z68" s="306"/>
      <c r="AA68" s="306"/>
      <c r="AB68" s="306"/>
      <c r="AC68" s="306"/>
      <c r="AD68" s="306"/>
      <c r="AE68" s="306"/>
      <c r="AF68" s="306"/>
      <c r="AG68" s="306"/>
      <c r="AH68" s="306"/>
      <c r="AI68" s="306"/>
      <c r="AJ68" s="306"/>
      <c r="AK68" s="306"/>
      <c r="AL68" s="306"/>
      <c r="AM68" s="306"/>
      <c r="AN68" s="306"/>
      <c r="AO68" s="306"/>
      <c r="AP68" s="306"/>
      <c r="AQ68" s="332"/>
      <c r="AR68" s="332"/>
      <c r="AS68" s="1240"/>
      <c r="AT68" s="307"/>
      <c r="AU68" s="307"/>
      <c r="AV68" s="1241"/>
      <c r="AW68" s="307"/>
      <c r="AX68" s="1240"/>
      <c r="AY68" s="307"/>
      <c r="AZ68" s="307"/>
      <c r="BA68" s="1241"/>
      <c r="BB68" s="307"/>
      <c r="BC68" s="1240"/>
      <c r="BD68" s="307"/>
      <c r="BE68" s="307"/>
      <c r="BF68" s="1241"/>
      <c r="BG68" s="307"/>
      <c r="BH68" s="1240"/>
      <c r="BI68" s="307"/>
      <c r="BJ68" s="307"/>
      <c r="BK68" s="1241"/>
      <c r="BL68" s="307"/>
      <c r="BM68" s="1240"/>
      <c r="BN68" s="307"/>
      <c r="BO68" s="307"/>
      <c r="BP68" s="1241"/>
      <c r="BQ68" s="307"/>
      <c r="BR68" s="1240"/>
      <c r="BS68" s="307"/>
      <c r="BT68" s="307"/>
      <c r="BU68" s="1241"/>
      <c r="BV68" s="307"/>
      <c r="BW68" s="1240"/>
      <c r="BX68" s="307"/>
      <c r="BY68" s="307"/>
      <c r="BZ68" s="1241"/>
      <c r="CA68" s="307"/>
      <c r="CB68" s="1240"/>
      <c r="CC68" s="307"/>
      <c r="CD68" s="307"/>
      <c r="CE68" s="1275"/>
      <c r="CF68" s="762"/>
      <c r="CG68" s="1280"/>
      <c r="CH68" s="762"/>
      <c r="CI68" s="307"/>
      <c r="CJ68" s="1275"/>
      <c r="CK68" s="762"/>
      <c r="CL68" s="1240"/>
      <c r="CM68" s="307"/>
      <c r="CN68" s="307"/>
      <c r="CO68" s="1241"/>
      <c r="CP68" s="307"/>
      <c r="CQ68" s="1240"/>
      <c r="CR68" s="307"/>
      <c r="CS68" s="307"/>
      <c r="CT68" s="1241"/>
      <c r="CU68" s="307"/>
      <c r="CV68" s="1240"/>
      <c r="CW68" s="307"/>
      <c r="CX68" s="307"/>
      <c r="CY68" s="1241"/>
      <c r="CZ68" s="307"/>
    </row>
    <row r="69" spans="1:104" ht="13.5" customHeight="1" outlineLevel="1">
      <c r="A69" s="315" t="s">
        <v>17</v>
      </c>
      <c r="B69" s="305"/>
      <c r="C69" s="305"/>
      <c r="D69" s="306"/>
      <c r="E69" s="306"/>
      <c r="F69" s="306"/>
      <c r="G69" s="333">
        <v>5.8500000000000003E-2</v>
      </c>
      <c r="H69" s="324">
        <v>43252</v>
      </c>
      <c r="I69" s="306"/>
      <c r="J69" s="306"/>
      <c r="K69" s="306"/>
      <c r="L69" s="306"/>
      <c r="M69" s="306"/>
      <c r="N69" s="306"/>
      <c r="O69" s="306"/>
      <c r="P69" s="306"/>
      <c r="Q69" s="306"/>
      <c r="R69" s="306"/>
      <c r="S69" s="306"/>
      <c r="T69" s="306"/>
      <c r="U69" s="306"/>
      <c r="V69" s="306"/>
      <c r="W69" s="306"/>
      <c r="X69" s="306"/>
      <c r="Y69" s="306"/>
      <c r="Z69" s="306"/>
      <c r="AA69" s="306"/>
      <c r="AB69" s="306"/>
      <c r="AC69" s="306"/>
      <c r="AD69" s="306"/>
      <c r="AE69" s="306"/>
      <c r="AF69" s="306"/>
      <c r="AG69" s="306"/>
      <c r="AH69" s="306"/>
      <c r="AI69" s="306"/>
      <c r="AJ69" s="306"/>
      <c r="AK69" s="306"/>
      <c r="AL69" s="306"/>
      <c r="AM69" s="306"/>
      <c r="AN69" s="306"/>
      <c r="AO69" s="306"/>
      <c r="AP69" s="306"/>
      <c r="AQ69" s="332"/>
      <c r="AR69" s="332"/>
      <c r="AS69" s="1240"/>
      <c r="AT69" s="307"/>
      <c r="AU69" s="307"/>
      <c r="AV69" s="1241"/>
      <c r="AW69" s="307"/>
      <c r="AX69" s="1240"/>
      <c r="AY69" s="307"/>
      <c r="AZ69" s="307"/>
      <c r="BA69" s="1241"/>
      <c r="BB69" s="307"/>
      <c r="BC69" s="1240"/>
      <c r="BD69" s="307"/>
      <c r="BE69" s="307"/>
      <c r="BF69" s="1241"/>
      <c r="BG69" s="307"/>
      <c r="BH69" s="1240"/>
      <c r="BI69" s="307"/>
      <c r="BJ69" s="307"/>
      <c r="BK69" s="1241"/>
      <c r="BL69" s="307"/>
      <c r="BM69" s="1240"/>
      <c r="BN69" s="307"/>
      <c r="BO69" s="307"/>
      <c r="BP69" s="1241"/>
      <c r="BQ69" s="307"/>
      <c r="BR69" s="1240"/>
      <c r="BS69" s="307"/>
      <c r="BT69" s="307"/>
      <c r="BU69" s="1241"/>
      <c r="BV69" s="307"/>
      <c r="BW69" s="1240"/>
      <c r="BX69" s="307"/>
      <c r="BY69" s="307"/>
      <c r="BZ69" s="1241"/>
      <c r="CA69" s="307"/>
      <c r="CB69" s="1240"/>
      <c r="CC69" s="307"/>
      <c r="CD69" s="307"/>
      <c r="CE69" s="1275"/>
      <c r="CF69" s="762"/>
      <c r="CG69" s="1280"/>
      <c r="CH69" s="762"/>
      <c r="CI69" s="307"/>
      <c r="CJ69" s="1275"/>
      <c r="CK69" s="762"/>
      <c r="CL69" s="1240"/>
      <c r="CM69" s="307"/>
      <c r="CN69" s="307"/>
      <c r="CO69" s="1241"/>
      <c r="CP69" s="307"/>
      <c r="CQ69" s="1240"/>
      <c r="CR69" s="307"/>
      <c r="CS69" s="307"/>
      <c r="CT69" s="1241"/>
      <c r="CU69" s="307"/>
      <c r="CV69" s="1240"/>
      <c r="CW69" s="307"/>
      <c r="CX69" s="307"/>
      <c r="CY69" s="1241"/>
      <c r="CZ69" s="307"/>
    </row>
    <row r="70" spans="1:104" ht="13.5" customHeight="1" outlineLevel="1">
      <c r="A70" s="305"/>
      <c r="B70" s="305" t="s">
        <v>179</v>
      </c>
      <c r="C70" s="305"/>
      <c r="D70" s="306"/>
      <c r="E70" s="306"/>
      <c r="F70" s="306"/>
      <c r="G70" s="306"/>
      <c r="H70" s="334"/>
      <c r="I70" s="334"/>
      <c r="J70" s="334"/>
      <c r="K70" s="334"/>
      <c r="L70" s="334"/>
      <c r="M70" s="334"/>
      <c r="N70" s="334"/>
      <c r="O70" s="334"/>
      <c r="P70" s="334"/>
      <c r="Q70" s="334"/>
      <c r="R70" s="334"/>
      <c r="S70" s="334"/>
      <c r="T70" s="334"/>
      <c r="U70" s="334"/>
      <c r="V70" s="334"/>
      <c r="W70" s="334"/>
      <c r="X70" s="334"/>
      <c r="Y70" s="334"/>
      <c r="Z70" s="334"/>
      <c r="AA70" s="334"/>
      <c r="AB70" s="334"/>
      <c r="AC70" s="334"/>
      <c r="AD70" s="334"/>
      <c r="AE70" s="334"/>
      <c r="AF70" s="334"/>
      <c r="AG70" s="334"/>
      <c r="AH70" s="334"/>
      <c r="AI70" s="334"/>
      <c r="AJ70" s="334"/>
      <c r="AK70" s="334"/>
      <c r="AL70" s="334"/>
      <c r="AM70" s="334"/>
      <c r="AN70" s="334"/>
      <c r="AO70" s="334"/>
      <c r="AP70" s="334"/>
      <c r="AQ70" s="316"/>
      <c r="AR70" s="316"/>
      <c r="AS70" s="1236">
        <f>+AR72</f>
        <v>500</v>
      </c>
      <c r="AT70" s="607">
        <f>+AS72</f>
        <v>500</v>
      </c>
      <c r="AU70" s="607">
        <f>+AT72</f>
        <v>500</v>
      </c>
      <c r="AV70" s="1237">
        <f>+AU72</f>
        <v>500</v>
      </c>
      <c r="AW70" s="317"/>
      <c r="AX70" s="1236">
        <f>+AW72</f>
        <v>500</v>
      </c>
      <c r="AY70" s="607">
        <f>+AX72</f>
        <v>500</v>
      </c>
      <c r="AZ70" s="607">
        <f>+AY72</f>
        <v>500</v>
      </c>
      <c r="BA70" s="1237">
        <f>+AZ72</f>
        <v>500</v>
      </c>
      <c r="BB70" s="317"/>
      <c r="BC70" s="1236">
        <f>+BB72</f>
        <v>500</v>
      </c>
      <c r="BD70" s="607">
        <f>+BC72</f>
        <v>500</v>
      </c>
      <c r="BE70" s="607">
        <f>+BD72</f>
        <v>500</v>
      </c>
      <c r="BF70" s="1237">
        <f>+BE72</f>
        <v>500</v>
      </c>
      <c r="BG70" s="317"/>
      <c r="BH70" s="1236">
        <f>+BG72</f>
        <v>500</v>
      </c>
      <c r="BI70" s="607">
        <f>+BH72</f>
        <v>500</v>
      </c>
      <c r="BJ70" s="607">
        <f>+BI72</f>
        <v>500</v>
      </c>
      <c r="BK70" s="1237">
        <f>+BJ72</f>
        <v>500</v>
      </c>
      <c r="BL70" s="317"/>
      <c r="BM70" s="1236">
        <f>+BL72</f>
        <v>500</v>
      </c>
      <c r="BN70" s="607">
        <f>+BM72</f>
        <v>500</v>
      </c>
      <c r="BO70" s="607">
        <f>+BN72</f>
        <v>500</v>
      </c>
      <c r="BP70" s="1237">
        <f>+BO72</f>
        <v>500</v>
      </c>
      <c r="BQ70" s="317"/>
      <c r="BR70" s="1236">
        <f>+BQ72</f>
        <v>500</v>
      </c>
      <c r="BS70" s="607">
        <f>+BR72</f>
        <v>500</v>
      </c>
      <c r="BT70" s="607">
        <f>+BS72</f>
        <v>500</v>
      </c>
      <c r="BU70" s="1237">
        <f>+BT72</f>
        <v>500</v>
      </c>
      <c r="BV70" s="317"/>
      <c r="BW70" s="1236">
        <f>+BV72</f>
        <v>500</v>
      </c>
      <c r="BX70" s="607">
        <f>+BW72</f>
        <v>500</v>
      </c>
      <c r="BY70" s="607">
        <f>+BX72</f>
        <v>500</v>
      </c>
      <c r="BZ70" s="1237">
        <f>+BY72</f>
        <v>500</v>
      </c>
      <c r="CA70" s="317"/>
      <c r="CB70" s="1236">
        <f>+CA72</f>
        <v>500</v>
      </c>
      <c r="CC70" s="607">
        <f>+CB72</f>
        <v>500</v>
      </c>
      <c r="CD70" s="607">
        <f>+CC72</f>
        <v>500</v>
      </c>
      <c r="CE70" s="1237">
        <f>+CD72</f>
        <v>500</v>
      </c>
      <c r="CF70" s="607"/>
      <c r="CG70" s="1236">
        <f>+CF72</f>
        <v>500</v>
      </c>
      <c r="CH70" s="607">
        <f>+CG72</f>
        <v>500</v>
      </c>
      <c r="CI70" s="607">
        <f>+CH72</f>
        <v>500</v>
      </c>
      <c r="CJ70" s="1237">
        <f>+CI72</f>
        <v>500</v>
      </c>
      <c r="CK70" s="607"/>
      <c r="CL70" s="1236">
        <f>+CK72</f>
        <v>500</v>
      </c>
      <c r="CM70" s="607">
        <f>+CL72</f>
        <v>500</v>
      </c>
      <c r="CN70" s="607">
        <f>+CM72</f>
        <v>500</v>
      </c>
      <c r="CO70" s="1237">
        <f>+CN72</f>
        <v>500</v>
      </c>
      <c r="CP70" s="317"/>
      <c r="CQ70" s="1236">
        <f>+CP72</f>
        <v>500</v>
      </c>
      <c r="CR70" s="607">
        <f>+CQ72</f>
        <v>500</v>
      </c>
      <c r="CS70" s="607">
        <f>+CR72</f>
        <v>500</v>
      </c>
      <c r="CT70" s="1237">
        <f>+CS72</f>
        <v>500</v>
      </c>
      <c r="CU70" s="317"/>
      <c r="CV70" s="1236">
        <f>+CU72</f>
        <v>500</v>
      </c>
      <c r="CW70" s="607">
        <f>+CV72</f>
        <v>500</v>
      </c>
      <c r="CX70" s="607">
        <f>+CW72</f>
        <v>500</v>
      </c>
      <c r="CY70" s="1237">
        <f>+CX72</f>
        <v>500</v>
      </c>
      <c r="CZ70" s="317"/>
    </row>
    <row r="71" spans="1:104" ht="13.5" customHeight="1" outlineLevel="1">
      <c r="A71" s="305"/>
      <c r="B71" s="305" t="s">
        <v>181</v>
      </c>
      <c r="C71" s="305"/>
      <c r="D71" s="306"/>
      <c r="E71" s="306"/>
      <c r="F71" s="306"/>
      <c r="G71" s="306"/>
      <c r="H71" s="334"/>
      <c r="I71" s="334"/>
      <c r="J71" s="334"/>
      <c r="K71" s="334"/>
      <c r="L71" s="334"/>
      <c r="M71" s="334"/>
      <c r="N71" s="334"/>
      <c r="O71" s="334"/>
      <c r="P71" s="334"/>
      <c r="Q71" s="334"/>
      <c r="R71" s="334"/>
      <c r="S71" s="334"/>
      <c r="T71" s="334"/>
      <c r="U71" s="334"/>
      <c r="V71" s="334"/>
      <c r="W71" s="334"/>
      <c r="X71" s="334"/>
      <c r="Y71" s="334"/>
      <c r="Z71" s="334"/>
      <c r="AA71" s="334"/>
      <c r="AB71" s="334"/>
      <c r="AC71" s="334"/>
      <c r="AD71" s="334"/>
      <c r="AE71" s="334"/>
      <c r="AF71" s="334"/>
      <c r="AG71" s="334"/>
      <c r="AH71" s="334"/>
      <c r="AI71" s="334"/>
      <c r="AJ71" s="334"/>
      <c r="AK71" s="334"/>
      <c r="AL71" s="334"/>
      <c r="AM71" s="334"/>
      <c r="AN71" s="334"/>
      <c r="AO71" s="334"/>
      <c r="AP71" s="334"/>
      <c r="AQ71" s="606">
        <v>0</v>
      </c>
      <c r="AR71" s="316"/>
      <c r="AS71" s="1238">
        <v>0</v>
      </c>
      <c r="AT71" s="605">
        <v>0</v>
      </c>
      <c r="AU71" s="605">
        <v>0</v>
      </c>
      <c r="AV71" s="1239">
        <v>0</v>
      </c>
      <c r="AW71" s="317"/>
      <c r="AX71" s="1238">
        <v>0</v>
      </c>
      <c r="AY71" s="605">
        <v>0</v>
      </c>
      <c r="AZ71" s="605">
        <v>0</v>
      </c>
      <c r="BA71" s="1239">
        <v>0</v>
      </c>
      <c r="BB71" s="317"/>
      <c r="BC71" s="1238">
        <v>0</v>
      </c>
      <c r="BD71" s="605">
        <v>0</v>
      </c>
      <c r="BE71" s="605">
        <v>0</v>
      </c>
      <c r="BF71" s="1239">
        <v>0</v>
      </c>
      <c r="BG71" s="317"/>
      <c r="BH71" s="1238">
        <v>0</v>
      </c>
      <c r="BI71" s="605">
        <v>0</v>
      </c>
      <c r="BJ71" s="605">
        <v>0</v>
      </c>
      <c r="BK71" s="1239">
        <v>0</v>
      </c>
      <c r="BL71" s="317"/>
      <c r="BM71" s="1238">
        <v>0</v>
      </c>
      <c r="BN71" s="605">
        <v>0</v>
      </c>
      <c r="BO71" s="605">
        <v>0</v>
      </c>
      <c r="BP71" s="1239">
        <v>0</v>
      </c>
      <c r="BQ71" s="317"/>
      <c r="BR71" s="1238">
        <v>0</v>
      </c>
      <c r="BS71" s="605">
        <v>0</v>
      </c>
      <c r="BT71" s="605">
        <v>0</v>
      </c>
      <c r="BU71" s="1239">
        <v>0</v>
      </c>
      <c r="BV71" s="317"/>
      <c r="BW71" s="1238">
        <v>0</v>
      </c>
      <c r="BX71" s="605">
        <v>0</v>
      </c>
      <c r="BY71" s="605">
        <v>0</v>
      </c>
      <c r="BZ71" s="1239">
        <v>0</v>
      </c>
      <c r="CA71" s="317"/>
      <c r="CB71" s="1238">
        <v>0</v>
      </c>
      <c r="CC71" s="605">
        <v>0</v>
      </c>
      <c r="CD71" s="605">
        <v>0</v>
      </c>
      <c r="CE71" s="1239">
        <v>0</v>
      </c>
      <c r="CF71" s="607"/>
      <c r="CG71" s="1238">
        <v>0</v>
      </c>
      <c r="CH71" s="605">
        <v>0</v>
      </c>
      <c r="CI71" s="605">
        <v>0</v>
      </c>
      <c r="CJ71" s="1239">
        <v>0</v>
      </c>
      <c r="CK71" s="607"/>
      <c r="CL71" s="1238">
        <v>0</v>
      </c>
      <c r="CM71" s="605">
        <v>0</v>
      </c>
      <c r="CN71" s="605">
        <v>0</v>
      </c>
      <c r="CO71" s="1239">
        <v>0</v>
      </c>
      <c r="CP71" s="317"/>
      <c r="CQ71" s="1238">
        <v>0</v>
      </c>
      <c r="CR71" s="605">
        <v>0</v>
      </c>
      <c r="CS71" s="605">
        <v>0</v>
      </c>
      <c r="CT71" s="1239">
        <v>0</v>
      </c>
      <c r="CU71" s="317"/>
      <c r="CV71" s="1238">
        <v>0</v>
      </c>
      <c r="CW71" s="605">
        <v>0</v>
      </c>
      <c r="CX71" s="605">
        <v>0</v>
      </c>
      <c r="CY71" s="1239">
        <v>0</v>
      </c>
      <c r="CZ71" s="317"/>
    </row>
    <row r="72" spans="1:104" ht="13.5" customHeight="1" outlineLevel="1">
      <c r="A72" s="305"/>
      <c r="B72" s="305" t="s">
        <v>182</v>
      </c>
      <c r="C72" s="305"/>
      <c r="D72" s="306"/>
      <c r="E72" s="306"/>
      <c r="F72" s="306"/>
      <c r="G72" s="306"/>
      <c r="H72" s="335">
        <v>0</v>
      </c>
      <c r="I72" s="335"/>
      <c r="J72" s="335"/>
      <c r="K72" s="335"/>
      <c r="L72" s="335"/>
      <c r="M72" s="335"/>
      <c r="N72" s="335"/>
      <c r="O72" s="335"/>
      <c r="P72" s="335"/>
      <c r="Q72" s="335"/>
      <c r="R72" s="335"/>
      <c r="S72" s="335"/>
      <c r="T72" s="335"/>
      <c r="U72" s="335"/>
      <c r="V72" s="335"/>
      <c r="W72" s="335"/>
      <c r="X72" s="335"/>
      <c r="Y72" s="335"/>
      <c r="Z72" s="335"/>
      <c r="AA72" s="335"/>
      <c r="AB72" s="335"/>
      <c r="AC72" s="335"/>
      <c r="AD72" s="335"/>
      <c r="AE72" s="335"/>
      <c r="AF72" s="335"/>
      <c r="AG72" s="335"/>
      <c r="AH72" s="335"/>
      <c r="AI72" s="335"/>
      <c r="AJ72" s="335"/>
      <c r="AK72" s="335"/>
      <c r="AL72" s="335"/>
      <c r="AM72" s="335"/>
      <c r="AN72" s="335"/>
      <c r="AO72" s="335"/>
      <c r="AP72" s="335"/>
      <c r="AQ72" s="606">
        <v>500</v>
      </c>
      <c r="AR72" s="316">
        <f>+AQ72</f>
        <v>500</v>
      </c>
      <c r="AS72" s="1236">
        <f>+AS70+AS71</f>
        <v>500</v>
      </c>
      <c r="AT72" s="607">
        <f>+AT70+AT71</f>
        <v>500</v>
      </c>
      <c r="AU72" s="607">
        <f>+AU70+AU71</f>
        <v>500</v>
      </c>
      <c r="AV72" s="1237">
        <f>+AV70+AV71</f>
        <v>500</v>
      </c>
      <c r="AW72" s="607">
        <f>+AV72</f>
        <v>500</v>
      </c>
      <c r="AX72" s="1236">
        <f>+AX70+AX71</f>
        <v>500</v>
      </c>
      <c r="AY72" s="607">
        <f>+AY70+AY71</f>
        <v>500</v>
      </c>
      <c r="AZ72" s="607">
        <f>+AZ70+AZ71</f>
        <v>500</v>
      </c>
      <c r="BA72" s="1237">
        <f>+BA70+BA71</f>
        <v>500</v>
      </c>
      <c r="BB72" s="607">
        <f>+BA72</f>
        <v>500</v>
      </c>
      <c r="BC72" s="1236">
        <f>+BC70+BC71</f>
        <v>500</v>
      </c>
      <c r="BD72" s="607">
        <f>+BD70+BD71</f>
        <v>500</v>
      </c>
      <c r="BE72" s="607">
        <f>+BE70+BE71</f>
        <v>500</v>
      </c>
      <c r="BF72" s="1237">
        <f>+BF70+BF71</f>
        <v>500</v>
      </c>
      <c r="BG72" s="607">
        <f>+BF72</f>
        <v>500</v>
      </c>
      <c r="BH72" s="1236">
        <f>+BH70+BH71</f>
        <v>500</v>
      </c>
      <c r="BI72" s="607">
        <f>+BI70+BI71</f>
        <v>500</v>
      </c>
      <c r="BJ72" s="607">
        <f>+BJ70+BJ71</f>
        <v>500</v>
      </c>
      <c r="BK72" s="1237">
        <f>+BK70+BK71</f>
        <v>500</v>
      </c>
      <c r="BL72" s="607">
        <f>+BK72</f>
        <v>500</v>
      </c>
      <c r="BM72" s="1236">
        <f>+BM70+BM71</f>
        <v>500</v>
      </c>
      <c r="BN72" s="607">
        <f>+BN70+BN71</f>
        <v>500</v>
      </c>
      <c r="BO72" s="607">
        <f>+BO70+BO71</f>
        <v>500</v>
      </c>
      <c r="BP72" s="1237">
        <f>+BP70+BP71</f>
        <v>500</v>
      </c>
      <c r="BQ72" s="607">
        <f>+BP72</f>
        <v>500</v>
      </c>
      <c r="BR72" s="1236">
        <f>+BR70+BR71</f>
        <v>500</v>
      </c>
      <c r="BS72" s="607">
        <f>+BS70+BS71</f>
        <v>500</v>
      </c>
      <c r="BT72" s="607">
        <f>+BT70+BT71</f>
        <v>500</v>
      </c>
      <c r="BU72" s="1237">
        <f>+BU70+BU71</f>
        <v>500</v>
      </c>
      <c r="BV72" s="607">
        <f>+BU72</f>
        <v>500</v>
      </c>
      <c r="BW72" s="1236">
        <f>+BW70+BW71</f>
        <v>500</v>
      </c>
      <c r="BX72" s="607">
        <f>+BX70+BX71</f>
        <v>500</v>
      </c>
      <c r="BY72" s="607">
        <f>+BY70+BY71</f>
        <v>500</v>
      </c>
      <c r="BZ72" s="1237">
        <f>+BZ70+BZ71</f>
        <v>500</v>
      </c>
      <c r="CA72" s="607">
        <f>+BZ72</f>
        <v>500</v>
      </c>
      <c r="CB72" s="1236">
        <f>+CB70+CB71</f>
        <v>500</v>
      </c>
      <c r="CC72" s="607">
        <f>+CC70+CC71</f>
        <v>500</v>
      </c>
      <c r="CD72" s="607">
        <f>+CD70+CD71</f>
        <v>500</v>
      </c>
      <c r="CE72" s="1237">
        <f>+CE70+CE71</f>
        <v>500</v>
      </c>
      <c r="CF72" s="607">
        <f>+CE72</f>
        <v>500</v>
      </c>
      <c r="CG72" s="1281">
        <f>+CG70+CG71</f>
        <v>500</v>
      </c>
      <c r="CH72" s="681">
        <f>+CH70+CH71</f>
        <v>500</v>
      </c>
      <c r="CI72" s="681">
        <f>+CI70+CI71</f>
        <v>500</v>
      </c>
      <c r="CJ72" s="1284">
        <f>+CJ70+CJ71</f>
        <v>500</v>
      </c>
      <c r="CK72" s="607">
        <f>+CJ72</f>
        <v>500</v>
      </c>
      <c r="CL72" s="1236">
        <f>+CL70+CL71</f>
        <v>500</v>
      </c>
      <c r="CM72" s="607">
        <f>+CM70+CM71</f>
        <v>500</v>
      </c>
      <c r="CN72" s="607">
        <f>+CN70+CN71</f>
        <v>500</v>
      </c>
      <c r="CO72" s="1237">
        <f>+CO70+CO71</f>
        <v>500</v>
      </c>
      <c r="CP72" s="607">
        <f>+CO72</f>
        <v>500</v>
      </c>
      <c r="CQ72" s="1236">
        <f>+CQ70+CQ71</f>
        <v>500</v>
      </c>
      <c r="CR72" s="607">
        <f>+CR70+CR71</f>
        <v>500</v>
      </c>
      <c r="CS72" s="607">
        <f>+CS70+CS71</f>
        <v>500</v>
      </c>
      <c r="CT72" s="1237">
        <f>+CT70+CT71</f>
        <v>500</v>
      </c>
      <c r="CU72" s="607">
        <f>+CT72</f>
        <v>500</v>
      </c>
      <c r="CV72" s="1236">
        <f>+CV70+CV71</f>
        <v>500</v>
      </c>
      <c r="CW72" s="607">
        <f>+CW70+CW71</f>
        <v>500</v>
      </c>
      <c r="CX72" s="607">
        <f>+CX70+CX71</f>
        <v>500</v>
      </c>
      <c r="CY72" s="1237">
        <f>+CY70+CY71</f>
        <v>500</v>
      </c>
      <c r="CZ72" s="607">
        <f>+CY72</f>
        <v>500</v>
      </c>
    </row>
    <row r="73" spans="1:104" ht="13.5" customHeight="1" outlineLevel="1">
      <c r="A73" s="305"/>
      <c r="B73" s="305" t="s">
        <v>183</v>
      </c>
      <c r="C73" s="305"/>
      <c r="D73" s="306"/>
      <c r="E73" s="306"/>
      <c r="F73" s="306"/>
      <c r="G73" s="306"/>
      <c r="H73" s="334"/>
      <c r="I73" s="334"/>
      <c r="J73" s="334"/>
      <c r="K73" s="334"/>
      <c r="L73" s="334"/>
      <c r="M73" s="334"/>
      <c r="N73" s="334"/>
      <c r="O73" s="334"/>
      <c r="P73" s="334"/>
      <c r="Q73" s="334"/>
      <c r="R73" s="334"/>
      <c r="S73" s="334"/>
      <c r="T73" s="334"/>
      <c r="U73" s="334"/>
      <c r="V73" s="334"/>
      <c r="W73" s="334"/>
      <c r="X73" s="334"/>
      <c r="Y73" s="334"/>
      <c r="Z73" s="334"/>
      <c r="AA73" s="334"/>
      <c r="AB73" s="334"/>
      <c r="AC73" s="334"/>
      <c r="AD73" s="334"/>
      <c r="AE73" s="334"/>
      <c r="AF73" s="334"/>
      <c r="AG73" s="334"/>
      <c r="AH73" s="334"/>
      <c r="AI73" s="334"/>
      <c r="AJ73" s="334"/>
      <c r="AK73" s="334"/>
      <c r="AL73" s="334"/>
      <c r="AM73" s="334"/>
      <c r="AN73" s="334"/>
      <c r="AO73" s="334"/>
      <c r="AP73" s="334"/>
      <c r="AQ73" s="316"/>
      <c r="AR73" s="316"/>
      <c r="AS73" s="1236">
        <f>+AVERAGE(AS70,AS72)</f>
        <v>500</v>
      </c>
      <c r="AT73" s="607">
        <f>+AVERAGE(AT70,AT72)</f>
        <v>500</v>
      </c>
      <c r="AU73" s="607">
        <f>+AVERAGE(AU70,AU72)</f>
        <v>500</v>
      </c>
      <c r="AV73" s="1237">
        <f>+AVERAGE(AV70,AV72)</f>
        <v>500</v>
      </c>
      <c r="AW73" s="317"/>
      <c r="AX73" s="1236">
        <f>+AVERAGE(AX70,AX72)</f>
        <v>500</v>
      </c>
      <c r="AY73" s="607">
        <f>+AVERAGE(AY70,AY72)</f>
        <v>500</v>
      </c>
      <c r="AZ73" s="607">
        <f>+AVERAGE(AZ70,AZ72)</f>
        <v>500</v>
      </c>
      <c r="BA73" s="1237">
        <f>+AVERAGE(BA70,BA72)</f>
        <v>500</v>
      </c>
      <c r="BB73" s="317"/>
      <c r="BC73" s="1236">
        <f>+AVERAGE(BC70,BC72)</f>
        <v>500</v>
      </c>
      <c r="BD73" s="607">
        <f>+AVERAGE(BD70,BD72)</f>
        <v>500</v>
      </c>
      <c r="BE73" s="607">
        <f>+AVERAGE(BE70,BE72)</f>
        <v>500</v>
      </c>
      <c r="BF73" s="1237">
        <f>+AVERAGE(BF70,BF72)</f>
        <v>500</v>
      </c>
      <c r="BG73" s="317"/>
      <c r="BH73" s="1236">
        <f>+AVERAGE(BH70,BH72)</f>
        <v>500</v>
      </c>
      <c r="BI73" s="607">
        <f>+AVERAGE(BI70,BI72)</f>
        <v>500</v>
      </c>
      <c r="BJ73" s="607">
        <f>+AVERAGE(BJ70,BJ72)</f>
        <v>500</v>
      </c>
      <c r="BK73" s="1237">
        <f>+AVERAGE(BK70,BK72)</f>
        <v>500</v>
      </c>
      <c r="BL73" s="317"/>
      <c r="BM73" s="1236">
        <f>+AVERAGE(BM70,BM72)</f>
        <v>500</v>
      </c>
      <c r="BN73" s="607">
        <f>+AVERAGE(BN70,BN72)</f>
        <v>500</v>
      </c>
      <c r="BO73" s="607">
        <f>+AVERAGE(BO70,BO72)</f>
        <v>500</v>
      </c>
      <c r="BP73" s="1237">
        <f>+AVERAGE(BP70,BP72)</f>
        <v>500</v>
      </c>
      <c r="BQ73" s="317"/>
      <c r="BR73" s="1236">
        <f>+AVERAGE(BR70,BR72)</f>
        <v>500</v>
      </c>
      <c r="BS73" s="607">
        <f>+AVERAGE(BS70,BS72)</f>
        <v>500</v>
      </c>
      <c r="BT73" s="607">
        <f>+AVERAGE(BT70,BT72)</f>
        <v>500</v>
      </c>
      <c r="BU73" s="1237">
        <f>+AVERAGE(BU70,BU72)</f>
        <v>500</v>
      </c>
      <c r="BV73" s="317"/>
      <c r="BW73" s="1236">
        <f>+AVERAGE(BW70,BW72)</f>
        <v>500</v>
      </c>
      <c r="BX73" s="607">
        <f>+AVERAGE(BX70,BX72)</f>
        <v>500</v>
      </c>
      <c r="BY73" s="607">
        <f>+AVERAGE(BY70,BY72)</f>
        <v>500</v>
      </c>
      <c r="BZ73" s="1237">
        <f>+AVERAGE(BZ70,BZ72)</f>
        <v>500</v>
      </c>
      <c r="CA73" s="317"/>
      <c r="CB73" s="1236">
        <f>+AVERAGE(CB70,CB72)</f>
        <v>500</v>
      </c>
      <c r="CC73" s="607">
        <f>+AVERAGE(CC70,CC72)</f>
        <v>500</v>
      </c>
      <c r="CD73" s="607">
        <f>+AVERAGE(CD70,CD72)</f>
        <v>500</v>
      </c>
      <c r="CE73" s="1237">
        <f>+AVERAGE(CE70,CE72)</f>
        <v>500</v>
      </c>
      <c r="CF73" s="607"/>
      <c r="CG73" s="1236">
        <f>+AVERAGE(CG70,CG72)</f>
        <v>500</v>
      </c>
      <c r="CH73" s="607">
        <f>+AVERAGE(CH70,CH72)</f>
        <v>500</v>
      </c>
      <c r="CI73" s="607">
        <f>+AVERAGE(CI70,CI72)</f>
        <v>500</v>
      </c>
      <c r="CJ73" s="1237">
        <f>+AVERAGE(CJ70,CJ72)</f>
        <v>500</v>
      </c>
      <c r="CK73" s="607"/>
      <c r="CL73" s="1236">
        <f>+AVERAGE(CL70,CL72)</f>
        <v>500</v>
      </c>
      <c r="CM73" s="607">
        <f>+AVERAGE(CM70,CM72)</f>
        <v>500</v>
      </c>
      <c r="CN73" s="607">
        <f>+AVERAGE(CN70,CN72)</f>
        <v>500</v>
      </c>
      <c r="CO73" s="1237">
        <f>+AVERAGE(CO70,CO72)</f>
        <v>500</v>
      </c>
      <c r="CP73" s="317"/>
      <c r="CQ73" s="1236">
        <f>+AVERAGE(CQ70,CQ72)</f>
        <v>500</v>
      </c>
      <c r="CR73" s="607">
        <f>+AVERAGE(CR70,CR72)</f>
        <v>500</v>
      </c>
      <c r="CS73" s="607">
        <f>+AVERAGE(CS70,CS72)</f>
        <v>500</v>
      </c>
      <c r="CT73" s="1237">
        <f>+AVERAGE(CT70,CT72)</f>
        <v>500</v>
      </c>
      <c r="CU73" s="317"/>
      <c r="CV73" s="1236">
        <f>+AVERAGE(CV70,CV72)</f>
        <v>500</v>
      </c>
      <c r="CW73" s="607">
        <f>+AVERAGE(CW70,CW72)</f>
        <v>500</v>
      </c>
      <c r="CX73" s="607">
        <f>+AVERAGE(CX70,CX72)</f>
        <v>500</v>
      </c>
      <c r="CY73" s="1237">
        <f>+AVERAGE(CY70,CY72)</f>
        <v>500</v>
      </c>
      <c r="CZ73" s="317"/>
    </row>
    <row r="74" spans="1:104" ht="13.5" customHeight="1" outlineLevel="1">
      <c r="A74" s="305"/>
      <c r="B74" s="305" t="s">
        <v>575</v>
      </c>
      <c r="C74" s="305"/>
      <c r="D74" s="306"/>
      <c r="E74" s="306"/>
      <c r="F74" s="306"/>
      <c r="G74" s="306"/>
      <c r="H74" s="334"/>
      <c r="I74" s="334"/>
      <c r="J74" s="334"/>
      <c r="K74" s="334"/>
      <c r="L74" s="334"/>
      <c r="M74" s="334"/>
      <c r="N74" s="334"/>
      <c r="O74" s="334"/>
      <c r="P74" s="334"/>
      <c r="Q74" s="334"/>
      <c r="R74" s="334"/>
      <c r="S74" s="334"/>
      <c r="T74" s="334"/>
      <c r="U74" s="334"/>
      <c r="V74" s="334"/>
      <c r="W74" s="334"/>
      <c r="X74" s="334"/>
      <c r="Y74" s="334"/>
      <c r="Z74" s="334"/>
      <c r="AA74" s="334"/>
      <c r="AB74" s="334"/>
      <c r="AC74" s="334"/>
      <c r="AD74" s="334"/>
      <c r="AE74" s="334"/>
      <c r="AF74" s="334"/>
      <c r="AG74" s="334"/>
      <c r="AH74" s="334"/>
      <c r="AI74" s="334"/>
      <c r="AJ74" s="334"/>
      <c r="AK74" s="334"/>
      <c r="AL74" s="334"/>
      <c r="AM74" s="334"/>
      <c r="AN74" s="334"/>
      <c r="AO74" s="334"/>
      <c r="AP74" s="334"/>
      <c r="AQ74" s="316"/>
      <c r="AR74" s="316"/>
      <c r="AS74" s="1236">
        <f>+AS73*$G69/4</f>
        <v>7.3125</v>
      </c>
      <c r="AT74" s="607">
        <f>+AT73*$G69/4</f>
        <v>7.3125</v>
      </c>
      <c r="AU74" s="607">
        <f>+AU73*$G69/4</f>
        <v>7.3125</v>
      </c>
      <c r="AV74" s="1237">
        <f>+AV73*$G69/4</f>
        <v>7.3125</v>
      </c>
      <c r="AW74" s="317"/>
      <c r="AX74" s="1236">
        <f>+AX73*$G69/4</f>
        <v>7.3125</v>
      </c>
      <c r="AY74" s="607">
        <f>+AY73*$G69/4</f>
        <v>7.3125</v>
      </c>
      <c r="AZ74" s="607">
        <f>+AZ73*$G69/4</f>
        <v>7.3125</v>
      </c>
      <c r="BA74" s="1237">
        <f>+BA73*$G69/4</f>
        <v>7.3125</v>
      </c>
      <c r="BB74" s="317"/>
      <c r="BC74" s="1236">
        <f>+BC73*$G69/4</f>
        <v>7.3125</v>
      </c>
      <c r="BD74" s="607">
        <f>+BD73*$G69/4</f>
        <v>7.3125</v>
      </c>
      <c r="BE74" s="607">
        <f>+BE73*$G69/4</f>
        <v>7.3125</v>
      </c>
      <c r="BF74" s="1237">
        <f>+BF73*$G69/4</f>
        <v>7.3125</v>
      </c>
      <c r="BG74" s="317"/>
      <c r="BH74" s="1236">
        <f>+BH73*$G69/4</f>
        <v>7.3125</v>
      </c>
      <c r="BI74" s="607">
        <f>+BI73*$G69/4</f>
        <v>7.3125</v>
      </c>
      <c r="BJ74" s="607">
        <f>+BJ73*$G69/4</f>
        <v>7.3125</v>
      </c>
      <c r="BK74" s="1237">
        <f>+BK73*$G69/4</f>
        <v>7.3125</v>
      </c>
      <c r="BL74" s="317"/>
      <c r="BM74" s="1236">
        <f>+BM73*$G69/4</f>
        <v>7.3125</v>
      </c>
      <c r="BN74" s="607">
        <f>+BN73*$G69/4</f>
        <v>7.3125</v>
      </c>
      <c r="BO74" s="607">
        <f>+BO73*$G69/4</f>
        <v>7.3125</v>
      </c>
      <c r="BP74" s="1237">
        <f>+BP73*$G69/4</f>
        <v>7.3125</v>
      </c>
      <c r="BQ74" s="317"/>
      <c r="BR74" s="1236">
        <f>+BR73*$G69/4</f>
        <v>7.3125</v>
      </c>
      <c r="BS74" s="607">
        <f>+BS73*$G69/4</f>
        <v>7.3125</v>
      </c>
      <c r="BT74" s="607">
        <f>+BT73*$G69/4</f>
        <v>7.3125</v>
      </c>
      <c r="BU74" s="1237">
        <f>+BU73*$G69/4</f>
        <v>7.3125</v>
      </c>
      <c r="BV74" s="317"/>
      <c r="BW74" s="1236">
        <f>+BW73*$G69/4</f>
        <v>7.3125</v>
      </c>
      <c r="BX74" s="607">
        <f>+BX73*$G69/4</f>
        <v>7.3125</v>
      </c>
      <c r="BY74" s="607">
        <f>+BY73*$G69/4</f>
        <v>7.3125</v>
      </c>
      <c r="BZ74" s="1237">
        <f>+BZ73*$G69/4</f>
        <v>7.3125</v>
      </c>
      <c r="CA74" s="317"/>
      <c r="CB74" s="1236">
        <f>+CB73*$G69/4</f>
        <v>7.3125</v>
      </c>
      <c r="CC74" s="607">
        <f>+CC73*$G69/4</f>
        <v>7.3125</v>
      </c>
      <c r="CD74" s="607">
        <f>+CD73*$G69/4</f>
        <v>7.3125</v>
      </c>
      <c r="CE74" s="1237">
        <f>+CE73*$G69/4</f>
        <v>7.3125</v>
      </c>
      <c r="CF74" s="607"/>
      <c r="CG74" s="1236">
        <f>+CG73*$G69/4</f>
        <v>7.3125</v>
      </c>
      <c r="CH74" s="607">
        <f>+CH73*$G69/4</f>
        <v>7.3125</v>
      </c>
      <c r="CI74" s="607">
        <f>+CI73*$G69/4</f>
        <v>7.3125</v>
      </c>
      <c r="CJ74" s="1237">
        <f>+CJ73*$G69/4</f>
        <v>7.3125</v>
      </c>
      <c r="CK74" s="607"/>
      <c r="CL74" s="1236">
        <f>+CL73*$G69/4</f>
        <v>7.3125</v>
      </c>
      <c r="CM74" s="607">
        <f>+CM73*$G69/4</f>
        <v>7.3125</v>
      </c>
      <c r="CN74" s="607">
        <f>+CN73*$G69/4</f>
        <v>7.3125</v>
      </c>
      <c r="CO74" s="1237">
        <f>+CO73*$G69/4</f>
        <v>7.3125</v>
      </c>
      <c r="CP74" s="317"/>
      <c r="CQ74" s="1236">
        <f>+CQ73*$G69/4</f>
        <v>7.3125</v>
      </c>
      <c r="CR74" s="607">
        <f>+CR73*$G69/4</f>
        <v>7.3125</v>
      </c>
      <c r="CS74" s="607">
        <f>+CS73*$G69/4</f>
        <v>7.3125</v>
      </c>
      <c r="CT74" s="1237">
        <f>+CT73*$G69/4</f>
        <v>7.3125</v>
      </c>
      <c r="CU74" s="317"/>
      <c r="CV74" s="1236">
        <f>+CV73*$G69/4</f>
        <v>7.3125</v>
      </c>
      <c r="CW74" s="607">
        <f>+CW73*$G69/4</f>
        <v>7.3125</v>
      </c>
      <c r="CX74" s="607">
        <f>+CX73*$G69/4</f>
        <v>7.3125</v>
      </c>
      <c r="CY74" s="1237">
        <f>+CY73*$G69/4</f>
        <v>7.3125</v>
      </c>
      <c r="CZ74" s="317"/>
    </row>
    <row r="75" spans="1:104" ht="13.5" customHeight="1" outlineLevel="1">
      <c r="A75" s="305"/>
      <c r="B75" s="305" t="s">
        <v>184</v>
      </c>
      <c r="C75" s="305"/>
      <c r="D75" s="306"/>
      <c r="E75" s="306"/>
      <c r="F75" s="306"/>
      <c r="G75" s="306"/>
      <c r="H75" s="306"/>
      <c r="I75" s="306"/>
      <c r="J75" s="306"/>
      <c r="K75" s="306"/>
      <c r="L75" s="306"/>
      <c r="M75" s="306"/>
      <c r="N75" s="306"/>
      <c r="O75" s="306"/>
      <c r="P75" s="306"/>
      <c r="Q75" s="306"/>
      <c r="R75" s="306"/>
      <c r="S75" s="306"/>
      <c r="T75" s="306"/>
      <c r="U75" s="306"/>
      <c r="V75" s="306"/>
      <c r="W75" s="306"/>
      <c r="X75" s="306"/>
      <c r="Y75" s="306"/>
      <c r="Z75" s="306"/>
      <c r="AA75" s="306"/>
      <c r="AB75" s="306"/>
      <c r="AC75" s="306"/>
      <c r="AD75" s="306"/>
      <c r="AE75" s="306"/>
      <c r="AF75" s="306"/>
      <c r="AG75" s="306"/>
      <c r="AH75" s="306"/>
      <c r="AI75" s="306"/>
      <c r="AJ75" s="306"/>
      <c r="AK75" s="306"/>
      <c r="AL75" s="306"/>
      <c r="AM75" s="306"/>
      <c r="AN75" s="306"/>
      <c r="AO75" s="306"/>
      <c r="AP75" s="306"/>
      <c r="AQ75" s="316"/>
      <c r="AR75" s="332"/>
      <c r="AS75" s="1240"/>
      <c r="AT75" s="607">
        <f>+AS74+AT74</f>
        <v>14.625</v>
      </c>
      <c r="AU75" s="307"/>
      <c r="AV75" s="1237">
        <f>+AU74+AV74</f>
        <v>14.625</v>
      </c>
      <c r="AW75" s="307"/>
      <c r="AX75" s="1240"/>
      <c r="AY75" s="607">
        <f>+AX74+AY74</f>
        <v>14.625</v>
      </c>
      <c r="AZ75" s="307"/>
      <c r="BA75" s="1237">
        <f>+AZ74+BA74</f>
        <v>14.625</v>
      </c>
      <c r="BB75" s="307"/>
      <c r="BC75" s="1240"/>
      <c r="BD75" s="607">
        <f>+BC74+BD74</f>
        <v>14.625</v>
      </c>
      <c r="BE75" s="307"/>
      <c r="BF75" s="1237">
        <f>+BE74+BF74</f>
        <v>14.625</v>
      </c>
      <c r="BG75" s="307"/>
      <c r="BH75" s="1240"/>
      <c r="BI75" s="607">
        <f>+BH74+BI74</f>
        <v>14.625</v>
      </c>
      <c r="BJ75" s="307"/>
      <c r="BK75" s="1237">
        <f>+BJ74+BK74</f>
        <v>14.625</v>
      </c>
      <c r="BL75" s="307"/>
      <c r="BM75" s="1240"/>
      <c r="BN75" s="607">
        <f>+BM74+BN74</f>
        <v>14.625</v>
      </c>
      <c r="BO75" s="307"/>
      <c r="BP75" s="1237">
        <f>+BO74+BP74</f>
        <v>14.625</v>
      </c>
      <c r="BQ75" s="307"/>
      <c r="BR75" s="1240"/>
      <c r="BS75" s="607">
        <f>+BR74+BS74</f>
        <v>14.625</v>
      </c>
      <c r="BT75" s="307"/>
      <c r="BU75" s="1237">
        <f>+BT74+BU74</f>
        <v>14.625</v>
      </c>
      <c r="BV75" s="307"/>
      <c r="BW75" s="1240"/>
      <c r="BX75" s="607">
        <f>+BW74+BX74</f>
        <v>14.625</v>
      </c>
      <c r="BY75" s="307"/>
      <c r="BZ75" s="1237">
        <f>+BY74+BZ74</f>
        <v>14.625</v>
      </c>
      <c r="CA75" s="307"/>
      <c r="CB75" s="1240"/>
      <c r="CC75" s="607">
        <f>+CB74+CC74</f>
        <v>14.625</v>
      </c>
      <c r="CD75" s="307"/>
      <c r="CE75" s="1237">
        <f>+CD74+CE74</f>
        <v>14.625</v>
      </c>
      <c r="CF75" s="762"/>
      <c r="CG75" s="1280"/>
      <c r="CH75" s="762">
        <f>+CG74+CH74</f>
        <v>14.625</v>
      </c>
      <c r="CI75" s="307"/>
      <c r="CJ75" s="1237">
        <f>+CI74+CJ74</f>
        <v>14.625</v>
      </c>
      <c r="CK75" s="762"/>
      <c r="CL75" s="1240"/>
      <c r="CM75" s="607">
        <f>+CL74+CM74</f>
        <v>14.625</v>
      </c>
      <c r="CN75" s="307"/>
      <c r="CO75" s="1237">
        <f>+CN74+CO74</f>
        <v>14.625</v>
      </c>
      <c r="CP75" s="307"/>
      <c r="CQ75" s="1240"/>
      <c r="CR75" s="607">
        <f>+CQ74+CR74</f>
        <v>14.625</v>
      </c>
      <c r="CS75" s="307"/>
      <c r="CT75" s="1237">
        <f>+CS74+CT74</f>
        <v>14.625</v>
      </c>
      <c r="CU75" s="307"/>
      <c r="CV75" s="1240"/>
      <c r="CW75" s="607">
        <f>+CV74+CW74</f>
        <v>14.625</v>
      </c>
      <c r="CX75" s="307"/>
      <c r="CY75" s="1237">
        <f>+CX74+CY74</f>
        <v>14.625</v>
      </c>
      <c r="CZ75" s="307"/>
    </row>
    <row r="76" spans="1:104" ht="6.2" customHeight="1" outlineLevel="1">
      <c r="A76" s="305"/>
      <c r="B76" s="305"/>
      <c r="C76" s="305"/>
      <c r="D76" s="306"/>
      <c r="E76" s="306"/>
      <c r="F76" s="306"/>
      <c r="G76" s="306"/>
      <c r="H76" s="306"/>
      <c r="I76" s="306"/>
      <c r="J76" s="306"/>
      <c r="K76" s="306"/>
      <c r="L76" s="306"/>
      <c r="M76" s="306"/>
      <c r="N76" s="306"/>
      <c r="O76" s="306"/>
      <c r="P76" s="306"/>
      <c r="Q76" s="306"/>
      <c r="R76" s="306"/>
      <c r="S76" s="306"/>
      <c r="T76" s="306"/>
      <c r="U76" s="306"/>
      <c r="V76" s="306"/>
      <c r="W76" s="306"/>
      <c r="X76" s="306"/>
      <c r="Y76" s="306"/>
      <c r="Z76" s="306"/>
      <c r="AA76" s="306"/>
      <c r="AB76" s="306"/>
      <c r="AC76" s="306"/>
      <c r="AD76" s="306"/>
      <c r="AE76" s="306"/>
      <c r="AF76" s="306"/>
      <c r="AG76" s="306"/>
      <c r="AH76" s="306"/>
      <c r="AI76" s="306"/>
      <c r="AJ76" s="306"/>
      <c r="AK76" s="306"/>
      <c r="AL76" s="306"/>
      <c r="AM76" s="306"/>
      <c r="AN76" s="306"/>
      <c r="AO76" s="306"/>
      <c r="AP76" s="306"/>
      <c r="AQ76" s="332"/>
      <c r="AR76" s="332"/>
      <c r="AS76" s="1240"/>
      <c r="AT76" s="307"/>
      <c r="AU76" s="307"/>
      <c r="AV76" s="1241"/>
      <c r="AW76" s="307"/>
      <c r="AX76" s="1240"/>
      <c r="AY76" s="307"/>
      <c r="AZ76" s="307"/>
      <c r="BA76" s="1241"/>
      <c r="BB76" s="307"/>
      <c r="BC76" s="1240"/>
      <c r="BD76" s="307"/>
      <c r="BE76" s="307"/>
      <c r="BF76" s="1241"/>
      <c r="BG76" s="307"/>
      <c r="BH76" s="1240"/>
      <c r="BI76" s="307"/>
      <c r="BJ76" s="307"/>
      <c r="BK76" s="1241"/>
      <c r="BL76" s="307"/>
      <c r="BM76" s="1240"/>
      <c r="BN76" s="307"/>
      <c r="BO76" s="307"/>
      <c r="BP76" s="1241"/>
      <c r="BQ76" s="307"/>
      <c r="BR76" s="1240"/>
      <c r="BS76" s="307"/>
      <c r="BT76" s="307"/>
      <c r="BU76" s="1241"/>
      <c r="BV76" s="307"/>
      <c r="BW76" s="1240"/>
      <c r="BX76" s="307"/>
      <c r="BY76" s="307"/>
      <c r="BZ76" s="1241"/>
      <c r="CA76" s="307"/>
      <c r="CB76" s="1240"/>
      <c r="CC76" s="307"/>
      <c r="CD76" s="307"/>
      <c r="CE76" s="1275"/>
      <c r="CF76" s="762"/>
      <c r="CG76" s="1280"/>
      <c r="CH76" s="762"/>
      <c r="CI76" s="307"/>
      <c r="CJ76" s="1275"/>
      <c r="CK76" s="762"/>
      <c r="CL76" s="1240"/>
      <c r="CM76" s="307"/>
      <c r="CN76" s="307"/>
      <c r="CO76" s="1241"/>
      <c r="CP76" s="307"/>
      <c r="CQ76" s="1240"/>
      <c r="CR76" s="307"/>
      <c r="CS76" s="307"/>
      <c r="CT76" s="1241"/>
      <c r="CU76" s="307"/>
      <c r="CV76" s="1240"/>
      <c r="CW76" s="307"/>
      <c r="CX76" s="307"/>
      <c r="CY76" s="1241"/>
      <c r="CZ76" s="307"/>
    </row>
    <row r="77" spans="1:104" ht="13.5" customHeight="1" outlineLevel="1">
      <c r="A77" s="315" t="s">
        <v>156</v>
      </c>
      <c r="B77" s="305"/>
      <c r="C77" s="305"/>
      <c r="D77" s="306"/>
      <c r="E77" s="306"/>
      <c r="F77" s="306"/>
      <c r="G77" s="333">
        <v>4.1250000000000002E-2</v>
      </c>
      <c r="H77" s="324">
        <v>44835</v>
      </c>
      <c r="I77" s="306"/>
      <c r="J77" s="306"/>
      <c r="K77" s="306"/>
      <c r="L77" s="306"/>
      <c r="M77" s="306"/>
      <c r="N77" s="306"/>
      <c r="O77" s="306"/>
      <c r="P77" s="306"/>
      <c r="Q77" s="306"/>
      <c r="R77" s="306"/>
      <c r="S77" s="306"/>
      <c r="T77" s="306"/>
      <c r="U77" s="306"/>
      <c r="V77" s="306"/>
      <c r="W77" s="306"/>
      <c r="X77" s="306"/>
      <c r="Y77" s="306"/>
      <c r="Z77" s="306"/>
      <c r="AA77" s="306"/>
      <c r="AB77" s="306"/>
      <c r="AC77" s="306"/>
      <c r="AD77" s="306"/>
      <c r="AE77" s="306"/>
      <c r="AF77" s="306"/>
      <c r="AG77" s="306"/>
      <c r="AH77" s="306"/>
      <c r="AI77" s="306"/>
      <c r="AJ77" s="306"/>
      <c r="AK77" s="306"/>
      <c r="AL77" s="306"/>
      <c r="AM77" s="306"/>
      <c r="AN77" s="306"/>
      <c r="AO77" s="306"/>
      <c r="AP77" s="306"/>
      <c r="AQ77" s="332"/>
      <c r="AR77" s="332"/>
      <c r="AS77" s="1240"/>
      <c r="AT77" s="307"/>
      <c r="AU77" s="307"/>
      <c r="AV77" s="1241"/>
      <c r="AW77" s="307"/>
      <c r="AX77" s="1240"/>
      <c r="AY77" s="307"/>
      <c r="AZ77" s="307"/>
      <c r="BA77" s="1241"/>
      <c r="BB77" s="307"/>
      <c r="BC77" s="1240"/>
      <c r="BD77" s="307"/>
      <c r="BE77" s="307"/>
      <c r="BF77" s="1241"/>
      <c r="BG77" s="307"/>
      <c r="BH77" s="1240"/>
      <c r="BI77" s="307"/>
      <c r="BJ77" s="307"/>
      <c r="BK77" s="1241"/>
      <c r="BL77" s="307"/>
      <c r="BM77" s="1240"/>
      <c r="BN77" s="307"/>
      <c r="BO77" s="307"/>
      <c r="BP77" s="1241"/>
      <c r="BQ77" s="307"/>
      <c r="BR77" s="1240"/>
      <c r="BS77" s="307"/>
      <c r="BT77" s="307"/>
      <c r="BU77" s="1241"/>
      <c r="BV77" s="307"/>
      <c r="BW77" s="1240"/>
      <c r="BX77" s="307"/>
      <c r="BY77" s="307"/>
      <c r="BZ77" s="1241"/>
      <c r="CA77" s="307"/>
      <c r="CB77" s="1240"/>
      <c r="CC77" s="307"/>
      <c r="CD77" s="307"/>
      <c r="CE77" s="1275"/>
      <c r="CF77" s="762"/>
      <c r="CG77" s="1280"/>
      <c r="CH77" s="762"/>
      <c r="CI77" s="307"/>
      <c r="CJ77" s="1275"/>
      <c r="CK77" s="762"/>
      <c r="CL77" s="1240"/>
      <c r="CM77" s="307"/>
      <c r="CN77" s="307"/>
      <c r="CO77" s="1241"/>
      <c r="CP77" s="307"/>
      <c r="CQ77" s="1240"/>
      <c r="CR77" s="307"/>
      <c r="CS77" s="307"/>
      <c r="CT77" s="1241"/>
      <c r="CU77" s="307"/>
      <c r="CV77" s="1240"/>
      <c r="CW77" s="307"/>
      <c r="CX77" s="307"/>
      <c r="CY77" s="1241"/>
      <c r="CZ77" s="307"/>
    </row>
    <row r="78" spans="1:104" ht="13.5" customHeight="1" outlineLevel="1">
      <c r="A78" s="305"/>
      <c r="B78" s="305" t="s">
        <v>179</v>
      </c>
      <c r="C78" s="305"/>
      <c r="D78" s="306"/>
      <c r="E78" s="306"/>
      <c r="F78" s="306"/>
      <c r="G78" s="306"/>
      <c r="H78" s="334"/>
      <c r="I78" s="334"/>
      <c r="J78" s="334"/>
      <c r="K78" s="334"/>
      <c r="L78" s="334"/>
      <c r="M78" s="334"/>
      <c r="N78" s="334"/>
      <c r="O78" s="334"/>
      <c r="P78" s="334"/>
      <c r="Q78" s="334"/>
      <c r="R78" s="334"/>
      <c r="S78" s="334"/>
      <c r="T78" s="334"/>
      <c r="U78" s="334"/>
      <c r="V78" s="334"/>
      <c r="W78" s="334"/>
      <c r="X78" s="334"/>
      <c r="Y78" s="334"/>
      <c r="Z78" s="334"/>
      <c r="AA78" s="334"/>
      <c r="AB78" s="334"/>
      <c r="AC78" s="334"/>
      <c r="AD78" s="334"/>
      <c r="AE78" s="334"/>
      <c r="AF78" s="334"/>
      <c r="AG78" s="334"/>
      <c r="AH78" s="334"/>
      <c r="AI78" s="334"/>
      <c r="AJ78" s="334"/>
      <c r="AK78" s="334"/>
      <c r="AL78" s="334"/>
      <c r="AM78" s="334"/>
      <c r="AN78" s="334"/>
      <c r="AO78" s="334"/>
      <c r="AP78" s="334"/>
      <c r="AQ78" s="316"/>
      <c r="AR78" s="316"/>
      <c r="AS78" s="1236">
        <f>+AR80</f>
        <v>0</v>
      </c>
      <c r="AT78" s="607">
        <f>+AS80</f>
        <v>0</v>
      </c>
      <c r="AU78" s="607">
        <f>+AT80</f>
        <v>0</v>
      </c>
      <c r="AV78" s="1237">
        <f>+AU80</f>
        <v>0</v>
      </c>
      <c r="AW78" s="317"/>
      <c r="AX78" s="1236">
        <f>+AW80</f>
        <v>0</v>
      </c>
      <c r="AY78" s="607">
        <f>+AX80</f>
        <v>0</v>
      </c>
      <c r="AZ78" s="607">
        <f>+AY80</f>
        <v>0</v>
      </c>
      <c r="BA78" s="1237">
        <f>+AZ80</f>
        <v>600</v>
      </c>
      <c r="BB78" s="317"/>
      <c r="BC78" s="1236">
        <f>+BB80</f>
        <v>600</v>
      </c>
      <c r="BD78" s="607">
        <f>+BC80</f>
        <v>600</v>
      </c>
      <c r="BE78" s="607">
        <f>+BD80</f>
        <v>600</v>
      </c>
      <c r="BF78" s="1237">
        <f>+BE80</f>
        <v>600</v>
      </c>
      <c r="BG78" s="317"/>
      <c r="BH78" s="1236">
        <f>+BG80</f>
        <v>600</v>
      </c>
      <c r="BI78" s="607">
        <f>+BH80</f>
        <v>600</v>
      </c>
      <c r="BJ78" s="607">
        <f>+BI80</f>
        <v>600</v>
      </c>
      <c r="BK78" s="1237">
        <f>+BJ80</f>
        <v>600</v>
      </c>
      <c r="BL78" s="317"/>
      <c r="BM78" s="1236">
        <f>+BL80</f>
        <v>600</v>
      </c>
      <c r="BN78" s="607">
        <f>+BM80</f>
        <v>600</v>
      </c>
      <c r="BO78" s="607">
        <f>+BN80</f>
        <v>600</v>
      </c>
      <c r="BP78" s="1237">
        <f>+BO80</f>
        <v>600</v>
      </c>
      <c r="BQ78" s="317"/>
      <c r="BR78" s="1236">
        <f>+BQ80</f>
        <v>600</v>
      </c>
      <c r="BS78" s="607">
        <f>+BR80</f>
        <v>600</v>
      </c>
      <c r="BT78" s="607">
        <f>+BS80</f>
        <v>600</v>
      </c>
      <c r="BU78" s="1237">
        <f>+BT80</f>
        <v>600</v>
      </c>
      <c r="BV78" s="317"/>
      <c r="BW78" s="1236">
        <f>+BV80</f>
        <v>600</v>
      </c>
      <c r="BX78" s="607">
        <f>+BW80</f>
        <v>600</v>
      </c>
      <c r="BY78" s="607">
        <f>+BX80</f>
        <v>600</v>
      </c>
      <c r="BZ78" s="1237">
        <f>+BY80</f>
        <v>600</v>
      </c>
      <c r="CA78" s="317"/>
      <c r="CB78" s="1236">
        <f>+CA80</f>
        <v>600</v>
      </c>
      <c r="CC78" s="607">
        <f>+CB80</f>
        <v>600</v>
      </c>
      <c r="CD78" s="607">
        <f>+CC80</f>
        <v>600</v>
      </c>
      <c r="CE78" s="1237">
        <f>+CD80</f>
        <v>600</v>
      </c>
      <c r="CF78" s="607"/>
      <c r="CG78" s="1236">
        <f>+CF80</f>
        <v>600</v>
      </c>
      <c r="CH78" s="607">
        <f>+CG80</f>
        <v>600</v>
      </c>
      <c r="CI78" s="607">
        <f>+CH80</f>
        <v>600</v>
      </c>
      <c r="CJ78" s="1237">
        <f>+CI80</f>
        <v>600</v>
      </c>
      <c r="CK78" s="607"/>
      <c r="CL78" s="1236">
        <f>+CK80</f>
        <v>600</v>
      </c>
      <c r="CM78" s="607">
        <f>+CL80</f>
        <v>600</v>
      </c>
      <c r="CN78" s="607">
        <f>+CM80</f>
        <v>600</v>
      </c>
      <c r="CO78" s="1237">
        <f>+CN80</f>
        <v>600</v>
      </c>
      <c r="CP78" s="317"/>
      <c r="CQ78" s="1236">
        <f>+CP80</f>
        <v>600</v>
      </c>
      <c r="CR78" s="607">
        <f>+CQ80</f>
        <v>600</v>
      </c>
      <c r="CS78" s="607">
        <f>+CR80</f>
        <v>600</v>
      </c>
      <c r="CT78" s="1237">
        <f>+CS80</f>
        <v>600</v>
      </c>
      <c r="CU78" s="317"/>
      <c r="CV78" s="1236">
        <f>+CU80</f>
        <v>600</v>
      </c>
      <c r="CW78" s="607">
        <f>+CV80</f>
        <v>600</v>
      </c>
      <c r="CX78" s="607">
        <f>+CW80</f>
        <v>600</v>
      </c>
      <c r="CY78" s="1237">
        <f>+CX80</f>
        <v>600</v>
      </c>
      <c r="CZ78" s="317"/>
    </row>
    <row r="79" spans="1:104" ht="13.5" customHeight="1" outlineLevel="1">
      <c r="A79" s="305"/>
      <c r="B79" s="305" t="s">
        <v>181</v>
      </c>
      <c r="C79" s="305"/>
      <c r="D79" s="306"/>
      <c r="E79" s="306"/>
      <c r="F79" s="306"/>
      <c r="G79" s="306"/>
      <c r="H79" s="334"/>
      <c r="I79" s="334"/>
      <c r="J79" s="334"/>
      <c r="K79" s="334"/>
      <c r="L79" s="334"/>
      <c r="M79" s="334"/>
      <c r="N79" s="334"/>
      <c r="O79" s="334"/>
      <c r="P79" s="334"/>
      <c r="Q79" s="334"/>
      <c r="R79" s="334"/>
      <c r="S79" s="334"/>
      <c r="T79" s="334"/>
      <c r="U79" s="334"/>
      <c r="V79" s="334"/>
      <c r="W79" s="334"/>
      <c r="X79" s="334"/>
      <c r="Y79" s="334"/>
      <c r="Z79" s="334"/>
      <c r="AA79" s="334"/>
      <c r="AB79" s="334"/>
      <c r="AC79" s="334"/>
      <c r="AD79" s="334"/>
      <c r="AE79" s="334"/>
      <c r="AF79" s="334"/>
      <c r="AG79" s="334"/>
      <c r="AH79" s="334"/>
      <c r="AI79" s="334"/>
      <c r="AJ79" s="334"/>
      <c r="AK79" s="334"/>
      <c r="AL79" s="334"/>
      <c r="AM79" s="334"/>
      <c r="AN79" s="334"/>
      <c r="AO79" s="334"/>
      <c r="AP79" s="334"/>
      <c r="AQ79" s="606">
        <v>0</v>
      </c>
      <c r="AR79" s="316"/>
      <c r="AS79" s="1238">
        <v>0</v>
      </c>
      <c r="AT79" s="605">
        <v>0</v>
      </c>
      <c r="AU79" s="605">
        <v>0</v>
      </c>
      <c r="AV79" s="1239">
        <v>0</v>
      </c>
      <c r="AW79" s="317"/>
      <c r="AX79" s="1238">
        <v>0</v>
      </c>
      <c r="AY79" s="605">
        <v>0</v>
      </c>
      <c r="AZ79" s="605">
        <v>0</v>
      </c>
      <c r="BA79" s="1239">
        <v>0</v>
      </c>
      <c r="BB79" s="317"/>
      <c r="BC79" s="1238">
        <v>0</v>
      </c>
      <c r="BD79" s="605">
        <v>0</v>
      </c>
      <c r="BE79" s="605">
        <v>0</v>
      </c>
      <c r="BF79" s="1239">
        <v>0</v>
      </c>
      <c r="BG79" s="317"/>
      <c r="BH79" s="1238">
        <v>0</v>
      </c>
      <c r="BI79" s="605">
        <v>0</v>
      </c>
      <c r="BJ79" s="605">
        <v>0</v>
      </c>
      <c r="BK79" s="1239">
        <v>0</v>
      </c>
      <c r="BL79" s="317"/>
      <c r="BM79" s="1238">
        <v>0</v>
      </c>
      <c r="BN79" s="605">
        <v>0</v>
      </c>
      <c r="BO79" s="605">
        <v>0</v>
      </c>
      <c r="BP79" s="1239">
        <v>0</v>
      </c>
      <c r="BQ79" s="317"/>
      <c r="BR79" s="1238">
        <v>0</v>
      </c>
      <c r="BS79" s="605">
        <v>0</v>
      </c>
      <c r="BT79" s="605">
        <v>0</v>
      </c>
      <c r="BU79" s="1239">
        <v>0</v>
      </c>
      <c r="BV79" s="317"/>
      <c r="BW79" s="1238">
        <v>0</v>
      </c>
      <c r="BX79" s="605">
        <v>0</v>
      </c>
      <c r="BY79" s="605">
        <v>0</v>
      </c>
      <c r="BZ79" s="1239">
        <v>0</v>
      </c>
      <c r="CA79" s="317"/>
      <c r="CB79" s="1238">
        <v>0</v>
      </c>
      <c r="CC79" s="605">
        <v>0</v>
      </c>
      <c r="CD79" s="605">
        <v>0</v>
      </c>
      <c r="CE79" s="1239">
        <v>0</v>
      </c>
      <c r="CF79" s="607"/>
      <c r="CG79" s="1238">
        <v>0</v>
      </c>
      <c r="CH79" s="605">
        <v>0</v>
      </c>
      <c r="CI79" s="605">
        <v>0</v>
      </c>
      <c r="CJ79" s="1239">
        <v>0</v>
      </c>
      <c r="CK79" s="607"/>
      <c r="CL79" s="1238">
        <v>0</v>
      </c>
      <c r="CM79" s="605">
        <v>0</v>
      </c>
      <c r="CN79" s="605">
        <v>0</v>
      </c>
      <c r="CO79" s="1239">
        <v>0</v>
      </c>
      <c r="CP79" s="317"/>
      <c r="CQ79" s="1238">
        <v>0</v>
      </c>
      <c r="CR79" s="605">
        <v>0</v>
      </c>
      <c r="CS79" s="605">
        <v>0</v>
      </c>
      <c r="CT79" s="1239">
        <v>0</v>
      </c>
      <c r="CU79" s="317"/>
      <c r="CV79" s="1238">
        <v>0</v>
      </c>
      <c r="CW79" s="605">
        <v>0</v>
      </c>
      <c r="CX79" s="605">
        <v>0</v>
      </c>
      <c r="CY79" s="1239">
        <v>0</v>
      </c>
      <c r="CZ79" s="317"/>
    </row>
    <row r="80" spans="1:104" ht="13.5" customHeight="1" outlineLevel="1">
      <c r="A80" s="305"/>
      <c r="B80" s="305" t="s">
        <v>182</v>
      </c>
      <c r="C80" s="305"/>
      <c r="D80" s="306"/>
      <c r="E80" s="306"/>
      <c r="F80" s="306"/>
      <c r="G80" s="306"/>
      <c r="H80" s="335">
        <v>0</v>
      </c>
      <c r="I80" s="335"/>
      <c r="J80" s="335"/>
      <c r="K80" s="335"/>
      <c r="L80" s="335"/>
      <c r="M80" s="335"/>
      <c r="N80" s="335"/>
      <c r="O80" s="335"/>
      <c r="P80" s="335"/>
      <c r="Q80" s="335"/>
      <c r="R80" s="335"/>
      <c r="S80" s="335"/>
      <c r="T80" s="335"/>
      <c r="U80" s="335"/>
      <c r="V80" s="335"/>
      <c r="W80" s="335"/>
      <c r="X80" s="335"/>
      <c r="Y80" s="335"/>
      <c r="Z80" s="335"/>
      <c r="AA80" s="335"/>
      <c r="AB80" s="335"/>
      <c r="AC80" s="335"/>
      <c r="AD80" s="335"/>
      <c r="AE80" s="335"/>
      <c r="AF80" s="335"/>
      <c r="AG80" s="335"/>
      <c r="AH80" s="335"/>
      <c r="AI80" s="335"/>
      <c r="AJ80" s="335"/>
      <c r="AK80" s="335"/>
      <c r="AL80" s="335"/>
      <c r="AM80" s="335"/>
      <c r="AN80" s="335"/>
      <c r="AO80" s="335"/>
      <c r="AP80" s="335"/>
      <c r="AQ80" s="606">
        <v>0</v>
      </c>
      <c r="AR80" s="316">
        <f>+AQ80</f>
        <v>0</v>
      </c>
      <c r="AS80" s="1236">
        <f>+AS78+AS79</f>
        <v>0</v>
      </c>
      <c r="AT80" s="607">
        <f>+AT78+AT79</f>
        <v>0</v>
      </c>
      <c r="AU80" s="607">
        <f>+AU78+AU79</f>
        <v>0</v>
      </c>
      <c r="AV80" s="1237">
        <f>+AV78+AV79</f>
        <v>0</v>
      </c>
      <c r="AW80" s="607">
        <f>+AV80</f>
        <v>0</v>
      </c>
      <c r="AX80" s="1236">
        <f>+AX78+AX79</f>
        <v>0</v>
      </c>
      <c r="AY80" s="607">
        <f>+AY78+AY79</f>
        <v>0</v>
      </c>
      <c r="AZ80" s="605">
        <v>600</v>
      </c>
      <c r="BA80" s="1237">
        <f>+BA78+BA79</f>
        <v>600</v>
      </c>
      <c r="BB80" s="607">
        <f>+BA80</f>
        <v>600</v>
      </c>
      <c r="BC80" s="1236">
        <f>+BC78+BC79</f>
        <v>600</v>
      </c>
      <c r="BD80" s="607">
        <f>+BD78+BD79</f>
        <v>600</v>
      </c>
      <c r="BE80" s="607">
        <f>+BE78+BE79</f>
        <v>600</v>
      </c>
      <c r="BF80" s="1237">
        <f>+BF78+BF79</f>
        <v>600</v>
      </c>
      <c r="BG80" s="607">
        <f>+BF80</f>
        <v>600</v>
      </c>
      <c r="BH80" s="1236">
        <f>+BH78+BH79</f>
        <v>600</v>
      </c>
      <c r="BI80" s="607">
        <f>+BI78+BI79</f>
        <v>600</v>
      </c>
      <c r="BJ80" s="607">
        <f>+BJ78+BJ79</f>
        <v>600</v>
      </c>
      <c r="BK80" s="1237">
        <f>+BK78+BK79</f>
        <v>600</v>
      </c>
      <c r="BL80" s="607">
        <f>+BK80</f>
        <v>600</v>
      </c>
      <c r="BM80" s="1236">
        <f>+BM78+BM79</f>
        <v>600</v>
      </c>
      <c r="BN80" s="607">
        <f>+BN78+BN79</f>
        <v>600</v>
      </c>
      <c r="BO80" s="607">
        <f>+BO78+BO79</f>
        <v>600</v>
      </c>
      <c r="BP80" s="1237">
        <f>+BP78+BP79</f>
        <v>600</v>
      </c>
      <c r="BQ80" s="607">
        <f>+BP80</f>
        <v>600</v>
      </c>
      <c r="BR80" s="1236">
        <f>+BR78+BR79</f>
        <v>600</v>
      </c>
      <c r="BS80" s="607">
        <f>+BS78+BS79</f>
        <v>600</v>
      </c>
      <c r="BT80" s="607">
        <f>+BT78+BT79</f>
        <v>600</v>
      </c>
      <c r="BU80" s="1237">
        <f>+BU78+BU79</f>
        <v>600</v>
      </c>
      <c r="BV80" s="607">
        <f>+BU80</f>
        <v>600</v>
      </c>
      <c r="BW80" s="1236">
        <f>+BW78+BW79</f>
        <v>600</v>
      </c>
      <c r="BX80" s="607">
        <f>+BX78+BX79</f>
        <v>600</v>
      </c>
      <c r="BY80" s="607">
        <f>+BY78+BY79</f>
        <v>600</v>
      </c>
      <c r="BZ80" s="1237">
        <f>+BZ78+BZ79</f>
        <v>600</v>
      </c>
      <c r="CA80" s="607">
        <f>+BZ80</f>
        <v>600</v>
      </c>
      <c r="CB80" s="1236">
        <f>+CB78+CB79</f>
        <v>600</v>
      </c>
      <c r="CC80" s="607">
        <f>+CC78+CC79</f>
        <v>600</v>
      </c>
      <c r="CD80" s="607">
        <f>+CD78+CD79</f>
        <v>600</v>
      </c>
      <c r="CE80" s="1237">
        <f>+CE78+CE79</f>
        <v>600</v>
      </c>
      <c r="CF80" s="607">
        <f>+CE80</f>
        <v>600</v>
      </c>
      <c r="CG80" s="1281">
        <f>+CG78+CG79</f>
        <v>600</v>
      </c>
      <c r="CH80" s="681">
        <f>+CH78+CH79</f>
        <v>600</v>
      </c>
      <c r="CI80" s="681">
        <f>+CI78+CI79</f>
        <v>600</v>
      </c>
      <c r="CJ80" s="1284">
        <f>+CJ78+CJ79</f>
        <v>600</v>
      </c>
      <c r="CK80" s="607">
        <f>+CJ80</f>
        <v>600</v>
      </c>
      <c r="CL80" s="1236">
        <f>+CL78+CL79</f>
        <v>600</v>
      </c>
      <c r="CM80" s="607">
        <f>+CM78+CM79</f>
        <v>600</v>
      </c>
      <c r="CN80" s="607">
        <f>+CN78+CN79</f>
        <v>600</v>
      </c>
      <c r="CO80" s="1237">
        <f>+CO78+CO79</f>
        <v>600</v>
      </c>
      <c r="CP80" s="607">
        <f>+CO80</f>
        <v>600</v>
      </c>
      <c r="CQ80" s="1236">
        <f>+CQ78+CQ79</f>
        <v>600</v>
      </c>
      <c r="CR80" s="607">
        <f>+CR78+CR79</f>
        <v>600</v>
      </c>
      <c r="CS80" s="607">
        <f>+CS78+CS79</f>
        <v>600</v>
      </c>
      <c r="CT80" s="1237">
        <f>+CT78+CT79</f>
        <v>600</v>
      </c>
      <c r="CU80" s="607">
        <f>+CT80</f>
        <v>600</v>
      </c>
      <c r="CV80" s="1236">
        <f>+CV78+CV79</f>
        <v>600</v>
      </c>
      <c r="CW80" s="607">
        <f>+CW78+CW79</f>
        <v>600</v>
      </c>
      <c r="CX80" s="607">
        <f>+CX78+CX79</f>
        <v>600</v>
      </c>
      <c r="CY80" s="1237">
        <f>+CY78+CY79</f>
        <v>600</v>
      </c>
      <c r="CZ80" s="607">
        <f>+CY80</f>
        <v>600</v>
      </c>
    </row>
    <row r="81" spans="1:104" ht="13.5" customHeight="1" outlineLevel="1">
      <c r="A81" s="305"/>
      <c r="B81" s="305" t="s">
        <v>183</v>
      </c>
      <c r="C81" s="305"/>
      <c r="D81" s="306"/>
      <c r="E81" s="306"/>
      <c r="F81" s="306"/>
      <c r="G81" s="306"/>
      <c r="H81" s="334"/>
      <c r="I81" s="334"/>
      <c r="J81" s="334"/>
      <c r="K81" s="334"/>
      <c r="L81" s="334"/>
      <c r="M81" s="334"/>
      <c r="N81" s="334"/>
      <c r="O81" s="334"/>
      <c r="P81" s="334"/>
      <c r="Q81" s="334"/>
      <c r="R81" s="334"/>
      <c r="S81" s="334"/>
      <c r="T81" s="334"/>
      <c r="U81" s="334"/>
      <c r="V81" s="334"/>
      <c r="W81" s="334"/>
      <c r="X81" s="334"/>
      <c r="Y81" s="334"/>
      <c r="Z81" s="334"/>
      <c r="AA81" s="334"/>
      <c r="AB81" s="334"/>
      <c r="AC81" s="334"/>
      <c r="AD81" s="334"/>
      <c r="AE81" s="334"/>
      <c r="AF81" s="334"/>
      <c r="AG81" s="334"/>
      <c r="AH81" s="334"/>
      <c r="AI81" s="334"/>
      <c r="AJ81" s="334"/>
      <c r="AK81" s="334"/>
      <c r="AL81" s="334"/>
      <c r="AM81" s="334"/>
      <c r="AN81" s="334"/>
      <c r="AO81" s="334"/>
      <c r="AP81" s="334"/>
      <c r="AQ81" s="316"/>
      <c r="AR81" s="316"/>
      <c r="AS81" s="1236">
        <f>+AVERAGE(AS78,AS80)</f>
        <v>0</v>
      </c>
      <c r="AT81" s="607">
        <f>+AVERAGE(AT78,AT80)</f>
        <v>0</v>
      </c>
      <c r="AU81" s="607">
        <f>+AVERAGE(AU78,AU80)</f>
        <v>0</v>
      </c>
      <c r="AV81" s="1237">
        <f>+AVERAGE(AV78,AV80)</f>
        <v>0</v>
      </c>
      <c r="AW81" s="317"/>
      <c r="AX81" s="1236">
        <f>+AVERAGE(AX78,AX80)</f>
        <v>0</v>
      </c>
      <c r="AY81" s="607">
        <f>+AVERAGE(AY78,AY80)</f>
        <v>0</v>
      </c>
      <c r="AZ81" s="607">
        <f>+AVERAGE(AZ78,AZ80)</f>
        <v>300</v>
      </c>
      <c r="BA81" s="1237">
        <f>+AVERAGE(BA78,BA80)</f>
        <v>600</v>
      </c>
      <c r="BB81" s="317"/>
      <c r="BC81" s="1236">
        <f>+AVERAGE(BC78,BC80)</f>
        <v>600</v>
      </c>
      <c r="BD81" s="607">
        <f>+AVERAGE(BD78,BD80)</f>
        <v>600</v>
      </c>
      <c r="BE81" s="607">
        <f>+AVERAGE(BE78,BE80)</f>
        <v>600</v>
      </c>
      <c r="BF81" s="1237">
        <f>+AVERAGE(BF78,BF80)</f>
        <v>600</v>
      </c>
      <c r="BG81" s="317"/>
      <c r="BH81" s="1236">
        <f>+AVERAGE(BH78,BH80)</f>
        <v>600</v>
      </c>
      <c r="BI81" s="607">
        <f>+AVERAGE(BI78,BI80)</f>
        <v>600</v>
      </c>
      <c r="BJ81" s="607">
        <f>+AVERAGE(BJ78,BJ80)</f>
        <v>600</v>
      </c>
      <c r="BK81" s="1237">
        <f>+AVERAGE(BK78,BK80)</f>
        <v>600</v>
      </c>
      <c r="BL81" s="317"/>
      <c r="BM81" s="1236">
        <f>+AVERAGE(BM78,BM80)</f>
        <v>600</v>
      </c>
      <c r="BN81" s="607">
        <f>+AVERAGE(BN78,BN80)</f>
        <v>600</v>
      </c>
      <c r="BO81" s="607">
        <f>+AVERAGE(BO78,BO80)</f>
        <v>600</v>
      </c>
      <c r="BP81" s="1237">
        <f>+AVERAGE(BP78,BP80)</f>
        <v>600</v>
      </c>
      <c r="BQ81" s="317"/>
      <c r="BR81" s="1236">
        <f>+AVERAGE(BR78,BR80)</f>
        <v>600</v>
      </c>
      <c r="BS81" s="607">
        <f>+AVERAGE(BS78,BS80)</f>
        <v>600</v>
      </c>
      <c r="BT81" s="607">
        <f>+AVERAGE(BT78,BT80)</f>
        <v>600</v>
      </c>
      <c r="BU81" s="1237">
        <f>+AVERAGE(BU78,BU80)</f>
        <v>600</v>
      </c>
      <c r="BV81" s="317"/>
      <c r="BW81" s="1236">
        <f>+AVERAGE(BW78,BW80)</f>
        <v>600</v>
      </c>
      <c r="BX81" s="607">
        <f>+AVERAGE(BX78,BX80)</f>
        <v>600</v>
      </c>
      <c r="BY81" s="607">
        <f>+AVERAGE(BY78,BY80)</f>
        <v>600</v>
      </c>
      <c r="BZ81" s="1237">
        <f>+AVERAGE(BZ78,BZ80)</f>
        <v>600</v>
      </c>
      <c r="CA81" s="317"/>
      <c r="CB81" s="1236">
        <f>+AVERAGE(CB78,CB80)</f>
        <v>600</v>
      </c>
      <c r="CC81" s="607">
        <f>+AVERAGE(CC78,CC80)</f>
        <v>600</v>
      </c>
      <c r="CD81" s="607">
        <f>+AVERAGE(CD78,CD80)</f>
        <v>600</v>
      </c>
      <c r="CE81" s="1237">
        <f>+AVERAGE(CE78,CE80)</f>
        <v>600</v>
      </c>
      <c r="CF81" s="607"/>
      <c r="CG81" s="1236">
        <f>+AVERAGE(CG78,CG80)</f>
        <v>600</v>
      </c>
      <c r="CH81" s="607">
        <f>+AVERAGE(CH78,CH80)</f>
        <v>600</v>
      </c>
      <c r="CI81" s="607">
        <f>+AVERAGE(CI78,CI80)</f>
        <v>600</v>
      </c>
      <c r="CJ81" s="1237">
        <f>+AVERAGE(CJ78,CJ80)</f>
        <v>600</v>
      </c>
      <c r="CK81" s="607"/>
      <c r="CL81" s="1236">
        <f>+AVERAGE(CL78,CL80)</f>
        <v>600</v>
      </c>
      <c r="CM81" s="607">
        <f>+AVERAGE(CM78,CM80)</f>
        <v>600</v>
      </c>
      <c r="CN81" s="607">
        <f>+AVERAGE(CN78,CN80)</f>
        <v>600</v>
      </c>
      <c r="CO81" s="1237">
        <f>+AVERAGE(CO78,CO80)</f>
        <v>600</v>
      </c>
      <c r="CP81" s="317"/>
      <c r="CQ81" s="1236">
        <f>+AVERAGE(CQ78,CQ80)</f>
        <v>600</v>
      </c>
      <c r="CR81" s="607">
        <f>+AVERAGE(CR78,CR80)</f>
        <v>600</v>
      </c>
      <c r="CS81" s="607">
        <f>+AVERAGE(CS78,CS80)</f>
        <v>600</v>
      </c>
      <c r="CT81" s="1237">
        <f>+AVERAGE(CT78,CT80)</f>
        <v>600</v>
      </c>
      <c r="CU81" s="317"/>
      <c r="CV81" s="1236">
        <f>+AVERAGE(CV78,CV80)</f>
        <v>600</v>
      </c>
      <c r="CW81" s="607">
        <f>+AVERAGE(CW78,CW80)</f>
        <v>600</v>
      </c>
      <c r="CX81" s="607">
        <f>+AVERAGE(CX78,CX80)</f>
        <v>600</v>
      </c>
      <c r="CY81" s="1237">
        <f>+AVERAGE(CY78,CY80)</f>
        <v>600</v>
      </c>
      <c r="CZ81" s="317"/>
    </row>
    <row r="82" spans="1:104" ht="13.5" customHeight="1" outlineLevel="1">
      <c r="A82" s="305"/>
      <c r="B82" s="305" t="s">
        <v>575</v>
      </c>
      <c r="C82" s="305"/>
      <c r="D82" s="306"/>
      <c r="E82" s="306"/>
      <c r="F82" s="306"/>
      <c r="G82" s="306"/>
      <c r="H82" s="334"/>
      <c r="I82" s="334"/>
      <c r="J82" s="334"/>
      <c r="K82" s="334"/>
      <c r="L82" s="334"/>
      <c r="M82" s="334"/>
      <c r="N82" s="334"/>
      <c r="O82" s="334"/>
      <c r="P82" s="334"/>
      <c r="Q82" s="334"/>
      <c r="R82" s="334"/>
      <c r="S82" s="334"/>
      <c r="T82" s="334"/>
      <c r="U82" s="334"/>
      <c r="V82" s="334"/>
      <c r="W82" s="334"/>
      <c r="X82" s="334"/>
      <c r="Y82" s="334"/>
      <c r="Z82" s="334"/>
      <c r="AA82" s="334"/>
      <c r="AB82" s="334"/>
      <c r="AC82" s="334"/>
      <c r="AD82" s="334"/>
      <c r="AE82" s="334"/>
      <c r="AF82" s="334"/>
      <c r="AG82" s="334"/>
      <c r="AH82" s="334"/>
      <c r="AI82" s="334"/>
      <c r="AJ82" s="334"/>
      <c r="AK82" s="334"/>
      <c r="AL82" s="334"/>
      <c r="AM82" s="334"/>
      <c r="AN82" s="334"/>
      <c r="AO82" s="334"/>
      <c r="AP82" s="334"/>
      <c r="AQ82" s="316"/>
      <c r="AR82" s="316"/>
      <c r="AS82" s="1236">
        <f>+AS81*$G77/4</f>
        <v>0</v>
      </c>
      <c r="AT82" s="607">
        <f>+AT81*$G77/4</f>
        <v>0</v>
      </c>
      <c r="AU82" s="607">
        <f>+AU81*$G77/4</f>
        <v>0</v>
      </c>
      <c r="AV82" s="1237">
        <f>+AV81*$G77/4</f>
        <v>0</v>
      </c>
      <c r="AW82" s="317"/>
      <c r="AX82" s="1236">
        <f>+AX81*$G77/4</f>
        <v>0</v>
      </c>
      <c r="AY82" s="607">
        <f>+AY81*$G77/4</f>
        <v>0</v>
      </c>
      <c r="AZ82" s="607">
        <f>+AZ81*$G77/4</f>
        <v>3.09375</v>
      </c>
      <c r="BA82" s="1237">
        <f>+BA81*$G77/4</f>
        <v>6.1875</v>
      </c>
      <c r="BB82" s="317"/>
      <c r="BC82" s="1236">
        <f>+BC81*$G77/4</f>
        <v>6.1875</v>
      </c>
      <c r="BD82" s="607">
        <f>+BD81*$G77/4</f>
        <v>6.1875</v>
      </c>
      <c r="BE82" s="607">
        <f>+BE81*$G77/4</f>
        <v>6.1875</v>
      </c>
      <c r="BF82" s="1237">
        <f>+BF81*$G77/4</f>
        <v>6.1875</v>
      </c>
      <c r="BG82" s="317"/>
      <c r="BH82" s="1236">
        <f>+BH81*$G77/4</f>
        <v>6.1875</v>
      </c>
      <c r="BI82" s="607">
        <f>+BI81*$G77/4</f>
        <v>6.1875</v>
      </c>
      <c r="BJ82" s="607">
        <f>+BJ81*$G77/4</f>
        <v>6.1875</v>
      </c>
      <c r="BK82" s="1237">
        <f>+BK81*$G77/4</f>
        <v>6.1875</v>
      </c>
      <c r="BL82" s="317"/>
      <c r="BM82" s="1236">
        <f>+BM81*$G77/4</f>
        <v>6.1875</v>
      </c>
      <c r="BN82" s="607">
        <f>+BN81*$G77/4</f>
        <v>6.1875</v>
      </c>
      <c r="BO82" s="607">
        <f>+BO81*$G77/4</f>
        <v>6.1875</v>
      </c>
      <c r="BP82" s="1237">
        <f>+BP81*$G77/4</f>
        <v>6.1875</v>
      </c>
      <c r="BQ82" s="317"/>
      <c r="BR82" s="1236">
        <f>+BR81*$G77/4</f>
        <v>6.1875</v>
      </c>
      <c r="BS82" s="607">
        <f>+BS81*$G77/4</f>
        <v>6.1875</v>
      </c>
      <c r="BT82" s="607">
        <f>+BT81*$G77/4</f>
        <v>6.1875</v>
      </c>
      <c r="BU82" s="1237">
        <f>+BU81*$G77/4</f>
        <v>6.1875</v>
      </c>
      <c r="BV82" s="317"/>
      <c r="BW82" s="1236">
        <f>+BW81*$G77/4</f>
        <v>6.1875</v>
      </c>
      <c r="BX82" s="607">
        <f>+BX81*$G77/4</f>
        <v>6.1875</v>
      </c>
      <c r="BY82" s="607">
        <f>+BY81*$G77/4</f>
        <v>6.1875</v>
      </c>
      <c r="BZ82" s="1237">
        <f>+BZ81*$G77/4</f>
        <v>6.1875</v>
      </c>
      <c r="CA82" s="317"/>
      <c r="CB82" s="1236">
        <f>+CB81*$G77/4</f>
        <v>6.1875</v>
      </c>
      <c r="CC82" s="607">
        <f>+CC81*$G77/4</f>
        <v>6.1875</v>
      </c>
      <c r="CD82" s="607">
        <f>+CD81*$G77/4</f>
        <v>6.1875</v>
      </c>
      <c r="CE82" s="1237">
        <f>+CE81*$G77/4</f>
        <v>6.1875</v>
      </c>
      <c r="CF82" s="607"/>
      <c r="CG82" s="1236">
        <f>+CG81*$G77/4</f>
        <v>6.1875</v>
      </c>
      <c r="CH82" s="607">
        <f>+CH81*$G77/4</f>
        <v>6.1875</v>
      </c>
      <c r="CI82" s="607">
        <f>+CI81*$G77/4</f>
        <v>6.1875</v>
      </c>
      <c r="CJ82" s="1237">
        <f>+CJ81*$G77/4</f>
        <v>6.1875</v>
      </c>
      <c r="CK82" s="607"/>
      <c r="CL82" s="1236">
        <f>+CL81*$G77/4</f>
        <v>6.1875</v>
      </c>
      <c r="CM82" s="607">
        <f>+CM81*$G77/4</f>
        <v>6.1875</v>
      </c>
      <c r="CN82" s="607">
        <f>+CN81*$G77/4</f>
        <v>6.1875</v>
      </c>
      <c r="CO82" s="1237">
        <f>+CO81*$G77/4</f>
        <v>6.1875</v>
      </c>
      <c r="CP82" s="317"/>
      <c r="CQ82" s="1236">
        <f>+CQ81*$G77/4</f>
        <v>6.1875</v>
      </c>
      <c r="CR82" s="607">
        <f>+CR81*$G77/4</f>
        <v>6.1875</v>
      </c>
      <c r="CS82" s="607">
        <f>+CS81*$G77/4</f>
        <v>6.1875</v>
      </c>
      <c r="CT82" s="1237">
        <f>+CT81*$G77/4</f>
        <v>6.1875</v>
      </c>
      <c r="CU82" s="317"/>
      <c r="CV82" s="1236">
        <f>+CV81*$G77/4</f>
        <v>6.1875</v>
      </c>
      <c r="CW82" s="607">
        <f>+CW81*$G77/4</f>
        <v>6.1875</v>
      </c>
      <c r="CX82" s="607">
        <f>+CX81*$G77/4</f>
        <v>6.1875</v>
      </c>
      <c r="CY82" s="1237">
        <f>+CY81*$G77/4</f>
        <v>6.1875</v>
      </c>
      <c r="CZ82" s="317"/>
    </row>
    <row r="83" spans="1:104" ht="13.5" customHeight="1" outlineLevel="1">
      <c r="A83" s="305"/>
      <c r="B83" s="305" t="s">
        <v>184</v>
      </c>
      <c r="C83" s="305"/>
      <c r="D83" s="306"/>
      <c r="E83" s="306"/>
      <c r="F83" s="306"/>
      <c r="G83" s="306"/>
      <c r="H83" s="306"/>
      <c r="I83" s="306"/>
      <c r="J83" s="306"/>
      <c r="K83" s="306"/>
      <c r="L83" s="306"/>
      <c r="M83" s="306"/>
      <c r="N83" s="306"/>
      <c r="O83" s="306"/>
      <c r="P83" s="306"/>
      <c r="Q83" s="306"/>
      <c r="R83" s="306"/>
      <c r="S83" s="306"/>
      <c r="T83" s="306"/>
      <c r="U83" s="306"/>
      <c r="V83" s="306"/>
      <c r="W83" s="306"/>
      <c r="X83" s="306"/>
      <c r="Y83" s="306"/>
      <c r="Z83" s="306"/>
      <c r="AA83" s="306"/>
      <c r="AB83" s="306"/>
      <c r="AC83" s="306"/>
      <c r="AD83" s="306"/>
      <c r="AE83" s="306"/>
      <c r="AF83" s="306"/>
      <c r="AG83" s="306"/>
      <c r="AH83" s="306"/>
      <c r="AI83" s="306"/>
      <c r="AJ83" s="306"/>
      <c r="AK83" s="306"/>
      <c r="AL83" s="306"/>
      <c r="AM83" s="306"/>
      <c r="AN83" s="306"/>
      <c r="AO83" s="306"/>
      <c r="AP83" s="306"/>
      <c r="AQ83" s="316"/>
      <c r="AR83" s="332"/>
      <c r="AS83" s="1240"/>
      <c r="AT83" s="607">
        <f>+AS82+AT82</f>
        <v>0</v>
      </c>
      <c r="AU83" s="307"/>
      <c r="AV83" s="1237">
        <f>+AU82+AV82</f>
        <v>0</v>
      </c>
      <c r="AW83" s="307"/>
      <c r="AX83" s="1240"/>
      <c r="AY83" s="607">
        <f>+AX82+AY82</f>
        <v>0</v>
      </c>
      <c r="AZ83" s="307"/>
      <c r="BA83" s="1237">
        <f>+AZ82+BA82</f>
        <v>9.28125</v>
      </c>
      <c r="BB83" s="307"/>
      <c r="BC83" s="1240"/>
      <c r="BD83" s="607">
        <f>+BC82+BD82</f>
        <v>12.375</v>
      </c>
      <c r="BE83" s="307"/>
      <c r="BF83" s="1237">
        <f>+BE82+BF82</f>
        <v>12.375</v>
      </c>
      <c r="BG83" s="307"/>
      <c r="BH83" s="1240"/>
      <c r="BI83" s="607">
        <f>+BH82+BI82</f>
        <v>12.375</v>
      </c>
      <c r="BJ83" s="307"/>
      <c r="BK83" s="1237">
        <f>+BJ82+BK82</f>
        <v>12.375</v>
      </c>
      <c r="BL83" s="307"/>
      <c r="BM83" s="1240"/>
      <c r="BN83" s="607">
        <f>+BM82+BN82</f>
        <v>12.375</v>
      </c>
      <c r="BO83" s="307"/>
      <c r="BP83" s="1237">
        <f>+BO82+BP82</f>
        <v>12.375</v>
      </c>
      <c r="BQ83" s="307"/>
      <c r="BR83" s="1240"/>
      <c r="BS83" s="607">
        <f>+BR82+BS82</f>
        <v>12.375</v>
      </c>
      <c r="BT83" s="307"/>
      <c r="BU83" s="1237">
        <f>+BT82+BU82</f>
        <v>12.375</v>
      </c>
      <c r="BV83" s="307"/>
      <c r="BW83" s="1240"/>
      <c r="BX83" s="607">
        <f>+BW82+BX82</f>
        <v>12.375</v>
      </c>
      <c r="BY83" s="307"/>
      <c r="BZ83" s="1237">
        <f>+BY82+BZ82</f>
        <v>12.375</v>
      </c>
      <c r="CA83" s="307"/>
      <c r="CB83" s="1240"/>
      <c r="CC83" s="607">
        <f>+CB82+CC82</f>
        <v>12.375</v>
      </c>
      <c r="CD83" s="307"/>
      <c r="CE83" s="1237">
        <f>+CD82+CE82</f>
        <v>12.375</v>
      </c>
      <c r="CF83" s="762"/>
      <c r="CG83" s="1280"/>
      <c r="CH83" s="762">
        <f>+CG82+CH82</f>
        <v>12.375</v>
      </c>
      <c r="CI83" s="307"/>
      <c r="CJ83" s="1237">
        <f>+CI82+CJ82</f>
        <v>12.375</v>
      </c>
      <c r="CK83" s="762"/>
      <c r="CL83" s="1240"/>
      <c r="CM83" s="607">
        <f>+CL82+CM82</f>
        <v>12.375</v>
      </c>
      <c r="CN83" s="307"/>
      <c r="CO83" s="1237">
        <f>+CN82+CO82</f>
        <v>12.375</v>
      </c>
      <c r="CP83" s="307"/>
      <c r="CQ83" s="1240"/>
      <c r="CR83" s="607">
        <f>+CQ82+CR82</f>
        <v>12.375</v>
      </c>
      <c r="CS83" s="307"/>
      <c r="CT83" s="1237">
        <f>+CS82+CT82</f>
        <v>12.375</v>
      </c>
      <c r="CU83" s="307"/>
      <c r="CV83" s="1240"/>
      <c r="CW83" s="607">
        <f>+CV82+CW82</f>
        <v>12.375</v>
      </c>
      <c r="CX83" s="307"/>
      <c r="CY83" s="1237">
        <f>+CX82+CY82</f>
        <v>12.375</v>
      </c>
      <c r="CZ83" s="307"/>
    </row>
    <row r="84" spans="1:104" ht="6.2" customHeight="1" outlineLevel="1">
      <c r="A84" s="305"/>
      <c r="B84" s="305"/>
      <c r="C84" s="305"/>
      <c r="D84" s="306"/>
      <c r="E84" s="306"/>
      <c r="F84" s="306"/>
      <c r="G84" s="306"/>
      <c r="H84" s="306"/>
      <c r="I84" s="306"/>
      <c r="J84" s="306"/>
      <c r="K84" s="306"/>
      <c r="L84" s="306"/>
      <c r="M84" s="306"/>
      <c r="N84" s="306"/>
      <c r="O84" s="306"/>
      <c r="P84" s="306"/>
      <c r="Q84" s="306"/>
      <c r="R84" s="306"/>
      <c r="S84" s="306"/>
      <c r="T84" s="306"/>
      <c r="U84" s="306"/>
      <c r="V84" s="306"/>
      <c r="W84" s="306"/>
      <c r="X84" s="306"/>
      <c r="Y84" s="306"/>
      <c r="Z84" s="306"/>
      <c r="AA84" s="306"/>
      <c r="AB84" s="306"/>
      <c r="AC84" s="306"/>
      <c r="AD84" s="306"/>
      <c r="AE84" s="306"/>
      <c r="AF84" s="306"/>
      <c r="AG84" s="306"/>
      <c r="AH84" s="306"/>
      <c r="AI84" s="306"/>
      <c r="AJ84" s="306"/>
      <c r="AK84" s="306"/>
      <c r="AL84" s="306"/>
      <c r="AM84" s="306"/>
      <c r="AN84" s="306"/>
      <c r="AO84" s="306"/>
      <c r="AP84" s="306"/>
      <c r="AQ84" s="332"/>
      <c r="AR84" s="332"/>
      <c r="AS84" s="1240"/>
      <c r="AT84" s="307"/>
      <c r="AU84" s="307"/>
      <c r="AV84" s="1241"/>
      <c r="AW84" s="307"/>
      <c r="AX84" s="1240"/>
      <c r="AY84" s="307"/>
      <c r="AZ84" s="307"/>
      <c r="BA84" s="1241"/>
      <c r="BB84" s="307"/>
      <c r="BC84" s="1240"/>
      <c r="BD84" s="307"/>
      <c r="BE84" s="307"/>
      <c r="BF84" s="1241"/>
      <c r="BG84" s="307"/>
      <c r="BH84" s="1240"/>
      <c r="BI84" s="307"/>
      <c r="BJ84" s="307"/>
      <c r="BK84" s="1241"/>
      <c r="BL84" s="307"/>
      <c r="BM84" s="1240"/>
      <c r="BN84" s="307"/>
      <c r="BO84" s="307"/>
      <c r="BP84" s="1241"/>
      <c r="BQ84" s="307"/>
      <c r="BR84" s="1240"/>
      <c r="BS84" s="307"/>
      <c r="BT84" s="307"/>
      <c r="BU84" s="1241"/>
      <c r="BV84" s="307"/>
      <c r="BW84" s="1240"/>
      <c r="BX84" s="307"/>
      <c r="BY84" s="307"/>
      <c r="BZ84" s="1241"/>
      <c r="CA84" s="307"/>
      <c r="CB84" s="1240"/>
      <c r="CC84" s="307"/>
      <c r="CD84" s="307"/>
      <c r="CE84" s="1275"/>
      <c r="CF84" s="762"/>
      <c r="CG84" s="1280"/>
      <c r="CH84" s="762"/>
      <c r="CI84" s="307"/>
      <c r="CJ84" s="1275"/>
      <c r="CK84" s="762"/>
      <c r="CL84" s="1240"/>
      <c r="CM84" s="307"/>
      <c r="CN84" s="307"/>
      <c r="CO84" s="1241"/>
      <c r="CP84" s="307"/>
      <c r="CQ84" s="1240"/>
      <c r="CR84" s="307"/>
      <c r="CS84" s="307"/>
      <c r="CT84" s="1241"/>
      <c r="CU84" s="307"/>
      <c r="CV84" s="1240"/>
      <c r="CW84" s="307"/>
      <c r="CX84" s="307"/>
      <c r="CY84" s="1241"/>
      <c r="CZ84" s="307"/>
    </row>
    <row r="85" spans="1:104" ht="13.5" customHeight="1" outlineLevel="1">
      <c r="A85" s="315" t="s">
        <v>18</v>
      </c>
      <c r="B85" s="305"/>
      <c r="C85" s="305"/>
      <c r="D85" s="306"/>
      <c r="E85" s="306"/>
      <c r="F85" s="306"/>
      <c r="G85" s="333">
        <v>6.4000000000000001E-2</v>
      </c>
      <c r="H85" s="324">
        <v>13850</v>
      </c>
      <c r="I85" s="306"/>
      <c r="J85" s="306"/>
      <c r="K85" s="306"/>
      <c r="L85" s="306"/>
      <c r="M85" s="306"/>
      <c r="N85" s="306"/>
      <c r="O85" s="306"/>
      <c r="P85" s="306"/>
      <c r="Q85" s="306"/>
      <c r="R85" s="306"/>
      <c r="S85" s="306"/>
      <c r="T85" s="306"/>
      <c r="U85" s="306"/>
      <c r="V85" s="306"/>
      <c r="W85" s="306"/>
      <c r="X85" s="306"/>
      <c r="Y85" s="306"/>
      <c r="Z85" s="306"/>
      <c r="AA85" s="306"/>
      <c r="AB85" s="306"/>
      <c r="AC85" s="306"/>
      <c r="AD85" s="306"/>
      <c r="AE85" s="306"/>
      <c r="AF85" s="306"/>
      <c r="AG85" s="306"/>
      <c r="AH85" s="306"/>
      <c r="AI85" s="306"/>
      <c r="AJ85" s="306"/>
      <c r="AK85" s="306"/>
      <c r="AL85" s="306"/>
      <c r="AM85" s="306"/>
      <c r="AN85" s="306"/>
      <c r="AO85" s="306"/>
      <c r="AP85" s="306"/>
      <c r="AQ85" s="332"/>
      <c r="AR85" s="332"/>
      <c r="AS85" s="1240"/>
      <c r="AT85" s="307"/>
      <c r="AU85" s="307"/>
      <c r="AV85" s="1241"/>
      <c r="AW85" s="307"/>
      <c r="AX85" s="1240"/>
      <c r="AY85" s="307"/>
      <c r="AZ85" s="307"/>
      <c r="BA85" s="1241"/>
      <c r="BB85" s="307"/>
      <c r="BC85" s="1240"/>
      <c r="BD85" s="307"/>
      <c r="BE85" s="307"/>
      <c r="BF85" s="1241"/>
      <c r="BG85" s="307"/>
      <c r="BH85" s="1240"/>
      <c r="BI85" s="307"/>
      <c r="BJ85" s="307"/>
      <c r="BK85" s="1241"/>
      <c r="BL85" s="307"/>
      <c r="BM85" s="1240"/>
      <c r="BN85" s="307"/>
      <c r="BO85" s="307"/>
      <c r="BP85" s="1241"/>
      <c r="BQ85" s="307"/>
      <c r="BR85" s="1240"/>
      <c r="BS85" s="307"/>
      <c r="BT85" s="307"/>
      <c r="BU85" s="1241"/>
      <c r="BV85" s="307"/>
      <c r="BW85" s="1240"/>
      <c r="BX85" s="307"/>
      <c r="BY85" s="307"/>
      <c r="BZ85" s="1241"/>
      <c r="CA85" s="307"/>
      <c r="CB85" s="1240"/>
      <c r="CC85" s="307"/>
      <c r="CD85" s="307"/>
      <c r="CE85" s="1275"/>
      <c r="CF85" s="762"/>
      <c r="CG85" s="1280"/>
      <c r="CH85" s="762"/>
      <c r="CI85" s="307"/>
      <c r="CJ85" s="1275"/>
      <c r="CK85" s="762"/>
      <c r="CL85" s="1240"/>
      <c r="CM85" s="307"/>
      <c r="CN85" s="307"/>
      <c r="CO85" s="1241"/>
      <c r="CP85" s="307"/>
      <c r="CQ85" s="1240"/>
      <c r="CR85" s="307"/>
      <c r="CS85" s="307"/>
      <c r="CT85" s="1241"/>
      <c r="CU85" s="307"/>
      <c r="CV85" s="1240"/>
      <c r="CW85" s="307"/>
      <c r="CX85" s="307"/>
      <c r="CY85" s="1241"/>
      <c r="CZ85" s="307"/>
    </row>
    <row r="86" spans="1:104" ht="13.5" customHeight="1" outlineLevel="1">
      <c r="A86" s="305"/>
      <c r="B86" s="305" t="s">
        <v>179</v>
      </c>
      <c r="C86" s="305"/>
      <c r="D86" s="306"/>
      <c r="E86" s="306"/>
      <c r="F86" s="306"/>
      <c r="G86" s="306"/>
      <c r="H86" s="334"/>
      <c r="I86" s="334"/>
      <c r="J86" s="334"/>
      <c r="K86" s="334"/>
      <c r="L86" s="334"/>
      <c r="M86" s="334"/>
      <c r="N86" s="334"/>
      <c r="O86" s="334"/>
      <c r="P86" s="334"/>
      <c r="Q86" s="334"/>
      <c r="R86" s="334"/>
      <c r="S86" s="334"/>
      <c r="T86" s="334"/>
      <c r="U86" s="334"/>
      <c r="V86" s="334"/>
      <c r="W86" s="334"/>
      <c r="X86" s="334"/>
      <c r="Y86" s="334"/>
      <c r="Z86" s="334"/>
      <c r="AA86" s="334"/>
      <c r="AB86" s="334"/>
      <c r="AC86" s="334"/>
      <c r="AD86" s="334"/>
      <c r="AE86" s="334"/>
      <c r="AF86" s="334"/>
      <c r="AG86" s="334"/>
      <c r="AH86" s="334"/>
      <c r="AI86" s="334"/>
      <c r="AJ86" s="334"/>
      <c r="AK86" s="334"/>
      <c r="AL86" s="334"/>
      <c r="AM86" s="334"/>
      <c r="AN86" s="334"/>
      <c r="AO86" s="334"/>
      <c r="AP86" s="334"/>
      <c r="AQ86" s="316"/>
      <c r="AR86" s="316"/>
      <c r="AS86" s="1236">
        <f>+AR88</f>
        <v>650</v>
      </c>
      <c r="AT86" s="607">
        <f>+AS88</f>
        <v>650</v>
      </c>
      <c r="AU86" s="607">
        <f>+AT88</f>
        <v>650</v>
      </c>
      <c r="AV86" s="1237">
        <f>+AU88</f>
        <v>650</v>
      </c>
      <c r="AW86" s="317"/>
      <c r="AX86" s="1236">
        <f>+AW88</f>
        <v>650</v>
      </c>
      <c r="AY86" s="607">
        <f>+AX88</f>
        <v>650</v>
      </c>
      <c r="AZ86" s="607">
        <f>+AY88</f>
        <v>650</v>
      </c>
      <c r="BA86" s="1237">
        <f>+AZ88</f>
        <v>650</v>
      </c>
      <c r="BB86" s="317"/>
      <c r="BC86" s="1236">
        <f>+BB88</f>
        <v>650</v>
      </c>
      <c r="BD86" s="607">
        <f>+BC88</f>
        <v>650</v>
      </c>
      <c r="BE86" s="607">
        <f>+BD88</f>
        <v>650</v>
      </c>
      <c r="BF86" s="1237">
        <f>+BE88</f>
        <v>650</v>
      </c>
      <c r="BG86" s="317"/>
      <c r="BH86" s="1236">
        <f>+BG88</f>
        <v>650</v>
      </c>
      <c r="BI86" s="607">
        <f>+BH88</f>
        <v>650</v>
      </c>
      <c r="BJ86" s="607">
        <f>+BI88</f>
        <v>650</v>
      </c>
      <c r="BK86" s="1237">
        <f>+BJ88</f>
        <v>650</v>
      </c>
      <c r="BL86" s="317"/>
      <c r="BM86" s="1236">
        <f>+BL88</f>
        <v>650</v>
      </c>
      <c r="BN86" s="607">
        <f>+BM88</f>
        <v>650</v>
      </c>
      <c r="BO86" s="607">
        <f>+BN88</f>
        <v>650</v>
      </c>
      <c r="BP86" s="1237">
        <f>+BO88</f>
        <v>650</v>
      </c>
      <c r="BQ86" s="317"/>
      <c r="BR86" s="1236">
        <f>+BQ88</f>
        <v>650</v>
      </c>
      <c r="BS86" s="607">
        <f>+BR88</f>
        <v>650</v>
      </c>
      <c r="BT86" s="607">
        <f>+BS88</f>
        <v>650</v>
      </c>
      <c r="BU86" s="1237">
        <f>+BT88</f>
        <v>650</v>
      </c>
      <c r="BV86" s="317"/>
      <c r="BW86" s="1236">
        <f>+BV88</f>
        <v>650</v>
      </c>
      <c r="BX86" s="607">
        <f>+BW88</f>
        <v>650</v>
      </c>
      <c r="BY86" s="607">
        <f>+BX88</f>
        <v>650</v>
      </c>
      <c r="BZ86" s="1237">
        <f>+BY88</f>
        <v>650</v>
      </c>
      <c r="CA86" s="317"/>
      <c r="CB86" s="1236">
        <f>+CA88</f>
        <v>650</v>
      </c>
      <c r="CC86" s="607">
        <f>+CB88</f>
        <v>650</v>
      </c>
      <c r="CD86" s="607">
        <f>+CC88</f>
        <v>650</v>
      </c>
      <c r="CE86" s="1237">
        <f>+CD88</f>
        <v>650</v>
      </c>
      <c r="CF86" s="607"/>
      <c r="CG86" s="1236">
        <f>+CF88</f>
        <v>650</v>
      </c>
      <c r="CH86" s="607">
        <f>+CG88</f>
        <v>650</v>
      </c>
      <c r="CI86" s="607">
        <f>+CH88</f>
        <v>650</v>
      </c>
      <c r="CJ86" s="1237">
        <f>+CI88</f>
        <v>650</v>
      </c>
      <c r="CK86" s="607"/>
      <c r="CL86" s="1236">
        <f>+CK88</f>
        <v>650</v>
      </c>
      <c r="CM86" s="607">
        <f>+CL88</f>
        <v>650</v>
      </c>
      <c r="CN86" s="607">
        <f>+CM88</f>
        <v>650</v>
      </c>
      <c r="CO86" s="1237">
        <f>+CN88</f>
        <v>650</v>
      </c>
      <c r="CP86" s="317"/>
      <c r="CQ86" s="1236">
        <f>+CP88</f>
        <v>650</v>
      </c>
      <c r="CR86" s="607">
        <f>+CQ88</f>
        <v>650</v>
      </c>
      <c r="CS86" s="607">
        <f>+CR88</f>
        <v>650</v>
      </c>
      <c r="CT86" s="1237">
        <f>+CS88</f>
        <v>650</v>
      </c>
      <c r="CU86" s="317"/>
      <c r="CV86" s="1236">
        <f>+CU88</f>
        <v>650</v>
      </c>
      <c r="CW86" s="607">
        <f>+CV88</f>
        <v>650</v>
      </c>
      <c r="CX86" s="607">
        <f>+CW88</f>
        <v>650</v>
      </c>
      <c r="CY86" s="1237">
        <f>+CX88</f>
        <v>650</v>
      </c>
      <c r="CZ86" s="317"/>
    </row>
    <row r="87" spans="1:104" ht="13.5" customHeight="1" outlineLevel="1">
      <c r="A87" s="305"/>
      <c r="B87" s="305" t="s">
        <v>181</v>
      </c>
      <c r="C87" s="305"/>
      <c r="D87" s="306"/>
      <c r="E87" s="306"/>
      <c r="F87" s="306"/>
      <c r="G87" s="306"/>
      <c r="H87" s="334"/>
      <c r="I87" s="334"/>
      <c r="J87" s="334"/>
      <c r="K87" s="334"/>
      <c r="L87" s="334"/>
      <c r="M87" s="334"/>
      <c r="N87" s="334"/>
      <c r="O87" s="334"/>
      <c r="P87" s="334"/>
      <c r="Q87" s="334"/>
      <c r="R87" s="334"/>
      <c r="S87" s="334"/>
      <c r="T87" s="334"/>
      <c r="U87" s="334"/>
      <c r="V87" s="334"/>
      <c r="W87" s="334"/>
      <c r="X87" s="334"/>
      <c r="Y87" s="334"/>
      <c r="Z87" s="334"/>
      <c r="AA87" s="334"/>
      <c r="AB87" s="334"/>
      <c r="AC87" s="334"/>
      <c r="AD87" s="334"/>
      <c r="AE87" s="334"/>
      <c r="AF87" s="334"/>
      <c r="AG87" s="334"/>
      <c r="AH87" s="334"/>
      <c r="AI87" s="334"/>
      <c r="AJ87" s="334"/>
      <c r="AK87" s="334"/>
      <c r="AL87" s="334"/>
      <c r="AM87" s="334"/>
      <c r="AN87" s="334"/>
      <c r="AO87" s="334"/>
      <c r="AP87" s="334"/>
      <c r="AQ87" s="606">
        <v>0</v>
      </c>
      <c r="AR87" s="316"/>
      <c r="AS87" s="1238">
        <v>0</v>
      </c>
      <c r="AT87" s="605">
        <v>0</v>
      </c>
      <c r="AU87" s="605">
        <v>0</v>
      </c>
      <c r="AV87" s="1239">
        <v>0</v>
      </c>
      <c r="AW87" s="317"/>
      <c r="AX87" s="1238">
        <v>0</v>
      </c>
      <c r="AY87" s="605">
        <v>0</v>
      </c>
      <c r="AZ87" s="605">
        <v>0</v>
      </c>
      <c r="BA87" s="1239">
        <v>0</v>
      </c>
      <c r="BB87" s="317"/>
      <c r="BC87" s="1238">
        <v>0</v>
      </c>
      <c r="BD87" s="605">
        <v>0</v>
      </c>
      <c r="BE87" s="605">
        <v>0</v>
      </c>
      <c r="BF87" s="1239">
        <v>0</v>
      </c>
      <c r="BG87" s="317"/>
      <c r="BH87" s="1238">
        <v>0</v>
      </c>
      <c r="BI87" s="605">
        <v>0</v>
      </c>
      <c r="BJ87" s="605">
        <v>0</v>
      </c>
      <c r="BK87" s="1239">
        <v>0</v>
      </c>
      <c r="BL87" s="317"/>
      <c r="BM87" s="1238">
        <v>0</v>
      </c>
      <c r="BN87" s="605">
        <v>0</v>
      </c>
      <c r="BO87" s="605">
        <v>0</v>
      </c>
      <c r="BP87" s="1239">
        <v>0</v>
      </c>
      <c r="BQ87" s="317"/>
      <c r="BR87" s="1238">
        <v>0</v>
      </c>
      <c r="BS87" s="605">
        <v>0</v>
      </c>
      <c r="BT87" s="605">
        <v>0</v>
      </c>
      <c r="BU87" s="1239">
        <v>0</v>
      </c>
      <c r="BV87" s="317"/>
      <c r="BW87" s="1238">
        <v>0</v>
      </c>
      <c r="BX87" s="605">
        <v>0</v>
      </c>
      <c r="BY87" s="605">
        <v>0</v>
      </c>
      <c r="BZ87" s="1239">
        <v>0</v>
      </c>
      <c r="CA87" s="317"/>
      <c r="CB87" s="1238">
        <v>0</v>
      </c>
      <c r="CC87" s="605">
        <v>0</v>
      </c>
      <c r="CD87" s="605">
        <v>0</v>
      </c>
      <c r="CE87" s="1239">
        <v>0</v>
      </c>
      <c r="CF87" s="607"/>
      <c r="CG87" s="1238">
        <v>0</v>
      </c>
      <c r="CH87" s="605">
        <v>0</v>
      </c>
      <c r="CI87" s="605">
        <v>0</v>
      </c>
      <c r="CJ87" s="1239">
        <v>0</v>
      </c>
      <c r="CK87" s="607"/>
      <c r="CL87" s="1238">
        <v>0</v>
      </c>
      <c r="CM87" s="605">
        <v>0</v>
      </c>
      <c r="CN87" s="605">
        <v>0</v>
      </c>
      <c r="CO87" s="1239">
        <v>0</v>
      </c>
      <c r="CP87" s="317"/>
      <c r="CQ87" s="1238">
        <v>0</v>
      </c>
      <c r="CR87" s="605">
        <v>0</v>
      </c>
      <c r="CS87" s="605">
        <v>0</v>
      </c>
      <c r="CT87" s="1239">
        <v>0</v>
      </c>
      <c r="CU87" s="317"/>
      <c r="CV87" s="1238">
        <v>0</v>
      </c>
      <c r="CW87" s="605">
        <v>0</v>
      </c>
      <c r="CX87" s="605">
        <v>0</v>
      </c>
      <c r="CY87" s="1239">
        <v>0</v>
      </c>
      <c r="CZ87" s="317"/>
    </row>
    <row r="88" spans="1:104" ht="13.5" customHeight="1" outlineLevel="1">
      <c r="A88" s="305"/>
      <c r="B88" s="305" t="s">
        <v>182</v>
      </c>
      <c r="C88" s="305"/>
      <c r="D88" s="306"/>
      <c r="E88" s="306"/>
      <c r="F88" s="306"/>
      <c r="G88" s="306"/>
      <c r="H88" s="335">
        <v>0</v>
      </c>
      <c r="I88" s="335"/>
      <c r="J88" s="335"/>
      <c r="K88" s="335"/>
      <c r="L88" s="335"/>
      <c r="M88" s="335"/>
      <c r="N88" s="335"/>
      <c r="O88" s="335"/>
      <c r="P88" s="335"/>
      <c r="Q88" s="335"/>
      <c r="R88" s="335"/>
      <c r="S88" s="335"/>
      <c r="T88" s="335"/>
      <c r="U88" s="335"/>
      <c r="V88" s="335"/>
      <c r="W88" s="335"/>
      <c r="X88" s="335"/>
      <c r="Y88" s="335"/>
      <c r="Z88" s="335"/>
      <c r="AA88" s="335"/>
      <c r="AB88" s="335"/>
      <c r="AC88" s="335"/>
      <c r="AD88" s="335"/>
      <c r="AE88" s="335"/>
      <c r="AF88" s="335"/>
      <c r="AG88" s="335"/>
      <c r="AH88" s="335"/>
      <c r="AI88" s="335"/>
      <c r="AJ88" s="335"/>
      <c r="AK88" s="335"/>
      <c r="AL88" s="335"/>
      <c r="AM88" s="335"/>
      <c r="AN88" s="335"/>
      <c r="AO88" s="335"/>
      <c r="AP88" s="335"/>
      <c r="AQ88" s="606">
        <v>650</v>
      </c>
      <c r="AR88" s="316">
        <f>+AQ88</f>
        <v>650</v>
      </c>
      <c r="AS88" s="1236">
        <f>+AS86+AS87</f>
        <v>650</v>
      </c>
      <c r="AT88" s="607">
        <f>+AT86+AT87</f>
        <v>650</v>
      </c>
      <c r="AU88" s="607">
        <f>+AU86+AU87</f>
        <v>650</v>
      </c>
      <c r="AV88" s="1237">
        <f>+AV86+AV87</f>
        <v>650</v>
      </c>
      <c r="AW88" s="607">
        <f>+AV88</f>
        <v>650</v>
      </c>
      <c r="AX88" s="1236">
        <f>+AX86+AX87</f>
        <v>650</v>
      </c>
      <c r="AY88" s="607">
        <f>+AY86+AY87</f>
        <v>650</v>
      </c>
      <c r="AZ88" s="607">
        <f>+AZ86+AZ87</f>
        <v>650</v>
      </c>
      <c r="BA88" s="1237">
        <f>+BA86+BA87</f>
        <v>650</v>
      </c>
      <c r="BB88" s="607">
        <f>+BA88</f>
        <v>650</v>
      </c>
      <c r="BC88" s="1236">
        <f>+BC86+BC87</f>
        <v>650</v>
      </c>
      <c r="BD88" s="607">
        <f>+BD86+BD87</f>
        <v>650</v>
      </c>
      <c r="BE88" s="607">
        <f>+BE86+BE87</f>
        <v>650</v>
      </c>
      <c r="BF88" s="1237">
        <f>+BF86+BF87</f>
        <v>650</v>
      </c>
      <c r="BG88" s="607">
        <f>+BF88</f>
        <v>650</v>
      </c>
      <c r="BH88" s="1236">
        <f>+BH86+BH87</f>
        <v>650</v>
      </c>
      <c r="BI88" s="607">
        <f>+BI86+BI87</f>
        <v>650</v>
      </c>
      <c r="BJ88" s="607">
        <f>+BJ86+BJ87</f>
        <v>650</v>
      </c>
      <c r="BK88" s="1237">
        <f>+BK86+BK87</f>
        <v>650</v>
      </c>
      <c r="BL88" s="607">
        <f>+BK88</f>
        <v>650</v>
      </c>
      <c r="BM88" s="1236">
        <f>+BM86+BM87</f>
        <v>650</v>
      </c>
      <c r="BN88" s="607">
        <f>+BN86+BN87</f>
        <v>650</v>
      </c>
      <c r="BO88" s="607">
        <f>+BO86+BO87</f>
        <v>650</v>
      </c>
      <c r="BP88" s="1237">
        <f>+BP86+BP87</f>
        <v>650</v>
      </c>
      <c r="BQ88" s="607">
        <f>+BP88</f>
        <v>650</v>
      </c>
      <c r="BR88" s="1236">
        <f>+BR86+BR87</f>
        <v>650</v>
      </c>
      <c r="BS88" s="607">
        <f>+BS86+BS87</f>
        <v>650</v>
      </c>
      <c r="BT88" s="607">
        <f>+BT86+BT87</f>
        <v>650</v>
      </c>
      <c r="BU88" s="1237">
        <f>+BU86+BU87</f>
        <v>650</v>
      </c>
      <c r="BV88" s="607">
        <f>+BU88</f>
        <v>650</v>
      </c>
      <c r="BW88" s="1236">
        <f>+BW86+BW87</f>
        <v>650</v>
      </c>
      <c r="BX88" s="607">
        <f>+BX86+BX87</f>
        <v>650</v>
      </c>
      <c r="BY88" s="607">
        <f>+BY86+BY87</f>
        <v>650</v>
      </c>
      <c r="BZ88" s="1237">
        <f>+BZ86+BZ87</f>
        <v>650</v>
      </c>
      <c r="CA88" s="607">
        <f>+BZ88</f>
        <v>650</v>
      </c>
      <c r="CB88" s="1236">
        <f>+CB86+CB87</f>
        <v>650</v>
      </c>
      <c r="CC88" s="607">
        <f>+CC86+CC87</f>
        <v>650</v>
      </c>
      <c r="CD88" s="607">
        <f>+CD86+CD87</f>
        <v>650</v>
      </c>
      <c r="CE88" s="1237">
        <f>+CE86+CE87</f>
        <v>650</v>
      </c>
      <c r="CF88" s="607">
        <f>+CE88</f>
        <v>650</v>
      </c>
      <c r="CG88" s="1281">
        <f>+CG86+CG87</f>
        <v>650</v>
      </c>
      <c r="CH88" s="681">
        <f>+CH86+CH87</f>
        <v>650</v>
      </c>
      <c r="CI88" s="681">
        <f>+CI86+CI87</f>
        <v>650</v>
      </c>
      <c r="CJ88" s="1284">
        <f>+CJ86+CJ87</f>
        <v>650</v>
      </c>
      <c r="CK88" s="607">
        <f>+CJ88</f>
        <v>650</v>
      </c>
      <c r="CL88" s="1236">
        <f>+CL86+CL87</f>
        <v>650</v>
      </c>
      <c r="CM88" s="607">
        <f>+CM86+CM87</f>
        <v>650</v>
      </c>
      <c r="CN88" s="607">
        <f>+CN86+CN87</f>
        <v>650</v>
      </c>
      <c r="CO88" s="1237">
        <f>+CO86+CO87</f>
        <v>650</v>
      </c>
      <c r="CP88" s="607">
        <f>+CO88</f>
        <v>650</v>
      </c>
      <c r="CQ88" s="1236">
        <f>+CQ86+CQ87</f>
        <v>650</v>
      </c>
      <c r="CR88" s="607">
        <f>+CR86+CR87</f>
        <v>650</v>
      </c>
      <c r="CS88" s="607">
        <f>+CS86+CS87</f>
        <v>650</v>
      </c>
      <c r="CT88" s="1237">
        <f>+CT86+CT87</f>
        <v>650</v>
      </c>
      <c r="CU88" s="607">
        <f>+CT88</f>
        <v>650</v>
      </c>
      <c r="CV88" s="1236">
        <f>+CV86+CV87</f>
        <v>650</v>
      </c>
      <c r="CW88" s="607">
        <f>+CW86+CW87</f>
        <v>650</v>
      </c>
      <c r="CX88" s="607">
        <f>+CX86+CX87</f>
        <v>650</v>
      </c>
      <c r="CY88" s="1237">
        <f>+CY86+CY87</f>
        <v>650</v>
      </c>
      <c r="CZ88" s="607">
        <f>+CY88</f>
        <v>650</v>
      </c>
    </row>
    <row r="89" spans="1:104" ht="13.5" customHeight="1" outlineLevel="1">
      <c r="A89" s="305"/>
      <c r="B89" s="305" t="s">
        <v>183</v>
      </c>
      <c r="C89" s="305"/>
      <c r="D89" s="306"/>
      <c r="E89" s="306"/>
      <c r="F89" s="306"/>
      <c r="G89" s="306"/>
      <c r="H89" s="334"/>
      <c r="I89" s="334"/>
      <c r="J89" s="334"/>
      <c r="K89" s="334"/>
      <c r="L89" s="334"/>
      <c r="M89" s="334"/>
      <c r="N89" s="334"/>
      <c r="O89" s="334"/>
      <c r="P89" s="334"/>
      <c r="Q89" s="334"/>
      <c r="R89" s="334"/>
      <c r="S89" s="334"/>
      <c r="T89" s="334"/>
      <c r="U89" s="334"/>
      <c r="V89" s="334"/>
      <c r="W89" s="334"/>
      <c r="X89" s="334"/>
      <c r="Y89" s="334"/>
      <c r="Z89" s="334"/>
      <c r="AA89" s="334"/>
      <c r="AB89" s="334"/>
      <c r="AC89" s="334"/>
      <c r="AD89" s="334"/>
      <c r="AE89" s="334"/>
      <c r="AF89" s="334"/>
      <c r="AG89" s="334"/>
      <c r="AH89" s="334"/>
      <c r="AI89" s="334"/>
      <c r="AJ89" s="334"/>
      <c r="AK89" s="334"/>
      <c r="AL89" s="334"/>
      <c r="AM89" s="334"/>
      <c r="AN89" s="334"/>
      <c r="AO89" s="334"/>
      <c r="AP89" s="334"/>
      <c r="AQ89" s="316"/>
      <c r="AR89" s="316"/>
      <c r="AS89" s="1236">
        <f>+AVERAGE(AS86,AS88)</f>
        <v>650</v>
      </c>
      <c r="AT89" s="607">
        <f>+AVERAGE(AT86,AT88)</f>
        <v>650</v>
      </c>
      <c r="AU89" s="607">
        <f>+AVERAGE(AU86,AU88)</f>
        <v>650</v>
      </c>
      <c r="AV89" s="1237">
        <f>+AVERAGE(AV86,AV88)</f>
        <v>650</v>
      </c>
      <c r="AW89" s="317"/>
      <c r="AX89" s="1236">
        <f>+AVERAGE(AX86,AX88)</f>
        <v>650</v>
      </c>
      <c r="AY89" s="607">
        <f>+AVERAGE(AY86,AY88)</f>
        <v>650</v>
      </c>
      <c r="AZ89" s="607">
        <f>+AVERAGE(AZ86,AZ88)</f>
        <v>650</v>
      </c>
      <c r="BA89" s="1237">
        <f>+AVERAGE(BA86,BA88)</f>
        <v>650</v>
      </c>
      <c r="BB89" s="317"/>
      <c r="BC89" s="1236">
        <f>+AVERAGE(BC86,BC88)</f>
        <v>650</v>
      </c>
      <c r="BD89" s="607">
        <f>+AVERAGE(BD86,BD88)</f>
        <v>650</v>
      </c>
      <c r="BE89" s="607">
        <f>+AVERAGE(BE86,BE88)</f>
        <v>650</v>
      </c>
      <c r="BF89" s="1237">
        <f>+AVERAGE(BF86,BF88)</f>
        <v>650</v>
      </c>
      <c r="BG89" s="317"/>
      <c r="BH89" s="1236">
        <f>+AVERAGE(BH86,BH88)</f>
        <v>650</v>
      </c>
      <c r="BI89" s="607">
        <f>+AVERAGE(BI86,BI88)</f>
        <v>650</v>
      </c>
      <c r="BJ89" s="607">
        <f>+AVERAGE(BJ86,BJ88)</f>
        <v>650</v>
      </c>
      <c r="BK89" s="1237">
        <f>+AVERAGE(BK86,BK88)</f>
        <v>650</v>
      </c>
      <c r="BL89" s="317"/>
      <c r="BM89" s="1236">
        <f>+AVERAGE(BM86,BM88)</f>
        <v>650</v>
      </c>
      <c r="BN89" s="607">
        <f>+AVERAGE(BN86,BN88)</f>
        <v>650</v>
      </c>
      <c r="BO89" s="607">
        <f>+AVERAGE(BO86,BO88)</f>
        <v>650</v>
      </c>
      <c r="BP89" s="1237">
        <f>+AVERAGE(BP86,BP88)</f>
        <v>650</v>
      </c>
      <c r="BQ89" s="317"/>
      <c r="BR89" s="1236">
        <f>+AVERAGE(BR86,BR88)</f>
        <v>650</v>
      </c>
      <c r="BS89" s="607">
        <f>+AVERAGE(BS86,BS88)</f>
        <v>650</v>
      </c>
      <c r="BT89" s="607">
        <f>+AVERAGE(BT86,BT88)</f>
        <v>650</v>
      </c>
      <c r="BU89" s="1237">
        <f>+AVERAGE(BU86,BU88)</f>
        <v>650</v>
      </c>
      <c r="BV89" s="317"/>
      <c r="BW89" s="1236">
        <f>+AVERAGE(BW86,BW88)</f>
        <v>650</v>
      </c>
      <c r="BX89" s="607">
        <f>+AVERAGE(BX86,BX88)</f>
        <v>650</v>
      </c>
      <c r="BY89" s="607">
        <f>+AVERAGE(BY86,BY88)</f>
        <v>650</v>
      </c>
      <c r="BZ89" s="1237">
        <f>+AVERAGE(BZ86,BZ88)</f>
        <v>650</v>
      </c>
      <c r="CA89" s="317"/>
      <c r="CB89" s="1236">
        <f>+AVERAGE(CB86,CB88)</f>
        <v>650</v>
      </c>
      <c r="CC89" s="607">
        <f>+AVERAGE(CC86,CC88)</f>
        <v>650</v>
      </c>
      <c r="CD89" s="607">
        <f>+AVERAGE(CD86,CD88)</f>
        <v>650</v>
      </c>
      <c r="CE89" s="1237">
        <f>+AVERAGE(CE86,CE88)</f>
        <v>650</v>
      </c>
      <c r="CF89" s="607"/>
      <c r="CG89" s="1236">
        <f>+AVERAGE(CG86,CG88)</f>
        <v>650</v>
      </c>
      <c r="CH89" s="607">
        <f>+AVERAGE(CH86,CH88)</f>
        <v>650</v>
      </c>
      <c r="CI89" s="607">
        <f>+AVERAGE(CI86,CI88)</f>
        <v>650</v>
      </c>
      <c r="CJ89" s="1237">
        <f>+AVERAGE(CJ86,CJ88)</f>
        <v>650</v>
      </c>
      <c r="CK89" s="607"/>
      <c r="CL89" s="1236">
        <f>+AVERAGE(CL86,CL88)</f>
        <v>650</v>
      </c>
      <c r="CM89" s="607">
        <f>+AVERAGE(CM86,CM88)</f>
        <v>650</v>
      </c>
      <c r="CN89" s="607">
        <f>+AVERAGE(CN86,CN88)</f>
        <v>650</v>
      </c>
      <c r="CO89" s="1237">
        <f>+AVERAGE(CO86,CO88)</f>
        <v>650</v>
      </c>
      <c r="CP89" s="317"/>
      <c r="CQ89" s="1236">
        <f>+AVERAGE(CQ86,CQ88)</f>
        <v>650</v>
      </c>
      <c r="CR89" s="607">
        <f>+AVERAGE(CR86,CR88)</f>
        <v>650</v>
      </c>
      <c r="CS89" s="607">
        <f>+AVERAGE(CS86,CS88)</f>
        <v>650</v>
      </c>
      <c r="CT89" s="1237">
        <f>+AVERAGE(CT86,CT88)</f>
        <v>650</v>
      </c>
      <c r="CU89" s="317"/>
      <c r="CV89" s="1236">
        <f>+AVERAGE(CV86,CV88)</f>
        <v>650</v>
      </c>
      <c r="CW89" s="607">
        <f>+AVERAGE(CW86,CW88)</f>
        <v>650</v>
      </c>
      <c r="CX89" s="607">
        <f>+AVERAGE(CX86,CX88)</f>
        <v>650</v>
      </c>
      <c r="CY89" s="1237">
        <f>+AVERAGE(CY86,CY88)</f>
        <v>650</v>
      </c>
      <c r="CZ89" s="317"/>
    </row>
    <row r="90" spans="1:104" ht="13.5" customHeight="1" outlineLevel="1">
      <c r="A90" s="305"/>
      <c r="B90" s="305" t="s">
        <v>575</v>
      </c>
      <c r="C90" s="305"/>
      <c r="D90" s="306"/>
      <c r="E90" s="306"/>
      <c r="F90" s="306"/>
      <c r="G90" s="306"/>
      <c r="H90" s="334"/>
      <c r="I90" s="334"/>
      <c r="J90" s="334"/>
      <c r="K90" s="334"/>
      <c r="L90" s="334"/>
      <c r="M90" s="334"/>
      <c r="N90" s="334"/>
      <c r="O90" s="334"/>
      <c r="P90" s="334"/>
      <c r="Q90" s="334"/>
      <c r="R90" s="334"/>
      <c r="S90" s="334"/>
      <c r="T90" s="334"/>
      <c r="U90" s="334"/>
      <c r="V90" s="334"/>
      <c r="W90" s="334"/>
      <c r="X90" s="334"/>
      <c r="Y90" s="334"/>
      <c r="Z90" s="334"/>
      <c r="AA90" s="334"/>
      <c r="AB90" s="334"/>
      <c r="AC90" s="334"/>
      <c r="AD90" s="334"/>
      <c r="AE90" s="334"/>
      <c r="AF90" s="334"/>
      <c r="AG90" s="334"/>
      <c r="AH90" s="334"/>
      <c r="AI90" s="334"/>
      <c r="AJ90" s="334"/>
      <c r="AK90" s="334"/>
      <c r="AL90" s="334"/>
      <c r="AM90" s="334"/>
      <c r="AN90" s="334"/>
      <c r="AO90" s="334"/>
      <c r="AP90" s="334"/>
      <c r="AQ90" s="316"/>
      <c r="AR90" s="316"/>
      <c r="AS90" s="1236">
        <f>+AS89*$G85/4</f>
        <v>10.4</v>
      </c>
      <c r="AT90" s="607">
        <f>+AT89*$G85/4</f>
        <v>10.4</v>
      </c>
      <c r="AU90" s="607">
        <f>+AU89*$G85/4</f>
        <v>10.4</v>
      </c>
      <c r="AV90" s="1237">
        <f>+AV89*$G85/4</f>
        <v>10.4</v>
      </c>
      <c r="AW90" s="317"/>
      <c r="AX90" s="1236">
        <f>+AX89*$G85/4</f>
        <v>10.4</v>
      </c>
      <c r="AY90" s="607">
        <f>+AY89*$G85/4</f>
        <v>10.4</v>
      </c>
      <c r="AZ90" s="607">
        <f>+AZ89*$G85/4</f>
        <v>10.4</v>
      </c>
      <c r="BA90" s="1237">
        <f>+BA89*$G85/4</f>
        <v>10.4</v>
      </c>
      <c r="BB90" s="317"/>
      <c r="BC90" s="1236">
        <f>+BC89*$G85/4</f>
        <v>10.4</v>
      </c>
      <c r="BD90" s="607">
        <f>+BD89*$G85/4</f>
        <v>10.4</v>
      </c>
      <c r="BE90" s="607">
        <f>+BE89*$G85/4</f>
        <v>10.4</v>
      </c>
      <c r="BF90" s="1237">
        <f>+BF89*$G85/4</f>
        <v>10.4</v>
      </c>
      <c r="BG90" s="317"/>
      <c r="BH90" s="1236">
        <f>+BH89*$G85/4</f>
        <v>10.4</v>
      </c>
      <c r="BI90" s="607">
        <f>+BI89*$G85/4</f>
        <v>10.4</v>
      </c>
      <c r="BJ90" s="607">
        <f>+BJ89*$G85/4</f>
        <v>10.4</v>
      </c>
      <c r="BK90" s="1237">
        <f>+BK89*$G85/4</f>
        <v>10.4</v>
      </c>
      <c r="BL90" s="317"/>
      <c r="BM90" s="1236">
        <f>+BM89*$G85/4</f>
        <v>10.4</v>
      </c>
      <c r="BN90" s="607">
        <f>+BN89*$G85/4</f>
        <v>10.4</v>
      </c>
      <c r="BO90" s="607">
        <f>+BO89*$G85/4</f>
        <v>10.4</v>
      </c>
      <c r="BP90" s="1237">
        <f>+BP89*$G85/4</f>
        <v>10.4</v>
      </c>
      <c r="BQ90" s="317"/>
      <c r="BR90" s="1236">
        <f>+BR89*$G85/4</f>
        <v>10.4</v>
      </c>
      <c r="BS90" s="607">
        <f>+BS89*$G85/4</f>
        <v>10.4</v>
      </c>
      <c r="BT90" s="607">
        <f>+BT89*$G85/4</f>
        <v>10.4</v>
      </c>
      <c r="BU90" s="1237">
        <f>+BU89*$G85/4</f>
        <v>10.4</v>
      </c>
      <c r="BV90" s="317"/>
      <c r="BW90" s="1236">
        <f>+BW89*$G85/4</f>
        <v>10.4</v>
      </c>
      <c r="BX90" s="607">
        <f>+BX89*$G85/4</f>
        <v>10.4</v>
      </c>
      <c r="BY90" s="607">
        <f>+BY89*$G85/4</f>
        <v>10.4</v>
      </c>
      <c r="BZ90" s="1237">
        <f>+BZ89*$G85/4</f>
        <v>10.4</v>
      </c>
      <c r="CA90" s="317"/>
      <c r="CB90" s="1236">
        <f>+CB89*$G85/4</f>
        <v>10.4</v>
      </c>
      <c r="CC90" s="607">
        <f>+CC89*$G85/4</f>
        <v>10.4</v>
      </c>
      <c r="CD90" s="607">
        <f>+CD89*$G85/4</f>
        <v>10.4</v>
      </c>
      <c r="CE90" s="1237">
        <f>+CE89*$G85/4</f>
        <v>10.4</v>
      </c>
      <c r="CF90" s="607"/>
      <c r="CG90" s="1236">
        <f>+CG89*$G85/4</f>
        <v>10.4</v>
      </c>
      <c r="CH90" s="607">
        <f>+CH89*$G85/4</f>
        <v>10.4</v>
      </c>
      <c r="CI90" s="607">
        <f>+CI89*$G85/4</f>
        <v>10.4</v>
      </c>
      <c r="CJ90" s="1237">
        <f>+CJ89*$G85/4</f>
        <v>10.4</v>
      </c>
      <c r="CK90" s="607"/>
      <c r="CL90" s="1236">
        <f>+CL89*$G85/4</f>
        <v>10.4</v>
      </c>
      <c r="CM90" s="607">
        <f>+CM89*$G85/4</f>
        <v>10.4</v>
      </c>
      <c r="CN90" s="607">
        <f>+CN89*$G85/4</f>
        <v>10.4</v>
      </c>
      <c r="CO90" s="1237">
        <f>+CO89*$G85/4</f>
        <v>10.4</v>
      </c>
      <c r="CP90" s="317"/>
      <c r="CQ90" s="1236">
        <f>+CQ89*$G85/4</f>
        <v>10.4</v>
      </c>
      <c r="CR90" s="607">
        <f>+CR89*$G85/4</f>
        <v>10.4</v>
      </c>
      <c r="CS90" s="607">
        <f>+CS89*$G85/4</f>
        <v>10.4</v>
      </c>
      <c r="CT90" s="1237">
        <f>+CT89*$G85/4</f>
        <v>10.4</v>
      </c>
      <c r="CU90" s="317"/>
      <c r="CV90" s="1236">
        <f>+CV89*$G85/4</f>
        <v>10.4</v>
      </c>
      <c r="CW90" s="607">
        <f>+CW89*$G85/4</f>
        <v>10.4</v>
      </c>
      <c r="CX90" s="607">
        <f>+CX89*$G85/4</f>
        <v>10.4</v>
      </c>
      <c r="CY90" s="1237">
        <f>+CY89*$G85/4</f>
        <v>10.4</v>
      </c>
      <c r="CZ90" s="317"/>
    </row>
    <row r="91" spans="1:104" ht="13.5" customHeight="1" outlineLevel="1">
      <c r="A91" s="305"/>
      <c r="B91" s="305" t="s">
        <v>184</v>
      </c>
      <c r="C91" s="305"/>
      <c r="D91" s="306"/>
      <c r="E91" s="306"/>
      <c r="F91" s="306"/>
      <c r="G91" s="306"/>
      <c r="H91" s="306"/>
      <c r="I91" s="306"/>
      <c r="J91" s="306"/>
      <c r="K91" s="306"/>
      <c r="L91" s="306"/>
      <c r="M91" s="306"/>
      <c r="N91" s="306"/>
      <c r="O91" s="306"/>
      <c r="P91" s="306"/>
      <c r="Q91" s="306"/>
      <c r="R91" s="306"/>
      <c r="S91" s="306"/>
      <c r="T91" s="306"/>
      <c r="U91" s="306"/>
      <c r="V91" s="306"/>
      <c r="W91" s="306"/>
      <c r="X91" s="306"/>
      <c r="Y91" s="306"/>
      <c r="Z91" s="306"/>
      <c r="AA91" s="306"/>
      <c r="AB91" s="306"/>
      <c r="AC91" s="306"/>
      <c r="AD91" s="306"/>
      <c r="AE91" s="306"/>
      <c r="AF91" s="306"/>
      <c r="AG91" s="306"/>
      <c r="AH91" s="306"/>
      <c r="AI91" s="306"/>
      <c r="AJ91" s="306"/>
      <c r="AK91" s="306"/>
      <c r="AL91" s="306"/>
      <c r="AM91" s="306"/>
      <c r="AN91" s="306"/>
      <c r="AO91" s="306"/>
      <c r="AP91" s="306"/>
      <c r="AQ91" s="316"/>
      <c r="AR91" s="332"/>
      <c r="AS91" s="1240"/>
      <c r="AT91" s="607">
        <f>+AS90+AT90</f>
        <v>20.8</v>
      </c>
      <c r="AU91" s="307"/>
      <c r="AV91" s="1237">
        <f>+AU90+AV90</f>
        <v>20.8</v>
      </c>
      <c r="AW91" s="307"/>
      <c r="AX91" s="1240"/>
      <c r="AY91" s="607">
        <f>+AX90+AY90</f>
        <v>20.8</v>
      </c>
      <c r="AZ91" s="307"/>
      <c r="BA91" s="1237">
        <f>+AZ90+BA90</f>
        <v>20.8</v>
      </c>
      <c r="BB91" s="307"/>
      <c r="BC91" s="1240"/>
      <c r="BD91" s="607">
        <f>+BC90+BD90</f>
        <v>20.8</v>
      </c>
      <c r="BE91" s="307"/>
      <c r="BF91" s="1237">
        <f>+BE90+BF90</f>
        <v>20.8</v>
      </c>
      <c r="BG91" s="307"/>
      <c r="BH91" s="1240"/>
      <c r="BI91" s="607">
        <f>+BH90+BI90</f>
        <v>20.8</v>
      </c>
      <c r="BJ91" s="307"/>
      <c r="BK91" s="1237">
        <f>+BJ90+BK90</f>
        <v>20.8</v>
      </c>
      <c r="BL91" s="307"/>
      <c r="BM91" s="1240"/>
      <c r="BN91" s="607">
        <f>+BM90+BN90</f>
        <v>20.8</v>
      </c>
      <c r="BO91" s="307"/>
      <c r="BP91" s="1237">
        <f>+BO90+BP90</f>
        <v>20.8</v>
      </c>
      <c r="BQ91" s="307"/>
      <c r="BR91" s="1240"/>
      <c r="BS91" s="607">
        <f>+BR90+BS90</f>
        <v>20.8</v>
      </c>
      <c r="BT91" s="307"/>
      <c r="BU91" s="1237">
        <f>+BT90+BU90</f>
        <v>20.8</v>
      </c>
      <c r="BV91" s="307"/>
      <c r="BW91" s="1240"/>
      <c r="BX91" s="607">
        <f>+BW90+BX90</f>
        <v>20.8</v>
      </c>
      <c r="BY91" s="307"/>
      <c r="BZ91" s="1237">
        <f>+BY90+BZ90</f>
        <v>20.8</v>
      </c>
      <c r="CA91" s="307"/>
      <c r="CB91" s="1240"/>
      <c r="CC91" s="607">
        <f>+CB90+CC90</f>
        <v>20.8</v>
      </c>
      <c r="CD91" s="307"/>
      <c r="CE91" s="1237">
        <f>+CD90+CE90</f>
        <v>20.8</v>
      </c>
      <c r="CF91" s="762"/>
      <c r="CG91" s="1280"/>
      <c r="CH91" s="762">
        <f>+CG90+CH90</f>
        <v>20.8</v>
      </c>
      <c r="CI91" s="307"/>
      <c r="CJ91" s="1237">
        <f>+CI90+CJ90</f>
        <v>20.8</v>
      </c>
      <c r="CK91" s="762"/>
      <c r="CL91" s="1240"/>
      <c r="CM91" s="607">
        <f>+CL90+CM90</f>
        <v>20.8</v>
      </c>
      <c r="CN91" s="307"/>
      <c r="CO91" s="1237">
        <f>+CN90+CO90</f>
        <v>20.8</v>
      </c>
      <c r="CP91" s="307"/>
      <c r="CQ91" s="1240"/>
      <c r="CR91" s="607">
        <f>+CQ90+CR90</f>
        <v>20.8</v>
      </c>
      <c r="CS91" s="307"/>
      <c r="CT91" s="1237">
        <f>+CS90+CT90</f>
        <v>20.8</v>
      </c>
      <c r="CU91" s="307"/>
      <c r="CV91" s="1240"/>
      <c r="CW91" s="607">
        <f>+CV90+CW90</f>
        <v>20.8</v>
      </c>
      <c r="CX91" s="307"/>
      <c r="CY91" s="1237">
        <f>+CX90+CY90</f>
        <v>20.8</v>
      </c>
      <c r="CZ91" s="307"/>
    </row>
    <row r="92" spans="1:104" ht="6.2" customHeight="1" outlineLevel="1">
      <c r="A92" s="305"/>
      <c r="B92" s="305"/>
      <c r="C92" s="305"/>
      <c r="D92" s="306"/>
      <c r="E92" s="306"/>
      <c r="F92" s="306"/>
      <c r="G92" s="306"/>
      <c r="H92" s="306"/>
      <c r="I92" s="306"/>
      <c r="J92" s="306"/>
      <c r="K92" s="306"/>
      <c r="L92" s="306"/>
      <c r="M92" s="306"/>
      <c r="N92" s="306"/>
      <c r="O92" s="306"/>
      <c r="P92" s="306"/>
      <c r="Q92" s="306"/>
      <c r="R92" s="306"/>
      <c r="S92" s="306"/>
      <c r="T92" s="306"/>
      <c r="U92" s="306"/>
      <c r="V92" s="306"/>
      <c r="W92" s="306"/>
      <c r="X92" s="306"/>
      <c r="Y92" s="306"/>
      <c r="Z92" s="306"/>
      <c r="AA92" s="306"/>
      <c r="AB92" s="306"/>
      <c r="AC92" s="306"/>
      <c r="AD92" s="306"/>
      <c r="AE92" s="306"/>
      <c r="AF92" s="306"/>
      <c r="AG92" s="306"/>
      <c r="AH92" s="306"/>
      <c r="AI92" s="306"/>
      <c r="AJ92" s="306"/>
      <c r="AK92" s="306"/>
      <c r="AL92" s="306"/>
      <c r="AM92" s="306"/>
      <c r="AN92" s="306"/>
      <c r="AO92" s="306"/>
      <c r="AP92" s="306"/>
      <c r="AQ92" s="332"/>
      <c r="AR92" s="332"/>
      <c r="AS92" s="1240"/>
      <c r="AT92" s="307"/>
      <c r="AU92" s="307"/>
      <c r="AV92" s="1241"/>
      <c r="AW92" s="307"/>
      <c r="AX92" s="1240"/>
      <c r="AY92" s="307"/>
      <c r="AZ92" s="307"/>
      <c r="BA92" s="1241"/>
      <c r="BB92" s="307"/>
      <c r="BC92" s="1240"/>
      <c r="BD92" s="307"/>
      <c r="BE92" s="307"/>
      <c r="BF92" s="1241"/>
      <c r="BG92" s="307"/>
      <c r="BH92" s="1240"/>
      <c r="BI92" s="307"/>
      <c r="BJ92" s="307"/>
      <c r="BK92" s="1241"/>
      <c r="BL92" s="307"/>
      <c r="BM92" s="1240"/>
      <c r="BN92" s="307"/>
      <c r="BO92" s="307"/>
      <c r="BP92" s="1241"/>
      <c r="BQ92" s="307"/>
      <c r="BR92" s="1240"/>
      <c r="BS92" s="307"/>
      <c r="BT92" s="307"/>
      <c r="BU92" s="1241"/>
      <c r="BV92" s="307"/>
      <c r="BW92" s="1240"/>
      <c r="BX92" s="307"/>
      <c r="BY92" s="307"/>
      <c r="BZ92" s="1241"/>
      <c r="CA92" s="307"/>
      <c r="CB92" s="1240"/>
      <c r="CC92" s="307"/>
      <c r="CD92" s="307"/>
      <c r="CE92" s="1275"/>
      <c r="CF92" s="762"/>
      <c r="CG92" s="1280"/>
      <c r="CH92" s="762"/>
      <c r="CI92" s="307"/>
      <c r="CJ92" s="1275"/>
      <c r="CK92" s="762"/>
      <c r="CL92" s="1240"/>
      <c r="CM92" s="307"/>
      <c r="CN92" s="307"/>
      <c r="CO92" s="1241"/>
      <c r="CP92" s="307"/>
      <c r="CQ92" s="1240"/>
      <c r="CR92" s="307"/>
      <c r="CS92" s="307"/>
      <c r="CT92" s="1241"/>
      <c r="CU92" s="307"/>
      <c r="CV92" s="1240"/>
      <c r="CW92" s="307"/>
      <c r="CX92" s="307"/>
      <c r="CY92" s="1241"/>
      <c r="CZ92" s="307"/>
    </row>
    <row r="93" spans="1:104" ht="13.5" customHeight="1" outlineLevel="2">
      <c r="A93" s="315" t="s">
        <v>194</v>
      </c>
      <c r="B93" s="305"/>
      <c r="C93" s="305"/>
      <c r="D93" s="306"/>
      <c r="E93" s="306"/>
      <c r="F93" s="306"/>
      <c r="G93" s="333">
        <v>4.4999999999999998E-2</v>
      </c>
      <c r="H93" s="324">
        <v>44166</v>
      </c>
      <c r="I93" s="306"/>
      <c r="J93" s="306"/>
      <c r="K93" s="306"/>
      <c r="L93" s="306"/>
      <c r="M93" s="306"/>
      <c r="N93" s="306"/>
      <c r="O93" s="306"/>
      <c r="P93" s="306"/>
      <c r="Q93" s="306"/>
      <c r="R93" s="306"/>
      <c r="S93" s="306"/>
      <c r="T93" s="306"/>
      <c r="U93" s="306"/>
      <c r="V93" s="306"/>
      <c r="W93" s="306"/>
      <c r="X93" s="306"/>
      <c r="Y93" s="306"/>
      <c r="Z93" s="306"/>
      <c r="AA93" s="306"/>
      <c r="AB93" s="306"/>
      <c r="AC93" s="306"/>
      <c r="AD93" s="306"/>
      <c r="AE93" s="306"/>
      <c r="AF93" s="306"/>
      <c r="AG93" s="306"/>
      <c r="AH93" s="306"/>
      <c r="AI93" s="306"/>
      <c r="AJ93" s="306"/>
      <c r="AK93" s="306"/>
      <c r="AL93" s="306"/>
      <c r="AM93" s="306"/>
      <c r="AN93" s="306"/>
      <c r="AO93" s="306"/>
      <c r="AP93" s="306"/>
      <c r="AQ93" s="332"/>
      <c r="AR93" s="332"/>
      <c r="AS93" s="1240"/>
      <c r="AT93" s="307"/>
      <c r="AU93" s="307"/>
      <c r="AV93" s="1241"/>
      <c r="AW93" s="307"/>
      <c r="AX93" s="1240"/>
      <c r="AY93" s="307"/>
      <c r="AZ93" s="307"/>
      <c r="BA93" s="1241"/>
      <c r="BB93" s="307"/>
      <c r="BC93" s="1240"/>
      <c r="BD93" s="307"/>
      <c r="BE93" s="307"/>
      <c r="BF93" s="1241"/>
      <c r="BG93" s="307"/>
      <c r="BH93" s="1240"/>
      <c r="BI93" s="307"/>
      <c r="BJ93" s="307"/>
      <c r="BK93" s="1241"/>
      <c r="BL93" s="307"/>
      <c r="BM93" s="1240"/>
      <c r="BN93" s="307"/>
      <c r="BO93" s="307"/>
      <c r="BP93" s="1241"/>
      <c r="BQ93" s="307"/>
      <c r="BR93" s="1240"/>
      <c r="BS93" s="307"/>
      <c r="BT93" s="307"/>
      <c r="BU93" s="1241"/>
      <c r="BV93" s="307"/>
      <c r="BW93" s="1240"/>
      <c r="BX93" s="307"/>
      <c r="BY93" s="307"/>
      <c r="BZ93" s="1241"/>
      <c r="CA93" s="307"/>
      <c r="CB93" s="1240"/>
      <c r="CC93" s="307"/>
      <c r="CD93" s="307"/>
      <c r="CE93" s="1275"/>
      <c r="CF93" s="762"/>
      <c r="CG93" s="1280"/>
      <c r="CH93" s="762"/>
      <c r="CI93" s="307"/>
      <c r="CJ93" s="1275"/>
      <c r="CK93" s="762"/>
      <c r="CL93" s="1240"/>
      <c r="CM93" s="307"/>
      <c r="CN93" s="307"/>
      <c r="CO93" s="1241"/>
      <c r="CP93" s="307"/>
      <c r="CQ93" s="1240"/>
      <c r="CR93" s="307"/>
      <c r="CS93" s="307"/>
      <c r="CT93" s="1241"/>
      <c r="CU93" s="307"/>
      <c r="CV93" s="1240"/>
      <c r="CW93" s="307"/>
      <c r="CX93" s="307"/>
      <c r="CY93" s="1241"/>
      <c r="CZ93" s="307"/>
    </row>
    <row r="94" spans="1:104" ht="13.5" customHeight="1" outlineLevel="2">
      <c r="A94" s="305"/>
      <c r="B94" s="305" t="s">
        <v>179</v>
      </c>
      <c r="C94" s="305"/>
      <c r="D94" s="306"/>
      <c r="E94" s="306"/>
      <c r="F94" s="306"/>
      <c r="G94" s="306"/>
      <c r="H94" s="334"/>
      <c r="I94" s="334"/>
      <c r="J94" s="334"/>
      <c r="K94" s="334"/>
      <c r="L94" s="334"/>
      <c r="M94" s="334"/>
      <c r="N94" s="334"/>
      <c r="O94" s="334"/>
      <c r="P94" s="334"/>
      <c r="Q94" s="334"/>
      <c r="R94" s="334"/>
      <c r="S94" s="334"/>
      <c r="T94" s="334"/>
      <c r="U94" s="334"/>
      <c r="V94" s="334"/>
      <c r="W94" s="334"/>
      <c r="X94" s="334"/>
      <c r="Y94" s="334"/>
      <c r="Z94" s="334"/>
      <c r="AA94" s="334"/>
      <c r="AB94" s="334"/>
      <c r="AC94" s="334"/>
      <c r="AD94" s="334"/>
      <c r="AE94" s="334"/>
      <c r="AF94" s="334"/>
      <c r="AG94" s="334"/>
      <c r="AH94" s="334"/>
      <c r="AI94" s="334"/>
      <c r="AJ94" s="334"/>
      <c r="AK94" s="334"/>
      <c r="AL94" s="334"/>
      <c r="AM94" s="334"/>
      <c r="AN94" s="334"/>
      <c r="AO94" s="334"/>
      <c r="AP94" s="334"/>
      <c r="AQ94" s="316"/>
      <c r="AR94" s="316"/>
      <c r="AS94" s="1236">
        <f>+AR96</f>
        <v>0</v>
      </c>
      <c r="AT94" s="607">
        <f>+AS96</f>
        <v>0</v>
      </c>
      <c r="AU94" s="607">
        <f>+AT96</f>
        <v>0</v>
      </c>
      <c r="AV94" s="1237">
        <f>+AU96</f>
        <v>0</v>
      </c>
      <c r="AW94" s="317"/>
      <c r="AX94" s="1236">
        <f>+AW96</f>
        <v>0</v>
      </c>
      <c r="AY94" s="607">
        <f>+AX96</f>
        <v>0</v>
      </c>
      <c r="AZ94" s="607">
        <f>+AY96</f>
        <v>0</v>
      </c>
      <c r="BA94" s="1237">
        <f>+AZ96</f>
        <v>0</v>
      </c>
      <c r="BB94" s="317"/>
      <c r="BC94" s="1236">
        <f>+BB96</f>
        <v>0</v>
      </c>
      <c r="BD94" s="607">
        <f>+BC96</f>
        <v>0</v>
      </c>
      <c r="BE94" s="607">
        <f>+BD96</f>
        <v>0</v>
      </c>
      <c r="BF94" s="1237">
        <f>+BE96</f>
        <v>0</v>
      </c>
      <c r="BG94" s="317"/>
      <c r="BH94" s="1236">
        <f>+BG96</f>
        <v>0</v>
      </c>
      <c r="BI94" s="607">
        <f>+BH96</f>
        <v>0</v>
      </c>
      <c r="BJ94" s="607">
        <f>+BI96</f>
        <v>0</v>
      </c>
      <c r="BK94" s="1237">
        <f>+BJ96</f>
        <v>0</v>
      </c>
      <c r="BL94" s="317"/>
      <c r="BM94" s="1236">
        <f>+BL96</f>
        <v>0</v>
      </c>
      <c r="BN94" s="607">
        <f>+BM96</f>
        <v>0</v>
      </c>
      <c r="BO94" s="607">
        <f>+BN96</f>
        <v>0</v>
      </c>
      <c r="BP94" s="1237">
        <f>+BO96</f>
        <v>0</v>
      </c>
      <c r="BQ94" s="317"/>
      <c r="BR94" s="1236">
        <f>+BQ96</f>
        <v>0</v>
      </c>
      <c r="BS94" s="607">
        <f>+BR96</f>
        <v>0</v>
      </c>
      <c r="BT94" s="607">
        <f>+BS96</f>
        <v>0</v>
      </c>
      <c r="BU94" s="1237">
        <f>+BT96</f>
        <v>0</v>
      </c>
      <c r="BV94" s="317"/>
      <c r="BW94" s="1236">
        <f>+BV96</f>
        <v>0</v>
      </c>
      <c r="BX94" s="607">
        <f>+BW96</f>
        <v>0</v>
      </c>
      <c r="BY94" s="607">
        <f>+BX96</f>
        <v>0</v>
      </c>
      <c r="BZ94" s="1237">
        <f>+BY96</f>
        <v>0</v>
      </c>
      <c r="CA94" s="317"/>
      <c r="CB94" s="1236">
        <f>+CA96</f>
        <v>0</v>
      </c>
      <c r="CC94" s="607">
        <f>+CB96</f>
        <v>0</v>
      </c>
      <c r="CD94" s="607">
        <f>+CC96</f>
        <v>0</v>
      </c>
      <c r="CE94" s="1237">
        <f>+CD96</f>
        <v>0</v>
      </c>
      <c r="CF94" s="607"/>
      <c r="CG94" s="1236">
        <f>+CF96</f>
        <v>0</v>
      </c>
      <c r="CH94" s="607">
        <f>+CG96</f>
        <v>0</v>
      </c>
      <c r="CI94" s="607">
        <f>+CH96</f>
        <v>0</v>
      </c>
      <c r="CJ94" s="1237">
        <f>+CI96</f>
        <v>0</v>
      </c>
      <c r="CK94" s="607"/>
      <c r="CL94" s="1236">
        <f>+CK96</f>
        <v>0</v>
      </c>
      <c r="CM94" s="607">
        <f>+CL96</f>
        <v>0</v>
      </c>
      <c r="CN94" s="607">
        <f>+CM96</f>
        <v>0</v>
      </c>
      <c r="CO94" s="1237">
        <f>+CN96</f>
        <v>0</v>
      </c>
      <c r="CP94" s="317"/>
      <c r="CQ94" s="1236">
        <f>+CP96</f>
        <v>0</v>
      </c>
      <c r="CR94" s="607">
        <f>+CQ96</f>
        <v>0</v>
      </c>
      <c r="CS94" s="607">
        <f>+CR96</f>
        <v>0</v>
      </c>
      <c r="CT94" s="1237">
        <f>+CS96</f>
        <v>0</v>
      </c>
      <c r="CU94" s="317"/>
      <c r="CV94" s="1236">
        <f>+CU96</f>
        <v>0</v>
      </c>
      <c r="CW94" s="607">
        <f>+CV96</f>
        <v>0</v>
      </c>
      <c r="CX94" s="607">
        <f>+CW96</f>
        <v>0</v>
      </c>
      <c r="CY94" s="1237">
        <f>+CX96</f>
        <v>0</v>
      </c>
      <c r="CZ94" s="317"/>
    </row>
    <row r="95" spans="1:104" ht="13.5" customHeight="1" outlineLevel="2">
      <c r="A95" s="305"/>
      <c r="B95" s="305" t="s">
        <v>181</v>
      </c>
      <c r="C95" s="305"/>
      <c r="D95" s="306"/>
      <c r="E95" s="306"/>
      <c r="F95" s="306"/>
      <c r="G95" s="306"/>
      <c r="H95" s="334"/>
      <c r="I95" s="334"/>
      <c r="J95" s="334"/>
      <c r="K95" s="334"/>
      <c r="L95" s="334"/>
      <c r="M95" s="334"/>
      <c r="N95" s="334"/>
      <c r="O95" s="334"/>
      <c r="P95" s="334"/>
      <c r="Q95" s="334"/>
      <c r="R95" s="334"/>
      <c r="S95" s="334"/>
      <c r="T95" s="334"/>
      <c r="U95" s="334"/>
      <c r="V95" s="334"/>
      <c r="W95" s="334"/>
      <c r="X95" s="334"/>
      <c r="Y95" s="334"/>
      <c r="Z95" s="334"/>
      <c r="AA95" s="334"/>
      <c r="AB95" s="334"/>
      <c r="AC95" s="334"/>
      <c r="AD95" s="334"/>
      <c r="AE95" s="334"/>
      <c r="AF95" s="334"/>
      <c r="AG95" s="334"/>
      <c r="AH95" s="334"/>
      <c r="AI95" s="334"/>
      <c r="AJ95" s="334"/>
      <c r="AK95" s="334"/>
      <c r="AL95" s="334"/>
      <c r="AM95" s="334"/>
      <c r="AN95" s="334"/>
      <c r="AO95" s="334"/>
      <c r="AP95" s="334"/>
      <c r="AQ95" s="606">
        <v>0</v>
      </c>
      <c r="AR95" s="316"/>
      <c r="AS95" s="1238">
        <v>0</v>
      </c>
      <c r="AT95" s="605">
        <v>0</v>
      </c>
      <c r="AU95" s="605">
        <v>0</v>
      </c>
      <c r="AV95" s="1239">
        <v>0</v>
      </c>
      <c r="AW95" s="317"/>
      <c r="AX95" s="1238">
        <v>0</v>
      </c>
      <c r="AY95" s="605">
        <v>0</v>
      </c>
      <c r="AZ95" s="605">
        <v>0</v>
      </c>
      <c r="BA95" s="1239">
        <v>0</v>
      </c>
      <c r="BB95" s="317"/>
      <c r="BC95" s="1238">
        <v>0</v>
      </c>
      <c r="BD95" s="605">
        <v>0</v>
      </c>
      <c r="BE95" s="605">
        <v>0</v>
      </c>
      <c r="BF95" s="1239">
        <v>0</v>
      </c>
      <c r="BG95" s="317"/>
      <c r="BH95" s="1238">
        <v>0</v>
      </c>
      <c r="BI95" s="605">
        <v>0</v>
      </c>
      <c r="BJ95" s="605">
        <v>0</v>
      </c>
      <c r="BK95" s="1239">
        <v>0</v>
      </c>
      <c r="BL95" s="317"/>
      <c r="BM95" s="1238">
        <v>0</v>
      </c>
      <c r="BN95" s="605">
        <v>0</v>
      </c>
      <c r="BO95" s="605">
        <v>0</v>
      </c>
      <c r="BP95" s="1239">
        <v>0</v>
      </c>
      <c r="BQ95" s="317"/>
      <c r="BR95" s="1238">
        <v>0</v>
      </c>
      <c r="BS95" s="605">
        <v>0</v>
      </c>
      <c r="BT95" s="605">
        <v>0</v>
      </c>
      <c r="BU95" s="1239">
        <v>0</v>
      </c>
      <c r="BV95" s="317"/>
      <c r="BW95" s="1238">
        <v>0</v>
      </c>
      <c r="BX95" s="605">
        <v>0</v>
      </c>
      <c r="BY95" s="605">
        <v>0</v>
      </c>
      <c r="BZ95" s="1239">
        <v>0</v>
      </c>
      <c r="CA95" s="317"/>
      <c r="CB95" s="1238">
        <v>0</v>
      </c>
      <c r="CC95" s="605">
        <v>0</v>
      </c>
      <c r="CD95" s="605">
        <v>0</v>
      </c>
      <c r="CE95" s="1239">
        <v>0</v>
      </c>
      <c r="CF95" s="607"/>
      <c r="CG95" s="1238">
        <v>0</v>
      </c>
      <c r="CH95" s="605">
        <v>0</v>
      </c>
      <c r="CI95" s="605">
        <v>0</v>
      </c>
      <c r="CJ95" s="1239">
        <v>0</v>
      </c>
      <c r="CK95" s="607"/>
      <c r="CL95" s="1238">
        <v>0</v>
      </c>
      <c r="CM95" s="605">
        <v>0</v>
      </c>
      <c r="CN95" s="605">
        <v>0</v>
      </c>
      <c r="CO95" s="1239">
        <v>0</v>
      </c>
      <c r="CP95" s="317"/>
      <c r="CQ95" s="1238">
        <v>0</v>
      </c>
      <c r="CR95" s="605">
        <v>0</v>
      </c>
      <c r="CS95" s="605">
        <v>0</v>
      </c>
      <c r="CT95" s="1239">
        <v>0</v>
      </c>
      <c r="CU95" s="317"/>
      <c r="CV95" s="1238">
        <v>0</v>
      </c>
      <c r="CW95" s="605">
        <v>0</v>
      </c>
      <c r="CX95" s="605">
        <v>0</v>
      </c>
      <c r="CY95" s="1239">
        <v>0</v>
      </c>
      <c r="CZ95" s="317"/>
    </row>
    <row r="96" spans="1:104" ht="13.5" customHeight="1" outlineLevel="2">
      <c r="A96" s="305"/>
      <c r="B96" s="305" t="s">
        <v>182</v>
      </c>
      <c r="C96" s="305"/>
      <c r="D96" s="306"/>
      <c r="E96" s="306"/>
      <c r="F96" s="306"/>
      <c r="G96" s="306"/>
      <c r="H96" s="335">
        <v>0</v>
      </c>
      <c r="I96" s="335"/>
      <c r="J96" s="335"/>
      <c r="K96" s="335"/>
      <c r="L96" s="335"/>
      <c r="M96" s="335"/>
      <c r="N96" s="335"/>
      <c r="O96" s="335"/>
      <c r="P96" s="335"/>
      <c r="Q96" s="335"/>
      <c r="R96" s="335"/>
      <c r="S96" s="335"/>
      <c r="T96" s="335"/>
      <c r="U96" s="335"/>
      <c r="V96" s="335"/>
      <c r="W96" s="335"/>
      <c r="X96" s="335"/>
      <c r="Y96" s="335"/>
      <c r="Z96" s="335"/>
      <c r="AA96" s="335"/>
      <c r="AB96" s="335"/>
      <c r="AC96" s="335"/>
      <c r="AD96" s="335"/>
      <c r="AE96" s="335"/>
      <c r="AF96" s="335"/>
      <c r="AG96" s="335"/>
      <c r="AH96" s="335"/>
      <c r="AI96" s="335"/>
      <c r="AJ96" s="335"/>
      <c r="AK96" s="335"/>
      <c r="AL96" s="335"/>
      <c r="AM96" s="335"/>
      <c r="AN96" s="335"/>
      <c r="AO96" s="335"/>
      <c r="AP96" s="335"/>
      <c r="AQ96" s="606">
        <v>0</v>
      </c>
      <c r="AR96" s="316">
        <f>+AQ96</f>
        <v>0</v>
      </c>
      <c r="AS96" s="1236">
        <f>+AS94+AS95</f>
        <v>0</v>
      </c>
      <c r="AT96" s="607">
        <f>+AT94+AT95</f>
        <v>0</v>
      </c>
      <c r="AU96" s="607">
        <f>+AU94+AU95</f>
        <v>0</v>
      </c>
      <c r="AV96" s="1237">
        <f>+AV94+AV95</f>
        <v>0</v>
      </c>
      <c r="AW96" s="607">
        <f>+AV96</f>
        <v>0</v>
      </c>
      <c r="AX96" s="1236">
        <f>+AX94+AX95</f>
        <v>0</v>
      </c>
      <c r="AY96" s="607">
        <f>+AY94+AY95</f>
        <v>0</v>
      </c>
      <c r="AZ96" s="607">
        <f>+AZ94+AZ95</f>
        <v>0</v>
      </c>
      <c r="BA96" s="1239">
        <v>0</v>
      </c>
      <c r="BB96" s="607">
        <f>+BA96</f>
        <v>0</v>
      </c>
      <c r="BC96" s="1236">
        <f>+BC94+BC95</f>
        <v>0</v>
      </c>
      <c r="BD96" s="607">
        <f>+BD94+BD95</f>
        <v>0</v>
      </c>
      <c r="BE96" s="607">
        <f>+BE94+BE95</f>
        <v>0</v>
      </c>
      <c r="BF96" s="1237">
        <f>+BF94+BF95</f>
        <v>0</v>
      </c>
      <c r="BG96" s="607">
        <f>+BF96</f>
        <v>0</v>
      </c>
      <c r="BH96" s="1236">
        <f>+BH94+BH95</f>
        <v>0</v>
      </c>
      <c r="BI96" s="607">
        <f>+BI94+BI95</f>
        <v>0</v>
      </c>
      <c r="BJ96" s="607">
        <f>+BJ94+BJ95</f>
        <v>0</v>
      </c>
      <c r="BK96" s="1237">
        <f>+BK94+BK95</f>
        <v>0</v>
      </c>
      <c r="BL96" s="607">
        <f>+BK96</f>
        <v>0</v>
      </c>
      <c r="BM96" s="1236">
        <f>+BM94+BM95</f>
        <v>0</v>
      </c>
      <c r="BN96" s="607">
        <f>+BN94+BN95</f>
        <v>0</v>
      </c>
      <c r="BO96" s="607">
        <f>+BO94+BO95</f>
        <v>0</v>
      </c>
      <c r="BP96" s="1237">
        <f>+BP94+BP95</f>
        <v>0</v>
      </c>
      <c r="BQ96" s="607">
        <f>+BP96</f>
        <v>0</v>
      </c>
      <c r="BR96" s="1236">
        <f>+BR94+BR95</f>
        <v>0</v>
      </c>
      <c r="BS96" s="607">
        <f>+BS94+BS95</f>
        <v>0</v>
      </c>
      <c r="BT96" s="607">
        <f>+BT94+BT95</f>
        <v>0</v>
      </c>
      <c r="BU96" s="1237">
        <f>+BU94+BU95</f>
        <v>0</v>
      </c>
      <c r="BV96" s="607">
        <f>+BU96</f>
        <v>0</v>
      </c>
      <c r="BW96" s="1236">
        <f>+BW94+BW95</f>
        <v>0</v>
      </c>
      <c r="BX96" s="607">
        <f>+BX94+BX95</f>
        <v>0</v>
      </c>
      <c r="BY96" s="607">
        <f>+BY94+BY95</f>
        <v>0</v>
      </c>
      <c r="BZ96" s="1237">
        <f>+BZ94+BZ95</f>
        <v>0</v>
      </c>
      <c r="CA96" s="607">
        <f>+BZ96</f>
        <v>0</v>
      </c>
      <c r="CB96" s="1236">
        <f>+CB94+CB95</f>
        <v>0</v>
      </c>
      <c r="CC96" s="607">
        <f>+CC94+CC95</f>
        <v>0</v>
      </c>
      <c r="CD96" s="607">
        <f>+CD94+CD95</f>
        <v>0</v>
      </c>
      <c r="CE96" s="1237">
        <f>+CE94+CE95</f>
        <v>0</v>
      </c>
      <c r="CF96" s="607">
        <f>+CE96</f>
        <v>0</v>
      </c>
      <c r="CG96" s="1236">
        <f>+CG94+CG95</f>
        <v>0</v>
      </c>
      <c r="CH96" s="607">
        <f>+CH94+CH95</f>
        <v>0</v>
      </c>
      <c r="CI96" s="607">
        <f>+CI94+CI95</f>
        <v>0</v>
      </c>
      <c r="CJ96" s="1237">
        <f>+CJ94+CJ95</f>
        <v>0</v>
      </c>
      <c r="CK96" s="607">
        <f>+CJ96</f>
        <v>0</v>
      </c>
      <c r="CL96" s="1236">
        <f>+CL94+CL95</f>
        <v>0</v>
      </c>
      <c r="CM96" s="607">
        <f>+CM94+CM95</f>
        <v>0</v>
      </c>
      <c r="CN96" s="607">
        <f>+CN94+CN95</f>
        <v>0</v>
      </c>
      <c r="CO96" s="1237">
        <f>+CO94+CO95</f>
        <v>0</v>
      </c>
      <c r="CP96" s="607">
        <f>+CO96</f>
        <v>0</v>
      </c>
      <c r="CQ96" s="1236">
        <f>+CQ94+CQ95</f>
        <v>0</v>
      </c>
      <c r="CR96" s="607">
        <f>+CR94+CR95</f>
        <v>0</v>
      </c>
      <c r="CS96" s="607">
        <f>+CS94+CS95</f>
        <v>0</v>
      </c>
      <c r="CT96" s="1237">
        <f>+CT94+CT95</f>
        <v>0</v>
      </c>
      <c r="CU96" s="607">
        <f>+CT96</f>
        <v>0</v>
      </c>
      <c r="CV96" s="1236">
        <f>+CV94+CV95</f>
        <v>0</v>
      </c>
      <c r="CW96" s="607">
        <f>+CW94+CW95</f>
        <v>0</v>
      </c>
      <c r="CX96" s="607">
        <f>+CX94+CX95</f>
        <v>0</v>
      </c>
      <c r="CY96" s="1237">
        <f>+CY94+CY95</f>
        <v>0</v>
      </c>
      <c r="CZ96" s="607">
        <f>+CY96</f>
        <v>0</v>
      </c>
    </row>
    <row r="97" spans="1:104" ht="13.5" customHeight="1" outlineLevel="2">
      <c r="A97" s="305"/>
      <c r="B97" s="305" t="s">
        <v>183</v>
      </c>
      <c r="C97" s="305"/>
      <c r="D97" s="306"/>
      <c r="E97" s="306"/>
      <c r="F97" s="306"/>
      <c r="G97" s="306"/>
      <c r="H97" s="334"/>
      <c r="I97" s="334"/>
      <c r="J97" s="334"/>
      <c r="K97" s="334"/>
      <c r="L97" s="334"/>
      <c r="M97" s="334"/>
      <c r="N97" s="334"/>
      <c r="O97" s="334"/>
      <c r="P97" s="334"/>
      <c r="Q97" s="334"/>
      <c r="R97" s="334"/>
      <c r="S97" s="334"/>
      <c r="T97" s="334"/>
      <c r="U97" s="334"/>
      <c r="V97" s="334"/>
      <c r="W97" s="334"/>
      <c r="X97" s="334"/>
      <c r="Y97" s="334"/>
      <c r="Z97" s="334"/>
      <c r="AA97" s="334"/>
      <c r="AB97" s="334"/>
      <c r="AC97" s="334"/>
      <c r="AD97" s="334"/>
      <c r="AE97" s="334"/>
      <c r="AF97" s="334"/>
      <c r="AG97" s="334"/>
      <c r="AH97" s="334"/>
      <c r="AI97" s="334"/>
      <c r="AJ97" s="334"/>
      <c r="AK97" s="334"/>
      <c r="AL97" s="334"/>
      <c r="AM97" s="334"/>
      <c r="AN97" s="334"/>
      <c r="AO97" s="334"/>
      <c r="AP97" s="334"/>
      <c r="AQ97" s="316"/>
      <c r="AR97" s="316"/>
      <c r="AS97" s="1236">
        <f>+AVERAGE(AS94,AS96)</f>
        <v>0</v>
      </c>
      <c r="AT97" s="607">
        <f>+AVERAGE(AT94,AT96)</f>
        <v>0</v>
      </c>
      <c r="AU97" s="607">
        <f>+AVERAGE(AU94,AU96)</f>
        <v>0</v>
      </c>
      <c r="AV97" s="1237">
        <f>+AVERAGE(AV94,AV96)</f>
        <v>0</v>
      </c>
      <c r="AW97" s="317"/>
      <c r="AX97" s="1236">
        <f>+AVERAGE(AX94,AX96)</f>
        <v>0</v>
      </c>
      <c r="AY97" s="607">
        <f>+AVERAGE(AY94,AY96)</f>
        <v>0</v>
      </c>
      <c r="AZ97" s="607">
        <f>+AVERAGE(AZ94,AZ96)</f>
        <v>0</v>
      </c>
      <c r="BA97" s="1237">
        <f>+AVERAGE(BA94,BA96)</f>
        <v>0</v>
      </c>
      <c r="BB97" s="317"/>
      <c r="BC97" s="1236">
        <f>+AVERAGE(BC94,BC96)</f>
        <v>0</v>
      </c>
      <c r="BD97" s="607">
        <f>+AVERAGE(BD94,BD96)</f>
        <v>0</v>
      </c>
      <c r="BE97" s="607">
        <f>+AVERAGE(BE94,BE96)</f>
        <v>0</v>
      </c>
      <c r="BF97" s="1237">
        <f>+AVERAGE(BF94,BF96)</f>
        <v>0</v>
      </c>
      <c r="BG97" s="317"/>
      <c r="BH97" s="1236">
        <f>+AVERAGE(BH94,BH96)</f>
        <v>0</v>
      </c>
      <c r="BI97" s="607">
        <f>+AVERAGE(BI94,BI96)</f>
        <v>0</v>
      </c>
      <c r="BJ97" s="607">
        <f>+AVERAGE(BJ94,BJ96)</f>
        <v>0</v>
      </c>
      <c r="BK97" s="1237">
        <f>+AVERAGE(BK94,BK96)</f>
        <v>0</v>
      </c>
      <c r="BL97" s="317"/>
      <c r="BM97" s="1236">
        <f>+AVERAGE(BM94,BM96)</f>
        <v>0</v>
      </c>
      <c r="BN97" s="607">
        <f>+AVERAGE(BN94,BN96)</f>
        <v>0</v>
      </c>
      <c r="BO97" s="607">
        <f>+AVERAGE(BO94,BO96)</f>
        <v>0</v>
      </c>
      <c r="BP97" s="1237">
        <f>+AVERAGE(BP94,BP96)</f>
        <v>0</v>
      </c>
      <c r="BQ97" s="317"/>
      <c r="BR97" s="1236">
        <f>+AVERAGE(BR94,BR96)</f>
        <v>0</v>
      </c>
      <c r="BS97" s="607">
        <f>+AVERAGE(BS94,BS96)</f>
        <v>0</v>
      </c>
      <c r="BT97" s="607">
        <f>+AVERAGE(BT94,BT96)</f>
        <v>0</v>
      </c>
      <c r="BU97" s="1237">
        <f>+AVERAGE(BU94,BU96)</f>
        <v>0</v>
      </c>
      <c r="BV97" s="317"/>
      <c r="BW97" s="1236">
        <f>+AVERAGE(BW94,BW96)</f>
        <v>0</v>
      </c>
      <c r="BX97" s="607">
        <f>+AVERAGE(BX94,BX96)</f>
        <v>0</v>
      </c>
      <c r="BY97" s="607">
        <f>+AVERAGE(BY94,BY96)</f>
        <v>0</v>
      </c>
      <c r="BZ97" s="1237">
        <f>+AVERAGE(BZ94,BZ96)</f>
        <v>0</v>
      </c>
      <c r="CA97" s="317"/>
      <c r="CB97" s="1236">
        <f>+AVERAGE(CB94,CB96)</f>
        <v>0</v>
      </c>
      <c r="CC97" s="607">
        <f>+AVERAGE(CC94,CC96)</f>
        <v>0</v>
      </c>
      <c r="CD97" s="607">
        <f>+AVERAGE(CD94,CD96)</f>
        <v>0</v>
      </c>
      <c r="CE97" s="1237">
        <f>+AVERAGE(CE94,CE96)</f>
        <v>0</v>
      </c>
      <c r="CF97" s="607"/>
      <c r="CG97" s="1236">
        <f>+AVERAGE(CG94,CG96)</f>
        <v>0</v>
      </c>
      <c r="CH97" s="607">
        <f>+AVERAGE(CH94,CH96)</f>
        <v>0</v>
      </c>
      <c r="CI97" s="607">
        <f>+AVERAGE(CI94,CI96)</f>
        <v>0</v>
      </c>
      <c r="CJ97" s="1237">
        <f>+AVERAGE(CJ94,CJ96)</f>
        <v>0</v>
      </c>
      <c r="CK97" s="607"/>
      <c r="CL97" s="1236">
        <f>+AVERAGE(CL94,CL96)</f>
        <v>0</v>
      </c>
      <c r="CM97" s="607">
        <f>+AVERAGE(CM94,CM96)</f>
        <v>0</v>
      </c>
      <c r="CN97" s="607">
        <f>+AVERAGE(CN94,CN96)</f>
        <v>0</v>
      </c>
      <c r="CO97" s="1237">
        <f>+AVERAGE(CO94,CO96)</f>
        <v>0</v>
      </c>
      <c r="CP97" s="317"/>
      <c r="CQ97" s="1236">
        <f>+AVERAGE(CQ94,CQ96)</f>
        <v>0</v>
      </c>
      <c r="CR97" s="607">
        <f>+AVERAGE(CR94,CR96)</f>
        <v>0</v>
      </c>
      <c r="CS97" s="607">
        <f>+AVERAGE(CS94,CS96)</f>
        <v>0</v>
      </c>
      <c r="CT97" s="1237">
        <f>+AVERAGE(CT94,CT96)</f>
        <v>0</v>
      </c>
      <c r="CU97" s="317"/>
      <c r="CV97" s="1236">
        <f>+AVERAGE(CV94,CV96)</f>
        <v>0</v>
      </c>
      <c r="CW97" s="607">
        <f>+AVERAGE(CW94,CW96)</f>
        <v>0</v>
      </c>
      <c r="CX97" s="607">
        <f>+AVERAGE(CX94,CX96)</f>
        <v>0</v>
      </c>
      <c r="CY97" s="1237">
        <f>+AVERAGE(CY94,CY96)</f>
        <v>0</v>
      </c>
      <c r="CZ97" s="317"/>
    </row>
    <row r="98" spans="1:104" ht="13.5" customHeight="1" outlineLevel="2">
      <c r="A98" s="305"/>
      <c r="B98" s="305" t="s">
        <v>575</v>
      </c>
      <c r="C98" s="305"/>
      <c r="D98" s="306"/>
      <c r="E98" s="306"/>
      <c r="F98" s="306"/>
      <c r="G98" s="306"/>
      <c r="H98" s="334"/>
      <c r="I98" s="334"/>
      <c r="J98" s="334"/>
      <c r="K98" s="334"/>
      <c r="L98" s="334"/>
      <c r="M98" s="334"/>
      <c r="N98" s="334"/>
      <c r="O98" s="334"/>
      <c r="P98" s="334"/>
      <c r="Q98" s="334"/>
      <c r="R98" s="334"/>
      <c r="S98" s="334"/>
      <c r="T98" s="334"/>
      <c r="U98" s="334"/>
      <c r="V98" s="334"/>
      <c r="W98" s="334"/>
      <c r="X98" s="334"/>
      <c r="Y98" s="334"/>
      <c r="Z98" s="334"/>
      <c r="AA98" s="334"/>
      <c r="AB98" s="334"/>
      <c r="AC98" s="334"/>
      <c r="AD98" s="334"/>
      <c r="AE98" s="334"/>
      <c r="AF98" s="334"/>
      <c r="AG98" s="334"/>
      <c r="AH98" s="334"/>
      <c r="AI98" s="334"/>
      <c r="AJ98" s="334"/>
      <c r="AK98" s="334"/>
      <c r="AL98" s="334"/>
      <c r="AM98" s="334"/>
      <c r="AN98" s="334"/>
      <c r="AO98" s="334"/>
      <c r="AP98" s="334"/>
      <c r="AQ98" s="316"/>
      <c r="AR98" s="316"/>
      <c r="AS98" s="1236">
        <f>+AS97*$G93/4</f>
        <v>0</v>
      </c>
      <c r="AT98" s="607">
        <f>+AT97*$G93/4</f>
        <v>0</v>
      </c>
      <c r="AU98" s="607">
        <f>+AU97*$G93/4</f>
        <v>0</v>
      </c>
      <c r="AV98" s="1237">
        <f>+AV97*$G93/4</f>
        <v>0</v>
      </c>
      <c r="AW98" s="317"/>
      <c r="AX98" s="1236">
        <f>+AX97*$G93/4</f>
        <v>0</v>
      </c>
      <c r="AY98" s="607">
        <f>+AY97*$G93/4</f>
        <v>0</v>
      </c>
      <c r="AZ98" s="607">
        <f>+AZ97*$G93/4</f>
        <v>0</v>
      </c>
      <c r="BA98" s="1237">
        <f>+BA97*$G93/4</f>
        <v>0</v>
      </c>
      <c r="BB98" s="317"/>
      <c r="BC98" s="1236">
        <f>+BC97*$G93/4</f>
        <v>0</v>
      </c>
      <c r="BD98" s="607">
        <f>+BD97*$G93/4</f>
        <v>0</v>
      </c>
      <c r="BE98" s="607">
        <f>+BE97*$G93/4</f>
        <v>0</v>
      </c>
      <c r="BF98" s="1237">
        <f>+BF97*$G93/4</f>
        <v>0</v>
      </c>
      <c r="BG98" s="317"/>
      <c r="BH98" s="1236">
        <f>+BH97*$G93/4</f>
        <v>0</v>
      </c>
      <c r="BI98" s="607">
        <f>+BI97*$G93/4</f>
        <v>0</v>
      </c>
      <c r="BJ98" s="607">
        <f>+BJ97*$G93/4</f>
        <v>0</v>
      </c>
      <c r="BK98" s="1237">
        <f>+BK97*$G93/4</f>
        <v>0</v>
      </c>
      <c r="BL98" s="317"/>
      <c r="BM98" s="1236">
        <f>+BM97*$G93/4</f>
        <v>0</v>
      </c>
      <c r="BN98" s="607">
        <f>+BN97*$G93/4</f>
        <v>0</v>
      </c>
      <c r="BO98" s="607">
        <f>+BO97*$G93/4</f>
        <v>0</v>
      </c>
      <c r="BP98" s="1237">
        <f>+BP97*$G93/4</f>
        <v>0</v>
      </c>
      <c r="BQ98" s="317"/>
      <c r="BR98" s="1236">
        <f>+BR97*$G93/4</f>
        <v>0</v>
      </c>
      <c r="BS98" s="607">
        <f>+BS97*$G93/4</f>
        <v>0</v>
      </c>
      <c r="BT98" s="607">
        <f>+BT97*$G93/4</f>
        <v>0</v>
      </c>
      <c r="BU98" s="1237">
        <f>+BU97*$G93/4</f>
        <v>0</v>
      </c>
      <c r="BV98" s="317"/>
      <c r="BW98" s="1236">
        <f>+BW97*$G93/4</f>
        <v>0</v>
      </c>
      <c r="BX98" s="607">
        <f>+BX97*$G93/4</f>
        <v>0</v>
      </c>
      <c r="BY98" s="607">
        <f>+BY97*$G93/4</f>
        <v>0</v>
      </c>
      <c r="BZ98" s="1237">
        <f>+BZ97*$G93/4</f>
        <v>0</v>
      </c>
      <c r="CA98" s="317"/>
      <c r="CB98" s="1236">
        <f>+CB97*$G93/4</f>
        <v>0</v>
      </c>
      <c r="CC98" s="607">
        <f>+CC97*$G93/4</f>
        <v>0</v>
      </c>
      <c r="CD98" s="607">
        <f>+CD97*$G93/4</f>
        <v>0</v>
      </c>
      <c r="CE98" s="1237">
        <f>+CE97*$G93/4</f>
        <v>0</v>
      </c>
      <c r="CF98" s="607"/>
      <c r="CG98" s="1236">
        <f>+CG97*$G93/4</f>
        <v>0</v>
      </c>
      <c r="CH98" s="607">
        <f>+CH97*$G93/4</f>
        <v>0</v>
      </c>
      <c r="CI98" s="607">
        <f>+CI97*$G93/4</f>
        <v>0</v>
      </c>
      <c r="CJ98" s="1237">
        <f>+CJ97*$G93/4</f>
        <v>0</v>
      </c>
      <c r="CK98" s="607"/>
      <c r="CL98" s="1236">
        <f>+CL97*$G93/4</f>
        <v>0</v>
      </c>
      <c r="CM98" s="607">
        <f>+CM97*$G93/4</f>
        <v>0</v>
      </c>
      <c r="CN98" s="607">
        <f>+CN97*$G93/4</f>
        <v>0</v>
      </c>
      <c r="CO98" s="1237">
        <f>+CO97*$G93/4</f>
        <v>0</v>
      </c>
      <c r="CP98" s="317"/>
      <c r="CQ98" s="1236">
        <f>+CQ97*$G93/4</f>
        <v>0</v>
      </c>
      <c r="CR98" s="607">
        <f>+CR97*$G93/4</f>
        <v>0</v>
      </c>
      <c r="CS98" s="607">
        <f>+CS97*$G93/4</f>
        <v>0</v>
      </c>
      <c r="CT98" s="1237">
        <f>+CT97*$G93/4</f>
        <v>0</v>
      </c>
      <c r="CU98" s="317"/>
      <c r="CV98" s="1236">
        <f>+CV97*$G93/4</f>
        <v>0</v>
      </c>
      <c r="CW98" s="607">
        <f>+CW97*$G93/4</f>
        <v>0</v>
      </c>
      <c r="CX98" s="607">
        <f>+CX97*$G93/4</f>
        <v>0</v>
      </c>
      <c r="CY98" s="1237">
        <f>+CY97*$G93/4</f>
        <v>0</v>
      </c>
      <c r="CZ98" s="317"/>
    </row>
    <row r="99" spans="1:104" ht="13.5" customHeight="1" outlineLevel="2">
      <c r="A99" s="305"/>
      <c r="B99" s="305" t="s">
        <v>184</v>
      </c>
      <c r="C99" s="305"/>
      <c r="D99" s="306"/>
      <c r="E99" s="306"/>
      <c r="F99" s="306"/>
      <c r="G99" s="306"/>
      <c r="H99" s="306"/>
      <c r="I99" s="306"/>
      <c r="J99" s="306"/>
      <c r="K99" s="306"/>
      <c r="L99" s="306"/>
      <c r="M99" s="306"/>
      <c r="N99" s="306"/>
      <c r="O99" s="306"/>
      <c r="P99" s="306"/>
      <c r="Q99" s="306"/>
      <c r="R99" s="306"/>
      <c r="S99" s="306"/>
      <c r="T99" s="306"/>
      <c r="U99" s="306"/>
      <c r="V99" s="306"/>
      <c r="W99" s="306"/>
      <c r="X99" s="306"/>
      <c r="Y99" s="306"/>
      <c r="Z99" s="306"/>
      <c r="AA99" s="306"/>
      <c r="AB99" s="306"/>
      <c r="AC99" s="306"/>
      <c r="AD99" s="306"/>
      <c r="AE99" s="306"/>
      <c r="AF99" s="306"/>
      <c r="AG99" s="306"/>
      <c r="AH99" s="306"/>
      <c r="AI99" s="306"/>
      <c r="AJ99" s="306"/>
      <c r="AK99" s="306"/>
      <c r="AL99" s="306"/>
      <c r="AM99" s="306"/>
      <c r="AN99" s="306"/>
      <c r="AO99" s="306"/>
      <c r="AP99" s="306"/>
      <c r="AQ99" s="316"/>
      <c r="AR99" s="332"/>
      <c r="AS99" s="1240"/>
      <c r="AT99" s="607">
        <f>+AS98+AT98</f>
        <v>0</v>
      </c>
      <c r="AU99" s="307"/>
      <c r="AV99" s="1237">
        <f>+AU98+AV98</f>
        <v>0</v>
      </c>
      <c r="AW99" s="307"/>
      <c r="AX99" s="1240"/>
      <c r="AY99" s="607">
        <f>+AX98+AY98</f>
        <v>0</v>
      </c>
      <c r="AZ99" s="307"/>
      <c r="BA99" s="1237">
        <f>+AZ98+BA98</f>
        <v>0</v>
      </c>
      <c r="BB99" s="307"/>
      <c r="BC99" s="1240"/>
      <c r="BD99" s="607">
        <f>+BC98+BD98</f>
        <v>0</v>
      </c>
      <c r="BE99" s="307"/>
      <c r="BF99" s="1237">
        <f>+BE98+BF98</f>
        <v>0</v>
      </c>
      <c r="BG99" s="307"/>
      <c r="BH99" s="1240"/>
      <c r="BI99" s="607">
        <f>+BH98+BI98</f>
        <v>0</v>
      </c>
      <c r="BJ99" s="307"/>
      <c r="BK99" s="1237">
        <f>+BJ98+BK98</f>
        <v>0</v>
      </c>
      <c r="BL99" s="307"/>
      <c r="BM99" s="1240"/>
      <c r="BN99" s="607">
        <f>+BM98+BN98</f>
        <v>0</v>
      </c>
      <c r="BO99" s="307"/>
      <c r="BP99" s="1237">
        <f>+BO98+BP98</f>
        <v>0</v>
      </c>
      <c r="BQ99" s="307"/>
      <c r="BR99" s="1240"/>
      <c r="BS99" s="607">
        <f>+BR98+BS98</f>
        <v>0</v>
      </c>
      <c r="BT99" s="307"/>
      <c r="BU99" s="1237">
        <f>+BT98+BU98</f>
        <v>0</v>
      </c>
      <c r="BV99" s="307"/>
      <c r="BW99" s="1240"/>
      <c r="BX99" s="607">
        <f>+BW98+BX98</f>
        <v>0</v>
      </c>
      <c r="BY99" s="307"/>
      <c r="BZ99" s="1237">
        <f>+BY98+BZ98</f>
        <v>0</v>
      </c>
      <c r="CA99" s="307"/>
      <c r="CB99" s="1240"/>
      <c r="CC99" s="607">
        <f>+CB98+CC98</f>
        <v>0</v>
      </c>
      <c r="CD99" s="307"/>
      <c r="CE99" s="1237">
        <f>+CD98+CE98</f>
        <v>0</v>
      </c>
      <c r="CF99" s="762"/>
      <c r="CG99" s="1280"/>
      <c r="CH99" s="762">
        <f>+CG98+CH98</f>
        <v>0</v>
      </c>
      <c r="CI99" s="307"/>
      <c r="CJ99" s="1237">
        <f>+CI98+CJ98</f>
        <v>0</v>
      </c>
      <c r="CK99" s="762"/>
      <c r="CL99" s="1240"/>
      <c r="CM99" s="607">
        <f>+CL98+CM98</f>
        <v>0</v>
      </c>
      <c r="CN99" s="307"/>
      <c r="CO99" s="1237">
        <f>+CN98+CO98</f>
        <v>0</v>
      </c>
      <c r="CP99" s="307"/>
      <c r="CQ99" s="1240"/>
      <c r="CR99" s="607">
        <f>+CQ98+CR98</f>
        <v>0</v>
      </c>
      <c r="CS99" s="307"/>
      <c r="CT99" s="1237">
        <f>+CS98+CT98</f>
        <v>0</v>
      </c>
      <c r="CU99" s="307"/>
      <c r="CV99" s="1240"/>
      <c r="CW99" s="607">
        <f>+CV98+CW98</f>
        <v>0</v>
      </c>
      <c r="CX99" s="307"/>
      <c r="CY99" s="1237">
        <f>+CX98+CY98</f>
        <v>0</v>
      </c>
      <c r="CZ99" s="307"/>
    </row>
    <row r="100" spans="1:104" ht="6.2" customHeight="1" outlineLevel="1">
      <c r="A100" s="305"/>
      <c r="B100" s="305"/>
      <c r="C100" s="305"/>
      <c r="D100" s="306"/>
      <c r="E100" s="306"/>
      <c r="F100" s="306"/>
      <c r="G100" s="306"/>
      <c r="H100" s="306"/>
      <c r="I100" s="306"/>
      <c r="J100" s="306"/>
      <c r="K100" s="306"/>
      <c r="L100" s="306"/>
      <c r="M100" s="306"/>
      <c r="N100" s="306"/>
      <c r="O100" s="306"/>
      <c r="P100" s="306"/>
      <c r="Q100" s="306"/>
      <c r="R100" s="306"/>
      <c r="S100" s="306"/>
      <c r="T100" s="306"/>
      <c r="U100" s="306"/>
      <c r="V100" s="306"/>
      <c r="W100" s="306"/>
      <c r="X100" s="306"/>
      <c r="Y100" s="306"/>
      <c r="Z100" s="306"/>
      <c r="AA100" s="306"/>
      <c r="AB100" s="306"/>
      <c r="AC100" s="306"/>
      <c r="AD100" s="306"/>
      <c r="AE100" s="306"/>
      <c r="AF100" s="306"/>
      <c r="AG100" s="306"/>
      <c r="AH100" s="306"/>
      <c r="AI100" s="306"/>
      <c r="AJ100" s="306"/>
      <c r="AK100" s="306"/>
      <c r="AL100" s="306"/>
      <c r="AM100" s="306"/>
      <c r="AN100" s="306"/>
      <c r="AO100" s="306"/>
      <c r="AP100" s="306"/>
      <c r="AQ100" s="316"/>
      <c r="AR100" s="332"/>
      <c r="AS100" s="1240"/>
      <c r="AT100" s="317"/>
      <c r="AU100" s="307"/>
      <c r="AV100" s="1233"/>
      <c r="AW100" s="307"/>
      <c r="AX100" s="1240"/>
      <c r="AY100" s="317"/>
      <c r="AZ100" s="307"/>
      <c r="BA100" s="1233"/>
      <c r="BB100" s="307"/>
      <c r="BC100" s="1240"/>
      <c r="BD100" s="317"/>
      <c r="BE100" s="307"/>
      <c r="BF100" s="1233"/>
      <c r="BG100" s="307"/>
      <c r="BH100" s="1240"/>
      <c r="BI100" s="317"/>
      <c r="BJ100" s="307"/>
      <c r="BK100" s="1233"/>
      <c r="BL100" s="307"/>
      <c r="BM100" s="1240"/>
      <c r="BN100" s="317"/>
      <c r="BO100" s="307"/>
      <c r="BP100" s="1233"/>
      <c r="BQ100" s="307"/>
      <c r="BR100" s="1240"/>
      <c r="BS100" s="317"/>
      <c r="BT100" s="307"/>
      <c r="BU100" s="1233"/>
      <c r="BV100" s="307"/>
      <c r="BW100" s="1240"/>
      <c r="BX100" s="317"/>
      <c r="BY100" s="307"/>
      <c r="BZ100" s="1233"/>
      <c r="CA100" s="307"/>
      <c r="CB100" s="1240"/>
      <c r="CC100" s="317"/>
      <c r="CD100" s="307"/>
      <c r="CE100" s="1237"/>
      <c r="CF100" s="762"/>
      <c r="CG100" s="1280"/>
      <c r="CH100" s="762"/>
      <c r="CI100" s="307"/>
      <c r="CJ100" s="1237"/>
      <c r="CK100" s="762"/>
      <c r="CL100" s="1240"/>
      <c r="CM100" s="317"/>
      <c r="CN100" s="307"/>
      <c r="CO100" s="1233"/>
      <c r="CP100" s="307"/>
      <c r="CQ100" s="1240"/>
      <c r="CR100" s="317"/>
      <c r="CS100" s="307"/>
      <c r="CT100" s="1233"/>
      <c r="CU100" s="307"/>
      <c r="CV100" s="1240"/>
      <c r="CW100" s="317"/>
      <c r="CX100" s="307"/>
      <c r="CY100" s="1233"/>
      <c r="CZ100" s="307"/>
    </row>
    <row r="101" spans="1:104" ht="13.5" customHeight="1" outlineLevel="1">
      <c r="A101" s="315" t="s">
        <v>296</v>
      </c>
      <c r="B101" s="305"/>
      <c r="C101" s="305"/>
      <c r="D101" s="306"/>
      <c r="E101" s="306"/>
      <c r="F101" s="306"/>
      <c r="G101" s="333">
        <v>0.04</v>
      </c>
      <c r="H101" s="324"/>
      <c r="I101" s="306"/>
      <c r="J101" s="306"/>
      <c r="K101" s="306"/>
      <c r="L101" s="306"/>
      <c r="M101" s="306"/>
      <c r="N101" s="306"/>
      <c r="O101" s="306"/>
      <c r="P101" s="306"/>
      <c r="Q101" s="306"/>
      <c r="R101" s="306"/>
      <c r="S101" s="306"/>
      <c r="T101" s="306"/>
      <c r="U101" s="306"/>
      <c r="V101" s="306"/>
      <c r="W101" s="306"/>
      <c r="X101" s="306"/>
      <c r="Y101" s="306"/>
      <c r="Z101" s="306"/>
      <c r="AA101" s="306"/>
      <c r="AB101" s="306"/>
      <c r="AC101" s="306"/>
      <c r="AD101" s="306"/>
      <c r="AE101" s="306"/>
      <c r="AF101" s="306"/>
      <c r="AG101" s="306"/>
      <c r="AH101" s="306"/>
      <c r="AI101" s="306"/>
      <c r="AJ101" s="306"/>
      <c r="AK101" s="306"/>
      <c r="AL101" s="306"/>
      <c r="AM101" s="306"/>
      <c r="AN101" s="306"/>
      <c r="AO101" s="306"/>
      <c r="AP101" s="306"/>
      <c r="AQ101" s="332"/>
      <c r="AR101" s="332"/>
      <c r="AS101" s="1240"/>
      <c r="AT101" s="307"/>
      <c r="AU101" s="307"/>
      <c r="AV101" s="1241"/>
      <c r="AW101" s="307"/>
      <c r="AX101" s="1240"/>
      <c r="AY101" s="307"/>
      <c r="AZ101" s="307"/>
      <c r="BA101" s="1241"/>
      <c r="BB101" s="307"/>
      <c r="BC101" s="1240"/>
      <c r="BD101" s="307"/>
      <c r="BE101" s="307"/>
      <c r="BF101" s="1241"/>
      <c r="BG101" s="307"/>
      <c r="BH101" s="1240"/>
      <c r="BI101" s="307"/>
      <c r="BJ101" s="307"/>
      <c r="BK101" s="1241"/>
      <c r="BL101" s="307"/>
      <c r="BM101" s="1240"/>
      <c r="BN101" s="307"/>
      <c r="BO101" s="307"/>
      <c r="BP101" s="1241"/>
      <c r="BQ101" s="307"/>
      <c r="BR101" s="1240"/>
      <c r="BS101" s="307"/>
      <c r="BT101" s="307"/>
      <c r="BU101" s="1241"/>
      <c r="BV101" s="307"/>
      <c r="BW101" s="1240"/>
      <c r="BX101" s="307"/>
      <c r="BY101" s="307"/>
      <c r="BZ101" s="1241"/>
      <c r="CA101" s="307"/>
      <c r="CB101" s="1240"/>
      <c r="CC101" s="307"/>
      <c r="CD101" s="307"/>
      <c r="CE101" s="1275"/>
      <c r="CF101" s="762"/>
      <c r="CG101" s="1280"/>
      <c r="CH101" s="762"/>
      <c r="CI101" s="307"/>
      <c r="CJ101" s="1275"/>
      <c r="CK101" s="762"/>
      <c r="CL101" s="1240"/>
      <c r="CM101" s="307"/>
      <c r="CN101" s="307"/>
      <c r="CO101" s="1241"/>
      <c r="CP101" s="307"/>
      <c r="CQ101" s="1240"/>
      <c r="CR101" s="307"/>
      <c r="CS101" s="307"/>
      <c r="CT101" s="1241"/>
      <c r="CU101" s="307"/>
      <c r="CV101" s="1240"/>
      <c r="CW101" s="307"/>
      <c r="CX101" s="307"/>
      <c r="CY101" s="1241"/>
      <c r="CZ101" s="307"/>
    </row>
    <row r="102" spans="1:104" ht="13.5" customHeight="1" outlineLevel="1">
      <c r="A102" s="305"/>
      <c r="B102" s="305" t="s">
        <v>179</v>
      </c>
      <c r="C102" s="305"/>
      <c r="D102" s="306"/>
      <c r="E102" s="306"/>
      <c r="F102" s="306"/>
      <c r="G102" s="306"/>
      <c r="H102" s="334"/>
      <c r="I102" s="334"/>
      <c r="J102" s="334"/>
      <c r="K102" s="334"/>
      <c r="L102" s="334"/>
      <c r="M102" s="334"/>
      <c r="N102" s="334"/>
      <c r="O102" s="334"/>
      <c r="P102" s="334"/>
      <c r="Q102" s="334"/>
      <c r="R102" s="334"/>
      <c r="S102" s="334"/>
      <c r="T102" s="334"/>
      <c r="U102" s="334"/>
      <c r="V102" s="334"/>
      <c r="W102" s="334"/>
      <c r="X102" s="334"/>
      <c r="Y102" s="334"/>
      <c r="Z102" s="334"/>
      <c r="AA102" s="334"/>
      <c r="AB102" s="334"/>
      <c r="AC102" s="334"/>
      <c r="AD102" s="334"/>
      <c r="AE102" s="334"/>
      <c r="AF102" s="334"/>
      <c r="AG102" s="334"/>
      <c r="AH102" s="334"/>
      <c r="AI102" s="334"/>
      <c r="AJ102" s="334"/>
      <c r="AK102" s="334"/>
      <c r="AL102" s="334"/>
      <c r="AM102" s="334"/>
      <c r="AN102" s="334"/>
      <c r="AO102" s="334"/>
      <c r="AP102" s="334"/>
      <c r="AQ102" s="316"/>
      <c r="AR102" s="316"/>
      <c r="AS102" s="1232"/>
      <c r="AT102" s="317"/>
      <c r="AU102" s="317"/>
      <c r="AV102" s="1233"/>
      <c r="AW102" s="317"/>
      <c r="AX102" s="1232"/>
      <c r="AY102" s="317"/>
      <c r="AZ102" s="317"/>
      <c r="BA102" s="1233"/>
      <c r="BB102" s="317"/>
      <c r="BC102" s="1232"/>
      <c r="BD102" s="317"/>
      <c r="BE102" s="317"/>
      <c r="BF102" s="1233"/>
      <c r="BG102" s="317"/>
      <c r="BH102" s="1232"/>
      <c r="BI102" s="317"/>
      <c r="BJ102" s="317"/>
      <c r="BK102" s="1233"/>
      <c r="BL102" s="317"/>
      <c r="BM102" s="1232"/>
      <c r="BN102" s="317"/>
      <c r="BO102" s="607">
        <f>+BN104</f>
        <v>0</v>
      </c>
      <c r="BP102" s="1237">
        <f>+BO104</f>
        <v>500</v>
      </c>
      <c r="BQ102" s="317"/>
      <c r="BR102" s="1236">
        <f>+BQ104</f>
        <v>500</v>
      </c>
      <c r="BS102" s="607">
        <f>+BR104</f>
        <v>500</v>
      </c>
      <c r="BT102" s="607">
        <f>+BS104</f>
        <v>500</v>
      </c>
      <c r="BU102" s="1237">
        <f>+BT104</f>
        <v>500</v>
      </c>
      <c r="BV102" s="317"/>
      <c r="BW102" s="1236">
        <f>+BV104</f>
        <v>500</v>
      </c>
      <c r="BX102" s="607">
        <f>+BW104</f>
        <v>500</v>
      </c>
      <c r="BY102" s="607">
        <f>+BX104</f>
        <v>500</v>
      </c>
      <c r="BZ102" s="1237">
        <f>+BY104</f>
        <v>500</v>
      </c>
      <c r="CA102" s="317"/>
      <c r="CB102" s="1236">
        <f>+CA104</f>
        <v>500</v>
      </c>
      <c r="CC102" s="607">
        <f>+CB104</f>
        <v>500</v>
      </c>
      <c r="CD102" s="607">
        <f>+CC104</f>
        <v>500</v>
      </c>
      <c r="CE102" s="1237">
        <f>+CD104</f>
        <v>500</v>
      </c>
      <c r="CF102" s="607"/>
      <c r="CG102" s="1236">
        <f>+CF104</f>
        <v>500</v>
      </c>
      <c r="CH102" s="607">
        <f>+CG104</f>
        <v>500</v>
      </c>
      <c r="CI102" s="607">
        <f>+CH104</f>
        <v>500</v>
      </c>
      <c r="CJ102" s="1237">
        <f>+CI104</f>
        <v>500</v>
      </c>
      <c r="CK102" s="607"/>
      <c r="CL102" s="1236">
        <f>+CK104</f>
        <v>500</v>
      </c>
      <c r="CM102" s="607">
        <f>+CL104</f>
        <v>500</v>
      </c>
      <c r="CN102" s="607">
        <f>+CM104</f>
        <v>500</v>
      </c>
      <c r="CO102" s="1237">
        <f>+CN104</f>
        <v>500</v>
      </c>
      <c r="CP102" s="317"/>
      <c r="CQ102" s="1236">
        <f>+CP104</f>
        <v>500</v>
      </c>
      <c r="CR102" s="607">
        <f>+CQ104</f>
        <v>500</v>
      </c>
      <c r="CS102" s="607">
        <f>+CR104</f>
        <v>500</v>
      </c>
      <c r="CT102" s="1237">
        <f>+CS104</f>
        <v>500</v>
      </c>
      <c r="CU102" s="317"/>
      <c r="CV102" s="1236">
        <f>+CU104</f>
        <v>500</v>
      </c>
      <c r="CW102" s="607">
        <f>+CV104</f>
        <v>500</v>
      </c>
      <c r="CX102" s="607">
        <f>+CW104</f>
        <v>500</v>
      </c>
      <c r="CY102" s="1237">
        <f>+CX104</f>
        <v>500</v>
      </c>
      <c r="CZ102" s="317"/>
    </row>
    <row r="103" spans="1:104" ht="13.5" customHeight="1" outlineLevel="1">
      <c r="A103" s="305"/>
      <c r="B103" s="305" t="s">
        <v>181</v>
      </c>
      <c r="C103" s="305"/>
      <c r="D103" s="306"/>
      <c r="E103" s="306"/>
      <c r="F103" s="306"/>
      <c r="G103" s="306"/>
      <c r="H103" s="334"/>
      <c r="I103" s="334"/>
      <c r="J103" s="334"/>
      <c r="K103" s="334"/>
      <c r="L103" s="334"/>
      <c r="M103" s="334"/>
      <c r="N103" s="334"/>
      <c r="O103" s="334"/>
      <c r="P103" s="334"/>
      <c r="Q103" s="334"/>
      <c r="R103" s="334"/>
      <c r="S103" s="334"/>
      <c r="T103" s="334"/>
      <c r="U103" s="334"/>
      <c r="V103" s="334"/>
      <c r="W103" s="334"/>
      <c r="X103" s="334"/>
      <c r="Y103" s="334"/>
      <c r="Z103" s="334"/>
      <c r="AA103" s="334"/>
      <c r="AB103" s="334"/>
      <c r="AC103" s="334"/>
      <c r="AD103" s="334"/>
      <c r="AE103" s="334"/>
      <c r="AF103" s="334"/>
      <c r="AG103" s="334"/>
      <c r="AH103" s="334"/>
      <c r="AI103" s="334"/>
      <c r="AJ103" s="334"/>
      <c r="AK103" s="334"/>
      <c r="AL103" s="334"/>
      <c r="AM103" s="334"/>
      <c r="AN103" s="334"/>
      <c r="AO103" s="334"/>
      <c r="AP103" s="334"/>
      <c r="AQ103" s="316"/>
      <c r="AR103" s="316"/>
      <c r="AS103" s="1232"/>
      <c r="AT103" s="317"/>
      <c r="AU103" s="317"/>
      <c r="AV103" s="1233"/>
      <c r="AW103" s="317"/>
      <c r="AX103" s="1232"/>
      <c r="AY103" s="317"/>
      <c r="AZ103" s="317"/>
      <c r="BA103" s="1233"/>
      <c r="BB103" s="317"/>
      <c r="BC103" s="1232"/>
      <c r="BD103" s="317"/>
      <c r="BE103" s="317"/>
      <c r="BF103" s="1233"/>
      <c r="BG103" s="317"/>
      <c r="BH103" s="1232"/>
      <c r="BI103" s="317"/>
      <c r="BJ103" s="317"/>
      <c r="BK103" s="1233"/>
      <c r="BL103" s="317"/>
      <c r="BM103" s="1232"/>
      <c r="BN103" s="317"/>
      <c r="BO103" s="605">
        <v>0</v>
      </c>
      <c r="BP103" s="1239">
        <v>0</v>
      </c>
      <c r="BQ103" s="317"/>
      <c r="BR103" s="1238">
        <v>0</v>
      </c>
      <c r="BS103" s="605">
        <v>0</v>
      </c>
      <c r="BT103" s="605">
        <v>0</v>
      </c>
      <c r="BU103" s="1239">
        <v>0</v>
      </c>
      <c r="BV103" s="317"/>
      <c r="BW103" s="1238">
        <v>0</v>
      </c>
      <c r="BX103" s="605">
        <v>0</v>
      </c>
      <c r="BY103" s="605">
        <v>0</v>
      </c>
      <c r="BZ103" s="1239">
        <v>0</v>
      </c>
      <c r="CA103" s="317"/>
      <c r="CB103" s="1238">
        <v>0</v>
      </c>
      <c r="CC103" s="605">
        <v>0</v>
      </c>
      <c r="CD103" s="605">
        <v>0</v>
      </c>
      <c r="CE103" s="1239">
        <v>0</v>
      </c>
      <c r="CF103" s="607"/>
      <c r="CG103" s="1238">
        <v>0</v>
      </c>
      <c r="CH103" s="605">
        <v>0</v>
      </c>
      <c r="CI103" s="605">
        <v>0</v>
      </c>
      <c r="CJ103" s="1239">
        <v>0</v>
      </c>
      <c r="CK103" s="607"/>
      <c r="CL103" s="1238">
        <v>0</v>
      </c>
      <c r="CM103" s="605">
        <v>0</v>
      </c>
      <c r="CN103" s="605">
        <v>0</v>
      </c>
      <c r="CO103" s="1239">
        <v>0</v>
      </c>
      <c r="CP103" s="317"/>
      <c r="CQ103" s="1238">
        <v>0</v>
      </c>
      <c r="CR103" s="605">
        <v>0</v>
      </c>
      <c r="CS103" s="605">
        <v>0</v>
      </c>
      <c r="CT103" s="1239">
        <v>0</v>
      </c>
      <c r="CU103" s="317"/>
      <c r="CV103" s="1238">
        <v>0</v>
      </c>
      <c r="CW103" s="605">
        <v>0</v>
      </c>
      <c r="CX103" s="605">
        <v>0</v>
      </c>
      <c r="CY103" s="1239">
        <v>0</v>
      </c>
      <c r="CZ103" s="317"/>
    </row>
    <row r="104" spans="1:104" ht="13.5" customHeight="1" outlineLevel="1">
      <c r="A104" s="305"/>
      <c r="B104" s="305" t="s">
        <v>182</v>
      </c>
      <c r="C104" s="305"/>
      <c r="D104" s="306"/>
      <c r="E104" s="306"/>
      <c r="F104" s="306"/>
      <c r="G104" s="306"/>
      <c r="H104" s="335">
        <v>0</v>
      </c>
      <c r="I104" s="335"/>
      <c r="J104" s="335"/>
      <c r="K104" s="335"/>
      <c r="L104" s="335"/>
      <c r="M104" s="335"/>
      <c r="N104" s="335"/>
      <c r="O104" s="335"/>
      <c r="P104" s="335"/>
      <c r="Q104" s="335"/>
      <c r="R104" s="335"/>
      <c r="S104" s="335"/>
      <c r="T104" s="335"/>
      <c r="U104" s="335"/>
      <c r="V104" s="335"/>
      <c r="W104" s="335"/>
      <c r="X104" s="335"/>
      <c r="Y104" s="335"/>
      <c r="Z104" s="335"/>
      <c r="AA104" s="335"/>
      <c r="AB104" s="335"/>
      <c r="AC104" s="335"/>
      <c r="AD104" s="335"/>
      <c r="AE104" s="335"/>
      <c r="AF104" s="335"/>
      <c r="AG104" s="335"/>
      <c r="AH104" s="335"/>
      <c r="AI104" s="335"/>
      <c r="AJ104" s="335"/>
      <c r="AK104" s="335"/>
      <c r="AL104" s="335"/>
      <c r="AM104" s="335"/>
      <c r="AN104" s="335"/>
      <c r="AO104" s="335"/>
      <c r="AP104" s="335"/>
      <c r="AQ104" s="316"/>
      <c r="AR104" s="316"/>
      <c r="AS104" s="1232"/>
      <c r="AT104" s="317"/>
      <c r="AU104" s="317"/>
      <c r="AV104" s="1233"/>
      <c r="AW104" s="328"/>
      <c r="AX104" s="1232"/>
      <c r="AY104" s="317"/>
      <c r="AZ104" s="317"/>
      <c r="BA104" s="1233"/>
      <c r="BB104" s="328"/>
      <c r="BC104" s="1232"/>
      <c r="BD104" s="317"/>
      <c r="BE104" s="317"/>
      <c r="BF104" s="1233"/>
      <c r="BG104" s="328"/>
      <c r="BH104" s="1232"/>
      <c r="BI104" s="317"/>
      <c r="BJ104" s="317"/>
      <c r="BK104" s="1233"/>
      <c r="BL104" s="328"/>
      <c r="BM104" s="1232"/>
      <c r="BN104" s="317"/>
      <c r="BO104" s="605">
        <v>500</v>
      </c>
      <c r="BP104" s="1237">
        <f>+BP102+BP103</f>
        <v>500</v>
      </c>
      <c r="BQ104" s="607">
        <f>+BP104</f>
        <v>500</v>
      </c>
      <c r="BR104" s="1236">
        <f>+BR102+BR103</f>
        <v>500</v>
      </c>
      <c r="BS104" s="607">
        <f>+BS102+BS103</f>
        <v>500</v>
      </c>
      <c r="BT104" s="607">
        <f>+BT102+BT103</f>
        <v>500</v>
      </c>
      <c r="BU104" s="1237">
        <f>+BU102+BU103</f>
        <v>500</v>
      </c>
      <c r="BV104" s="607">
        <f>+BU104</f>
        <v>500</v>
      </c>
      <c r="BW104" s="1236">
        <f>+BW102+BW103</f>
        <v>500</v>
      </c>
      <c r="BX104" s="607">
        <f>+BX102+BX103</f>
        <v>500</v>
      </c>
      <c r="BY104" s="607">
        <f>+BY102+BY103</f>
        <v>500</v>
      </c>
      <c r="BZ104" s="1237">
        <f>+BZ102+BZ103</f>
        <v>500</v>
      </c>
      <c r="CA104" s="607">
        <f>+BZ104</f>
        <v>500</v>
      </c>
      <c r="CB104" s="1236">
        <f>+CB102+CB103</f>
        <v>500</v>
      </c>
      <c r="CC104" s="607">
        <f>+CC102+CC103</f>
        <v>500</v>
      </c>
      <c r="CD104" s="607">
        <f>+CD102+CD103</f>
        <v>500</v>
      </c>
      <c r="CE104" s="1237">
        <f>+CE102+CE103</f>
        <v>500</v>
      </c>
      <c r="CF104" s="607">
        <f>+CE104</f>
        <v>500</v>
      </c>
      <c r="CG104" s="1281">
        <f>+CG102+CG103</f>
        <v>500</v>
      </c>
      <c r="CH104" s="681">
        <f>+CH102+CH103</f>
        <v>500</v>
      </c>
      <c r="CI104" s="681">
        <f>+CI102+CI103</f>
        <v>500</v>
      </c>
      <c r="CJ104" s="1284">
        <f>+CJ102+CJ103</f>
        <v>500</v>
      </c>
      <c r="CK104" s="607">
        <f>+CJ104</f>
        <v>500</v>
      </c>
      <c r="CL104" s="1236">
        <f>+CL102+CL103</f>
        <v>500</v>
      </c>
      <c r="CM104" s="607">
        <f>+CM102+CM103</f>
        <v>500</v>
      </c>
      <c r="CN104" s="607">
        <f>+CN102+CN103</f>
        <v>500</v>
      </c>
      <c r="CO104" s="1237">
        <f>+CO102+CO103</f>
        <v>500</v>
      </c>
      <c r="CP104" s="607">
        <f>+CO104</f>
        <v>500</v>
      </c>
      <c r="CQ104" s="1236">
        <f>+CQ102+CQ103</f>
        <v>500</v>
      </c>
      <c r="CR104" s="607">
        <f>+CR102+CR103</f>
        <v>500</v>
      </c>
      <c r="CS104" s="607">
        <f>+CS102+CS103</f>
        <v>500</v>
      </c>
      <c r="CT104" s="1237">
        <f>+CT102+CT103</f>
        <v>500</v>
      </c>
      <c r="CU104" s="607">
        <f>+CT104</f>
        <v>500</v>
      </c>
      <c r="CV104" s="1236">
        <f>+CV102+CV103</f>
        <v>500</v>
      </c>
      <c r="CW104" s="607">
        <f>+CW102+CW103</f>
        <v>500</v>
      </c>
      <c r="CX104" s="607">
        <f>+CX102+CX103</f>
        <v>500</v>
      </c>
      <c r="CY104" s="1237">
        <f>+CY102+CY103</f>
        <v>500</v>
      </c>
      <c r="CZ104" s="607">
        <f>+CY104</f>
        <v>500</v>
      </c>
    </row>
    <row r="105" spans="1:104" ht="13.5" customHeight="1" outlineLevel="1">
      <c r="A105" s="305"/>
      <c r="B105" s="305" t="s">
        <v>183</v>
      </c>
      <c r="C105" s="305"/>
      <c r="D105" s="306"/>
      <c r="E105" s="306"/>
      <c r="F105" s="306"/>
      <c r="G105" s="306"/>
      <c r="H105" s="334"/>
      <c r="I105" s="334"/>
      <c r="J105" s="334"/>
      <c r="K105" s="334"/>
      <c r="L105" s="334"/>
      <c r="M105" s="334"/>
      <c r="N105" s="334"/>
      <c r="O105" s="334"/>
      <c r="P105" s="334"/>
      <c r="Q105" s="334"/>
      <c r="R105" s="334"/>
      <c r="S105" s="334"/>
      <c r="T105" s="334"/>
      <c r="U105" s="334"/>
      <c r="V105" s="334"/>
      <c r="W105" s="334"/>
      <c r="X105" s="334"/>
      <c r="Y105" s="334"/>
      <c r="Z105" s="334"/>
      <c r="AA105" s="334"/>
      <c r="AB105" s="334"/>
      <c r="AC105" s="334"/>
      <c r="AD105" s="334"/>
      <c r="AE105" s="334"/>
      <c r="AF105" s="334"/>
      <c r="AG105" s="334"/>
      <c r="AH105" s="334"/>
      <c r="AI105" s="334"/>
      <c r="AJ105" s="334"/>
      <c r="AK105" s="334"/>
      <c r="AL105" s="334"/>
      <c r="AM105" s="334"/>
      <c r="AN105" s="334"/>
      <c r="AO105" s="334"/>
      <c r="AP105" s="334"/>
      <c r="AQ105" s="316"/>
      <c r="AR105" s="316"/>
      <c r="AS105" s="1232"/>
      <c r="AT105" s="317"/>
      <c r="AU105" s="317"/>
      <c r="AV105" s="1233"/>
      <c r="AW105" s="317"/>
      <c r="AX105" s="1232"/>
      <c r="AY105" s="317"/>
      <c r="AZ105" s="317"/>
      <c r="BA105" s="1233"/>
      <c r="BB105" s="317"/>
      <c r="BC105" s="1232"/>
      <c r="BD105" s="317"/>
      <c r="BE105" s="317"/>
      <c r="BF105" s="1233"/>
      <c r="BG105" s="317"/>
      <c r="BH105" s="1232"/>
      <c r="BI105" s="317"/>
      <c r="BJ105" s="317"/>
      <c r="BK105" s="1233"/>
      <c r="BL105" s="317"/>
      <c r="BM105" s="1232"/>
      <c r="BN105" s="317"/>
      <c r="BO105" s="607">
        <f>+AVERAGE(BO102,BO104)</f>
        <v>250</v>
      </c>
      <c r="BP105" s="1237">
        <f>+AVERAGE(BP102,BP104)</f>
        <v>500</v>
      </c>
      <c r="BQ105" s="317"/>
      <c r="BR105" s="1236">
        <f>+AVERAGE(BR102,BR104)</f>
        <v>500</v>
      </c>
      <c r="BS105" s="607">
        <f>+AVERAGE(BS102,BS104)</f>
        <v>500</v>
      </c>
      <c r="BT105" s="607">
        <f>+AVERAGE(BT102,BT104)</f>
        <v>500</v>
      </c>
      <c r="BU105" s="1237">
        <f>+AVERAGE(BU102,BU104)</f>
        <v>500</v>
      </c>
      <c r="BV105" s="317"/>
      <c r="BW105" s="1236">
        <f>+AVERAGE(BW102,BW104)</f>
        <v>500</v>
      </c>
      <c r="BX105" s="607">
        <f>+AVERAGE(BX102,BX104)</f>
        <v>500</v>
      </c>
      <c r="BY105" s="607">
        <f>+AVERAGE(BY102,BY104)</f>
        <v>500</v>
      </c>
      <c r="BZ105" s="1237">
        <f>+AVERAGE(BZ102,BZ104)</f>
        <v>500</v>
      </c>
      <c r="CA105" s="317"/>
      <c r="CB105" s="1236">
        <f>+AVERAGE(CB102,CB104)</f>
        <v>500</v>
      </c>
      <c r="CC105" s="607">
        <f>+AVERAGE(CC102,CC104)</f>
        <v>500</v>
      </c>
      <c r="CD105" s="607">
        <f>+AVERAGE(CD102,CD104)</f>
        <v>500</v>
      </c>
      <c r="CE105" s="1237">
        <f>+AVERAGE(CE102,CE104)</f>
        <v>500</v>
      </c>
      <c r="CF105" s="607"/>
      <c r="CG105" s="1236">
        <f>+AVERAGE(CG102,CG104)</f>
        <v>500</v>
      </c>
      <c r="CH105" s="607">
        <f>+AVERAGE(CH102,CH104)</f>
        <v>500</v>
      </c>
      <c r="CI105" s="607">
        <f>+AVERAGE(CI102,CI104)</f>
        <v>500</v>
      </c>
      <c r="CJ105" s="1237">
        <f>+AVERAGE(CJ102,CJ104)</f>
        <v>500</v>
      </c>
      <c r="CK105" s="607"/>
      <c r="CL105" s="1236">
        <f>+AVERAGE(CL102,CL104)</f>
        <v>500</v>
      </c>
      <c r="CM105" s="607">
        <f>+AVERAGE(CM102,CM104)</f>
        <v>500</v>
      </c>
      <c r="CN105" s="607">
        <f>+AVERAGE(CN102,CN104)</f>
        <v>500</v>
      </c>
      <c r="CO105" s="1237">
        <f>+AVERAGE(CO102,CO104)</f>
        <v>500</v>
      </c>
      <c r="CP105" s="317"/>
      <c r="CQ105" s="1236">
        <f>+AVERAGE(CQ102,CQ104)</f>
        <v>500</v>
      </c>
      <c r="CR105" s="607">
        <f>+AVERAGE(CR102,CR104)</f>
        <v>500</v>
      </c>
      <c r="CS105" s="607">
        <f>+AVERAGE(CS102,CS104)</f>
        <v>500</v>
      </c>
      <c r="CT105" s="1237">
        <f>+AVERAGE(CT102,CT104)</f>
        <v>500</v>
      </c>
      <c r="CU105" s="317"/>
      <c r="CV105" s="1236">
        <f>+AVERAGE(CV102,CV104)</f>
        <v>500</v>
      </c>
      <c r="CW105" s="607">
        <f>+AVERAGE(CW102,CW104)</f>
        <v>500</v>
      </c>
      <c r="CX105" s="607">
        <f>+AVERAGE(CX102,CX104)</f>
        <v>500</v>
      </c>
      <c r="CY105" s="1237">
        <f>+AVERAGE(CY102,CY104)</f>
        <v>500</v>
      </c>
      <c r="CZ105" s="317"/>
    </row>
    <row r="106" spans="1:104" ht="13.5" customHeight="1" outlineLevel="1">
      <c r="A106" s="305"/>
      <c r="B106" s="305" t="s">
        <v>575</v>
      </c>
      <c r="C106" s="305"/>
      <c r="D106" s="306"/>
      <c r="E106" s="306"/>
      <c r="F106" s="306"/>
      <c r="G106" s="306"/>
      <c r="H106" s="334"/>
      <c r="I106" s="334"/>
      <c r="J106" s="334"/>
      <c r="K106" s="334"/>
      <c r="L106" s="334"/>
      <c r="M106" s="334"/>
      <c r="N106" s="334"/>
      <c r="O106" s="334"/>
      <c r="P106" s="334"/>
      <c r="Q106" s="334"/>
      <c r="R106" s="334"/>
      <c r="S106" s="334"/>
      <c r="T106" s="334"/>
      <c r="U106" s="334"/>
      <c r="V106" s="334"/>
      <c r="W106" s="334"/>
      <c r="X106" s="334"/>
      <c r="Y106" s="334"/>
      <c r="Z106" s="334"/>
      <c r="AA106" s="334"/>
      <c r="AB106" s="334"/>
      <c r="AC106" s="334"/>
      <c r="AD106" s="334"/>
      <c r="AE106" s="334"/>
      <c r="AF106" s="334"/>
      <c r="AG106" s="334"/>
      <c r="AH106" s="334"/>
      <c r="AI106" s="334"/>
      <c r="AJ106" s="334"/>
      <c r="AK106" s="334"/>
      <c r="AL106" s="334"/>
      <c r="AM106" s="334"/>
      <c r="AN106" s="334"/>
      <c r="AO106" s="334"/>
      <c r="AP106" s="334"/>
      <c r="AQ106" s="316"/>
      <c r="AR106" s="316"/>
      <c r="AS106" s="1232"/>
      <c r="AT106" s="317"/>
      <c r="AU106" s="317"/>
      <c r="AV106" s="1233"/>
      <c r="AW106" s="317"/>
      <c r="AX106" s="1232"/>
      <c r="AY106" s="317"/>
      <c r="AZ106" s="317"/>
      <c r="BA106" s="1233"/>
      <c r="BB106" s="317"/>
      <c r="BC106" s="1232"/>
      <c r="BD106" s="317"/>
      <c r="BE106" s="317"/>
      <c r="BF106" s="1233"/>
      <c r="BG106" s="317"/>
      <c r="BH106" s="1232"/>
      <c r="BI106" s="317"/>
      <c r="BJ106" s="317"/>
      <c r="BK106" s="1233"/>
      <c r="BL106" s="317"/>
      <c r="BM106" s="1232"/>
      <c r="BN106" s="317"/>
      <c r="BO106" s="607">
        <f>+BO105*$G101/4</f>
        <v>2.5</v>
      </c>
      <c r="BP106" s="1237">
        <f>+BP105*$G101/4</f>
        <v>5</v>
      </c>
      <c r="BQ106" s="317"/>
      <c r="BR106" s="1236">
        <f>+BR105*$G101/4</f>
        <v>5</v>
      </c>
      <c r="BS106" s="607">
        <f>+BS105*$G101/4</f>
        <v>5</v>
      </c>
      <c r="BT106" s="607">
        <f>+BT105*$G101/4</f>
        <v>5</v>
      </c>
      <c r="BU106" s="1237">
        <f>+BU105*$G101/4</f>
        <v>5</v>
      </c>
      <c r="BV106" s="317"/>
      <c r="BW106" s="1236">
        <f>+BW105*$G101/4</f>
        <v>5</v>
      </c>
      <c r="BX106" s="607">
        <f>+BX105*$G101/4</f>
        <v>5</v>
      </c>
      <c r="BY106" s="607">
        <f>+BY105*$G101/4</f>
        <v>5</v>
      </c>
      <c r="BZ106" s="1237">
        <f>+BZ105*$G101/4</f>
        <v>5</v>
      </c>
      <c r="CA106" s="317"/>
      <c r="CB106" s="1236">
        <f>+CB105*$G101/4</f>
        <v>5</v>
      </c>
      <c r="CC106" s="607">
        <f>+CC105*$G101/4</f>
        <v>5</v>
      </c>
      <c r="CD106" s="607">
        <f>+CD105*$G101/4</f>
        <v>5</v>
      </c>
      <c r="CE106" s="1237">
        <f>+CE105*$G101/4</f>
        <v>5</v>
      </c>
      <c r="CF106" s="607"/>
      <c r="CG106" s="1236">
        <f>+CG105*$G101/4</f>
        <v>5</v>
      </c>
      <c r="CH106" s="607">
        <f>+CH105*$G101/4</f>
        <v>5</v>
      </c>
      <c r="CI106" s="607">
        <f>+CI105*$G101/4</f>
        <v>5</v>
      </c>
      <c r="CJ106" s="1237">
        <f>+CJ105*$G101/4</f>
        <v>5</v>
      </c>
      <c r="CK106" s="607"/>
      <c r="CL106" s="1236">
        <f>+CL105*$G101/4</f>
        <v>5</v>
      </c>
      <c r="CM106" s="607">
        <f>+CM105*$G101/4</f>
        <v>5</v>
      </c>
      <c r="CN106" s="607">
        <f>+CN105*$G101/4</f>
        <v>5</v>
      </c>
      <c r="CO106" s="1237">
        <f>+CO105*$G101/4</f>
        <v>5</v>
      </c>
      <c r="CP106" s="317"/>
      <c r="CQ106" s="1236">
        <f>+CQ105*$G101/4</f>
        <v>5</v>
      </c>
      <c r="CR106" s="607">
        <f>+CR105*$G101/4</f>
        <v>5</v>
      </c>
      <c r="CS106" s="607">
        <f>+CS105*$G101/4</f>
        <v>5</v>
      </c>
      <c r="CT106" s="1237">
        <f>+CT105*$G101/4</f>
        <v>5</v>
      </c>
      <c r="CU106" s="317"/>
      <c r="CV106" s="1236">
        <f>+CV105*$G101/4</f>
        <v>5</v>
      </c>
      <c r="CW106" s="607">
        <f>+CW105*$G101/4</f>
        <v>5</v>
      </c>
      <c r="CX106" s="607">
        <f>+CX105*$G101/4</f>
        <v>5</v>
      </c>
      <c r="CY106" s="1237">
        <f>+CY105*$G101/4</f>
        <v>5</v>
      </c>
      <c r="CZ106" s="317"/>
    </row>
    <row r="107" spans="1:104" ht="13.5" customHeight="1" outlineLevel="1">
      <c r="A107" s="305"/>
      <c r="B107" s="305" t="s">
        <v>184</v>
      </c>
      <c r="C107" s="305"/>
      <c r="D107" s="306"/>
      <c r="E107" s="306"/>
      <c r="F107" s="306"/>
      <c r="G107" s="306"/>
      <c r="H107" s="306"/>
      <c r="I107" s="306"/>
      <c r="J107" s="306"/>
      <c r="K107" s="306"/>
      <c r="L107" s="306"/>
      <c r="M107" s="306"/>
      <c r="N107" s="306"/>
      <c r="O107" s="306"/>
      <c r="P107" s="306"/>
      <c r="Q107" s="306"/>
      <c r="R107" s="306"/>
      <c r="S107" s="306"/>
      <c r="T107" s="306"/>
      <c r="U107" s="306"/>
      <c r="V107" s="306"/>
      <c r="W107" s="306"/>
      <c r="X107" s="306"/>
      <c r="Y107" s="306"/>
      <c r="Z107" s="306"/>
      <c r="AA107" s="306"/>
      <c r="AB107" s="306"/>
      <c r="AC107" s="306"/>
      <c r="AD107" s="306"/>
      <c r="AE107" s="306"/>
      <c r="AF107" s="306"/>
      <c r="AG107" s="306"/>
      <c r="AH107" s="306"/>
      <c r="AI107" s="306"/>
      <c r="AJ107" s="306"/>
      <c r="AK107" s="306"/>
      <c r="AL107" s="306"/>
      <c r="AM107" s="306"/>
      <c r="AN107" s="306"/>
      <c r="AO107" s="306"/>
      <c r="AP107" s="306"/>
      <c r="AQ107" s="316"/>
      <c r="AR107" s="332"/>
      <c r="AS107" s="1240"/>
      <c r="AT107" s="317"/>
      <c r="AU107" s="307"/>
      <c r="AV107" s="1233"/>
      <c r="AW107" s="307"/>
      <c r="AX107" s="1240"/>
      <c r="AY107" s="317"/>
      <c r="AZ107" s="307"/>
      <c r="BA107" s="1233"/>
      <c r="BB107" s="307"/>
      <c r="BC107" s="1240"/>
      <c r="BD107" s="317"/>
      <c r="BE107" s="307"/>
      <c r="BF107" s="1233"/>
      <c r="BG107" s="307"/>
      <c r="BH107" s="1240"/>
      <c r="BI107" s="317"/>
      <c r="BJ107" s="307"/>
      <c r="BK107" s="1233"/>
      <c r="BL107" s="307"/>
      <c r="BM107" s="1240"/>
      <c r="BN107" s="317"/>
      <c r="BO107" s="307"/>
      <c r="BP107" s="1237">
        <f>+BO106+BP106</f>
        <v>7.5</v>
      </c>
      <c r="BQ107" s="307"/>
      <c r="BR107" s="1240"/>
      <c r="BS107" s="607">
        <f>+BR106+BS106</f>
        <v>10</v>
      </c>
      <c r="BT107" s="307"/>
      <c r="BU107" s="1237">
        <f>+BT106+BU106</f>
        <v>10</v>
      </c>
      <c r="BV107" s="307"/>
      <c r="BW107" s="1240"/>
      <c r="BX107" s="607">
        <f>+BW106+BX106</f>
        <v>10</v>
      </c>
      <c r="BY107" s="307"/>
      <c r="BZ107" s="1237">
        <f>+BY106+BZ106</f>
        <v>10</v>
      </c>
      <c r="CA107" s="307"/>
      <c r="CB107" s="1240"/>
      <c r="CC107" s="607">
        <f>+CB106+CC106</f>
        <v>10</v>
      </c>
      <c r="CD107" s="307"/>
      <c r="CE107" s="1237">
        <f>+CD106+CE106</f>
        <v>10</v>
      </c>
      <c r="CF107" s="762"/>
      <c r="CG107" s="1280"/>
      <c r="CH107" s="762">
        <f>+CG106+CH106</f>
        <v>10</v>
      </c>
      <c r="CI107" s="307"/>
      <c r="CJ107" s="1237">
        <f>+CI106+CJ106</f>
        <v>10</v>
      </c>
      <c r="CK107" s="762"/>
      <c r="CL107" s="1240"/>
      <c r="CM107" s="607">
        <f>+CL106+CM106</f>
        <v>10</v>
      </c>
      <c r="CN107" s="307"/>
      <c r="CO107" s="1237">
        <f>+CN106+CO106</f>
        <v>10</v>
      </c>
      <c r="CP107" s="307"/>
      <c r="CQ107" s="1240"/>
      <c r="CR107" s="607">
        <f>+CQ106+CR106</f>
        <v>10</v>
      </c>
      <c r="CS107" s="307"/>
      <c r="CT107" s="1237">
        <f>+CS106+CT106</f>
        <v>10</v>
      </c>
      <c r="CU107" s="307"/>
      <c r="CV107" s="1240"/>
      <c r="CW107" s="607">
        <f>+CV106+CW106</f>
        <v>10</v>
      </c>
      <c r="CX107" s="307"/>
      <c r="CY107" s="1237">
        <f>+CX106+CY106</f>
        <v>10</v>
      </c>
      <c r="CZ107" s="307"/>
    </row>
    <row r="108" spans="1:104" ht="6.2" customHeight="1" outlineLevel="1">
      <c r="A108" s="305"/>
      <c r="B108" s="305"/>
      <c r="C108" s="305"/>
      <c r="D108" s="306"/>
      <c r="E108" s="306"/>
      <c r="F108" s="306"/>
      <c r="G108" s="306"/>
      <c r="H108" s="306"/>
      <c r="I108" s="306"/>
      <c r="J108" s="306"/>
      <c r="K108" s="306"/>
      <c r="L108" s="306"/>
      <c r="M108" s="306"/>
      <c r="N108" s="306"/>
      <c r="O108" s="306"/>
      <c r="P108" s="306"/>
      <c r="Q108" s="306"/>
      <c r="R108" s="306"/>
      <c r="S108" s="306"/>
      <c r="T108" s="306"/>
      <c r="U108" s="306"/>
      <c r="V108" s="306"/>
      <c r="W108" s="306"/>
      <c r="X108" s="306"/>
      <c r="Y108" s="306"/>
      <c r="Z108" s="306"/>
      <c r="AA108" s="306"/>
      <c r="AB108" s="306"/>
      <c r="AC108" s="306"/>
      <c r="AD108" s="306"/>
      <c r="AE108" s="306"/>
      <c r="AF108" s="306"/>
      <c r="AG108" s="306"/>
      <c r="AH108" s="306"/>
      <c r="AI108" s="306"/>
      <c r="AJ108" s="306"/>
      <c r="AK108" s="306"/>
      <c r="AL108" s="306"/>
      <c r="AM108" s="306"/>
      <c r="AN108" s="306"/>
      <c r="AO108" s="306"/>
      <c r="AP108" s="306"/>
      <c r="AQ108" s="316"/>
      <c r="AR108" s="332"/>
      <c r="AS108" s="1240"/>
      <c r="AT108" s="317"/>
      <c r="AU108" s="307"/>
      <c r="AV108" s="1233"/>
      <c r="AW108" s="307"/>
      <c r="AX108" s="1240"/>
      <c r="AY108" s="317"/>
      <c r="AZ108" s="307"/>
      <c r="BA108" s="1233"/>
      <c r="BB108" s="307"/>
      <c r="BC108" s="1240"/>
      <c r="BD108" s="317"/>
      <c r="BE108" s="307"/>
      <c r="BF108" s="1233"/>
      <c r="BG108" s="307"/>
      <c r="BH108" s="1240"/>
      <c r="BI108" s="317"/>
      <c r="BJ108" s="307"/>
      <c r="BK108" s="1233"/>
      <c r="BL108" s="307"/>
      <c r="BM108" s="1240"/>
      <c r="BN108" s="317"/>
      <c r="BO108" s="307"/>
      <c r="BP108" s="1233"/>
      <c r="BQ108" s="307"/>
      <c r="BR108" s="1240"/>
      <c r="BS108" s="317"/>
      <c r="BT108" s="307"/>
      <c r="BU108" s="1233"/>
      <c r="BV108" s="307"/>
      <c r="BW108" s="1240"/>
      <c r="BX108" s="317"/>
      <c r="BY108" s="307"/>
      <c r="BZ108" s="1233"/>
      <c r="CA108" s="307"/>
      <c r="CB108" s="1240"/>
      <c r="CC108" s="317"/>
      <c r="CD108" s="307"/>
      <c r="CE108" s="1237"/>
      <c r="CF108" s="762"/>
      <c r="CG108" s="1280"/>
      <c r="CH108" s="762"/>
      <c r="CI108" s="307"/>
      <c r="CJ108" s="1237"/>
      <c r="CK108" s="762"/>
      <c r="CL108" s="1240"/>
      <c r="CM108" s="317"/>
      <c r="CN108" s="307"/>
      <c r="CO108" s="1233"/>
      <c r="CP108" s="307"/>
      <c r="CQ108" s="1240"/>
      <c r="CR108" s="317"/>
      <c r="CS108" s="307"/>
      <c r="CT108" s="1233"/>
      <c r="CU108" s="307"/>
      <c r="CV108" s="1240"/>
      <c r="CW108" s="317"/>
      <c r="CX108" s="307"/>
      <c r="CY108" s="1233"/>
      <c r="CZ108" s="307"/>
    </row>
    <row r="109" spans="1:104" ht="13.5" customHeight="1" outlineLevel="1">
      <c r="A109" s="315" t="s">
        <v>499</v>
      </c>
      <c r="B109" s="305"/>
      <c r="C109" s="305"/>
      <c r="D109" s="306"/>
      <c r="E109" s="306"/>
      <c r="F109" s="306"/>
      <c r="G109" s="333">
        <v>5.1999999999999998E-2</v>
      </c>
      <c r="H109" s="324"/>
      <c r="I109" s="306"/>
      <c r="J109" s="306"/>
      <c r="K109" s="306"/>
      <c r="L109" s="306"/>
      <c r="M109" s="306"/>
      <c r="N109" s="306"/>
      <c r="O109" s="306"/>
      <c r="P109" s="306"/>
      <c r="Q109" s="306"/>
      <c r="R109" s="306"/>
      <c r="S109" s="306"/>
      <c r="T109" s="306"/>
      <c r="U109" s="306"/>
      <c r="V109" s="306"/>
      <c r="W109" s="306"/>
      <c r="X109" s="306"/>
      <c r="Y109" s="306"/>
      <c r="Z109" s="306"/>
      <c r="AA109" s="306"/>
      <c r="AB109" s="306"/>
      <c r="AC109" s="306"/>
      <c r="AD109" s="306"/>
      <c r="AE109" s="306"/>
      <c r="AF109" s="306"/>
      <c r="AG109" s="306"/>
      <c r="AH109" s="306"/>
      <c r="AI109" s="306"/>
      <c r="AJ109" s="306"/>
      <c r="AK109" s="306"/>
      <c r="AL109" s="306"/>
      <c r="AM109" s="306"/>
      <c r="AN109" s="306"/>
      <c r="AO109" s="306"/>
      <c r="AP109" s="306"/>
      <c r="AQ109" s="332"/>
      <c r="AR109" s="332"/>
      <c r="AS109" s="1240"/>
      <c r="AT109" s="307"/>
      <c r="AU109" s="307"/>
      <c r="AV109" s="1241"/>
      <c r="AW109" s="307"/>
      <c r="AX109" s="1240"/>
      <c r="AY109" s="307"/>
      <c r="AZ109" s="307"/>
      <c r="BA109" s="1241"/>
      <c r="BB109" s="307"/>
      <c r="BC109" s="1240"/>
      <c r="BD109" s="307"/>
      <c r="BE109" s="307"/>
      <c r="BF109" s="1241"/>
      <c r="BG109" s="307"/>
      <c r="BH109" s="1240"/>
      <c r="BI109" s="307"/>
      <c r="BJ109" s="307"/>
      <c r="BK109" s="1241"/>
      <c r="BL109" s="307"/>
      <c r="BM109" s="1240"/>
      <c r="BN109" s="307"/>
      <c r="BO109" s="307"/>
      <c r="BP109" s="1241"/>
      <c r="BQ109" s="307"/>
      <c r="BR109" s="1240"/>
      <c r="BS109" s="307"/>
      <c r="BT109" s="307"/>
      <c r="BU109" s="1241"/>
      <c r="BV109" s="307"/>
      <c r="BW109" s="1240"/>
      <c r="BX109" s="307"/>
      <c r="BY109" s="307"/>
      <c r="BZ109" s="1241"/>
      <c r="CA109" s="307"/>
      <c r="CB109" s="1240"/>
      <c r="CC109" s="307"/>
      <c r="CD109" s="307"/>
      <c r="CE109" s="1275"/>
      <c r="CF109" s="762"/>
      <c r="CG109" s="1280"/>
      <c r="CH109" s="762"/>
      <c r="CI109" s="307"/>
      <c r="CJ109" s="1275"/>
      <c r="CK109" s="762"/>
      <c r="CL109" s="1240"/>
      <c r="CM109" s="307"/>
      <c r="CN109" s="307"/>
      <c r="CO109" s="1241"/>
      <c r="CP109" s="307"/>
      <c r="CQ109" s="1240"/>
      <c r="CR109" s="307"/>
      <c r="CS109" s="307"/>
      <c r="CT109" s="1241"/>
      <c r="CU109" s="307"/>
      <c r="CV109" s="1240"/>
      <c r="CW109" s="307"/>
      <c r="CX109" s="307"/>
      <c r="CY109" s="1241"/>
      <c r="CZ109" s="307"/>
    </row>
    <row r="110" spans="1:104" ht="13.5" customHeight="1" outlineLevel="1">
      <c r="A110" s="305"/>
      <c r="B110" s="305" t="s">
        <v>179</v>
      </c>
      <c r="C110" s="305"/>
      <c r="D110" s="306"/>
      <c r="E110" s="306"/>
      <c r="F110" s="306"/>
      <c r="G110" s="306"/>
      <c r="H110" s="334"/>
      <c r="I110" s="334"/>
      <c r="J110" s="334"/>
      <c r="K110" s="334"/>
      <c r="L110" s="334"/>
      <c r="M110" s="334"/>
      <c r="N110" s="334"/>
      <c r="O110" s="334"/>
      <c r="P110" s="334"/>
      <c r="Q110" s="334"/>
      <c r="R110" s="334"/>
      <c r="S110" s="334"/>
      <c r="T110" s="334"/>
      <c r="U110" s="334"/>
      <c r="V110" s="334"/>
      <c r="W110" s="334"/>
      <c r="X110" s="334"/>
      <c r="Y110" s="334"/>
      <c r="Z110" s="334"/>
      <c r="AA110" s="334"/>
      <c r="AB110" s="334"/>
      <c r="AC110" s="334"/>
      <c r="AD110" s="334"/>
      <c r="AE110" s="334"/>
      <c r="AF110" s="334"/>
      <c r="AG110" s="334"/>
      <c r="AH110" s="334"/>
      <c r="AI110" s="334"/>
      <c r="AJ110" s="334"/>
      <c r="AK110" s="334"/>
      <c r="AL110" s="334"/>
      <c r="AM110" s="334"/>
      <c r="AN110" s="334"/>
      <c r="AO110" s="334"/>
      <c r="AP110" s="334"/>
      <c r="AQ110" s="316"/>
      <c r="AR110" s="316"/>
      <c r="AS110" s="1232"/>
      <c r="AT110" s="317"/>
      <c r="AU110" s="317"/>
      <c r="AV110" s="1233"/>
      <c r="AW110" s="317"/>
      <c r="AX110" s="1232"/>
      <c r="AY110" s="317"/>
      <c r="AZ110" s="317"/>
      <c r="BA110" s="1233"/>
      <c r="BB110" s="317"/>
      <c r="BC110" s="1232"/>
      <c r="BD110" s="317"/>
      <c r="BE110" s="317"/>
      <c r="BF110" s="1233"/>
      <c r="BG110" s="317"/>
      <c r="BH110" s="1232"/>
      <c r="BI110" s="317"/>
      <c r="BJ110" s="317"/>
      <c r="BK110" s="1233"/>
      <c r="BL110" s="317"/>
      <c r="BM110" s="1232"/>
      <c r="BN110" s="317"/>
      <c r="BO110" s="607">
        <f>+BN112</f>
        <v>0</v>
      </c>
      <c r="BP110" s="1237">
        <f>+BO112</f>
        <v>500</v>
      </c>
      <c r="BQ110" s="317"/>
      <c r="BR110" s="1236">
        <f>+BQ112</f>
        <v>500</v>
      </c>
      <c r="BS110" s="607">
        <f>+BR112</f>
        <v>500</v>
      </c>
      <c r="BT110" s="607">
        <f>+BS112</f>
        <v>500</v>
      </c>
      <c r="BU110" s="1237">
        <f>+BT112</f>
        <v>500</v>
      </c>
      <c r="BV110" s="317"/>
      <c r="BW110" s="1236">
        <f>+BV112</f>
        <v>500</v>
      </c>
      <c r="BX110" s="607">
        <f>+BW112</f>
        <v>500</v>
      </c>
      <c r="BY110" s="607">
        <f>+BX112</f>
        <v>500</v>
      </c>
      <c r="BZ110" s="1237">
        <f>+BY112</f>
        <v>500</v>
      </c>
      <c r="CA110" s="317"/>
      <c r="CB110" s="1236">
        <f>+CA112</f>
        <v>500</v>
      </c>
      <c r="CC110" s="607">
        <f>+CB112</f>
        <v>500</v>
      </c>
      <c r="CD110" s="607">
        <f>+CC112</f>
        <v>500</v>
      </c>
      <c r="CE110" s="1237">
        <f>+CD112</f>
        <v>500</v>
      </c>
      <c r="CF110" s="607"/>
      <c r="CG110" s="1236">
        <f>+CF112</f>
        <v>500</v>
      </c>
      <c r="CH110" s="607">
        <f>+CG112</f>
        <v>500</v>
      </c>
      <c r="CI110" s="607">
        <f>+CH112</f>
        <v>500</v>
      </c>
      <c r="CJ110" s="1237">
        <f>+CI112</f>
        <v>500</v>
      </c>
      <c r="CK110" s="607"/>
      <c r="CL110" s="1236">
        <f>+CK112</f>
        <v>500</v>
      </c>
      <c r="CM110" s="607">
        <f>+CL112</f>
        <v>500</v>
      </c>
      <c r="CN110" s="607">
        <f>+CM112</f>
        <v>500</v>
      </c>
      <c r="CO110" s="1237">
        <f>+CN112</f>
        <v>500</v>
      </c>
      <c r="CP110" s="317"/>
      <c r="CQ110" s="1236">
        <f>+CP112</f>
        <v>500</v>
      </c>
      <c r="CR110" s="607">
        <f>+CQ112</f>
        <v>500</v>
      </c>
      <c r="CS110" s="607">
        <f>+CR112</f>
        <v>500</v>
      </c>
      <c r="CT110" s="1237">
        <f>+CS112</f>
        <v>500</v>
      </c>
      <c r="CU110" s="317"/>
      <c r="CV110" s="1236">
        <f>+CU112</f>
        <v>500</v>
      </c>
      <c r="CW110" s="607">
        <f>+CV112</f>
        <v>500</v>
      </c>
      <c r="CX110" s="607">
        <f>+CW112</f>
        <v>500</v>
      </c>
      <c r="CY110" s="1237">
        <f>+CX112</f>
        <v>500</v>
      </c>
      <c r="CZ110" s="317"/>
    </row>
    <row r="111" spans="1:104" ht="13.5" customHeight="1" outlineLevel="1">
      <c r="A111" s="305"/>
      <c r="B111" s="305" t="s">
        <v>181</v>
      </c>
      <c r="C111" s="305"/>
      <c r="D111" s="306"/>
      <c r="E111" s="306"/>
      <c r="F111" s="306"/>
      <c r="G111" s="306"/>
      <c r="H111" s="334"/>
      <c r="I111" s="334"/>
      <c r="J111" s="334"/>
      <c r="K111" s="334"/>
      <c r="L111" s="334"/>
      <c r="M111" s="334"/>
      <c r="N111" s="334"/>
      <c r="O111" s="334"/>
      <c r="P111" s="334"/>
      <c r="Q111" s="334"/>
      <c r="R111" s="334"/>
      <c r="S111" s="334"/>
      <c r="T111" s="334"/>
      <c r="U111" s="334"/>
      <c r="V111" s="334"/>
      <c r="W111" s="334"/>
      <c r="X111" s="334"/>
      <c r="Y111" s="334"/>
      <c r="Z111" s="334"/>
      <c r="AA111" s="334"/>
      <c r="AB111" s="334"/>
      <c r="AC111" s="334"/>
      <c r="AD111" s="334"/>
      <c r="AE111" s="334"/>
      <c r="AF111" s="334"/>
      <c r="AG111" s="334"/>
      <c r="AH111" s="334"/>
      <c r="AI111" s="334"/>
      <c r="AJ111" s="334"/>
      <c r="AK111" s="334"/>
      <c r="AL111" s="334"/>
      <c r="AM111" s="334"/>
      <c r="AN111" s="334"/>
      <c r="AO111" s="334"/>
      <c r="AP111" s="334"/>
      <c r="AQ111" s="316"/>
      <c r="AR111" s="316"/>
      <c r="AS111" s="1232"/>
      <c r="AT111" s="317"/>
      <c r="AU111" s="317"/>
      <c r="AV111" s="1233"/>
      <c r="AW111" s="317"/>
      <c r="AX111" s="1232"/>
      <c r="AY111" s="317"/>
      <c r="AZ111" s="317"/>
      <c r="BA111" s="1233"/>
      <c r="BB111" s="317"/>
      <c r="BC111" s="1232"/>
      <c r="BD111" s="317"/>
      <c r="BE111" s="317"/>
      <c r="BF111" s="1233"/>
      <c r="BG111" s="317"/>
      <c r="BH111" s="1232"/>
      <c r="BI111" s="317"/>
      <c r="BJ111" s="317"/>
      <c r="BK111" s="1233"/>
      <c r="BL111" s="317"/>
      <c r="BM111" s="1232"/>
      <c r="BN111" s="317"/>
      <c r="BO111" s="605">
        <v>0</v>
      </c>
      <c r="BP111" s="1239">
        <v>0</v>
      </c>
      <c r="BQ111" s="317"/>
      <c r="BR111" s="1238">
        <v>0</v>
      </c>
      <c r="BS111" s="605">
        <v>0</v>
      </c>
      <c r="BT111" s="605">
        <v>0</v>
      </c>
      <c r="BU111" s="1239">
        <v>0</v>
      </c>
      <c r="BV111" s="317"/>
      <c r="BW111" s="1238">
        <v>0</v>
      </c>
      <c r="BX111" s="605">
        <v>0</v>
      </c>
      <c r="BY111" s="605">
        <v>0</v>
      </c>
      <c r="BZ111" s="1239">
        <v>0</v>
      </c>
      <c r="CA111" s="317"/>
      <c r="CB111" s="1238">
        <v>0</v>
      </c>
      <c r="CC111" s="605">
        <v>0</v>
      </c>
      <c r="CD111" s="605">
        <v>0</v>
      </c>
      <c r="CE111" s="1239">
        <v>0</v>
      </c>
      <c r="CF111" s="607"/>
      <c r="CG111" s="1238">
        <v>0</v>
      </c>
      <c r="CH111" s="605">
        <v>0</v>
      </c>
      <c r="CI111" s="605">
        <v>0</v>
      </c>
      <c r="CJ111" s="1239">
        <v>0</v>
      </c>
      <c r="CK111" s="607"/>
      <c r="CL111" s="1238">
        <v>0</v>
      </c>
      <c r="CM111" s="605">
        <v>0</v>
      </c>
      <c r="CN111" s="605">
        <v>0</v>
      </c>
      <c r="CO111" s="1239">
        <v>0</v>
      </c>
      <c r="CP111" s="317"/>
      <c r="CQ111" s="1238">
        <v>0</v>
      </c>
      <c r="CR111" s="605">
        <v>0</v>
      </c>
      <c r="CS111" s="605">
        <v>0</v>
      </c>
      <c r="CT111" s="1239">
        <v>0</v>
      </c>
      <c r="CU111" s="317"/>
      <c r="CV111" s="1238">
        <v>0</v>
      </c>
      <c r="CW111" s="605">
        <v>0</v>
      </c>
      <c r="CX111" s="605">
        <v>0</v>
      </c>
      <c r="CY111" s="1239">
        <v>0</v>
      </c>
      <c r="CZ111" s="317"/>
    </row>
    <row r="112" spans="1:104" ht="13.5" customHeight="1" outlineLevel="1">
      <c r="A112" s="305"/>
      <c r="B112" s="305" t="s">
        <v>182</v>
      </c>
      <c r="C112" s="305"/>
      <c r="D112" s="306"/>
      <c r="E112" s="306"/>
      <c r="F112" s="306"/>
      <c r="G112" s="306"/>
      <c r="H112" s="335">
        <v>0</v>
      </c>
      <c r="I112" s="335"/>
      <c r="J112" s="335"/>
      <c r="K112" s="335"/>
      <c r="L112" s="335"/>
      <c r="M112" s="335"/>
      <c r="N112" s="335"/>
      <c r="O112" s="335"/>
      <c r="P112" s="335"/>
      <c r="Q112" s="335"/>
      <c r="R112" s="335"/>
      <c r="S112" s="335"/>
      <c r="T112" s="335"/>
      <c r="U112" s="335"/>
      <c r="V112" s="335"/>
      <c r="W112" s="335"/>
      <c r="X112" s="335"/>
      <c r="Y112" s="335"/>
      <c r="Z112" s="335"/>
      <c r="AA112" s="335"/>
      <c r="AB112" s="335"/>
      <c r="AC112" s="335"/>
      <c r="AD112" s="335"/>
      <c r="AE112" s="335"/>
      <c r="AF112" s="335"/>
      <c r="AG112" s="335"/>
      <c r="AH112" s="335"/>
      <c r="AI112" s="335"/>
      <c r="AJ112" s="335"/>
      <c r="AK112" s="335"/>
      <c r="AL112" s="335"/>
      <c r="AM112" s="335"/>
      <c r="AN112" s="335"/>
      <c r="AO112" s="335"/>
      <c r="AP112" s="335"/>
      <c r="AQ112" s="316"/>
      <c r="AR112" s="316"/>
      <c r="AS112" s="1232"/>
      <c r="AT112" s="317"/>
      <c r="AU112" s="317"/>
      <c r="AV112" s="1233"/>
      <c r="AW112" s="328"/>
      <c r="AX112" s="1232"/>
      <c r="AY112" s="317"/>
      <c r="AZ112" s="317"/>
      <c r="BA112" s="1233"/>
      <c r="BB112" s="328"/>
      <c r="BC112" s="1232"/>
      <c r="BD112" s="317"/>
      <c r="BE112" s="317"/>
      <c r="BF112" s="1233"/>
      <c r="BG112" s="328"/>
      <c r="BH112" s="1232"/>
      <c r="BI112" s="317"/>
      <c r="BJ112" s="317"/>
      <c r="BK112" s="1233"/>
      <c r="BL112" s="328"/>
      <c r="BM112" s="1232"/>
      <c r="BN112" s="317"/>
      <c r="BO112" s="605">
        <v>500</v>
      </c>
      <c r="BP112" s="1237">
        <f>+BP110+BP111</f>
        <v>500</v>
      </c>
      <c r="BQ112" s="607">
        <f>+BP112</f>
        <v>500</v>
      </c>
      <c r="BR112" s="1236">
        <f>+BR110+BR111</f>
        <v>500</v>
      </c>
      <c r="BS112" s="607">
        <f>+BS110+BS111</f>
        <v>500</v>
      </c>
      <c r="BT112" s="607">
        <f>+BT110+BT111</f>
        <v>500</v>
      </c>
      <c r="BU112" s="1237">
        <f>+BU110+BU111</f>
        <v>500</v>
      </c>
      <c r="BV112" s="607">
        <f>+BU112</f>
        <v>500</v>
      </c>
      <c r="BW112" s="1236">
        <f>+BW110+BW111</f>
        <v>500</v>
      </c>
      <c r="BX112" s="607">
        <f>+BX110+BX111</f>
        <v>500</v>
      </c>
      <c r="BY112" s="607">
        <f>+BY110+BY111</f>
        <v>500</v>
      </c>
      <c r="BZ112" s="1237">
        <f>+BZ110+BZ111</f>
        <v>500</v>
      </c>
      <c r="CA112" s="607">
        <f>+BZ112</f>
        <v>500</v>
      </c>
      <c r="CB112" s="1236">
        <f>+CB110+CB111</f>
        <v>500</v>
      </c>
      <c r="CC112" s="607">
        <f>+CC110+CC111</f>
        <v>500</v>
      </c>
      <c r="CD112" s="607">
        <f>+CD110+CD111</f>
        <v>500</v>
      </c>
      <c r="CE112" s="1237">
        <f>+CE110+CE111</f>
        <v>500</v>
      </c>
      <c r="CF112" s="607">
        <f>+CE112</f>
        <v>500</v>
      </c>
      <c r="CG112" s="1281">
        <f>+CG110+CG111</f>
        <v>500</v>
      </c>
      <c r="CH112" s="681">
        <f>+CH110+CH111</f>
        <v>500</v>
      </c>
      <c r="CI112" s="681">
        <f>+CI110+CI111</f>
        <v>500</v>
      </c>
      <c r="CJ112" s="1284">
        <f>+CJ110+CJ111</f>
        <v>500</v>
      </c>
      <c r="CK112" s="607">
        <f>+CJ112</f>
        <v>500</v>
      </c>
      <c r="CL112" s="1236">
        <f>+CL110+CL111</f>
        <v>500</v>
      </c>
      <c r="CM112" s="607">
        <f>+CM110+CM111</f>
        <v>500</v>
      </c>
      <c r="CN112" s="607">
        <f>+CN110+CN111</f>
        <v>500</v>
      </c>
      <c r="CO112" s="1237">
        <f>+CO110+CO111</f>
        <v>500</v>
      </c>
      <c r="CP112" s="607">
        <f>+CO112</f>
        <v>500</v>
      </c>
      <c r="CQ112" s="1236">
        <f>+CQ110+CQ111</f>
        <v>500</v>
      </c>
      <c r="CR112" s="607">
        <f>+CR110+CR111</f>
        <v>500</v>
      </c>
      <c r="CS112" s="607">
        <f>+CS110+CS111</f>
        <v>500</v>
      </c>
      <c r="CT112" s="1237">
        <f>+CT110+CT111</f>
        <v>500</v>
      </c>
      <c r="CU112" s="607">
        <f>+CT112</f>
        <v>500</v>
      </c>
      <c r="CV112" s="1236">
        <f>+CV110+CV111</f>
        <v>500</v>
      </c>
      <c r="CW112" s="607">
        <f>+CW110+CW111</f>
        <v>500</v>
      </c>
      <c r="CX112" s="607">
        <f>+CX110+CX111</f>
        <v>500</v>
      </c>
      <c r="CY112" s="1237">
        <f>+CY110+CY111</f>
        <v>500</v>
      </c>
      <c r="CZ112" s="607">
        <f>+CY112</f>
        <v>500</v>
      </c>
    </row>
    <row r="113" spans="1:104" ht="13.5" customHeight="1" outlineLevel="1">
      <c r="A113" s="305"/>
      <c r="B113" s="305" t="s">
        <v>183</v>
      </c>
      <c r="C113" s="305"/>
      <c r="D113" s="306"/>
      <c r="E113" s="306"/>
      <c r="F113" s="306"/>
      <c r="G113" s="306"/>
      <c r="H113" s="334"/>
      <c r="I113" s="334"/>
      <c r="J113" s="334"/>
      <c r="K113" s="334"/>
      <c r="L113" s="334"/>
      <c r="M113" s="334"/>
      <c r="N113" s="334"/>
      <c r="O113" s="334"/>
      <c r="P113" s="334"/>
      <c r="Q113" s="334"/>
      <c r="R113" s="334"/>
      <c r="S113" s="334"/>
      <c r="T113" s="334"/>
      <c r="U113" s="334"/>
      <c r="V113" s="334"/>
      <c r="W113" s="334"/>
      <c r="X113" s="334"/>
      <c r="Y113" s="334"/>
      <c r="Z113" s="334"/>
      <c r="AA113" s="334"/>
      <c r="AB113" s="334"/>
      <c r="AC113" s="334"/>
      <c r="AD113" s="334"/>
      <c r="AE113" s="334"/>
      <c r="AF113" s="334"/>
      <c r="AG113" s="334"/>
      <c r="AH113" s="334"/>
      <c r="AI113" s="334"/>
      <c r="AJ113" s="334"/>
      <c r="AK113" s="334"/>
      <c r="AL113" s="334"/>
      <c r="AM113" s="334"/>
      <c r="AN113" s="334"/>
      <c r="AO113" s="334"/>
      <c r="AP113" s="334"/>
      <c r="AQ113" s="316"/>
      <c r="AR113" s="316"/>
      <c r="AS113" s="1232"/>
      <c r="AT113" s="317"/>
      <c r="AU113" s="317"/>
      <c r="AV113" s="1233"/>
      <c r="AW113" s="317"/>
      <c r="AX113" s="1232"/>
      <c r="AY113" s="317"/>
      <c r="AZ113" s="317"/>
      <c r="BA113" s="1233"/>
      <c r="BB113" s="317"/>
      <c r="BC113" s="1232"/>
      <c r="BD113" s="317"/>
      <c r="BE113" s="317"/>
      <c r="BF113" s="1233"/>
      <c r="BG113" s="317"/>
      <c r="BH113" s="1232"/>
      <c r="BI113" s="317"/>
      <c r="BJ113" s="317"/>
      <c r="BK113" s="1233"/>
      <c r="BL113" s="317"/>
      <c r="BM113" s="1232"/>
      <c r="BN113" s="317"/>
      <c r="BO113" s="607">
        <f>+AVERAGE(BO110,BO112)</f>
        <v>250</v>
      </c>
      <c r="BP113" s="1237">
        <f>+AVERAGE(BP110,BP112)</f>
        <v>500</v>
      </c>
      <c r="BQ113" s="317"/>
      <c r="BR113" s="1236">
        <f>+AVERAGE(BR110,BR112)</f>
        <v>500</v>
      </c>
      <c r="BS113" s="607">
        <f>+AVERAGE(BS110,BS112)</f>
        <v>500</v>
      </c>
      <c r="BT113" s="607">
        <f>+AVERAGE(BT110,BT112)</f>
        <v>500</v>
      </c>
      <c r="BU113" s="1237">
        <f>+AVERAGE(BU110,BU112)</f>
        <v>500</v>
      </c>
      <c r="BV113" s="317"/>
      <c r="BW113" s="1236">
        <f>+AVERAGE(BW110,BW112)</f>
        <v>500</v>
      </c>
      <c r="BX113" s="607">
        <f>+AVERAGE(BX110,BX112)</f>
        <v>500</v>
      </c>
      <c r="BY113" s="607">
        <f>+AVERAGE(BY110,BY112)</f>
        <v>500</v>
      </c>
      <c r="BZ113" s="1237">
        <f>+AVERAGE(BZ110,BZ112)</f>
        <v>500</v>
      </c>
      <c r="CA113" s="317"/>
      <c r="CB113" s="1236">
        <f>+AVERAGE(CB110,CB112)</f>
        <v>500</v>
      </c>
      <c r="CC113" s="607">
        <f>+AVERAGE(CC110,CC112)</f>
        <v>500</v>
      </c>
      <c r="CD113" s="607">
        <f>+AVERAGE(CD110,CD112)</f>
        <v>500</v>
      </c>
      <c r="CE113" s="1237">
        <f>+AVERAGE(CE110,CE112)</f>
        <v>500</v>
      </c>
      <c r="CF113" s="607"/>
      <c r="CG113" s="1236">
        <f>+AVERAGE(CG110,CG112)</f>
        <v>500</v>
      </c>
      <c r="CH113" s="607">
        <f>+AVERAGE(CH110,CH112)</f>
        <v>500</v>
      </c>
      <c r="CI113" s="607">
        <f>+AVERAGE(CI110,CI112)</f>
        <v>500</v>
      </c>
      <c r="CJ113" s="1237">
        <f>+AVERAGE(CJ110,CJ112)</f>
        <v>500</v>
      </c>
      <c r="CK113" s="607"/>
      <c r="CL113" s="1236">
        <f>+AVERAGE(CL110,CL112)</f>
        <v>500</v>
      </c>
      <c r="CM113" s="607">
        <f>+AVERAGE(CM110,CM112)</f>
        <v>500</v>
      </c>
      <c r="CN113" s="607">
        <f>+AVERAGE(CN110,CN112)</f>
        <v>500</v>
      </c>
      <c r="CO113" s="1237">
        <f>+AVERAGE(CO110,CO112)</f>
        <v>500</v>
      </c>
      <c r="CP113" s="317"/>
      <c r="CQ113" s="1236">
        <f>+AVERAGE(CQ110,CQ112)</f>
        <v>500</v>
      </c>
      <c r="CR113" s="607">
        <f>+AVERAGE(CR110,CR112)</f>
        <v>500</v>
      </c>
      <c r="CS113" s="607">
        <f>+AVERAGE(CS110,CS112)</f>
        <v>500</v>
      </c>
      <c r="CT113" s="1237">
        <f>+AVERAGE(CT110,CT112)</f>
        <v>500</v>
      </c>
      <c r="CU113" s="317"/>
      <c r="CV113" s="1236">
        <f>+AVERAGE(CV110,CV112)</f>
        <v>500</v>
      </c>
      <c r="CW113" s="607">
        <f>+AVERAGE(CW110,CW112)</f>
        <v>500</v>
      </c>
      <c r="CX113" s="607">
        <f>+AVERAGE(CX110,CX112)</f>
        <v>500</v>
      </c>
      <c r="CY113" s="1237">
        <f>+AVERAGE(CY110,CY112)</f>
        <v>500</v>
      </c>
      <c r="CZ113" s="317"/>
    </row>
    <row r="114" spans="1:104" ht="13.5" customHeight="1" outlineLevel="1">
      <c r="A114" s="305"/>
      <c r="B114" s="305" t="s">
        <v>575</v>
      </c>
      <c r="C114" s="305"/>
      <c r="D114" s="306"/>
      <c r="E114" s="306"/>
      <c r="F114" s="306"/>
      <c r="G114" s="306"/>
      <c r="H114" s="334"/>
      <c r="I114" s="334"/>
      <c r="J114" s="334"/>
      <c r="K114" s="334"/>
      <c r="L114" s="334"/>
      <c r="M114" s="334"/>
      <c r="N114" s="334"/>
      <c r="O114" s="334"/>
      <c r="P114" s="334"/>
      <c r="Q114" s="334"/>
      <c r="R114" s="334"/>
      <c r="S114" s="334"/>
      <c r="T114" s="334"/>
      <c r="U114" s="334"/>
      <c r="V114" s="334"/>
      <c r="W114" s="334"/>
      <c r="X114" s="334"/>
      <c r="Y114" s="334"/>
      <c r="Z114" s="334"/>
      <c r="AA114" s="334"/>
      <c r="AB114" s="334"/>
      <c r="AC114" s="334"/>
      <c r="AD114" s="334"/>
      <c r="AE114" s="334"/>
      <c r="AF114" s="334"/>
      <c r="AG114" s="334"/>
      <c r="AH114" s="334"/>
      <c r="AI114" s="334"/>
      <c r="AJ114" s="334"/>
      <c r="AK114" s="334"/>
      <c r="AL114" s="334"/>
      <c r="AM114" s="334"/>
      <c r="AN114" s="334"/>
      <c r="AO114" s="334"/>
      <c r="AP114" s="334"/>
      <c r="AQ114" s="316"/>
      <c r="AR114" s="316"/>
      <c r="AS114" s="1232"/>
      <c r="AT114" s="317"/>
      <c r="AU114" s="317"/>
      <c r="AV114" s="1233"/>
      <c r="AW114" s="317"/>
      <c r="AX114" s="1232"/>
      <c r="AY114" s="317"/>
      <c r="AZ114" s="317"/>
      <c r="BA114" s="1233"/>
      <c r="BB114" s="317"/>
      <c r="BC114" s="1232"/>
      <c r="BD114" s="317"/>
      <c r="BE114" s="317"/>
      <c r="BF114" s="1233"/>
      <c r="BG114" s="317"/>
      <c r="BH114" s="1232"/>
      <c r="BI114" s="317"/>
      <c r="BJ114" s="317"/>
      <c r="BK114" s="1233"/>
      <c r="BL114" s="317"/>
      <c r="BM114" s="1232"/>
      <c r="BN114" s="317"/>
      <c r="BO114" s="607">
        <f>+BO113*$G109/4</f>
        <v>3.25</v>
      </c>
      <c r="BP114" s="1237">
        <f>+BP113*$G109/4</f>
        <v>6.5</v>
      </c>
      <c r="BQ114" s="317"/>
      <c r="BR114" s="1236">
        <f>+BR113*$G109/4</f>
        <v>6.5</v>
      </c>
      <c r="BS114" s="607">
        <f>+BS113*$G109/4</f>
        <v>6.5</v>
      </c>
      <c r="BT114" s="607">
        <f>+BT113*$G109/4</f>
        <v>6.5</v>
      </c>
      <c r="BU114" s="1237">
        <f>+BU113*$G109/4</f>
        <v>6.5</v>
      </c>
      <c r="BV114" s="317"/>
      <c r="BW114" s="1236">
        <f>+BW113*$G109/4</f>
        <v>6.5</v>
      </c>
      <c r="BX114" s="607">
        <f>+BX113*$G109/4</f>
        <v>6.5</v>
      </c>
      <c r="BY114" s="607">
        <f>+BY113*$G109/4</f>
        <v>6.5</v>
      </c>
      <c r="BZ114" s="1237">
        <f>+BZ113*$G109/4</f>
        <v>6.5</v>
      </c>
      <c r="CA114" s="317"/>
      <c r="CB114" s="1236">
        <f>+CB113*$G109/4</f>
        <v>6.5</v>
      </c>
      <c r="CC114" s="607">
        <f>+CC113*$G109/4</f>
        <v>6.5</v>
      </c>
      <c r="CD114" s="607">
        <f>+CD113*$G109/4</f>
        <v>6.5</v>
      </c>
      <c r="CE114" s="1237">
        <f>+CE113*$G109/4</f>
        <v>6.5</v>
      </c>
      <c r="CF114" s="607"/>
      <c r="CG114" s="1236">
        <f>+CG113*$G109/4</f>
        <v>6.5</v>
      </c>
      <c r="CH114" s="607">
        <f>+CH113*$G109/4</f>
        <v>6.5</v>
      </c>
      <c r="CI114" s="607">
        <f>+CI113*$G109/4</f>
        <v>6.5</v>
      </c>
      <c r="CJ114" s="1237">
        <f>+CJ113*$G109/4</f>
        <v>6.5</v>
      </c>
      <c r="CK114" s="607"/>
      <c r="CL114" s="1236">
        <f>+CL113*$G109/4</f>
        <v>6.5</v>
      </c>
      <c r="CM114" s="607">
        <f>+CM113*$G109/4</f>
        <v>6.5</v>
      </c>
      <c r="CN114" s="607">
        <f>+CN113*$G109/4</f>
        <v>6.5</v>
      </c>
      <c r="CO114" s="1237">
        <f>+CO113*$G109/4</f>
        <v>6.5</v>
      </c>
      <c r="CP114" s="317"/>
      <c r="CQ114" s="1236">
        <f>+CQ113*$G109/4</f>
        <v>6.5</v>
      </c>
      <c r="CR114" s="607">
        <f>+CR113*$G109/4</f>
        <v>6.5</v>
      </c>
      <c r="CS114" s="607">
        <f>+CS113*$G109/4</f>
        <v>6.5</v>
      </c>
      <c r="CT114" s="1237">
        <f>+CT113*$G109/4</f>
        <v>6.5</v>
      </c>
      <c r="CU114" s="317"/>
      <c r="CV114" s="1236">
        <f>+CV113*$G109/4</f>
        <v>6.5</v>
      </c>
      <c r="CW114" s="607">
        <f>+CW113*$G109/4</f>
        <v>6.5</v>
      </c>
      <c r="CX114" s="607">
        <f>+CX113*$G109/4</f>
        <v>6.5</v>
      </c>
      <c r="CY114" s="1237">
        <f>+CY113*$G109/4</f>
        <v>6.5</v>
      </c>
      <c r="CZ114" s="317"/>
    </row>
    <row r="115" spans="1:104" ht="13.5" customHeight="1" outlineLevel="1">
      <c r="A115" s="305"/>
      <c r="B115" s="305" t="s">
        <v>184</v>
      </c>
      <c r="C115" s="305"/>
      <c r="D115" s="306"/>
      <c r="E115" s="306"/>
      <c r="F115" s="306"/>
      <c r="G115" s="306"/>
      <c r="H115" s="306"/>
      <c r="I115" s="306"/>
      <c r="J115" s="306"/>
      <c r="K115" s="306"/>
      <c r="L115" s="306"/>
      <c r="M115" s="306"/>
      <c r="N115" s="306"/>
      <c r="O115" s="306"/>
      <c r="P115" s="306"/>
      <c r="Q115" s="306"/>
      <c r="R115" s="306"/>
      <c r="S115" s="306"/>
      <c r="T115" s="306"/>
      <c r="U115" s="306"/>
      <c r="V115" s="306"/>
      <c r="W115" s="306"/>
      <c r="X115" s="306"/>
      <c r="Y115" s="306"/>
      <c r="Z115" s="306"/>
      <c r="AA115" s="306"/>
      <c r="AB115" s="306"/>
      <c r="AC115" s="306"/>
      <c r="AD115" s="306"/>
      <c r="AE115" s="306"/>
      <c r="AF115" s="306"/>
      <c r="AG115" s="306"/>
      <c r="AH115" s="306"/>
      <c r="AI115" s="306"/>
      <c r="AJ115" s="306"/>
      <c r="AK115" s="306"/>
      <c r="AL115" s="306"/>
      <c r="AM115" s="306"/>
      <c r="AN115" s="306"/>
      <c r="AO115" s="306"/>
      <c r="AP115" s="306"/>
      <c r="AQ115" s="316"/>
      <c r="AR115" s="332"/>
      <c r="AS115" s="1240"/>
      <c r="AT115" s="317"/>
      <c r="AU115" s="307"/>
      <c r="AV115" s="1233"/>
      <c r="AW115" s="307"/>
      <c r="AX115" s="1240"/>
      <c r="AY115" s="317"/>
      <c r="AZ115" s="307"/>
      <c r="BA115" s="1233"/>
      <c r="BB115" s="307"/>
      <c r="BC115" s="1240"/>
      <c r="BD115" s="317"/>
      <c r="BE115" s="307"/>
      <c r="BF115" s="1233"/>
      <c r="BG115" s="307"/>
      <c r="BH115" s="1240"/>
      <c r="BI115" s="317"/>
      <c r="BJ115" s="307"/>
      <c r="BK115" s="1233"/>
      <c r="BL115" s="307"/>
      <c r="BM115" s="1240"/>
      <c r="BN115" s="317"/>
      <c r="BO115" s="307"/>
      <c r="BP115" s="1237">
        <f>+BO114+BP114</f>
        <v>9.75</v>
      </c>
      <c r="BQ115" s="307"/>
      <c r="BR115" s="1240"/>
      <c r="BS115" s="607">
        <f>+BR114+BS114</f>
        <v>13</v>
      </c>
      <c r="BT115" s="307"/>
      <c r="BU115" s="1237">
        <f>+BT114+BU114</f>
        <v>13</v>
      </c>
      <c r="BV115" s="307"/>
      <c r="BW115" s="1240"/>
      <c r="BX115" s="607">
        <f>+BW114+BX114</f>
        <v>13</v>
      </c>
      <c r="BY115" s="307"/>
      <c r="BZ115" s="1237">
        <f>+BY114+BZ114</f>
        <v>13</v>
      </c>
      <c r="CA115" s="307"/>
      <c r="CB115" s="1240"/>
      <c r="CC115" s="607">
        <f>+CB114+CC114</f>
        <v>13</v>
      </c>
      <c r="CD115" s="307"/>
      <c r="CE115" s="1237">
        <f>+CD114+CE114</f>
        <v>13</v>
      </c>
      <c r="CF115" s="762"/>
      <c r="CG115" s="1280"/>
      <c r="CH115" s="762">
        <f>+CG114+CH114</f>
        <v>13</v>
      </c>
      <c r="CI115" s="307"/>
      <c r="CJ115" s="1237">
        <f>+CI114+CJ114</f>
        <v>13</v>
      </c>
      <c r="CK115" s="762"/>
      <c r="CL115" s="1240"/>
      <c r="CM115" s="607">
        <f>+CL114+CM114</f>
        <v>13</v>
      </c>
      <c r="CN115" s="307"/>
      <c r="CO115" s="1237">
        <f>+CN114+CO114</f>
        <v>13</v>
      </c>
      <c r="CP115" s="307"/>
      <c r="CQ115" s="1240"/>
      <c r="CR115" s="607">
        <f>+CQ114+CR114</f>
        <v>13</v>
      </c>
      <c r="CS115" s="307"/>
      <c r="CT115" s="1237">
        <f>+CS114+CT114</f>
        <v>13</v>
      </c>
      <c r="CU115" s="307"/>
      <c r="CV115" s="1240"/>
      <c r="CW115" s="607">
        <f>+CV114+CW114</f>
        <v>13</v>
      </c>
      <c r="CX115" s="307"/>
      <c r="CY115" s="1237">
        <f>+CX114+CY114</f>
        <v>13</v>
      </c>
      <c r="CZ115" s="307"/>
    </row>
    <row r="116" spans="1:104" ht="6.2" customHeight="1" outlineLevel="1">
      <c r="A116" s="305"/>
      <c r="B116" s="305"/>
      <c r="C116" s="305"/>
      <c r="D116" s="306"/>
      <c r="E116" s="306"/>
      <c r="F116" s="306"/>
      <c r="G116" s="336"/>
      <c r="H116" s="306"/>
      <c r="I116" s="306"/>
      <c r="J116" s="306"/>
      <c r="K116" s="306"/>
      <c r="L116" s="306"/>
      <c r="M116" s="306"/>
      <c r="N116" s="306"/>
      <c r="O116" s="306"/>
      <c r="P116" s="306"/>
      <c r="Q116" s="306"/>
      <c r="R116" s="306"/>
      <c r="S116" s="306"/>
      <c r="T116" s="306"/>
      <c r="U116" s="306"/>
      <c r="V116" s="306"/>
      <c r="W116" s="306"/>
      <c r="X116" s="306"/>
      <c r="Y116" s="306"/>
      <c r="Z116" s="306"/>
      <c r="AA116" s="306"/>
      <c r="AB116" s="306"/>
      <c r="AC116" s="306"/>
      <c r="AD116" s="306"/>
      <c r="AE116" s="306"/>
      <c r="AF116" s="306"/>
      <c r="AG116" s="306"/>
      <c r="AH116" s="306"/>
      <c r="AI116" s="306"/>
      <c r="AJ116" s="306"/>
      <c r="AK116" s="306"/>
      <c r="AL116" s="306"/>
      <c r="AM116" s="306"/>
      <c r="AN116" s="306"/>
      <c r="AO116" s="306"/>
      <c r="AP116" s="306"/>
      <c r="AQ116" s="311"/>
      <c r="AR116" s="311"/>
      <c r="AS116" s="1242"/>
      <c r="AT116" s="337"/>
      <c r="AU116" s="337"/>
      <c r="AV116" s="1243"/>
      <c r="AW116" s="317"/>
      <c r="AX116" s="1242"/>
      <c r="AY116" s="337"/>
      <c r="AZ116" s="337"/>
      <c r="BA116" s="1243"/>
      <c r="BB116" s="337"/>
      <c r="BC116" s="1242"/>
      <c r="BD116" s="337"/>
      <c r="BE116" s="337"/>
      <c r="BF116" s="1243"/>
      <c r="BG116" s="337"/>
      <c r="BH116" s="1242"/>
      <c r="BI116" s="337"/>
      <c r="BJ116" s="337"/>
      <c r="BK116" s="1243"/>
      <c r="BL116" s="337"/>
      <c r="BM116" s="1242"/>
      <c r="BN116" s="337"/>
      <c r="BO116" s="337"/>
      <c r="BP116" s="1243"/>
      <c r="BQ116" s="337"/>
      <c r="BR116" s="1242"/>
      <c r="BS116" s="337"/>
      <c r="BT116" s="337"/>
      <c r="BU116" s="1243"/>
      <c r="BV116" s="337"/>
      <c r="BW116" s="1242"/>
      <c r="BX116" s="337"/>
      <c r="BY116" s="337"/>
      <c r="BZ116" s="1243"/>
      <c r="CA116" s="337"/>
      <c r="CB116" s="1242"/>
      <c r="CC116" s="337"/>
      <c r="CD116" s="337"/>
      <c r="CE116" s="1243"/>
      <c r="CF116" s="337"/>
      <c r="CG116" s="1242"/>
      <c r="CH116" s="337"/>
      <c r="CI116" s="337"/>
      <c r="CJ116" s="1243"/>
      <c r="CK116" s="337"/>
      <c r="CL116" s="1242"/>
      <c r="CM116" s="337"/>
      <c r="CN116" s="337"/>
      <c r="CO116" s="1243"/>
      <c r="CP116" s="337"/>
      <c r="CQ116" s="1242"/>
      <c r="CR116" s="337"/>
      <c r="CS116" s="337"/>
      <c r="CT116" s="1243"/>
      <c r="CU116" s="337"/>
      <c r="CV116" s="1242"/>
      <c r="CW116" s="337"/>
      <c r="CX116" s="337"/>
      <c r="CY116" s="1243"/>
      <c r="CZ116" s="337"/>
    </row>
    <row r="117" spans="1:104" ht="13.5" customHeight="1" outlineLevel="1">
      <c r="A117" s="338" t="s">
        <v>60</v>
      </c>
      <c r="B117" s="339"/>
      <c r="C117" s="339"/>
      <c r="D117" s="340"/>
      <c r="E117" s="340"/>
      <c r="F117" s="340"/>
      <c r="G117" s="340"/>
      <c r="H117" s="341"/>
      <c r="I117" s="341"/>
      <c r="J117" s="341"/>
      <c r="K117" s="341"/>
      <c r="L117" s="341"/>
      <c r="M117" s="341"/>
      <c r="N117" s="341"/>
      <c r="O117" s="341"/>
      <c r="P117" s="341"/>
      <c r="Q117" s="341"/>
      <c r="R117" s="341"/>
      <c r="S117" s="341"/>
      <c r="T117" s="341"/>
      <c r="U117" s="341"/>
      <c r="V117" s="341"/>
      <c r="W117" s="341"/>
      <c r="X117" s="341"/>
      <c r="Y117" s="341"/>
      <c r="Z117" s="341"/>
      <c r="AA117" s="341"/>
      <c r="AB117" s="341"/>
      <c r="AC117" s="341"/>
      <c r="AD117" s="341"/>
      <c r="AE117" s="341"/>
      <c r="AF117" s="341"/>
      <c r="AG117" s="341"/>
      <c r="AH117" s="341"/>
      <c r="AI117" s="341"/>
      <c r="AJ117" s="341"/>
      <c r="AK117" s="341"/>
      <c r="AL117" s="341"/>
      <c r="AM117" s="341"/>
      <c r="AN117" s="341"/>
      <c r="AO117" s="341"/>
      <c r="AP117" s="341"/>
      <c r="AQ117" s="342">
        <f>Financials!AQ167</f>
        <v>3275.2219999999998</v>
      </c>
      <c r="AR117" s="342">
        <f>Financials!AR167</f>
        <v>3275.2219999999998</v>
      </c>
      <c r="AS117" s="1244">
        <f>Financials!AS167</f>
        <v>3097.8989999999999</v>
      </c>
      <c r="AT117" s="342">
        <f>Financials!AT167</f>
        <v>3097.5419999999999</v>
      </c>
      <c r="AU117" s="342">
        <f>Financials!AU167</f>
        <v>3089.6279999999997</v>
      </c>
      <c r="AV117" s="1245">
        <f>Financials!AV167</f>
        <v>3087.9479999999999</v>
      </c>
      <c r="AW117" s="342">
        <f>Financials!AW167</f>
        <v>3087.9479999999999</v>
      </c>
      <c r="AX117" s="1244">
        <f>Financials!AX167</f>
        <v>3095.2749999999996</v>
      </c>
      <c r="AY117" s="342">
        <f>Financials!AY167</f>
        <v>3082.799</v>
      </c>
      <c r="AZ117" s="342">
        <f>Financials!AZ167</f>
        <v>3683.2919999999999</v>
      </c>
      <c r="BA117" s="1245">
        <f>Financials!BA167</f>
        <v>4293.5280000000002</v>
      </c>
      <c r="BB117" s="342">
        <f>Financials!BB167</f>
        <v>4293.5280000000002</v>
      </c>
      <c r="BC117" s="1244">
        <f t="shared" ref="BC117:BL117" si="0">BC72+BC64+BC48+BC56+BC40+BC32+BC24+BC13+BC80+BC88+BC96</f>
        <v>3686.2</v>
      </c>
      <c r="BD117" s="342">
        <f t="shared" si="0"/>
        <v>3686.2</v>
      </c>
      <c r="BE117" s="342">
        <f t="shared" si="0"/>
        <v>3686.2</v>
      </c>
      <c r="BF117" s="1245">
        <f t="shared" si="0"/>
        <v>4280.2</v>
      </c>
      <c r="BG117" s="342">
        <f t="shared" si="0"/>
        <v>4280.2</v>
      </c>
      <c r="BH117" s="1244">
        <f>BH72+BH64+BH48+BH56+BH40+BH32+BH24+BH13+BH80+BH88+BH96</f>
        <v>4280.2</v>
      </c>
      <c r="BI117" s="342">
        <f>BI72+BI64+BI48+BI56+BI40+BI32+BI24+BI13+BI80+BI88+BI96</f>
        <v>4280.2</v>
      </c>
      <c r="BJ117" s="342">
        <f>BJ72+BJ64+BJ48+BJ56+BJ40+BJ32+BJ24+BJ13+BJ80+BJ88+BJ96</f>
        <v>4280.2</v>
      </c>
      <c r="BK117" s="1245">
        <f>BK72+BK64+BK48+BK56+BK40+BK32+BK24+BK13+BK80+BK88+BK96</f>
        <v>3630.2</v>
      </c>
      <c r="BL117" s="342">
        <f t="shared" si="0"/>
        <v>3630.2</v>
      </c>
      <c r="BM117" s="1244">
        <f>BM72+BM64+BM48+BM56+BM40+BM32+BM24+BM13+BM80+BM88+BM96</f>
        <v>3630.2</v>
      </c>
      <c r="BN117" s="342">
        <f>BN72+BN64+BN48+BN56+BN40+BN32+BN24+BN13+BN80+BN88+BN96</f>
        <v>3380.2</v>
      </c>
      <c r="BO117" s="342">
        <f t="shared" ref="BO117:CZ117" si="1">BO72+BO64+BO48+BO56+BO40+BO32+BO24+BO13+BO80+BO88+BO96+BO104+BO112</f>
        <v>4380.2</v>
      </c>
      <c r="BP117" s="1245">
        <f t="shared" si="1"/>
        <v>4380.2</v>
      </c>
      <c r="BQ117" s="342">
        <f t="shared" si="1"/>
        <v>4380.2</v>
      </c>
      <c r="BR117" s="1244">
        <f t="shared" si="1"/>
        <v>4380.2</v>
      </c>
      <c r="BS117" s="342">
        <f t="shared" si="1"/>
        <v>4380.2</v>
      </c>
      <c r="BT117" s="342">
        <f t="shared" si="1"/>
        <v>4380.2</v>
      </c>
      <c r="BU117" s="1245">
        <f t="shared" si="1"/>
        <v>4380.2</v>
      </c>
      <c r="BV117" s="342">
        <f t="shared" si="1"/>
        <v>4380.2</v>
      </c>
      <c r="BW117" s="1244">
        <f t="shared" si="1"/>
        <v>4380.2</v>
      </c>
      <c r="BX117" s="342">
        <f t="shared" si="1"/>
        <v>4380.2</v>
      </c>
      <c r="BY117" s="342">
        <f t="shared" si="1"/>
        <v>4380.2</v>
      </c>
      <c r="BZ117" s="1245">
        <f t="shared" si="1"/>
        <v>4376.9349999999995</v>
      </c>
      <c r="CA117" s="342">
        <f t="shared" si="1"/>
        <v>4376.9349999999995</v>
      </c>
      <c r="CB117" s="1244">
        <f t="shared" si="1"/>
        <v>4376.9349999999995</v>
      </c>
      <c r="CC117" s="342">
        <f t="shared" si="1"/>
        <v>4376.9349999999995</v>
      </c>
      <c r="CD117" s="342">
        <f t="shared" si="1"/>
        <v>4376.9349999999995</v>
      </c>
      <c r="CE117" s="1245">
        <f t="shared" si="1"/>
        <v>4360.6000000000004</v>
      </c>
      <c r="CF117" s="342">
        <f t="shared" si="1"/>
        <v>4360.6000000000004</v>
      </c>
      <c r="CG117" s="1244">
        <f t="shared" si="1"/>
        <v>4360.6000000000004</v>
      </c>
      <c r="CH117" s="342">
        <f t="shared" si="1"/>
        <v>4360.6000000000004</v>
      </c>
      <c r="CI117" s="342">
        <f t="shared" si="1"/>
        <v>4360.6000000000004</v>
      </c>
      <c r="CJ117" s="1245">
        <f t="shared" si="1"/>
        <v>4360.6000000000004</v>
      </c>
      <c r="CK117" s="342">
        <f t="shared" si="1"/>
        <v>4360.6000000000004</v>
      </c>
      <c r="CL117" s="1244">
        <f t="shared" si="1"/>
        <v>4360.6000000000004</v>
      </c>
      <c r="CM117" s="342">
        <f t="shared" si="1"/>
        <v>4360.6000000000004</v>
      </c>
      <c r="CN117" s="342">
        <f t="shared" si="1"/>
        <v>4360.6000000000004</v>
      </c>
      <c r="CO117" s="1245">
        <f t="shared" si="1"/>
        <v>4360.6000000000004</v>
      </c>
      <c r="CP117" s="342">
        <f t="shared" si="1"/>
        <v>4360.6000000000004</v>
      </c>
      <c r="CQ117" s="1244">
        <f t="shared" si="1"/>
        <v>4360.6000000000004</v>
      </c>
      <c r="CR117" s="342">
        <f t="shared" si="1"/>
        <v>4360.6000000000004</v>
      </c>
      <c r="CS117" s="342">
        <f t="shared" si="1"/>
        <v>4360.6000000000004</v>
      </c>
      <c r="CT117" s="1245">
        <f t="shared" si="1"/>
        <v>4360.6000000000004</v>
      </c>
      <c r="CU117" s="342">
        <f t="shared" si="1"/>
        <v>4360.6000000000004</v>
      </c>
      <c r="CV117" s="1244">
        <f t="shared" si="1"/>
        <v>4360.6000000000004</v>
      </c>
      <c r="CW117" s="342">
        <f t="shared" si="1"/>
        <v>4360.6000000000004</v>
      </c>
      <c r="CX117" s="342">
        <f t="shared" si="1"/>
        <v>4360.6000000000004</v>
      </c>
      <c r="CY117" s="1245">
        <f t="shared" si="1"/>
        <v>4360.6000000000004</v>
      </c>
      <c r="CZ117" s="342">
        <f t="shared" si="1"/>
        <v>4360.6000000000004</v>
      </c>
    </row>
    <row r="118" spans="1:104" ht="6.2" customHeight="1" outlineLevel="1">
      <c r="A118" s="305"/>
      <c r="B118" s="305"/>
      <c r="C118" s="305"/>
      <c r="D118" s="306"/>
      <c r="E118" s="306"/>
      <c r="F118" s="306"/>
      <c r="G118" s="306"/>
      <c r="H118" s="306"/>
      <c r="I118" s="306"/>
      <c r="J118" s="306"/>
      <c r="K118" s="306"/>
      <c r="L118" s="306"/>
      <c r="M118" s="306"/>
      <c r="N118" s="306"/>
      <c r="O118" s="306"/>
      <c r="P118" s="306"/>
      <c r="Q118" s="306"/>
      <c r="R118" s="306"/>
      <c r="S118" s="306"/>
      <c r="T118" s="306"/>
      <c r="U118" s="306"/>
      <c r="V118" s="306"/>
      <c r="W118" s="306"/>
      <c r="X118" s="306"/>
      <c r="Y118" s="306"/>
      <c r="Z118" s="306"/>
      <c r="AA118" s="306"/>
      <c r="AB118" s="306"/>
      <c r="AC118" s="306"/>
      <c r="AD118" s="306"/>
      <c r="AE118" s="306"/>
      <c r="AF118" s="306"/>
      <c r="AG118" s="306"/>
      <c r="AH118" s="306"/>
      <c r="AI118" s="306"/>
      <c r="AJ118" s="306"/>
      <c r="AK118" s="306"/>
      <c r="AL118" s="306"/>
      <c r="AM118" s="306"/>
      <c r="AN118" s="306"/>
      <c r="AO118" s="306"/>
      <c r="AP118" s="306"/>
      <c r="AQ118" s="332"/>
      <c r="AR118" s="332"/>
      <c r="AS118" s="1240"/>
      <c r="AT118" s="307"/>
      <c r="AU118" s="307"/>
      <c r="AV118" s="1241"/>
      <c r="AW118" s="343"/>
      <c r="AX118" s="1240"/>
      <c r="AY118" s="307"/>
      <c r="AZ118" s="307"/>
      <c r="BA118" s="1241"/>
      <c r="BB118" s="343"/>
      <c r="BC118" s="1240"/>
      <c r="BD118" s="307"/>
      <c r="BE118" s="307"/>
      <c r="BF118" s="1241"/>
      <c r="BG118" s="343"/>
      <c r="BH118" s="1240"/>
      <c r="BI118" s="307"/>
      <c r="BJ118" s="307"/>
      <c r="BK118" s="1241"/>
      <c r="BL118" s="343"/>
      <c r="BM118" s="1240"/>
      <c r="BN118" s="307"/>
      <c r="BO118" s="307"/>
      <c r="BP118" s="1241"/>
      <c r="BQ118" s="343"/>
      <c r="BR118" s="1240"/>
      <c r="BS118" s="307"/>
      <c r="BT118" s="307"/>
      <c r="BU118" s="1241"/>
      <c r="BV118" s="343"/>
      <c r="BW118" s="1240"/>
      <c r="BX118" s="307"/>
      <c r="BY118" s="307"/>
      <c r="BZ118" s="1241"/>
      <c r="CA118" s="343"/>
      <c r="CB118" s="1240"/>
      <c r="CC118" s="307"/>
      <c r="CD118" s="307"/>
      <c r="CE118" s="1275"/>
      <c r="CF118" s="764"/>
      <c r="CG118" s="1280"/>
      <c r="CH118" s="762"/>
      <c r="CI118" s="307"/>
      <c r="CJ118" s="1275"/>
      <c r="CK118" s="764"/>
      <c r="CL118" s="1240"/>
      <c r="CM118" s="307"/>
      <c r="CN118" s="307"/>
      <c r="CO118" s="1241"/>
      <c r="CP118" s="343"/>
      <c r="CQ118" s="1240"/>
      <c r="CR118" s="307"/>
      <c r="CS118" s="307"/>
      <c r="CT118" s="1241"/>
      <c r="CU118" s="343"/>
      <c r="CV118" s="1240"/>
      <c r="CW118" s="307"/>
      <c r="CX118" s="307"/>
      <c r="CY118" s="1241"/>
      <c r="CZ118" s="343"/>
    </row>
    <row r="119" spans="1:104" ht="13.5" customHeight="1" outlineLevel="1">
      <c r="A119" s="305"/>
      <c r="B119" s="305" t="s">
        <v>280</v>
      </c>
      <c r="C119" s="305"/>
      <c r="D119" s="306"/>
      <c r="E119" s="306"/>
      <c r="F119" s="306"/>
      <c r="G119" s="306"/>
      <c r="H119" s="306"/>
      <c r="I119" s="306"/>
      <c r="J119" s="306"/>
      <c r="K119" s="306"/>
      <c r="L119" s="306"/>
      <c r="M119" s="306"/>
      <c r="N119" s="306"/>
      <c r="O119" s="306"/>
      <c r="P119" s="306"/>
      <c r="Q119" s="306"/>
      <c r="R119" s="306"/>
      <c r="S119" s="306"/>
      <c r="T119" s="306"/>
      <c r="U119" s="306"/>
      <c r="V119" s="306"/>
      <c r="W119" s="306"/>
      <c r="X119" s="306"/>
      <c r="Y119" s="306"/>
      <c r="Z119" s="306"/>
      <c r="AA119" s="306"/>
      <c r="AB119" s="306"/>
      <c r="AC119" s="306"/>
      <c r="AD119" s="306"/>
      <c r="AE119" s="306"/>
      <c r="AF119" s="306"/>
      <c r="AG119" s="306"/>
      <c r="AH119" s="306"/>
      <c r="AI119" s="306"/>
      <c r="AJ119" s="306"/>
      <c r="AK119" s="306"/>
      <c r="AL119" s="306"/>
      <c r="AM119" s="306"/>
      <c r="AN119" s="306"/>
      <c r="AO119" s="306"/>
      <c r="AP119" s="306"/>
      <c r="AQ119" s="316"/>
      <c r="AR119" s="316"/>
      <c r="AS119" s="1236">
        <f t="shared" ref="AS119:AV120" si="2">AS15+AS26+AS34+AS42+AS50+AS58+AS66+AS74+AS90</f>
        <v>39.078219171803276</v>
      </c>
      <c r="AT119" s="607">
        <f t="shared" si="2"/>
        <v>37.75250700655738</v>
      </c>
      <c r="AU119" s="607">
        <f t="shared" si="2"/>
        <v>37.733023718593749</v>
      </c>
      <c r="AV119" s="1237">
        <f t="shared" si="2"/>
        <v>37.677161987377048</v>
      </c>
      <c r="AW119" s="343"/>
      <c r="AX119" s="1236">
        <f>AX15+AX26+AX34+AX42+AX50+AX58+AX66+AX74+AX90</f>
        <v>37.678687257213113</v>
      </c>
      <c r="AY119" s="607">
        <f>AY15+AY26+AY34+AY42+AY50+AY58+AY66+AY74+AY90</f>
        <v>37.782445471885246</v>
      </c>
      <c r="AZ119" s="607">
        <f>AZ15+AZ26+AZ34+AZ42+AZ50+AZ58+AZ66+AZ74+AZ82+AZ90+AZ98</f>
        <v>40.84519298188679</v>
      </c>
      <c r="BA119" s="1237">
        <f>BA15+BA26+BA34+BA42+BA50+BA58+BA66+BA74+BA82+BA90+BA98</f>
        <v>43.847116914999994</v>
      </c>
      <c r="BB119" s="317"/>
      <c r="BC119" s="1236">
        <f>BC15+BC26+BC34+BC42+BC50+BC58+BC66+BC74+BC82+BC90+BC98</f>
        <v>43.864887696311094</v>
      </c>
      <c r="BD119" s="607">
        <f>BD15+BD26+BD34+BD42+BD50+BD58+BD66+BD74+BD82+BD90+BD98</f>
        <v>44.003167464999997</v>
      </c>
      <c r="BE119" s="607">
        <f>BE15+BE26+BE34+BE42+BE50+BE58+BE66+BE74+BE82+BE90+BE98</f>
        <v>43.992807714999998</v>
      </c>
      <c r="BF119" s="1237">
        <f>BF15+BF26+BF34+BF42+BF50+BF58+BF66+BF74+BF82+BF90+BF98</f>
        <v>44.438352264999999</v>
      </c>
      <c r="BG119" s="317"/>
      <c r="BH119" s="1236">
        <f>BH15+BH26+BH34+BH42+BH50+BH58+BH66+BH74+BH82+BH90+BH98</f>
        <v>44.438352264999999</v>
      </c>
      <c r="BI119" s="607">
        <f>BI15+BI26+BI34+BI42+BI50+BI58+BI66+BI74+BI82+BI90+BI98</f>
        <v>44.438352264999999</v>
      </c>
      <c r="BJ119" s="607">
        <f>BJ15+BJ26+BJ34+BJ42+BJ50+BJ58+BJ66+BJ74+BJ82+BJ90+BJ98</f>
        <v>44.438352264999999</v>
      </c>
      <c r="BK119" s="1237">
        <f>BK15+BK26+BK34+BK42+BK50+BK58+BK66+BK74+BK82+BK90+BK98</f>
        <v>40.430539764999999</v>
      </c>
      <c r="BL119" s="317"/>
      <c r="BM119" s="1236">
        <f>BM15+BM26+BM34+BM42+BM50+BM58+BM66+BM74+BM82+BM90+BM98</f>
        <v>36.937827265000003</v>
      </c>
      <c r="BN119" s="607">
        <f>BN15+BN26+BN34+BN42+BN50+BN58+BN66+BN74+BN82+BN90+BN98</f>
        <v>35.375327265000003</v>
      </c>
      <c r="BO119" s="607">
        <f>BO15+BO26+BO34+BO42+BO50+BO58+BO66+BO74+BO82+BO90+BO98+BO106+BO114</f>
        <v>39.562827265000003</v>
      </c>
      <c r="BP119" s="1237">
        <f>BP15+BP26+BP34+BP42+BP50+BP58+BP66+BP74+BP82+BP90+BP98+BP106+BP114</f>
        <v>45.312827265000003</v>
      </c>
      <c r="BQ119" s="317"/>
      <c r="BR119" s="1236">
        <f>BR15+BR26+BR34+BR42+BR50+BR58+BR66+BR74+BR82+BR90+BR98+BR106+BR114</f>
        <v>45.312827265000003</v>
      </c>
      <c r="BS119" s="607">
        <f>BS15+BS26+BS34+BS42+BS50+BS58+BS66+BS74+BS82+BS90+BS98+BS106+BS114</f>
        <v>45.312827265000003</v>
      </c>
      <c r="BT119" s="607">
        <f>BT15+BT26+BT34+BT42+BT50+BT58+BT66+BT74+BT82+BT90+BT98+BT106+BT114</f>
        <v>45.312827265000003</v>
      </c>
      <c r="BU119" s="1237">
        <f>BU15+BU26+BU34+BU42+BU50+BU58+BU66+BU74+BU82+BU90+BU98+BU106+BU114</f>
        <v>45.312827265000003</v>
      </c>
      <c r="BV119" s="317"/>
      <c r="BW119" s="1236">
        <f>BW15+BW26+BW34+BW42+BW50+BW58+BW66+BW74+BW82+BW90+BW98+BW106+BW114</f>
        <v>45.312827265000003</v>
      </c>
      <c r="BX119" s="607">
        <f>BX15+BX26+BX34+BX42+BX50+BX58+BX66+BX74+BX82+BX90+BX98+BX106+BX114</f>
        <v>45.312827265000003</v>
      </c>
      <c r="BY119" s="607">
        <f>BY15+BY26+BY34+BY42+BY50+BY58+BY66+BY74+BY82+BY90+BY98+BY106+BY114</f>
        <v>45.312827265000003</v>
      </c>
      <c r="BZ119" s="1237">
        <f>BZ15+BZ26+BZ34+BZ42+BZ50+BZ58+BZ66+BZ74+BZ82+BZ90+BZ98+BZ106+BZ114</f>
        <v>45.310786517562498</v>
      </c>
      <c r="CA119" s="317"/>
      <c r="CB119" s="1236">
        <f>CB15+CB26+CB34+CB42+CB50+CB58+CB66+CB74+CB82+CB90+CB98+CB106+CB114</f>
        <v>45.308745770125</v>
      </c>
      <c r="CC119" s="607">
        <f>CC15+CC26+CC34+CC42+CC50+CC58+CC66+CC74+CC82+CC90+CC98+CC106+CC114</f>
        <v>45.308745770125</v>
      </c>
      <c r="CD119" s="607">
        <f>CD15+CD26+CD34+CD42+CD50+CD58+CD66+CD74+CD82+CD90+CD98+CD106+CD114</f>
        <v>45.308745770125</v>
      </c>
      <c r="CE119" s="1237">
        <f>CE15+CE26+CE34+CE42+CE50+CE58+CE66+CE74+CE82+CE90+CE98+CE106+CE114</f>
        <v>45.298535782562503</v>
      </c>
      <c r="CF119" s="607"/>
      <c r="CG119" s="1236">
        <f>CG15+CG26+CG34+CG42+CG50+CG58+CG66+CG74+CG82+CG90+CG98+CG106+CG114</f>
        <v>45.288325794999999</v>
      </c>
      <c r="CH119" s="607">
        <f>CH15+CH26+CH34+CH42+CH50+CH58+CH66+CH74+CH82+CH90+CH98+CH106+CH114</f>
        <v>45.288325794999999</v>
      </c>
      <c r="CI119" s="607">
        <f>CI15+CI26+CI34+CI42+CI50+CI58+CI66+CI74+CI82+CI90+CI98+CI106+CI114</f>
        <v>45.288325794999999</v>
      </c>
      <c r="CJ119" s="1237">
        <f>CJ15+CJ26+CJ34+CJ42+CJ50+CJ58+CJ66+CJ74+CJ82+CJ90+CJ98+CJ106+CJ114</f>
        <v>45.288325794999999</v>
      </c>
      <c r="CK119" s="607"/>
      <c r="CL119" s="1236">
        <f>CL15+CL26+CL34+CL42+CL50+CL58+CL66+CL74+CL82+CL90+CL98+CL106+CL114</f>
        <v>45.288325794999999</v>
      </c>
      <c r="CM119" s="607">
        <f>CM15+CM26+CM34+CM42+CM50+CM58+CM66+CM74+CM82+CM90+CM98+CM106+CM114</f>
        <v>45.288325794999999</v>
      </c>
      <c r="CN119" s="607">
        <f>CN15+CN26+CN34+CN42+CN50+CN58+CN66+CN74+CN82+CN90+CN98+CN106+CN114</f>
        <v>45.288325794999999</v>
      </c>
      <c r="CO119" s="1237">
        <f>CO15+CO26+CO34+CO42+CO50+CO58+CO66+CO74+CO82+CO90+CO98+CO106+CO114</f>
        <v>45.288325794999999</v>
      </c>
      <c r="CP119" s="317"/>
      <c r="CQ119" s="1236">
        <f>CQ15+CQ26+CQ34+CQ42+CQ50+CQ58+CQ66+CQ74+CQ82+CQ90+CQ98+CQ106+CQ114</f>
        <v>45.288325794999999</v>
      </c>
      <c r="CR119" s="607">
        <f>CR15+CR26+CR34+CR42+CR50+CR58+CR66+CR74+CR82+CR90+CR98+CR106+CR114</f>
        <v>45.288325794999999</v>
      </c>
      <c r="CS119" s="607">
        <f>CS15+CS26+CS34+CS42+CS50+CS58+CS66+CS74+CS82+CS90+CS98+CS106+CS114</f>
        <v>45.288325794999999</v>
      </c>
      <c r="CT119" s="1237">
        <f>CT15+CT26+CT34+CT42+CT50+CT58+CT66+CT74+CT82+CT90+CT98+CT106+CT114</f>
        <v>45.288325794999999</v>
      </c>
      <c r="CU119" s="317"/>
      <c r="CV119" s="1236">
        <f>CV15+CV26+CV34+CV42+CV50+CV58+CV66+CV74+CV82+CV90+CV98+CV106+CV114</f>
        <v>45.288325794999999</v>
      </c>
      <c r="CW119" s="607">
        <f>CW15+CW26+CW34+CW42+CW50+CW58+CW66+CW74+CW82+CW90+CW98+CW106+CW114</f>
        <v>45.288325794999999</v>
      </c>
      <c r="CX119" s="607">
        <f>CX15+CX26+CX34+CX42+CX50+CX58+CX66+CX74+CX82+CX90+CX98+CX106+CX114</f>
        <v>45.288325794999999</v>
      </c>
      <c r="CY119" s="1237">
        <f>CY15+CY26+CY34+CY42+CY50+CY58+CY66+CY74+CY82+CY90+CY98+CY106+CY114</f>
        <v>45.288325794999999</v>
      </c>
      <c r="CZ119" s="317"/>
    </row>
    <row r="120" spans="1:104" ht="13.5" customHeight="1" outlineLevel="1">
      <c r="A120" s="305"/>
      <c r="B120" s="305" t="s">
        <v>187</v>
      </c>
      <c r="C120" s="305"/>
      <c r="D120" s="306"/>
      <c r="E120" s="306"/>
      <c r="F120" s="306"/>
      <c r="G120" s="306"/>
      <c r="H120" s="306"/>
      <c r="I120" s="306"/>
      <c r="J120" s="306"/>
      <c r="K120" s="306"/>
      <c r="L120" s="306"/>
      <c r="M120" s="306"/>
      <c r="N120" s="306"/>
      <c r="O120" s="306"/>
      <c r="P120" s="306"/>
      <c r="Q120" s="306"/>
      <c r="R120" s="306"/>
      <c r="S120" s="306"/>
      <c r="T120" s="306"/>
      <c r="U120" s="306"/>
      <c r="V120" s="306"/>
      <c r="W120" s="306"/>
      <c r="X120" s="306"/>
      <c r="Y120" s="306"/>
      <c r="Z120" s="306"/>
      <c r="AA120" s="306"/>
      <c r="AB120" s="306"/>
      <c r="AC120" s="306"/>
      <c r="AD120" s="306"/>
      <c r="AE120" s="306"/>
      <c r="AF120" s="306"/>
      <c r="AG120" s="306"/>
      <c r="AH120" s="306"/>
      <c r="AI120" s="306"/>
      <c r="AJ120" s="306"/>
      <c r="AK120" s="306"/>
      <c r="AL120" s="306"/>
      <c r="AM120" s="306"/>
      <c r="AN120" s="306"/>
      <c r="AO120" s="306"/>
      <c r="AP120" s="306"/>
      <c r="AQ120" s="316"/>
      <c r="AR120" s="316"/>
      <c r="AS120" s="1236">
        <f t="shared" si="2"/>
        <v>0</v>
      </c>
      <c r="AT120" s="607">
        <f>AT16+AT27+AT35+AT43+AT51+AT59+AT67+AT75+AT83+AT91+AT99</f>
        <v>76.830726178360649</v>
      </c>
      <c r="AU120" s="607">
        <f t="shared" si="2"/>
        <v>0</v>
      </c>
      <c r="AV120" s="1237">
        <f>AV16+AV27+AV35+AV43+AV51+AV59+AV67+AV75+AV83+AV91+AV99</f>
        <v>75.410185705970804</v>
      </c>
      <c r="AW120" s="343"/>
      <c r="AX120" s="1236">
        <f>AX16+AX27+AX35+AX43+AX51+AX59+AX67+AX75+AX91</f>
        <v>0</v>
      </c>
      <c r="AY120" s="607">
        <f>AY16+AY27+AY35+AY43+AY51+AY59+AY67+AY75+AY83+AY91+AY99</f>
        <v>75.461132729098367</v>
      </c>
      <c r="AZ120" s="607">
        <f>AZ16+AZ27+AZ35+AZ43+AZ51+AZ59+AZ67+AZ75+AZ91+AZ99</f>
        <v>0</v>
      </c>
      <c r="BA120" s="1237">
        <f>BA16+BA27+BA35+BA43+BA51+BA59+BA67+BA75+BA83+BA91+BA99</f>
        <v>84.692309896886798</v>
      </c>
      <c r="BB120" s="317"/>
      <c r="BC120" s="1236">
        <f>BC16+BC27+BC35+BC43+BC51+BC59+BC67+BC75+BC91+BC99</f>
        <v>0</v>
      </c>
      <c r="BD120" s="607">
        <f>BD16+BD27+BD35+BD43+BD51+BD59+BD67+BD75+BD83+BD91+BD99</f>
        <v>87.868055161311091</v>
      </c>
      <c r="BE120" s="607">
        <f>BE16+BE27+BE35+BE43+BE51+BE59+BE67+BE75+BE91+BE99</f>
        <v>0</v>
      </c>
      <c r="BF120" s="1237">
        <f>BF16+BF27+BF35+BF43+BF51+BF59+BF67+BF75+BF83+BF91+BF99</f>
        <v>88.431159980000004</v>
      </c>
      <c r="BG120" s="317"/>
      <c r="BH120" s="1236">
        <f>BH16+BH27+BH35+BH43+BH51+BH59+BH67+BH75+BH91+BH99</f>
        <v>0</v>
      </c>
      <c r="BI120" s="607">
        <f>BI16+BI27+BI35+BI43+BI51+BI59+BI67+BI75+BI83+BI91+BI99</f>
        <v>88.876704529999998</v>
      </c>
      <c r="BJ120" s="607">
        <f>BJ16+BJ27+BJ35+BJ43+BJ51+BJ59+BJ67+BJ75+BJ91+BJ99</f>
        <v>0</v>
      </c>
      <c r="BK120" s="1237">
        <f>BK16+BK27+BK35+BK43+BK51+BK59+BK67+BK75+BK83+BK91+BK99</f>
        <v>84.868892029999998</v>
      </c>
      <c r="BL120" s="317"/>
      <c r="BM120" s="1236">
        <f>BM16+BM27+BM35+BM43+BM51+BM59+BM67+BM75+BM91+BM99</f>
        <v>0</v>
      </c>
      <c r="BN120" s="607">
        <f>BN16+BN27+BN35+BN43+BN51+BN59+BN67+BN75+BN83+BN91+BN99</f>
        <v>72.313154530000006</v>
      </c>
      <c r="BO120" s="607">
        <f>BO16+BO27+BO35+BO43+BO51+BO59+BO67+BO75+BO91+BO99+BO107+BO115</f>
        <v>0</v>
      </c>
      <c r="BP120" s="1237">
        <f>BP16+BP27+BP35+BP43+BP51+BP59+BP67+BP75+BP91+BP99+BP107+BP115</f>
        <v>72.500654530000006</v>
      </c>
      <c r="BQ120" s="317"/>
      <c r="BR120" s="1236">
        <f>BR16+BR27+BR35+BR43+BR51+BR59+BR67+BR75+BR91+BR99+BR107+BR115</f>
        <v>0</v>
      </c>
      <c r="BS120" s="607">
        <f>BS16+BS27+BS35+BS43+BS51+BS59+BS67+BS75+BS91+BS99+BS107+BS115</f>
        <v>78.250654530000006</v>
      </c>
      <c r="BT120" s="607">
        <f>BT16+BT27+BT35+BT43+BT51+BT59+BT67+BT75+BT91+BT99+BT107+BT115</f>
        <v>0</v>
      </c>
      <c r="BU120" s="1237">
        <f>BU16+BU27+BU35+BU43+BU51+BU59+BU67+BU75+BU91+BU99+BU107+BU115</f>
        <v>78.250654530000006</v>
      </c>
      <c r="BV120" s="317"/>
      <c r="BW120" s="1236">
        <f>BW16+BW27+BW35+BW43+BW51+BW59+BW67+BW75+BW91+BW99+BW107+BW115</f>
        <v>0</v>
      </c>
      <c r="BX120" s="607">
        <f>BX16+BX27+BX35+BX43+BX51+BX59+BX67+BX75+BX91+BX99+BX107+BX115</f>
        <v>78.250654530000006</v>
      </c>
      <c r="BY120" s="607">
        <f>BY16+BY27+BY35+BY43+BY51+BY59+BY67+BY75+BY91+BY99+BY107+BY115</f>
        <v>0</v>
      </c>
      <c r="BZ120" s="1237">
        <f>BZ16+BZ27+BZ35+BZ43+BZ51+BZ59+BZ67+BZ75+BZ91+BZ99+BZ107+BZ115</f>
        <v>78.248613782562501</v>
      </c>
      <c r="CA120" s="317"/>
      <c r="CB120" s="1236">
        <f>CB16+CB27+CB35+CB43+CB51+CB59+CB67+CB75+CB91+CB99+CB107+CB115</f>
        <v>0</v>
      </c>
      <c r="CC120" s="607">
        <f>CC16+CC27+CC35+CC43+CC51+CC59+CC67+CC75+CC91+CC99+CC107+CC115</f>
        <v>78.242491540250001</v>
      </c>
      <c r="CD120" s="607">
        <f>CD16+CD27+CD35+CD43+CD51+CD59+CD67+CD75+CD91+CD99+CD107+CD115</f>
        <v>0</v>
      </c>
      <c r="CE120" s="1237">
        <f>CE16+CE27+CE35+CE43+CE51+CE59+CE67+CE75+CE91+CE99+CE107+CE115</f>
        <v>78.232281552687496</v>
      </c>
      <c r="CF120" s="607"/>
      <c r="CG120" s="1236">
        <f>CG16+CG27+CG35+CG43+CG51+CG59+CG67+CG75+CG91+CG99+CG107+CG115</f>
        <v>0</v>
      </c>
      <c r="CH120" s="607">
        <f>CH16+CH27+CH35+CH43+CH51+CH59+CH67+CH75+CH91+CH99+CH107+CH115</f>
        <v>78.201651589999997</v>
      </c>
      <c r="CI120" s="607">
        <f>CI16+CI27+CI35+CI43+CI51+CI59+CI67+CI75+CI91+CI99+CI107+CI115</f>
        <v>0</v>
      </c>
      <c r="CJ120" s="1237">
        <f>CJ16+CJ27+CJ35+CJ43+CJ51+CJ59+CJ67+CJ75+CJ91+CJ99+CJ107+CJ115</f>
        <v>78.201651589999997</v>
      </c>
      <c r="CK120" s="607"/>
      <c r="CL120" s="1236">
        <f>CL16+CL27+CL35+CL43+CL51+CL59+CL67+CL75+CL91+CL99+CL107+CL115</f>
        <v>0</v>
      </c>
      <c r="CM120" s="607">
        <f>CM16+CM27+CM35+CM43+CM51+CM59+CM67+CM75+CM91+CM99+CM107+CM115</f>
        <v>78.201651589999997</v>
      </c>
      <c r="CN120" s="607">
        <f>CN16+CN27+CN35+CN43+CN51+CN59+CN67+CN75+CN91+CN99+CN107+CN115</f>
        <v>0</v>
      </c>
      <c r="CO120" s="1237">
        <f>CO16+CO27+CO35+CO43+CO51+CO59+CO67+CO75+CO91+CO99+CO107+CO115</f>
        <v>78.201651589999997</v>
      </c>
      <c r="CP120" s="317"/>
      <c r="CQ120" s="1236">
        <f>CQ16+CQ27+CQ35+CQ43+CQ51+CQ59+CQ67+CQ75+CQ91+CQ99+CQ107+CQ115</f>
        <v>0</v>
      </c>
      <c r="CR120" s="607">
        <f>CR16+CR27+CR35+CR43+CR51+CR59+CR67+CR75+CR91+CR99+CR107+CR115</f>
        <v>78.201651589999997</v>
      </c>
      <c r="CS120" s="607">
        <f>CS16+CS27+CS35+CS43+CS51+CS59+CS67+CS75+CS91+CS99+CS107+CS115</f>
        <v>0</v>
      </c>
      <c r="CT120" s="1237">
        <f>CT16+CT27+CT35+CT43+CT51+CT59+CT67+CT75+CT91+CT99+CT107+CT115</f>
        <v>78.201651589999997</v>
      </c>
      <c r="CU120" s="317"/>
      <c r="CV120" s="1236">
        <f>CV16+CV27+CV35+CV43+CV51+CV59+CV67+CV75+CV91+CV99+CV107+CV115</f>
        <v>0</v>
      </c>
      <c r="CW120" s="607">
        <f>CW16+CW27+CW35+CW43+CW51+CW59+CW67+CW75+CW91+CW99+CW107+CW115</f>
        <v>78.201651589999997</v>
      </c>
      <c r="CX120" s="607">
        <f>CX16+CX27+CX35+CX43+CX51+CX59+CX67+CX75+CX91+CX99+CX107+CX115</f>
        <v>0</v>
      </c>
      <c r="CY120" s="1237">
        <f>CY16+CY27+CY35+CY43+CY51+CY59+CY67+CY75+CY91+CY99+CY107+CY115</f>
        <v>78.201651589999997</v>
      </c>
      <c r="CZ120" s="317"/>
    </row>
    <row r="121" spans="1:104" ht="6.2" customHeight="1" outlineLevel="1">
      <c r="A121" s="305"/>
      <c r="B121" s="305"/>
      <c r="C121" s="305"/>
      <c r="D121" s="306"/>
      <c r="E121" s="306"/>
      <c r="F121" s="306"/>
      <c r="G121" s="306"/>
      <c r="H121" s="306"/>
      <c r="I121" s="306"/>
      <c r="J121" s="306"/>
      <c r="K121" s="306"/>
      <c r="L121" s="306"/>
      <c r="M121" s="306"/>
      <c r="N121" s="306"/>
      <c r="O121" s="306"/>
      <c r="P121" s="306"/>
      <c r="Q121" s="306"/>
      <c r="R121" s="306"/>
      <c r="S121" s="306"/>
      <c r="T121" s="306"/>
      <c r="U121" s="306"/>
      <c r="V121" s="306"/>
      <c r="W121" s="306"/>
      <c r="X121" s="306"/>
      <c r="Y121" s="306"/>
      <c r="Z121" s="306"/>
      <c r="AA121" s="306"/>
      <c r="AB121" s="306"/>
      <c r="AC121" s="306"/>
      <c r="AD121" s="306"/>
      <c r="AE121" s="306"/>
      <c r="AF121" s="306"/>
      <c r="AG121" s="306"/>
      <c r="AH121" s="306"/>
      <c r="AI121" s="306"/>
      <c r="AJ121" s="306"/>
      <c r="AK121" s="306"/>
      <c r="AL121" s="306"/>
      <c r="AM121" s="306"/>
      <c r="AN121" s="306"/>
      <c r="AO121" s="306"/>
      <c r="AP121" s="306"/>
      <c r="AQ121" s="316"/>
      <c r="AR121" s="316"/>
      <c r="AS121" s="1232"/>
      <c r="AT121" s="317"/>
      <c r="AU121" s="317"/>
      <c r="AV121" s="1233"/>
      <c r="AW121" s="343"/>
      <c r="AX121" s="1232"/>
      <c r="AY121" s="317"/>
      <c r="AZ121" s="317"/>
      <c r="BA121" s="1233"/>
      <c r="BB121" s="317"/>
      <c r="BC121" s="1232"/>
      <c r="BD121" s="317"/>
      <c r="BE121" s="317"/>
      <c r="BF121" s="1233"/>
      <c r="BG121" s="317"/>
      <c r="BH121" s="1232"/>
      <c r="BI121" s="317"/>
      <c r="BJ121" s="317"/>
      <c r="BK121" s="1233"/>
      <c r="BL121" s="317"/>
      <c r="BM121" s="1232"/>
      <c r="BN121" s="317"/>
      <c r="BO121" s="317"/>
      <c r="BP121" s="1233"/>
      <c r="BQ121" s="317"/>
      <c r="BR121" s="1232"/>
      <c r="BS121" s="317"/>
      <c r="BT121" s="317"/>
      <c r="BU121" s="1233"/>
      <c r="BV121" s="317"/>
      <c r="BW121" s="1232"/>
      <c r="BX121" s="317"/>
      <c r="BY121" s="317"/>
      <c r="BZ121" s="1233"/>
      <c r="CA121" s="317"/>
      <c r="CB121" s="1232"/>
      <c r="CC121" s="317"/>
      <c r="CD121" s="317"/>
      <c r="CE121" s="1237"/>
      <c r="CF121" s="607"/>
      <c r="CG121" s="1236"/>
      <c r="CH121" s="607"/>
      <c r="CI121" s="317"/>
      <c r="CJ121" s="1237"/>
      <c r="CK121" s="607"/>
      <c r="CL121" s="1232"/>
      <c r="CM121" s="317"/>
      <c r="CN121" s="317"/>
      <c r="CO121" s="1233"/>
      <c r="CP121" s="317"/>
      <c r="CQ121" s="1232"/>
      <c r="CR121" s="317"/>
      <c r="CS121" s="317"/>
      <c r="CT121" s="1233"/>
      <c r="CU121" s="317"/>
      <c r="CV121" s="1232"/>
      <c r="CW121" s="317"/>
      <c r="CX121" s="317"/>
      <c r="CY121" s="1233"/>
      <c r="CZ121" s="317"/>
    </row>
    <row r="122" spans="1:104" ht="13.5" customHeight="1" outlineLevel="1">
      <c r="A122" s="315"/>
      <c r="B122" s="315" t="s">
        <v>188</v>
      </c>
      <c r="C122" s="315"/>
      <c r="D122" s="344"/>
      <c r="E122" s="344"/>
      <c r="F122" s="344"/>
      <c r="G122" s="344"/>
      <c r="H122" s="344"/>
      <c r="I122" s="344"/>
      <c r="J122" s="344"/>
      <c r="K122" s="344"/>
      <c r="L122" s="344"/>
      <c r="M122" s="344"/>
      <c r="N122" s="344"/>
      <c r="O122" s="344"/>
      <c r="P122" s="344"/>
      <c r="Q122" s="344"/>
      <c r="R122" s="344"/>
      <c r="S122" s="344"/>
      <c r="T122" s="344"/>
      <c r="U122" s="344"/>
      <c r="V122" s="344"/>
      <c r="W122" s="344"/>
      <c r="X122" s="344"/>
      <c r="Y122" s="344"/>
      <c r="Z122" s="344"/>
      <c r="AA122" s="344"/>
      <c r="AB122" s="344"/>
      <c r="AC122" s="344"/>
      <c r="AD122" s="344"/>
      <c r="AE122" s="344"/>
      <c r="AF122" s="344"/>
      <c r="AG122" s="344"/>
      <c r="AH122" s="344"/>
      <c r="AI122" s="344"/>
      <c r="AJ122" s="344"/>
      <c r="AK122" s="344"/>
      <c r="AL122" s="344"/>
      <c r="AM122" s="344"/>
      <c r="AN122" s="344"/>
      <c r="AO122" s="344"/>
      <c r="AP122" s="344"/>
      <c r="AQ122" s="345"/>
      <c r="AR122" s="345"/>
      <c r="AS122" s="1246">
        <f>AS23+AS31+AS39+AS47+AS55+AS63+AS71+AS87+AS95</f>
        <v>-175</v>
      </c>
      <c r="AT122" s="609">
        <f>AT23+AT31+AT39+AT47+AT55+AT63+AT71+AT87+AT95</f>
        <v>0</v>
      </c>
      <c r="AU122" s="609">
        <f>AU23+AU31+AU39+AU47+AU55+AU63+AU71+AU87+AU95</f>
        <v>-5.4000000000000341</v>
      </c>
      <c r="AV122" s="1247">
        <f>AV23+AV31+AV39+AV47+AV55+AV63+AV71+AV87+AV95</f>
        <v>0</v>
      </c>
      <c r="AW122" s="609">
        <f>SUM(AS122:AV122)</f>
        <v>-180.40000000000003</v>
      </c>
      <c r="AX122" s="1246">
        <f>AX23+AX31+AX39+AX47+AX55+AX63+AX71+AX87+AX95</f>
        <v>0</v>
      </c>
      <c r="AY122" s="609">
        <f>AY23+AY31+AY39+AY47+AY55+AY63+AY71+AY87+AY95</f>
        <v>0</v>
      </c>
      <c r="AZ122" s="609">
        <f>AZ23+AZ31+AZ39+AZ47+AZ55+AZ63+AZ71+AZ87+AZ95</f>
        <v>0</v>
      </c>
      <c r="BA122" s="1247">
        <f>BA23+BA31+BA39+BA47+BA55+BA63+BA71+BA87+BA95</f>
        <v>0</v>
      </c>
      <c r="BB122" s="609">
        <f>SUM(AX122:BA122)</f>
        <v>0</v>
      </c>
      <c r="BC122" s="1246">
        <f>BC23+BC31+BC39+BC47+BC55+BC63+BC71+BC87+BC95</f>
        <v>0</v>
      </c>
      <c r="BD122" s="609">
        <f>BD23+BD31+BD39+BD47+BD55+BD63+BD71+BD87+BD95</f>
        <v>0</v>
      </c>
      <c r="BE122" s="609">
        <f>BE23+BE31+BE39+BE47+BE55+BE63+BE71+BE87+BE95</f>
        <v>0</v>
      </c>
      <c r="BF122" s="1247">
        <f>BF23+BF31+BF39+BF47+BF55+BF63+BF71+BF87+BF95</f>
        <v>0</v>
      </c>
      <c r="BG122" s="609">
        <f>SUM(BC122:BF122)</f>
        <v>0</v>
      </c>
      <c r="BH122" s="1246">
        <f>BH23+BH31+BH39+BH47+BH55+BH63+BH71+BH87+BH95</f>
        <v>0</v>
      </c>
      <c r="BI122" s="609">
        <f>BI23+BI31+BI39+BI47+BI55+BI63+BI71+BI87+BI95</f>
        <v>0</v>
      </c>
      <c r="BJ122" s="609">
        <f>BJ23+BJ31+BJ39+BJ47+BJ55+BJ63+BJ71+BJ87+BJ95</f>
        <v>0</v>
      </c>
      <c r="BK122" s="1247">
        <f>BK23+BK31+BK39+BK47+BK55+BK63+BK71+BK87+BK95</f>
        <v>-650</v>
      </c>
      <c r="BL122" s="609">
        <f>SUM(BH122:BK122)</f>
        <v>-650</v>
      </c>
      <c r="BM122" s="1246">
        <f>BM23+BM31+BM39+BM47+BM55+BM63+BM71+BM87+BM95</f>
        <v>0</v>
      </c>
      <c r="BN122" s="609">
        <f>BN23+BN31+BN39+BN47+BN55+BN63+BN71+BN87+BN95</f>
        <v>-250</v>
      </c>
      <c r="BO122" s="609">
        <f>BO23+BO31+BO39+BO47+BO55+BO63+BO71+BO87+BO95+BO103+BO111</f>
        <v>0</v>
      </c>
      <c r="BP122" s="1247">
        <f>BP23+BP31+BP39+BP47+BP55+BP63+BP71+BP87+BP95+BP103+BP111</f>
        <v>0</v>
      </c>
      <c r="BQ122" s="609">
        <f>SUM(BM122:BP122)</f>
        <v>-250</v>
      </c>
      <c r="BR122" s="1246">
        <f>BR23+BR31+BR39+BR47+BR55+BR63+BR71+BR87+BR95+BR103+BR111</f>
        <v>0</v>
      </c>
      <c r="BS122" s="609">
        <f>BS23+BS31+BS39+BS47+BS55+BS63+BS71+BS87+BS95+BS103+BS111</f>
        <v>0</v>
      </c>
      <c r="BT122" s="609">
        <f>BT23+BT31+BT39+BT47+BT55+BT63+BT71+BT87+BT95+BT103+BT111</f>
        <v>0</v>
      </c>
      <c r="BU122" s="1247">
        <f>BU23+BU31+BU39+BU47+BU55+BU63+BU71+BU87+BU95+BU103+BU111</f>
        <v>0</v>
      </c>
      <c r="BV122" s="609">
        <f>SUM(BR122:BU122)</f>
        <v>0</v>
      </c>
      <c r="BW122" s="1246">
        <f>BW23+BW31+BW39+BW47+BW55+BW63+BW71+BW87+BW95+BW103+BW111</f>
        <v>0</v>
      </c>
      <c r="BX122" s="609">
        <f>BX23+BX31+BX39+BX47+BX55+BX63+BX71+BX87+BX95+BX103+BX111</f>
        <v>0</v>
      </c>
      <c r="BY122" s="609">
        <f>BY23+BY31+BY39+BY47+BY55+BY63+BY71+BY87+BY95+BY103+BY111</f>
        <v>0</v>
      </c>
      <c r="BZ122" s="1247">
        <f>BZ23+BZ31+BZ39+BZ47+BZ55+BZ63+BZ71+BZ87+BZ95+BZ103+BZ111</f>
        <v>-3.2650000000000001</v>
      </c>
      <c r="CA122" s="609">
        <f>SUM(BW122:BZ122)</f>
        <v>-3.2650000000000001</v>
      </c>
      <c r="CB122" s="1246">
        <f>CB23+CB31+CB39+CB47+CB55+CB63+CB71+CB87+CB95+CB103+CB111</f>
        <v>0</v>
      </c>
      <c r="CC122" s="609">
        <f>CC23+CC31+CC39+CC47+CC55+CC63+CC71+CC87+CC95+CC103+CC111</f>
        <v>0</v>
      </c>
      <c r="CD122" s="609">
        <f>CD23+CD31+CD39+CD47+CD55+CD63+CD71+CD87+CD95+CD103+CD111</f>
        <v>0</v>
      </c>
      <c r="CE122" s="1247">
        <f>CE23+CE31+CE39+CE47+CE55+CE63+CE71+CE87+CE95+CE103+CE111</f>
        <v>-16.335000000000001</v>
      </c>
      <c r="CF122" s="609">
        <f>SUM(CB122:CE122)</f>
        <v>-16.335000000000001</v>
      </c>
      <c r="CG122" s="1246">
        <f>CG23+CG31+CG39+CG47+CG55+CG63+CG71+CG87+CG95+CG103+CG111</f>
        <v>0</v>
      </c>
      <c r="CH122" s="609">
        <f>CH23+CH31+CH39+CH47+CH55+CH63+CH71+CH87+CH95+CH103+CH111</f>
        <v>0</v>
      </c>
      <c r="CI122" s="609">
        <f>CI23+CI31+CI39+CI47+CI55+CI63+CI71+CI87+CI95+CI103+CI111</f>
        <v>0</v>
      </c>
      <c r="CJ122" s="1247">
        <f>CJ23+CJ31+CJ39+CJ47+CJ55+CJ63+CJ71+CJ87+CJ95+CJ103+CJ111</f>
        <v>0</v>
      </c>
      <c r="CK122" s="609">
        <f>SUM(CG122:CJ122)</f>
        <v>0</v>
      </c>
      <c r="CL122" s="1246">
        <f>CL23+CL31+CL39+CL47+CL55+CL63+CL71+CL87+CL95+CL103+CL111</f>
        <v>0</v>
      </c>
      <c r="CM122" s="609">
        <f>CM23+CM31+CM39+CM47+CM55+CM63+CM71+CM87+CM95+CM103+CM111</f>
        <v>0</v>
      </c>
      <c r="CN122" s="609">
        <f>CN23+CN31+CN39+CN47+CN55+CN63+CN71+CN87+CN95+CN103+CN111</f>
        <v>0</v>
      </c>
      <c r="CO122" s="1247">
        <f>CO23+CO31+CO39+CO47+CO55+CO63+CO71+CO87+CO95+CO103+CO111</f>
        <v>0</v>
      </c>
      <c r="CP122" s="609">
        <f>SUM(CL122:CO122)</f>
        <v>0</v>
      </c>
      <c r="CQ122" s="1246">
        <f>CQ23+CQ31+CQ39+CQ47+CQ55+CQ63+CQ71+CQ87+CQ95+CQ103+CQ111</f>
        <v>0</v>
      </c>
      <c r="CR122" s="609">
        <f>CR23+CR31+CR39+CR47+CR55+CR63+CR71+CR87+CR95+CR103+CR111</f>
        <v>0</v>
      </c>
      <c r="CS122" s="609">
        <f>CS23+CS31+CS39+CS47+CS55+CS63+CS71+CS87+CS95+CS103+CS111</f>
        <v>0</v>
      </c>
      <c r="CT122" s="1247">
        <f>CT23+CT31+CT39+CT47+CT55+CT63+CT71+CT87+CT95+CT103+CT111</f>
        <v>0</v>
      </c>
      <c r="CU122" s="609">
        <f>SUM(CQ122:CT122)</f>
        <v>0</v>
      </c>
      <c r="CV122" s="1246">
        <f>CV23+CV31+CV39+CV47+CV55+CV63+CV71+CV87+CV95+CV103+CV111</f>
        <v>0</v>
      </c>
      <c r="CW122" s="609">
        <f>CW23+CW31+CW39+CW47+CW55+CW63+CW71+CW87+CW95+CW103+CW111</f>
        <v>0</v>
      </c>
      <c r="CX122" s="609">
        <f>CX23+CX31+CX39+CX47+CX55+CX63+CX71+CX87+CX95+CX103+CX111</f>
        <v>0</v>
      </c>
      <c r="CY122" s="1247">
        <f>CY23+CY31+CY39+CY47+CY55+CY63+CY71+CY87+CY95+CY103+CY111</f>
        <v>0</v>
      </c>
      <c r="CZ122" s="609">
        <f>SUM(CV122:CY122)</f>
        <v>0</v>
      </c>
    </row>
    <row r="123" spans="1:104" ht="6.2" customHeight="1" outlineLevel="1">
      <c r="A123" s="305"/>
      <c r="B123" s="305"/>
      <c r="C123" s="305"/>
      <c r="D123" s="306"/>
      <c r="E123" s="306"/>
      <c r="F123" s="306"/>
      <c r="G123" s="306"/>
      <c r="H123" s="306"/>
      <c r="I123" s="306"/>
      <c r="J123" s="306"/>
      <c r="K123" s="306"/>
      <c r="L123" s="306"/>
      <c r="M123" s="306"/>
      <c r="N123" s="306"/>
      <c r="O123" s="306"/>
      <c r="P123" s="306"/>
      <c r="Q123" s="306"/>
      <c r="R123" s="306"/>
      <c r="S123" s="306"/>
      <c r="T123" s="306"/>
      <c r="U123" s="306"/>
      <c r="V123" s="306"/>
      <c r="W123" s="306"/>
      <c r="X123" s="306"/>
      <c r="Y123" s="306"/>
      <c r="Z123" s="306"/>
      <c r="AA123" s="306"/>
      <c r="AB123" s="306"/>
      <c r="AC123" s="306"/>
      <c r="AD123" s="306"/>
      <c r="AE123" s="306"/>
      <c r="AF123" s="306"/>
      <c r="AG123" s="306"/>
      <c r="AH123" s="306"/>
      <c r="AI123" s="306"/>
      <c r="AJ123" s="306"/>
      <c r="AK123" s="306"/>
      <c r="AL123" s="306"/>
      <c r="AM123" s="306"/>
      <c r="AN123" s="306"/>
      <c r="AO123" s="306"/>
      <c r="AP123" s="306"/>
      <c r="AQ123" s="332"/>
      <c r="AR123" s="332"/>
      <c r="AS123" s="1240"/>
      <c r="AT123" s="307"/>
      <c r="AU123" s="307"/>
      <c r="AV123" s="1241"/>
      <c r="AW123" s="343"/>
      <c r="AX123" s="1240"/>
      <c r="AY123" s="307"/>
      <c r="AZ123" s="307"/>
      <c r="BA123" s="1241"/>
      <c r="BB123" s="343"/>
      <c r="BC123" s="1240"/>
      <c r="BD123" s="307"/>
      <c r="BE123" s="307"/>
      <c r="BF123" s="1241"/>
      <c r="BG123" s="343"/>
      <c r="BH123" s="1240"/>
      <c r="BI123" s="307"/>
      <c r="BJ123" s="307"/>
      <c r="BK123" s="1241"/>
      <c r="BL123" s="343"/>
      <c r="BM123" s="1240"/>
      <c r="BN123" s="307"/>
      <c r="BO123" s="307"/>
      <c r="BP123" s="1241"/>
      <c r="BQ123" s="343"/>
      <c r="BR123" s="1240"/>
      <c r="BS123" s="307"/>
      <c r="BT123" s="307"/>
      <c r="BU123" s="1241"/>
      <c r="BV123" s="343"/>
      <c r="BW123" s="1240"/>
      <c r="BX123" s="307"/>
      <c r="BY123" s="307"/>
      <c r="BZ123" s="1241"/>
      <c r="CA123" s="343"/>
      <c r="CB123" s="1240"/>
      <c r="CC123" s="307"/>
      <c r="CD123" s="307"/>
      <c r="CE123" s="1275"/>
      <c r="CF123" s="764"/>
      <c r="CG123" s="1280"/>
      <c r="CH123" s="762"/>
      <c r="CI123" s="307"/>
      <c r="CJ123" s="1275"/>
      <c r="CK123" s="764"/>
      <c r="CL123" s="1240"/>
      <c r="CM123" s="307"/>
      <c r="CN123" s="307"/>
      <c r="CO123" s="1241"/>
      <c r="CP123" s="343"/>
      <c r="CQ123" s="1240"/>
      <c r="CR123" s="307"/>
      <c r="CS123" s="307"/>
      <c r="CT123" s="1241"/>
      <c r="CU123" s="343"/>
      <c r="CV123" s="1240"/>
      <c r="CW123" s="307"/>
      <c r="CX123" s="307"/>
      <c r="CY123" s="1241"/>
      <c r="CZ123" s="343"/>
    </row>
    <row r="124" spans="1:104" ht="13.5" customHeight="1" outlineLevel="1">
      <c r="A124" s="348"/>
      <c r="B124" s="315" t="s">
        <v>189</v>
      </c>
      <c r="C124" s="305"/>
      <c r="D124" s="306"/>
      <c r="E124" s="306"/>
      <c r="F124" s="306"/>
      <c r="G124" s="402"/>
      <c r="H124" s="306"/>
      <c r="I124" s="306"/>
      <c r="J124" s="306"/>
      <c r="K124" s="306"/>
      <c r="L124" s="306"/>
      <c r="M124" s="306"/>
      <c r="N124" s="306"/>
      <c r="O124" s="306"/>
      <c r="P124" s="306"/>
      <c r="Q124" s="306"/>
      <c r="R124" s="306"/>
      <c r="S124" s="306"/>
      <c r="T124" s="306"/>
      <c r="U124" s="306"/>
      <c r="V124" s="306"/>
      <c r="W124" s="306"/>
      <c r="X124" s="306"/>
      <c r="Y124" s="306"/>
      <c r="Z124" s="306"/>
      <c r="AA124" s="306"/>
      <c r="AB124" s="306"/>
      <c r="AC124" s="306"/>
      <c r="AD124" s="306"/>
      <c r="AE124" s="306"/>
      <c r="AF124" s="306"/>
      <c r="AG124" s="306"/>
      <c r="AH124" s="306"/>
      <c r="AI124" s="306"/>
      <c r="AJ124" s="306"/>
      <c r="AK124" s="306"/>
      <c r="AL124" s="306"/>
      <c r="AM124" s="306"/>
      <c r="AN124" s="306"/>
      <c r="AO124" s="306"/>
      <c r="AP124" s="306"/>
      <c r="AQ124" s="332"/>
      <c r="AR124" s="332"/>
      <c r="AS124" s="1240"/>
      <c r="AT124" s="307"/>
      <c r="AU124" s="307"/>
      <c r="AV124" s="1241"/>
      <c r="AW124" s="343"/>
      <c r="AX124" s="1240"/>
      <c r="AY124" s="307"/>
      <c r="AZ124" s="307"/>
      <c r="BA124" s="1241"/>
      <c r="BB124" s="343"/>
      <c r="BC124" s="1272"/>
      <c r="BD124" s="307"/>
      <c r="BE124" s="307"/>
      <c r="BF124" s="1241"/>
      <c r="BG124" s="343"/>
      <c r="BH124" s="1240"/>
      <c r="BI124" s="307"/>
      <c r="BJ124" s="307"/>
      <c r="BK124" s="1241"/>
      <c r="BL124" s="343"/>
      <c r="BM124" s="1240"/>
      <c r="BN124" s="307"/>
      <c r="BO124" s="307"/>
      <c r="BP124" s="1241"/>
      <c r="BQ124" s="343"/>
      <c r="BR124" s="1240"/>
      <c r="BS124" s="307"/>
      <c r="BT124" s="307"/>
      <c r="BU124" s="1241"/>
      <c r="BV124" s="343"/>
      <c r="BW124" s="1240"/>
      <c r="BX124" s="307"/>
      <c r="BY124" s="307"/>
      <c r="BZ124" s="1241"/>
      <c r="CA124" s="343"/>
      <c r="CB124" s="1240"/>
      <c r="CC124" s="307"/>
      <c r="CD124" s="307"/>
      <c r="CE124" s="1275"/>
      <c r="CF124" s="764"/>
      <c r="CG124" s="1280"/>
      <c r="CH124" s="762"/>
      <c r="CI124" s="307"/>
      <c r="CJ124" s="1275"/>
      <c r="CK124" s="764"/>
      <c r="CL124" s="1240"/>
      <c r="CM124" s="307"/>
      <c r="CN124" s="307"/>
      <c r="CO124" s="1241"/>
      <c r="CP124" s="343"/>
      <c r="CQ124" s="1240"/>
      <c r="CR124" s="307"/>
      <c r="CS124" s="307"/>
      <c r="CT124" s="1241"/>
      <c r="CU124" s="343"/>
      <c r="CV124" s="1240"/>
      <c r="CW124" s="307"/>
      <c r="CX124" s="307"/>
      <c r="CY124" s="1241"/>
      <c r="CZ124" s="343"/>
    </row>
    <row r="125" spans="1:104" ht="13.5" customHeight="1" outlineLevel="1">
      <c r="A125" s="315"/>
      <c r="B125" s="318" t="s">
        <v>5</v>
      </c>
      <c r="C125" s="305"/>
      <c r="D125" s="306"/>
      <c r="E125" s="306"/>
      <c r="F125" s="306"/>
      <c r="G125" s="349"/>
      <c r="H125" s="306"/>
      <c r="I125" s="306"/>
      <c r="J125" s="306"/>
      <c r="K125" s="306"/>
      <c r="L125" s="306"/>
      <c r="M125" s="306"/>
      <c r="N125" s="306"/>
      <c r="O125" s="306"/>
      <c r="P125" s="306"/>
      <c r="Q125" s="306"/>
      <c r="R125" s="306"/>
      <c r="S125" s="306"/>
      <c r="T125" s="306"/>
      <c r="U125" s="306"/>
      <c r="V125" s="306"/>
      <c r="W125" s="306"/>
      <c r="X125" s="306"/>
      <c r="Y125" s="306"/>
      <c r="Z125" s="306"/>
      <c r="AA125" s="306"/>
      <c r="AB125" s="306"/>
      <c r="AC125" s="306"/>
      <c r="AD125" s="306"/>
      <c r="AE125" s="306"/>
      <c r="AF125" s="306"/>
      <c r="AG125" s="306"/>
      <c r="AH125" s="306"/>
      <c r="AI125" s="306"/>
      <c r="AJ125" s="306"/>
      <c r="AK125" s="306"/>
      <c r="AL125" s="306"/>
      <c r="AM125" s="306"/>
      <c r="AN125" s="306"/>
      <c r="AO125" s="306"/>
      <c r="AP125" s="306"/>
      <c r="AQ125" s="332"/>
      <c r="AR125" s="332"/>
      <c r="AS125" s="1234">
        <f>AS129/AS128</f>
        <v>3.4390790205604473E-3</v>
      </c>
      <c r="AT125" s="310">
        <f>AT129/AT128</f>
        <v>1.718468483312426E-3</v>
      </c>
      <c r="AU125" s="310">
        <f>AU129/AU128</f>
        <v>1.1059966249673191E-3</v>
      </c>
      <c r="AV125" s="1235">
        <f>AV129/AV128</f>
        <v>8.4694039421714506E-4</v>
      </c>
      <c r="AW125" s="343"/>
      <c r="AX125" s="1234">
        <f>AX129/AX128</f>
        <v>7.2936176131200257E-4</v>
      </c>
      <c r="AY125" s="310">
        <f>AY129/AY128</f>
        <v>9.2168157238367045E-4</v>
      </c>
      <c r="AZ125" s="310">
        <f>AZ129/AZ128</f>
        <v>1.227217161221843E-3</v>
      </c>
      <c r="BA125" s="1235">
        <f>BA129/BA128</f>
        <v>1.3911129728641572E-3</v>
      </c>
      <c r="BB125" s="343"/>
      <c r="BC125" s="1234">
        <f>BC129/BC128</f>
        <v>1.2845949546873474E-3</v>
      </c>
      <c r="BD125" s="310">
        <f>BD129/BD128</f>
        <v>1.2996246378251929E-3</v>
      </c>
      <c r="BE125" s="310">
        <f>BE129/BE128</f>
        <v>1.8274287213364973E-3</v>
      </c>
      <c r="BF125" s="1235">
        <f>BF129/BF128</f>
        <v>9.5835591932451379E-4</v>
      </c>
      <c r="BG125" s="343"/>
      <c r="BH125" s="1270">
        <v>1.5E-3</v>
      </c>
      <c r="BI125" s="534">
        <v>1.5E-3</v>
      </c>
      <c r="BJ125" s="534">
        <v>1.5E-3</v>
      </c>
      <c r="BK125" s="1271">
        <v>1.5E-3</v>
      </c>
      <c r="BL125" s="343"/>
      <c r="BM125" s="1270">
        <v>2E-3</v>
      </c>
      <c r="BN125" s="534">
        <v>2E-3</v>
      </c>
      <c r="BO125" s="534">
        <v>2E-3</v>
      </c>
      <c r="BP125" s="1271">
        <v>2E-3</v>
      </c>
      <c r="BQ125" s="343"/>
      <c r="BR125" s="1270">
        <v>3.0000000000000001E-3</v>
      </c>
      <c r="BS125" s="534">
        <v>3.0000000000000001E-3</v>
      </c>
      <c r="BT125" s="534">
        <v>3.0000000000000001E-3</v>
      </c>
      <c r="BU125" s="1271">
        <v>3.0000000000000001E-3</v>
      </c>
      <c r="BV125" s="343"/>
      <c r="BW125" s="1273">
        <v>3.0000000000000001E-3</v>
      </c>
      <c r="BX125" s="680">
        <v>3.0000000000000001E-3</v>
      </c>
      <c r="BY125" s="680">
        <v>3.0000000000000001E-3</v>
      </c>
      <c r="BZ125" s="1274">
        <v>3.0000000000000001E-3</v>
      </c>
      <c r="CA125" s="343"/>
      <c r="CB125" s="1273">
        <v>3.0000000000000001E-3</v>
      </c>
      <c r="CC125" s="680">
        <v>3.0000000000000001E-3</v>
      </c>
      <c r="CD125" s="680">
        <v>3.0000000000000001E-3</v>
      </c>
      <c r="CE125" s="1274">
        <v>3.0000000000000001E-3</v>
      </c>
      <c r="CF125" s="764"/>
      <c r="CG125" s="1273">
        <v>3.0000000000000001E-3</v>
      </c>
      <c r="CH125" s="680">
        <v>3.0000000000000001E-3</v>
      </c>
      <c r="CI125" s="680">
        <v>3.0000000000000001E-3</v>
      </c>
      <c r="CJ125" s="1274">
        <v>3.0000000000000001E-3</v>
      </c>
      <c r="CK125" s="764"/>
      <c r="CL125" s="1273">
        <v>3.0000000000000001E-3</v>
      </c>
      <c r="CM125" s="680">
        <v>3.0000000000000001E-3</v>
      </c>
      <c r="CN125" s="680">
        <v>3.0000000000000001E-3</v>
      </c>
      <c r="CO125" s="1274">
        <v>3.0000000000000001E-3</v>
      </c>
      <c r="CP125" s="343"/>
      <c r="CQ125" s="1273">
        <v>3.0000000000000001E-3</v>
      </c>
      <c r="CR125" s="680">
        <v>3.0000000000000001E-3</v>
      </c>
      <c r="CS125" s="680">
        <v>3.0000000000000001E-3</v>
      </c>
      <c r="CT125" s="1274">
        <v>3.0000000000000001E-3</v>
      </c>
      <c r="CU125" s="343"/>
      <c r="CV125" s="1273">
        <v>3.0000000000000001E-3</v>
      </c>
      <c r="CW125" s="680">
        <v>3.0000000000000001E-3</v>
      </c>
      <c r="CX125" s="680">
        <v>3.0000000000000001E-3</v>
      </c>
      <c r="CY125" s="1274">
        <v>3.0000000000000001E-3</v>
      </c>
      <c r="CZ125" s="343"/>
    </row>
    <row r="126" spans="1:104" ht="13.5" customHeight="1" outlineLevel="1">
      <c r="A126" s="305"/>
      <c r="B126" s="305" t="s">
        <v>179</v>
      </c>
      <c r="C126" s="305"/>
      <c r="D126" s="306"/>
      <c r="E126" s="306"/>
      <c r="F126" s="306"/>
      <c r="G126" s="306"/>
      <c r="H126" s="306"/>
      <c r="I126" s="306"/>
      <c r="J126" s="306"/>
      <c r="K126" s="306"/>
      <c r="L126" s="306"/>
      <c r="M126" s="306"/>
      <c r="N126" s="306"/>
      <c r="O126" s="306"/>
      <c r="P126" s="306"/>
      <c r="Q126" s="306"/>
      <c r="R126" s="306"/>
      <c r="S126" s="306"/>
      <c r="T126" s="306"/>
      <c r="U126" s="306"/>
      <c r="V126" s="306"/>
      <c r="W126" s="306"/>
      <c r="X126" s="306"/>
      <c r="Y126" s="306"/>
      <c r="Z126" s="306"/>
      <c r="AA126" s="306"/>
      <c r="AB126" s="306"/>
      <c r="AC126" s="306"/>
      <c r="AD126" s="306"/>
      <c r="AE126" s="306"/>
      <c r="AF126" s="306"/>
      <c r="AG126" s="306"/>
      <c r="AH126" s="306"/>
      <c r="AI126" s="306"/>
      <c r="AJ126" s="306"/>
      <c r="AK126" s="306"/>
      <c r="AL126" s="306"/>
      <c r="AM126" s="306"/>
      <c r="AN126" s="306"/>
      <c r="AO126" s="306"/>
      <c r="AP126" s="306"/>
      <c r="AQ126" s="316"/>
      <c r="AR126" s="332"/>
      <c r="AS126" s="1236">
        <f>+AR127</f>
        <v>2355.13</v>
      </c>
      <c r="AT126" s="607">
        <f>+AS127</f>
        <v>1900.079</v>
      </c>
      <c r="AU126" s="607">
        <f>+AT127</f>
        <v>2196.5920000000001</v>
      </c>
      <c r="AV126" s="1237">
        <f>+AU127</f>
        <v>2221.143</v>
      </c>
      <c r="AW126" s="317"/>
      <c r="AX126" s="1236">
        <f>+AW127</f>
        <v>2241.9809999999998</v>
      </c>
      <c r="AY126" s="607">
        <f>+AX127</f>
        <v>2000.0839999999998</v>
      </c>
      <c r="AZ126" s="607">
        <f>+AY127</f>
        <v>1141.999</v>
      </c>
      <c r="BA126" s="1237">
        <f>+AZ127</f>
        <v>2006.5880000000002</v>
      </c>
      <c r="BB126" s="317"/>
      <c r="BC126" s="1236">
        <f>+BB127</f>
        <v>2479.029</v>
      </c>
      <c r="BD126" s="607">
        <f>+BC127</f>
        <v>2296.0169999999998</v>
      </c>
      <c r="BE126" s="607">
        <f>+BD127</f>
        <v>2282.2280000000001</v>
      </c>
      <c r="BF126" s="1237">
        <f>+BE127</f>
        <v>2413.9879999999998</v>
      </c>
      <c r="BG126" s="317"/>
      <c r="BH126" s="1236">
        <f>+BG127</f>
        <v>2563.2860000000001</v>
      </c>
      <c r="BI126" s="607">
        <f>+BH127</f>
        <v>2378.1030000000001</v>
      </c>
      <c r="BJ126" s="607">
        <f>+BI127</f>
        <v>1681.41</v>
      </c>
      <c r="BK126" s="1237">
        <f>+BJ127</f>
        <v>2123.4629999999997</v>
      </c>
      <c r="BL126" s="317"/>
      <c r="BM126" s="1236">
        <f>+BL127</f>
        <v>1157.029</v>
      </c>
      <c r="BN126" s="607">
        <f>+BM127</f>
        <v>932.20300000000009</v>
      </c>
      <c r="BO126" s="607">
        <f>+BN127</f>
        <v>678.12299999999993</v>
      </c>
      <c r="BP126" s="1237">
        <f>+BO127</f>
        <v>1771.3850000000002</v>
      </c>
      <c r="BQ126" s="317"/>
      <c r="BR126" s="1236">
        <f>+BQ127</f>
        <v>1511.443</v>
      </c>
      <c r="BS126" s="607">
        <f>+BR127</f>
        <v>1252.5419999999999</v>
      </c>
      <c r="BT126" s="607">
        <f>+BS127</f>
        <v>1167.5609999999999</v>
      </c>
      <c r="BU126" s="1237">
        <f>+BT127</f>
        <v>1395.9449999999999</v>
      </c>
      <c r="BV126" s="317"/>
      <c r="BW126" s="1236">
        <f>+BV127</f>
        <v>1124.144</v>
      </c>
      <c r="BX126" s="607">
        <f>+BW127</f>
        <v>1265.864</v>
      </c>
      <c r="BY126" s="607">
        <f>+BX127</f>
        <v>1688.7320000000002</v>
      </c>
      <c r="BZ126" s="1237">
        <f>+BY127</f>
        <v>1995.425</v>
      </c>
      <c r="CA126" s="317"/>
      <c r="CB126" s="1236">
        <f>+CA127</f>
        <v>2039.4690000000001</v>
      </c>
      <c r="CC126" s="607">
        <f>+CB127</f>
        <v>2328.4879999999998</v>
      </c>
      <c r="CD126" s="607">
        <f>+CC127</f>
        <v>2331.15</v>
      </c>
      <c r="CE126" s="1237">
        <f>+CD127</f>
        <v>2354.7070000000003</v>
      </c>
      <c r="CF126" s="607"/>
      <c r="CG126" s="1236">
        <f>+CF127</f>
        <v>2195.9610000000002</v>
      </c>
      <c r="CH126" s="607">
        <f>+CG127</f>
        <v>1707.759</v>
      </c>
      <c r="CI126" s="607">
        <f>+CH127</f>
        <v>1561.3530000000001</v>
      </c>
      <c r="CJ126" s="1237">
        <f>+CI127</f>
        <v>1625.944</v>
      </c>
      <c r="CK126" s="607"/>
      <c r="CL126" s="1236">
        <f>+CK127</f>
        <v>999.10400000000004</v>
      </c>
      <c r="CM126" s="607">
        <f>+CL127</f>
        <v>760.25400000000002</v>
      </c>
      <c r="CN126" s="607">
        <f>+CM127</f>
        <v>1092.9114373138527</v>
      </c>
      <c r="CO126" s="1237">
        <f>+CN127</f>
        <v>1279.8047324682866</v>
      </c>
      <c r="CP126" s="317"/>
      <c r="CQ126" s="1236">
        <f>+CP127</f>
        <v>1674.7992526287446</v>
      </c>
      <c r="CR126" s="607">
        <f>+CQ127</f>
        <v>1634.4942214375219</v>
      </c>
      <c r="CS126" s="607">
        <f>+CR127</f>
        <v>2337.625723438453</v>
      </c>
      <c r="CT126" s="1237">
        <f>+CS127</f>
        <v>2663.1742841432765</v>
      </c>
      <c r="CU126" s="317"/>
      <c r="CV126" s="1236">
        <f>+CU127</f>
        <v>3033.9736067225044</v>
      </c>
      <c r="CW126" s="607">
        <f>+CV127</f>
        <v>3006.5048420487051</v>
      </c>
      <c r="CX126" s="607">
        <f>+CW127</f>
        <v>3779.2627900715224</v>
      </c>
      <c r="CY126" s="1237">
        <f>+CX127</f>
        <v>4156.7814770570603</v>
      </c>
      <c r="CZ126" s="317"/>
    </row>
    <row r="127" spans="1:104" ht="13.5" customHeight="1" outlineLevel="1">
      <c r="A127" s="305"/>
      <c r="B127" s="305" t="s">
        <v>182</v>
      </c>
      <c r="C127" s="305"/>
      <c r="D127" s="306"/>
      <c r="E127" s="306"/>
      <c r="F127" s="306"/>
      <c r="G127" s="306"/>
      <c r="H127" s="306"/>
      <c r="I127" s="306"/>
      <c r="J127" s="306"/>
      <c r="K127" s="306"/>
      <c r="L127" s="306"/>
      <c r="M127" s="306"/>
      <c r="N127" s="306"/>
      <c r="O127" s="306"/>
      <c r="P127" s="306"/>
      <c r="Q127" s="306"/>
      <c r="R127" s="306"/>
      <c r="S127" s="306"/>
      <c r="T127" s="306"/>
      <c r="U127" s="306"/>
      <c r="V127" s="306"/>
      <c r="W127" s="306"/>
      <c r="X127" s="306"/>
      <c r="Y127" s="306"/>
      <c r="Z127" s="306"/>
      <c r="AA127" s="306"/>
      <c r="AB127" s="306"/>
      <c r="AC127" s="306"/>
      <c r="AD127" s="306"/>
      <c r="AE127" s="306"/>
      <c r="AF127" s="306"/>
      <c r="AG127" s="306"/>
      <c r="AH127" s="306"/>
      <c r="AI127" s="306"/>
      <c r="AJ127" s="306"/>
      <c r="AK127" s="306"/>
      <c r="AL127" s="306"/>
      <c r="AM127" s="306"/>
      <c r="AN127" s="306"/>
      <c r="AO127" s="306"/>
      <c r="AP127" s="306"/>
      <c r="AQ127" s="316">
        <f>SUM(Financials!AQ113:AQ114)</f>
        <v>2355.13</v>
      </c>
      <c r="AR127" s="316">
        <f>SUM(Financials!AR113:AR114)</f>
        <v>2355.13</v>
      </c>
      <c r="AS127" s="1236">
        <f>SUM(Financials!AS113:AS114)</f>
        <v>1900.079</v>
      </c>
      <c r="AT127" s="607">
        <f>SUM(Financials!AT113:AT114)</f>
        <v>2196.5920000000001</v>
      </c>
      <c r="AU127" s="607">
        <f>SUM(Financials!AU113:AU114)</f>
        <v>2221.143</v>
      </c>
      <c r="AV127" s="1237">
        <f>SUM(Financials!AV113:AV114)</f>
        <v>2241.9809999999998</v>
      </c>
      <c r="AW127" s="316">
        <f>SUM(Financials!AW113:AW114)</f>
        <v>2241.9809999999998</v>
      </c>
      <c r="AX127" s="1236">
        <f>SUM(Financials!AX113:AX114)</f>
        <v>2000.0839999999998</v>
      </c>
      <c r="AY127" s="607">
        <f>SUM(Financials!AY113:AY114)</f>
        <v>1141.999</v>
      </c>
      <c r="AZ127" s="607">
        <f>SUM(Financials!AZ113:AZ114)</f>
        <v>2006.5880000000002</v>
      </c>
      <c r="BA127" s="1237">
        <f>SUM(Financials!BA113:BA114)</f>
        <v>2479.029</v>
      </c>
      <c r="BB127" s="316">
        <f>SUM(Financials!BB113:BB114)</f>
        <v>2479.029</v>
      </c>
      <c r="BC127" s="1236">
        <f>SUM(Financials!BC113:BC114)</f>
        <v>2296.0169999999998</v>
      </c>
      <c r="BD127" s="607">
        <f>SUM(Financials!BD113:BD114)</f>
        <v>2282.2280000000001</v>
      </c>
      <c r="BE127" s="607">
        <f>SUM(Financials!BE113:BE114)</f>
        <v>2413.9879999999998</v>
      </c>
      <c r="BF127" s="1237">
        <f>SUM(Financials!BF113:BF114)</f>
        <v>2563.2860000000001</v>
      </c>
      <c r="BG127" s="316">
        <f>SUM(Financials!BG113:BG114)</f>
        <v>2563.2860000000001</v>
      </c>
      <c r="BH127" s="1236">
        <f>SUM(Financials!BH113:BH114)</f>
        <v>2378.1030000000001</v>
      </c>
      <c r="BI127" s="607">
        <f>SUM(Financials!BI113:BI114)</f>
        <v>1681.41</v>
      </c>
      <c r="BJ127" s="607">
        <f>SUM(Financials!BJ113:BJ114)</f>
        <v>2123.4629999999997</v>
      </c>
      <c r="BK127" s="1237">
        <f>SUM(Financials!BK113:BK114)</f>
        <v>1157.029</v>
      </c>
      <c r="BL127" s="316">
        <f>SUM(Financials!BL113:BL114)</f>
        <v>1157.029</v>
      </c>
      <c r="BM127" s="1236">
        <f>SUM(Financials!BM113:BM114)</f>
        <v>932.20300000000009</v>
      </c>
      <c r="BN127" s="607">
        <f>SUM(Financials!BN113:BN114)</f>
        <v>678.12299999999993</v>
      </c>
      <c r="BO127" s="607">
        <f>SUM(Financials!BO113:BO114)</f>
        <v>1771.3850000000002</v>
      </c>
      <c r="BP127" s="1237">
        <f>SUM(Financials!BP113:BP114)</f>
        <v>1511.443</v>
      </c>
      <c r="BQ127" s="316">
        <f>SUM(Financials!BQ113:BQ114)</f>
        <v>1511.443</v>
      </c>
      <c r="BR127" s="1236">
        <f>SUM(Financials!BR113:BR114)</f>
        <v>1252.5419999999999</v>
      </c>
      <c r="BS127" s="607">
        <f>SUM(Financials!BS113:BS114)</f>
        <v>1167.5609999999999</v>
      </c>
      <c r="BT127" s="607">
        <f>SUM(Financials!BT113:BT114)</f>
        <v>1395.9449999999999</v>
      </c>
      <c r="BU127" s="1237">
        <f>SUM(Financials!BU113:BU114)</f>
        <v>1124.144</v>
      </c>
      <c r="BV127" s="316">
        <f>SUM(Financials!BV113:BV114)</f>
        <v>1124.144</v>
      </c>
      <c r="BW127" s="1236">
        <f>SUM(Financials!BW113:BW114)</f>
        <v>1265.864</v>
      </c>
      <c r="BX127" s="607">
        <f>SUM(Financials!BX113:BX114)</f>
        <v>1688.7320000000002</v>
      </c>
      <c r="BY127" s="607">
        <f>SUM(Financials!BY113:BY114)</f>
        <v>1995.425</v>
      </c>
      <c r="BZ127" s="1237">
        <f>SUM(Financials!BZ113:BZ114)</f>
        <v>2039.4690000000001</v>
      </c>
      <c r="CA127" s="316">
        <f>SUM(Financials!CA113:CA114)</f>
        <v>2039.4690000000001</v>
      </c>
      <c r="CB127" s="1236">
        <f>SUM(Financials!CB113:CB114)</f>
        <v>2328.4879999999998</v>
      </c>
      <c r="CC127" s="607">
        <f>SUM(Financials!CC113:CC114)</f>
        <v>2331.15</v>
      </c>
      <c r="CD127" s="607">
        <f>SUM(Financials!CD113:CD114)</f>
        <v>2354.7070000000003</v>
      </c>
      <c r="CE127" s="1237">
        <f>SUM(Financials!CE113:CE114)</f>
        <v>2195.9610000000002</v>
      </c>
      <c r="CF127" s="316">
        <f>SUM(Financials!CF113:CF114)</f>
        <v>2195.9610000000002</v>
      </c>
      <c r="CG127" s="1236">
        <f>SUM(Financials!CG113:CG114)</f>
        <v>1707.759</v>
      </c>
      <c r="CH127" s="607">
        <f>SUM(Financials!CH113:CH114)</f>
        <v>1561.3530000000001</v>
      </c>
      <c r="CI127" s="607">
        <f>SUM(Financials!CI113:CI114)</f>
        <v>1625.944</v>
      </c>
      <c r="CJ127" s="1237">
        <f>SUM(Financials!CJ113:CJ114)</f>
        <v>999.10400000000004</v>
      </c>
      <c r="CK127" s="316">
        <f>SUM(Financials!CK113:CK114)</f>
        <v>999.10400000000004</v>
      </c>
      <c r="CL127" s="1236">
        <f>SUM(Financials!CL113:CL114)</f>
        <v>760.25400000000002</v>
      </c>
      <c r="CM127" s="607">
        <f>SUM(Financials!CM113:CM114)</f>
        <v>1092.9114373138527</v>
      </c>
      <c r="CN127" s="607">
        <f>SUM(Financials!CN113:CN114)</f>
        <v>1279.8047324682866</v>
      </c>
      <c r="CO127" s="1237">
        <f>SUM(Financials!CO113:CO114)</f>
        <v>1674.7992526287446</v>
      </c>
      <c r="CP127" s="316">
        <f>SUM(Financials!CP113:CP114)</f>
        <v>1674.7992526287446</v>
      </c>
      <c r="CQ127" s="1236">
        <f>SUM(Financials!CQ113:CQ114)</f>
        <v>1634.4942214375219</v>
      </c>
      <c r="CR127" s="607">
        <f>SUM(Financials!CR113:CR114)</f>
        <v>2337.625723438453</v>
      </c>
      <c r="CS127" s="607">
        <f>SUM(Financials!CS113:CS114)</f>
        <v>2663.1742841432765</v>
      </c>
      <c r="CT127" s="1237">
        <f>SUM(Financials!CT113:CT114)</f>
        <v>3033.9736067225044</v>
      </c>
      <c r="CU127" s="316">
        <f>SUM(Financials!CU113:CU114)</f>
        <v>3033.9736067225044</v>
      </c>
      <c r="CV127" s="1236">
        <f>SUM(Financials!CV113:CV114)</f>
        <v>3006.5048420487051</v>
      </c>
      <c r="CW127" s="607">
        <f>SUM(Financials!CW113:CW114)</f>
        <v>3779.2627900715224</v>
      </c>
      <c r="CX127" s="607">
        <f>SUM(Financials!CX113:CX114)</f>
        <v>4156.7814770570603</v>
      </c>
      <c r="CY127" s="1237">
        <f>SUM(Financials!CY113:CY114)</f>
        <v>4615.6122040272321</v>
      </c>
      <c r="CZ127" s="316">
        <f>SUM(Financials!CZ113:CZ114)</f>
        <v>4615.6122040272321</v>
      </c>
    </row>
    <row r="128" spans="1:104" ht="13.5" customHeight="1" outlineLevel="1">
      <c r="A128" s="305"/>
      <c r="B128" s="305" t="s">
        <v>183</v>
      </c>
      <c r="C128" s="305"/>
      <c r="D128" s="306"/>
      <c r="E128" s="306"/>
      <c r="F128" s="306"/>
      <c r="G128" s="306"/>
      <c r="H128" s="306"/>
      <c r="I128" s="306"/>
      <c r="J128" s="306"/>
      <c r="K128" s="306"/>
      <c r="L128" s="306"/>
      <c r="M128" s="306"/>
      <c r="N128" s="306"/>
      <c r="O128" s="306"/>
      <c r="P128" s="306"/>
      <c r="Q128" s="306"/>
      <c r="R128" s="306"/>
      <c r="S128" s="306"/>
      <c r="T128" s="306"/>
      <c r="U128" s="306"/>
      <c r="V128" s="306"/>
      <c r="W128" s="306"/>
      <c r="X128" s="306"/>
      <c r="Y128" s="306"/>
      <c r="Z128" s="306"/>
      <c r="AA128" s="306"/>
      <c r="AB128" s="306"/>
      <c r="AC128" s="306"/>
      <c r="AD128" s="306"/>
      <c r="AE128" s="306"/>
      <c r="AF128" s="306"/>
      <c r="AG128" s="306"/>
      <c r="AH128" s="306"/>
      <c r="AI128" s="306"/>
      <c r="AJ128" s="306"/>
      <c r="AK128" s="306"/>
      <c r="AL128" s="306"/>
      <c r="AM128" s="306"/>
      <c r="AN128" s="306"/>
      <c r="AO128" s="306"/>
      <c r="AP128" s="306"/>
      <c r="AQ128" s="334"/>
      <c r="AR128" s="306"/>
      <c r="AS128" s="1236">
        <f>+AVERAGE(AS126,AS127)</f>
        <v>2127.6044999999999</v>
      </c>
      <c r="AT128" s="607">
        <f>+AVERAGE(AT126,AT127)</f>
        <v>2048.3355000000001</v>
      </c>
      <c r="AU128" s="607">
        <f>+AVERAGE(AU126,AU127)</f>
        <v>2208.8675000000003</v>
      </c>
      <c r="AV128" s="1237">
        <f>+AVERAGE(AV126,AV127)</f>
        <v>2231.5619999999999</v>
      </c>
      <c r="AW128" s="317"/>
      <c r="AX128" s="1236">
        <f>+AVERAGE(AX126,AX127)</f>
        <v>2121.0324999999998</v>
      </c>
      <c r="AY128" s="607">
        <f>+AVERAGE(AY126,AY127)</f>
        <v>1571.0414999999998</v>
      </c>
      <c r="AZ128" s="607">
        <f>+AVERAGE(AZ126,AZ127)</f>
        <v>1574.2935000000002</v>
      </c>
      <c r="BA128" s="1237">
        <f>+AVERAGE(BA126,BA127)</f>
        <v>2242.8085000000001</v>
      </c>
      <c r="BB128" s="317"/>
      <c r="BC128" s="1236">
        <f>+AVERAGE(BC126,BC127)</f>
        <v>2387.5230000000001</v>
      </c>
      <c r="BD128" s="607">
        <f>+AVERAGE(BD126,BD127)</f>
        <v>2289.1224999999999</v>
      </c>
      <c r="BE128" s="607">
        <f>+AVERAGE(BE126,BE127)</f>
        <v>2348.1080000000002</v>
      </c>
      <c r="BF128" s="1237">
        <f>+AVERAGE(BF126,BF127)</f>
        <v>2488.6369999999997</v>
      </c>
      <c r="BG128" s="317"/>
      <c r="BH128" s="1236">
        <f>+AVERAGE(BH126,BH127)</f>
        <v>2470.6945000000001</v>
      </c>
      <c r="BI128" s="607">
        <f>+AVERAGE(BI126,BI127)</f>
        <v>2029.7565</v>
      </c>
      <c r="BJ128" s="607">
        <f>+AVERAGE(BJ126,BJ127)</f>
        <v>1902.4364999999998</v>
      </c>
      <c r="BK128" s="1237">
        <f>+AVERAGE(BK126,BK127)</f>
        <v>1640.2459999999999</v>
      </c>
      <c r="BL128" s="317"/>
      <c r="BM128" s="1236">
        <f>+AVERAGE(BM126,BM127)</f>
        <v>1044.616</v>
      </c>
      <c r="BN128" s="607">
        <f>+AVERAGE(BN126,BN127)</f>
        <v>805.16300000000001</v>
      </c>
      <c r="BO128" s="607">
        <f>+AVERAGE(BO126,BO127)</f>
        <v>1224.7540000000001</v>
      </c>
      <c r="BP128" s="1237">
        <f>+AVERAGE(BP126,BP127)</f>
        <v>1641.4140000000002</v>
      </c>
      <c r="BQ128" s="317"/>
      <c r="BR128" s="1236">
        <f>+AVERAGE(BR126,BR127)</f>
        <v>1381.9924999999998</v>
      </c>
      <c r="BS128" s="607">
        <f>+AVERAGE(BS126,BS127)</f>
        <v>1210.0515</v>
      </c>
      <c r="BT128" s="607">
        <f>+AVERAGE(BT126,BT127)</f>
        <v>1281.7529999999999</v>
      </c>
      <c r="BU128" s="1237">
        <f>+AVERAGE(BU126,BU127)</f>
        <v>1260.0445</v>
      </c>
      <c r="BV128" s="317"/>
      <c r="BW128" s="1236">
        <f>+AVERAGE(BW126,BW127)</f>
        <v>1195.0039999999999</v>
      </c>
      <c r="BX128" s="607">
        <f>+AVERAGE(BX126,BX127)</f>
        <v>1477.2980000000002</v>
      </c>
      <c r="BY128" s="607">
        <f>+AVERAGE(BY126,BY127)</f>
        <v>1842.0785000000001</v>
      </c>
      <c r="BZ128" s="1237">
        <f>+AVERAGE(BZ126,BZ127)</f>
        <v>2017.4470000000001</v>
      </c>
      <c r="CA128" s="317"/>
      <c r="CB128" s="1236">
        <f>+AVERAGE(CB126,CB127)</f>
        <v>2183.9785000000002</v>
      </c>
      <c r="CC128" s="607">
        <f>+AVERAGE(CC126,CC127)</f>
        <v>2329.819</v>
      </c>
      <c r="CD128" s="607">
        <f>+AVERAGE(CD126,CD127)</f>
        <v>2342.9285</v>
      </c>
      <c r="CE128" s="1237">
        <f>+AVERAGE(CE126,CE127)</f>
        <v>2275.3340000000003</v>
      </c>
      <c r="CF128" s="607"/>
      <c r="CG128" s="1236">
        <f>+AVERAGE(CG126,CG127)</f>
        <v>1951.8600000000001</v>
      </c>
      <c r="CH128" s="607">
        <f>+AVERAGE(CH126,CH127)</f>
        <v>1634.556</v>
      </c>
      <c r="CI128" s="607">
        <f>+AVERAGE(CI126,CI127)</f>
        <v>1593.6485</v>
      </c>
      <c r="CJ128" s="1237">
        <f>+AVERAGE(CJ126,CJ127)</f>
        <v>1312.5239999999999</v>
      </c>
      <c r="CK128" s="607"/>
      <c r="CL128" s="1236">
        <f>+AVERAGE(CL126,CL127)</f>
        <v>879.67900000000009</v>
      </c>
      <c r="CM128" s="607">
        <f>+AVERAGE(CM126,CM127)</f>
        <v>926.58271865692632</v>
      </c>
      <c r="CN128" s="607">
        <f>+AVERAGE(CN126,CN127)</f>
        <v>1186.3580848910697</v>
      </c>
      <c r="CO128" s="1237">
        <f>+AVERAGE(CO126,CO127)</f>
        <v>1477.3019925485155</v>
      </c>
      <c r="CP128" s="317"/>
      <c r="CQ128" s="1236">
        <f>+AVERAGE(CQ126,CQ127)</f>
        <v>1654.6467370331334</v>
      </c>
      <c r="CR128" s="607">
        <f>+AVERAGE(CR126,CR127)</f>
        <v>1986.0599724379874</v>
      </c>
      <c r="CS128" s="607">
        <f>+AVERAGE(CS126,CS127)</f>
        <v>2500.4000037908645</v>
      </c>
      <c r="CT128" s="1237">
        <f>+AVERAGE(CT126,CT127)</f>
        <v>2848.5739454328905</v>
      </c>
      <c r="CU128" s="317"/>
      <c r="CV128" s="1236">
        <f>+AVERAGE(CV126,CV127)</f>
        <v>3020.2392243856048</v>
      </c>
      <c r="CW128" s="607">
        <f>+AVERAGE(CW126,CW127)</f>
        <v>3392.8838160601135</v>
      </c>
      <c r="CX128" s="607">
        <f>+AVERAGE(CX126,CX127)</f>
        <v>3968.0221335642914</v>
      </c>
      <c r="CY128" s="1237">
        <f>+AVERAGE(CY126,CY127)</f>
        <v>4386.1968405421467</v>
      </c>
      <c r="CZ128" s="317"/>
    </row>
    <row r="129" spans="1:104" ht="13.5" customHeight="1" outlineLevel="1">
      <c r="A129" s="305"/>
      <c r="B129" s="305" t="s">
        <v>445</v>
      </c>
      <c r="C129" s="305"/>
      <c r="D129" s="306"/>
      <c r="E129" s="306"/>
      <c r="F129" s="306"/>
      <c r="G129" s="306"/>
      <c r="H129" s="306"/>
      <c r="I129" s="306"/>
      <c r="J129" s="306"/>
      <c r="K129" s="306"/>
      <c r="L129" s="306"/>
      <c r="M129" s="306"/>
      <c r="N129" s="306"/>
      <c r="O129" s="306"/>
      <c r="P129" s="306"/>
      <c r="Q129" s="306"/>
      <c r="R129" s="306"/>
      <c r="S129" s="306"/>
      <c r="T129" s="306"/>
      <c r="U129" s="306"/>
      <c r="V129" s="306"/>
      <c r="W129" s="306"/>
      <c r="X129" s="306"/>
      <c r="Y129" s="306"/>
      <c r="Z129" s="306"/>
      <c r="AA129" s="306"/>
      <c r="AB129" s="306"/>
      <c r="AC129" s="306"/>
      <c r="AD129" s="306"/>
      <c r="AE129" s="306"/>
      <c r="AF129" s="306"/>
      <c r="AG129" s="306"/>
      <c r="AH129" s="306"/>
      <c r="AI129" s="306"/>
      <c r="AJ129" s="306"/>
      <c r="AK129" s="306"/>
      <c r="AL129" s="306"/>
      <c r="AM129" s="306"/>
      <c r="AN129" s="306"/>
      <c r="AO129" s="306"/>
      <c r="AP129" s="306"/>
      <c r="AQ129" s="334"/>
      <c r="AR129" s="306"/>
      <c r="AS129" s="1236">
        <f>Financials!AS43</f>
        <v>7.3170000000000002</v>
      </c>
      <c r="AT129" s="607">
        <f>Financials!AT43</f>
        <v>3.52</v>
      </c>
      <c r="AU129" s="607">
        <f>Financials!AU43</f>
        <v>2.4430000000000001</v>
      </c>
      <c r="AV129" s="1237">
        <f>Financials!AV43</f>
        <v>1.8900000000000006</v>
      </c>
      <c r="AW129" s="607">
        <f>SUM(AS129:AV129)</f>
        <v>15.17</v>
      </c>
      <c r="AX129" s="1236">
        <f>Financials!AX43</f>
        <v>1.5469999999999999</v>
      </c>
      <c r="AY129" s="607">
        <f>Financials!AY43</f>
        <v>1.448</v>
      </c>
      <c r="AZ129" s="607">
        <f>Financials!AZ43</f>
        <v>1.9319999999999999</v>
      </c>
      <c r="BA129" s="1237">
        <f>Financials!BA43</f>
        <v>3.120000000000001</v>
      </c>
      <c r="BB129" s="317"/>
      <c r="BC129" s="1236">
        <f>Financials!BC43</f>
        <v>3.0669999999999997</v>
      </c>
      <c r="BD129" s="607">
        <f>Financials!BD43</f>
        <v>2.9750000000000001</v>
      </c>
      <c r="BE129" s="607">
        <f>Financials!BE43</f>
        <v>4.2910000000000004</v>
      </c>
      <c r="BF129" s="1237">
        <f>Financials!BF43</f>
        <v>2.3849999999999998</v>
      </c>
      <c r="BG129" s="317"/>
      <c r="BH129" s="1236">
        <f>+BH126*BH125</f>
        <v>3.844929</v>
      </c>
      <c r="BI129" s="607">
        <f>+BI126*BI125</f>
        <v>3.5671545</v>
      </c>
      <c r="BJ129" s="607">
        <f>Financials!BJ43</f>
        <v>2.649</v>
      </c>
      <c r="BK129" s="1237">
        <f>Financials!BK43</f>
        <v>1.902000000000001</v>
      </c>
      <c r="BL129" s="317"/>
      <c r="BM129" s="1236">
        <f>+BM126*BM125</f>
        <v>2.3140580000000002</v>
      </c>
      <c r="BN129" s="607">
        <f>+BN126*BN125</f>
        <v>1.8644060000000002</v>
      </c>
      <c r="BO129" s="607">
        <f>+BO126*BO125</f>
        <v>1.3562459999999998</v>
      </c>
      <c r="BP129" s="1237">
        <f>+BP126*BP125</f>
        <v>3.5427700000000004</v>
      </c>
      <c r="BQ129" s="317"/>
      <c r="BR129" s="1236">
        <f>+BR126*BR125</f>
        <v>4.5343289999999996</v>
      </c>
      <c r="BS129" s="607">
        <f>+BS126*BS125</f>
        <v>3.7576259999999997</v>
      </c>
      <c r="BT129" s="607">
        <f>+BT126*BT125</f>
        <v>3.5026829999999998</v>
      </c>
      <c r="BU129" s="1237">
        <f>+BU126*BU125</f>
        <v>4.1878349999999998</v>
      </c>
      <c r="BV129" s="317"/>
      <c r="BW129" s="1236">
        <f>+BW126*BW125</f>
        <v>3.3724319999999999</v>
      </c>
      <c r="BX129" s="607">
        <f>+BX126*BX125</f>
        <v>3.7975920000000003</v>
      </c>
      <c r="BY129" s="607">
        <f>+BY126*BY125</f>
        <v>5.0661960000000006</v>
      </c>
      <c r="BZ129" s="1237">
        <f>+BZ126*BZ125</f>
        <v>5.986275</v>
      </c>
      <c r="CA129" s="317"/>
      <c r="CB129" s="1236">
        <f>+CB126*CB125</f>
        <v>6.1184070000000004</v>
      </c>
      <c r="CC129" s="607">
        <f>+CC126*CC125</f>
        <v>6.9854639999999995</v>
      </c>
      <c r="CD129" s="607">
        <f>+CD126*CD125</f>
        <v>6.9934500000000002</v>
      </c>
      <c r="CE129" s="1237">
        <f>+CE126*CE125</f>
        <v>7.064121000000001</v>
      </c>
      <c r="CF129" s="607"/>
      <c r="CG129" s="1236">
        <f>+CG126*CG125</f>
        <v>6.5878830000000006</v>
      </c>
      <c r="CH129" s="607">
        <f>+CH126*CH125</f>
        <v>5.1232769999999999</v>
      </c>
      <c r="CI129" s="607">
        <f>+CI126*CI125</f>
        <v>4.6840590000000004</v>
      </c>
      <c r="CJ129" s="1237">
        <f>+CJ126*CJ125</f>
        <v>4.8778319999999997</v>
      </c>
      <c r="CK129" s="607"/>
      <c r="CL129" s="1236">
        <f>+CL126*CL125</f>
        <v>2.997312</v>
      </c>
      <c r="CM129" s="607">
        <f>+CM126*CM125</f>
        <v>2.2807620000000002</v>
      </c>
      <c r="CN129" s="607">
        <f>+CN126*CN125</f>
        <v>3.2787343119415584</v>
      </c>
      <c r="CO129" s="1237">
        <f>+CO126*CO125</f>
        <v>3.8394141974048597</v>
      </c>
      <c r="CP129" s="317"/>
      <c r="CQ129" s="1236">
        <f>+CQ126*CQ125</f>
        <v>5.0243977578862342</v>
      </c>
      <c r="CR129" s="607">
        <f>+CR126*CR125</f>
        <v>4.9034826643125662</v>
      </c>
      <c r="CS129" s="607">
        <f>+CS126*CS125</f>
        <v>7.0128771703153587</v>
      </c>
      <c r="CT129" s="1237">
        <f>+CT126*CT125</f>
        <v>7.9895228524298298</v>
      </c>
      <c r="CU129" s="317"/>
      <c r="CV129" s="1236">
        <f>+CV126*CV125</f>
        <v>9.1019208201675141</v>
      </c>
      <c r="CW129" s="607">
        <f>+CW126*CW125</f>
        <v>9.019514526146116</v>
      </c>
      <c r="CX129" s="607">
        <f>+CX126*CX125</f>
        <v>11.337788370214568</v>
      </c>
      <c r="CY129" s="1237">
        <f>+CY126*CY125</f>
        <v>12.470344431171181</v>
      </c>
      <c r="CZ129" s="317"/>
    </row>
    <row r="130" spans="1:104" ht="6.2" customHeight="1" outlineLevel="1">
      <c r="A130" s="303"/>
      <c r="B130" s="303"/>
      <c r="C130" s="303"/>
      <c r="D130" s="304"/>
      <c r="E130" s="304"/>
      <c r="F130" s="304"/>
      <c r="G130" s="304"/>
      <c r="H130" s="304"/>
      <c r="I130" s="304"/>
      <c r="J130" s="304"/>
      <c r="K130" s="304"/>
      <c r="L130" s="304"/>
      <c r="M130" s="304"/>
      <c r="N130" s="304"/>
      <c r="O130" s="304"/>
      <c r="P130" s="304"/>
      <c r="Q130" s="304"/>
      <c r="R130" s="304"/>
      <c r="S130" s="304"/>
      <c r="T130" s="304"/>
      <c r="U130" s="304"/>
      <c r="V130" s="304"/>
      <c r="W130" s="304"/>
      <c r="X130" s="304"/>
      <c r="Y130" s="304"/>
      <c r="Z130" s="304"/>
      <c r="AA130" s="304"/>
      <c r="AB130" s="304"/>
      <c r="AC130" s="304"/>
      <c r="AD130" s="304"/>
      <c r="AE130" s="304"/>
      <c r="AF130" s="304"/>
      <c r="AG130" s="304"/>
      <c r="AH130" s="304"/>
      <c r="AI130" s="304"/>
      <c r="AJ130" s="304"/>
      <c r="AK130" s="304"/>
      <c r="AL130" s="304"/>
      <c r="AM130" s="304"/>
      <c r="AN130" s="304"/>
      <c r="AO130" s="304"/>
      <c r="AP130" s="304"/>
      <c r="AQ130" s="304"/>
      <c r="AR130" s="304"/>
      <c r="AS130" s="1248"/>
      <c r="AT130" s="304"/>
      <c r="AU130" s="304"/>
      <c r="AV130" s="1249"/>
      <c r="AW130" s="350"/>
      <c r="AX130" s="1248"/>
      <c r="AY130" s="304"/>
      <c r="AZ130" s="304"/>
      <c r="BA130" s="1249"/>
      <c r="BB130" s="350"/>
      <c r="BC130" s="1248"/>
      <c r="BD130" s="304"/>
      <c r="BE130" s="304"/>
      <c r="BF130" s="1249"/>
      <c r="BG130" s="350"/>
      <c r="BH130" s="1248"/>
      <c r="BI130" s="304"/>
      <c r="BJ130" s="304"/>
      <c r="BK130" s="1249"/>
      <c r="BL130" s="350"/>
      <c r="BM130" s="1248"/>
      <c r="BN130" s="304"/>
      <c r="BO130" s="304"/>
      <c r="BP130" s="1249"/>
      <c r="BQ130" s="350"/>
      <c r="BR130" s="1248"/>
      <c r="BS130" s="304"/>
      <c r="BT130" s="304"/>
      <c r="BU130" s="1249"/>
      <c r="BV130" s="350"/>
      <c r="BW130" s="1248"/>
      <c r="BX130" s="304"/>
      <c r="BY130" s="304"/>
      <c r="BZ130" s="1249"/>
      <c r="CA130" s="350"/>
      <c r="CB130" s="1248"/>
      <c r="CC130" s="304"/>
      <c r="CD130" s="304"/>
      <c r="CE130" s="1276"/>
      <c r="CF130" s="766"/>
      <c r="CG130" s="1282"/>
      <c r="CH130" s="765"/>
      <c r="CI130" s="304"/>
      <c r="CJ130" s="1276"/>
      <c r="CK130" s="766"/>
      <c r="CL130" s="1248"/>
      <c r="CM130" s="304"/>
      <c r="CN130" s="304"/>
      <c r="CO130" s="1249"/>
      <c r="CP130" s="350"/>
      <c r="CQ130" s="1248"/>
      <c r="CR130" s="304"/>
      <c r="CS130" s="304"/>
      <c r="CT130" s="1249"/>
      <c r="CU130" s="350"/>
      <c r="CV130" s="1248"/>
      <c r="CW130" s="304"/>
      <c r="CX130" s="304"/>
      <c r="CY130" s="1249"/>
      <c r="CZ130" s="350"/>
    </row>
    <row r="131" spans="1:104" ht="6.2" customHeight="1" outlineLevel="1">
      <c r="A131" s="305"/>
      <c r="B131" s="305"/>
      <c r="C131" s="305"/>
      <c r="D131" s="306"/>
      <c r="E131" s="306"/>
      <c r="F131" s="306"/>
      <c r="G131" s="306"/>
      <c r="H131" s="306"/>
      <c r="I131" s="306"/>
      <c r="J131" s="306"/>
      <c r="K131" s="306"/>
      <c r="L131" s="306"/>
      <c r="M131" s="306"/>
      <c r="N131" s="306"/>
      <c r="O131" s="306"/>
      <c r="P131" s="306"/>
      <c r="Q131" s="306"/>
      <c r="R131" s="306"/>
      <c r="S131" s="306"/>
      <c r="T131" s="306"/>
      <c r="U131" s="306"/>
      <c r="V131" s="306"/>
      <c r="W131" s="306"/>
      <c r="X131" s="306"/>
      <c r="Y131" s="306"/>
      <c r="Z131" s="306"/>
      <c r="AA131" s="306"/>
      <c r="AB131" s="306"/>
      <c r="AC131" s="306"/>
      <c r="AD131" s="306"/>
      <c r="AE131" s="306"/>
      <c r="AF131" s="306"/>
      <c r="AG131" s="306"/>
      <c r="AH131" s="306"/>
      <c r="AI131" s="306"/>
      <c r="AJ131" s="306"/>
      <c r="AK131" s="306"/>
      <c r="AL131" s="306"/>
      <c r="AM131" s="306"/>
      <c r="AN131" s="306"/>
      <c r="AO131" s="306"/>
      <c r="AP131" s="306"/>
      <c r="AQ131" s="306"/>
      <c r="AR131" s="306"/>
      <c r="AS131" s="1240"/>
      <c r="AT131" s="307"/>
      <c r="AU131" s="307"/>
      <c r="AV131" s="1241"/>
      <c r="AW131" s="343"/>
      <c r="AX131" s="1240"/>
      <c r="AY131" s="307"/>
      <c r="AZ131" s="307"/>
      <c r="BA131" s="1241"/>
      <c r="BB131" s="343"/>
      <c r="BC131" s="1240"/>
      <c r="BD131" s="307"/>
      <c r="BE131" s="307"/>
      <c r="BF131" s="1241"/>
      <c r="BG131" s="343"/>
      <c r="BH131" s="1240"/>
      <c r="BI131" s="307"/>
      <c r="BJ131" s="307"/>
      <c r="BK131" s="1241"/>
      <c r="BL131" s="343"/>
      <c r="BM131" s="1240"/>
      <c r="BN131" s="307"/>
      <c r="BO131" s="307"/>
      <c r="BP131" s="1241"/>
      <c r="BQ131" s="343"/>
      <c r="BR131" s="1240"/>
      <c r="BS131" s="307"/>
      <c r="BT131" s="307"/>
      <c r="BU131" s="1241"/>
      <c r="BV131" s="343"/>
      <c r="BW131" s="1240"/>
      <c r="BX131" s="307"/>
      <c r="BY131" s="307"/>
      <c r="BZ131" s="1241"/>
      <c r="CA131" s="343"/>
      <c r="CB131" s="1240"/>
      <c r="CC131" s="307"/>
      <c r="CD131" s="307"/>
      <c r="CE131" s="1275"/>
      <c r="CF131" s="764"/>
      <c r="CG131" s="1280"/>
      <c r="CH131" s="762"/>
      <c r="CI131" s="307"/>
      <c r="CJ131" s="1275"/>
      <c r="CK131" s="764"/>
      <c r="CL131" s="1240"/>
      <c r="CM131" s="307"/>
      <c r="CN131" s="307"/>
      <c r="CO131" s="1241"/>
      <c r="CP131" s="343"/>
      <c r="CQ131" s="1240"/>
      <c r="CR131" s="307"/>
      <c r="CS131" s="307"/>
      <c r="CT131" s="1241"/>
      <c r="CU131" s="343"/>
      <c r="CV131" s="1240"/>
      <c r="CW131" s="307"/>
      <c r="CX131" s="307"/>
      <c r="CY131" s="1241"/>
      <c r="CZ131" s="343"/>
    </row>
    <row r="132" spans="1:104" ht="13.5" customHeight="1" outlineLevel="1">
      <c r="A132" s="305"/>
      <c r="B132" s="315" t="s">
        <v>425</v>
      </c>
      <c r="C132" s="305"/>
      <c r="D132" s="306"/>
      <c r="E132" s="306"/>
      <c r="F132" s="306"/>
      <c r="G132" s="306"/>
      <c r="H132" s="306"/>
      <c r="I132" s="306"/>
      <c r="J132" s="306"/>
      <c r="K132" s="306"/>
      <c r="L132" s="306"/>
      <c r="M132" s="306"/>
      <c r="N132" s="306"/>
      <c r="O132" s="306"/>
      <c r="P132" s="306"/>
      <c r="Q132" s="306"/>
      <c r="R132" s="306"/>
      <c r="S132" s="306"/>
      <c r="T132" s="306"/>
      <c r="U132" s="306"/>
      <c r="V132" s="306"/>
      <c r="W132" s="306"/>
      <c r="X132" s="306"/>
      <c r="Y132" s="306"/>
      <c r="Z132" s="306"/>
      <c r="AA132" s="306"/>
      <c r="AB132" s="306"/>
      <c r="AC132" s="306"/>
      <c r="AD132" s="306"/>
      <c r="AE132" s="306"/>
      <c r="AF132" s="306"/>
      <c r="AG132" s="306"/>
      <c r="AH132" s="306"/>
      <c r="AI132" s="306"/>
      <c r="AJ132" s="306"/>
      <c r="AK132" s="306"/>
      <c r="AL132" s="306"/>
      <c r="AM132" s="306"/>
      <c r="AN132" s="306"/>
      <c r="AO132" s="306"/>
      <c r="AP132" s="306"/>
      <c r="AQ132" s="306"/>
      <c r="AR132" s="306"/>
      <c r="AS132" s="1240"/>
      <c r="AT132" s="307"/>
      <c r="AU132" s="307"/>
      <c r="AV132" s="1241"/>
      <c r="AW132" s="343"/>
      <c r="AX132" s="1240"/>
      <c r="AY132" s="307"/>
      <c r="AZ132" s="307"/>
      <c r="BA132" s="1241"/>
      <c r="BB132" s="343"/>
      <c r="BC132" s="1240"/>
      <c r="BD132" s="307"/>
      <c r="BE132" s="307"/>
      <c r="BF132" s="1241"/>
      <c r="BG132" s="343"/>
      <c r="BH132" s="1240"/>
      <c r="BI132" s="307"/>
      <c r="BJ132" s="307"/>
      <c r="BK132" s="1241"/>
      <c r="BL132" s="343"/>
      <c r="BM132" s="1240"/>
      <c r="BN132" s="307"/>
      <c r="BO132" s="307"/>
      <c r="BP132" s="1241"/>
      <c r="BQ132" s="343"/>
      <c r="BR132" s="1240"/>
      <c r="BS132" s="307"/>
      <c r="BT132" s="307"/>
      <c r="BU132" s="1241"/>
      <c r="BV132" s="343"/>
      <c r="BW132" s="1240"/>
      <c r="BX132" s="307"/>
      <c r="BY132" s="307"/>
      <c r="BZ132" s="1241"/>
      <c r="CA132" s="343"/>
      <c r="CB132" s="1240"/>
      <c r="CC132" s="307"/>
      <c r="CD132" s="307"/>
      <c r="CE132" s="1275"/>
      <c r="CF132" s="764"/>
      <c r="CG132" s="1280"/>
      <c r="CH132" s="762"/>
      <c r="CI132" s="307"/>
      <c r="CJ132" s="1275"/>
      <c r="CK132" s="764"/>
      <c r="CL132" s="1240"/>
      <c r="CM132" s="307"/>
      <c r="CN132" s="307"/>
      <c r="CO132" s="1241"/>
      <c r="CP132" s="343"/>
      <c r="CQ132" s="1240"/>
      <c r="CR132" s="307"/>
      <c r="CS132" s="307"/>
      <c r="CT132" s="1241"/>
      <c r="CU132" s="343"/>
      <c r="CV132" s="1240"/>
      <c r="CW132" s="307"/>
      <c r="CX132" s="307"/>
      <c r="CY132" s="1241"/>
      <c r="CZ132" s="343"/>
    </row>
    <row r="133" spans="1:104" ht="13.5" customHeight="1" outlineLevel="1">
      <c r="A133" s="343"/>
      <c r="B133" s="343" t="s">
        <v>19</v>
      </c>
      <c r="C133" s="343"/>
      <c r="D133" s="307"/>
      <c r="E133" s="307"/>
      <c r="F133" s="343"/>
      <c r="G133" s="343"/>
      <c r="H133" s="343"/>
      <c r="I133" s="343"/>
      <c r="J133" s="343"/>
      <c r="K133" s="343"/>
      <c r="L133" s="343"/>
      <c r="M133" s="343"/>
      <c r="N133" s="343"/>
      <c r="O133" s="343"/>
      <c r="P133" s="343"/>
      <c r="Q133" s="343"/>
      <c r="R133" s="343"/>
      <c r="S133" s="343"/>
      <c r="T133" s="343"/>
      <c r="U133" s="343"/>
      <c r="V133" s="343"/>
      <c r="W133" s="343"/>
      <c r="X133" s="343"/>
      <c r="Y133" s="343"/>
      <c r="Z133" s="343"/>
      <c r="AA133" s="343"/>
      <c r="AB133" s="343"/>
      <c r="AC133" s="343"/>
      <c r="AD133" s="343"/>
      <c r="AE133" s="343"/>
      <c r="AF133" s="343"/>
      <c r="AG133" s="343"/>
      <c r="AH133" s="343"/>
      <c r="AI133" s="343"/>
      <c r="AJ133" s="343"/>
      <c r="AK133" s="343"/>
      <c r="AL133" s="343"/>
      <c r="AM133" s="343"/>
      <c r="AN133" s="343"/>
      <c r="AO133" s="343"/>
      <c r="AP133" s="343"/>
      <c r="AQ133" s="317"/>
      <c r="AR133" s="317"/>
      <c r="AS133" s="1236">
        <f>Financials!AS220</f>
        <v>0</v>
      </c>
      <c r="AT133" s="607">
        <f>Financials!AT220</f>
        <v>-2.694</v>
      </c>
      <c r="AU133" s="607">
        <f>Financials!AU220</f>
        <v>-2.5280000000000005</v>
      </c>
      <c r="AV133" s="1237">
        <f>Financials!AV220</f>
        <v>-1.6859999999999999</v>
      </c>
      <c r="AW133" s="607">
        <f>SUM(AS133:AV133)</f>
        <v>-6.9080000000000004</v>
      </c>
      <c r="AX133" s="1236">
        <f>Financials!AX220</f>
        <v>7.3120000000000003</v>
      </c>
      <c r="AY133" s="607">
        <f>Financials!AY220</f>
        <v>-6.46</v>
      </c>
      <c r="AZ133" s="607">
        <f>Financials!AZ220</f>
        <v>0.49099999999999966</v>
      </c>
      <c r="BA133" s="1237">
        <f>Financials!BA220</f>
        <v>10.218</v>
      </c>
      <c r="BB133" s="607">
        <f>SUM(AX133:BA133)</f>
        <v>11.561</v>
      </c>
      <c r="BC133" s="1236">
        <f>Financials!BC220</f>
        <v>3.5939999999999999</v>
      </c>
      <c r="BD133" s="607">
        <f>Financials!BD220</f>
        <v>-2.2370000000000001</v>
      </c>
      <c r="BE133" s="607">
        <f>Financials!BE220</f>
        <v>-7.0030000000000001</v>
      </c>
      <c r="BF133" s="1237">
        <f>Financials!BF220</f>
        <v>-5.8039999999999985</v>
      </c>
      <c r="BG133" s="607">
        <f>SUM(BC133:BF133)</f>
        <v>-11.45</v>
      </c>
      <c r="BH133" s="1236">
        <f>BH11+BH12</f>
        <v>0</v>
      </c>
      <c r="BI133" s="607">
        <f>BI11+BI12</f>
        <v>0</v>
      </c>
      <c r="BJ133" s="607">
        <f>BJ11+BJ12</f>
        <v>0</v>
      </c>
      <c r="BK133" s="1237">
        <f>BK11+BK12</f>
        <v>0</v>
      </c>
      <c r="BL133" s="607">
        <f>SUM(BH133:BK133)</f>
        <v>0</v>
      </c>
      <c r="BM133" s="1236">
        <f>BM11+BM12</f>
        <v>0</v>
      </c>
      <c r="BN133" s="607">
        <f>BN11+BN12</f>
        <v>0</v>
      </c>
      <c r="BO133" s="607">
        <f>BO11+BO12</f>
        <v>0</v>
      </c>
      <c r="BP133" s="1237">
        <f>BP11+BP12</f>
        <v>0</v>
      </c>
      <c r="BQ133" s="607">
        <f>SUM(BM133:BP133)</f>
        <v>0</v>
      </c>
      <c r="BR133" s="1236">
        <f>BR11+BR12</f>
        <v>0</v>
      </c>
      <c r="BS133" s="607">
        <f>BS11+BS12</f>
        <v>0</v>
      </c>
      <c r="BT133" s="607">
        <f>BT11+BT12</f>
        <v>0</v>
      </c>
      <c r="BU133" s="1237">
        <f>BU11+BU12</f>
        <v>0</v>
      </c>
      <c r="BV133" s="607">
        <f>SUM(BR133:BU133)</f>
        <v>0</v>
      </c>
      <c r="BW133" s="1236">
        <f>BW11+BW12</f>
        <v>0</v>
      </c>
      <c r="BX133" s="607">
        <f>BX11+BX12</f>
        <v>0</v>
      </c>
      <c r="BY133" s="607">
        <f>BY11+BY12</f>
        <v>0</v>
      </c>
      <c r="BZ133" s="1237">
        <f>BZ11+BZ12</f>
        <v>0</v>
      </c>
      <c r="CA133" s="607">
        <f>SUM(BW133:BZ133)</f>
        <v>0</v>
      </c>
      <c r="CB133" s="1236">
        <f>CB11+CB12</f>
        <v>0</v>
      </c>
      <c r="CC133" s="607">
        <f>CC11+CC12</f>
        <v>0</v>
      </c>
      <c r="CD133" s="607">
        <f>CD11+CD12</f>
        <v>0</v>
      </c>
      <c r="CE133" s="1237">
        <f>CE11+CE12</f>
        <v>0</v>
      </c>
      <c r="CF133" s="607">
        <f>SUM(CB133:CE133)</f>
        <v>0</v>
      </c>
      <c r="CG133" s="1236">
        <f>CG11+CG12</f>
        <v>0</v>
      </c>
      <c r="CH133" s="607">
        <f>CH11+CH12</f>
        <v>0</v>
      </c>
      <c r="CI133" s="607">
        <f>CI11+CI12</f>
        <v>0</v>
      </c>
      <c r="CJ133" s="1237">
        <f>CJ11+CJ12</f>
        <v>0</v>
      </c>
      <c r="CK133" s="607">
        <f>SUM(CG133:CJ133)</f>
        <v>0</v>
      </c>
      <c r="CL133" s="1236">
        <f>CL11+CL12</f>
        <v>0</v>
      </c>
      <c r="CM133" s="607">
        <f>CM11+CM12</f>
        <v>0</v>
      </c>
      <c r="CN133" s="607">
        <f>CN11+CN12</f>
        <v>0</v>
      </c>
      <c r="CO133" s="1237">
        <f>CO11+CO12</f>
        <v>0</v>
      </c>
      <c r="CP133" s="607">
        <f>SUM(CL133:CO133)</f>
        <v>0</v>
      </c>
      <c r="CQ133" s="1236">
        <f>CQ11+CQ12</f>
        <v>0</v>
      </c>
      <c r="CR133" s="607">
        <f>CR11+CR12</f>
        <v>0</v>
      </c>
      <c r="CS133" s="607">
        <f>CS11+CS12</f>
        <v>0</v>
      </c>
      <c r="CT133" s="1237">
        <f>CT11+CT12</f>
        <v>0</v>
      </c>
      <c r="CU133" s="607">
        <f>SUM(CQ133:CT133)</f>
        <v>0</v>
      </c>
      <c r="CV133" s="1236">
        <f>CV11+CV12</f>
        <v>0</v>
      </c>
      <c r="CW133" s="607">
        <f>CW11+CW12</f>
        <v>0</v>
      </c>
      <c r="CX133" s="607">
        <f>CX11+CX12</f>
        <v>0</v>
      </c>
      <c r="CY133" s="1237">
        <f>CY11+CY12</f>
        <v>0</v>
      </c>
      <c r="CZ133" s="607">
        <f>SUM(CV133:CY133)</f>
        <v>0</v>
      </c>
    </row>
    <row r="134" spans="1:104" ht="13.5" customHeight="1" outlineLevel="1">
      <c r="A134" s="343"/>
      <c r="B134" s="343" t="s">
        <v>6</v>
      </c>
      <c r="C134" s="343"/>
      <c r="D134" s="307"/>
      <c r="E134" s="307"/>
      <c r="F134" s="343"/>
      <c r="G134" s="343"/>
      <c r="H134" s="343"/>
      <c r="I134" s="343"/>
      <c r="J134" s="343"/>
      <c r="K134" s="343"/>
      <c r="L134" s="343"/>
      <c r="M134" s="343"/>
      <c r="N134" s="343"/>
      <c r="O134" s="343"/>
      <c r="P134" s="343"/>
      <c r="Q134" s="343"/>
      <c r="R134" s="343"/>
      <c r="S134" s="343"/>
      <c r="T134" s="343"/>
      <c r="U134" s="343"/>
      <c r="V134" s="343"/>
      <c r="W134" s="343"/>
      <c r="X134" s="343"/>
      <c r="Y134" s="343"/>
      <c r="Z134" s="343"/>
      <c r="AA134" s="343"/>
      <c r="AB134" s="343"/>
      <c r="AC134" s="343"/>
      <c r="AD134" s="343"/>
      <c r="AE134" s="343"/>
      <c r="AF134" s="343"/>
      <c r="AG134" s="343"/>
      <c r="AH134" s="343"/>
      <c r="AI134" s="343"/>
      <c r="AJ134" s="343"/>
      <c r="AK134" s="343"/>
      <c r="AL134" s="343"/>
      <c r="AM134" s="343"/>
      <c r="AN134" s="343"/>
      <c r="AO134" s="343"/>
      <c r="AP134" s="343"/>
      <c r="AQ134" s="317"/>
      <c r="AR134" s="317"/>
      <c r="AS134" s="1236">
        <f>Financials!AS221</f>
        <v>0</v>
      </c>
      <c r="AT134" s="607">
        <f>Financials!AT221</f>
        <v>0</v>
      </c>
      <c r="AU134" s="607">
        <f>Financials!AU221</f>
        <v>0</v>
      </c>
      <c r="AV134" s="1237">
        <f>Financials!AV221</f>
        <v>0</v>
      </c>
      <c r="AW134" s="607">
        <f>SUM(AS134:AV134)</f>
        <v>0</v>
      </c>
      <c r="AX134" s="1236">
        <f>Financials!AX221</f>
        <v>0</v>
      </c>
      <c r="AY134" s="607">
        <f>Financials!AY221</f>
        <v>0</v>
      </c>
      <c r="AZ134" s="607">
        <f>Financials!AZ221</f>
        <v>598.99199999999996</v>
      </c>
      <c r="BA134" s="1237">
        <f>Financials!BA221</f>
        <v>600</v>
      </c>
      <c r="BB134" s="607">
        <f>SUM(AX134:BA134)</f>
        <v>1198.992</v>
      </c>
      <c r="BC134" s="1236">
        <f>Financials!BC221</f>
        <v>0</v>
      </c>
      <c r="BD134" s="607">
        <f>Financials!BD221</f>
        <v>0</v>
      </c>
      <c r="BE134" s="607">
        <f>Financials!BE221</f>
        <v>0</v>
      </c>
      <c r="BF134" s="1239">
        <v>0</v>
      </c>
      <c r="BG134" s="607">
        <f>SUM(BC134:BF134)</f>
        <v>0</v>
      </c>
      <c r="BH134" s="1238">
        <v>0</v>
      </c>
      <c r="BI134" s="605">
        <v>0</v>
      </c>
      <c r="BJ134" s="605">
        <v>0</v>
      </c>
      <c r="BK134" s="1239">
        <v>0</v>
      </c>
      <c r="BL134" s="607">
        <f>SUM(BH134:BK134)</f>
        <v>0</v>
      </c>
      <c r="BM134" s="1238">
        <v>0</v>
      </c>
      <c r="BN134" s="605">
        <v>0</v>
      </c>
      <c r="BO134" s="605">
        <v>0</v>
      </c>
      <c r="BP134" s="1239">
        <v>0</v>
      </c>
      <c r="BQ134" s="607">
        <f>SUM(BM134:BP134)</f>
        <v>0</v>
      </c>
      <c r="BR134" s="1238">
        <v>0</v>
      </c>
      <c r="BS134" s="605">
        <v>0</v>
      </c>
      <c r="BT134" s="605">
        <v>0</v>
      </c>
      <c r="BU134" s="1239">
        <v>0</v>
      </c>
      <c r="BV134" s="607">
        <f>SUM(BR134:BU134)</f>
        <v>0</v>
      </c>
      <c r="BW134" s="1238">
        <v>0</v>
      </c>
      <c r="BX134" s="605">
        <v>0</v>
      </c>
      <c r="BY134" s="605">
        <v>0</v>
      </c>
      <c r="BZ134" s="1239">
        <v>0</v>
      </c>
      <c r="CA134" s="607">
        <f>SUM(BW134:BZ134)</f>
        <v>0</v>
      </c>
      <c r="CB134" s="1238">
        <v>0</v>
      </c>
      <c r="CC134" s="605">
        <v>0</v>
      </c>
      <c r="CD134" s="605">
        <v>0</v>
      </c>
      <c r="CE134" s="1239">
        <v>0</v>
      </c>
      <c r="CF134" s="607">
        <f>SUM(CB134:CE134)</f>
        <v>0</v>
      </c>
      <c r="CG134" s="1238">
        <v>0</v>
      </c>
      <c r="CH134" s="605">
        <v>0</v>
      </c>
      <c r="CI134" s="605">
        <v>0</v>
      </c>
      <c r="CJ134" s="1239">
        <v>0</v>
      </c>
      <c r="CK134" s="607">
        <f>SUM(CG134:CJ134)</f>
        <v>0</v>
      </c>
      <c r="CL134" s="1238">
        <v>0</v>
      </c>
      <c r="CM134" s="605">
        <v>0</v>
      </c>
      <c r="CN134" s="605">
        <v>0</v>
      </c>
      <c r="CO134" s="1239">
        <v>0</v>
      </c>
      <c r="CP134" s="607">
        <f>SUM(CL134:CO134)</f>
        <v>0</v>
      </c>
      <c r="CQ134" s="1238">
        <v>0</v>
      </c>
      <c r="CR134" s="605">
        <v>0</v>
      </c>
      <c r="CS134" s="605">
        <v>0</v>
      </c>
      <c r="CT134" s="1239">
        <v>0</v>
      </c>
      <c r="CU134" s="607">
        <f>SUM(CQ134:CT134)</f>
        <v>0</v>
      </c>
      <c r="CV134" s="1238">
        <v>0</v>
      </c>
      <c r="CW134" s="605">
        <v>0</v>
      </c>
      <c r="CX134" s="605">
        <v>0</v>
      </c>
      <c r="CY134" s="1239">
        <v>0</v>
      </c>
      <c r="CZ134" s="607">
        <f>SUM(CV134:CY134)</f>
        <v>0</v>
      </c>
    </row>
    <row r="135" spans="1:104" ht="13.5" customHeight="1" outlineLevel="1">
      <c r="A135" s="343"/>
      <c r="B135" s="343" t="s">
        <v>7</v>
      </c>
      <c r="C135" s="343"/>
      <c r="D135" s="307"/>
      <c r="E135" s="307"/>
      <c r="F135" s="343"/>
      <c r="G135" s="343"/>
      <c r="H135" s="343"/>
      <c r="I135" s="343"/>
      <c r="J135" s="343"/>
      <c r="K135" s="343"/>
      <c r="L135" s="343"/>
      <c r="M135" s="343"/>
      <c r="N135" s="343"/>
      <c r="O135" s="343"/>
      <c r="P135" s="343"/>
      <c r="Q135" s="343"/>
      <c r="R135" s="343"/>
      <c r="S135" s="343"/>
      <c r="T135" s="343"/>
      <c r="U135" s="343"/>
      <c r="V135" s="343"/>
      <c r="W135" s="343"/>
      <c r="X135" s="343"/>
      <c r="Y135" s="343"/>
      <c r="Z135" s="343"/>
      <c r="AA135" s="343"/>
      <c r="AB135" s="343"/>
      <c r="AC135" s="343"/>
      <c r="AD135" s="343"/>
      <c r="AE135" s="343"/>
      <c r="AF135" s="343"/>
      <c r="AG135" s="343"/>
      <c r="AH135" s="343"/>
      <c r="AI135" s="343"/>
      <c r="AJ135" s="343"/>
      <c r="AK135" s="343"/>
      <c r="AL135" s="343"/>
      <c r="AM135" s="343"/>
      <c r="AN135" s="343"/>
      <c r="AO135" s="343"/>
      <c r="AP135" s="343"/>
      <c r="AQ135" s="317"/>
      <c r="AR135" s="317"/>
      <c r="AS135" s="1236">
        <f>AS23+AS31+AS39+AS47+AS55+AS63+AS71+AS87+AS95</f>
        <v>-175</v>
      </c>
      <c r="AT135" s="607">
        <f>AT23+AT31+AT39+AT47+AT55+AT63+AT71+AT87+AT95</f>
        <v>0</v>
      </c>
      <c r="AU135" s="607">
        <f>AU23+AU31+AU39+AU47+AU55+AU63+AU71+AU87+AU95</f>
        <v>-5.4000000000000341</v>
      </c>
      <c r="AV135" s="1237">
        <f>AV23+AV31+AV39+AV47+AV55+AV63+AV71+AV87+AV95</f>
        <v>0</v>
      </c>
      <c r="AW135" s="607">
        <f>SUM(AS135:AV135)</f>
        <v>-180.40000000000003</v>
      </c>
      <c r="AX135" s="1236">
        <f>AX23+AX31+AX39+AX47+AX55+AX63+AX71+AX87+AX95</f>
        <v>0</v>
      </c>
      <c r="AY135" s="607">
        <f>AY23+AY31+AY39+AY47+AY55+AY63+AY71+AY87+AY95</f>
        <v>0</v>
      </c>
      <c r="AZ135" s="607">
        <f>AZ23+AZ31+AZ39+AZ47+AZ55+AZ63+AZ71+AZ79+AZ87+AZ95</f>
        <v>0</v>
      </c>
      <c r="BA135" s="1237">
        <f>BA23+BA31+BA39+BA47+BA55+BA63+BA71+BA79+BA87+BA95</f>
        <v>0</v>
      </c>
      <c r="BB135" s="607">
        <f>SUM(AX135:BA135)</f>
        <v>0</v>
      </c>
      <c r="BC135" s="1236">
        <f>BC23+BC31+BC39+BC47+BC55+BC63+BC71+BC87+BC95</f>
        <v>0</v>
      </c>
      <c r="BD135" s="607">
        <f>BD23+BD31+BD39+BD47+BD55+BD63+BD71+BD79+BD87+BD95</f>
        <v>0</v>
      </c>
      <c r="BE135" s="607">
        <f>BE23+BE31+BE39+BE47+BE55+BE63+BE71+BE79+BE87+BE95</f>
        <v>0</v>
      </c>
      <c r="BF135" s="1237">
        <f>BF23+BF31+BF39+BF47+BF55+BF63+BF71+BF79+BF87+BF95</f>
        <v>0</v>
      </c>
      <c r="BG135" s="607">
        <f>SUM(BC135:BF135)</f>
        <v>0</v>
      </c>
      <c r="BH135" s="1236">
        <f>BH23+BH31+BH39+BH47+BH55+BH63+BH71+BH79+BH87+BH95</f>
        <v>0</v>
      </c>
      <c r="BI135" s="607">
        <f>BI23+BI31+BI39+BI47+BI55+BI63+BI71+BI79+BI87+BI95</f>
        <v>0</v>
      </c>
      <c r="BJ135" s="607">
        <f>BJ23+BJ31+BJ39+BJ47+BJ55+BJ63+BJ71+BJ79+BJ87+BJ95</f>
        <v>0</v>
      </c>
      <c r="BK135" s="1237">
        <f>BK23+BK31+BK39+BK47+BK55+BK63+BK71+BK79+BK87+BK95</f>
        <v>-650</v>
      </c>
      <c r="BL135" s="607">
        <f>SUM(BH135:BK135)</f>
        <v>-650</v>
      </c>
      <c r="BM135" s="1236">
        <f>BM23+BM31+BM39+BM47+BM55+BM63+BM71+BM79+BM87+BM95</f>
        <v>0</v>
      </c>
      <c r="BN135" s="607">
        <f>BN23+BN31+BN39+BN47+BN55+BN63+BN71+BN79+BN87+BN95</f>
        <v>-250</v>
      </c>
      <c r="BO135" s="607">
        <f>BO23+BO31+BO39+BO47+BO55+BO63+BO71+BO79+BO87+BO95+BO103+BO111</f>
        <v>0</v>
      </c>
      <c r="BP135" s="1237">
        <f>BP23+BP31+BP39+BP47+BP55+BP63+BP71+BP79+BP87+BP95+BP103+BP111</f>
        <v>0</v>
      </c>
      <c r="BQ135" s="607">
        <f>SUM(BM135:BP135)</f>
        <v>-250</v>
      </c>
      <c r="BR135" s="1236">
        <f>BR23+BR31+BR39+BR47+BR55+BR63+BR71+BR79+BR87+BR95+BR103+BR111</f>
        <v>0</v>
      </c>
      <c r="BS135" s="607">
        <f>BS23+BS31+BS39+BS47+BS55+BS63+BS71+BS79+BS87+BS95+BS103+BS111</f>
        <v>0</v>
      </c>
      <c r="BT135" s="607">
        <f>BT23+BT31+BT39+BT47+BT55+BT63+BT71+BT79+BT87+BT95+BT103+BT111</f>
        <v>0</v>
      </c>
      <c r="BU135" s="1237">
        <f>BU23+BU31+BU39+BU47+BU55+BU63+BU71+BU79+BU87+BU95+BU103+BU111</f>
        <v>0</v>
      </c>
      <c r="BV135" s="607">
        <f>SUM(BR135:BU135)</f>
        <v>0</v>
      </c>
      <c r="BW135" s="1236">
        <f>BW23+BW31+BW39+BW47+BW55+BW63+BW71+BW79+BW87+BW95+BW103+BW111</f>
        <v>0</v>
      </c>
      <c r="BX135" s="607">
        <f>BX23+BX31+BX39+BX47+BX55+BX63+BX71+BX79+BX87+BX95+BX103+BX111</f>
        <v>0</v>
      </c>
      <c r="BY135" s="607">
        <f>BY23+BY31+BY39+BY47+BY55+BY63+BY71+BY79+BY87+BY95+BY103+BY111</f>
        <v>0</v>
      </c>
      <c r="BZ135" s="1237">
        <f>BZ23+BZ31+BZ39+BZ47+BZ55+BZ63+BZ71+BZ79+BZ87+BZ95+BZ103+BZ111</f>
        <v>-3.2650000000000001</v>
      </c>
      <c r="CA135" s="607">
        <f>SUM(BW135:BZ135)</f>
        <v>-3.2650000000000001</v>
      </c>
      <c r="CB135" s="1236">
        <f>CB23+CB31+CB39+CB47+CB55+CB63+CB71+CB79+CB87+CB95+CB103+CB111</f>
        <v>0</v>
      </c>
      <c r="CC135" s="607">
        <f>CC23+CC31+CC39+CC47+CC55+CC63+CC71+CC79+CC87+CC95+CC103+CC111</f>
        <v>0</v>
      </c>
      <c r="CD135" s="607">
        <f>CD23+CD31+CD39+CD47+CD55+CD63+CD71+CD79+CD87+CD95+CD103+CD111</f>
        <v>0</v>
      </c>
      <c r="CE135" s="1237">
        <f>CE23+CE31+CE39+CE47+CE55+CE63+CE71+CE79+CE87+CE95+CE103+CE111</f>
        <v>-16.335000000000001</v>
      </c>
      <c r="CF135" s="607">
        <f>SUM(CB135:CE135)</f>
        <v>-16.335000000000001</v>
      </c>
      <c r="CG135" s="1236">
        <f>CG23+CG31+CG39+CG47+CG55+CG63+CG71+CG79+CG87+CG95+CG103+CG111</f>
        <v>0</v>
      </c>
      <c r="CH135" s="607">
        <f>CH23+CH31+CH39+CH47+CH55+CH63+CH71+CH79+CH87+CH95+CH103+CH111</f>
        <v>0</v>
      </c>
      <c r="CI135" s="607">
        <f>CI23+CI31+CI39+CI47+CI55+CI63+CI71+CI79+CI87+CI95+CI103+CI111</f>
        <v>0</v>
      </c>
      <c r="CJ135" s="1237">
        <f>CJ23+CJ31+CJ39+CJ47+CJ55+CJ63+CJ71+CJ79+CJ87+CJ95+CJ103+CJ111</f>
        <v>0</v>
      </c>
      <c r="CK135" s="607">
        <f>SUM(CG135:CJ135)</f>
        <v>0</v>
      </c>
      <c r="CL135" s="1236">
        <f>CL23+CL31+CL39+CL47+CL55+CL63+CL71+CL79+CL87+CL95+CL103+CL111</f>
        <v>0</v>
      </c>
      <c r="CM135" s="607">
        <f>CM23+CM31+CM39+CM47+CM55+CM63+CM71+CM79+CM87+CM95+CM103+CM111</f>
        <v>0</v>
      </c>
      <c r="CN135" s="607">
        <f>CN23+CN31+CN39+CN47+CN55+CN63+CN71+CN79+CN87+CN95+CN103+CN111</f>
        <v>0</v>
      </c>
      <c r="CO135" s="1237">
        <f>CO23+CO31+CO39+CO47+CO55+CO63+CO71+CO79+CO87+CO95+CO103+CO111</f>
        <v>0</v>
      </c>
      <c r="CP135" s="607">
        <f>SUM(CL135:CO135)</f>
        <v>0</v>
      </c>
      <c r="CQ135" s="1236">
        <f>CQ23+CQ31+CQ39+CQ47+CQ55+CQ63+CQ71+CQ79+CQ87+CQ95+CQ103+CQ111</f>
        <v>0</v>
      </c>
      <c r="CR135" s="607">
        <f>CR23+CR31+CR39+CR47+CR55+CR63+CR71+CR79+CR87+CR95+CR103+CR111</f>
        <v>0</v>
      </c>
      <c r="CS135" s="607">
        <f>CS23+CS31+CS39+CS47+CS55+CS63+CS71+CS79+CS87+CS95+CS103+CS111</f>
        <v>0</v>
      </c>
      <c r="CT135" s="1237">
        <f>CT23+CT31+CT39+CT47+CT55+CT63+CT71+CT79+CT87+CT95+CT103+CT111</f>
        <v>0</v>
      </c>
      <c r="CU135" s="607">
        <f>SUM(CQ135:CT135)</f>
        <v>0</v>
      </c>
      <c r="CV135" s="1236">
        <f>CV23+CV31+CV39+CV47+CV55+CV63+CV71+CV79+CV87+CV95+CV103+CV111</f>
        <v>0</v>
      </c>
      <c r="CW135" s="607">
        <f>CW23+CW31+CW39+CW47+CW55+CW63+CW71+CW79+CW87+CW95+CW103+CW111</f>
        <v>0</v>
      </c>
      <c r="CX135" s="607">
        <f>CX23+CX31+CX39+CX47+CX55+CX63+CX71+CX79+CX87+CX95+CX103+CX111</f>
        <v>0</v>
      </c>
      <c r="CY135" s="1237">
        <f>CY23+CY31+CY39+CY47+CY55+CY63+CY71+CY79+CY87+CY95+CY103+CY111</f>
        <v>0</v>
      </c>
      <c r="CZ135" s="607">
        <f>SUM(CV135:CY135)</f>
        <v>0</v>
      </c>
    </row>
    <row r="136" spans="1:104" ht="13.5" customHeight="1" outlineLevel="1">
      <c r="A136" s="343"/>
      <c r="B136" s="305" t="s">
        <v>8</v>
      </c>
      <c r="C136" s="343"/>
      <c r="D136" s="307"/>
      <c r="E136" s="307"/>
      <c r="F136" s="343"/>
      <c r="G136" s="343"/>
      <c r="H136" s="343"/>
      <c r="I136" s="343"/>
      <c r="J136" s="343"/>
      <c r="K136" s="343"/>
      <c r="L136" s="343"/>
      <c r="M136" s="343"/>
      <c r="N136" s="343"/>
      <c r="O136" s="343"/>
      <c r="P136" s="343"/>
      <c r="Q136" s="343"/>
      <c r="R136" s="343"/>
      <c r="S136" s="343"/>
      <c r="T136" s="343"/>
      <c r="U136" s="343"/>
      <c r="V136" s="343"/>
      <c r="W136" s="343"/>
      <c r="X136" s="343"/>
      <c r="Y136" s="343"/>
      <c r="Z136" s="343"/>
      <c r="AA136" s="343"/>
      <c r="AB136" s="343"/>
      <c r="AC136" s="343"/>
      <c r="AD136" s="343"/>
      <c r="AE136" s="343"/>
      <c r="AF136" s="343"/>
      <c r="AG136" s="343"/>
      <c r="AH136" s="343"/>
      <c r="AI136" s="343"/>
      <c r="AJ136" s="343"/>
      <c r="AK136" s="343"/>
      <c r="AL136" s="343"/>
      <c r="AM136" s="343"/>
      <c r="AN136" s="343"/>
      <c r="AO136" s="343"/>
      <c r="AP136" s="343"/>
      <c r="AQ136" s="317"/>
      <c r="AR136" s="317"/>
      <c r="AS136" s="1236">
        <f>-(SUM(AS133:AS135)-SUM(AS141:AS142)+SUM(AQ141:AQ142))</f>
        <v>-2.3229999999998654</v>
      </c>
      <c r="AT136" s="607">
        <f>-(SUM(AT133:AT135)-SUM(AT141:AT142)+SUM(AS141:AS142))</f>
        <v>2.3369999999999891</v>
      </c>
      <c r="AU136" s="607">
        <f>-(SUM(AU133:AU135)-SUM(AU141:AU142)+SUM(AT141:AT142))</f>
        <v>1.3999999999668944E-2</v>
      </c>
      <c r="AV136" s="1237">
        <f>-(SUM(AV133:AV135)-SUM(AV141:AV142)+SUM(AU141:AU142))</f>
        <v>6.0000000003128662E-3</v>
      </c>
      <c r="AW136" s="607">
        <f>SUM(AS136:AV136)</f>
        <v>3.4000000000105501E-2</v>
      </c>
      <c r="AX136" s="1236">
        <f>-(SUM(AX133:AX135)-SUM(AX141:AX142)+SUM(AV141:AV142))</f>
        <v>1.4999999999872671E-2</v>
      </c>
      <c r="AY136" s="607">
        <f>-(SUM(AY133:AY135)-SUM(AY141:AY142)+SUM(AX141:AX142))</f>
        <v>-6.0159999999996217</v>
      </c>
      <c r="AZ136" s="607">
        <f>-(SUM(AZ133:AZ135)-SUM(AZ141:AZ142)+SUM(AY141:AY142))</f>
        <v>1.0100000000002183</v>
      </c>
      <c r="BA136" s="1237">
        <f>-(SUM(BA133:BA135)-SUM(BA141:BA142)+SUM(AZ141:AZ142))</f>
        <v>1.8000000000483851E-2</v>
      </c>
      <c r="BB136" s="607">
        <f>SUM(AX136:BA136)</f>
        <v>-4.9729999999990468</v>
      </c>
      <c r="BC136" s="1236">
        <f>-(SUM(BC133:BC135)-SUM(BC141:BC142)+SUM(BA141:BA142))</f>
        <v>4.2999999999665306E-2</v>
      </c>
      <c r="BD136" s="607">
        <f>-(SUM(BD133:BD135)-SUM(BD141:BD142)+SUM(BC141:BC142))</f>
        <v>-5.5000000000291038E-2</v>
      </c>
      <c r="BE136" s="607">
        <f>-(SUM(BE133:BE135)-SUM(BE141:BE142)+SUM(BD141:BD142))</f>
        <v>-4.6000000000276486E-2</v>
      </c>
      <c r="BF136" s="1237">
        <f>-(SUM(BF133:BF135)-SUM(BF141:BF142)+SUM(BE141:BE142))</f>
        <v>6.0000000003128662E-3</v>
      </c>
      <c r="BG136" s="607">
        <f>SUM(BC136:BF136)</f>
        <v>-5.2000000000589353E-2</v>
      </c>
      <c r="BH136" s="1236">
        <f>-(SUM(BH133:BH135)-SUM(BH141:BH142)+SUM(BF141:BF142))</f>
        <v>6.2139999999999418</v>
      </c>
      <c r="BI136" s="607">
        <f>-(SUM(BI133:BI135)-SUM(BI141:BI142)+SUM(BH141:BH142))</f>
        <v>-0.93099999999958527</v>
      </c>
      <c r="BJ136" s="607">
        <f>-(SUM(BJ133:BJ135)-SUM(BJ141:BJ142)+SUM(BI141:BI142))</f>
        <v>23.755999999999403</v>
      </c>
      <c r="BK136" s="1237">
        <f>-(SUM(BK133:BK135)-SUM(BK141:BK142)+SUM(BJ141:BJ142))</f>
        <v>-0.95300000000042928</v>
      </c>
      <c r="BL136" s="607">
        <f>SUM(BH136:BK136)</f>
        <v>28.085999999999331</v>
      </c>
      <c r="BM136" s="1236">
        <f>-(SUM(BM133:BM135)-SUM(BM141:BM142)+SUM(BK141:BK142))</f>
        <v>12.472000000000207</v>
      </c>
      <c r="BN136" s="607">
        <f>-(SUM(BN133:BN135)-SUM(BN141:BN142)+SUM(BM141:BM142))</f>
        <v>-10.715999999999894</v>
      </c>
      <c r="BO136" s="607">
        <f>-(SUM(BO133:BO135)-SUM(BO141:BO142)+SUM(BN141:BN142))</f>
        <v>1006.5350000000003</v>
      </c>
      <c r="BP136" s="1237">
        <f>-(SUM(BP133:BP135)-SUM(BP141:BP142)+SUM(BO141:BO142))</f>
        <v>-9.0010000000002037</v>
      </c>
      <c r="BQ136" s="607">
        <f>SUM(BM136:BP136)</f>
        <v>999.29000000000042</v>
      </c>
      <c r="BR136" s="1236">
        <f>-(SUM(BR133:BR135)-SUM(BR141:BR142)+SUM(BP141:BP142))</f>
        <v>-2.1300000000001091</v>
      </c>
      <c r="BS136" s="607">
        <f>-(SUM(BS133:BS135)-SUM(BS141:BS142)+SUM(BR141:BR142))</f>
        <v>15.341999999999643</v>
      </c>
      <c r="BT136" s="607">
        <f>-(SUM(BT133:BT135)-SUM(BT141:BT142)+SUM(BS141:BS142))</f>
        <v>-4.6129999999993743</v>
      </c>
      <c r="BU136" s="1237">
        <f>-(SUM(BU133:BU135)-SUM(BU141:BU142)+SUM(BT141:BT142))</f>
        <v>166.40999999999985</v>
      </c>
      <c r="BV136" s="607">
        <f>SUM(BR136:BU136)</f>
        <v>175.00900000000001</v>
      </c>
      <c r="BW136" s="1236">
        <f>-(SUM(BW133:BW135)-SUM(BW141:BW142)+SUM(BU141:BU142))</f>
        <v>-180.61999999999989</v>
      </c>
      <c r="BX136" s="607">
        <f>-(SUM(BX133:BX135)-SUM(BX141:BX142)+SUM(BW141:BW142))</f>
        <v>7.7730000000001382</v>
      </c>
      <c r="BY136" s="607">
        <f>-(SUM(BY133:BY135)-SUM(BY141:BY142)+SUM(BX141:BX142))</f>
        <v>3.6369999999997162</v>
      </c>
      <c r="BZ136" s="1237">
        <f>-(SUM(BZ133:BZ135)-SUM(BZ141:BZ142)+SUM(BY141:BY142))</f>
        <v>-2.099999999973079E-2</v>
      </c>
      <c r="CA136" s="607">
        <f>SUM(BW136:BZ136)</f>
        <v>-169.23099999999977</v>
      </c>
      <c r="CB136" s="1236">
        <f>-(SUM(CB133:CB135)-SUM(CB141:CB142)+SUM(BZ141:BZ142))</f>
        <v>-37.385000000000218</v>
      </c>
      <c r="CC136" s="607">
        <f>-(SUM(CC133:CC135)-SUM(CC141:CC142)+SUM(CB141:CB142))</f>
        <v>-17.018000000000029</v>
      </c>
      <c r="CD136" s="607">
        <f>-(SUM(CD133:CD135)-SUM(CD141:CD142)+SUM(CC141:CC142))</f>
        <v>10.630000000000109</v>
      </c>
      <c r="CE136" s="1237">
        <f>-(SUM(CE133:CE135)-SUM(CE141:CE142)+SUM(CD141:CD142))</f>
        <v>5.2930000000005748</v>
      </c>
      <c r="CF136" s="607">
        <f>SUM(CB136:CE136)</f>
        <v>-38.479999999999563</v>
      </c>
      <c r="CG136" s="1236">
        <f>-(SUM(CG133:CG135)-SUM(CG141:CG142)+SUM(CE141:CE142))</f>
        <v>30.960999999999331</v>
      </c>
      <c r="CH136" s="607">
        <f>-(SUM(CH133:CH135)-SUM(CH141:CH142)+SUM(CG141:CG142))</f>
        <v>-8.1700000000000728</v>
      </c>
      <c r="CI136" s="607">
        <f>-(SUM(CI133:CI135)-SUM(CI141:CI142)+SUM(CH141:CH142))</f>
        <v>11.967000000000553</v>
      </c>
      <c r="CJ136" s="1237">
        <f>-(SUM(CJ133:CJ135)-SUM(CJ141:CJ142)+SUM(CI141:CI142))</f>
        <v>-596.7829999999999</v>
      </c>
      <c r="CK136" s="607">
        <f>SUM(CG136:CJ136)</f>
        <v>-562.02500000000009</v>
      </c>
      <c r="CL136" s="1236">
        <f>-(SUM(CL133:CL135)-SUM(CL141:CL142)+SUM(CJ141:CJ142))</f>
        <v>21.825999999999567</v>
      </c>
      <c r="CM136" s="607">
        <f>-(SUM(CM133:CM135)-SUM(CM141:CM142)+SUM(CL141:CL142))</f>
        <v>543.69900000000052</v>
      </c>
      <c r="CN136" s="607">
        <f>-(SUM(CN133:CN135)-SUM(CN141:CN142)+SUM(CM141:CM142))</f>
        <v>0</v>
      </c>
      <c r="CO136" s="1237">
        <f>-(SUM(CO133:CO135)-SUM(CO141:CO142)+SUM(CN141:CN142))</f>
        <v>0</v>
      </c>
      <c r="CP136" s="607">
        <f>SUM(CL136:CO136)</f>
        <v>565.52500000000009</v>
      </c>
      <c r="CQ136" s="1236">
        <f>-(SUM(CQ133:CQ135)-SUM(CQ141:CQ142)+SUM(CO141:CO142))</f>
        <v>0</v>
      </c>
      <c r="CR136" s="607">
        <f>-(SUM(CR133:CR135)-SUM(CR141:CR142)+SUM(CQ141:CQ142))</f>
        <v>0</v>
      </c>
      <c r="CS136" s="607">
        <f>-(SUM(CS133:CS135)-SUM(CS141:CS142)+SUM(CR141:CR142))</f>
        <v>0</v>
      </c>
      <c r="CT136" s="1237">
        <f>-(SUM(CT133:CT135)-SUM(CT141:CT142)+SUM(CS141:CS142))</f>
        <v>0</v>
      </c>
      <c r="CU136" s="607">
        <f>SUM(CQ136:CT136)</f>
        <v>0</v>
      </c>
      <c r="CV136" s="1236">
        <f>-(SUM(CV133:CV135)-SUM(CV141:CV142)+SUM(CT141:CT142))</f>
        <v>0</v>
      </c>
      <c r="CW136" s="607">
        <f>-(SUM(CW133:CW135)-SUM(CW141:CW142)+SUM(CV141:CV142))</f>
        <v>0</v>
      </c>
      <c r="CX136" s="607">
        <f>-(SUM(CX133:CX135)-SUM(CX141:CX142)+SUM(CW141:CW142))</f>
        <v>0</v>
      </c>
      <c r="CY136" s="1237">
        <f>-(SUM(CY133:CY135)-SUM(CY141:CY142)+SUM(CX141:CX142))</f>
        <v>0</v>
      </c>
      <c r="CZ136" s="607">
        <f>SUM(CV136:CY136)</f>
        <v>0</v>
      </c>
    </row>
    <row r="137" spans="1:104" ht="13.5" customHeight="1" outlineLevel="1">
      <c r="A137" s="347"/>
      <c r="B137" s="315" t="s">
        <v>123</v>
      </c>
      <c r="C137" s="347"/>
      <c r="D137" s="351"/>
      <c r="E137" s="351"/>
      <c r="F137" s="347"/>
      <c r="G137" s="347"/>
      <c r="H137" s="347"/>
      <c r="I137" s="347"/>
      <c r="J137" s="347"/>
      <c r="K137" s="347"/>
      <c r="L137" s="347"/>
      <c r="M137" s="347"/>
      <c r="N137" s="347"/>
      <c r="O137" s="347"/>
      <c r="P137" s="347"/>
      <c r="Q137" s="347"/>
      <c r="R137" s="347"/>
      <c r="S137" s="347"/>
      <c r="T137" s="347"/>
      <c r="U137" s="347"/>
      <c r="V137" s="347"/>
      <c r="W137" s="347"/>
      <c r="X137" s="347"/>
      <c r="Y137" s="347"/>
      <c r="Z137" s="347"/>
      <c r="AA137" s="347"/>
      <c r="AB137" s="347"/>
      <c r="AC137" s="347"/>
      <c r="AD137" s="347"/>
      <c r="AE137" s="347"/>
      <c r="AF137" s="347"/>
      <c r="AG137" s="347"/>
      <c r="AH137" s="347"/>
      <c r="AI137" s="347"/>
      <c r="AJ137" s="347"/>
      <c r="AK137" s="347"/>
      <c r="AL137" s="347"/>
      <c r="AM137" s="347"/>
      <c r="AN137" s="347"/>
      <c r="AO137" s="347"/>
      <c r="AP137" s="347"/>
      <c r="AQ137" s="346"/>
      <c r="AR137" s="346"/>
      <c r="AS137" s="1246">
        <f t="shared" ref="AS137:BX137" si="3">SUM(AS133:AS136)</f>
        <v>-177.32299999999987</v>
      </c>
      <c r="AT137" s="609">
        <f t="shared" si="3"/>
        <v>-0.35700000000001086</v>
      </c>
      <c r="AU137" s="609">
        <f t="shared" si="3"/>
        <v>-7.9140000000003656</v>
      </c>
      <c r="AV137" s="1247">
        <f t="shared" si="3"/>
        <v>-1.6799999999996871</v>
      </c>
      <c r="AW137" s="609">
        <f t="shared" si="3"/>
        <v>-187.27399999999992</v>
      </c>
      <c r="AX137" s="1246">
        <f t="shared" si="3"/>
        <v>7.3269999999998729</v>
      </c>
      <c r="AY137" s="609">
        <f t="shared" si="3"/>
        <v>-12.475999999999623</v>
      </c>
      <c r="AZ137" s="609">
        <f t="shared" si="3"/>
        <v>600.49300000000017</v>
      </c>
      <c r="BA137" s="1247">
        <f t="shared" si="3"/>
        <v>610.23600000000044</v>
      </c>
      <c r="BB137" s="609">
        <f t="shared" si="3"/>
        <v>1205.5800000000008</v>
      </c>
      <c r="BC137" s="1246">
        <f t="shared" si="3"/>
        <v>3.6369999999996652</v>
      </c>
      <c r="BD137" s="609">
        <f t="shared" si="3"/>
        <v>-2.2920000000002911</v>
      </c>
      <c r="BE137" s="609">
        <f t="shared" si="3"/>
        <v>-7.0490000000002766</v>
      </c>
      <c r="BF137" s="1247">
        <f t="shared" si="3"/>
        <v>-5.7979999999996856</v>
      </c>
      <c r="BG137" s="609">
        <f t="shared" si="3"/>
        <v>-11.502000000000589</v>
      </c>
      <c r="BH137" s="1246">
        <f t="shared" si="3"/>
        <v>6.2139999999999418</v>
      </c>
      <c r="BI137" s="609">
        <f t="shared" si="3"/>
        <v>-0.93099999999958527</v>
      </c>
      <c r="BJ137" s="609">
        <f t="shared" si="3"/>
        <v>23.755999999999403</v>
      </c>
      <c r="BK137" s="1247">
        <f t="shared" si="3"/>
        <v>-650.95300000000043</v>
      </c>
      <c r="BL137" s="609">
        <f t="shared" si="3"/>
        <v>-621.91400000000067</v>
      </c>
      <c r="BM137" s="1246">
        <f t="shared" si="3"/>
        <v>12.472000000000207</v>
      </c>
      <c r="BN137" s="609">
        <f t="shared" si="3"/>
        <v>-260.71599999999989</v>
      </c>
      <c r="BO137" s="609">
        <f t="shared" si="3"/>
        <v>1006.5350000000003</v>
      </c>
      <c r="BP137" s="1247">
        <f t="shared" si="3"/>
        <v>-9.0010000000002037</v>
      </c>
      <c r="BQ137" s="609">
        <f t="shared" si="3"/>
        <v>749.29000000000042</v>
      </c>
      <c r="BR137" s="1246">
        <f t="shared" si="3"/>
        <v>-2.1300000000001091</v>
      </c>
      <c r="BS137" s="609">
        <f t="shared" si="3"/>
        <v>15.341999999999643</v>
      </c>
      <c r="BT137" s="609">
        <f t="shared" si="3"/>
        <v>-4.6129999999993743</v>
      </c>
      <c r="BU137" s="1247">
        <f t="shared" si="3"/>
        <v>166.40999999999985</v>
      </c>
      <c r="BV137" s="609">
        <f t="shared" si="3"/>
        <v>175.00900000000001</v>
      </c>
      <c r="BW137" s="1246">
        <f t="shared" si="3"/>
        <v>-180.61999999999989</v>
      </c>
      <c r="BX137" s="609">
        <f t="shared" si="3"/>
        <v>7.7730000000001382</v>
      </c>
      <c r="BY137" s="609">
        <f t="shared" ref="BY137:CZ137" si="4">SUM(BY133:BY136)</f>
        <v>3.6369999999997162</v>
      </c>
      <c r="BZ137" s="1247">
        <f t="shared" si="4"/>
        <v>-3.2859999999997309</v>
      </c>
      <c r="CA137" s="609">
        <f t="shared" si="4"/>
        <v>-172.49599999999975</v>
      </c>
      <c r="CB137" s="1246">
        <f t="shared" si="4"/>
        <v>-37.385000000000218</v>
      </c>
      <c r="CC137" s="609">
        <f t="shared" si="4"/>
        <v>-17.018000000000029</v>
      </c>
      <c r="CD137" s="609">
        <f t="shared" si="4"/>
        <v>10.630000000000109</v>
      </c>
      <c r="CE137" s="1247">
        <f t="shared" si="4"/>
        <v>-11.041999999999426</v>
      </c>
      <c r="CF137" s="609">
        <f t="shared" si="4"/>
        <v>-54.814999999999564</v>
      </c>
      <c r="CG137" s="1246">
        <f t="shared" si="4"/>
        <v>30.960999999999331</v>
      </c>
      <c r="CH137" s="609">
        <f t="shared" si="4"/>
        <v>-8.1700000000000728</v>
      </c>
      <c r="CI137" s="609">
        <f t="shared" si="4"/>
        <v>11.967000000000553</v>
      </c>
      <c r="CJ137" s="1247">
        <f t="shared" si="4"/>
        <v>-596.7829999999999</v>
      </c>
      <c r="CK137" s="609">
        <f t="shared" si="4"/>
        <v>-562.02500000000009</v>
      </c>
      <c r="CL137" s="1246">
        <f t="shared" si="4"/>
        <v>21.825999999999567</v>
      </c>
      <c r="CM137" s="609">
        <f t="shared" si="4"/>
        <v>543.69900000000052</v>
      </c>
      <c r="CN137" s="609">
        <f t="shared" si="4"/>
        <v>0</v>
      </c>
      <c r="CO137" s="1247">
        <f t="shared" si="4"/>
        <v>0</v>
      </c>
      <c r="CP137" s="609">
        <f t="shared" si="4"/>
        <v>565.52500000000009</v>
      </c>
      <c r="CQ137" s="1246">
        <f t="shared" si="4"/>
        <v>0</v>
      </c>
      <c r="CR137" s="609">
        <f t="shared" si="4"/>
        <v>0</v>
      </c>
      <c r="CS137" s="609">
        <f t="shared" si="4"/>
        <v>0</v>
      </c>
      <c r="CT137" s="1247">
        <f t="shared" si="4"/>
        <v>0</v>
      </c>
      <c r="CU137" s="609">
        <f t="shared" si="4"/>
        <v>0</v>
      </c>
      <c r="CV137" s="1246">
        <f t="shared" si="4"/>
        <v>0</v>
      </c>
      <c r="CW137" s="609">
        <f t="shared" si="4"/>
        <v>0</v>
      </c>
      <c r="CX137" s="609">
        <f t="shared" si="4"/>
        <v>0</v>
      </c>
      <c r="CY137" s="1247">
        <f t="shared" si="4"/>
        <v>0</v>
      </c>
      <c r="CZ137" s="609">
        <f t="shared" si="4"/>
        <v>0</v>
      </c>
    </row>
    <row r="138" spans="1:104" ht="6.2" customHeight="1" outlineLevel="1">
      <c r="A138" s="343"/>
      <c r="B138" s="305"/>
      <c r="C138" s="343"/>
      <c r="D138" s="307"/>
      <c r="E138" s="307"/>
      <c r="F138" s="343"/>
      <c r="G138" s="343"/>
      <c r="H138" s="343"/>
      <c r="I138" s="343"/>
      <c r="J138" s="343"/>
      <c r="K138" s="343"/>
      <c r="L138" s="343"/>
      <c r="M138" s="343"/>
      <c r="N138" s="343"/>
      <c r="O138" s="343"/>
      <c r="P138" s="343"/>
      <c r="Q138" s="343"/>
      <c r="R138" s="343"/>
      <c r="S138" s="343"/>
      <c r="T138" s="343"/>
      <c r="U138" s="343"/>
      <c r="V138" s="343"/>
      <c r="W138" s="343"/>
      <c r="X138" s="343"/>
      <c r="Y138" s="343"/>
      <c r="Z138" s="343"/>
      <c r="AA138" s="343"/>
      <c r="AB138" s="343"/>
      <c r="AC138" s="343"/>
      <c r="AD138" s="343"/>
      <c r="AE138" s="343"/>
      <c r="AF138" s="343"/>
      <c r="AG138" s="343"/>
      <c r="AH138" s="343"/>
      <c r="AI138" s="343"/>
      <c r="AJ138" s="343"/>
      <c r="AK138" s="343"/>
      <c r="AL138" s="343"/>
      <c r="AM138" s="343"/>
      <c r="AN138" s="343"/>
      <c r="AO138" s="343"/>
      <c r="AP138" s="343"/>
      <c r="AQ138" s="317"/>
      <c r="AR138" s="317"/>
      <c r="AS138" s="1232"/>
      <c r="AT138" s="317"/>
      <c r="AU138" s="317"/>
      <c r="AV138" s="1233"/>
      <c r="AW138" s="317"/>
      <c r="AX138" s="1232"/>
      <c r="AY138" s="317"/>
      <c r="AZ138" s="317"/>
      <c r="BA138" s="1233"/>
      <c r="BB138" s="317"/>
      <c r="BC138" s="1232"/>
      <c r="BD138" s="317"/>
      <c r="BE138" s="317"/>
      <c r="BF138" s="1233"/>
      <c r="BG138" s="317"/>
      <c r="BH138" s="1232"/>
      <c r="BI138" s="317"/>
      <c r="BJ138" s="317"/>
      <c r="BK138" s="1233"/>
      <c r="BL138" s="317"/>
      <c r="BM138" s="1232"/>
      <c r="BN138" s="317"/>
      <c r="BO138" s="317"/>
      <c r="BP138" s="1233"/>
      <c r="BQ138" s="317"/>
      <c r="BR138" s="1232"/>
      <c r="BS138" s="317"/>
      <c r="BT138" s="317"/>
      <c r="BU138" s="1233"/>
      <c r="BV138" s="317"/>
      <c r="BW138" s="1232"/>
      <c r="BX138" s="317"/>
      <c r="BY138" s="317"/>
      <c r="BZ138" s="1233"/>
      <c r="CA138" s="317"/>
      <c r="CB138" s="1232"/>
      <c r="CC138" s="317"/>
      <c r="CD138" s="317"/>
      <c r="CE138" s="1237"/>
      <c r="CF138" s="607"/>
      <c r="CG138" s="1236"/>
      <c r="CH138" s="607"/>
      <c r="CI138" s="317"/>
      <c r="CJ138" s="1237"/>
      <c r="CK138" s="607"/>
      <c r="CL138" s="1232"/>
      <c r="CM138" s="317"/>
      <c r="CN138" s="317"/>
      <c r="CO138" s="1233"/>
      <c r="CP138" s="317"/>
      <c r="CQ138" s="1232"/>
      <c r="CR138" s="317"/>
      <c r="CS138" s="317"/>
      <c r="CT138" s="1233"/>
      <c r="CU138" s="317"/>
      <c r="CV138" s="1232"/>
      <c r="CW138" s="317"/>
      <c r="CX138" s="317"/>
      <c r="CY138" s="1233"/>
      <c r="CZ138" s="317"/>
    </row>
    <row r="139" spans="1:104" ht="6.2" customHeight="1" outlineLevel="1">
      <c r="A139" s="343"/>
      <c r="B139" s="343"/>
      <c r="C139" s="343"/>
      <c r="D139" s="307"/>
      <c r="E139" s="307"/>
      <c r="F139" s="343"/>
      <c r="G139" s="343"/>
      <c r="H139" s="343"/>
      <c r="I139" s="343"/>
      <c r="J139" s="343"/>
      <c r="K139" s="343"/>
      <c r="L139" s="343"/>
      <c r="M139" s="343"/>
      <c r="N139" s="343"/>
      <c r="O139" s="343"/>
      <c r="P139" s="343"/>
      <c r="Q139" s="343"/>
      <c r="R139" s="343"/>
      <c r="S139" s="343"/>
      <c r="T139" s="343"/>
      <c r="U139" s="343"/>
      <c r="V139" s="343"/>
      <c r="W139" s="343"/>
      <c r="X139" s="343"/>
      <c r="Y139" s="343"/>
      <c r="Z139" s="343"/>
      <c r="AA139" s="343"/>
      <c r="AB139" s="343"/>
      <c r="AC139" s="343"/>
      <c r="AD139" s="343"/>
      <c r="AE139" s="343"/>
      <c r="AF139" s="343"/>
      <c r="AG139" s="343"/>
      <c r="AH139" s="343"/>
      <c r="AI139" s="343"/>
      <c r="AJ139" s="343"/>
      <c r="AK139" s="343"/>
      <c r="AL139" s="343"/>
      <c r="AM139" s="343"/>
      <c r="AN139" s="343"/>
      <c r="AO139" s="343"/>
      <c r="AP139" s="343"/>
      <c r="AQ139" s="317"/>
      <c r="AR139" s="317"/>
      <c r="AS139" s="1232"/>
      <c r="AT139" s="317"/>
      <c r="AU139" s="317"/>
      <c r="AV139" s="1233"/>
      <c r="AW139" s="317"/>
      <c r="AX139" s="1232"/>
      <c r="AY139" s="317"/>
      <c r="AZ139" s="317"/>
      <c r="BA139" s="1233"/>
      <c r="BB139" s="317"/>
      <c r="BC139" s="1232"/>
      <c r="BD139" s="317"/>
      <c r="BE139" s="317"/>
      <c r="BF139" s="1233"/>
      <c r="BG139" s="317"/>
      <c r="BH139" s="1232"/>
      <c r="BI139" s="317"/>
      <c r="BJ139" s="317"/>
      <c r="BK139" s="1233"/>
      <c r="BL139" s="317"/>
      <c r="BM139" s="1232"/>
      <c r="BN139" s="317"/>
      <c r="BO139" s="317"/>
      <c r="BP139" s="1233"/>
      <c r="BQ139" s="317"/>
      <c r="BR139" s="1232"/>
      <c r="BS139" s="317"/>
      <c r="BT139" s="317"/>
      <c r="BU139" s="1233"/>
      <c r="BV139" s="317"/>
      <c r="BW139" s="1232"/>
      <c r="BX139" s="317"/>
      <c r="BY139" s="317"/>
      <c r="BZ139" s="1233"/>
      <c r="CA139" s="317"/>
      <c r="CB139" s="1232"/>
      <c r="CC139" s="317"/>
      <c r="CD139" s="317"/>
      <c r="CE139" s="1237"/>
      <c r="CF139" s="607"/>
      <c r="CG139" s="1236"/>
      <c r="CH139" s="607"/>
      <c r="CI139" s="317"/>
      <c r="CJ139" s="1237"/>
      <c r="CK139" s="607"/>
      <c r="CL139" s="1232"/>
      <c r="CM139" s="317"/>
      <c r="CN139" s="317"/>
      <c r="CO139" s="1233"/>
      <c r="CP139" s="317"/>
      <c r="CQ139" s="1232"/>
      <c r="CR139" s="317"/>
      <c r="CS139" s="317"/>
      <c r="CT139" s="1233"/>
      <c r="CU139" s="317"/>
      <c r="CV139" s="1232"/>
      <c r="CW139" s="317"/>
      <c r="CX139" s="317"/>
      <c r="CY139" s="1233"/>
      <c r="CZ139" s="317"/>
    </row>
    <row r="140" spans="1:104" ht="13.5" customHeight="1" outlineLevel="1">
      <c r="A140" s="343"/>
      <c r="B140" s="347" t="s">
        <v>450</v>
      </c>
      <c r="C140" s="343"/>
      <c r="D140" s="307"/>
      <c r="E140" s="307"/>
      <c r="F140" s="343"/>
      <c r="G140" s="343"/>
      <c r="H140" s="343"/>
      <c r="I140" s="343"/>
      <c r="J140" s="343"/>
      <c r="K140" s="343"/>
      <c r="L140" s="343"/>
      <c r="M140" s="343"/>
      <c r="N140" s="343"/>
      <c r="O140" s="343"/>
      <c r="P140" s="343"/>
      <c r="Q140" s="343"/>
      <c r="R140" s="343"/>
      <c r="S140" s="343"/>
      <c r="T140" s="343"/>
      <c r="U140" s="343"/>
      <c r="V140" s="343"/>
      <c r="W140" s="343"/>
      <c r="X140" s="343"/>
      <c r="Y140" s="343"/>
      <c r="Z140" s="343"/>
      <c r="AA140" s="343"/>
      <c r="AB140" s="343"/>
      <c r="AC140" s="343"/>
      <c r="AD140" s="343"/>
      <c r="AE140" s="343"/>
      <c r="AF140" s="343"/>
      <c r="AG140" s="343"/>
      <c r="AH140" s="343"/>
      <c r="AI140" s="343"/>
      <c r="AJ140" s="343"/>
      <c r="AK140" s="343"/>
      <c r="AL140" s="343"/>
      <c r="AM140" s="343"/>
      <c r="AN140" s="343"/>
      <c r="AO140" s="343"/>
      <c r="AP140" s="343"/>
      <c r="AQ140" s="317"/>
      <c r="AR140" s="317"/>
      <c r="AS140" s="1232"/>
      <c r="AT140" s="317"/>
      <c r="AU140" s="317"/>
      <c r="AV140" s="1233"/>
      <c r="AW140" s="317"/>
      <c r="AX140" s="1232"/>
      <c r="AY140" s="317"/>
      <c r="AZ140" s="317"/>
      <c r="BA140" s="1233"/>
      <c r="BB140" s="317"/>
      <c r="BC140" s="1232"/>
      <c r="BD140" s="317"/>
      <c r="BE140" s="317"/>
      <c r="BF140" s="1233"/>
      <c r="BG140" s="317"/>
      <c r="BH140" s="1232"/>
      <c r="BI140" s="317"/>
      <c r="BJ140" s="317"/>
      <c r="BK140" s="1233"/>
      <c r="BL140" s="317"/>
      <c r="BM140" s="1232"/>
      <c r="BN140" s="317"/>
      <c r="BO140" s="317"/>
      <c r="BP140" s="1233"/>
      <c r="BQ140" s="317"/>
      <c r="BR140" s="1232"/>
      <c r="BS140" s="317"/>
      <c r="BT140" s="317"/>
      <c r="BU140" s="1233"/>
      <c r="BV140" s="317"/>
      <c r="BW140" s="1232"/>
      <c r="BX140" s="317"/>
      <c r="BY140" s="317"/>
      <c r="BZ140" s="1233"/>
      <c r="CA140" s="317"/>
      <c r="CB140" s="1232"/>
      <c r="CC140" s="317"/>
      <c r="CD140" s="317"/>
      <c r="CE140" s="1237"/>
      <c r="CF140" s="607"/>
      <c r="CG140" s="1236"/>
      <c r="CH140" s="607"/>
      <c r="CI140" s="317"/>
      <c r="CJ140" s="1237"/>
      <c r="CK140" s="607"/>
      <c r="CL140" s="1232"/>
      <c r="CM140" s="317"/>
      <c r="CN140" s="317"/>
      <c r="CO140" s="1233"/>
      <c r="CP140" s="317"/>
      <c r="CQ140" s="1232"/>
      <c r="CR140" s="317"/>
      <c r="CS140" s="317"/>
      <c r="CT140" s="1233"/>
      <c r="CU140" s="317"/>
      <c r="CV140" s="1232"/>
      <c r="CW140" s="317"/>
      <c r="CX140" s="317"/>
      <c r="CY140" s="1233"/>
      <c r="CZ140" s="317"/>
    </row>
    <row r="141" spans="1:104" ht="13.5" customHeight="1" outlineLevel="1">
      <c r="A141" s="343"/>
      <c r="B141" s="343" t="s">
        <v>9</v>
      </c>
      <c r="C141" s="343"/>
      <c r="D141" s="307"/>
      <c r="E141" s="307"/>
      <c r="F141" s="343"/>
      <c r="G141" s="343"/>
      <c r="H141" s="343"/>
      <c r="I141" s="343"/>
      <c r="J141" s="343"/>
      <c r="K141" s="343"/>
      <c r="L141" s="343"/>
      <c r="M141" s="343"/>
      <c r="N141" s="343"/>
      <c r="O141" s="343"/>
      <c r="P141" s="343"/>
      <c r="Q141" s="343"/>
      <c r="R141" s="343"/>
      <c r="S141" s="343"/>
      <c r="T141" s="343"/>
      <c r="U141" s="343"/>
      <c r="V141" s="343"/>
      <c r="W141" s="343"/>
      <c r="X141" s="343"/>
      <c r="Y141" s="343"/>
      <c r="Z141" s="343"/>
      <c r="AA141" s="343"/>
      <c r="AB141" s="343"/>
      <c r="AC141" s="343"/>
      <c r="AD141" s="343"/>
      <c r="AE141" s="343"/>
      <c r="AF141" s="343"/>
      <c r="AG141" s="343"/>
      <c r="AH141" s="343"/>
      <c r="AI141" s="343"/>
      <c r="AJ141" s="343"/>
      <c r="AK141" s="343"/>
      <c r="AL141" s="343"/>
      <c r="AM141" s="343"/>
      <c r="AN141" s="343"/>
      <c r="AO141" s="343"/>
      <c r="AP141" s="343"/>
      <c r="AQ141" s="607">
        <f>Financials!AQ130</f>
        <v>189.02199999999999</v>
      </c>
      <c r="AR141" s="317"/>
      <c r="AS141" s="1236">
        <f>Financials!AS130</f>
        <v>11.699000000000002</v>
      </c>
      <c r="AT141" s="607">
        <f>Financials!AT130</f>
        <v>11.342000000000001</v>
      </c>
      <c r="AU141" s="607">
        <f>Financials!AU130</f>
        <v>3.4279999999999999</v>
      </c>
      <c r="AV141" s="1237">
        <f>Financials!AV130</f>
        <v>7.7480000000000002</v>
      </c>
      <c r="AW141" s="607">
        <f>Financials!AW130</f>
        <v>7.7480000000000002</v>
      </c>
      <c r="AX141" s="1236">
        <f>Financials!AX130</f>
        <v>15.074999999999999</v>
      </c>
      <c r="AY141" s="607">
        <f>Financials!AY130</f>
        <v>2.5990000000000002</v>
      </c>
      <c r="AZ141" s="607">
        <f>Financials!AZ130</f>
        <v>3.0920000000000001</v>
      </c>
      <c r="BA141" s="1237">
        <f>Financials!BA130</f>
        <v>13.327999999999999</v>
      </c>
      <c r="BB141" s="607">
        <f>BA141</f>
        <v>13.327999999999999</v>
      </c>
      <c r="BC141" s="1236">
        <f>Financials!BC130</f>
        <v>16.965</v>
      </c>
      <c r="BD141" s="607">
        <f>Financials!BD130</f>
        <v>14.673</v>
      </c>
      <c r="BE141" s="607">
        <f>Financials!BE130</f>
        <v>357.62400000000002</v>
      </c>
      <c r="BF141" s="1237">
        <f>Financials!BF130</f>
        <v>651.82600000000002</v>
      </c>
      <c r="BG141" s="607">
        <f>BF141</f>
        <v>651.82600000000002</v>
      </c>
      <c r="BH141" s="1236">
        <f>Financials!BH130</f>
        <v>658.04</v>
      </c>
      <c r="BI141" s="607">
        <f>Financials!BI130</f>
        <v>907.10900000000004</v>
      </c>
      <c r="BJ141" s="607">
        <f>Financials!BJ130</f>
        <v>930.86500000000001</v>
      </c>
      <c r="BK141" s="1237">
        <f>Financials!BK130</f>
        <v>279.91199999999998</v>
      </c>
      <c r="BL141" s="607">
        <f>BK141</f>
        <v>279.91199999999998</v>
      </c>
      <c r="BM141" s="1236">
        <f>Financials!BM130</f>
        <v>292.38400000000001</v>
      </c>
      <c r="BN141" s="607">
        <f>Financials!BN130</f>
        <v>31.667999999999999</v>
      </c>
      <c r="BO141" s="607">
        <f>Financials!BO130</f>
        <v>38.203000000000003</v>
      </c>
      <c r="BP141" s="1237">
        <f>Financials!BP130</f>
        <v>32.502000000000002</v>
      </c>
      <c r="BQ141" s="607">
        <f>BP141</f>
        <v>32.502000000000002</v>
      </c>
      <c r="BR141" s="1236">
        <f>Financials!BR130</f>
        <v>30.372</v>
      </c>
      <c r="BS141" s="607">
        <f>Financials!BS130</f>
        <v>53.713999999999999</v>
      </c>
      <c r="BT141" s="607">
        <f>Financials!BT130</f>
        <v>57.400999999999996</v>
      </c>
      <c r="BU141" s="1237">
        <f>Financials!BU130</f>
        <v>223.81100000000001</v>
      </c>
      <c r="BV141" s="607">
        <f>BU141</f>
        <v>223.81100000000001</v>
      </c>
      <c r="BW141" s="1236">
        <f>Financials!BW130</f>
        <v>43.191000000000003</v>
      </c>
      <c r="BX141" s="607">
        <f>Financials!BX130</f>
        <v>50.963999999999999</v>
      </c>
      <c r="BY141" s="607">
        <f>Financials!BY130</f>
        <v>54.600999999999999</v>
      </c>
      <c r="BZ141" s="1237">
        <f>Financials!BZ130</f>
        <v>51.314999999999998</v>
      </c>
      <c r="CA141" s="607">
        <f>BZ141</f>
        <v>51.314999999999998</v>
      </c>
      <c r="CB141" s="1236">
        <f>Financials!CB130</f>
        <v>36.655000000000001</v>
      </c>
      <c r="CC141" s="607">
        <f>Financials!CC130</f>
        <v>19.951000000000001</v>
      </c>
      <c r="CD141" s="607">
        <f>Financials!CD130</f>
        <v>29.795000000000002</v>
      </c>
      <c r="CE141" s="1237">
        <f>Financials!CE130</f>
        <v>617.95899999999995</v>
      </c>
      <c r="CF141" s="607">
        <f>Financials!CF130</f>
        <v>617.95899999999995</v>
      </c>
      <c r="CG141" s="1283">
        <f>Financials!CG130</f>
        <v>648.15300000000002</v>
      </c>
      <c r="CH141" s="778">
        <f>Financials!CH130</f>
        <v>1139.1970000000001</v>
      </c>
      <c r="CI141" s="778">
        <f>Financials!CI130</f>
        <v>1150.3699999999999</v>
      </c>
      <c r="CJ141" s="1295">
        <f>Financials!CJ130</f>
        <v>552.83299999999997</v>
      </c>
      <c r="CK141" s="607">
        <f>Financials!CK130</f>
        <v>552.83299999999997</v>
      </c>
      <c r="CL141" s="1283">
        <f>Financials!CL130</f>
        <v>574.03600000000006</v>
      </c>
      <c r="CM141" s="681">
        <f>-SUM(CN135:CO135,DZ135:EA135)+CM13</f>
        <v>0</v>
      </c>
      <c r="CN141" s="681">
        <f>-SUM(CO135,DZ135:EB135)+CN13</f>
        <v>0</v>
      </c>
      <c r="CO141" s="1284">
        <f>-SUM(DZ135:EC135)+CO13</f>
        <v>0</v>
      </c>
      <c r="CP141" s="681">
        <f>CO141</f>
        <v>0</v>
      </c>
      <c r="CQ141" s="1281">
        <f>-SUM(CR135:CT135,EF135)+CQ13</f>
        <v>0</v>
      </c>
      <c r="CR141" s="681">
        <f>-SUM(CS135:CT135,EF135:EG135)+CR13</f>
        <v>0</v>
      </c>
      <c r="CS141" s="681">
        <f>-SUM(CT135,EF135:EH135)+CS13</f>
        <v>0</v>
      </c>
      <c r="CT141" s="1284">
        <f>-SUM(EF135:EI135)+CT13</f>
        <v>0</v>
      </c>
      <c r="CU141" s="681">
        <f>CT141</f>
        <v>0</v>
      </c>
      <c r="CV141" s="1281">
        <f>-SUM(CW135:CY135,EL135)+CV13</f>
        <v>0</v>
      </c>
      <c r="CW141" s="681">
        <f>-SUM(CX135:CY135,EL135:EM135)+CW13</f>
        <v>0</v>
      </c>
      <c r="CX141" s="681">
        <f>-SUM(CY135,EL135:EN135)+CX13</f>
        <v>0</v>
      </c>
      <c r="CY141" s="1284">
        <f>-SUM(EL135:EO135)+CY13</f>
        <v>0</v>
      </c>
      <c r="CZ141" s="681">
        <f>CY141</f>
        <v>0</v>
      </c>
    </row>
    <row r="142" spans="1:104" ht="13.5" customHeight="1" outlineLevel="1">
      <c r="A142" s="343"/>
      <c r="B142" s="343" t="s">
        <v>553</v>
      </c>
      <c r="C142" s="343"/>
      <c r="D142" s="307"/>
      <c r="E142" s="307"/>
      <c r="F142" s="343"/>
      <c r="G142" s="343"/>
      <c r="H142" s="343"/>
      <c r="I142" s="343"/>
      <c r="J142" s="343"/>
      <c r="K142" s="343"/>
      <c r="L142" s="343"/>
      <c r="M142" s="343"/>
      <c r="N142" s="343"/>
      <c r="O142" s="343"/>
      <c r="P142" s="343"/>
      <c r="Q142" s="343"/>
      <c r="R142" s="343"/>
      <c r="S142" s="343"/>
      <c r="T142" s="343"/>
      <c r="U142" s="343"/>
      <c r="V142" s="343"/>
      <c r="W142" s="343"/>
      <c r="X142" s="343"/>
      <c r="Y142" s="343"/>
      <c r="Z142" s="343"/>
      <c r="AA142" s="343"/>
      <c r="AB142" s="343"/>
      <c r="AC142" s="343"/>
      <c r="AD142" s="343"/>
      <c r="AE142" s="343"/>
      <c r="AF142" s="343"/>
      <c r="AG142" s="343"/>
      <c r="AH142" s="343"/>
      <c r="AI142" s="343"/>
      <c r="AJ142" s="343"/>
      <c r="AK142" s="343"/>
      <c r="AL142" s="343"/>
      <c r="AM142" s="343"/>
      <c r="AN142" s="343"/>
      <c r="AO142" s="343"/>
      <c r="AP142" s="343"/>
      <c r="AQ142" s="607">
        <f>Financials!AQ136</f>
        <v>3086.2</v>
      </c>
      <c r="AR142" s="317"/>
      <c r="AS142" s="1236">
        <f>Financials!AS136</f>
        <v>3086.2</v>
      </c>
      <c r="AT142" s="607">
        <f>Financials!AT136</f>
        <v>3086.2</v>
      </c>
      <c r="AU142" s="607">
        <f>Financials!AU136</f>
        <v>3086.2</v>
      </c>
      <c r="AV142" s="1237">
        <f>Financials!AV136</f>
        <v>3080.2</v>
      </c>
      <c r="AW142" s="607">
        <f>Financials!AW136</f>
        <v>3080.2</v>
      </c>
      <c r="AX142" s="1236">
        <f>Financials!AX136</f>
        <v>3080.2</v>
      </c>
      <c r="AY142" s="607">
        <f>Financials!AY136</f>
        <v>3080.2</v>
      </c>
      <c r="AZ142" s="607">
        <f>Financials!AZ136</f>
        <v>3680.2</v>
      </c>
      <c r="BA142" s="1237">
        <f>Financials!BA136</f>
        <v>4280.2</v>
      </c>
      <c r="BB142" s="607">
        <f>BB117-BB141</f>
        <v>4280.2</v>
      </c>
      <c r="BC142" s="1236">
        <f>Financials!BC136</f>
        <v>4280.2</v>
      </c>
      <c r="BD142" s="607">
        <f>Financials!BD136</f>
        <v>4280.2</v>
      </c>
      <c r="BE142" s="607">
        <f>Financials!BE136</f>
        <v>3930.2</v>
      </c>
      <c r="BF142" s="1237">
        <f>Financials!BF136</f>
        <v>3630.2</v>
      </c>
      <c r="BG142" s="607">
        <f>BG117-BG141</f>
        <v>3628.3739999999998</v>
      </c>
      <c r="BH142" s="1236">
        <f>Financials!BH136</f>
        <v>3630.2</v>
      </c>
      <c r="BI142" s="607">
        <f>Financials!BI136</f>
        <v>3380.2</v>
      </c>
      <c r="BJ142" s="607">
        <f>Financials!BJ136</f>
        <v>3380.2</v>
      </c>
      <c r="BK142" s="1237">
        <f>Financials!BK136</f>
        <v>3380.2</v>
      </c>
      <c r="BL142" s="607">
        <f>BL117-BL141</f>
        <v>3350.288</v>
      </c>
      <c r="BM142" s="1236">
        <f>Financials!BM136</f>
        <v>3380.2</v>
      </c>
      <c r="BN142" s="607">
        <f>Financials!BN136</f>
        <v>3380.2</v>
      </c>
      <c r="BO142" s="607">
        <f>Financials!BO136</f>
        <v>4380.2</v>
      </c>
      <c r="BP142" s="1237">
        <f>Financials!BP136</f>
        <v>4376.8999999999996</v>
      </c>
      <c r="BQ142" s="607">
        <f>BQ117-BQ141</f>
        <v>4347.6979999999994</v>
      </c>
      <c r="BR142" s="1236">
        <f>Financials!BR136</f>
        <v>4376.8999999999996</v>
      </c>
      <c r="BS142" s="607">
        <f>Financials!BS136</f>
        <v>4368.8999999999996</v>
      </c>
      <c r="BT142" s="607">
        <f>Financials!BT136</f>
        <v>4360.6000000000004</v>
      </c>
      <c r="BU142" s="1237">
        <f>Financials!BU136</f>
        <v>4360.6000000000004</v>
      </c>
      <c r="BV142" s="607">
        <f>BV117-BV141</f>
        <v>4156.3890000000001</v>
      </c>
      <c r="BW142" s="1236">
        <f>Financials!BW136</f>
        <v>4360.6000000000004</v>
      </c>
      <c r="BX142" s="607">
        <f>Financials!BX136</f>
        <v>4360.6000000000004</v>
      </c>
      <c r="BY142" s="607">
        <f>Financials!BY136</f>
        <v>4360.6000000000004</v>
      </c>
      <c r="BZ142" s="1237">
        <f>Financials!BZ136</f>
        <v>4360.6000000000004</v>
      </c>
      <c r="CA142" s="607">
        <f>CA117-CA141</f>
        <v>4325.62</v>
      </c>
      <c r="CB142" s="1236">
        <f>Financials!CB136</f>
        <v>4337.875</v>
      </c>
      <c r="CC142" s="607">
        <f>Financials!CC136</f>
        <v>4337.5609999999997</v>
      </c>
      <c r="CD142" s="607">
        <f>Financials!CD136</f>
        <v>4338.3469999999998</v>
      </c>
      <c r="CE142" s="1237">
        <f>Financials!CE136</f>
        <v>3739.1410000000001</v>
      </c>
      <c r="CF142" s="607">
        <f>Financials!CF136</f>
        <v>3739.1410000000001</v>
      </c>
      <c r="CG142" s="1283">
        <f>Financials!CG136</f>
        <v>3739.9079999999999</v>
      </c>
      <c r="CH142" s="778">
        <f>Financials!CH136</f>
        <v>3240.694</v>
      </c>
      <c r="CI142" s="778">
        <f>Financials!CI136</f>
        <v>3241.4879999999998</v>
      </c>
      <c r="CJ142" s="1295">
        <f>Financials!CJ136</f>
        <v>3242.2420000000002</v>
      </c>
      <c r="CK142" s="607">
        <f>Financials!CK136</f>
        <v>3242.2420000000002</v>
      </c>
      <c r="CL142" s="1283">
        <f>Financials!CL136</f>
        <v>3242.8649999999998</v>
      </c>
      <c r="CM142" s="681">
        <f t="shared" ref="CM142:CZ142" si="5">CM117-CM141</f>
        <v>4360.6000000000004</v>
      </c>
      <c r="CN142" s="681">
        <f t="shared" si="5"/>
        <v>4360.6000000000004</v>
      </c>
      <c r="CO142" s="1284">
        <f t="shared" si="5"/>
        <v>4360.6000000000004</v>
      </c>
      <c r="CP142" s="681">
        <f t="shared" si="5"/>
        <v>4360.6000000000004</v>
      </c>
      <c r="CQ142" s="1281">
        <f t="shared" si="5"/>
        <v>4360.6000000000004</v>
      </c>
      <c r="CR142" s="681">
        <f t="shared" si="5"/>
        <v>4360.6000000000004</v>
      </c>
      <c r="CS142" s="681">
        <f t="shared" si="5"/>
        <v>4360.6000000000004</v>
      </c>
      <c r="CT142" s="1284">
        <f t="shared" si="5"/>
        <v>4360.6000000000004</v>
      </c>
      <c r="CU142" s="681">
        <f t="shared" si="5"/>
        <v>4360.6000000000004</v>
      </c>
      <c r="CV142" s="1281">
        <f t="shared" si="5"/>
        <v>4360.6000000000004</v>
      </c>
      <c r="CW142" s="681">
        <f t="shared" si="5"/>
        <v>4360.6000000000004</v>
      </c>
      <c r="CX142" s="681">
        <f t="shared" si="5"/>
        <v>4360.6000000000004</v>
      </c>
      <c r="CY142" s="1284">
        <f t="shared" si="5"/>
        <v>4360.6000000000004</v>
      </c>
      <c r="CZ142" s="681">
        <f t="shared" si="5"/>
        <v>4360.6000000000004</v>
      </c>
    </row>
    <row r="143" spans="1:104" ht="6.2" customHeight="1" outlineLevel="1">
      <c r="A143" s="347"/>
      <c r="B143" s="347"/>
      <c r="C143" s="343"/>
      <c r="D143" s="307"/>
      <c r="E143" s="307"/>
      <c r="F143" s="343"/>
      <c r="G143" s="343"/>
      <c r="H143" s="343"/>
      <c r="I143" s="343"/>
      <c r="J143" s="343"/>
      <c r="K143" s="343"/>
      <c r="L143" s="343"/>
      <c r="M143" s="343"/>
      <c r="N143" s="343"/>
      <c r="O143" s="343"/>
      <c r="P143" s="343"/>
      <c r="Q143" s="343"/>
      <c r="R143" s="343"/>
      <c r="S143" s="343"/>
      <c r="T143" s="343"/>
      <c r="U143" s="343"/>
      <c r="V143" s="343"/>
      <c r="W143" s="343"/>
      <c r="X143" s="343"/>
      <c r="Y143" s="343"/>
      <c r="Z143" s="343"/>
      <c r="AA143" s="343"/>
      <c r="AB143" s="343"/>
      <c r="AC143" s="343"/>
      <c r="AD143" s="343"/>
      <c r="AE143" s="343"/>
      <c r="AF143" s="343"/>
      <c r="AG143" s="343"/>
      <c r="AH143" s="343"/>
      <c r="AI143" s="343"/>
      <c r="AJ143" s="343"/>
      <c r="AK143" s="343"/>
      <c r="AL143" s="343"/>
      <c r="AM143" s="343"/>
      <c r="AN143" s="343"/>
      <c r="AO143" s="343"/>
      <c r="AP143" s="343"/>
      <c r="AQ143" s="346"/>
      <c r="AR143" s="346"/>
      <c r="AS143" s="1250"/>
      <c r="AT143" s="346"/>
      <c r="AU143" s="346"/>
      <c r="AV143" s="1251"/>
      <c r="AW143" s="346"/>
      <c r="AX143" s="1250"/>
      <c r="AY143" s="346"/>
      <c r="AZ143" s="346"/>
      <c r="BA143" s="1251"/>
      <c r="BB143" s="346"/>
      <c r="BC143" s="1250"/>
      <c r="BD143" s="346"/>
      <c r="BE143" s="346"/>
      <c r="BF143" s="1251"/>
      <c r="BG143" s="346"/>
      <c r="BH143" s="1250"/>
      <c r="BI143" s="346"/>
      <c r="BJ143" s="346"/>
      <c r="BK143" s="1251"/>
      <c r="BL143" s="346"/>
      <c r="BM143" s="1250"/>
      <c r="BN143" s="346"/>
      <c r="BO143" s="346"/>
      <c r="BP143" s="1251"/>
      <c r="BQ143" s="346"/>
      <c r="BR143" s="1250"/>
      <c r="BS143" s="346"/>
      <c r="BT143" s="346"/>
      <c r="BU143" s="1251"/>
      <c r="BV143" s="346"/>
      <c r="BW143" s="1250"/>
      <c r="BX143" s="346"/>
      <c r="BY143" s="346"/>
      <c r="BZ143" s="1251"/>
      <c r="CA143" s="346"/>
      <c r="CB143" s="1250"/>
      <c r="CC143" s="346"/>
      <c r="CD143" s="346"/>
      <c r="CE143" s="1247"/>
      <c r="CF143" s="609"/>
      <c r="CG143" s="1246"/>
      <c r="CH143" s="609"/>
      <c r="CI143" s="346"/>
      <c r="CJ143" s="1247"/>
      <c r="CK143" s="609"/>
      <c r="CL143" s="1250"/>
      <c r="CM143" s="346"/>
      <c r="CN143" s="346"/>
      <c r="CO143" s="1251"/>
      <c r="CP143" s="346"/>
      <c r="CQ143" s="1250"/>
      <c r="CR143" s="346"/>
      <c r="CS143" s="346"/>
      <c r="CT143" s="1251"/>
      <c r="CU143" s="346"/>
      <c r="CV143" s="1250"/>
      <c r="CW143" s="346"/>
      <c r="CX143" s="346"/>
      <c r="CY143" s="1251"/>
      <c r="CZ143" s="346"/>
    </row>
    <row r="144" spans="1:104" ht="6.2" customHeight="1" outlineLevel="1">
      <c r="A144" s="352"/>
      <c r="B144" s="352"/>
      <c r="C144" s="352"/>
      <c r="D144" s="353"/>
      <c r="E144" s="353"/>
      <c r="F144" s="352"/>
      <c r="G144" s="352"/>
      <c r="H144" s="352"/>
      <c r="I144" s="352"/>
      <c r="J144" s="352"/>
      <c r="K144" s="352"/>
      <c r="L144" s="352"/>
      <c r="M144" s="352"/>
      <c r="N144" s="352"/>
      <c r="O144" s="352"/>
      <c r="P144" s="352"/>
      <c r="Q144" s="352"/>
      <c r="R144" s="352"/>
      <c r="S144" s="352"/>
      <c r="T144" s="352"/>
      <c r="U144" s="352"/>
      <c r="V144" s="352"/>
      <c r="W144" s="352"/>
      <c r="X144" s="352"/>
      <c r="Y144" s="352"/>
      <c r="Z144" s="352"/>
      <c r="AA144" s="352"/>
      <c r="AB144" s="352"/>
      <c r="AC144" s="352"/>
      <c r="AD144" s="352"/>
      <c r="AE144" s="352"/>
      <c r="AF144" s="352"/>
      <c r="AG144" s="352"/>
      <c r="AH144" s="352"/>
      <c r="AI144" s="352"/>
      <c r="AJ144" s="352"/>
      <c r="AK144" s="352"/>
      <c r="AL144" s="352"/>
      <c r="AM144" s="352"/>
      <c r="AN144" s="352"/>
      <c r="AO144" s="352"/>
      <c r="AP144" s="352"/>
      <c r="AQ144" s="352"/>
      <c r="AR144" s="352"/>
      <c r="AS144" s="1232"/>
      <c r="AT144" s="317"/>
      <c r="AU144" s="1252"/>
      <c r="AV144" s="1253"/>
      <c r="AW144" s="352"/>
      <c r="AX144" s="1256"/>
      <c r="AY144" s="1252"/>
      <c r="AZ144" s="1252"/>
      <c r="BA144" s="1253"/>
      <c r="BB144" s="352"/>
      <c r="BC144" s="1256"/>
      <c r="BD144" s="1252"/>
      <c r="BE144" s="1252"/>
      <c r="BF144" s="1253"/>
      <c r="BG144" s="352"/>
      <c r="BH144" s="1256"/>
      <c r="BI144" s="1252"/>
      <c r="BJ144" s="1252"/>
      <c r="BK144" s="1253"/>
      <c r="BL144" s="352"/>
      <c r="BM144" s="1256"/>
      <c r="BN144" s="1252"/>
      <c r="BO144" s="1252"/>
      <c r="BP144" s="1253"/>
      <c r="BQ144" s="352"/>
      <c r="BR144" s="1256"/>
      <c r="BS144" s="1252"/>
      <c r="BT144" s="1252"/>
      <c r="BU144" s="1253"/>
      <c r="BV144" s="352"/>
      <c r="BW144" s="1256"/>
      <c r="BX144" s="1252"/>
      <c r="BY144" s="1252"/>
      <c r="BZ144" s="1253"/>
      <c r="CA144" s="352"/>
      <c r="CB144" s="1256"/>
      <c r="CC144" s="1252"/>
      <c r="CD144" s="1252"/>
      <c r="CE144" s="1253"/>
      <c r="CF144" s="352"/>
      <c r="CG144" s="1256"/>
      <c r="CH144" s="1252"/>
      <c r="CI144" s="1252"/>
      <c r="CJ144" s="1253"/>
      <c r="CK144" s="352"/>
      <c r="CL144" s="1256"/>
      <c r="CM144" s="1252"/>
      <c r="CN144" s="1252"/>
      <c r="CO144" s="1253"/>
      <c r="CP144" s="352"/>
      <c r="CQ144" s="1256"/>
      <c r="CR144" s="1252"/>
      <c r="CS144" s="1252"/>
      <c r="CT144" s="1253"/>
      <c r="CU144" s="352"/>
      <c r="CV144" s="1256"/>
      <c r="CW144" s="1252"/>
      <c r="CX144" s="1252"/>
      <c r="CY144" s="1253"/>
      <c r="CZ144" s="352"/>
    </row>
    <row r="145" spans="1:104" ht="13.5" customHeight="1" outlineLevel="1">
      <c r="A145" s="343"/>
      <c r="B145" s="347" t="s">
        <v>573</v>
      </c>
      <c r="C145" s="343"/>
      <c r="D145" s="307"/>
      <c r="E145" s="307"/>
      <c r="F145" s="343"/>
      <c r="G145" s="343"/>
      <c r="H145" s="343"/>
      <c r="I145" s="343"/>
      <c r="J145" s="343"/>
      <c r="K145" s="343"/>
      <c r="L145" s="343"/>
      <c r="M145" s="343"/>
      <c r="N145" s="343"/>
      <c r="O145" s="343"/>
      <c r="P145" s="343"/>
      <c r="Q145" s="343"/>
      <c r="R145" s="343"/>
      <c r="S145" s="343"/>
      <c r="T145" s="343"/>
      <c r="U145" s="343"/>
      <c r="V145" s="343"/>
      <c r="W145" s="343"/>
      <c r="X145" s="343"/>
      <c r="Y145" s="343"/>
      <c r="Z145" s="343"/>
      <c r="AA145" s="343"/>
      <c r="AB145" s="343"/>
      <c r="AC145" s="343"/>
      <c r="AD145" s="343"/>
      <c r="AE145" s="343"/>
      <c r="AF145" s="343"/>
      <c r="AG145" s="343"/>
      <c r="AH145" s="343"/>
      <c r="AI145" s="343"/>
      <c r="AJ145" s="343"/>
      <c r="AK145" s="343"/>
      <c r="AL145" s="343"/>
      <c r="AM145" s="343"/>
      <c r="AN145" s="343"/>
      <c r="AO145" s="343"/>
      <c r="AP145" s="343"/>
      <c r="AQ145" s="317"/>
      <c r="AR145" s="317"/>
      <c r="AS145" s="1232"/>
      <c r="AT145" s="317"/>
      <c r="AU145" s="317"/>
      <c r="AV145" s="1233"/>
      <c r="AW145" s="317"/>
      <c r="AX145" s="1232"/>
      <c r="AY145" s="317"/>
      <c r="AZ145" s="317"/>
      <c r="BA145" s="1233"/>
      <c r="BB145" s="317"/>
      <c r="BC145" s="1232"/>
      <c r="BD145" s="317"/>
      <c r="BE145" s="317"/>
      <c r="BF145" s="1233"/>
      <c r="BG145" s="317"/>
      <c r="BH145" s="1232"/>
      <c r="BI145" s="317"/>
      <c r="BJ145" s="317"/>
      <c r="BK145" s="1233"/>
      <c r="BL145" s="317"/>
      <c r="BM145" s="1232"/>
      <c r="BN145" s="317"/>
      <c r="BO145" s="317"/>
      <c r="BP145" s="1233"/>
      <c r="BQ145" s="317"/>
      <c r="BR145" s="1232"/>
      <c r="BS145" s="317"/>
      <c r="BT145" s="317"/>
      <c r="BU145" s="1233"/>
      <c r="BV145" s="317"/>
      <c r="BW145" s="1232"/>
      <c r="BX145" s="317"/>
      <c r="BY145" s="317"/>
      <c r="BZ145" s="1233"/>
      <c r="CA145" s="317"/>
      <c r="CB145" s="1232"/>
      <c r="CC145" s="317"/>
      <c r="CD145" s="317"/>
      <c r="CE145" s="1237"/>
      <c r="CF145" s="607"/>
      <c r="CG145" s="1236"/>
      <c r="CH145" s="607"/>
      <c r="CI145" s="317"/>
      <c r="CJ145" s="1237"/>
      <c r="CK145" s="607"/>
      <c r="CL145" s="1232"/>
      <c r="CM145" s="317"/>
      <c r="CN145" s="317"/>
      <c r="CO145" s="1233"/>
      <c r="CP145" s="317"/>
      <c r="CQ145" s="1232"/>
      <c r="CR145" s="317"/>
      <c r="CS145" s="317"/>
      <c r="CT145" s="1233"/>
      <c r="CU145" s="317"/>
      <c r="CV145" s="1232"/>
      <c r="CW145" s="317"/>
      <c r="CX145" s="317"/>
      <c r="CY145" s="1233"/>
      <c r="CZ145" s="317"/>
    </row>
    <row r="146" spans="1:104" ht="13.5" customHeight="1" outlineLevel="1">
      <c r="A146" s="350"/>
      <c r="B146" s="350" t="s">
        <v>297</v>
      </c>
      <c r="C146" s="350"/>
      <c r="D146" s="304"/>
      <c r="E146" s="304"/>
      <c r="F146" s="350"/>
      <c r="G146" s="350"/>
      <c r="H146" s="350"/>
      <c r="I146" s="350"/>
      <c r="J146" s="350"/>
      <c r="K146" s="350"/>
      <c r="L146" s="350"/>
      <c r="M146" s="350"/>
      <c r="N146" s="350"/>
      <c r="O146" s="350"/>
      <c r="P146" s="350"/>
      <c r="Q146" s="350"/>
      <c r="R146" s="350"/>
      <c r="S146" s="350"/>
      <c r="T146" s="350"/>
      <c r="U146" s="350"/>
      <c r="V146" s="350"/>
      <c r="W146" s="350"/>
      <c r="X146" s="350"/>
      <c r="Y146" s="350"/>
      <c r="Z146" s="350"/>
      <c r="AA146" s="350"/>
      <c r="AB146" s="350"/>
      <c r="AC146" s="350"/>
      <c r="AD146" s="350"/>
      <c r="AE146" s="350"/>
      <c r="AF146" s="350"/>
      <c r="AG146" s="350"/>
      <c r="AH146" s="350"/>
      <c r="AI146" s="350"/>
      <c r="AJ146" s="350"/>
      <c r="AK146" s="350"/>
      <c r="AL146" s="350"/>
      <c r="AM146" s="350"/>
      <c r="AN146" s="350"/>
      <c r="AO146" s="350"/>
      <c r="AP146" s="350"/>
      <c r="AQ146" s="354"/>
      <c r="AR146" s="354"/>
      <c r="AS146" s="1254">
        <f>AS119</f>
        <v>39.078219171803276</v>
      </c>
      <c r="AT146" s="610">
        <f>AT74+AT66+AT50+AT42+AT34+AT26+AT15+AT90</f>
        <v>34.62750700655738</v>
      </c>
      <c r="AU146" s="610">
        <f>AU74+AU66+AU50+AU42+AU34+AU26+AU15+AU90</f>
        <v>34.608023718593749</v>
      </c>
      <c r="AV146" s="1255">
        <f>AV74+AV66+AV50+AV42+AV34+AV26+AV15+AV90</f>
        <v>34.552161987377048</v>
      </c>
      <c r="AW146" s="610">
        <f>SUM(AS146:AV146)</f>
        <v>142.86591188433147</v>
      </c>
      <c r="AX146" s="1254">
        <f>AX119</f>
        <v>37.678687257213113</v>
      </c>
      <c r="AY146" s="610">
        <f>AY119</f>
        <v>37.782445471885246</v>
      </c>
      <c r="AZ146" s="610">
        <f>AZ119</f>
        <v>40.84519298188679</v>
      </c>
      <c r="BA146" s="1255">
        <f>BA119</f>
        <v>43.847116914999994</v>
      </c>
      <c r="BB146" s="610">
        <f>SUM(AX146:BA146)</f>
        <v>160.15344262598512</v>
      </c>
      <c r="BC146" s="1254">
        <f>BC119</f>
        <v>43.864887696311094</v>
      </c>
      <c r="BD146" s="610">
        <f>BD119</f>
        <v>44.003167464999997</v>
      </c>
      <c r="BE146" s="610">
        <f>BE119</f>
        <v>43.992807714999998</v>
      </c>
      <c r="BF146" s="1255">
        <f>BF119</f>
        <v>44.438352264999999</v>
      </c>
      <c r="BG146" s="610">
        <f>SUM(BC146:BF146)</f>
        <v>176.29921514131109</v>
      </c>
      <c r="BH146" s="1254">
        <f>BH119</f>
        <v>44.438352264999999</v>
      </c>
      <c r="BI146" s="610">
        <f>BI119</f>
        <v>44.438352264999999</v>
      </c>
      <c r="BJ146" s="610">
        <f>BJ119</f>
        <v>44.438352264999999</v>
      </c>
      <c r="BK146" s="1255">
        <f>BK119</f>
        <v>40.430539764999999</v>
      </c>
      <c r="BL146" s="610">
        <f>SUM(BH146:BK146)</f>
        <v>173.74559656</v>
      </c>
      <c r="BM146" s="1254">
        <f>BM119</f>
        <v>36.937827265000003</v>
      </c>
      <c r="BN146" s="610">
        <f>BN119</f>
        <v>35.375327265000003</v>
      </c>
      <c r="BO146" s="610">
        <f>BO119</f>
        <v>39.562827265000003</v>
      </c>
      <c r="BP146" s="1255">
        <f>BP119</f>
        <v>45.312827265000003</v>
      </c>
      <c r="BQ146" s="610">
        <f>SUM(BM146:BP146)</f>
        <v>157.18880906000001</v>
      </c>
      <c r="BR146" s="1254">
        <f>BR119</f>
        <v>45.312827265000003</v>
      </c>
      <c r="BS146" s="610">
        <f>BS119</f>
        <v>45.312827265000003</v>
      </c>
      <c r="BT146" s="610">
        <f>BT119</f>
        <v>45.312827265000003</v>
      </c>
      <c r="BU146" s="1255">
        <f>BU119</f>
        <v>45.312827265000003</v>
      </c>
      <c r="BV146" s="610">
        <f>SUM(BR146:BU146)</f>
        <v>181.25130906000001</v>
      </c>
      <c r="BW146" s="1254">
        <f>BW119</f>
        <v>45.312827265000003</v>
      </c>
      <c r="BX146" s="610">
        <f>BX119</f>
        <v>45.312827265000003</v>
      </c>
      <c r="BY146" s="610">
        <f>BY119</f>
        <v>45.312827265000003</v>
      </c>
      <c r="BZ146" s="1255">
        <f>BZ119</f>
        <v>45.310786517562498</v>
      </c>
      <c r="CA146" s="610">
        <f>SUM(BW146:BZ146)</f>
        <v>181.24926831256249</v>
      </c>
      <c r="CB146" s="1254">
        <f>CB119</f>
        <v>45.308745770125</v>
      </c>
      <c r="CC146" s="610">
        <f>CC119</f>
        <v>45.308745770125</v>
      </c>
      <c r="CD146" s="610">
        <f>CD119</f>
        <v>45.308745770125</v>
      </c>
      <c r="CE146" s="1255">
        <f>CE119</f>
        <v>45.298535782562503</v>
      </c>
      <c r="CF146" s="610">
        <f>SUM(CB146:CE146)</f>
        <v>181.22477309293751</v>
      </c>
      <c r="CG146" s="1254">
        <f>CG119</f>
        <v>45.288325794999999</v>
      </c>
      <c r="CH146" s="610">
        <f>CH119</f>
        <v>45.288325794999999</v>
      </c>
      <c r="CI146" s="610">
        <f>CI119</f>
        <v>45.288325794999999</v>
      </c>
      <c r="CJ146" s="1255">
        <f>CJ119</f>
        <v>45.288325794999999</v>
      </c>
      <c r="CK146" s="610">
        <f>SUM(CG146:CJ146)</f>
        <v>181.15330317999999</v>
      </c>
      <c r="CL146" s="1254">
        <f>CL119</f>
        <v>45.288325794999999</v>
      </c>
      <c r="CM146" s="610">
        <f>CM119</f>
        <v>45.288325794999999</v>
      </c>
      <c r="CN146" s="610">
        <f>CN119</f>
        <v>45.288325794999999</v>
      </c>
      <c r="CO146" s="1255">
        <f>CO119</f>
        <v>45.288325794999999</v>
      </c>
      <c r="CP146" s="610">
        <f>SUM(CL146:CO146)</f>
        <v>181.15330317999999</v>
      </c>
      <c r="CQ146" s="1254">
        <f>CQ119</f>
        <v>45.288325794999999</v>
      </c>
      <c r="CR146" s="610">
        <f>CR119</f>
        <v>45.288325794999999</v>
      </c>
      <c r="CS146" s="610">
        <f>CS119</f>
        <v>45.288325794999999</v>
      </c>
      <c r="CT146" s="1255">
        <f>CT119</f>
        <v>45.288325794999999</v>
      </c>
      <c r="CU146" s="610">
        <f>SUM(CQ146:CT146)</f>
        <v>181.15330317999999</v>
      </c>
      <c r="CV146" s="1254">
        <f>CV119</f>
        <v>45.288325794999999</v>
      </c>
      <c r="CW146" s="610">
        <f>CW119</f>
        <v>45.288325794999999</v>
      </c>
      <c r="CX146" s="610">
        <f>CX119</f>
        <v>45.288325794999999</v>
      </c>
      <c r="CY146" s="1255">
        <f>CY119</f>
        <v>45.288325794999999</v>
      </c>
      <c r="CZ146" s="610">
        <f>SUM(CV146:CY146)</f>
        <v>181.15330317999999</v>
      </c>
    </row>
    <row r="147" spans="1:104" ht="6.2" customHeight="1" outlineLevel="1">
      <c r="A147" s="352"/>
      <c r="B147" s="352"/>
      <c r="C147" s="352"/>
      <c r="D147" s="353"/>
      <c r="E147" s="353"/>
      <c r="F147" s="352"/>
      <c r="G147" s="352"/>
      <c r="H147" s="352"/>
      <c r="I147" s="352"/>
      <c r="J147" s="352"/>
      <c r="K147" s="352"/>
      <c r="L147" s="352"/>
      <c r="M147" s="352"/>
      <c r="N147" s="352"/>
      <c r="O147" s="352"/>
      <c r="P147" s="352"/>
      <c r="Q147" s="352"/>
      <c r="R147" s="352"/>
      <c r="S147" s="352"/>
      <c r="T147" s="352"/>
      <c r="U147" s="352"/>
      <c r="V147" s="352"/>
      <c r="W147" s="352"/>
      <c r="X147" s="352"/>
      <c r="Y147" s="352"/>
      <c r="Z147" s="352"/>
      <c r="AA147" s="352"/>
      <c r="AB147" s="352"/>
      <c r="AC147" s="352"/>
      <c r="AD147" s="352"/>
      <c r="AE147" s="352"/>
      <c r="AF147" s="352"/>
      <c r="AG147" s="352"/>
      <c r="AH147" s="352"/>
      <c r="AI147" s="352"/>
      <c r="AJ147" s="352"/>
      <c r="AK147" s="352"/>
      <c r="AL147" s="352"/>
      <c r="AM147" s="352"/>
      <c r="AN147" s="352"/>
      <c r="AO147" s="352"/>
      <c r="AP147" s="352"/>
      <c r="AQ147" s="352"/>
      <c r="AR147" s="352"/>
      <c r="AS147" s="1256"/>
      <c r="AT147" s="1252"/>
      <c r="AU147" s="1252"/>
      <c r="AV147" s="1253"/>
      <c r="AW147" s="352"/>
      <c r="AX147" s="1256"/>
      <c r="AY147" s="1252"/>
      <c r="AZ147" s="1252"/>
      <c r="BA147" s="1253"/>
      <c r="BB147" s="352"/>
      <c r="BC147" s="1256"/>
      <c r="BD147" s="1252"/>
      <c r="BE147" s="1252"/>
      <c r="BF147" s="1253"/>
      <c r="BG147" s="352"/>
      <c r="BH147" s="1256"/>
      <c r="BI147" s="1252"/>
      <c r="BJ147" s="1252"/>
      <c r="BK147" s="1253"/>
      <c r="BL147" s="352"/>
      <c r="BM147" s="1256"/>
      <c r="BN147" s="1252"/>
      <c r="BO147" s="1252"/>
      <c r="BP147" s="1253"/>
      <c r="BQ147" s="352"/>
      <c r="BR147" s="1256"/>
      <c r="BS147" s="1252"/>
      <c r="BT147" s="1252"/>
      <c r="BU147" s="1253"/>
      <c r="BV147" s="352"/>
      <c r="BW147" s="1256"/>
      <c r="BX147" s="1252"/>
      <c r="BY147" s="1252"/>
      <c r="BZ147" s="1253"/>
      <c r="CA147" s="352"/>
      <c r="CB147" s="1256"/>
      <c r="CC147" s="1252"/>
      <c r="CD147" s="1252"/>
      <c r="CE147" s="1253"/>
      <c r="CF147" s="352"/>
      <c r="CG147" s="1256"/>
      <c r="CH147" s="1252"/>
      <c r="CI147" s="1252"/>
      <c r="CJ147" s="1253"/>
      <c r="CK147" s="352"/>
      <c r="CL147" s="1256"/>
      <c r="CM147" s="1252"/>
      <c r="CN147" s="1252"/>
      <c r="CO147" s="1253"/>
      <c r="CP147" s="352"/>
      <c r="CQ147" s="1256"/>
      <c r="CR147" s="1252"/>
      <c r="CS147" s="1252"/>
      <c r="CT147" s="1253"/>
      <c r="CU147" s="352"/>
      <c r="CV147" s="1256"/>
      <c r="CW147" s="1252"/>
      <c r="CX147" s="1252"/>
      <c r="CY147" s="1253"/>
      <c r="CZ147" s="352"/>
    </row>
    <row r="148" spans="1:104" ht="13.5" customHeight="1" outlineLevel="1">
      <c r="A148" s="352"/>
      <c r="B148" s="12" t="s">
        <v>190</v>
      </c>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352"/>
      <c r="AQ148" s="352"/>
      <c r="AR148" s="352"/>
      <c r="AS148" s="1257">
        <f>Financials!AS206+Financials!AS214</f>
        <v>-118.20599999999999</v>
      </c>
      <c r="AT148" s="13">
        <f>Financials!AT206+Financials!AT214</f>
        <v>440.89400000000001</v>
      </c>
      <c r="AU148" s="13">
        <f>Financials!AU206+Financials!AU214</f>
        <v>244.70799999999991</v>
      </c>
      <c r="AV148" s="1258">
        <f>Financials!AV206+Financials!AV214</f>
        <v>139.48900000000003</v>
      </c>
      <c r="AW148" s="13">
        <f>SUM(AS148:AV148)</f>
        <v>706.88499999999999</v>
      </c>
      <c r="AX148" s="1257">
        <f>Financials!AX206+Financials!AX214</f>
        <v>-141.47799999999995</v>
      </c>
      <c r="AY148" s="13">
        <f>Financials!AY206+Financials!AY214</f>
        <v>-717.20600000000013</v>
      </c>
      <c r="AZ148" s="13">
        <f>Financials!AZ206+Financials!AZ214</f>
        <v>411.80499999999995</v>
      </c>
      <c r="BA148" s="1258">
        <f>Financials!BA206+Financials!BA214</f>
        <v>-13.457999999999743</v>
      </c>
      <c r="BB148" s="13">
        <f>SUM(AX148:BA148)</f>
        <v>-460.33699999999988</v>
      </c>
      <c r="BC148" s="1257">
        <f>Financials!BC206+Financials!BC214</f>
        <v>-47.081999999999937</v>
      </c>
      <c r="BD148" s="13">
        <f>Financials!BD206+Financials!BD214</f>
        <v>117.43000000000004</v>
      </c>
      <c r="BE148" s="13">
        <f>Financials!BE206+Financials!BE214</f>
        <v>236.96999999999986</v>
      </c>
      <c r="BF148" s="1258">
        <f>Financials!BF206+Financials!BF214</f>
        <v>272.86599999999993</v>
      </c>
      <c r="BG148" s="13">
        <f>SUM(BC148:BF148)</f>
        <v>580.18399999999997</v>
      </c>
      <c r="BH148" s="1257">
        <f>Financials!BH206+Financials!BH214</f>
        <v>-49.370999999999981</v>
      </c>
      <c r="BI148" s="13">
        <f>Financials!BI206+Financials!BI214</f>
        <v>-655.74599999999998</v>
      </c>
      <c r="BJ148" s="13">
        <f>Financials!BJ206+Financials!BJ214</f>
        <v>632.64699999999993</v>
      </c>
      <c r="BK148" s="1258">
        <f>Financials!BK206+Financials!BK214</f>
        <v>1068.8600000000006</v>
      </c>
      <c r="BL148" s="13">
        <f>SUM(BH148:BK148)</f>
        <v>996.39000000000055</v>
      </c>
      <c r="BM148" s="1257">
        <f>Financials!BM206+Financials!BM214</f>
        <v>-232.12899999999991</v>
      </c>
      <c r="BN148" s="13">
        <f>Financials!BN206+Financials!BN214</f>
        <v>92.956999999999937</v>
      </c>
      <c r="BO148" s="13">
        <f>Financials!BO206+Financials!BO214</f>
        <v>272.35600000000011</v>
      </c>
      <c r="BP148" s="1258">
        <f>Financials!BP206+Financials!BP214</f>
        <v>-117.34199999999998</v>
      </c>
      <c r="BQ148" s="13">
        <f>SUM(BM148:BP148)</f>
        <v>15.842000000000155</v>
      </c>
      <c r="BR148" s="1257">
        <f>Financials!BR206+Financials!BR214</f>
        <v>-182.28800000000001</v>
      </c>
      <c r="BS148" s="13">
        <f>Financials!BS206+Financials!BS214</f>
        <v>27.249000000000024</v>
      </c>
      <c r="BT148" s="13">
        <f>Financials!BT206+Financials!BT214</f>
        <v>363.53600000000006</v>
      </c>
      <c r="BU148" s="1258">
        <f>Financials!BU206+Financials!BU214</f>
        <v>-303.66099999999989</v>
      </c>
      <c r="BV148" s="13">
        <f>SUM(BR148:BU148)</f>
        <v>-95.163999999999817</v>
      </c>
      <c r="BW148" s="1257">
        <f>Financials!BW206+Financials!BW214</f>
        <v>469.86899999999997</v>
      </c>
      <c r="BX148" s="13">
        <f>Financials!BX206+Financials!BX214</f>
        <v>533.45399999999995</v>
      </c>
      <c r="BY148" s="13">
        <f>Financials!BY206+Financials!BY214</f>
        <v>456.83300000000003</v>
      </c>
      <c r="BZ148" s="1258">
        <f>Financials!BZ206+Financials!BZ214</f>
        <v>255.19100000000003</v>
      </c>
      <c r="CA148" s="13">
        <f>SUM(BW148:BZ148)</f>
        <v>1715.347</v>
      </c>
      <c r="CB148" s="1257">
        <f>Financials!CB206+Financials!CB214</f>
        <v>518.77899999999988</v>
      </c>
      <c r="CC148" s="13">
        <f>Financials!CC206+Financials!CC214</f>
        <v>-333.76799999999992</v>
      </c>
      <c r="CD148" s="13">
        <f>Financials!CD206+Financials!CD214</f>
        <v>41.194000000000017</v>
      </c>
      <c r="CE148" s="1258">
        <f>Financials!CE206+Financials!CE214</f>
        <v>486.20999999999992</v>
      </c>
      <c r="CF148" s="13">
        <f>SUM(CB148:CE148)</f>
        <v>712.41499999999996</v>
      </c>
      <c r="CG148" s="1257">
        <f>Financials!CG206+Financials!CG214</f>
        <v>-240.58300000000008</v>
      </c>
      <c r="CH148" s="13">
        <f>Financials!CH206+Financials!CH214</f>
        <v>12.421000000000134</v>
      </c>
      <c r="CI148" s="13">
        <f>Financials!CI206+Financials!CI214</f>
        <v>254.15500000000017</v>
      </c>
      <c r="CJ148" s="1258">
        <f>Financials!CJ206+Financials!CJ214</f>
        <v>106.37799999999984</v>
      </c>
      <c r="CK148" s="13">
        <f>SUM(CG148:CJ148)</f>
        <v>132.37100000000007</v>
      </c>
      <c r="CL148" s="1257">
        <f>Financials!CL206+Financials!CL214</f>
        <v>-43.240999999999843</v>
      </c>
      <c r="CM148" s="13">
        <f>Financials!CM206+Financials!CM214</f>
        <v>-73.152018251150366</v>
      </c>
      <c r="CN148" s="13">
        <f>Financials!CN206+Financials!CN214</f>
        <v>312.58083958943382</v>
      </c>
      <c r="CO148" s="1258">
        <f>Financials!CO206+Financials!CO214</f>
        <v>520.88806459545799</v>
      </c>
      <c r="CP148" s="13">
        <f>SUM(CL148:CO148)</f>
        <v>717.07588593374157</v>
      </c>
      <c r="CQ148" s="1257">
        <f>Financials!CQ206+Financials!CQ214</f>
        <v>104.50151324377771</v>
      </c>
      <c r="CR148" s="13">
        <f>Financials!CR206+Financials!CR214</f>
        <v>841.02104643593134</v>
      </c>
      <c r="CS148" s="13">
        <f>Financials!CS206+Financials!CS214</f>
        <v>451.23610513982374</v>
      </c>
      <c r="CT148" s="1258">
        <f>Financials!CT206+Financials!CT214</f>
        <v>496.69286701422777</v>
      </c>
      <c r="CU148" s="13">
        <f>SUM(CQ148:CT148)</f>
        <v>1893.4515318337608</v>
      </c>
      <c r="CV148" s="1257">
        <f>Financials!CV206+Financials!CV214</f>
        <v>117.33777976120132</v>
      </c>
      <c r="CW148" s="13">
        <f>Financials!CW206+Financials!CW214</f>
        <v>910.64749245781741</v>
      </c>
      <c r="CX148" s="13">
        <f>Financials!CX206+Financials!CX214</f>
        <v>503.20623142053796</v>
      </c>
      <c r="CY148" s="1258">
        <f>Financials!CY206+Financials!CY214</f>
        <v>584.72427140517163</v>
      </c>
      <c r="CZ148" s="13">
        <f>SUM(CV148:CY148)</f>
        <v>2115.9157750447284</v>
      </c>
    </row>
    <row r="149" spans="1:104" ht="13.5" customHeight="1" outlineLevel="1">
      <c r="A149" s="352"/>
      <c r="B149" s="14" t="s">
        <v>10</v>
      </c>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352"/>
      <c r="AQ149" s="352"/>
      <c r="AR149" s="352"/>
      <c r="AS149" s="1259">
        <f>AS126</f>
        <v>2355.13</v>
      </c>
      <c r="AT149" s="611">
        <f>AT126</f>
        <v>1900.079</v>
      </c>
      <c r="AU149" s="611">
        <f>AU126</f>
        <v>2196.5920000000001</v>
      </c>
      <c r="AV149" s="1260">
        <f>AV126</f>
        <v>2221.143</v>
      </c>
      <c r="AW149" s="15"/>
      <c r="AX149" s="1259">
        <f>AX126</f>
        <v>2241.9809999999998</v>
      </c>
      <c r="AY149" s="611">
        <f>AY126</f>
        <v>2000.0839999999998</v>
      </c>
      <c r="AZ149" s="611">
        <f>AZ126</f>
        <v>1141.999</v>
      </c>
      <c r="BA149" s="1260">
        <f>BA126</f>
        <v>2006.5880000000002</v>
      </c>
      <c r="BB149" s="352"/>
      <c r="BC149" s="1259">
        <f>BC126</f>
        <v>2479.029</v>
      </c>
      <c r="BD149" s="611">
        <f>BD126</f>
        <v>2296.0169999999998</v>
      </c>
      <c r="BE149" s="611">
        <f>BE126</f>
        <v>2282.2280000000001</v>
      </c>
      <c r="BF149" s="1260">
        <f>BF126</f>
        <v>2413.9879999999998</v>
      </c>
      <c r="BG149" s="352"/>
      <c r="BH149" s="1259">
        <f>BH126</f>
        <v>2563.2860000000001</v>
      </c>
      <c r="BI149" s="611">
        <f>BI126</f>
        <v>2378.1030000000001</v>
      </c>
      <c r="BJ149" s="611">
        <f>BJ126</f>
        <v>1681.41</v>
      </c>
      <c r="BK149" s="1260">
        <f>BK126</f>
        <v>2123.4629999999997</v>
      </c>
      <c r="BL149" s="352"/>
      <c r="BM149" s="1259">
        <f>BM126</f>
        <v>1157.029</v>
      </c>
      <c r="BN149" s="611">
        <f>BN126</f>
        <v>932.20300000000009</v>
      </c>
      <c r="BO149" s="611">
        <f>BO126</f>
        <v>678.12299999999993</v>
      </c>
      <c r="BP149" s="1260">
        <f>BP126</f>
        <v>1771.3850000000002</v>
      </c>
      <c r="BQ149" s="352"/>
      <c r="BR149" s="1259">
        <f>BR126</f>
        <v>1511.443</v>
      </c>
      <c r="BS149" s="611">
        <f>BS126</f>
        <v>1252.5419999999999</v>
      </c>
      <c r="BT149" s="611">
        <f>BT126</f>
        <v>1167.5609999999999</v>
      </c>
      <c r="BU149" s="1260">
        <f>BU126</f>
        <v>1395.9449999999999</v>
      </c>
      <c r="BV149" s="352"/>
      <c r="BW149" s="1259">
        <f>BW126</f>
        <v>1124.144</v>
      </c>
      <c r="BX149" s="611">
        <f>BX126</f>
        <v>1265.864</v>
      </c>
      <c r="BY149" s="611">
        <f>BY126</f>
        <v>1688.7320000000002</v>
      </c>
      <c r="BZ149" s="1260">
        <f>BZ126</f>
        <v>1995.425</v>
      </c>
      <c r="CA149" s="352"/>
      <c r="CB149" s="1259">
        <f>CB126</f>
        <v>2039.4690000000001</v>
      </c>
      <c r="CC149" s="611">
        <f>CC126</f>
        <v>2328.4879999999998</v>
      </c>
      <c r="CD149" s="611">
        <f>CD126</f>
        <v>2331.15</v>
      </c>
      <c r="CE149" s="1260">
        <f>CE126</f>
        <v>2354.7070000000003</v>
      </c>
      <c r="CF149" s="352"/>
      <c r="CG149" s="1259">
        <f>CG126</f>
        <v>2195.9610000000002</v>
      </c>
      <c r="CH149" s="611">
        <f>CH126</f>
        <v>1707.759</v>
      </c>
      <c r="CI149" s="611">
        <f>CI126</f>
        <v>1561.3530000000001</v>
      </c>
      <c r="CJ149" s="1260">
        <f>CJ126</f>
        <v>1625.944</v>
      </c>
      <c r="CK149" s="352"/>
      <c r="CL149" s="1259">
        <f>CL126</f>
        <v>999.10400000000004</v>
      </c>
      <c r="CM149" s="611">
        <f>CM126</f>
        <v>760.25400000000002</v>
      </c>
      <c r="CN149" s="611">
        <f>CN126</f>
        <v>1092.9114373138527</v>
      </c>
      <c r="CO149" s="1260">
        <f>CO126</f>
        <v>1279.8047324682866</v>
      </c>
      <c r="CP149" s="352"/>
      <c r="CQ149" s="1259">
        <f>CQ126</f>
        <v>1674.7992526287446</v>
      </c>
      <c r="CR149" s="611">
        <f>CR126</f>
        <v>1634.4942214375219</v>
      </c>
      <c r="CS149" s="611">
        <f>CS126</f>
        <v>2337.625723438453</v>
      </c>
      <c r="CT149" s="1260">
        <f>CT126</f>
        <v>2663.1742841432765</v>
      </c>
      <c r="CU149" s="352"/>
      <c r="CV149" s="1259">
        <f>CV126</f>
        <v>3033.9736067225044</v>
      </c>
      <c r="CW149" s="611">
        <f>CW126</f>
        <v>3006.5048420487051</v>
      </c>
      <c r="CX149" s="611">
        <f>CX126</f>
        <v>3779.2627900715224</v>
      </c>
      <c r="CY149" s="1260">
        <f>CY126</f>
        <v>4156.7814770570603</v>
      </c>
      <c r="CZ149" s="352"/>
    </row>
    <row r="150" spans="1:104" ht="13.5" customHeight="1" outlineLevel="1">
      <c r="A150" s="352"/>
      <c r="B150" s="14" t="s">
        <v>381</v>
      </c>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6"/>
      <c r="AP150" s="352"/>
      <c r="AQ150" s="352"/>
      <c r="AR150" s="352"/>
      <c r="AS150" s="1261">
        <v>-200</v>
      </c>
      <c r="AT150" s="535">
        <v>-200</v>
      </c>
      <c r="AU150" s="535">
        <v>-200</v>
      </c>
      <c r="AV150" s="1262">
        <v>-200</v>
      </c>
      <c r="AW150" s="15"/>
      <c r="AX150" s="1261">
        <v>-200</v>
      </c>
      <c r="AY150" s="535">
        <v>-200</v>
      </c>
      <c r="AZ150" s="535">
        <v>-200</v>
      </c>
      <c r="BA150" s="1262">
        <v>-200</v>
      </c>
      <c r="BB150" s="352"/>
      <c r="BC150" s="1261">
        <v>-200</v>
      </c>
      <c r="BD150" s="535">
        <v>-200</v>
      </c>
      <c r="BE150" s="535">
        <v>-200</v>
      </c>
      <c r="BF150" s="1262">
        <v>-200</v>
      </c>
      <c r="BG150" s="352"/>
      <c r="BH150" s="1261">
        <v>-200</v>
      </c>
      <c r="BI150" s="535">
        <v>-200</v>
      </c>
      <c r="BJ150" s="535">
        <v>-200</v>
      </c>
      <c r="BK150" s="1262">
        <v>-200</v>
      </c>
      <c r="BL150" s="352"/>
      <c r="BM150" s="1261">
        <v>-200</v>
      </c>
      <c r="BN150" s="535">
        <v>-200</v>
      </c>
      <c r="BO150" s="535">
        <v>-200</v>
      </c>
      <c r="BP150" s="1262">
        <v>-200</v>
      </c>
      <c r="BQ150" s="352"/>
      <c r="BR150" s="1261">
        <v>-200</v>
      </c>
      <c r="BS150" s="535">
        <v>-200</v>
      </c>
      <c r="BT150" s="535">
        <v>-200</v>
      </c>
      <c r="BU150" s="1262">
        <v>-200</v>
      </c>
      <c r="BV150" s="352"/>
      <c r="BW150" s="1261">
        <v>-200</v>
      </c>
      <c r="BX150" s="535">
        <v>-200</v>
      </c>
      <c r="BY150" s="535">
        <v>-200</v>
      </c>
      <c r="BZ150" s="1262">
        <v>-200</v>
      </c>
      <c r="CA150" s="352"/>
      <c r="CB150" s="1261">
        <v>-200</v>
      </c>
      <c r="CC150" s="535">
        <v>-200</v>
      </c>
      <c r="CD150" s="535">
        <v>-200</v>
      </c>
      <c r="CE150" s="1262">
        <v>-200</v>
      </c>
      <c r="CF150" s="352"/>
      <c r="CG150" s="1261">
        <v>-200</v>
      </c>
      <c r="CH150" s="535">
        <v>-200</v>
      </c>
      <c r="CI150" s="535">
        <v>-200</v>
      </c>
      <c r="CJ150" s="1262">
        <v>-200</v>
      </c>
      <c r="CK150" s="352"/>
      <c r="CL150" s="1261">
        <v>-200</v>
      </c>
      <c r="CM150" s="535">
        <v>-200</v>
      </c>
      <c r="CN150" s="535">
        <v>-200</v>
      </c>
      <c r="CO150" s="1262">
        <v>-200</v>
      </c>
      <c r="CP150" s="352"/>
      <c r="CQ150" s="1261">
        <v>-200</v>
      </c>
      <c r="CR150" s="535">
        <v>-200</v>
      </c>
      <c r="CS150" s="535">
        <v>-200</v>
      </c>
      <c r="CT150" s="1262">
        <v>-200</v>
      </c>
      <c r="CU150" s="352"/>
      <c r="CV150" s="1261">
        <v>-200</v>
      </c>
      <c r="CW150" s="535">
        <v>-200</v>
      </c>
      <c r="CX150" s="535">
        <v>-200</v>
      </c>
      <c r="CY150" s="1262">
        <v>-200</v>
      </c>
      <c r="CZ150" s="352"/>
    </row>
    <row r="151" spans="1:104" ht="13.5" customHeight="1" outlineLevel="1">
      <c r="A151" s="352"/>
      <c r="B151" s="12" t="s">
        <v>616</v>
      </c>
      <c r="C151" s="13"/>
      <c r="D151" s="13"/>
      <c r="E151" s="13"/>
      <c r="F151" s="13"/>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352"/>
      <c r="AQ151" s="352"/>
      <c r="AR151" s="352"/>
      <c r="AS151" s="1257">
        <f>SUM(AS148:AS150)</f>
        <v>2036.924</v>
      </c>
      <c r="AT151" s="13">
        <f>SUM(AT148:AT150)</f>
        <v>2140.973</v>
      </c>
      <c r="AU151" s="13">
        <f>SUM(AU148:AU150)</f>
        <v>2241.3000000000002</v>
      </c>
      <c r="AV151" s="1258">
        <f>SUM(AV148:AV150)</f>
        <v>2160.6320000000001</v>
      </c>
      <c r="AW151" s="17"/>
      <c r="AX151" s="1257">
        <f>SUM(AX148:AX150)</f>
        <v>1900.5029999999997</v>
      </c>
      <c r="AY151" s="13">
        <f>SUM(AY148:AY150)</f>
        <v>1082.8779999999997</v>
      </c>
      <c r="AZ151" s="13">
        <f>SUM(AZ148:AZ150)</f>
        <v>1353.8040000000001</v>
      </c>
      <c r="BA151" s="1258">
        <f>SUM(BA148:BA150)</f>
        <v>1793.1300000000006</v>
      </c>
      <c r="BB151" s="352"/>
      <c r="BC151" s="1257">
        <f>SUM(BC148:BC150)</f>
        <v>2231.9470000000001</v>
      </c>
      <c r="BD151" s="13">
        <f>SUM(BD148:BD150)</f>
        <v>2213.4469999999997</v>
      </c>
      <c r="BE151" s="13">
        <f>SUM(BE148:BE150)</f>
        <v>2319.1979999999999</v>
      </c>
      <c r="BF151" s="1258">
        <f>SUM(BF148:BF150)</f>
        <v>2486.8539999999998</v>
      </c>
      <c r="BG151" s="352"/>
      <c r="BH151" s="1257">
        <f>SUM(BH148:BH150)</f>
        <v>2313.915</v>
      </c>
      <c r="BI151" s="13">
        <f>SUM(BI148:BI150)</f>
        <v>1522.357</v>
      </c>
      <c r="BJ151" s="13">
        <f>SUM(BJ148:BJ150)</f>
        <v>2114.0569999999998</v>
      </c>
      <c r="BK151" s="1258">
        <f>SUM(BK148:BK150)</f>
        <v>2992.3230000000003</v>
      </c>
      <c r="BL151" s="352"/>
      <c r="BM151" s="1257">
        <f>SUM(BM148:BM150)</f>
        <v>724.90000000000009</v>
      </c>
      <c r="BN151" s="13">
        <f>SUM(BN148:BN150)</f>
        <v>825.16000000000008</v>
      </c>
      <c r="BO151" s="13">
        <f>SUM(BO148:BO150)</f>
        <v>750.47900000000004</v>
      </c>
      <c r="BP151" s="1258">
        <f>SUM(BP148:BP150)</f>
        <v>1454.0430000000001</v>
      </c>
      <c r="BQ151" s="352"/>
      <c r="BR151" s="1257">
        <f>SUM(BR148:BR150)</f>
        <v>1129.155</v>
      </c>
      <c r="BS151" s="13">
        <f>SUM(BS148:BS150)</f>
        <v>1079.7909999999999</v>
      </c>
      <c r="BT151" s="13">
        <f>SUM(BT148:BT150)</f>
        <v>1331.097</v>
      </c>
      <c r="BU151" s="1258">
        <f>SUM(BU148:BU150)</f>
        <v>892.28400000000011</v>
      </c>
      <c r="BV151" s="352"/>
      <c r="BW151" s="1257">
        <f>SUM(BW148:BW150)</f>
        <v>1394.0129999999999</v>
      </c>
      <c r="BX151" s="13">
        <f>SUM(BX148:BX150)</f>
        <v>1599.318</v>
      </c>
      <c r="BY151" s="13">
        <f>SUM(BY148:BY150)</f>
        <v>1945.5650000000001</v>
      </c>
      <c r="BZ151" s="1258">
        <f>SUM(BZ148:BZ150)</f>
        <v>2050.616</v>
      </c>
      <c r="CA151" s="352"/>
      <c r="CB151" s="1257">
        <f>SUM(CB148:CB150)</f>
        <v>2358.248</v>
      </c>
      <c r="CC151" s="13">
        <f>SUM(CC148:CC150)</f>
        <v>1794.7199999999998</v>
      </c>
      <c r="CD151" s="13">
        <f>SUM(CD148:CD150)</f>
        <v>2172.3440000000001</v>
      </c>
      <c r="CE151" s="1258">
        <f>SUM(CE148:CE150)</f>
        <v>2640.9170000000004</v>
      </c>
      <c r="CF151" s="352"/>
      <c r="CG151" s="1257">
        <f>SUM(CG148:CG150)</f>
        <v>1755.3780000000002</v>
      </c>
      <c r="CH151" s="13">
        <f>SUM(CH148:CH150)</f>
        <v>1520.18</v>
      </c>
      <c r="CI151" s="13">
        <f>SUM(CI148:CI150)</f>
        <v>1615.5080000000003</v>
      </c>
      <c r="CJ151" s="1258">
        <f>SUM(CJ148:CJ150)</f>
        <v>1532.3219999999999</v>
      </c>
      <c r="CK151" s="352"/>
      <c r="CL151" s="1257">
        <f>SUM(CL148:CL150)</f>
        <v>755.86300000000017</v>
      </c>
      <c r="CM151" s="13">
        <f>SUM(CM148:CM150)</f>
        <v>487.10198174884965</v>
      </c>
      <c r="CN151" s="13">
        <f>SUM(CN148:CN150)</f>
        <v>1205.4922769032864</v>
      </c>
      <c r="CO151" s="1258">
        <f>SUM(CO148:CO150)</f>
        <v>1600.6927970637446</v>
      </c>
      <c r="CP151" s="352"/>
      <c r="CQ151" s="1257">
        <f>SUM(CQ148:CQ150)</f>
        <v>1579.3007658725223</v>
      </c>
      <c r="CR151" s="13">
        <f>SUM(CR148:CR150)</f>
        <v>2275.515267873453</v>
      </c>
      <c r="CS151" s="13">
        <f>SUM(CS148:CS150)</f>
        <v>2588.8618285782768</v>
      </c>
      <c r="CT151" s="1258">
        <f>SUM(CT148:CT150)</f>
        <v>2959.8671511575044</v>
      </c>
      <c r="CU151" s="352"/>
      <c r="CV151" s="1257">
        <f>SUM(CV148:CV150)</f>
        <v>2951.311386483706</v>
      </c>
      <c r="CW151" s="13">
        <f>SUM(CW148:CW150)</f>
        <v>3717.1523345065225</v>
      </c>
      <c r="CX151" s="13">
        <f>SUM(CX148:CX150)</f>
        <v>4082.4690214920602</v>
      </c>
      <c r="CY151" s="1258">
        <f>SUM(CY148:CY150)</f>
        <v>4541.5057484622321</v>
      </c>
      <c r="CZ151" s="352"/>
    </row>
    <row r="152" spans="1:104" ht="6.2" customHeight="1" outlineLevel="1">
      <c r="A152" s="352"/>
      <c r="B152" s="18"/>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9"/>
      <c r="AP152" s="352"/>
      <c r="AQ152" s="352"/>
      <c r="AR152" s="352"/>
      <c r="AS152" s="1263"/>
      <c r="AT152" s="15"/>
      <c r="AU152" s="15"/>
      <c r="AV152" s="1264"/>
      <c r="AW152" s="15"/>
      <c r="AX152" s="1263"/>
      <c r="AY152" s="15"/>
      <c r="AZ152" s="15"/>
      <c r="BA152" s="1264"/>
      <c r="BB152" s="352"/>
      <c r="BC152" s="1263"/>
      <c r="BD152" s="15"/>
      <c r="BE152" s="15"/>
      <c r="BF152" s="1264"/>
      <c r="BG152" s="352"/>
      <c r="BH152" s="1263"/>
      <c r="BI152" s="15"/>
      <c r="BJ152" s="15"/>
      <c r="BK152" s="1264"/>
      <c r="BL152" s="352"/>
      <c r="BM152" s="1263"/>
      <c r="BN152" s="15"/>
      <c r="BO152" s="15"/>
      <c r="BP152" s="1264"/>
      <c r="BQ152" s="352"/>
      <c r="BR152" s="1263"/>
      <c r="BS152" s="15"/>
      <c r="BT152" s="15"/>
      <c r="BU152" s="1264"/>
      <c r="BV152" s="352"/>
      <c r="BW152" s="1263"/>
      <c r="BX152" s="15"/>
      <c r="BY152" s="15"/>
      <c r="BZ152" s="1264"/>
      <c r="CA152" s="352"/>
      <c r="CB152" s="1263"/>
      <c r="CC152" s="15"/>
      <c r="CD152" s="15"/>
      <c r="CE152" s="1260"/>
      <c r="CF152" s="352"/>
      <c r="CG152" s="1259"/>
      <c r="CH152" s="611"/>
      <c r="CI152" s="15"/>
      <c r="CJ152" s="1260"/>
      <c r="CK152" s="352"/>
      <c r="CL152" s="1263"/>
      <c r="CM152" s="15"/>
      <c r="CN152" s="15"/>
      <c r="CO152" s="1264"/>
      <c r="CP152" s="352"/>
      <c r="CQ152" s="1263"/>
      <c r="CR152" s="15"/>
      <c r="CS152" s="15"/>
      <c r="CT152" s="1264"/>
      <c r="CU152" s="352"/>
      <c r="CV152" s="1263"/>
      <c r="CW152" s="15"/>
      <c r="CX152" s="15"/>
      <c r="CY152" s="1264"/>
      <c r="CZ152" s="352"/>
    </row>
    <row r="153" spans="1:104" ht="13.5" customHeight="1" outlineLevel="1">
      <c r="A153" s="352"/>
      <c r="B153" s="12" t="s">
        <v>139</v>
      </c>
      <c r="C153" s="20"/>
      <c r="D153" s="20"/>
      <c r="E153" s="20"/>
      <c r="F153" s="20"/>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9"/>
      <c r="AP153" s="352"/>
      <c r="AQ153" s="352"/>
      <c r="AR153" s="352"/>
      <c r="AS153" s="859"/>
      <c r="AT153" s="18"/>
      <c r="AU153" s="18"/>
      <c r="AV153" s="1265"/>
      <c r="AW153" s="18"/>
      <c r="AX153" s="859"/>
      <c r="AY153" s="18"/>
      <c r="AZ153" s="18"/>
      <c r="BA153" s="1265"/>
      <c r="BB153" s="352"/>
      <c r="BC153" s="859"/>
      <c r="BD153" s="18"/>
      <c r="BE153" s="18"/>
      <c r="BF153" s="1265"/>
      <c r="BG153" s="352"/>
      <c r="BH153" s="859"/>
      <c r="BI153" s="18"/>
      <c r="BJ153" s="18"/>
      <c r="BK153" s="1265"/>
      <c r="BL153" s="352"/>
      <c r="BM153" s="859"/>
      <c r="BN153" s="18"/>
      <c r="BO153" s="18"/>
      <c r="BP153" s="1265"/>
      <c r="BQ153" s="352"/>
      <c r="BR153" s="859"/>
      <c r="BS153" s="18"/>
      <c r="BT153" s="18"/>
      <c r="BU153" s="1265"/>
      <c r="BV153" s="352"/>
      <c r="BW153" s="859"/>
      <c r="BX153" s="18"/>
      <c r="BY153" s="18"/>
      <c r="BZ153" s="1265"/>
      <c r="CA153" s="352"/>
      <c r="CB153" s="859"/>
      <c r="CC153" s="18"/>
      <c r="CD153" s="18"/>
      <c r="CE153" s="1277"/>
      <c r="CF153" s="352"/>
      <c r="CG153" s="981"/>
      <c r="CH153" s="495"/>
      <c r="CI153" s="18"/>
      <c r="CJ153" s="1277"/>
      <c r="CK153" s="352"/>
      <c r="CL153" s="859"/>
      <c r="CM153" s="18"/>
      <c r="CN153" s="18"/>
      <c r="CO153" s="1265"/>
      <c r="CP153" s="352"/>
      <c r="CQ153" s="859"/>
      <c r="CR153" s="18"/>
      <c r="CS153" s="18"/>
      <c r="CT153" s="1265"/>
      <c r="CU153" s="352"/>
      <c r="CV153" s="859"/>
      <c r="CW153" s="18"/>
      <c r="CX153" s="18"/>
      <c r="CY153" s="1265"/>
      <c r="CZ153" s="352"/>
    </row>
    <row r="154" spans="1:104" ht="13.5" customHeight="1" outlineLevel="1">
      <c r="A154" s="352"/>
      <c r="B154" s="14" t="s">
        <v>140</v>
      </c>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352"/>
      <c r="AQ154" s="352"/>
      <c r="AR154" s="352"/>
      <c r="AS154" s="1259">
        <f>Financials!AS224</f>
        <v>-110.514</v>
      </c>
      <c r="AT154" s="611">
        <f>Financials!AT224</f>
        <v>-110.61300000000001</v>
      </c>
      <c r="AU154" s="611">
        <f>Financials!AU224</f>
        <v>-110.96900000000001</v>
      </c>
      <c r="AV154" s="1260">
        <f>Financials!AV224</f>
        <v>-111.01299999999998</v>
      </c>
      <c r="AW154" s="15"/>
      <c r="AX154" s="1259">
        <f>Financials!AX224</f>
        <v>-114.193</v>
      </c>
      <c r="AY154" s="611">
        <f>Financials!AY224</f>
        <v>-114.27200000000001</v>
      </c>
      <c r="AZ154" s="611">
        <f>Financials!AZ224</f>
        <v>-114.39800000000001</v>
      </c>
      <c r="BA154" s="1260">
        <f>Financials!BA224</f>
        <v>-114.41899999999998</v>
      </c>
      <c r="BB154" s="352"/>
      <c r="BC154" s="1259">
        <f>Financials!BC224</f>
        <v>-115.233</v>
      </c>
      <c r="BD154" s="611">
        <f>Financials!BD224</f>
        <v>-115.328</v>
      </c>
      <c r="BE154" s="611">
        <f>Financials!BE224</f>
        <v>-115.44399999999999</v>
      </c>
      <c r="BF154" s="1260">
        <f>Financials!BF224</f>
        <v>-115.51299999999998</v>
      </c>
      <c r="BG154" s="352"/>
      <c r="BH154" s="1259">
        <f>Financials!BH224</f>
        <v>-116.325</v>
      </c>
      <c r="BI154" s="611">
        <f>Financials!BI224</f>
        <v>-116.44099999999999</v>
      </c>
      <c r="BJ154" s="611">
        <f>Financials!BJ224</f>
        <v>-116.77200000000002</v>
      </c>
      <c r="BK154" s="1260">
        <f>Financials!BK224</f>
        <v>-116.82299999999998</v>
      </c>
      <c r="BL154" s="352"/>
      <c r="BM154" s="1259">
        <f>Financials!BM224</f>
        <v>-117.61799999999999</v>
      </c>
      <c r="BN154" s="611">
        <f>Financials!BN224</f>
        <v>-117.66200000000001</v>
      </c>
      <c r="BO154" s="611">
        <f>Financials!BO224</f>
        <v>-117.87499999999997</v>
      </c>
      <c r="BP154" s="1260">
        <f>Financials!BP224</f>
        <v>-117.87300000000005</v>
      </c>
      <c r="BQ154" s="352"/>
      <c r="BR154" s="1259">
        <f>Financials!BR224</f>
        <v>-118.68</v>
      </c>
      <c r="BS154" s="611">
        <f>Financials!BS224</f>
        <v>-118.68899999999999</v>
      </c>
      <c r="BT154" s="611">
        <f>Financials!BT224</f>
        <v>-118.86100000000002</v>
      </c>
      <c r="BU154" s="1260">
        <f>Financials!BU224</f>
        <v>-118.89299999999997</v>
      </c>
      <c r="BV154" s="352"/>
      <c r="BW154" s="1259">
        <f>Financials!BW224</f>
        <v>-119.712</v>
      </c>
      <c r="BX154" s="611">
        <f>Financials!BX224</f>
        <v>-119.764</v>
      </c>
      <c r="BY154" s="611">
        <f>Financials!BY224</f>
        <v>-119.98500000000001</v>
      </c>
      <c r="BZ154" s="1260">
        <f>Financials!BZ224</f>
        <v>-119.971</v>
      </c>
      <c r="CA154" s="352"/>
      <c r="CB154" s="1259">
        <f>Financials!CB224</f>
        <v>-120.15300000000001</v>
      </c>
      <c r="CC154" s="611">
        <f>Financials!CC224</f>
        <v>-120.14899999999999</v>
      </c>
      <c r="CD154" s="611">
        <f>Financials!CD224</f>
        <v>-120.373</v>
      </c>
      <c r="CE154" s="1260">
        <f>Financials!CE224</f>
        <v>-120.40800000000002</v>
      </c>
      <c r="CF154" s="352"/>
      <c r="CG154" s="1259">
        <f>Financials!CG224</f>
        <v>-121.303</v>
      </c>
      <c r="CH154" s="611">
        <f>Financials!CH224</f>
        <v>-121.40100000000001</v>
      </c>
      <c r="CI154" s="611">
        <f>Financials!CI224</f>
        <v>-121.59800000000001</v>
      </c>
      <c r="CJ154" s="1260">
        <f>Financials!CJ224</f>
        <v>-121.01900000000001</v>
      </c>
      <c r="CK154" s="352"/>
      <c r="CL154" s="1259">
        <f>Financials!CL224</f>
        <v>-121.78700000000001</v>
      </c>
      <c r="CM154" s="611">
        <f>Financials!CM224</f>
        <v>-120.013544435</v>
      </c>
      <c r="CN154" s="611">
        <f>Financials!CN224</f>
        <v>-120.013544435</v>
      </c>
      <c r="CO154" s="1260">
        <f>Financials!CO224</f>
        <v>-120.013544435</v>
      </c>
      <c r="CP154" s="352"/>
      <c r="CQ154" s="1259">
        <f>Financials!CQ224</f>
        <v>-120.013544435</v>
      </c>
      <c r="CR154" s="611">
        <f>Financials!CR224</f>
        <v>-120.013544435</v>
      </c>
      <c r="CS154" s="611">
        <f>Financials!CS224</f>
        <v>-120.013544435</v>
      </c>
      <c r="CT154" s="1260">
        <f>Financials!CT224</f>
        <v>-120.013544435</v>
      </c>
      <c r="CU154" s="352"/>
      <c r="CV154" s="1259">
        <f>Financials!CV224</f>
        <v>-120.013544435</v>
      </c>
      <c r="CW154" s="611">
        <f>Financials!CW224</f>
        <v>-120.013544435</v>
      </c>
      <c r="CX154" s="611">
        <f>Financials!CX224</f>
        <v>-120.013544435</v>
      </c>
      <c r="CY154" s="1260">
        <f>Financials!CY224</f>
        <v>-120.013544435</v>
      </c>
      <c r="CZ154" s="352"/>
    </row>
    <row r="155" spans="1:104" ht="13.5" customHeight="1" outlineLevel="1">
      <c r="A155" s="352"/>
      <c r="B155" s="14" t="s">
        <v>141</v>
      </c>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352"/>
      <c r="AQ155" s="352"/>
      <c r="AR155" s="352"/>
      <c r="AS155" s="1259">
        <f>Financials!AS219</f>
        <v>-2.3199999999999998</v>
      </c>
      <c r="AT155" s="611">
        <f>Financials!AT219</f>
        <v>2.3199999999999998</v>
      </c>
      <c r="AU155" s="611">
        <f>Financials!AU219</f>
        <v>0</v>
      </c>
      <c r="AV155" s="1260">
        <f>Financials!AV219</f>
        <v>0</v>
      </c>
      <c r="AW155" s="15"/>
      <c r="AX155" s="1259">
        <f>Financials!AX219</f>
        <v>0</v>
      </c>
      <c r="AY155" s="611">
        <f>Financials!AY219</f>
        <v>0</v>
      </c>
      <c r="AZ155" s="611">
        <f>Financials!AZ219</f>
        <v>0</v>
      </c>
      <c r="BA155" s="1260">
        <f>Financials!BA219</f>
        <v>0</v>
      </c>
      <c r="BB155" s="352"/>
      <c r="BC155" s="1259">
        <f>Financials!BC219</f>
        <v>0</v>
      </c>
      <c r="BD155" s="611">
        <f>Financials!BD219</f>
        <v>0</v>
      </c>
      <c r="BE155" s="611">
        <f>Financials!BE219</f>
        <v>0</v>
      </c>
      <c r="BF155" s="1260">
        <f>Financials!BF219</f>
        <v>0</v>
      </c>
      <c r="BG155" s="352"/>
      <c r="BH155" s="1259">
        <f>Financials!BH219</f>
        <v>0</v>
      </c>
      <c r="BI155" s="611">
        <f>Financials!BI219</f>
        <v>0</v>
      </c>
      <c r="BJ155" s="611">
        <f>Financials!BJ219</f>
        <v>0</v>
      </c>
      <c r="BK155" s="1260">
        <f>Financials!BK219</f>
        <v>0</v>
      </c>
      <c r="BL155" s="352"/>
      <c r="BM155" s="1259">
        <f>Financials!BM219</f>
        <v>0</v>
      </c>
      <c r="BN155" s="611">
        <f>Financials!BN219</f>
        <v>0</v>
      </c>
      <c r="BO155" s="611">
        <f>Financials!BO219</f>
        <v>0</v>
      </c>
      <c r="BP155" s="1260">
        <f>Financials!BP219</f>
        <v>0</v>
      </c>
      <c r="BQ155" s="352"/>
      <c r="BR155" s="1259">
        <f>Financials!BR219</f>
        <v>0</v>
      </c>
      <c r="BS155" s="611">
        <f>Financials!BS219</f>
        <v>0</v>
      </c>
      <c r="BT155" s="611">
        <f>Financials!BT219</f>
        <v>0</v>
      </c>
      <c r="BU155" s="1260">
        <f>Financials!BU219</f>
        <v>0</v>
      </c>
      <c r="BV155" s="352"/>
      <c r="BW155" s="1259">
        <f>Financials!BW219</f>
        <v>0</v>
      </c>
      <c r="BX155" s="611">
        <f>Financials!BX219</f>
        <v>0</v>
      </c>
      <c r="BY155" s="611">
        <f>Financials!BY219</f>
        <v>0</v>
      </c>
      <c r="BZ155" s="1260">
        <f>Financials!BZ219</f>
        <v>-66.504999999999995</v>
      </c>
      <c r="CA155" s="352"/>
      <c r="CB155" s="1259">
        <f>Financials!CB219</f>
        <v>-5.173</v>
      </c>
      <c r="CC155" s="611">
        <f>Financials!CC219</f>
        <v>0</v>
      </c>
      <c r="CD155" s="611">
        <f>Financials!CD219</f>
        <v>0</v>
      </c>
      <c r="CE155" s="1260">
        <f>Financials!CE219</f>
        <v>0</v>
      </c>
      <c r="CF155" s="352"/>
      <c r="CG155" s="1259">
        <f>Financials!CG219</f>
        <v>0</v>
      </c>
      <c r="CH155" s="611">
        <f>Financials!CH219</f>
        <v>0</v>
      </c>
      <c r="CI155" s="611">
        <f>Financials!CI219</f>
        <v>-90.305000000000007</v>
      </c>
      <c r="CJ155" s="1260">
        <f>Financials!CJ219</f>
        <v>1.0000000000047748E-3</v>
      </c>
      <c r="CK155" s="352"/>
      <c r="CL155" s="1259">
        <f>Financials!CL219</f>
        <v>-29.193000000000001</v>
      </c>
      <c r="CM155" s="611">
        <f>Financials!CM219</f>
        <v>0</v>
      </c>
      <c r="CN155" s="611">
        <f>Financials!CN219</f>
        <v>0</v>
      </c>
      <c r="CO155" s="1260">
        <f>Financials!CO219</f>
        <v>0</v>
      </c>
      <c r="CP155" s="352"/>
      <c r="CQ155" s="1259">
        <f>Financials!CQ219</f>
        <v>0</v>
      </c>
      <c r="CR155" s="611">
        <f>Financials!CR219</f>
        <v>0</v>
      </c>
      <c r="CS155" s="611">
        <f>Financials!CS219</f>
        <v>0</v>
      </c>
      <c r="CT155" s="1260">
        <f>Financials!CT219</f>
        <v>0</v>
      </c>
      <c r="CU155" s="352"/>
      <c r="CV155" s="1259">
        <f>Financials!CV219</f>
        <v>0</v>
      </c>
      <c r="CW155" s="611">
        <f>Financials!CW219</f>
        <v>0</v>
      </c>
      <c r="CX155" s="611">
        <f>Financials!CX219</f>
        <v>0</v>
      </c>
      <c r="CY155" s="1260">
        <f>Financials!CY219</f>
        <v>0</v>
      </c>
      <c r="CZ155" s="352"/>
    </row>
    <row r="156" spans="1:104" ht="13.5" customHeight="1" outlineLevel="1">
      <c r="A156" s="352"/>
      <c r="B156" s="14" t="s">
        <v>152</v>
      </c>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352"/>
      <c r="AQ156" s="352"/>
      <c r="AR156" s="352"/>
      <c r="AS156" s="1259">
        <f>Financials!AS218+Financials!AS223+Financials!AS225+Financials!AS226+AS11+AS12</f>
        <v>-49.011000000000003</v>
      </c>
      <c r="AT156" s="611">
        <f>Financials!AT218+Financials!AT223+Financials!AT225+Financials!AT226+AT11+AT12</f>
        <v>-33.393999999999998</v>
      </c>
      <c r="AU156" s="611">
        <f>Financials!AU218+Financials!AU223+Financials!AU225+Financials!AU226+AU11+AU12</f>
        <v>-103.34300000000003</v>
      </c>
      <c r="AV156" s="1260">
        <f>Financials!AV218+Financials!AV223+Financials!AV225+Financials!AV226+AV11+AV12</f>
        <v>-3.868999999999962</v>
      </c>
      <c r="AW156" s="15"/>
      <c r="AX156" s="1259">
        <f>Financials!AX218+Financials!AX223+Financials!AX225+Financials!AX226+AX11+AX12</f>
        <v>1.6679999999999999</v>
      </c>
      <c r="AY156" s="611">
        <f>Financials!AY218+Financials!AY223+Financials!AY225+Financials!AY226+AY11+AY12</f>
        <v>-12.602</v>
      </c>
      <c r="AZ156" s="611">
        <f>Financials!AZ218+Financials!AZ223+Financials!AZ225+Financials!AZ226+AZ11+AZ12</f>
        <v>-33.691000000000003</v>
      </c>
      <c r="BA156" s="1260">
        <f>Financials!BA218+Financials!BA223+Financials!BA225+Financials!BA226+BA11+BA12</f>
        <v>-10.818000000000005</v>
      </c>
      <c r="BB156" s="352"/>
      <c r="BC156" s="1259">
        <f>Financials!BC218+Financials!BC223+Financials!BC225+Financials!BC226+BC11+BC12</f>
        <v>-27.335999999999999</v>
      </c>
      <c r="BD156" s="611">
        <f>Financials!BD218+Financials!BD223+Financials!BD225+Financials!BD226+BD11+BD12</f>
        <v>-12.93</v>
      </c>
      <c r="BE156" s="611">
        <f>Financials!BE218+Financials!BE223+Financials!BE225+Financials!BE226+BE11+BE12</f>
        <v>22.067999999999998</v>
      </c>
      <c r="BF156" s="1260">
        <f>Financials!BF218+Financials!BF223+Financials!BF225+Financials!BF226+BF11+BF12</f>
        <v>-3.8559999999999954</v>
      </c>
      <c r="BG156" s="352"/>
      <c r="BH156" s="1259">
        <f>Financials!BH218+Financials!BH223+Financials!BH225+Financials!BH226+BH11+BH12</f>
        <v>-28.423999999999999</v>
      </c>
      <c r="BI156" s="611">
        <f>Financials!BI218+Financials!BI223+Financials!BI225+Financials!BI226+BI11+BI12</f>
        <v>-13.684999999999999</v>
      </c>
      <c r="BJ156" s="611">
        <f>Financials!BJ218+Financials!BJ223+Financials!BJ225+Financials!BJ226+BJ11+BJ12</f>
        <v>-8.5989999999999984</v>
      </c>
      <c r="BK156" s="1260">
        <f>Financials!BK218+Financials!BK223+Financials!BK225+Financials!BK226+BK11+BK12</f>
        <v>-7.753000000000001</v>
      </c>
      <c r="BL156" s="352"/>
      <c r="BM156" s="1259">
        <f>Financials!BM218+Financials!BM223+Financials!BM225+Financials!BM226+BM11+BM12</f>
        <v>-33.984999999999999</v>
      </c>
      <c r="BN156" s="611">
        <f>Financials!BN218+Financials!BN223+Financials!BN225+Financials!BN226+BN11+BN12</f>
        <v>-21.471999999999998</v>
      </c>
      <c r="BO156" s="611">
        <f>Financials!BO218+Financials!BO223+Financials!BO225+Financials!BO226+BO11+BO12</f>
        <v>-13.276</v>
      </c>
      <c r="BP156" s="1260">
        <f>Financials!BP218+Financials!BP223+Financials!BP225+Financials!BP226+BP11+BP12</f>
        <v>-12.624000000000004</v>
      </c>
      <c r="BQ156" s="352"/>
      <c r="BR156" s="1259">
        <f>Financials!BR218+Financials!BR223+Financials!BR225+Financials!BR226+BR11+BR12</f>
        <v>-25.094999999999999</v>
      </c>
      <c r="BS156" s="611">
        <f>Financials!BS218+Financials!BS223+Financials!BS225+Financials!BS226+BS11+BS12</f>
        <v>-11.205000000000002</v>
      </c>
      <c r="BT156" s="611">
        <f>Financials!BT218+Financials!BT223+Financials!BT225+Financials!BT226+BT11+BT12</f>
        <v>-9.0870000000000015</v>
      </c>
      <c r="BU156" s="1260">
        <f>Financials!BU218+Financials!BU223+Financials!BU225+Financials!BU226+BU11+BU12</f>
        <v>-11.486999999999995</v>
      </c>
      <c r="BV156" s="352"/>
      <c r="BW156" s="1259">
        <f>Financials!BW218+Financials!BW223+Financials!BW225+Financials!BW226+BW11+BW12</f>
        <v>-24.894000000000002</v>
      </c>
      <c r="BX156" s="611">
        <f>Financials!BX218+Financials!BX223+Financials!BX225+Financials!BX226+BX11+BX12</f>
        <v>-13.911000000000001</v>
      </c>
      <c r="BY156" s="611">
        <f>Financials!BY218+Financials!BY223+Financials!BY225+Financials!BY226+BY11+BY12</f>
        <v>-16.786999999999999</v>
      </c>
      <c r="BZ156" s="1260">
        <f>Financials!BZ218+Financials!BZ223+Financials!BZ225+Financials!BZ226+BZ11+BZ12</f>
        <v>-16.106000000000002</v>
      </c>
      <c r="CA156" s="352"/>
      <c r="CB156" s="1259">
        <f>Financials!CB218+Financials!CB223+Financials!CB225+Financials!CB226+CB11+CB12</f>
        <v>-50.059000000000005</v>
      </c>
      <c r="CC156" s="611">
        <f>Financials!CC218+Financials!CC223+Financials!CC225+Financials!CC226+CC11+CC12</f>
        <v>-30.456999999999994</v>
      </c>
      <c r="CD156" s="611">
        <f>Financials!CD218+Financials!CD223+Financials!CD225+Financials!CD226+CD11+CD12</f>
        <v>-4.2700000000000085</v>
      </c>
      <c r="CE156" s="1260">
        <f>Financials!CE218+Financials!CE223+Financials!CE225+Financials!CE226+CE11+CE12</f>
        <v>-9.5639999999999894</v>
      </c>
      <c r="CF156" s="352"/>
      <c r="CG156" s="1259">
        <f>Financials!CG218+Financials!CG223+Financials!CG225+Financials!CG226+CG11+CG12</f>
        <v>-55.978999999999992</v>
      </c>
      <c r="CH156" s="611">
        <f>Financials!CH218+Financials!CH223+Financials!CH225+Financials!CH226+CH11+CH12</f>
        <v>-30.295000000000005</v>
      </c>
      <c r="CI156" s="611">
        <f>Financials!CI218+Financials!CI223+Financials!CI225+Financials!CI226+CI11+CI12</f>
        <v>-4.9909999999999917</v>
      </c>
      <c r="CJ156" s="1260">
        <f>Financials!CJ218+Financials!CJ223+Financials!CJ225+Financials!CJ226+CJ11+CJ12</f>
        <v>-6.2130000000000116</v>
      </c>
      <c r="CK156" s="352"/>
      <c r="CL156" s="1259">
        <f>Financials!CL218+Financials!CL223+Financials!CL225+Financials!CL226+CL11+CL12</f>
        <v>-15.754999999999999</v>
      </c>
      <c r="CM156" s="611">
        <f>Financials!CM218+Financials!CM223+Financials!CM225+Financials!CM226+CM11+CM12</f>
        <v>-17.876000000000005</v>
      </c>
      <c r="CN156" s="611">
        <f>Financials!CN218+Financials!CN223+Financials!CN225+Financials!CN226+CN11+CN12</f>
        <v>-5.6739999999999924</v>
      </c>
      <c r="CO156" s="1260">
        <f>Financials!CO218+Financials!CO223+Financials!CO225+Financials!CO226+CO11+CO12</f>
        <v>-5.8800000000000097</v>
      </c>
      <c r="CP156" s="352"/>
      <c r="CQ156" s="1259">
        <f>Financials!CQ218+Financials!CQ223+Financials!CQ225+Financials!CQ226+CQ11+CQ12</f>
        <v>-24.792999999999999</v>
      </c>
      <c r="CR156" s="611">
        <f>Financials!CR218+Financials!CR223+Financials!CR225+Financials!CR226+CR11+CR12</f>
        <v>-17.876000000000005</v>
      </c>
      <c r="CS156" s="611">
        <f>Financials!CS218+Financials!CS223+Financials!CS225+Financials!CS226+CS11+CS12</f>
        <v>-5.6739999999999924</v>
      </c>
      <c r="CT156" s="1260">
        <f>Financials!CT218+Financials!CT223+Financials!CT225+Financials!CT226+CT11+CT12</f>
        <v>-5.8800000000000097</v>
      </c>
      <c r="CU156" s="352"/>
      <c r="CV156" s="1259">
        <f>Financials!CV218+Financials!CV223+Financials!CV225+Financials!CV226+CV11+CV12</f>
        <v>-24.792999999999999</v>
      </c>
      <c r="CW156" s="611">
        <f>Financials!CW218+Financials!CW223+Financials!CW225+Financials!CW226+CW11+CW12</f>
        <v>-17.876000000000005</v>
      </c>
      <c r="CX156" s="611">
        <f>Financials!CX218+Financials!CX223+Financials!CX225+Financials!CX226+CX11+CX12</f>
        <v>-5.6739999999999924</v>
      </c>
      <c r="CY156" s="1260">
        <f>Financials!CY218+Financials!CY223+Financials!CY225+Financials!CY226+CY11+CY12</f>
        <v>-5.8800000000000097</v>
      </c>
      <c r="CZ156" s="352"/>
    </row>
    <row r="157" spans="1:104" ht="13.5" customHeight="1" outlineLevel="1">
      <c r="A157" s="352"/>
      <c r="B157" s="12" t="s">
        <v>617</v>
      </c>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352"/>
      <c r="AQ157" s="352"/>
      <c r="AR157" s="352"/>
      <c r="AS157" s="1257">
        <f>SUM(AS154:AS156)</f>
        <v>-161.845</v>
      </c>
      <c r="AT157" s="13">
        <f>SUM(AT154:AT156)</f>
        <v>-141.68700000000001</v>
      </c>
      <c r="AU157" s="13">
        <f>SUM(AU154:AU156)</f>
        <v>-214.31200000000004</v>
      </c>
      <c r="AV157" s="1258">
        <f>SUM(AV154:AV156)</f>
        <v>-114.88199999999993</v>
      </c>
      <c r="AW157" s="13"/>
      <c r="AX157" s="1257">
        <f>SUM(AX154:AX156)</f>
        <v>-112.52499999999999</v>
      </c>
      <c r="AY157" s="13">
        <f>SUM(AY154:AY156)</f>
        <v>-126.87400000000001</v>
      </c>
      <c r="AZ157" s="13">
        <f>SUM(AZ154:AZ156)</f>
        <v>-148.089</v>
      </c>
      <c r="BA157" s="1258">
        <f>SUM(BA154:BA156)</f>
        <v>-125.23699999999999</v>
      </c>
      <c r="BB157" s="352"/>
      <c r="BC157" s="1257">
        <f>SUM(BC154:BC156)</f>
        <v>-142.56900000000002</v>
      </c>
      <c r="BD157" s="13">
        <f>SUM(BD154:BD156)</f>
        <v>-128.25800000000001</v>
      </c>
      <c r="BE157" s="13">
        <f>SUM(BE154:BE156)</f>
        <v>-93.375999999999991</v>
      </c>
      <c r="BF157" s="1258">
        <f>SUM(BF154:BF156)</f>
        <v>-119.36899999999997</v>
      </c>
      <c r="BG157" s="352"/>
      <c r="BH157" s="1257">
        <f>SUM(BH154:BH156)</f>
        <v>-144.749</v>
      </c>
      <c r="BI157" s="13">
        <f>SUM(BI154:BI156)</f>
        <v>-130.12599999999998</v>
      </c>
      <c r="BJ157" s="13">
        <f>SUM(BJ154:BJ156)</f>
        <v>-125.37100000000002</v>
      </c>
      <c r="BK157" s="1258">
        <f>SUM(BK154:BK156)</f>
        <v>-124.57599999999998</v>
      </c>
      <c r="BL157" s="352"/>
      <c r="BM157" s="1257">
        <f>SUM(BM154:BM156)</f>
        <v>-151.60300000000001</v>
      </c>
      <c r="BN157" s="13">
        <f>SUM(BN154:BN156)</f>
        <v>-139.13400000000001</v>
      </c>
      <c r="BO157" s="13">
        <f>SUM(BO154:BO156)</f>
        <v>-131.15099999999998</v>
      </c>
      <c r="BP157" s="1258">
        <f>SUM(BP154:BP156)</f>
        <v>-130.49700000000004</v>
      </c>
      <c r="BQ157" s="352"/>
      <c r="BR157" s="1257">
        <f>SUM(BR154:BR156)</f>
        <v>-143.77500000000001</v>
      </c>
      <c r="BS157" s="13">
        <f>SUM(BS154:BS156)</f>
        <v>-129.89400000000001</v>
      </c>
      <c r="BT157" s="13">
        <f>SUM(BT154:BT156)</f>
        <v>-127.94800000000002</v>
      </c>
      <c r="BU157" s="1258">
        <f>SUM(BU154:BU156)</f>
        <v>-130.37999999999997</v>
      </c>
      <c r="BV157" s="352"/>
      <c r="BW157" s="1257">
        <f>SUM(BW154:BW156)</f>
        <v>-144.60599999999999</v>
      </c>
      <c r="BX157" s="13">
        <f>SUM(BX154:BX156)</f>
        <v>-133.67500000000001</v>
      </c>
      <c r="BY157" s="13">
        <f>SUM(BY154:BY156)</f>
        <v>-136.77200000000002</v>
      </c>
      <c r="BZ157" s="1258">
        <f>SUM(BZ154:BZ156)</f>
        <v>-202.58199999999999</v>
      </c>
      <c r="CA157" s="352"/>
      <c r="CB157" s="1257">
        <f>SUM(CB154:CB156)</f>
        <v>-175.38500000000002</v>
      </c>
      <c r="CC157" s="13">
        <f>SUM(CC154:CC156)</f>
        <v>-150.60599999999999</v>
      </c>
      <c r="CD157" s="13">
        <f>SUM(CD154:CD156)</f>
        <v>-124.64300000000001</v>
      </c>
      <c r="CE157" s="1258">
        <f>SUM(CE154:CE156)</f>
        <v>-129.97200000000001</v>
      </c>
      <c r="CF157" s="352"/>
      <c r="CG157" s="1257">
        <f>SUM(CG154:CG156)</f>
        <v>-177.28199999999998</v>
      </c>
      <c r="CH157" s="13">
        <f>SUM(CH154:CH156)</f>
        <v>-151.69600000000003</v>
      </c>
      <c r="CI157" s="13">
        <f>SUM(CI154:CI156)</f>
        <v>-216.89400000000001</v>
      </c>
      <c r="CJ157" s="1258">
        <f>SUM(CJ154:CJ156)</f>
        <v>-127.23100000000001</v>
      </c>
      <c r="CK157" s="352"/>
      <c r="CL157" s="1257">
        <f>SUM(CL154:CL156)</f>
        <v>-166.73500000000001</v>
      </c>
      <c r="CM157" s="13">
        <f>SUM(CM154:CM156)</f>
        <v>-137.889544435</v>
      </c>
      <c r="CN157" s="13">
        <f>SUM(CN154:CN156)</f>
        <v>-125.68754443499999</v>
      </c>
      <c r="CO157" s="1258">
        <f>SUM(CO154:CO156)</f>
        <v>-125.89354443500001</v>
      </c>
      <c r="CP157" s="352"/>
      <c r="CQ157" s="1257">
        <f>SUM(CQ154:CQ156)</f>
        <v>-144.80654443500001</v>
      </c>
      <c r="CR157" s="13">
        <f>SUM(CR154:CR156)</f>
        <v>-137.889544435</v>
      </c>
      <c r="CS157" s="13">
        <f>SUM(CS154:CS156)</f>
        <v>-125.68754443499999</v>
      </c>
      <c r="CT157" s="1258">
        <f>SUM(CT154:CT156)</f>
        <v>-125.89354443500001</v>
      </c>
      <c r="CU157" s="352"/>
      <c r="CV157" s="1257">
        <f>SUM(CV154:CV156)</f>
        <v>-144.80654443500001</v>
      </c>
      <c r="CW157" s="13">
        <f>SUM(CW154:CW156)</f>
        <v>-137.889544435</v>
      </c>
      <c r="CX157" s="13">
        <f>SUM(CX154:CX156)</f>
        <v>-125.68754443499999</v>
      </c>
      <c r="CY157" s="1258">
        <f>SUM(CY154:CY156)</f>
        <v>-125.89354443500001</v>
      </c>
      <c r="CZ157" s="352"/>
    </row>
    <row r="158" spans="1:104" ht="6.2" customHeight="1">
      <c r="A158" s="352"/>
      <c r="B158" s="18"/>
      <c r="C158" s="15"/>
      <c r="D158" s="15"/>
      <c r="E158" s="15"/>
      <c r="F158" s="15"/>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19"/>
      <c r="AP158" s="352"/>
      <c r="AQ158" s="352"/>
      <c r="AR158" s="352"/>
      <c r="AS158" s="1263"/>
      <c r="AT158" s="21"/>
      <c r="AU158" s="21"/>
      <c r="AV158" s="1266"/>
      <c r="AW158" s="21"/>
      <c r="AX158" s="1263"/>
      <c r="AY158" s="21"/>
      <c r="AZ158" s="21"/>
      <c r="BA158" s="1266"/>
      <c r="BB158" s="352"/>
      <c r="BC158" s="1263"/>
      <c r="BD158" s="21"/>
      <c r="BE158" s="21"/>
      <c r="BF158" s="1266"/>
      <c r="BG158" s="352"/>
      <c r="BH158" s="1263"/>
      <c r="BI158" s="21"/>
      <c r="BJ158" s="21"/>
      <c r="BK158" s="1266"/>
      <c r="BL158" s="352"/>
      <c r="BM158" s="1263"/>
      <c r="BN158" s="21"/>
      <c r="BO158" s="21"/>
      <c r="BP158" s="1266"/>
      <c r="BQ158" s="352"/>
      <c r="BR158" s="1263"/>
      <c r="BS158" s="21"/>
      <c r="BT158" s="21"/>
      <c r="BU158" s="1266"/>
      <c r="BV158" s="352"/>
      <c r="BW158" s="1263"/>
      <c r="BX158" s="21"/>
      <c r="BY158" s="21"/>
      <c r="BZ158" s="1266"/>
      <c r="CA158" s="352"/>
      <c r="CB158" s="1263"/>
      <c r="CC158" s="21"/>
      <c r="CD158" s="21"/>
      <c r="CE158" s="1278"/>
      <c r="CF158" s="352"/>
      <c r="CG158" s="1259"/>
      <c r="CH158" s="611"/>
      <c r="CI158" s="21"/>
      <c r="CJ158" s="1278"/>
      <c r="CK158" s="352"/>
      <c r="CL158" s="1263"/>
      <c r="CM158" s="21"/>
      <c r="CN158" s="21"/>
      <c r="CO158" s="1266"/>
      <c r="CP158" s="352"/>
      <c r="CQ158" s="1263"/>
      <c r="CR158" s="21"/>
      <c r="CS158" s="21"/>
      <c r="CT158" s="1266"/>
      <c r="CU158" s="352"/>
      <c r="CV158" s="1263"/>
      <c r="CW158" s="21"/>
      <c r="CX158" s="21"/>
      <c r="CY158" s="1266"/>
      <c r="CZ158" s="352"/>
    </row>
    <row r="159" spans="1:104" ht="13.5" customHeight="1">
      <c r="A159" s="352"/>
      <c r="B159" s="12" t="s">
        <v>266</v>
      </c>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352"/>
      <c r="AQ159" s="352"/>
      <c r="AR159" s="352"/>
      <c r="AS159" s="1257">
        <f>AS151+AS157</f>
        <v>1875.079</v>
      </c>
      <c r="AT159" s="13">
        <f>AT151+AT157</f>
        <v>1999.2860000000001</v>
      </c>
      <c r="AU159" s="13">
        <f>AU151+AU157</f>
        <v>2026.9880000000001</v>
      </c>
      <c r="AV159" s="1258">
        <f>AV151+AV157</f>
        <v>2045.7500000000002</v>
      </c>
      <c r="AW159" s="13"/>
      <c r="AX159" s="1257">
        <f>AX151+AX157</f>
        <v>1787.9779999999996</v>
      </c>
      <c r="AY159" s="13">
        <f>AY151+AY157</f>
        <v>956.00399999999968</v>
      </c>
      <c r="AZ159" s="13">
        <f>AZ151+AZ157</f>
        <v>1205.7150000000001</v>
      </c>
      <c r="BA159" s="1258">
        <f>BA151+BA157</f>
        <v>1667.8930000000005</v>
      </c>
      <c r="BB159" s="352"/>
      <c r="BC159" s="1257">
        <f>BC151+BC157</f>
        <v>2089.3780000000002</v>
      </c>
      <c r="BD159" s="13">
        <f>BD151+BD157</f>
        <v>2085.1889999999999</v>
      </c>
      <c r="BE159" s="13">
        <f>BE151+BE157</f>
        <v>2225.8219999999997</v>
      </c>
      <c r="BF159" s="1258">
        <f>BF151+BF157</f>
        <v>2367.4849999999997</v>
      </c>
      <c r="BG159" s="352"/>
      <c r="BH159" s="1257">
        <f>BH151+BH157</f>
        <v>2169.1660000000002</v>
      </c>
      <c r="BI159" s="13">
        <f>BI151+BI157</f>
        <v>1392.231</v>
      </c>
      <c r="BJ159" s="13">
        <f>BJ151+BJ157</f>
        <v>1988.6859999999997</v>
      </c>
      <c r="BK159" s="1258">
        <f>BK151+BK157</f>
        <v>2867.7470000000003</v>
      </c>
      <c r="BL159" s="352"/>
      <c r="BM159" s="1257">
        <f>BM151+BM157</f>
        <v>573.29700000000003</v>
      </c>
      <c r="BN159" s="13">
        <f>BN151+BN157</f>
        <v>686.02600000000007</v>
      </c>
      <c r="BO159" s="13">
        <f>BO151+BO157</f>
        <v>619.32800000000009</v>
      </c>
      <c r="BP159" s="1258">
        <f>BP151+BP157</f>
        <v>1323.546</v>
      </c>
      <c r="BQ159" s="352"/>
      <c r="BR159" s="1257">
        <f>BR151+BR157</f>
        <v>985.38</v>
      </c>
      <c r="BS159" s="13">
        <f>BS151+BS157</f>
        <v>949.89699999999993</v>
      </c>
      <c r="BT159" s="13">
        <f>BT151+BT157</f>
        <v>1203.1489999999999</v>
      </c>
      <c r="BU159" s="1258">
        <f>BU151+BU157</f>
        <v>761.90400000000011</v>
      </c>
      <c r="BV159" s="352"/>
      <c r="BW159" s="1257">
        <f>BW151+BW157</f>
        <v>1249.4069999999999</v>
      </c>
      <c r="BX159" s="13">
        <f>BX151+BX157</f>
        <v>1465.643</v>
      </c>
      <c r="BY159" s="13">
        <f>BY151+BY157</f>
        <v>1808.7930000000001</v>
      </c>
      <c r="BZ159" s="1258">
        <f>BZ151+BZ157</f>
        <v>1848.0340000000001</v>
      </c>
      <c r="CA159" s="352"/>
      <c r="CB159" s="1257">
        <f>CB151+CB157</f>
        <v>2182.8629999999998</v>
      </c>
      <c r="CC159" s="13">
        <f>CC151+CC157</f>
        <v>1644.1139999999998</v>
      </c>
      <c r="CD159" s="13">
        <f>CD151+CD157</f>
        <v>2047.701</v>
      </c>
      <c r="CE159" s="1258">
        <f>CE151+CE157</f>
        <v>2510.9450000000002</v>
      </c>
      <c r="CF159" s="352"/>
      <c r="CG159" s="1257">
        <f>CG151+CG157</f>
        <v>1578.0960000000002</v>
      </c>
      <c r="CH159" s="13">
        <f>CH151+CH157</f>
        <v>1368.4839999999999</v>
      </c>
      <c r="CI159" s="13">
        <f>CI151+CI157</f>
        <v>1398.6140000000003</v>
      </c>
      <c r="CJ159" s="1258">
        <f>CJ151+CJ157</f>
        <v>1405.0909999999999</v>
      </c>
      <c r="CK159" s="352"/>
      <c r="CL159" s="1257">
        <f>CL151+CL157</f>
        <v>589.12800000000016</v>
      </c>
      <c r="CM159" s="13">
        <f>CM151+CM157</f>
        <v>349.21243731384965</v>
      </c>
      <c r="CN159" s="13">
        <f>CN151+CN157</f>
        <v>1079.8047324682864</v>
      </c>
      <c r="CO159" s="1258">
        <f>CO151+CO157</f>
        <v>1474.7992526287446</v>
      </c>
      <c r="CP159" s="352"/>
      <c r="CQ159" s="1257">
        <f>CQ151+CQ157</f>
        <v>1434.4942214375224</v>
      </c>
      <c r="CR159" s="13">
        <f>CR151+CR157</f>
        <v>2137.625723438453</v>
      </c>
      <c r="CS159" s="13">
        <f>CS151+CS157</f>
        <v>2463.174284143277</v>
      </c>
      <c r="CT159" s="1258">
        <f>CT151+CT157</f>
        <v>2833.9736067225044</v>
      </c>
      <c r="CU159" s="352"/>
      <c r="CV159" s="1257">
        <f>CV151+CV157</f>
        <v>2806.504842048706</v>
      </c>
      <c r="CW159" s="13">
        <f>CW151+CW157</f>
        <v>3579.2627900715224</v>
      </c>
      <c r="CX159" s="13">
        <f>CX151+CX157</f>
        <v>3956.7814770570603</v>
      </c>
      <c r="CY159" s="1258">
        <f>CY151+CY157</f>
        <v>4415.6122040272321</v>
      </c>
      <c r="CZ159" s="352"/>
    </row>
    <row r="160" spans="1:104" ht="13.5" customHeight="1">
      <c r="A160" s="352"/>
      <c r="B160" s="632" t="s">
        <v>618</v>
      </c>
      <c r="C160" s="9"/>
      <c r="D160" s="7"/>
      <c r="E160" s="7"/>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11"/>
      <c r="AO160" s="11"/>
      <c r="AP160" s="352"/>
      <c r="AQ160" s="352"/>
      <c r="AR160" s="352"/>
      <c r="AS160" s="1267">
        <f>AS159+AS122</f>
        <v>1700.079</v>
      </c>
      <c r="AT160" s="1268">
        <f>AT159+AT122</f>
        <v>1999.2860000000001</v>
      </c>
      <c r="AU160" s="1268">
        <f>AU159+AU122</f>
        <v>2021.588</v>
      </c>
      <c r="AV160" s="1269">
        <f>AV159+AV122</f>
        <v>2045.7500000000002</v>
      </c>
      <c r="AW160" s="11"/>
      <c r="AX160" s="1267">
        <f>AX159+AX122</f>
        <v>1787.9779999999996</v>
      </c>
      <c r="AY160" s="1268">
        <f>AY159+AY122</f>
        <v>956.00399999999968</v>
      </c>
      <c r="AZ160" s="1268">
        <f>AZ159+AZ122</f>
        <v>1205.7150000000001</v>
      </c>
      <c r="BA160" s="1269">
        <f>BA159+BA122</f>
        <v>1667.8930000000005</v>
      </c>
      <c r="BB160" s="352"/>
      <c r="BC160" s="1267">
        <f>BC159+BC122</f>
        <v>2089.3780000000002</v>
      </c>
      <c r="BD160" s="1268">
        <f>BD159+BD122</f>
        <v>2085.1889999999999</v>
      </c>
      <c r="BE160" s="1268">
        <f>BE159+BE122</f>
        <v>2225.8219999999997</v>
      </c>
      <c r="BF160" s="1269">
        <f>BF159+BF122</f>
        <v>2367.4849999999997</v>
      </c>
      <c r="BG160" s="352"/>
      <c r="BH160" s="1267">
        <f>BH159+BH122</f>
        <v>2169.1660000000002</v>
      </c>
      <c r="BI160" s="1268">
        <f>BI159+BI122</f>
        <v>1392.231</v>
      </c>
      <c r="BJ160" s="1268">
        <f>BJ159+BJ122</f>
        <v>1988.6859999999997</v>
      </c>
      <c r="BK160" s="1269">
        <f>BK159+BK122</f>
        <v>2217.7470000000003</v>
      </c>
      <c r="BL160" s="352"/>
      <c r="BM160" s="1267">
        <f>BM159+BM122</f>
        <v>573.29700000000003</v>
      </c>
      <c r="BN160" s="1268">
        <f>BN159+BN122</f>
        <v>436.02600000000007</v>
      </c>
      <c r="BO160" s="1268">
        <f>BO159+BO122</f>
        <v>619.32800000000009</v>
      </c>
      <c r="BP160" s="1269">
        <f>BP159+BP122</f>
        <v>1323.546</v>
      </c>
      <c r="BQ160" s="352"/>
      <c r="BR160" s="1267">
        <f>BR159+BR122</f>
        <v>985.38</v>
      </c>
      <c r="BS160" s="1268">
        <f>BS159+BS122</f>
        <v>949.89699999999993</v>
      </c>
      <c r="BT160" s="1268">
        <f>BT159+BT122</f>
        <v>1203.1489999999999</v>
      </c>
      <c r="BU160" s="1269">
        <f>BU159+BU122</f>
        <v>761.90400000000011</v>
      </c>
      <c r="BV160" s="352"/>
      <c r="BW160" s="1267">
        <f>BW159+BW122</f>
        <v>1249.4069999999999</v>
      </c>
      <c r="BX160" s="1268">
        <f>BX159+BX122</f>
        <v>1465.643</v>
      </c>
      <c r="BY160" s="1268">
        <f>BY159+BY122</f>
        <v>1808.7930000000001</v>
      </c>
      <c r="BZ160" s="1269">
        <f>BZ159+BZ122</f>
        <v>1844.769</v>
      </c>
      <c r="CA160" s="352"/>
      <c r="CB160" s="1267">
        <f>CB159+CB122</f>
        <v>2182.8629999999998</v>
      </c>
      <c r="CC160" s="1268">
        <f>CC159+CC122</f>
        <v>1644.1139999999998</v>
      </c>
      <c r="CD160" s="1268">
        <f>CD159+CD122</f>
        <v>2047.701</v>
      </c>
      <c r="CE160" s="1269">
        <f>CE159+CE122</f>
        <v>2494.61</v>
      </c>
      <c r="CF160" s="352"/>
      <c r="CG160" s="1267">
        <f>CG159+CG122</f>
        <v>1578.0960000000002</v>
      </c>
      <c r="CH160" s="1268">
        <f>CH159+CH122</f>
        <v>1368.4839999999999</v>
      </c>
      <c r="CI160" s="1268">
        <f>CI159+CI122</f>
        <v>1398.6140000000003</v>
      </c>
      <c r="CJ160" s="1269">
        <f>CJ159+CJ122</f>
        <v>1405.0909999999999</v>
      </c>
      <c r="CK160" s="352"/>
      <c r="CL160" s="1267">
        <f>CL159+CL122</f>
        <v>589.12800000000016</v>
      </c>
      <c r="CM160" s="1268">
        <f>CM159+CM122</f>
        <v>349.21243731384965</v>
      </c>
      <c r="CN160" s="1268">
        <f>CN159+CN122</f>
        <v>1079.8047324682864</v>
      </c>
      <c r="CO160" s="1269">
        <f>CO159+CO122</f>
        <v>1474.7992526287446</v>
      </c>
      <c r="CP160" s="352"/>
      <c r="CQ160" s="1267">
        <f>CQ159+CQ122</f>
        <v>1434.4942214375224</v>
      </c>
      <c r="CR160" s="1268">
        <f>CR159+CR122</f>
        <v>2137.625723438453</v>
      </c>
      <c r="CS160" s="1268">
        <f>CS159+CS122</f>
        <v>2463.174284143277</v>
      </c>
      <c r="CT160" s="1269">
        <f>CT159+CT122</f>
        <v>2833.9736067225044</v>
      </c>
      <c r="CU160" s="352"/>
      <c r="CV160" s="1267">
        <f>CV159+CV122</f>
        <v>2806.504842048706</v>
      </c>
      <c r="CW160" s="1268">
        <f>CW159+CW122</f>
        <v>3579.2627900715224</v>
      </c>
      <c r="CX160" s="1268">
        <f>CX159+CX122</f>
        <v>3956.7814770570603</v>
      </c>
      <c r="CY160" s="1269">
        <f>CY159+CY122</f>
        <v>4415.6122040272321</v>
      </c>
      <c r="CZ160" s="352"/>
    </row>
    <row r="161" spans="45:103" ht="13.5" customHeight="1">
      <c r="AS161" s="907"/>
      <c r="AT161" s="536"/>
      <c r="AU161" s="536"/>
      <c r="AV161" s="908"/>
      <c r="AX161" s="907"/>
      <c r="AY161" s="536"/>
      <c r="AZ161" s="536"/>
      <c r="BA161" s="908"/>
      <c r="BC161" s="907"/>
      <c r="BD161" s="536"/>
      <c r="BE161" s="536"/>
      <c r="BF161" s="908"/>
      <c r="BH161" s="907"/>
      <c r="BI161" s="536"/>
      <c r="BJ161" s="536"/>
      <c r="BK161" s="908"/>
      <c r="BM161" s="907"/>
      <c r="BN161" s="536"/>
      <c r="BO161" s="536"/>
      <c r="BP161" s="908"/>
      <c r="BR161" s="907"/>
      <c r="BS161" s="536"/>
      <c r="BT161" s="536"/>
      <c r="BU161" s="908"/>
      <c r="BW161" s="907"/>
      <c r="BX161" s="536"/>
      <c r="BY161" s="536"/>
      <c r="BZ161" s="908"/>
      <c r="CB161" s="907"/>
      <c r="CC161" s="536"/>
      <c r="CD161" s="536"/>
      <c r="CE161" s="908"/>
      <c r="CG161" s="907"/>
      <c r="CH161" s="536"/>
      <c r="CI161" s="536"/>
      <c r="CJ161" s="908"/>
      <c r="CL161" s="907"/>
      <c r="CM161" s="536"/>
      <c r="CN161" s="536"/>
      <c r="CO161" s="908"/>
      <c r="CQ161" s="907"/>
      <c r="CR161" s="536"/>
      <c r="CS161" s="536"/>
      <c r="CT161" s="908"/>
      <c r="CV161" s="907"/>
      <c r="CW161" s="536"/>
      <c r="CX161" s="536"/>
      <c r="CY161" s="908"/>
    </row>
  </sheetData>
  <customSheetViews>
    <customSheetView guid="{08BAB49F-44A8-4F04-A2E3-24B12C6D0857}" showGridLines="0" fitToPage="1" hiddenColumns="1">
      <pane xSplit="8" ySplit="4" topLeftCell="AU5" activePane="bottomRight" state="frozen"/>
      <selection pane="bottomRight"/>
      <pageMargins left="0.75" right="0.75" top="0.66" bottom="1" header="0.5" footer="0.5"/>
      <pageSetup scale="34" orientation="landscape" r:id="rId1"/>
      <headerFooter alignWithMargins="0">
        <oddFooter>&amp;L&amp;8Morgan Stanley&amp;C&amp;8&amp;F&amp;R&amp;8&amp;P of &amp;N</oddFooter>
      </headerFooter>
    </customSheetView>
    <customSheetView guid="{4482C16F-8DC0-49F3-9E1F-335117126152}" showGridLines="0" fitToPage="1" hiddenColumns="1">
      <pane xSplit="8" ySplit="4" topLeftCell="AU5" activePane="bottomRight" state="frozen"/>
      <selection pane="bottomRight"/>
      <pageMargins left="0.75" right="0.75" top="0.66" bottom="1" header="0.5" footer="0.5"/>
      <pageSetup scale="34" orientation="landscape" r:id="rId2"/>
      <headerFooter alignWithMargins="0">
        <oddFooter>&amp;L&amp;8Morgan Stanley&amp;C&amp;8&amp;F&amp;R&amp;8&amp;P of &amp;N</oddFooter>
      </headerFooter>
    </customSheetView>
  </customSheetViews>
  <phoneticPr fontId="7" type="noConversion"/>
  <pageMargins left="0.75" right="0.75" top="0.66" bottom="1" header="0.5" footer="0.5"/>
  <pageSetup scale="24" orientation="landscape" r:id="rId3"/>
  <headerFooter alignWithMargins="0">
    <oddFooter>&amp;L&amp;8Morgan Stanley&amp;C&amp;8&amp;F&amp;R&amp;8&amp;P of &amp;N</oddFooter>
  </headerFooter>
  <drawing r:id="rId4"/>
  <legacy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R2"/>
  <sheetViews>
    <sheetView workbookViewId="0"/>
  </sheetViews>
  <sheetFormatPr defaultRowHeight="12.75"/>
  <sheetData>
    <row r="1" spans="1:18">
      <c r="A1" t="s">
        <v>27</v>
      </c>
    </row>
    <row r="2" spans="1:18">
      <c r="A2" s="3" t="s">
        <v>345</v>
      </c>
      <c r="B2" s="3" t="s">
        <v>686</v>
      </c>
      <c r="C2" s="3" t="s">
        <v>109</v>
      </c>
      <c r="D2" s="3" t="s">
        <v>167</v>
      </c>
      <c r="E2" s="3" t="s">
        <v>111</v>
      </c>
      <c r="F2" s="3" t="s">
        <v>461</v>
      </c>
      <c r="G2" s="3" t="s">
        <v>112</v>
      </c>
      <c r="H2" s="3" t="s">
        <v>461</v>
      </c>
      <c r="I2" s="3" t="s">
        <v>26</v>
      </c>
      <c r="J2" s="3" t="s">
        <v>461</v>
      </c>
      <c r="K2" s="3" t="s">
        <v>25</v>
      </c>
      <c r="L2" s="3" t="s">
        <v>461</v>
      </c>
      <c r="M2" s="3" t="s">
        <v>346</v>
      </c>
      <c r="N2" s="3" t="s">
        <v>347</v>
      </c>
      <c r="O2" s="3" t="s">
        <v>344</v>
      </c>
      <c r="P2" s="3" t="s">
        <v>554</v>
      </c>
      <c r="Q2" s="3" t="s">
        <v>110</v>
      </c>
      <c r="R2" s="3" t="s">
        <v>461</v>
      </c>
    </row>
  </sheetData>
  <customSheetViews>
    <customSheetView guid="{08BAB49F-44A8-4F04-A2E3-24B12C6D0857}" state="veryHidden">
      <pageMargins left="0.75" right="0.75" top="1" bottom="1" header="0.5" footer="0.5"/>
      <pageSetup orientation="portrait" r:id="rId1"/>
      <headerFooter alignWithMargins="0"/>
    </customSheetView>
    <customSheetView guid="{4482C16F-8DC0-49F3-9E1F-335117126152}" state="veryHidden">
      <pageMargins left="0.75" right="0.75" top="1" bottom="1" header="0.5" footer="0.5"/>
      <pageSetup orientation="portrait" r:id="rId2"/>
      <headerFooter alignWithMargins="0"/>
    </customSheetView>
  </customSheetViews>
  <phoneticPr fontId="7" type="noConversion"/>
  <pageMargins left="0.75" right="0.75" top="1" bottom="1" header="0.5" footer="0.5"/>
  <pageSetup orientation="portrait" r:id="rId3"/>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enableFormatConditionsCalculation="0">
    <tabColor theme="3" tint="-0.249977111117893"/>
    <pageSetUpPr fitToPage="1"/>
  </sheetPr>
  <dimension ref="A1:Y53"/>
  <sheetViews>
    <sheetView showGridLines="0" topLeftCell="B3" zoomScaleNormal="100" workbookViewId="0">
      <selection activeCell="C39" sqref="C39:G39"/>
    </sheetView>
  </sheetViews>
  <sheetFormatPr defaultColWidth="9.140625" defaultRowHeight="12.75" outlineLevelCol="1"/>
  <cols>
    <col min="1" max="1" width="1.42578125" customWidth="1"/>
    <col min="2" max="2" width="19.5703125" bestFit="1" customWidth="1"/>
    <col min="3" max="3" width="6.42578125" customWidth="1"/>
    <col min="4" max="5" width="6.42578125" hidden="1" customWidth="1" outlineLevel="1"/>
    <col min="6" max="6" width="6.42578125" customWidth="1" collapsed="1"/>
    <col min="7" max="8" width="6.42578125" customWidth="1"/>
    <col min="9" max="9" width="1.42578125" hidden="1" customWidth="1" outlineLevel="1"/>
    <col min="10" max="15" width="6.42578125" hidden="1" customWidth="1" outlineLevel="1"/>
    <col min="16" max="16" width="1.42578125" customWidth="1" collapsed="1"/>
    <col min="17" max="17" width="6.42578125" customWidth="1"/>
    <col min="18" max="19" width="6.42578125" hidden="1" customWidth="1" outlineLevel="1"/>
    <col min="20" max="20" width="6.42578125" customWidth="1" collapsed="1"/>
    <col min="21" max="21" width="6.42578125" customWidth="1"/>
  </cols>
  <sheetData>
    <row r="1" spans="1:22">
      <c r="A1" s="457"/>
      <c r="B1" s="457"/>
      <c r="C1" s="457"/>
      <c r="D1" s="457"/>
      <c r="E1" s="457"/>
      <c r="F1" s="457"/>
      <c r="G1" s="457"/>
      <c r="H1" s="457"/>
      <c r="I1" s="457"/>
      <c r="J1" s="457"/>
      <c r="K1" s="457"/>
      <c r="L1" s="457"/>
      <c r="M1" s="457"/>
      <c r="N1" s="457"/>
      <c r="O1" s="457"/>
      <c r="P1" s="457"/>
      <c r="Q1" s="457"/>
      <c r="R1" s="457"/>
      <c r="S1" s="457"/>
      <c r="T1" s="457"/>
      <c r="U1" s="457"/>
    </row>
    <row r="2" spans="1:22">
      <c r="A2" s="457"/>
      <c r="B2" s="457"/>
      <c r="C2" s="642" t="s">
        <v>676</v>
      </c>
      <c r="D2" s="642" t="s">
        <v>677</v>
      </c>
      <c r="E2" s="642" t="s">
        <v>678</v>
      </c>
      <c r="F2" s="642">
        <v>2018</v>
      </c>
      <c r="G2" s="642">
        <v>2019</v>
      </c>
      <c r="H2" s="642">
        <v>2020</v>
      </c>
      <c r="I2" s="457"/>
      <c r="J2" s="457"/>
      <c r="K2" s="457"/>
      <c r="L2" s="457"/>
      <c r="M2" s="457"/>
      <c r="N2" s="457"/>
      <c r="O2" s="457"/>
      <c r="P2" s="457"/>
      <c r="Q2" s="457"/>
      <c r="R2" s="457"/>
      <c r="S2" s="457"/>
      <c r="T2" s="457"/>
      <c r="U2" s="457"/>
    </row>
    <row r="3" spans="1:22">
      <c r="A3" s="459"/>
      <c r="B3" s="699"/>
      <c r="C3" s="700" t="s">
        <v>285</v>
      </c>
      <c r="D3" s="700"/>
      <c r="E3" s="700"/>
      <c r="F3" s="700"/>
      <c r="G3" s="700"/>
      <c r="H3" s="700"/>
      <c r="I3" s="701"/>
      <c r="J3" s="702" t="s">
        <v>689</v>
      </c>
      <c r="K3" s="700"/>
      <c r="L3" s="700"/>
      <c r="M3" s="700"/>
      <c r="N3" s="700"/>
      <c r="O3" s="700"/>
      <c r="P3" s="701"/>
      <c r="Q3" s="700" t="s">
        <v>286</v>
      </c>
      <c r="R3" s="703"/>
      <c r="S3" s="703"/>
      <c r="T3" s="703"/>
      <c r="U3" s="703"/>
      <c r="V3" s="703"/>
    </row>
    <row r="4" spans="1:22">
      <c r="A4" s="459"/>
      <c r="B4" s="704" t="s">
        <v>565</v>
      </c>
      <c r="C4" s="725" t="s">
        <v>680</v>
      </c>
      <c r="D4" s="725" t="s">
        <v>681</v>
      </c>
      <c r="E4" s="725" t="s">
        <v>682</v>
      </c>
      <c r="F4" s="725" t="s">
        <v>637</v>
      </c>
      <c r="G4" s="725" t="s">
        <v>671</v>
      </c>
      <c r="H4" s="725" t="s">
        <v>687</v>
      </c>
      <c r="I4" s="706"/>
      <c r="J4" s="706" t="str">
        <f t="shared" ref="J4:O4" si="0">C4</f>
        <v>2Q18e</v>
      </c>
      <c r="K4" s="706" t="str">
        <f t="shared" si="0"/>
        <v>3Q18e</v>
      </c>
      <c r="L4" s="706" t="str">
        <f t="shared" si="0"/>
        <v>4Q18e</v>
      </c>
      <c r="M4" s="706" t="str">
        <f t="shared" si="0"/>
        <v>2018e</v>
      </c>
      <c r="N4" s="706" t="str">
        <f t="shared" si="0"/>
        <v>2019e</v>
      </c>
      <c r="O4" s="706" t="str">
        <f t="shared" si="0"/>
        <v>2020e</v>
      </c>
      <c r="P4" s="706"/>
      <c r="Q4" s="705" t="str">
        <f t="shared" ref="Q4:V4" si="1">C4</f>
        <v>2Q18e</v>
      </c>
      <c r="R4" s="705" t="str">
        <f t="shared" si="1"/>
        <v>3Q18e</v>
      </c>
      <c r="S4" s="705" t="str">
        <f t="shared" si="1"/>
        <v>4Q18e</v>
      </c>
      <c r="T4" s="705" t="str">
        <f t="shared" si="1"/>
        <v>2018e</v>
      </c>
      <c r="U4" s="705" t="str">
        <f t="shared" si="1"/>
        <v>2019e</v>
      </c>
      <c r="V4" s="705" t="str">
        <f t="shared" si="1"/>
        <v>2020e</v>
      </c>
    </row>
    <row r="5" spans="1:22" ht="5.25" customHeight="1">
      <c r="A5" s="459"/>
      <c r="B5" s="459"/>
      <c r="C5" s="461"/>
      <c r="D5" s="461"/>
      <c r="E5" s="461"/>
      <c r="F5" s="461"/>
      <c r="G5" s="461"/>
      <c r="H5" s="461"/>
      <c r="I5" s="461"/>
      <c r="J5" s="460"/>
      <c r="K5" s="460"/>
      <c r="L5" s="460"/>
      <c r="M5" s="460"/>
      <c r="N5" s="460"/>
      <c r="O5" s="460"/>
      <c r="P5" s="461"/>
      <c r="Q5" s="462"/>
      <c r="R5" s="462"/>
      <c r="S5" s="462"/>
      <c r="T5" s="462"/>
      <c r="U5" s="462"/>
      <c r="V5" s="462"/>
    </row>
    <row r="6" spans="1:22">
      <c r="A6" s="459"/>
      <c r="B6" s="707" t="s">
        <v>51</v>
      </c>
      <c r="C6" s="708"/>
      <c r="D6" s="708"/>
      <c r="E6" s="708"/>
      <c r="F6" s="708"/>
      <c r="G6" s="708"/>
      <c r="H6" s="708"/>
      <c r="I6" s="708"/>
      <c r="J6" s="706"/>
      <c r="K6" s="706"/>
      <c r="L6" s="706"/>
      <c r="M6" s="706"/>
      <c r="N6" s="706"/>
      <c r="O6" s="706"/>
      <c r="P6" s="708"/>
      <c r="Q6" s="709"/>
      <c r="R6" s="709"/>
      <c r="S6" s="709"/>
      <c r="T6" s="709"/>
      <c r="U6" s="709"/>
      <c r="V6" s="709"/>
    </row>
    <row r="7" spans="1:22">
      <c r="A7" s="459"/>
      <c r="B7" s="464" t="s">
        <v>287</v>
      </c>
      <c r="C7" s="714">
        <f>Operations!CM38</f>
        <v>5047.4799999999996</v>
      </c>
      <c r="D7" s="483">
        <f>Operations!CN38</f>
        <v>4789.21</v>
      </c>
      <c r="E7" s="483">
        <f>Operations!CO38</f>
        <v>4718.71</v>
      </c>
      <c r="F7" s="483">
        <f>Operations!CP38</f>
        <v>19571.400000000001</v>
      </c>
      <c r="G7" s="483">
        <f>Operations!CU38</f>
        <v>19930.827999999998</v>
      </c>
      <c r="H7" s="483">
        <f>Operations!CZ38</f>
        <v>21668.074864000002</v>
      </c>
      <c r="I7" s="461"/>
      <c r="J7" s="635">
        <v>5426.920000000001</v>
      </c>
      <c r="K7" s="635">
        <v>5195.17</v>
      </c>
      <c r="L7" s="635">
        <v>5095.09</v>
      </c>
      <c r="M7" s="635">
        <v>20870.160000000003</v>
      </c>
      <c r="N7" s="635">
        <v>21255.563200000001</v>
      </c>
      <c r="O7" s="635">
        <v>22970.210944000002</v>
      </c>
      <c r="P7" s="461"/>
      <c r="Q7" s="484">
        <f t="shared" ref="Q7:V10" si="2">+C7-J7</f>
        <v>-379.44000000000142</v>
      </c>
      <c r="R7" s="484">
        <f t="shared" si="2"/>
        <v>-405.96000000000004</v>
      </c>
      <c r="S7" s="484">
        <f t="shared" si="2"/>
        <v>-376.38000000000011</v>
      </c>
      <c r="T7" s="484">
        <f t="shared" si="2"/>
        <v>-1298.760000000002</v>
      </c>
      <c r="U7" s="484">
        <f t="shared" si="2"/>
        <v>-1324.7352000000028</v>
      </c>
      <c r="V7" s="484">
        <f t="shared" si="2"/>
        <v>-1302.1360800000002</v>
      </c>
    </row>
    <row r="8" spans="1:22">
      <c r="A8" s="459"/>
      <c r="B8" s="464" t="s">
        <v>288</v>
      </c>
      <c r="C8" s="715">
        <f>Operations!CM22</f>
        <v>837.22240757422867</v>
      </c>
      <c r="D8" s="485">
        <f>Operations!CN22</f>
        <v>865.81747226056132</v>
      </c>
      <c r="E8" s="485">
        <f>Operations!CO22</f>
        <v>845.92613819070232</v>
      </c>
      <c r="F8" s="485">
        <f>Operations!CP22</f>
        <v>816.09838018052392</v>
      </c>
      <c r="G8" s="485">
        <f>Operations!CU22</f>
        <v>833.80882975190173</v>
      </c>
      <c r="H8" s="485">
        <f>Operations!CZ22</f>
        <v>736.90108569744086</v>
      </c>
      <c r="I8" s="461"/>
      <c r="J8" s="636">
        <v>883.57747086477923</v>
      </c>
      <c r="K8" s="636">
        <v>899.16538936576035</v>
      </c>
      <c r="L8" s="636">
        <v>879.15240851742487</v>
      </c>
      <c r="M8" s="636">
        <v>861.06359959015231</v>
      </c>
      <c r="N8" s="636">
        <v>866.51099831451802</v>
      </c>
      <c r="O8" s="636">
        <v>757.20951828179807</v>
      </c>
      <c r="P8" s="461"/>
      <c r="Q8" s="486">
        <f t="shared" si="2"/>
        <v>-46.355063290550561</v>
      </c>
      <c r="R8" s="486">
        <f t="shared" si="2"/>
        <v>-33.347917105199031</v>
      </c>
      <c r="S8" s="486">
        <f t="shared" si="2"/>
        <v>-33.226270326722556</v>
      </c>
      <c r="T8" s="486">
        <f t="shared" si="2"/>
        <v>-44.965219409628389</v>
      </c>
      <c r="U8" s="486">
        <f t="shared" si="2"/>
        <v>-32.702168562616293</v>
      </c>
      <c r="V8" s="486">
        <f t="shared" si="2"/>
        <v>-20.308432584357206</v>
      </c>
    </row>
    <row r="9" spans="1:22">
      <c r="A9" s="459"/>
      <c r="B9" s="464" t="s">
        <v>608</v>
      </c>
      <c r="C9" s="715">
        <f>Operations!CM77</f>
        <v>359.98500000000001</v>
      </c>
      <c r="D9" s="485">
        <f>Operations!CN77</f>
        <v>367.78107499999999</v>
      </c>
      <c r="E9" s="485">
        <f>Operations!CO77</f>
        <v>366.53973962499998</v>
      </c>
      <c r="F9" s="485">
        <f>Operations!CP77</f>
        <v>357.82645365625001</v>
      </c>
      <c r="G9" s="485">
        <f>Operations!CU77</f>
        <v>370.70250473075782</v>
      </c>
      <c r="H9" s="485">
        <f>Operations!CZ77</f>
        <v>341.70682978573745</v>
      </c>
      <c r="I9" s="461"/>
      <c r="J9" s="636">
        <v>360.78481684999997</v>
      </c>
      <c r="K9" s="636">
        <v>368.25696602574999</v>
      </c>
      <c r="L9" s="636">
        <v>366.82289478532124</v>
      </c>
      <c r="M9" s="636">
        <v>358.55222691526779</v>
      </c>
      <c r="N9" s="636">
        <v>370.79346857912515</v>
      </c>
      <c r="O9" s="636">
        <v>341.71823062147638</v>
      </c>
      <c r="P9" s="461"/>
      <c r="Q9" s="486">
        <f t="shared" si="2"/>
        <v>-0.7998168499999565</v>
      </c>
      <c r="R9" s="486">
        <f t="shared" si="2"/>
        <v>-0.47589102575000197</v>
      </c>
      <c r="S9" s="486">
        <f t="shared" si="2"/>
        <v>-0.28315516032125743</v>
      </c>
      <c r="T9" s="486">
        <f t="shared" si="2"/>
        <v>-0.72577325901778522</v>
      </c>
      <c r="U9" s="486">
        <f t="shared" si="2"/>
        <v>-9.0963848367323408E-2</v>
      </c>
      <c r="V9" s="486">
        <f t="shared" si="2"/>
        <v>-1.1400835738925252E-2</v>
      </c>
    </row>
    <row r="10" spans="1:22">
      <c r="A10" s="457"/>
      <c r="B10" s="464" t="s">
        <v>607</v>
      </c>
      <c r="C10" s="715">
        <f t="shared" ref="C10:E10" si="3">C8-C9</f>
        <v>477.23740757422865</v>
      </c>
      <c r="D10" s="485">
        <f t="shared" si="3"/>
        <v>498.03639726056133</v>
      </c>
      <c r="E10" s="485">
        <f t="shared" si="3"/>
        <v>479.38639856570234</v>
      </c>
      <c r="F10" s="485">
        <f t="shared" ref="F10" si="4">F8-F9</f>
        <v>458.27192652427391</v>
      </c>
      <c r="G10" s="485">
        <f t="shared" ref="G10" si="5">G8-G9</f>
        <v>463.1063250211439</v>
      </c>
      <c r="H10" s="485">
        <f t="shared" ref="H10" si="6">H8-H9</f>
        <v>395.19425591170341</v>
      </c>
      <c r="I10" s="465"/>
      <c r="J10" s="636">
        <v>522.79265401477926</v>
      </c>
      <c r="K10" s="636">
        <v>530.90842334001036</v>
      </c>
      <c r="L10" s="636">
        <v>512.32951373210358</v>
      </c>
      <c r="M10" s="636">
        <v>502.51137267488451</v>
      </c>
      <c r="N10" s="636">
        <v>495.71752973539287</v>
      </c>
      <c r="O10" s="636">
        <v>415.49128766032169</v>
      </c>
      <c r="P10" s="465"/>
      <c r="Q10" s="486">
        <f t="shared" si="2"/>
        <v>-45.555246440550604</v>
      </c>
      <c r="R10" s="486">
        <f t="shared" si="2"/>
        <v>-32.872026079449029</v>
      </c>
      <c r="S10" s="486">
        <f t="shared" si="2"/>
        <v>-32.943115166401242</v>
      </c>
      <c r="T10" s="486">
        <f t="shared" si="2"/>
        <v>-44.239446150610604</v>
      </c>
      <c r="U10" s="486">
        <f t="shared" si="2"/>
        <v>-32.61120471424897</v>
      </c>
      <c r="V10" s="486">
        <f t="shared" si="2"/>
        <v>-20.297031748618281</v>
      </c>
    </row>
    <row r="11" spans="1:22" ht="5.25" customHeight="1">
      <c r="A11" s="457"/>
      <c r="B11" s="457"/>
      <c r="C11" s="716"/>
      <c r="D11" s="465"/>
      <c r="E11" s="465"/>
      <c r="F11" s="465"/>
      <c r="G11" s="465"/>
      <c r="H11" s="465"/>
      <c r="I11" s="465"/>
      <c r="J11" s="637"/>
      <c r="K11" s="637"/>
      <c r="L11" s="637"/>
      <c r="M11" s="637"/>
      <c r="N11" s="637"/>
      <c r="O11" s="637"/>
      <c r="P11" s="465"/>
      <c r="Q11" s="466"/>
      <c r="R11" s="466"/>
      <c r="S11" s="466"/>
      <c r="T11" s="466"/>
      <c r="U11" s="466"/>
      <c r="V11" s="466"/>
    </row>
    <row r="12" spans="1:22">
      <c r="A12" s="457"/>
      <c r="B12" s="707" t="s">
        <v>289</v>
      </c>
      <c r="C12" s="708"/>
      <c r="D12" s="708"/>
      <c r="E12" s="708"/>
      <c r="F12" s="708"/>
      <c r="G12" s="708"/>
      <c r="H12" s="708"/>
      <c r="I12" s="708"/>
      <c r="J12" s="706"/>
      <c r="K12" s="706"/>
      <c r="L12" s="706"/>
      <c r="M12" s="706"/>
      <c r="N12" s="706"/>
      <c r="O12" s="706"/>
      <c r="P12" s="708"/>
      <c r="Q12" s="709"/>
      <c r="R12" s="709"/>
      <c r="S12" s="709"/>
      <c r="T12" s="709"/>
      <c r="U12" s="709"/>
      <c r="V12" s="709"/>
    </row>
    <row r="13" spans="1:22">
      <c r="A13" s="457"/>
      <c r="B13" s="474" t="s">
        <v>70</v>
      </c>
      <c r="C13" s="714"/>
      <c r="D13" s="473"/>
      <c r="E13" s="473"/>
      <c r="F13" s="473"/>
      <c r="G13" s="473"/>
      <c r="H13" s="473"/>
      <c r="I13" s="465"/>
      <c r="J13" s="638"/>
      <c r="K13" s="638"/>
      <c r="L13" s="638"/>
      <c r="M13" s="638"/>
      <c r="N13" s="638"/>
      <c r="O13" s="638"/>
      <c r="P13" s="465"/>
      <c r="Q13" s="487"/>
      <c r="R13" s="487"/>
      <c r="S13" s="487"/>
      <c r="T13" s="487"/>
      <c r="U13" s="487"/>
      <c r="V13" s="487"/>
    </row>
    <row r="14" spans="1:22">
      <c r="A14" s="457"/>
      <c r="B14" s="457" t="s">
        <v>249</v>
      </c>
      <c r="C14" s="714">
        <f>Financials!CM10</f>
        <v>4631.6161753827673</v>
      </c>
      <c r="D14" s="473">
        <f>Financials!CN10</f>
        <v>4560.5657515557878</v>
      </c>
      <c r="E14" s="473">
        <f>Financials!CO10</f>
        <v>4406.3159627841551</v>
      </c>
      <c r="F14" s="473">
        <f>Financials!CP10</f>
        <v>17584.395489722712</v>
      </c>
      <c r="G14" s="473">
        <f>Financials!CU10</f>
        <v>18297.001563241218</v>
      </c>
      <c r="H14" s="473">
        <f>Financials!CZ10</f>
        <v>17586.549152906184</v>
      </c>
      <c r="I14" s="465"/>
      <c r="J14" s="638">
        <v>4796.1099175077015</v>
      </c>
      <c r="K14" s="638">
        <v>4671.2262976553911</v>
      </c>
      <c r="L14" s="638">
        <v>4486.6949228308295</v>
      </c>
      <c r="M14" s="638">
        <v>17943.198142956302</v>
      </c>
      <c r="N14" s="638">
        <v>18406.098172451406</v>
      </c>
      <c r="O14" s="638">
        <v>17570.111549061505</v>
      </c>
      <c r="P14" s="465"/>
      <c r="Q14" s="487">
        <f t="shared" ref="Q14:V16" si="7">+C14-J14</f>
        <v>-164.49374212493422</v>
      </c>
      <c r="R14" s="487">
        <f t="shared" si="7"/>
        <v>-110.66054609960338</v>
      </c>
      <c r="S14" s="487">
        <f t="shared" si="7"/>
        <v>-80.378960046674365</v>
      </c>
      <c r="T14" s="487">
        <f t="shared" si="7"/>
        <v>-358.80265323358981</v>
      </c>
      <c r="U14" s="487">
        <f t="shared" si="7"/>
        <v>-109.09660921018803</v>
      </c>
      <c r="V14" s="487">
        <f t="shared" si="7"/>
        <v>16.437603844678961</v>
      </c>
    </row>
    <row r="15" spans="1:22">
      <c r="A15" s="457"/>
      <c r="B15" s="457" t="s">
        <v>254</v>
      </c>
      <c r="C15" s="714">
        <f>Financials!CM11</f>
        <v>1541.5589372056684</v>
      </c>
      <c r="D15" s="473">
        <f>Financials!CN11</f>
        <v>1710.6324746297821</v>
      </c>
      <c r="E15" s="473">
        <f>Financials!CO11</f>
        <v>1682.1793354188499</v>
      </c>
      <c r="F15" s="473">
        <f>Financials!CP11</f>
        <v>6473.8331752966133</v>
      </c>
      <c r="G15" s="473">
        <f>Financials!CU11</f>
        <v>6717.9105154662866</v>
      </c>
      <c r="H15" s="473">
        <f>Financials!CZ11</f>
        <v>6925.3933856800759</v>
      </c>
      <c r="I15" s="465"/>
      <c r="J15" s="638">
        <v>1052.9542806005309</v>
      </c>
      <c r="K15" s="638">
        <v>1178.5339785552474</v>
      </c>
      <c r="L15" s="638">
        <v>1186.3994959763943</v>
      </c>
      <c r="M15" s="638">
        <v>4373.6736742850326</v>
      </c>
      <c r="N15" s="638">
        <v>4692.9758359156449</v>
      </c>
      <c r="O15" s="638">
        <v>5028.2925263613506</v>
      </c>
      <c r="P15" s="465"/>
      <c r="Q15" s="487">
        <f t="shared" si="7"/>
        <v>488.60465660513751</v>
      </c>
      <c r="R15" s="487">
        <f t="shared" si="7"/>
        <v>532.09849607453475</v>
      </c>
      <c r="S15" s="487">
        <f t="shared" si="7"/>
        <v>495.77983944245557</v>
      </c>
      <c r="T15" s="487">
        <f t="shared" si="7"/>
        <v>2100.1595010115807</v>
      </c>
      <c r="U15" s="487">
        <f t="shared" si="7"/>
        <v>2024.9346795506417</v>
      </c>
      <c r="V15" s="487">
        <f t="shared" si="7"/>
        <v>1897.1008593187253</v>
      </c>
    </row>
    <row r="16" spans="1:22">
      <c r="A16" s="457"/>
      <c r="B16" s="457" t="s">
        <v>491</v>
      </c>
      <c r="C16" s="714">
        <f>Financials!CM12</f>
        <v>424.73319626255841</v>
      </c>
      <c r="D16" s="473">
        <f>Financials!CN12</f>
        <v>466.45843143639655</v>
      </c>
      <c r="E16" s="473">
        <f>Financials!CO12</f>
        <v>491.46483459288083</v>
      </c>
      <c r="F16" s="473">
        <f>Financials!CP12</f>
        <v>1842.6585548227392</v>
      </c>
      <c r="G16" s="473">
        <f>Financials!CU12</f>
        <v>1882.5853095312461</v>
      </c>
      <c r="H16" s="473">
        <f>Financials!CZ12</f>
        <v>1757.4185956732942</v>
      </c>
      <c r="I16" s="465"/>
      <c r="J16" s="638">
        <v>451.96830060387759</v>
      </c>
      <c r="K16" s="638">
        <v>461.09314930856351</v>
      </c>
      <c r="L16" s="638">
        <v>487.67080499301318</v>
      </c>
      <c r="M16" s="638">
        <v>1847.1180855781579</v>
      </c>
      <c r="N16" s="638">
        <v>1911.4188044722073</v>
      </c>
      <c r="O16" s="638">
        <v>1788.8203176541963</v>
      </c>
      <c r="P16" s="465"/>
      <c r="Q16" s="487">
        <f t="shared" si="7"/>
        <v>-27.235104341319186</v>
      </c>
      <c r="R16" s="487">
        <f t="shared" si="7"/>
        <v>5.3652821278330407</v>
      </c>
      <c r="S16" s="487">
        <f t="shared" si="7"/>
        <v>3.7940295998676561</v>
      </c>
      <c r="T16" s="487">
        <f t="shared" si="7"/>
        <v>-4.4595307554186547</v>
      </c>
      <c r="U16" s="487">
        <f t="shared" si="7"/>
        <v>-28.833494940961145</v>
      </c>
      <c r="V16" s="487">
        <f t="shared" si="7"/>
        <v>-31.401721980902039</v>
      </c>
    </row>
    <row r="17" spans="1:25" ht="5.25" customHeight="1">
      <c r="A17" s="457"/>
      <c r="B17" s="457"/>
      <c r="C17" s="714"/>
      <c r="D17" s="473"/>
      <c r="E17" s="473"/>
      <c r="F17" s="473"/>
      <c r="G17" s="473"/>
      <c r="H17" s="473"/>
      <c r="I17" s="465"/>
      <c r="J17" s="638"/>
      <c r="K17" s="638"/>
      <c r="L17" s="638"/>
      <c r="M17" s="638"/>
      <c r="N17" s="638"/>
      <c r="O17" s="638"/>
      <c r="P17" s="465"/>
      <c r="Q17" s="487"/>
      <c r="R17" s="487"/>
      <c r="S17" s="487"/>
      <c r="T17" s="487"/>
      <c r="U17" s="487"/>
      <c r="V17" s="487"/>
    </row>
    <row r="18" spans="1:25">
      <c r="A18" s="457"/>
      <c r="B18" s="474" t="s">
        <v>75</v>
      </c>
      <c r="C18" s="714"/>
      <c r="D18" s="473"/>
      <c r="E18" s="473"/>
      <c r="F18" s="473"/>
      <c r="G18" s="473"/>
      <c r="H18" s="473"/>
      <c r="I18" s="465"/>
      <c r="J18" s="638"/>
      <c r="K18" s="638"/>
      <c r="L18" s="638"/>
      <c r="M18" s="638"/>
      <c r="N18" s="638"/>
      <c r="O18" s="638"/>
      <c r="P18" s="465"/>
      <c r="Q18" s="487"/>
      <c r="R18" s="487"/>
      <c r="S18" s="487"/>
      <c r="T18" s="487"/>
      <c r="U18" s="487"/>
      <c r="V18" s="487"/>
    </row>
    <row r="19" spans="1:25">
      <c r="A19" s="457"/>
      <c r="B19" s="457" t="s">
        <v>249</v>
      </c>
      <c r="C19" s="714">
        <f>Financials!CM35</f>
        <v>855.35708076946685</v>
      </c>
      <c r="D19" s="473">
        <f>Financials!CN35</f>
        <v>872.38394412425293</v>
      </c>
      <c r="E19" s="473">
        <f>Financials!CO35</f>
        <v>770.06594277596537</v>
      </c>
      <c r="F19" s="473">
        <f>Financials!CP35</f>
        <v>3058.3099676696856</v>
      </c>
      <c r="G19" s="473">
        <f>Financials!CU35</f>
        <v>2955.6010977624196</v>
      </c>
      <c r="H19" s="473">
        <f>Financials!CZ35</f>
        <v>2533.7828286020067</v>
      </c>
      <c r="I19" s="465"/>
      <c r="J19" s="638">
        <v>890.3247392273563</v>
      </c>
      <c r="K19" s="638">
        <v>891.71095546739559</v>
      </c>
      <c r="L19" s="638">
        <v>785.36865983908683</v>
      </c>
      <c r="M19" s="638">
        <v>3140.4659795536327</v>
      </c>
      <c r="N19" s="638">
        <v>3109.2928072910508</v>
      </c>
      <c r="O19" s="638">
        <v>2830.9083665450949</v>
      </c>
      <c r="P19" s="465"/>
      <c r="Q19" s="487">
        <f t="shared" ref="Q19:V21" si="8">+C19-J19</f>
        <v>-34.967658457889456</v>
      </c>
      <c r="R19" s="487">
        <f t="shared" si="8"/>
        <v>-19.327011343142658</v>
      </c>
      <c r="S19" s="487">
        <f t="shared" si="8"/>
        <v>-15.302717063121463</v>
      </c>
      <c r="T19" s="487">
        <f t="shared" si="8"/>
        <v>-82.156011883947031</v>
      </c>
      <c r="U19" s="487">
        <f t="shared" si="8"/>
        <v>-153.69170952863124</v>
      </c>
      <c r="V19" s="487">
        <f t="shared" si="8"/>
        <v>-297.12553794308815</v>
      </c>
    </row>
    <row r="20" spans="1:25">
      <c r="A20" s="457"/>
      <c r="B20" s="457" t="s">
        <v>254</v>
      </c>
      <c r="C20" s="714">
        <f>Financials!CM36</f>
        <v>99.013477107956462</v>
      </c>
      <c r="D20" s="473">
        <f>Financials!CN36</f>
        <v>93.709280041473633</v>
      </c>
      <c r="E20" s="473">
        <f>Financials!CO36</f>
        <v>93.599990161355265</v>
      </c>
      <c r="F20" s="473">
        <f>Financials!CP36</f>
        <v>372.13674731078532</v>
      </c>
      <c r="G20" s="473">
        <f>Financials!CU36</f>
        <v>326.93931969788173</v>
      </c>
      <c r="H20" s="473">
        <f>Financials!CZ36</f>
        <v>464.964767566099</v>
      </c>
      <c r="I20" s="465"/>
      <c r="J20" s="638">
        <v>62.852141983569553</v>
      </c>
      <c r="K20" s="638">
        <v>57.431081095772754</v>
      </c>
      <c r="L20" s="638">
        <v>57.997779587961887</v>
      </c>
      <c r="M20" s="638">
        <v>234.31592918202693</v>
      </c>
      <c r="N20" s="638">
        <v>186.35233187901383</v>
      </c>
      <c r="O20" s="638">
        <v>311.12162113033781</v>
      </c>
      <c r="P20" s="465"/>
      <c r="Q20" s="487">
        <f t="shared" si="8"/>
        <v>36.161335124386909</v>
      </c>
      <c r="R20" s="487">
        <f t="shared" si="8"/>
        <v>36.278198945700879</v>
      </c>
      <c r="S20" s="487">
        <f t="shared" si="8"/>
        <v>35.602210573393378</v>
      </c>
      <c r="T20" s="487">
        <f t="shared" si="8"/>
        <v>137.82081812875839</v>
      </c>
      <c r="U20" s="487">
        <f t="shared" si="8"/>
        <v>140.5869878188679</v>
      </c>
      <c r="V20" s="487">
        <f t="shared" si="8"/>
        <v>153.84314643576118</v>
      </c>
    </row>
    <row r="21" spans="1:25">
      <c r="A21" s="457"/>
      <c r="B21" s="457" t="s">
        <v>491</v>
      </c>
      <c r="C21" s="714">
        <f>Financials!CM37</f>
        <v>35.234507951807231</v>
      </c>
      <c r="D21" s="473">
        <f>Financials!CN37</f>
        <v>44.324431766006143</v>
      </c>
      <c r="E21" s="473">
        <f>Financials!CO37</f>
        <v>59.10966171871182</v>
      </c>
      <c r="F21" s="473">
        <f>Financials!CP37</f>
        <v>213.21560143652522</v>
      </c>
      <c r="G21" s="473">
        <f>Financials!CU37</f>
        <v>218.41729614269775</v>
      </c>
      <c r="H21" s="473">
        <f>Financials!CZ37</f>
        <v>262.85846936211061</v>
      </c>
      <c r="I21" s="465"/>
      <c r="J21" s="638">
        <v>35.756439491398652</v>
      </c>
      <c r="K21" s="638">
        <v>44.324431766006143</v>
      </c>
      <c r="L21" s="638">
        <v>59.10966171871182</v>
      </c>
      <c r="M21" s="638">
        <v>173.88458808481226</v>
      </c>
      <c r="N21" s="638">
        <v>226.63176080442582</v>
      </c>
      <c r="O21" s="638">
        <v>271.88342787046247</v>
      </c>
      <c r="P21" s="465"/>
      <c r="Q21" s="487">
        <f t="shared" si="8"/>
        <v>-0.5219315395914208</v>
      </c>
      <c r="R21" s="487">
        <f t="shared" si="8"/>
        <v>0</v>
      </c>
      <c r="S21" s="487">
        <f t="shared" si="8"/>
        <v>0</v>
      </c>
      <c r="T21" s="487">
        <f t="shared" si="8"/>
        <v>39.331013351712954</v>
      </c>
      <c r="U21" s="487">
        <f t="shared" si="8"/>
        <v>-8.2144646617280728</v>
      </c>
      <c r="V21" s="487">
        <f t="shared" si="8"/>
        <v>-9.0249585083518582</v>
      </c>
    </row>
    <row r="22" spans="1:25" ht="5.25" customHeight="1">
      <c r="A22" s="457"/>
      <c r="B22" s="457"/>
      <c r="C22" s="716"/>
      <c r="D22" s="465"/>
      <c r="E22" s="465"/>
      <c r="F22" s="465"/>
      <c r="G22" s="465"/>
      <c r="H22" s="465"/>
      <c r="I22" s="465"/>
      <c r="J22" s="639"/>
      <c r="K22" s="639"/>
      <c r="L22" s="639"/>
      <c r="M22" s="639"/>
      <c r="N22" s="639"/>
      <c r="O22" s="639"/>
      <c r="P22" s="465"/>
      <c r="Q22" s="466"/>
      <c r="R22" s="466"/>
      <c r="S22" s="466"/>
      <c r="T22" s="466"/>
      <c r="U22" s="466"/>
      <c r="V22" s="466"/>
    </row>
    <row r="23" spans="1:25">
      <c r="A23" s="457"/>
      <c r="B23" s="710" t="s">
        <v>290</v>
      </c>
      <c r="C23" s="711"/>
      <c r="D23" s="711"/>
      <c r="E23" s="711"/>
      <c r="F23" s="711"/>
      <c r="G23" s="711"/>
      <c r="H23" s="711"/>
      <c r="I23" s="711"/>
      <c r="J23" s="712"/>
      <c r="K23" s="712"/>
      <c r="L23" s="712"/>
      <c r="M23" s="712"/>
      <c r="N23" s="712"/>
      <c r="O23" s="712"/>
      <c r="P23" s="711"/>
      <c r="Q23" s="713"/>
      <c r="R23" s="713"/>
      <c r="S23" s="713"/>
      <c r="T23" s="713"/>
      <c r="U23" s="713"/>
      <c r="V23" s="713"/>
    </row>
    <row r="24" spans="1:25">
      <c r="A24" s="457"/>
      <c r="B24" s="468" t="s">
        <v>572</v>
      </c>
      <c r="C24" s="714">
        <f>Financials!CM15</f>
        <v>6597.9083088509942</v>
      </c>
      <c r="D24" s="473">
        <f>Financials!CN15</f>
        <v>6737.6566576219666</v>
      </c>
      <c r="E24" s="473">
        <f>Financials!CO15</f>
        <v>6579.9601327958853</v>
      </c>
      <c r="F24" s="473">
        <f>Financials!CP15</f>
        <v>25483.944099268847</v>
      </c>
      <c r="G24" s="473">
        <f>Financials!CU15</f>
        <v>26897.497388238749</v>
      </c>
      <c r="H24" s="473">
        <f>Financials!CZ15</f>
        <v>26269.361134259554</v>
      </c>
      <c r="I24" s="465"/>
      <c r="J24" s="638">
        <v>6301.0324987121103</v>
      </c>
      <c r="K24" s="638">
        <v>6310.8534255192017</v>
      </c>
      <c r="L24" s="638">
        <v>6160.7652238002365</v>
      </c>
      <c r="M24" s="638">
        <v>24163.989902819492</v>
      </c>
      <c r="N24" s="638">
        <v>25010.492812839257</v>
      </c>
      <c r="O24" s="638">
        <v>24387.224393077053</v>
      </c>
      <c r="P24" s="465"/>
      <c r="Q24" s="487">
        <f t="shared" ref="Q24:V31" si="9">+C24-J24</f>
        <v>296.87581013888393</v>
      </c>
      <c r="R24" s="487">
        <f t="shared" si="9"/>
        <v>426.80323210276492</v>
      </c>
      <c r="S24" s="487">
        <f t="shared" si="9"/>
        <v>419.1949089956488</v>
      </c>
      <c r="T24" s="487">
        <f t="shared" si="9"/>
        <v>1319.9541964493546</v>
      </c>
      <c r="U24" s="487">
        <f t="shared" si="9"/>
        <v>1887.0045753994928</v>
      </c>
      <c r="V24" s="487">
        <f t="shared" si="9"/>
        <v>1882.1367411825013</v>
      </c>
    </row>
    <row r="25" spans="1:25">
      <c r="A25" s="457"/>
      <c r="B25" s="476" t="s">
        <v>75</v>
      </c>
      <c r="C25" s="717">
        <f>Financials!CM41</f>
        <v>788.59615184840584</v>
      </c>
      <c r="D25" s="475">
        <f>Financials!CN41</f>
        <v>805.40742906253331</v>
      </c>
      <c r="E25" s="475">
        <f>Financials!CO41</f>
        <v>741.8100981036805</v>
      </c>
      <c r="F25" s="475">
        <f>Financials!CP41</f>
        <v>2910.63967901462</v>
      </c>
      <c r="G25" s="475">
        <f>Financials!CU41</f>
        <v>2806.3914556288305</v>
      </c>
      <c r="H25" s="475">
        <f>Financials!CZ41</f>
        <v>2666.1671008087446</v>
      </c>
      <c r="I25" s="465"/>
      <c r="J25" s="638">
        <v>779.70700698389578</v>
      </c>
      <c r="K25" s="638">
        <v>783.91439379433655</v>
      </c>
      <c r="L25" s="638">
        <v>717.91446608357512</v>
      </c>
      <c r="M25" s="638">
        <v>2810.6569916253684</v>
      </c>
      <c r="N25" s="638">
        <v>2791.5930902610939</v>
      </c>
      <c r="O25" s="638">
        <v>2748.649949407798</v>
      </c>
      <c r="P25" s="465"/>
      <c r="Q25" s="488">
        <f t="shared" si="9"/>
        <v>8.8891448645100581</v>
      </c>
      <c r="R25" s="488">
        <f t="shared" si="9"/>
        <v>21.493035268196763</v>
      </c>
      <c r="S25" s="488">
        <f t="shared" si="9"/>
        <v>23.895632020105381</v>
      </c>
      <c r="T25" s="488">
        <f t="shared" si="9"/>
        <v>99.982687389251623</v>
      </c>
      <c r="U25" s="488">
        <f t="shared" si="9"/>
        <v>14.798365367736551</v>
      </c>
      <c r="V25" s="488">
        <f t="shared" si="9"/>
        <v>-82.482848599053341</v>
      </c>
    </row>
    <row r="26" spans="1:25">
      <c r="A26" s="457"/>
      <c r="B26" s="476" t="s">
        <v>62</v>
      </c>
      <c r="C26" s="717">
        <f>Financials!CM97</f>
        <v>962.59615184840584</v>
      </c>
      <c r="D26" s="475">
        <f>Financials!CN97</f>
        <v>979.40742906253331</v>
      </c>
      <c r="E26" s="475">
        <f>Financials!CO97</f>
        <v>915.8100981036805</v>
      </c>
      <c r="F26" s="475">
        <f>Financials!CP97</f>
        <v>3606.63967901462</v>
      </c>
      <c r="G26" s="475">
        <f>Financials!CU97</f>
        <v>3502.3914556288305</v>
      </c>
      <c r="H26" s="475">
        <f>Financials!CZ97</f>
        <v>3362.1671008087446</v>
      </c>
      <c r="I26" s="465"/>
      <c r="J26" s="638">
        <v>953.70700698389578</v>
      </c>
      <c r="K26" s="638">
        <v>957.91439379433655</v>
      </c>
      <c r="L26" s="638">
        <v>891.91446608357512</v>
      </c>
      <c r="M26" s="638">
        <v>3506.6569916253684</v>
      </c>
      <c r="N26" s="638">
        <v>3487.5930902610939</v>
      </c>
      <c r="O26" s="638">
        <v>3444.649949407798</v>
      </c>
      <c r="P26" s="465"/>
      <c r="Q26" s="488">
        <f t="shared" si="9"/>
        <v>8.8891448645100581</v>
      </c>
      <c r="R26" s="488">
        <f t="shared" si="9"/>
        <v>21.493035268196763</v>
      </c>
      <c r="S26" s="488">
        <f t="shared" si="9"/>
        <v>23.895632020105381</v>
      </c>
      <c r="T26" s="488">
        <f t="shared" si="9"/>
        <v>99.982687389251623</v>
      </c>
      <c r="U26" s="488">
        <f t="shared" si="9"/>
        <v>14.798365367736551</v>
      </c>
      <c r="V26" s="488">
        <f t="shared" si="9"/>
        <v>-82.482848599053341</v>
      </c>
      <c r="W26" s="812"/>
      <c r="X26" s="812"/>
      <c r="Y26" s="813"/>
    </row>
    <row r="27" spans="1:25">
      <c r="A27" s="457"/>
      <c r="B27" s="468" t="s">
        <v>192</v>
      </c>
      <c r="C27" s="714">
        <f>Financials!CM95</f>
        <v>174</v>
      </c>
      <c r="D27" s="473">
        <f>Financials!CN95</f>
        <v>174</v>
      </c>
      <c r="E27" s="473">
        <f>Financials!CO95</f>
        <v>174</v>
      </c>
      <c r="F27" s="473">
        <f>Financials!CP95</f>
        <v>696</v>
      </c>
      <c r="G27" s="473">
        <f>Financials!CU95</f>
        <v>696</v>
      </c>
      <c r="H27" s="473">
        <f>Financials!CZ95</f>
        <v>696</v>
      </c>
      <c r="I27" s="465"/>
      <c r="J27" s="638">
        <v>174</v>
      </c>
      <c r="K27" s="638">
        <v>174</v>
      </c>
      <c r="L27" s="638">
        <v>174</v>
      </c>
      <c r="M27" s="638">
        <v>696</v>
      </c>
      <c r="N27" s="638">
        <v>696</v>
      </c>
      <c r="O27" s="638">
        <v>696</v>
      </c>
      <c r="P27" s="465"/>
      <c r="Q27" s="487">
        <f t="shared" si="9"/>
        <v>0</v>
      </c>
      <c r="R27" s="487">
        <f t="shared" si="9"/>
        <v>0</v>
      </c>
      <c r="S27" s="487">
        <f t="shared" si="9"/>
        <v>0</v>
      </c>
      <c r="T27" s="487">
        <f t="shared" si="9"/>
        <v>0</v>
      </c>
      <c r="U27" s="487">
        <f t="shared" si="9"/>
        <v>0</v>
      </c>
      <c r="V27" s="487">
        <f t="shared" si="9"/>
        <v>0</v>
      </c>
      <c r="W27" s="812"/>
      <c r="X27" s="812"/>
      <c r="Y27" s="813"/>
    </row>
    <row r="28" spans="1:25">
      <c r="A28" s="457"/>
      <c r="B28" s="468" t="s">
        <v>229</v>
      </c>
      <c r="C28" s="714">
        <f>-Financials!CM45</f>
        <v>43.007563794999996</v>
      </c>
      <c r="D28" s="473">
        <f>-Financials!CN45</f>
        <v>42.009591483058443</v>
      </c>
      <c r="E28" s="473">
        <f>-Financials!CO45</f>
        <v>41.448911597595142</v>
      </c>
      <c r="F28" s="473">
        <f>-Financials!CP45</f>
        <v>163.58006687565356</v>
      </c>
      <c r="G28" s="473">
        <f>-Financials!CU45</f>
        <v>156.22302273505602</v>
      </c>
      <c r="H28" s="473">
        <f>-Financials!CZ45</f>
        <v>139.22373503230062</v>
      </c>
      <c r="I28" s="465"/>
      <c r="J28" s="638">
        <v>40.273519762001662</v>
      </c>
      <c r="K28" s="638">
        <v>41.316741831695083</v>
      </c>
      <c r="L28" s="638">
        <v>40.472852298033942</v>
      </c>
      <c r="M28" s="638">
        <v>164.35412768673069</v>
      </c>
      <c r="N28" s="638">
        <v>151.24986814276008</v>
      </c>
      <c r="O28" s="638">
        <v>134.93690778431801</v>
      </c>
      <c r="P28" s="465"/>
      <c r="Q28" s="487">
        <f t="shared" si="9"/>
        <v>2.7340440329983338</v>
      </c>
      <c r="R28" s="487">
        <f t="shared" si="9"/>
        <v>0.69284965136336041</v>
      </c>
      <c r="S28" s="487">
        <f t="shared" si="9"/>
        <v>0.97605929956120008</v>
      </c>
      <c r="T28" s="487">
        <f t="shared" si="9"/>
        <v>-0.77406081107713476</v>
      </c>
      <c r="U28" s="487">
        <f t="shared" si="9"/>
        <v>4.9731545922959413</v>
      </c>
      <c r="V28" s="487">
        <f t="shared" si="9"/>
        <v>4.2868272479826146</v>
      </c>
    </row>
    <row r="29" spans="1:25">
      <c r="A29" s="457"/>
      <c r="B29" s="468" t="s">
        <v>291</v>
      </c>
      <c r="C29" s="714">
        <f>Financials!CM51</f>
        <v>178.9412611328174</v>
      </c>
      <c r="D29" s="473">
        <f>Financials!CN51</f>
        <v>183.21548101907396</v>
      </c>
      <c r="E29" s="473">
        <f>Financials!CO51</f>
        <v>168.08668476146048</v>
      </c>
      <c r="F29" s="473">
        <f>Financials!CP51</f>
        <v>666.04342691335182</v>
      </c>
      <c r="G29" s="473">
        <f>Financials!CU51</f>
        <v>636.04042389450592</v>
      </c>
      <c r="H29" s="473">
        <f>Financials!CZ51</f>
        <v>606.46640778634651</v>
      </c>
      <c r="I29" s="465"/>
      <c r="J29" s="638">
        <v>177.46403693325459</v>
      </c>
      <c r="K29" s="638">
        <v>178.22343647103395</v>
      </c>
      <c r="L29" s="638">
        <v>162.58598730852989</v>
      </c>
      <c r="M29" s="638">
        <v>635.112687345273</v>
      </c>
      <c r="N29" s="638">
        <v>633.68237330839997</v>
      </c>
      <c r="O29" s="638">
        <v>627.29112998963512</v>
      </c>
      <c r="P29" s="465"/>
      <c r="Q29" s="487">
        <f t="shared" si="9"/>
        <v>1.4772241995628121</v>
      </c>
      <c r="R29" s="487">
        <f t="shared" si="9"/>
        <v>4.9920445480400133</v>
      </c>
      <c r="S29" s="487">
        <f t="shared" si="9"/>
        <v>5.5006974529305808</v>
      </c>
      <c r="T29" s="487">
        <f t="shared" si="9"/>
        <v>30.93073956807882</v>
      </c>
      <c r="U29" s="487">
        <f t="shared" si="9"/>
        <v>2.3580505861059464</v>
      </c>
      <c r="V29" s="487">
        <f t="shared" si="9"/>
        <v>-20.824722203288616</v>
      </c>
    </row>
    <row r="30" spans="1:25">
      <c r="A30" s="457"/>
      <c r="B30" s="476" t="s">
        <v>581</v>
      </c>
      <c r="C30" s="717">
        <f>Financials!CM57</f>
        <v>541.6473269205884</v>
      </c>
      <c r="D30" s="475">
        <f>Financials!CN57</f>
        <v>557.18235656040088</v>
      </c>
      <c r="E30" s="475">
        <f>Financials!CO57</f>
        <v>510.2745017446249</v>
      </c>
      <c r="F30" s="475">
        <f>Financials!CP57</f>
        <v>1985.0831852256142</v>
      </c>
      <c r="G30" s="475">
        <f>Financials!CU57</f>
        <v>1926.1280089992686</v>
      </c>
      <c r="H30" s="475">
        <f>Financials!CZ57</f>
        <v>1834.4769579900974</v>
      </c>
      <c r="I30" s="465"/>
      <c r="J30" s="638">
        <v>536.96945028863956</v>
      </c>
      <c r="K30" s="638">
        <v>541.37421549160763</v>
      </c>
      <c r="L30" s="638">
        <v>492.85562647701136</v>
      </c>
      <c r="M30" s="638">
        <v>1921.1901765933644</v>
      </c>
      <c r="N30" s="638">
        <v>1918.6608488099339</v>
      </c>
      <c r="O30" s="638">
        <v>1900.421911633845</v>
      </c>
      <c r="P30" s="465"/>
      <c r="Q30" s="488">
        <f t="shared" si="9"/>
        <v>4.6778766319488341</v>
      </c>
      <c r="R30" s="488">
        <f t="shared" si="9"/>
        <v>15.808141068793248</v>
      </c>
      <c r="S30" s="488">
        <f t="shared" si="9"/>
        <v>17.418875267613544</v>
      </c>
      <c r="T30" s="488">
        <f t="shared" si="9"/>
        <v>63.893008632249803</v>
      </c>
      <c r="U30" s="488">
        <f t="shared" si="9"/>
        <v>7.4671601893346633</v>
      </c>
      <c r="V30" s="488">
        <f t="shared" si="9"/>
        <v>-65.944953643747567</v>
      </c>
    </row>
    <row r="31" spans="1:25">
      <c r="A31" s="457"/>
      <c r="B31" s="476" t="s">
        <v>582</v>
      </c>
      <c r="C31" s="718">
        <f>Financials!CM60</f>
        <v>1.6981154356404065</v>
      </c>
      <c r="D31" s="489">
        <f>Financials!CN60</f>
        <v>1.746819218181854</v>
      </c>
      <c r="E31" s="489">
        <f>Financials!CO60</f>
        <v>1.5997586709281488</v>
      </c>
      <c r="F31" s="489">
        <f>Financials!CP60</f>
        <v>6.2160938451101924</v>
      </c>
      <c r="G31" s="489">
        <f>Financials!CU60</f>
        <v>6.0385929008388066</v>
      </c>
      <c r="H31" s="489">
        <f>Financials!CZ60</f>
        <v>5.7512582151935154</v>
      </c>
      <c r="I31" s="465"/>
      <c r="J31" s="640">
        <v>1.6850135235477268</v>
      </c>
      <c r="K31" s="640">
        <v>1.6988357045508808</v>
      </c>
      <c r="L31" s="640">
        <v>1.5465840660468597</v>
      </c>
      <c r="M31" s="640">
        <v>6.0287068978072051</v>
      </c>
      <c r="N31" s="640">
        <v>6.0207698512614956</v>
      </c>
      <c r="O31" s="640">
        <v>5.963535951306242</v>
      </c>
      <c r="P31" s="465"/>
      <c r="Q31" s="489">
        <f t="shared" si="9"/>
        <v>1.3101912092679635E-2</v>
      </c>
      <c r="R31" s="489">
        <f t="shared" si="9"/>
        <v>4.7983513630973196E-2</v>
      </c>
      <c r="S31" s="489">
        <f t="shared" si="9"/>
        <v>5.3174604881289111E-2</v>
      </c>
      <c r="T31" s="489">
        <f t="shared" si="9"/>
        <v>0.18738694730298722</v>
      </c>
      <c r="U31" s="489">
        <f t="shared" si="9"/>
        <v>1.7823049577311068E-2</v>
      </c>
      <c r="V31" s="489">
        <f t="shared" si="9"/>
        <v>-0.2122777361127266</v>
      </c>
      <c r="W31" s="812"/>
      <c r="X31" s="812"/>
    </row>
    <row r="32" spans="1:25" ht="5.25" customHeight="1">
      <c r="A32" s="457"/>
      <c r="B32" s="457"/>
      <c r="C32" s="719"/>
      <c r="D32" s="457"/>
      <c r="E32" s="457"/>
      <c r="F32" s="457"/>
      <c r="G32" s="457"/>
      <c r="H32" s="457"/>
      <c r="I32" s="457"/>
      <c r="J32" s="641"/>
      <c r="K32" s="641"/>
      <c r="L32" s="641"/>
      <c r="M32" s="641"/>
      <c r="N32" s="641"/>
      <c r="O32" s="641"/>
      <c r="P32" s="457"/>
      <c r="Q32" s="457"/>
      <c r="R32" s="457"/>
      <c r="S32" s="457"/>
      <c r="T32" s="457"/>
      <c r="U32" s="457"/>
    </row>
    <row r="33" spans="1:22">
      <c r="A33" s="457"/>
      <c r="B33" s="710" t="s">
        <v>292</v>
      </c>
      <c r="C33" s="711"/>
      <c r="D33" s="711"/>
      <c r="E33" s="711"/>
      <c r="F33" s="711"/>
      <c r="G33" s="711"/>
      <c r="H33" s="711"/>
      <c r="I33" s="711"/>
      <c r="J33" s="712"/>
      <c r="K33" s="712"/>
      <c r="L33" s="712"/>
      <c r="M33" s="712"/>
      <c r="N33" s="712"/>
      <c r="O33" s="712"/>
      <c r="P33" s="711"/>
      <c r="Q33" s="713"/>
      <c r="R33" s="713"/>
      <c r="S33" s="713"/>
      <c r="T33" s="713"/>
      <c r="U33" s="713"/>
      <c r="V33" s="713"/>
    </row>
    <row r="34" spans="1:22">
      <c r="A34" s="457"/>
      <c r="B34" s="468" t="s">
        <v>70</v>
      </c>
      <c r="C34" s="789">
        <v>6241</v>
      </c>
      <c r="D34" s="490" t="s">
        <v>694</v>
      </c>
      <c r="E34" s="490" t="s">
        <v>694</v>
      </c>
      <c r="F34" s="490">
        <v>23984</v>
      </c>
      <c r="G34" s="490">
        <v>23894</v>
      </c>
      <c r="H34" s="490">
        <v>24366</v>
      </c>
      <c r="I34" s="466"/>
      <c r="J34" s="466"/>
      <c r="K34" s="466"/>
      <c r="L34" s="466"/>
      <c r="M34" s="466"/>
      <c r="N34" s="466"/>
      <c r="O34" s="466"/>
      <c r="P34" s="457"/>
      <c r="Q34" s="457"/>
      <c r="R34" s="457"/>
      <c r="S34" s="457"/>
      <c r="T34" s="457"/>
      <c r="U34" s="457"/>
    </row>
    <row r="35" spans="1:22">
      <c r="A35" s="457"/>
      <c r="B35" s="468" t="s">
        <v>62</v>
      </c>
      <c r="C35" s="789">
        <v>949</v>
      </c>
      <c r="D35" s="490" t="s">
        <v>694</v>
      </c>
      <c r="E35" s="490" t="s">
        <v>694</v>
      </c>
      <c r="F35" s="490">
        <v>3528</v>
      </c>
      <c r="G35" s="490">
        <v>3393</v>
      </c>
      <c r="H35" s="490">
        <v>3272</v>
      </c>
      <c r="I35" s="466"/>
      <c r="J35" s="466"/>
      <c r="K35" s="466"/>
      <c r="L35" s="466"/>
      <c r="M35" s="466"/>
      <c r="N35" s="466"/>
      <c r="O35" s="466"/>
      <c r="P35" s="466"/>
      <c r="Q35" s="466"/>
      <c r="R35" s="466"/>
      <c r="S35" s="466"/>
      <c r="T35" s="466"/>
      <c r="U35" s="466"/>
    </row>
    <row r="36" spans="1:22">
      <c r="A36" s="457"/>
      <c r="B36" s="468" t="s">
        <v>562</v>
      </c>
      <c r="C36" s="790">
        <v>1.7</v>
      </c>
      <c r="D36" s="491" t="s">
        <v>694</v>
      </c>
      <c r="E36" s="491" t="s">
        <v>694</v>
      </c>
      <c r="F36" s="491">
        <v>5.97</v>
      </c>
      <c r="G36" s="491">
        <v>5.67</v>
      </c>
      <c r="H36" s="491">
        <v>5.24</v>
      </c>
      <c r="I36" s="466"/>
      <c r="J36" s="466"/>
      <c r="K36" s="466"/>
      <c r="L36" s="466"/>
      <c r="M36" s="466"/>
      <c r="N36" s="466"/>
      <c r="O36" s="466"/>
      <c r="P36" s="466"/>
      <c r="Q36" s="466"/>
      <c r="R36" s="466"/>
      <c r="S36" s="466"/>
      <c r="T36" s="466"/>
      <c r="U36" s="466"/>
    </row>
    <row r="38" spans="1:22">
      <c r="F38" s="813"/>
      <c r="H38" s="813"/>
    </row>
    <row r="39" spans="1:22">
      <c r="F39" s="813"/>
      <c r="H39" s="813"/>
    </row>
    <row r="40" spans="1:22">
      <c r="F40" s="813"/>
    </row>
    <row r="53" ht="9.75" customHeight="1"/>
  </sheetData>
  <customSheetViews>
    <customSheetView guid="{08BAB49F-44A8-4F04-A2E3-24B12C6D0857}" showGridLines="0" fitToPage="1" hiddenColumns="1">
      <pane xSplit="2" ySplit="4" topLeftCell="C5" activePane="bottomRight" state="frozen"/>
      <selection pane="bottomRight"/>
      <pageMargins left="0" right="0" top="0" bottom="0" header="0" footer="0"/>
      <printOptions horizontalCentered="1" verticalCentered="1"/>
      <pageSetup paperSize="5" orientation="landscape" r:id="rId1"/>
      <headerFooter alignWithMargins="0"/>
    </customSheetView>
    <customSheetView guid="{4482C16F-8DC0-49F3-9E1F-335117126152}" showGridLines="0" fitToPage="1" hiddenColumns="1">
      <pane xSplit="2" ySplit="4" topLeftCell="C5" activePane="bottomRight" state="frozen"/>
      <selection pane="bottomRight"/>
      <pageMargins left="0" right="0" top="0" bottom="0" header="0" footer="0"/>
      <printOptions horizontalCentered="1" verticalCentered="1"/>
      <pageSetup paperSize="5" orientation="landscape" r:id="rId2"/>
      <headerFooter alignWithMargins="0"/>
    </customSheetView>
  </customSheetViews>
  <phoneticPr fontId="7" type="noConversion"/>
  <printOptions horizontalCentered="1" verticalCentered="1"/>
  <pageMargins left="0" right="0" top="0" bottom="0" header="0" footer="0"/>
  <pageSetup paperSize="5" orientation="landscape" r:id="rId3"/>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B1"/>
  <sheetViews>
    <sheetView workbookViewId="0"/>
  </sheetViews>
  <sheetFormatPr defaultRowHeight="12.75"/>
  <sheetData>
    <row r="1" spans="1:2">
      <c r="B1" t="s">
        <v>160</v>
      </c>
    </row>
  </sheetData>
  <customSheetViews>
    <customSheetView guid="{08BAB49F-44A8-4F04-A2E3-24B12C6D0857}" state="veryHidden">
      <pageMargins left="0.75" right="0.75" top="1" bottom="1" header="0.5" footer="0.5"/>
      <pageSetup orientation="portrait" r:id="rId1"/>
      <headerFooter alignWithMargins="0"/>
    </customSheetView>
    <customSheetView guid="{4482C16F-8DC0-49F3-9E1F-335117126152}" state="veryHidden">
      <pageMargins left="0.75" right="0.75" top="1" bottom="1" header="0.5" footer="0.5"/>
      <pageSetup orientation="portrait" r:id="rId2"/>
      <headerFooter alignWithMargins="0"/>
    </customSheetView>
  </customSheetViews>
  <phoneticPr fontId="7" type="noConversion"/>
  <pageMargins left="0.75" right="0.75" top="1" bottom="1" header="0.5" footer="0.5"/>
  <pageSetup orientation="portrait" r:id="rId3"/>
  <headerFooter alignWithMargins="0"/>
  <legacy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5" enableFormatConditionsCalculation="0">
    <tabColor theme="3" tint="-0.249977111117893"/>
    <pageSetUpPr fitToPage="1"/>
  </sheetPr>
  <dimension ref="A1:AB37"/>
  <sheetViews>
    <sheetView showGridLines="0" zoomScale="130" zoomScaleNormal="130" workbookViewId="0"/>
  </sheetViews>
  <sheetFormatPr defaultColWidth="9.140625" defaultRowHeight="11.25" customHeight="1"/>
  <cols>
    <col min="1" max="1" width="1.42578125" customWidth="1"/>
    <col min="2" max="2" width="20.42578125" bestFit="1" customWidth="1"/>
    <col min="3" max="4" width="7.140625" customWidth="1"/>
    <col min="5" max="5" width="7.28515625" customWidth="1"/>
    <col min="6" max="6" width="1.42578125" customWidth="1"/>
    <col min="7" max="8" width="7.140625" customWidth="1"/>
    <col min="9" max="9" width="1.42578125" customWidth="1"/>
    <col min="10" max="28" width="7.140625" customWidth="1"/>
  </cols>
  <sheetData>
    <row r="1" spans="1:28" ht="11.25" customHeight="1">
      <c r="A1" s="457"/>
      <c r="B1" s="457"/>
      <c r="C1" s="775"/>
      <c r="D1" s="457"/>
      <c r="E1" s="457"/>
      <c r="F1" s="457"/>
      <c r="G1" s="457"/>
      <c r="H1" s="457"/>
      <c r="I1" s="457"/>
      <c r="J1" s="457"/>
      <c r="K1" s="457"/>
      <c r="L1" s="457"/>
      <c r="M1" s="457"/>
      <c r="N1" s="457"/>
      <c r="O1" s="457"/>
      <c r="P1" s="457"/>
      <c r="Q1" s="457"/>
      <c r="R1" s="457"/>
      <c r="S1" s="457"/>
      <c r="T1" s="457"/>
      <c r="U1" s="457"/>
      <c r="V1" s="457"/>
      <c r="W1" s="457"/>
      <c r="X1" s="457"/>
      <c r="Y1" s="457"/>
      <c r="Z1" s="457"/>
      <c r="AA1" s="457"/>
      <c r="AB1" s="457"/>
    </row>
    <row r="2" spans="1:28" ht="11.25" customHeight="1">
      <c r="A2" s="457"/>
      <c r="B2" s="707" t="s">
        <v>565</v>
      </c>
      <c r="C2" s="726" t="s">
        <v>688</v>
      </c>
      <c r="D2" s="727"/>
      <c r="E2" s="1320" t="s">
        <v>685</v>
      </c>
      <c r="F2" s="708"/>
      <c r="G2" s="727" t="s">
        <v>217</v>
      </c>
      <c r="H2" s="727"/>
      <c r="I2" s="727"/>
      <c r="J2" s="727" t="s">
        <v>218</v>
      </c>
      <c r="K2" s="727"/>
      <c r="L2" s="457"/>
      <c r="M2" s="732" t="s">
        <v>219</v>
      </c>
      <c r="N2" s="732"/>
      <c r="O2" s="732"/>
      <c r="P2" s="457"/>
      <c r="Q2" s="732" t="s">
        <v>220</v>
      </c>
      <c r="R2" s="732"/>
      <c r="S2" s="732"/>
      <c r="T2" s="732"/>
      <c r="U2" s="732"/>
      <c r="V2" s="732"/>
      <c r="W2" s="732"/>
      <c r="X2" s="732"/>
      <c r="Y2" s="732"/>
      <c r="Z2" s="732"/>
      <c r="AA2" s="732"/>
      <c r="AB2" s="732"/>
    </row>
    <row r="3" spans="1:28" ht="11.25" customHeight="1">
      <c r="A3" s="457"/>
      <c r="B3" s="707" t="s">
        <v>221</v>
      </c>
      <c r="C3" s="706" t="s">
        <v>222</v>
      </c>
      <c r="D3" s="706" t="s">
        <v>223</v>
      </c>
      <c r="E3" s="1320"/>
      <c r="F3" s="708"/>
      <c r="G3" s="725" t="s">
        <v>599</v>
      </c>
      <c r="H3" s="706" t="s">
        <v>355</v>
      </c>
      <c r="I3" s="706"/>
      <c r="J3" s="725" t="s">
        <v>596</v>
      </c>
      <c r="K3" s="706" t="s">
        <v>355</v>
      </c>
      <c r="L3" s="457"/>
      <c r="M3" s="733" t="str">
        <f>J3</f>
        <v>1Q17</v>
      </c>
      <c r="N3" s="733" t="str">
        <f>G3</f>
        <v>4Q17</v>
      </c>
      <c r="O3" s="733" t="str">
        <f>LEFT(C2,4)</f>
        <v>1Q18</v>
      </c>
      <c r="P3" s="457"/>
      <c r="Q3" s="733" t="s">
        <v>626</v>
      </c>
      <c r="R3" s="733" t="s">
        <v>500</v>
      </c>
      <c r="S3" s="733" t="s">
        <v>639</v>
      </c>
      <c r="T3" s="733" t="s">
        <v>640</v>
      </c>
      <c r="U3" s="733" t="s">
        <v>641</v>
      </c>
      <c r="V3" s="733" t="s">
        <v>638</v>
      </c>
      <c r="W3" s="733" t="s">
        <v>627</v>
      </c>
      <c r="X3" s="733" t="s">
        <v>679</v>
      </c>
      <c r="Y3" s="733" t="s">
        <v>680</v>
      </c>
      <c r="Z3" s="733" t="s">
        <v>681</v>
      </c>
      <c r="AA3" s="733" t="s">
        <v>682</v>
      </c>
      <c r="AB3" s="733" t="s">
        <v>637</v>
      </c>
    </row>
    <row r="4" spans="1:28" ht="5.25" customHeight="1">
      <c r="A4" s="457"/>
      <c r="B4" s="459"/>
      <c r="C4" s="459"/>
      <c r="D4" s="459"/>
      <c r="E4" s="647"/>
      <c r="F4" s="459"/>
      <c r="G4" s="459"/>
      <c r="H4" s="459"/>
      <c r="I4" s="459"/>
      <c r="J4" s="459"/>
      <c r="K4" s="459"/>
      <c r="L4" s="457"/>
      <c r="M4" s="457"/>
      <c r="N4" s="457"/>
      <c r="O4" s="457"/>
      <c r="P4" s="457"/>
      <c r="Q4" s="458"/>
      <c r="R4" s="458"/>
      <c r="S4" s="458"/>
      <c r="T4" s="458"/>
      <c r="U4" s="458"/>
      <c r="V4" s="458"/>
      <c r="W4" s="458"/>
      <c r="X4" s="458"/>
      <c r="Y4" s="458"/>
      <c r="Z4" s="458"/>
      <c r="AA4" s="458"/>
      <c r="AB4" s="458"/>
    </row>
    <row r="5" spans="1:28" ht="11.25" customHeight="1">
      <c r="A5" s="457"/>
      <c r="B5" s="728" t="s">
        <v>51</v>
      </c>
      <c r="C5" s="706"/>
      <c r="D5" s="706"/>
      <c r="E5" s="708"/>
      <c r="F5" s="708"/>
      <c r="G5" s="706"/>
      <c r="H5" s="706"/>
      <c r="I5" s="706"/>
      <c r="J5" s="706"/>
      <c r="K5" s="706"/>
      <c r="L5" s="457"/>
      <c r="M5" s="731"/>
      <c r="N5" s="731"/>
      <c r="O5" s="731"/>
      <c r="P5" s="457"/>
      <c r="Q5" s="734"/>
      <c r="R5" s="734"/>
      <c r="S5" s="734"/>
      <c r="T5" s="734"/>
      <c r="U5" s="734"/>
      <c r="V5" s="734"/>
      <c r="W5" s="734"/>
      <c r="X5" s="734"/>
      <c r="Y5" s="734"/>
      <c r="Z5" s="734"/>
      <c r="AA5" s="734"/>
      <c r="AB5" s="734"/>
    </row>
    <row r="6" spans="1:28" ht="11.25" customHeight="1">
      <c r="A6" s="470"/>
      <c r="B6" s="463" t="s">
        <v>287</v>
      </c>
      <c r="C6" s="648">
        <v>5016</v>
      </c>
      <c r="D6" s="649">
        <f>O6</f>
        <v>5152.9799999999996</v>
      </c>
      <c r="E6" s="664">
        <f>+C6/D6-1</f>
        <v>-2.6582676431889829E-2</v>
      </c>
      <c r="F6" s="649"/>
      <c r="G6" s="649">
        <f>N6</f>
        <v>4998</v>
      </c>
      <c r="H6" s="650">
        <f>C6/G6-1</f>
        <v>3.6014405762305746E-3</v>
      </c>
      <c r="I6" s="649"/>
      <c r="J6" s="649">
        <f>M6</f>
        <v>5202</v>
      </c>
      <c r="K6" s="650">
        <f>IFERROR(C6/J6-1,"NM")</f>
        <v>-3.5755478662053086E-2</v>
      </c>
      <c r="L6" s="457"/>
      <c r="M6" s="478">
        <v>5202</v>
      </c>
      <c r="N6" s="478">
        <v>4998</v>
      </c>
      <c r="O6" s="478">
        <v>5152.9799999999996</v>
      </c>
      <c r="P6" s="469"/>
      <c r="Q6" s="467">
        <f>Operations!CE38</f>
        <v>4400</v>
      </c>
      <c r="R6" s="467">
        <f>Operations!CF38</f>
        <v>18846</v>
      </c>
      <c r="S6" s="467">
        <f>Operations!CG38</f>
        <v>4860</v>
      </c>
      <c r="T6" s="467">
        <f>Operations!CH38</f>
        <v>4950</v>
      </c>
      <c r="U6" s="467">
        <f>Operations!CI38</f>
        <v>4698</v>
      </c>
      <c r="V6" s="467">
        <f>Operations!CJ38</f>
        <v>4629</v>
      </c>
      <c r="W6" s="467">
        <f>Operations!CK38</f>
        <v>19137</v>
      </c>
      <c r="X6" s="467">
        <f>Operations!CL38</f>
        <v>5016</v>
      </c>
      <c r="Y6" s="467">
        <f>Operations!CM38</f>
        <v>5047.4799999999996</v>
      </c>
      <c r="Z6" s="467">
        <f>Operations!CN38</f>
        <v>4789.21</v>
      </c>
      <c r="AA6" s="467">
        <f>Operations!CO38</f>
        <v>4718.71</v>
      </c>
      <c r="AB6" s="467">
        <f>Operations!CP38</f>
        <v>19571.400000000001</v>
      </c>
    </row>
    <row r="7" spans="1:28" ht="11.25" customHeight="1">
      <c r="A7" s="470"/>
      <c r="B7" s="464" t="s">
        <v>288</v>
      </c>
      <c r="C7" s="651">
        <v>717</v>
      </c>
      <c r="D7" s="652">
        <f>O7</f>
        <v>782.10538757898541</v>
      </c>
      <c r="E7" s="664">
        <f t="shared" ref="E7:E9" si="0">+C7/D7-1</f>
        <v>-8.3243752840674978E-2</v>
      </c>
      <c r="F7" s="652"/>
      <c r="G7" s="652">
        <f>N7</f>
        <v>705.15126050420167</v>
      </c>
      <c r="H7" s="653">
        <f>C7/G7-1</f>
        <v>1.6803117514568644E-2</v>
      </c>
      <c r="I7" s="652"/>
      <c r="J7" s="652">
        <f>M7</f>
        <v>681.65897731641678</v>
      </c>
      <c r="K7" s="653">
        <f>IFERROR(C7/J7-1,"NM")</f>
        <v>5.1845605881573276E-2</v>
      </c>
      <c r="L7" s="457"/>
      <c r="M7" s="479">
        <v>681.65897731641678</v>
      </c>
      <c r="N7" s="479">
        <v>705.15126050420167</v>
      </c>
      <c r="O7" s="479">
        <v>782.10538757898541</v>
      </c>
      <c r="P7" s="473"/>
      <c r="Q7" s="471">
        <f>Operations!CE22</f>
        <v>614.37636363636364</v>
      </c>
      <c r="R7" s="471">
        <f>Operations!CF22</f>
        <v>602.72536612543774</v>
      </c>
      <c r="S7" s="471">
        <f>Operations!CG22</f>
        <v>657.06337448559668</v>
      </c>
      <c r="T7" s="471">
        <f>Operations!CH22</f>
        <v>687.51919191919194</v>
      </c>
      <c r="U7" s="471">
        <f>Operations!CI22</f>
        <v>684.86355896126008</v>
      </c>
      <c r="V7" s="471">
        <f>Operations!CJ22</f>
        <v>673.67725210628646</v>
      </c>
      <c r="W7" s="471">
        <f>Operations!CK22</f>
        <v>675.94387835083865</v>
      </c>
      <c r="X7" s="471">
        <f>Operations!CL22</f>
        <v>716.43141945773527</v>
      </c>
      <c r="Y7" s="471">
        <f>Operations!CM22</f>
        <v>837.22240757422867</v>
      </c>
      <c r="Z7" s="471">
        <f>Operations!CN22</f>
        <v>865.81747226056132</v>
      </c>
      <c r="AA7" s="471">
        <f>Operations!CO22</f>
        <v>845.92613819070232</v>
      </c>
      <c r="AB7" s="471">
        <f>Operations!CP22</f>
        <v>816.09838018052392</v>
      </c>
    </row>
    <row r="8" spans="1:28" ht="11.25" customHeight="1">
      <c r="A8" s="470"/>
      <c r="B8" s="464" t="s">
        <v>608</v>
      </c>
      <c r="C8" s="651">
        <v>337</v>
      </c>
      <c r="D8" s="652">
        <f>O8</f>
        <v>338.34422999999998</v>
      </c>
      <c r="E8" s="664">
        <f t="shared" si="0"/>
        <v>-3.9729656391657153E-3</v>
      </c>
      <c r="F8" s="652"/>
      <c r="G8" s="652">
        <f>N8</f>
        <v>317</v>
      </c>
      <c r="H8" s="653">
        <f>C8/G8-1</f>
        <v>6.3091482649842323E-2</v>
      </c>
      <c r="I8" s="652"/>
      <c r="J8" s="652">
        <f>M8</f>
        <v>284</v>
      </c>
      <c r="K8" s="653">
        <f>IFERROR(C8/J8-1,"NM")</f>
        <v>0.18661971830985924</v>
      </c>
      <c r="L8" s="457"/>
      <c r="M8" s="479">
        <v>284</v>
      </c>
      <c r="N8" s="479">
        <v>317</v>
      </c>
      <c r="O8" s="479">
        <v>338.34422999999998</v>
      </c>
      <c r="P8" s="473"/>
      <c r="Q8" s="471">
        <f>Operations!CE77</f>
        <v>236</v>
      </c>
      <c r="R8" s="471">
        <f>Operations!CF77</f>
        <v>228.25</v>
      </c>
      <c r="S8" s="471">
        <f>Operations!CG77</f>
        <v>284</v>
      </c>
      <c r="T8" s="471">
        <f>Operations!CH77</f>
        <v>313</v>
      </c>
      <c r="U8" s="471">
        <f>Operations!CI77</f>
        <v>317</v>
      </c>
      <c r="V8" s="471">
        <f>Operations!CJ77</f>
        <v>317</v>
      </c>
      <c r="W8" s="471">
        <f>Operations!CK77</f>
        <v>307.75</v>
      </c>
      <c r="X8" s="471">
        <f>Operations!CL77</f>
        <v>337</v>
      </c>
      <c r="Y8" s="471">
        <f>Operations!CM77</f>
        <v>359.98500000000001</v>
      </c>
      <c r="Z8" s="471">
        <f>Operations!CN77</f>
        <v>367.78107499999999</v>
      </c>
      <c r="AA8" s="471">
        <f>Operations!CO77</f>
        <v>366.53973962499998</v>
      </c>
      <c r="AB8" s="471">
        <f>Operations!CP77</f>
        <v>357.82645365625001</v>
      </c>
    </row>
    <row r="9" spans="1:28" ht="11.25" customHeight="1">
      <c r="A9" s="470"/>
      <c r="B9" s="464" t="s">
        <v>607</v>
      </c>
      <c r="C9" s="652">
        <f>C7-C8</f>
        <v>380</v>
      </c>
      <c r="D9" s="652">
        <f>D7-D8</f>
        <v>443.76115757898543</v>
      </c>
      <c r="E9" s="664">
        <f t="shared" si="0"/>
        <v>-0.14368350291594989</v>
      </c>
      <c r="F9" s="652"/>
      <c r="G9" s="652">
        <f>G7-G8</f>
        <v>388.15126050420167</v>
      </c>
      <c r="H9" s="653">
        <f>C9/G9-1</f>
        <v>-2.1000216497077284E-2</v>
      </c>
      <c r="I9" s="652"/>
      <c r="J9" s="652">
        <f>J7-J8</f>
        <v>397.65897731641678</v>
      </c>
      <c r="K9" s="653">
        <f>IFERROR(C9/J9-1,"NM")</f>
        <v>-4.4407339765312415E-2</v>
      </c>
      <c r="L9" s="457"/>
      <c r="M9" s="479">
        <v>397.65897731641678</v>
      </c>
      <c r="N9" s="479">
        <v>388.15126050420167</v>
      </c>
      <c r="O9" s="479">
        <v>443.76115757898543</v>
      </c>
      <c r="P9" s="473"/>
      <c r="Q9" s="471">
        <f t="shared" ref="Q9:R9" si="1">Q7-Q8</f>
        <v>378.37636363636364</v>
      </c>
      <c r="R9" s="471">
        <f t="shared" si="1"/>
        <v>374.47536612543774</v>
      </c>
      <c r="S9" s="471">
        <f>S7-S8</f>
        <v>373.06337448559668</v>
      </c>
      <c r="T9" s="471">
        <f>T7-T8</f>
        <v>374.51919191919194</v>
      </c>
      <c r="U9" s="471">
        <f>U7-U8</f>
        <v>367.86355896126008</v>
      </c>
      <c r="V9" s="471">
        <f>V7-V8</f>
        <v>356.67725210628646</v>
      </c>
      <c r="W9" s="471">
        <f>W7-W8</f>
        <v>368.19387835083865</v>
      </c>
      <c r="X9" s="471">
        <f t="shared" ref="X9:AB9" si="2">X7-X8</f>
        <v>379.43141945773527</v>
      </c>
      <c r="Y9" s="471">
        <f t="shared" si="2"/>
        <v>477.23740757422865</v>
      </c>
      <c r="Z9" s="471">
        <f t="shared" si="2"/>
        <v>498.03639726056133</v>
      </c>
      <c r="AA9" s="471">
        <f t="shared" si="2"/>
        <v>479.38639856570234</v>
      </c>
      <c r="AB9" s="471">
        <f t="shared" si="2"/>
        <v>458.27192652427391</v>
      </c>
    </row>
    <row r="10" spans="1:28" ht="5.25" customHeight="1">
      <c r="A10" s="457"/>
      <c r="B10" s="654"/>
      <c r="C10" s="459"/>
      <c r="D10" s="459"/>
      <c r="E10" s="647"/>
      <c r="F10" s="459"/>
      <c r="G10" s="459"/>
      <c r="H10" s="655"/>
      <c r="I10" s="459"/>
      <c r="J10" s="459"/>
      <c r="K10" s="655"/>
      <c r="L10" s="457"/>
      <c r="M10" s="480"/>
      <c r="N10" s="480"/>
      <c r="O10" s="480"/>
      <c r="P10" s="457"/>
      <c r="Q10" s="457"/>
      <c r="R10" s="457"/>
      <c r="S10" s="457"/>
      <c r="T10" s="457"/>
      <c r="U10" s="457"/>
      <c r="V10" s="457"/>
      <c r="W10" s="457"/>
      <c r="X10" s="457"/>
      <c r="Y10" s="457"/>
      <c r="Z10" s="457"/>
      <c r="AA10" s="457"/>
      <c r="AB10" s="457"/>
    </row>
    <row r="11" spans="1:28" ht="11.25" customHeight="1">
      <c r="A11" s="457"/>
      <c r="B11" s="728" t="s">
        <v>604</v>
      </c>
      <c r="C11" s="725"/>
      <c r="D11" s="706"/>
      <c r="E11" s="708"/>
      <c r="F11" s="708"/>
      <c r="G11" s="706"/>
      <c r="H11" s="706"/>
      <c r="I11" s="706"/>
      <c r="J11" s="706"/>
      <c r="K11" s="706"/>
      <c r="L11" s="457"/>
      <c r="M11" s="731"/>
      <c r="N11" s="731"/>
      <c r="O11" s="731"/>
      <c r="P11" s="457"/>
      <c r="Q11" s="734"/>
      <c r="R11" s="734"/>
      <c r="S11" s="734"/>
      <c r="T11" s="734"/>
      <c r="U11" s="734"/>
      <c r="V11" s="734"/>
      <c r="W11" s="734"/>
      <c r="X11" s="734"/>
      <c r="Y11" s="734"/>
      <c r="Z11" s="734"/>
      <c r="AA11" s="734"/>
      <c r="AB11" s="734"/>
    </row>
    <row r="12" spans="1:28" ht="11.25" customHeight="1">
      <c r="A12" s="470"/>
      <c r="B12" s="464" t="s">
        <v>605</v>
      </c>
      <c r="C12" s="648">
        <v>560.50300000000004</v>
      </c>
      <c r="D12" s="649">
        <f>O12</f>
        <v>573.06162501979384</v>
      </c>
      <c r="E12" s="664">
        <f t="shared" ref="E12:E15" si="3">+C12/D12-1</f>
        <v>-2.1914964240294377E-2</v>
      </c>
      <c r="F12" s="649"/>
      <c r="G12" s="649">
        <f>N12</f>
        <v>349.95800000000003</v>
      </c>
      <c r="H12" s="650">
        <f>C12/G12-1</f>
        <v>0.60162933837774824</v>
      </c>
      <c r="I12" s="649"/>
      <c r="J12" s="649">
        <f>M12</f>
        <v>684.16099999999994</v>
      </c>
      <c r="K12" s="650">
        <f>IFERROR(C12/J12-1,"NM")</f>
        <v>-0.18074400616229203</v>
      </c>
      <c r="L12" s="498"/>
      <c r="M12" s="478">
        <v>684.16099999999994</v>
      </c>
      <c r="N12" s="478">
        <v>349.95800000000003</v>
      </c>
      <c r="O12" s="478">
        <v>573.06162501979384</v>
      </c>
      <c r="P12" s="469"/>
      <c r="Q12" s="467">
        <f>Operations!CE$100</f>
        <v>284.85700000000008</v>
      </c>
      <c r="R12" s="467">
        <f>Operations!CF$100</f>
        <v>1724.1679999999999</v>
      </c>
      <c r="S12" s="467">
        <f>Operations!CG$100</f>
        <v>644.18299999999999</v>
      </c>
      <c r="T12" s="467">
        <f>Operations!CH$100</f>
        <v>582.36599999999999</v>
      </c>
      <c r="U12" s="467">
        <f>Operations!CI$100</f>
        <v>397.71800000000002</v>
      </c>
      <c r="V12" s="467">
        <f>Operations!CJ$100</f>
        <v>314.95800000000003</v>
      </c>
      <c r="W12" s="467">
        <f>Operations!CK$100</f>
        <v>1939.2250000000001</v>
      </c>
      <c r="X12" s="467">
        <f>Operations!CL$100</f>
        <v>560.50300000000004</v>
      </c>
      <c r="Y12" s="467">
        <f>Operations!CM$100</f>
        <v>855.35708076946685</v>
      </c>
      <c r="Z12" s="467">
        <f>Operations!CN$100</f>
        <v>872.38394412425293</v>
      </c>
      <c r="AA12" s="467">
        <f>Operations!CO$100</f>
        <v>770.06594277596537</v>
      </c>
      <c r="AB12" s="467">
        <f>Operations!CP$100</f>
        <v>3058.3099676696856</v>
      </c>
    </row>
    <row r="13" spans="1:28" ht="11.25" customHeight="1">
      <c r="A13" s="470"/>
      <c r="B13" s="464" t="s">
        <v>254</v>
      </c>
      <c r="C13" s="648">
        <v>85.813999999999993</v>
      </c>
      <c r="D13" s="649">
        <f>O13</f>
        <v>56.034926514722756</v>
      </c>
      <c r="E13" s="664">
        <f t="shared" si="3"/>
        <v>0.53143771817837604</v>
      </c>
      <c r="F13" s="649"/>
      <c r="G13" s="649">
        <f>N13</f>
        <v>74.849000000000004</v>
      </c>
      <c r="H13" s="650">
        <f>C13/G13-1</f>
        <v>0.1464949431522129</v>
      </c>
      <c r="I13" s="649"/>
      <c r="J13" s="649">
        <f>M13</f>
        <v>26.922000000000001</v>
      </c>
      <c r="K13" s="650">
        <f>IFERROR(C13/J13-1,"NM")</f>
        <v>2.1875046430428644</v>
      </c>
      <c r="L13" s="498"/>
      <c r="M13" s="478">
        <v>26.922000000000001</v>
      </c>
      <c r="N13" s="478">
        <v>74.849000000000004</v>
      </c>
      <c r="O13" s="478">
        <v>56.034926514722756</v>
      </c>
      <c r="P13" s="469"/>
      <c r="Q13" s="467">
        <f>Operations!CE$148</f>
        <v>52.079000000000008</v>
      </c>
      <c r="R13" s="467">
        <f>Operations!CF$148</f>
        <v>249.97</v>
      </c>
      <c r="S13" s="467">
        <f>Operations!CG$148</f>
        <v>66.918999999999997</v>
      </c>
      <c r="T13" s="467">
        <f>Operations!CH$148</f>
        <v>80.808999999999997</v>
      </c>
      <c r="U13" s="467">
        <f>Operations!CI$148</f>
        <v>94.224999999999994</v>
      </c>
      <c r="V13" s="467">
        <f>Operations!CJ$148</f>
        <v>109.849</v>
      </c>
      <c r="W13" s="467">
        <f>Operations!CK$148</f>
        <v>351.80200000000002</v>
      </c>
      <c r="X13" s="467">
        <f>Operations!CL$148</f>
        <v>85.813999999999993</v>
      </c>
      <c r="Y13" s="467">
        <f>Operations!CM$148</f>
        <v>99.013477107956462</v>
      </c>
      <c r="Z13" s="467">
        <f>Operations!CN$148</f>
        <v>93.709280041473633</v>
      </c>
      <c r="AA13" s="467">
        <f>Operations!CO$148</f>
        <v>93.599990161355265</v>
      </c>
      <c r="AB13" s="467">
        <f>Operations!CP$148</f>
        <v>372.13674731078532</v>
      </c>
    </row>
    <row r="14" spans="1:28" ht="11.25" customHeight="1">
      <c r="A14" s="470"/>
      <c r="B14" s="464" t="s">
        <v>491</v>
      </c>
      <c r="C14" s="648">
        <v>74.546999999999997</v>
      </c>
      <c r="D14" s="649">
        <f>O14</f>
        <v>34.694055108695636</v>
      </c>
      <c r="E14" s="664">
        <f t="shared" si="3"/>
        <v>1.1486966503755771</v>
      </c>
      <c r="F14" s="649"/>
      <c r="G14" s="649">
        <f>N14</f>
        <v>26.721</v>
      </c>
      <c r="H14" s="650">
        <f>C14/G14-1</f>
        <v>1.7898282249915796</v>
      </c>
      <c r="I14" s="649"/>
      <c r="J14" s="649">
        <f>M14</f>
        <v>26.390999999999998</v>
      </c>
      <c r="K14" s="650">
        <f>IFERROR(C14/J14-1,"NM")</f>
        <v>1.8247129703307947</v>
      </c>
      <c r="L14" s="498"/>
      <c r="M14" s="478">
        <v>26.390999999999998</v>
      </c>
      <c r="N14" s="478">
        <v>26.721</v>
      </c>
      <c r="O14" s="478">
        <v>34.694055108695636</v>
      </c>
      <c r="P14" s="469"/>
      <c r="Q14" s="467">
        <f>Operations!CE$168</f>
        <v>-18.881</v>
      </c>
      <c r="R14" s="467">
        <f>Operations!CF$168</f>
        <v>-95.120999999999995</v>
      </c>
      <c r="S14" s="467">
        <f>Operations!CG$168</f>
        <v>26.390999999999998</v>
      </c>
      <c r="T14" s="467">
        <f>Operations!CH$168</f>
        <v>66.227000000000004</v>
      </c>
      <c r="U14" s="467">
        <f>Operations!CI$168</f>
        <v>9.9570000000000007</v>
      </c>
      <c r="V14" s="467">
        <f>Operations!CJ$168</f>
        <v>26.721</v>
      </c>
      <c r="W14" s="467">
        <f>Operations!CK$168</f>
        <v>129.29599999999999</v>
      </c>
      <c r="X14" s="467">
        <f>Operations!CL$168</f>
        <v>74.546999999999997</v>
      </c>
      <c r="Y14" s="467">
        <f>Operations!CM$168</f>
        <v>35.234507951807231</v>
      </c>
      <c r="Z14" s="467">
        <f>Operations!CN$168</f>
        <v>44.324431766006143</v>
      </c>
      <c r="AA14" s="467">
        <f>Operations!CO$168</f>
        <v>59.10966171871182</v>
      </c>
      <c r="AB14" s="467">
        <f>Operations!CP$168</f>
        <v>213.21560143652522</v>
      </c>
    </row>
    <row r="15" spans="1:28" ht="11.25" customHeight="1">
      <c r="A15" s="470"/>
      <c r="B15" s="464" t="s">
        <v>606</v>
      </c>
      <c r="C15" s="648">
        <v>-204.952</v>
      </c>
      <c r="D15" s="649">
        <f>O15</f>
        <v>-176.96049567465161</v>
      </c>
      <c r="E15" s="664">
        <f t="shared" si="3"/>
        <v>0.15817939602074693</v>
      </c>
      <c r="F15" s="652"/>
      <c r="G15" s="649">
        <f>N15</f>
        <v>-129.28700000000003</v>
      </c>
      <c r="H15" s="653">
        <f>C15/G15-1</f>
        <v>0.58524832349733491</v>
      </c>
      <c r="I15" s="652"/>
      <c r="J15" s="649">
        <f>M15</f>
        <v>-178.69899999999996</v>
      </c>
      <c r="K15" s="650">
        <f>IFERROR(C15/J15-1,"NM")</f>
        <v>0.1469118461770913</v>
      </c>
      <c r="L15" s="498"/>
      <c r="M15" s="478">
        <v>-178.69899999999996</v>
      </c>
      <c r="N15" s="478">
        <v>-129.28700000000003</v>
      </c>
      <c r="O15" s="478">
        <v>-176.96049567465161</v>
      </c>
      <c r="P15" s="473"/>
      <c r="Q15" s="467">
        <f>Financials!CE41+Financials!CE45-SUM(Financials!CE35:CE37)</f>
        <v>-98.615000000000066</v>
      </c>
      <c r="R15" s="467">
        <f>Financials!CF41+Financials!CF45-SUM(Financials!CF35:CF37)</f>
        <v>-685.29499999999985</v>
      </c>
      <c r="S15" s="467">
        <f>Financials!CG41+Financials!CG45-SUM(Financials!CG35:CG37)</f>
        <v>-178.71799999999996</v>
      </c>
      <c r="T15" s="467">
        <f>Financials!CH41+Financials!CH45-SUM(Financials!CH35:CH37)</f>
        <v>-221.26599999999991</v>
      </c>
      <c r="U15" s="467">
        <f>Financials!CI41+Financials!CI45-SUM(Financials!CI35:CI37)</f>
        <v>-124.24499999999995</v>
      </c>
      <c r="V15" s="467">
        <f>Financials!CJ41+Financials!CJ45-SUM(Financials!CJ35:CJ37)</f>
        <v>-129.28700000000003</v>
      </c>
      <c r="W15" s="467">
        <f>Financials!CK41+Financials!CK45-SUM(Financials!CK35:CK37)</f>
        <v>-653.51599999999985</v>
      </c>
      <c r="X15" s="467">
        <f>Financials!CL41+Financials!CL45-SUM(Financials!CL35:CL37)</f>
        <v>-183.15200000000004</v>
      </c>
      <c r="Y15" s="467">
        <f>Financials!CM41+Financials!CM45-SUM(Financials!CM35:CM37)</f>
        <v>-244.01647777582468</v>
      </c>
      <c r="Z15" s="467">
        <f>Financials!CN41+Financials!CN45-SUM(Financials!CN35:CN37)</f>
        <v>-247.01981835225786</v>
      </c>
      <c r="AA15" s="467">
        <f>Financials!CO41+Financials!CO45-SUM(Financials!CO35:CO37)</f>
        <v>-222.41440814994701</v>
      </c>
      <c r="AB15" s="467">
        <f>Financials!CP41+Financials!CP45-SUM(Financials!CP35:CP37)</f>
        <v>-896.60270427802971</v>
      </c>
    </row>
    <row r="16" spans="1:28" ht="5.25" customHeight="1">
      <c r="A16" s="457"/>
      <c r="B16" s="654"/>
      <c r="C16" s="459"/>
      <c r="D16" s="459"/>
      <c r="E16" s="647"/>
      <c r="F16" s="459"/>
      <c r="G16" s="459"/>
      <c r="H16" s="655"/>
      <c r="I16" s="459"/>
      <c r="J16" s="459"/>
      <c r="K16" s="655"/>
      <c r="L16" s="457"/>
      <c r="M16" s="480"/>
      <c r="N16" s="480"/>
      <c r="O16" s="480"/>
      <c r="P16" s="457"/>
      <c r="Q16" s="457"/>
      <c r="R16" s="457"/>
      <c r="S16" s="457"/>
      <c r="T16" s="457"/>
      <c r="U16" s="457"/>
      <c r="V16" s="457"/>
      <c r="W16" s="457"/>
      <c r="X16" s="457"/>
      <c r="Y16" s="457"/>
      <c r="Z16" s="457"/>
      <c r="AA16" s="457"/>
      <c r="AB16" s="457"/>
    </row>
    <row r="17" spans="1:28" ht="11.25" customHeight="1">
      <c r="A17" s="457"/>
      <c r="B17" s="728" t="s">
        <v>600</v>
      </c>
      <c r="C17" s="729"/>
      <c r="D17" s="729"/>
      <c r="E17" s="729"/>
      <c r="F17" s="729"/>
      <c r="G17" s="729"/>
      <c r="H17" s="730"/>
      <c r="I17" s="729"/>
      <c r="J17" s="729"/>
      <c r="K17" s="730"/>
      <c r="L17" s="457"/>
      <c r="M17" s="731"/>
      <c r="N17" s="731"/>
      <c r="O17" s="731"/>
      <c r="P17" s="457"/>
      <c r="Q17" s="734"/>
      <c r="R17" s="734"/>
      <c r="S17" s="734"/>
      <c r="T17" s="734"/>
      <c r="U17" s="734"/>
      <c r="V17" s="734"/>
      <c r="W17" s="734"/>
      <c r="X17" s="734"/>
      <c r="Y17" s="734"/>
      <c r="Z17" s="734"/>
      <c r="AA17" s="734"/>
      <c r="AB17" s="734"/>
    </row>
    <row r="18" spans="1:28" ht="11.25" customHeight="1">
      <c r="A18" s="457"/>
      <c r="B18" s="464" t="s">
        <v>572</v>
      </c>
      <c r="C18" s="648">
        <v>5568.4189999999999</v>
      </c>
      <c r="D18" s="656">
        <f>O18</f>
        <v>5391.3387547879456</v>
      </c>
      <c r="E18" s="664">
        <f t="shared" ref="E18:E26" si="4">+C18/D18-1</f>
        <v>3.2845319737104806E-2</v>
      </c>
      <c r="F18" s="656"/>
      <c r="G18" s="656">
        <f>N18</f>
        <v>5092.3280000000004</v>
      </c>
      <c r="H18" s="653">
        <f>C18/G18-1</f>
        <v>9.349181749486668E-2</v>
      </c>
      <c r="I18" s="656"/>
      <c r="J18" s="656">
        <f>M18</f>
        <v>4815.1790000000001</v>
      </c>
      <c r="K18" s="653">
        <f>IFERROR(C18/J18-1,"NM")</f>
        <v>0.15643032169728266</v>
      </c>
      <c r="L18" s="457"/>
      <c r="M18" s="478">
        <v>4815.1790000000001</v>
      </c>
      <c r="N18" s="478">
        <v>5092.3280000000004</v>
      </c>
      <c r="O18" s="478">
        <v>5391.3387547879456</v>
      </c>
      <c r="P18" s="473"/>
      <c r="Q18" s="473">
        <f>Financials!CE15</f>
        <v>3956.538</v>
      </c>
      <c r="R18" s="473">
        <f>Financials!CF15</f>
        <v>16208.122000000001</v>
      </c>
      <c r="S18" s="473">
        <f>Financials!CG15</f>
        <v>4815.1790000000001</v>
      </c>
      <c r="T18" s="473">
        <f>Financials!CH15</f>
        <v>5174.7690000000002</v>
      </c>
      <c r="U18" s="473">
        <f>Financials!CI15</f>
        <v>5170.1170000000002</v>
      </c>
      <c r="V18" s="473">
        <f>Financials!CJ15</f>
        <v>5092.3280000000004</v>
      </c>
      <c r="W18" s="473">
        <f>Financials!CK15</f>
        <v>20252.393</v>
      </c>
      <c r="X18" s="473">
        <f>Financials!CL15</f>
        <v>5568.4189999999999</v>
      </c>
      <c r="Y18" s="473">
        <f>Financials!CM15</f>
        <v>6597.9083088509942</v>
      </c>
      <c r="Z18" s="473">
        <f>Financials!CN15</f>
        <v>6737.6566576219666</v>
      </c>
      <c r="AA18" s="473">
        <f>Financials!CO15</f>
        <v>6579.9601327958853</v>
      </c>
      <c r="AB18" s="473">
        <f>Financials!CP15</f>
        <v>25483.944099268847</v>
      </c>
    </row>
    <row r="19" spans="1:28" ht="11.25" hidden="1" customHeight="1">
      <c r="A19" s="457"/>
      <c r="B19" s="464" t="s">
        <v>293</v>
      </c>
      <c r="C19" s="774"/>
      <c r="D19" s="656">
        <f>O19</f>
        <v>0</v>
      </c>
      <c r="E19" s="664" t="e">
        <f t="shared" si="4"/>
        <v>#DIV/0!</v>
      </c>
      <c r="F19" s="656"/>
      <c r="G19" s="656">
        <f>N19</f>
        <v>0</v>
      </c>
      <c r="H19" s="653" t="e">
        <f>C19/G19-1</f>
        <v>#DIV/0!</v>
      </c>
      <c r="I19" s="656"/>
      <c r="J19" s="656">
        <f>M19</f>
        <v>0</v>
      </c>
      <c r="K19" s="653" t="str">
        <f>IFERROR(C19/J19-1,"NM")</f>
        <v>NM</v>
      </c>
      <c r="L19" s="457"/>
      <c r="M19" s="478">
        <v>0</v>
      </c>
      <c r="N19" s="478">
        <v>0</v>
      </c>
      <c r="O19" s="478">
        <v>0</v>
      </c>
      <c r="P19" s="473"/>
      <c r="Q19" s="473">
        <f>Financials!CE39</f>
        <v>0</v>
      </c>
      <c r="R19" s="473">
        <f>Financials!CF39</f>
        <v>-105.8</v>
      </c>
      <c r="S19" s="473">
        <f>Financials!CG39</f>
        <v>0</v>
      </c>
      <c r="T19" s="473">
        <f>Financials!CH39</f>
        <v>0</v>
      </c>
      <c r="U19" s="473">
        <f>Financials!CI39</f>
        <v>0</v>
      </c>
      <c r="V19" s="473">
        <f>Financials!CJ39</f>
        <v>0</v>
      </c>
      <c r="W19" s="473">
        <f>Financials!CK39</f>
        <v>0</v>
      </c>
      <c r="X19" s="473">
        <f>Financials!CL39</f>
        <v>0</v>
      </c>
      <c r="Y19" s="473">
        <f>Financials!CM39</f>
        <v>0</v>
      </c>
      <c r="Z19" s="473">
        <f>Financials!CN39</f>
        <v>0</v>
      </c>
      <c r="AA19" s="473">
        <f>Financials!CO39</f>
        <v>0</v>
      </c>
      <c r="AB19" s="473">
        <f>Financials!CP39</f>
        <v>0</v>
      </c>
    </row>
    <row r="20" spans="1:28" ht="11.25" customHeight="1">
      <c r="A20" s="457"/>
      <c r="B20" s="657" t="s">
        <v>75</v>
      </c>
      <c r="C20" s="658">
        <f>515.912+37.114</f>
        <v>553.02600000000007</v>
      </c>
      <c r="D20" s="659">
        <f>O20</f>
        <v>529.1211247635606</v>
      </c>
      <c r="E20" s="664">
        <f t="shared" si="4"/>
        <v>4.5178455589202526E-2</v>
      </c>
      <c r="F20" s="659"/>
      <c r="G20" s="659">
        <f>N20</f>
        <v>364.32599999999996</v>
      </c>
      <c r="H20" s="660">
        <f>C20/G20-1</f>
        <v>0.51794272162843202</v>
      </c>
      <c r="I20" s="659"/>
      <c r="J20" s="659">
        <f>M20</f>
        <v>602.38</v>
      </c>
      <c r="K20" s="660">
        <f>IFERROR(C20/J20-1,"NM")</f>
        <v>-8.193167103821497E-2</v>
      </c>
      <c r="L20" s="457"/>
      <c r="M20" s="481">
        <v>602.38</v>
      </c>
      <c r="N20" s="481">
        <v>364.32599999999996</v>
      </c>
      <c r="O20" s="481">
        <v>529.1211247635606</v>
      </c>
      <c r="P20" s="475"/>
      <c r="Q20" s="475">
        <f>Financials!CE41</f>
        <v>260.26900000000001</v>
      </c>
      <c r="R20" s="475">
        <f>Financials!CF41</f>
        <v>1327.3659999999998</v>
      </c>
      <c r="S20" s="475">
        <f>Financials!CG41</f>
        <v>602.38</v>
      </c>
      <c r="T20" s="475">
        <f>Financials!CH41</f>
        <v>552.71600000000001</v>
      </c>
      <c r="U20" s="475">
        <f>Financials!CI41</f>
        <v>420.96500000000003</v>
      </c>
      <c r="V20" s="475">
        <f>Financials!CJ41</f>
        <v>364.32599999999996</v>
      </c>
      <c r="W20" s="475">
        <f>Financials!CK41</f>
        <v>1940.3869999999999</v>
      </c>
      <c r="X20" s="475">
        <f>Financials!CL41</f>
        <v>574.82600000000002</v>
      </c>
      <c r="Y20" s="475">
        <f>Financials!CM41</f>
        <v>788.59615184840584</v>
      </c>
      <c r="Z20" s="475">
        <f>Financials!CN41</f>
        <v>805.40742906253331</v>
      </c>
      <c r="AA20" s="475">
        <f>Financials!CO41</f>
        <v>741.8100981036805</v>
      </c>
      <c r="AB20" s="475">
        <f>Financials!CP41</f>
        <v>2910.63967901462</v>
      </c>
    </row>
    <row r="21" spans="1:28" ht="11.25" customHeight="1">
      <c r="A21" s="457"/>
      <c r="B21" s="661" t="s">
        <v>62</v>
      </c>
      <c r="C21" s="687">
        <f>C20+C23</f>
        <v>734.14400000000001</v>
      </c>
      <c r="D21" s="659">
        <f>O21</f>
        <v>703.1211247635606</v>
      </c>
      <c r="E21" s="664">
        <f t="shared" si="4"/>
        <v>4.4121665732730575E-2</v>
      </c>
      <c r="F21" s="659"/>
      <c r="G21" s="659">
        <f>N21</f>
        <v>537.32600000000002</v>
      </c>
      <c r="H21" s="660">
        <f>C21/G21-1</f>
        <v>0.36629159951314461</v>
      </c>
      <c r="I21" s="659"/>
      <c r="J21" s="659">
        <f>M21</f>
        <v>783.27300000000002</v>
      </c>
      <c r="K21" s="660">
        <f>IFERROR(C21/J21-1,"NM")</f>
        <v>-6.2722703323107032E-2</v>
      </c>
      <c r="L21" s="457"/>
      <c r="M21" s="481">
        <v>783.27300000000002</v>
      </c>
      <c r="N21" s="481">
        <v>537.32600000000002</v>
      </c>
      <c r="O21" s="481">
        <v>703.1211247635606</v>
      </c>
      <c r="P21" s="475"/>
      <c r="Q21" s="475">
        <f>Financials!CE97</f>
        <v>434.14800000000002</v>
      </c>
      <c r="R21" s="475">
        <f>Financials!CF97</f>
        <v>2014.4199999999996</v>
      </c>
      <c r="S21" s="475">
        <f>Financials!CG97</f>
        <v>783.27300000000002</v>
      </c>
      <c r="T21" s="475">
        <f>Financials!CH97</f>
        <v>735.54399999999998</v>
      </c>
      <c r="U21" s="475">
        <f>Financials!CI97</f>
        <v>600.46</v>
      </c>
      <c r="V21" s="475">
        <f>Financials!CJ97</f>
        <v>548.17099999999982</v>
      </c>
      <c r="W21" s="475">
        <f>Financials!CK97</f>
        <v>2667.4479999999999</v>
      </c>
      <c r="X21" s="475">
        <f>Financials!CL97</f>
        <v>748.82600000000002</v>
      </c>
      <c r="Y21" s="475">
        <f>Financials!CM97</f>
        <v>962.59615184840584</v>
      </c>
      <c r="Z21" s="475">
        <f>Financials!CN97</f>
        <v>979.40742906253331</v>
      </c>
      <c r="AA21" s="475">
        <f>Financials!CO97</f>
        <v>915.8100981036805</v>
      </c>
      <c r="AB21" s="475">
        <f>Financials!CP97</f>
        <v>3606.63967901462</v>
      </c>
    </row>
    <row r="22" spans="1:28" ht="5.25" customHeight="1">
      <c r="A22" s="457"/>
      <c r="B22" s="661"/>
      <c r="C22" s="656"/>
      <c r="D22" s="656"/>
      <c r="E22" s="664"/>
      <c r="F22" s="656"/>
      <c r="G22" s="656"/>
      <c r="H22" s="653"/>
      <c r="I22" s="656"/>
      <c r="J22" s="656"/>
      <c r="K22" s="653"/>
      <c r="L22" s="457"/>
      <c r="M22" s="478"/>
      <c r="N22" s="478"/>
      <c r="O22" s="478"/>
      <c r="P22" s="473"/>
      <c r="Q22" s="473"/>
      <c r="R22" s="473"/>
      <c r="S22" s="473"/>
      <c r="T22" s="473"/>
      <c r="U22" s="473"/>
      <c r="V22" s="473"/>
      <c r="W22" s="473"/>
      <c r="X22" s="473"/>
      <c r="Y22" s="473"/>
      <c r="Z22" s="473"/>
      <c r="AA22" s="473"/>
      <c r="AB22" s="473"/>
    </row>
    <row r="23" spans="1:28" ht="11.25" customHeight="1">
      <c r="A23" s="457"/>
      <c r="B23" s="464" t="s">
        <v>192</v>
      </c>
      <c r="C23" s="648">
        <f>158.665+22.453</f>
        <v>181.11799999999999</v>
      </c>
      <c r="D23" s="656">
        <f>O23</f>
        <v>174</v>
      </c>
      <c r="E23" s="664">
        <f t="shared" si="4"/>
        <v>4.0908045977011476E-2</v>
      </c>
      <c r="F23" s="656"/>
      <c r="G23" s="656">
        <f>N23</f>
        <v>173</v>
      </c>
      <c r="H23" s="653">
        <f>C23/G23-1</f>
        <v>4.692485549132952E-2</v>
      </c>
      <c r="I23" s="656"/>
      <c r="J23" s="656">
        <f>M23</f>
        <v>180.893</v>
      </c>
      <c r="K23" s="653">
        <f>IFERROR(C23/J23-1,"NM")</f>
        <v>1.243829225011428E-3</v>
      </c>
      <c r="L23" s="457"/>
      <c r="M23" s="478">
        <v>180.893</v>
      </c>
      <c r="N23" s="478">
        <v>173</v>
      </c>
      <c r="O23" s="478">
        <v>174</v>
      </c>
      <c r="P23" s="473"/>
      <c r="Q23" s="473">
        <f>Financials!CE95</f>
        <v>173.87900000000002</v>
      </c>
      <c r="R23" s="473">
        <f>Financials!CF95</f>
        <v>687.05399999999997</v>
      </c>
      <c r="S23" s="473">
        <f>Financials!CG95</f>
        <v>180.893</v>
      </c>
      <c r="T23" s="473">
        <f>Financials!CH95</f>
        <v>182.828</v>
      </c>
      <c r="U23" s="473">
        <f>Financials!CI95</f>
        <v>179.49500000000003</v>
      </c>
      <c r="V23" s="473">
        <f>Financials!CJ95</f>
        <v>183.84499999999991</v>
      </c>
      <c r="W23" s="473">
        <f>Financials!CK95</f>
        <v>727.06099999999992</v>
      </c>
      <c r="X23" s="473">
        <f>Financials!CL95</f>
        <v>174</v>
      </c>
      <c r="Y23" s="473">
        <f>Financials!CM95</f>
        <v>174</v>
      </c>
      <c r="Z23" s="473">
        <f>Financials!CN95</f>
        <v>174</v>
      </c>
      <c r="AA23" s="473">
        <f>Financials!CO95</f>
        <v>174</v>
      </c>
      <c r="AB23" s="473">
        <f>Financials!CP95</f>
        <v>696</v>
      </c>
    </row>
    <row r="24" spans="1:28" ht="11.25" customHeight="1">
      <c r="A24" s="457"/>
      <c r="B24" s="464" t="s">
        <v>229</v>
      </c>
      <c r="C24" s="648">
        <v>37.113999999999997</v>
      </c>
      <c r="D24" s="656">
        <f>O24</f>
        <v>42.291013794999998</v>
      </c>
      <c r="E24" s="664">
        <f t="shared" si="4"/>
        <v>-0.12241403859682531</v>
      </c>
      <c r="F24" s="656"/>
      <c r="G24" s="656">
        <f>N24</f>
        <v>42.085000000000001</v>
      </c>
      <c r="H24" s="653">
        <f>C24/G24-1</f>
        <v>-0.11811809433289777</v>
      </c>
      <c r="I24" s="656"/>
      <c r="J24" s="656">
        <f>M24</f>
        <v>43.604999999999997</v>
      </c>
      <c r="K24" s="653">
        <f>IFERROR(C24/J24-1,"NM")</f>
        <v>-0.14885907579406032</v>
      </c>
      <c r="L24" s="457"/>
      <c r="M24" s="478">
        <v>43.604999999999997</v>
      </c>
      <c r="N24" s="478">
        <v>42.085000000000001</v>
      </c>
      <c r="O24" s="478">
        <v>42.291013794999998</v>
      </c>
      <c r="P24" s="473"/>
      <c r="Q24" s="473">
        <f>-Financials!CE45</f>
        <v>40.828999999999994</v>
      </c>
      <c r="R24" s="473">
        <f>-Financials!CF45</f>
        <v>169.244</v>
      </c>
      <c r="S24" s="473">
        <f>-Financials!CG45</f>
        <v>43.604999999999997</v>
      </c>
      <c r="T24" s="473">
        <f>-Financials!CH45</f>
        <v>44.58</v>
      </c>
      <c r="U24" s="473">
        <f>-Financials!CI45</f>
        <v>43.31</v>
      </c>
      <c r="V24" s="473">
        <f>-Financials!CJ45</f>
        <v>42.085000000000001</v>
      </c>
      <c r="W24" s="473">
        <f>-Financials!CK45</f>
        <v>173.57999999999998</v>
      </c>
      <c r="X24" s="473">
        <f>-Financials!CL45</f>
        <v>37.113999999999997</v>
      </c>
      <c r="Y24" s="473">
        <f>-Financials!CM45</f>
        <v>43.007563794999996</v>
      </c>
      <c r="Z24" s="473">
        <f>-Financials!CN45</f>
        <v>42.009591483058443</v>
      </c>
      <c r="AA24" s="473">
        <f>-Financials!CO45</f>
        <v>41.448911597595142</v>
      </c>
      <c r="AB24" s="473">
        <f>-Financials!CP45</f>
        <v>163.58006687565356</v>
      </c>
    </row>
    <row r="25" spans="1:28" ht="11.25" customHeight="1">
      <c r="A25" s="457"/>
      <c r="B25" s="464" t="s">
        <v>193</v>
      </c>
      <c r="C25" s="662">
        <f>SUM(C12:C15)</f>
        <v>515.91200000000003</v>
      </c>
      <c r="D25" s="656">
        <f>O25</f>
        <v>486.83011096856058</v>
      </c>
      <c r="E25" s="664">
        <f t="shared" si="4"/>
        <v>5.9737243806839091E-2</v>
      </c>
      <c r="F25" s="656"/>
      <c r="G25" s="656">
        <f>N25</f>
        <v>322.24099999999999</v>
      </c>
      <c r="H25" s="653">
        <f>C25/G25-1</f>
        <v>0.60101290648924266</v>
      </c>
      <c r="I25" s="656"/>
      <c r="J25" s="656">
        <f>M25</f>
        <v>558.77499999999998</v>
      </c>
      <c r="K25" s="653">
        <f>IFERROR(C25/J25-1,"NM")</f>
        <v>-7.6708872086259983E-2</v>
      </c>
      <c r="L25" s="457"/>
      <c r="M25" s="478">
        <v>558.77499999999998</v>
      </c>
      <c r="N25" s="478">
        <v>322.24099999999999</v>
      </c>
      <c r="O25" s="478">
        <v>486.83011096856058</v>
      </c>
      <c r="P25" s="473"/>
      <c r="Q25" s="473">
        <f>+Financials!CE48</f>
        <v>219.44</v>
      </c>
      <c r="R25" s="473">
        <f>+Financials!CF48</f>
        <v>1158.1219999999998</v>
      </c>
      <c r="S25" s="473">
        <f>+Financials!CG48</f>
        <v>558.77499999999998</v>
      </c>
      <c r="T25" s="473">
        <f>+Financials!CH48</f>
        <v>508.13600000000002</v>
      </c>
      <c r="U25" s="473">
        <f>+Financials!CI48</f>
        <v>377.65500000000003</v>
      </c>
      <c r="V25" s="473">
        <f>+Financials!CJ48</f>
        <v>322.24099999999999</v>
      </c>
      <c r="W25" s="473">
        <f>+Financials!CK48</f>
        <v>1766.807</v>
      </c>
      <c r="X25" s="473">
        <f>+Financials!CL48</f>
        <v>537.71199999999999</v>
      </c>
      <c r="Y25" s="473">
        <f>+Financials!CM48</f>
        <v>745.58858805340583</v>
      </c>
      <c r="Z25" s="473">
        <f>+Financials!CN48</f>
        <v>763.39783757947487</v>
      </c>
      <c r="AA25" s="473">
        <f>+Financials!CO48</f>
        <v>700.36118650608535</v>
      </c>
      <c r="AB25" s="473">
        <f>+Financials!CP48</f>
        <v>2747.0596121389663</v>
      </c>
    </row>
    <row r="26" spans="1:28" ht="11.25" customHeight="1">
      <c r="A26" s="457"/>
      <c r="B26" s="464" t="s">
        <v>291</v>
      </c>
      <c r="C26" s="648">
        <f>+C25-C29-25.933-21.8</f>
        <v>92.179000000000045</v>
      </c>
      <c r="D26" s="656">
        <f>O26</f>
        <v>116.83922663245454</v>
      </c>
      <c r="E26" s="664">
        <f t="shared" si="4"/>
        <v>-0.21106119360092201</v>
      </c>
      <c r="F26" s="656"/>
      <c r="G26" s="656">
        <f>N26</f>
        <v>102.34699999999999</v>
      </c>
      <c r="H26" s="653">
        <f>C26/G26-1</f>
        <v>-9.9348295504508632E-2</v>
      </c>
      <c r="I26" s="656"/>
      <c r="J26" s="656">
        <f>M26</f>
        <v>174.36500000000001</v>
      </c>
      <c r="K26" s="653">
        <f>IFERROR(C26/J26-1,"NM")</f>
        <v>-0.47134459323832167</v>
      </c>
      <c r="L26" s="457"/>
      <c r="M26" s="478">
        <v>174.36500000000001</v>
      </c>
      <c r="N26" s="478">
        <v>102.34699999999999</v>
      </c>
      <c r="O26" s="478">
        <v>116.83922663245454</v>
      </c>
      <c r="P26" s="473"/>
      <c r="Q26" s="473">
        <f>Financials!CE51</f>
        <v>67.39500000000001</v>
      </c>
      <c r="R26" s="473">
        <f>Financials!CF51</f>
        <v>348.79600000000005</v>
      </c>
      <c r="S26" s="473">
        <f>Financials!CG51</f>
        <v>174.36500000000001</v>
      </c>
      <c r="T26" s="473">
        <f>Financials!CH51</f>
        <v>166.41200000000001</v>
      </c>
      <c r="U26" s="473">
        <f>Financials!CI51</f>
        <v>111.1</v>
      </c>
      <c r="V26" s="473">
        <f>Financials!CJ51</f>
        <v>102.34699999999999</v>
      </c>
      <c r="W26" s="473">
        <f>Financials!CK51</f>
        <v>554.22400000000005</v>
      </c>
      <c r="X26" s="473">
        <f>Financials!CL51</f>
        <v>135.80000000000001</v>
      </c>
      <c r="Y26" s="473">
        <f>Financials!CM51</f>
        <v>178.9412611328174</v>
      </c>
      <c r="Z26" s="473">
        <f>Financials!CN51</f>
        <v>183.21548101907396</v>
      </c>
      <c r="AA26" s="473">
        <f>Financials!CO51</f>
        <v>168.08668476146048</v>
      </c>
      <c r="AB26" s="473">
        <f>Financials!CP51</f>
        <v>666.04342691335182</v>
      </c>
    </row>
    <row r="27" spans="1:28" ht="11.25" customHeight="1">
      <c r="A27" s="457"/>
      <c r="B27" s="464" t="s">
        <v>601</v>
      </c>
      <c r="C27" s="777">
        <f>C26/C25</f>
        <v>0.17867194405247414</v>
      </c>
      <c r="D27" s="783">
        <f>O27</f>
        <v>0.24</v>
      </c>
      <c r="E27" s="656" t="str">
        <f>""&amp;ROUND((C27-D27)*100*100,0)&amp;" bp"</f>
        <v>-613 bp</v>
      </c>
      <c r="F27" s="663"/>
      <c r="G27" s="663">
        <f>N27</f>
        <v>0.31761011168659481</v>
      </c>
      <c r="H27" s="653">
        <f>C27/G27-1</f>
        <v>-0.4374488170301688</v>
      </c>
      <c r="I27" s="663"/>
      <c r="J27" s="663">
        <f>M27</f>
        <v>0.31204867791150287</v>
      </c>
      <c r="K27" s="653">
        <f>IFERROR(C27/J27-1,"NM")</f>
        <v>-0.42742284553711341</v>
      </c>
      <c r="L27" s="457"/>
      <c r="M27" s="452">
        <v>0.31204867791150287</v>
      </c>
      <c r="N27" s="452">
        <v>0.31761011168659481</v>
      </c>
      <c r="O27" s="452">
        <v>0.24</v>
      </c>
      <c r="P27" s="472"/>
      <c r="Q27" s="472">
        <f>Financials!CE52</f>
        <v>0.3071226759022968</v>
      </c>
      <c r="R27" s="472">
        <f>Financials!CF52</f>
        <v>0.30117379688841078</v>
      </c>
      <c r="S27" s="472">
        <f>Financials!CG52</f>
        <v>0.31204867791150287</v>
      </c>
      <c r="T27" s="472">
        <f>Financials!CH52</f>
        <v>0.3274950013382244</v>
      </c>
      <c r="U27" s="472">
        <f>Financials!CI52</f>
        <v>0.29418384504375683</v>
      </c>
      <c r="V27" s="472">
        <f>Financials!CJ52</f>
        <v>0.31761011168659481</v>
      </c>
      <c r="W27" s="472">
        <f>Financials!CK52</f>
        <v>0.31368678072930434</v>
      </c>
      <c r="X27" s="472">
        <f>Financials!CL52</f>
        <v>0.25255155176005001</v>
      </c>
      <c r="Y27" s="472">
        <f>Financials!CM52</f>
        <v>0.24</v>
      </c>
      <c r="Z27" s="472">
        <f>Financials!CN52</f>
        <v>0.24</v>
      </c>
      <c r="AA27" s="472">
        <f>Financials!CO52</f>
        <v>0.24</v>
      </c>
      <c r="AB27" s="472">
        <f>Financials!CP52</f>
        <v>0.24245685239962622</v>
      </c>
    </row>
    <row r="28" spans="1:28" ht="5.25" customHeight="1">
      <c r="A28" s="457"/>
      <c r="B28" s="464"/>
      <c r="C28" s="656"/>
      <c r="D28" s="656"/>
      <c r="E28" s="662"/>
      <c r="F28" s="656"/>
      <c r="G28" s="656"/>
      <c r="H28" s="653"/>
      <c r="I28" s="656"/>
      <c r="J28" s="656"/>
      <c r="K28" s="653"/>
      <c r="L28" s="457"/>
      <c r="M28" s="478"/>
      <c r="N28" s="478"/>
      <c r="O28" s="478"/>
      <c r="P28" s="473"/>
      <c r="Q28" s="473"/>
      <c r="R28" s="473"/>
      <c r="S28" s="473"/>
      <c r="T28" s="473"/>
      <c r="U28" s="473"/>
      <c r="V28" s="473"/>
      <c r="W28" s="473"/>
      <c r="X28" s="473"/>
      <c r="Y28" s="473"/>
      <c r="Z28" s="473"/>
      <c r="AA28" s="473"/>
      <c r="AB28" s="473"/>
    </row>
    <row r="29" spans="1:28" ht="11.25" customHeight="1">
      <c r="A29" s="457"/>
      <c r="B29" s="657" t="s">
        <v>102</v>
      </c>
      <c r="C29" s="658">
        <f>354.2+21.8</f>
        <v>376</v>
      </c>
      <c r="D29" s="659">
        <f>O29</f>
        <v>349.99088433610603</v>
      </c>
      <c r="E29" s="664">
        <f t="shared" ref="E29:E30" si="5">+C29/D29-1</f>
        <v>7.4313694521588314E-2</v>
      </c>
      <c r="F29" s="659"/>
      <c r="G29" s="659">
        <f>N29</f>
        <v>208.691</v>
      </c>
      <c r="H29" s="660">
        <f>C29/G29-1</f>
        <v>0.80170682971474561</v>
      </c>
      <c r="I29" s="659"/>
      <c r="J29" s="659">
        <f>M29</f>
        <v>363.66099999999994</v>
      </c>
      <c r="K29" s="660">
        <f>IFERROR(C29/J29-1,"NM")</f>
        <v>3.3929951245803336E-2</v>
      </c>
      <c r="L29" s="457"/>
      <c r="M29" s="481">
        <v>363.66099999999994</v>
      </c>
      <c r="N29" s="481">
        <v>208.691</v>
      </c>
      <c r="O29" s="481">
        <v>349.99088433610603</v>
      </c>
      <c r="P29" s="475"/>
      <c r="Q29" s="475">
        <f>Financials!CE57</f>
        <v>136.499</v>
      </c>
      <c r="R29" s="475">
        <f>Financials!CF57</f>
        <v>711.06099999999981</v>
      </c>
      <c r="S29" s="475">
        <f>Financials!CG57</f>
        <v>363.66099999999994</v>
      </c>
      <c r="T29" s="475">
        <f>Financials!CH57</f>
        <v>323.04800000000006</v>
      </c>
      <c r="U29" s="475">
        <f>Financials!CI57</f>
        <v>255.30000000000007</v>
      </c>
      <c r="V29" s="475">
        <f>Financials!CJ57</f>
        <v>208.691</v>
      </c>
      <c r="W29" s="475">
        <f>Financials!CK57</f>
        <v>1150.7</v>
      </c>
      <c r="X29" s="475">
        <f>Financials!CL57</f>
        <v>375.97899999999998</v>
      </c>
      <c r="Y29" s="475">
        <f>Financials!CM57</f>
        <v>541.6473269205884</v>
      </c>
      <c r="Z29" s="475">
        <f>Financials!CN57</f>
        <v>557.18235656040088</v>
      </c>
      <c r="AA29" s="475">
        <f>Financials!CO57</f>
        <v>510.2745017446249</v>
      </c>
      <c r="AB29" s="475">
        <f>Financials!CP57</f>
        <v>1985.0831852256142</v>
      </c>
    </row>
    <row r="30" spans="1:28" ht="11.25" customHeight="1">
      <c r="A30" s="457"/>
      <c r="B30" s="657" t="s">
        <v>602</v>
      </c>
      <c r="C30" s="665">
        <f>+C29/320.474</f>
        <v>1.1732621055062189</v>
      </c>
      <c r="D30" s="666">
        <f>O30</f>
        <v>1.0982736036617387</v>
      </c>
      <c r="E30" s="664">
        <f t="shared" si="5"/>
        <v>6.8278525127492884E-2</v>
      </c>
      <c r="F30" s="666"/>
      <c r="G30" s="666">
        <f>N30</f>
        <v>0.65222663587182428</v>
      </c>
      <c r="H30" s="660">
        <f>C30/G30-1</f>
        <v>0.79885647254796965</v>
      </c>
      <c r="I30" s="666"/>
      <c r="J30" s="666">
        <f>M30</f>
        <v>1.1323852702509136</v>
      </c>
      <c r="K30" s="660">
        <f>IFERROR(C30/J30-1,"NM")</f>
        <v>3.6097992731968231E-2</v>
      </c>
      <c r="L30" s="457"/>
      <c r="M30" s="482">
        <v>1.1323852702509136</v>
      </c>
      <c r="N30" s="482">
        <v>0.65222663587182428</v>
      </c>
      <c r="O30" s="482">
        <v>1.0982736036617387</v>
      </c>
      <c r="P30" s="477"/>
      <c r="Q30" s="477">
        <f>Financials!CE60</f>
        <v>0.42603216020175028</v>
      </c>
      <c r="R30" s="477">
        <f>Financials!CF60</f>
        <v>2.2233023369249141</v>
      </c>
      <c r="S30" s="477">
        <f>Financials!CG60</f>
        <v>1.1323852702509136</v>
      </c>
      <c r="T30" s="477">
        <f>Financials!CH60</f>
        <v>1.0056720190769117</v>
      </c>
      <c r="U30" s="477">
        <f>Financials!CI60</f>
        <v>0.7959147407899293</v>
      </c>
      <c r="V30" s="477">
        <f>Financials!CJ60</f>
        <v>0.65222663587182428</v>
      </c>
      <c r="W30" s="477">
        <f>Financials!CK60</f>
        <v>3.5872440382759909</v>
      </c>
      <c r="X30" s="477">
        <f>Financials!CL60</f>
        <v>1.1731965775694753</v>
      </c>
      <c r="Y30" s="477">
        <f>Financials!CM60</f>
        <v>1.6981154356404065</v>
      </c>
      <c r="Z30" s="477">
        <f>Financials!CN60</f>
        <v>1.746819218181854</v>
      </c>
      <c r="AA30" s="477">
        <f>Financials!CO60</f>
        <v>1.5997586709281488</v>
      </c>
      <c r="AB30" s="477">
        <f>Financials!CP60</f>
        <v>6.2160938451101924</v>
      </c>
    </row>
    <row r="32" spans="1:28" ht="11.25" customHeight="1">
      <c r="C32" s="782"/>
      <c r="D32" s="776"/>
    </row>
    <row r="33" spans="2:4" ht="11.25" customHeight="1">
      <c r="C33" s="782"/>
      <c r="D33" s="776"/>
    </row>
    <row r="34" spans="2:4" ht="11.25" customHeight="1">
      <c r="C34" s="781"/>
      <c r="D34" s="781"/>
    </row>
    <row r="35" spans="2:4" ht="11.25" customHeight="1">
      <c r="B35" s="776"/>
      <c r="C35" s="784"/>
      <c r="D35" s="784"/>
    </row>
    <row r="36" spans="2:4" ht="11.25" customHeight="1">
      <c r="B36" s="776"/>
      <c r="C36" s="785"/>
      <c r="D36" s="785"/>
    </row>
    <row r="37" spans="2:4" ht="12.75"/>
  </sheetData>
  <customSheetViews>
    <customSheetView guid="{08BAB49F-44A8-4F04-A2E3-24B12C6D0857}" showGridLines="0" fitToPage="1">
      <pageMargins left="0.75" right="0.75" top="1" bottom="1" header="0.5" footer="0.5"/>
      <pageSetup scale="80" orientation="portrait" r:id="rId1"/>
      <headerFooter alignWithMargins="0"/>
    </customSheetView>
    <customSheetView guid="{4482C16F-8DC0-49F3-9E1F-335117126152}" showGridLines="0" fitToPage="1">
      <selection activeCell="G30" sqref="G30"/>
      <pageMargins left="0.75" right="0.75" top="1" bottom="1" header="0.5" footer="0.5"/>
      <pageSetup scale="80" orientation="portrait" r:id="rId2"/>
      <headerFooter alignWithMargins="0"/>
    </customSheetView>
  </customSheetViews>
  <mergeCells count="1">
    <mergeCell ref="E2:E3"/>
  </mergeCells>
  <phoneticPr fontId="7" type="noConversion"/>
  <pageMargins left="0" right="0" top="0" bottom="0" header="0" footer="0"/>
  <pageSetup paperSize="5" scale="89" orientation="landscape" r:id="rId3"/>
  <headerFooter alignWithMargins="0"/>
  <legacy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tabColor theme="0" tint="-0.499984740745262"/>
    <pageSetUpPr fitToPage="1"/>
  </sheetPr>
  <dimension ref="A1:O103"/>
  <sheetViews>
    <sheetView showGridLines="0" zoomScaleNormal="100" workbookViewId="0">
      <pane xSplit="3" ySplit="6" topLeftCell="D7" activePane="bottomRight" state="frozen"/>
      <selection pane="topRight"/>
      <selection pane="bottomLeft"/>
      <selection pane="bottomRight"/>
    </sheetView>
  </sheetViews>
  <sheetFormatPr defaultRowHeight="12.75" outlineLevelRow="1"/>
  <cols>
    <col min="1" max="2" width="2.7109375" customWidth="1"/>
    <col min="3" max="3" width="22.7109375" customWidth="1"/>
    <col min="4" max="15" width="9.140625" customWidth="1"/>
    <col min="16" max="16" width="1.7109375" customWidth="1"/>
  </cols>
  <sheetData>
    <row r="1" spans="1:15" ht="3.95" customHeight="1">
      <c r="A1" s="222"/>
      <c r="B1" s="222"/>
      <c r="C1" s="222"/>
      <c r="D1" s="222"/>
      <c r="E1" s="222"/>
      <c r="F1" s="222"/>
      <c r="G1" s="222"/>
      <c r="H1" s="222"/>
      <c r="I1" s="222"/>
      <c r="J1" s="222"/>
      <c r="K1" s="222"/>
      <c r="L1" s="222"/>
      <c r="M1" s="222"/>
      <c r="N1" s="222"/>
      <c r="O1" s="222"/>
    </row>
    <row r="2" spans="1:15" ht="15">
      <c r="A2" s="223" t="s">
        <v>565</v>
      </c>
      <c r="B2" s="224"/>
      <c r="C2" s="224"/>
      <c r="D2" s="222"/>
      <c r="E2" s="222"/>
      <c r="F2" s="222"/>
      <c r="G2" s="222"/>
      <c r="H2" s="222"/>
      <c r="I2" s="222"/>
      <c r="J2" s="222"/>
      <c r="K2" s="222"/>
      <c r="L2" s="222"/>
      <c r="M2" s="222"/>
      <c r="N2" s="222"/>
      <c r="O2" s="222"/>
    </row>
    <row r="3" spans="1:15" ht="15">
      <c r="A3" s="225" t="s">
        <v>98</v>
      </c>
      <c r="B3" s="226"/>
      <c r="C3" s="226"/>
      <c r="D3" s="227"/>
      <c r="E3" s="227"/>
      <c r="F3" s="227"/>
      <c r="G3" s="227"/>
      <c r="H3" s="227"/>
      <c r="I3" s="227"/>
      <c r="J3" s="227"/>
      <c r="K3" s="227"/>
      <c r="L3" s="227"/>
      <c r="M3" s="227"/>
      <c r="N3" s="227"/>
      <c r="O3" s="227"/>
    </row>
    <row r="4" spans="1:15" hidden="1" outlineLevel="1">
      <c r="A4" s="224"/>
      <c r="B4" s="224"/>
      <c r="C4" s="224"/>
      <c r="D4" s="228" t="s">
        <v>452</v>
      </c>
      <c r="E4" s="228" t="s">
        <v>453</v>
      </c>
      <c r="F4" s="228" t="s">
        <v>455</v>
      </c>
      <c r="G4" s="228" t="s">
        <v>456</v>
      </c>
      <c r="H4" s="228" t="s">
        <v>457</v>
      </c>
      <c r="I4" s="228" t="s">
        <v>458</v>
      </c>
      <c r="J4" s="228" t="s">
        <v>459</v>
      </c>
      <c r="K4" s="228" t="s">
        <v>454</v>
      </c>
      <c r="L4" s="228" t="s">
        <v>511</v>
      </c>
      <c r="M4" s="228" t="s">
        <v>157</v>
      </c>
      <c r="N4" s="228" t="s">
        <v>158</v>
      </c>
      <c r="O4" s="228" t="s">
        <v>159</v>
      </c>
    </row>
    <row r="5" spans="1:15" collapsed="1">
      <c r="A5" s="1285" t="s">
        <v>411</v>
      </c>
      <c r="B5" s="1285"/>
      <c r="C5" s="1285"/>
      <c r="D5" s="1286"/>
      <c r="E5" s="1286"/>
      <c r="F5" s="1286"/>
      <c r="G5" s="1286"/>
      <c r="H5" s="1286"/>
      <c r="I5" s="1286"/>
      <c r="J5" s="1286"/>
      <c r="K5" s="1286"/>
      <c r="L5" s="1286"/>
      <c r="M5" s="1286"/>
      <c r="N5" s="1286"/>
      <c r="O5" s="1286"/>
    </row>
    <row r="6" spans="1:15">
      <c r="A6" s="1287"/>
      <c r="B6" s="1287"/>
      <c r="C6" s="1287"/>
      <c r="D6" s="1288">
        <v>2001</v>
      </c>
      <c r="E6" s="1288">
        <f>Financials!$N$8</f>
        <v>2002</v>
      </c>
      <c r="F6" s="1288">
        <f>Financials!$S$8</f>
        <v>2003</v>
      </c>
      <c r="G6" s="1288">
        <f>Financials!$X$8</f>
        <v>2004</v>
      </c>
      <c r="H6" s="1288">
        <f>Financials!$AC$8</f>
        <v>2005</v>
      </c>
      <c r="I6" s="1288">
        <f>Financials!$AH$8</f>
        <v>2006</v>
      </c>
      <c r="J6" s="1288">
        <f>Financials!$AM$8</f>
        <v>2007</v>
      </c>
      <c r="K6" s="1288">
        <f>Financials!$AR$8</f>
        <v>2008</v>
      </c>
      <c r="L6" s="1288">
        <f>Financials!$AW$8</f>
        <v>2009</v>
      </c>
      <c r="M6" s="1288">
        <f>Financials!$BB$8</f>
        <v>2010</v>
      </c>
      <c r="N6" s="1288">
        <f>Financials!$BG$8</f>
        <v>2011</v>
      </c>
      <c r="O6" s="1288">
        <f>Financials!$BL$8</f>
        <v>2012</v>
      </c>
    </row>
    <row r="7" spans="1:15" ht="6.2" customHeight="1">
      <c r="A7" s="230"/>
      <c r="B7" s="230"/>
      <c r="C7" s="230"/>
      <c r="D7" s="231"/>
      <c r="E7" s="231"/>
      <c r="F7" s="231"/>
      <c r="G7" s="231"/>
      <c r="H7" s="231"/>
      <c r="I7" s="231"/>
      <c r="J7" s="230"/>
      <c r="K7" s="230"/>
      <c r="L7" s="230"/>
      <c r="M7" s="230"/>
      <c r="N7" s="230"/>
      <c r="O7" s="230"/>
    </row>
    <row r="8" spans="1:15" ht="13.5" customHeight="1">
      <c r="A8" s="224" t="s">
        <v>451</v>
      </c>
      <c r="B8" s="224"/>
      <c r="C8" s="224"/>
      <c r="D8" s="232"/>
      <c r="E8" s="232"/>
      <c r="F8" s="232"/>
      <c r="G8" s="232"/>
      <c r="H8" s="232"/>
      <c r="I8" s="232"/>
      <c r="J8" s="228"/>
      <c r="K8" s="228"/>
      <c r="L8" s="228"/>
      <c r="M8" s="228"/>
      <c r="N8" s="228"/>
      <c r="O8" s="228"/>
    </row>
    <row r="9" spans="1:15" ht="13.5" customHeight="1">
      <c r="A9" s="222"/>
      <c r="B9" s="20" t="s">
        <v>249</v>
      </c>
      <c r="C9" s="20"/>
      <c r="D9" s="238">
        <f>Operations!$I$37</f>
        <v>522</v>
      </c>
      <c r="E9" s="238">
        <f>Operations!$N$37</f>
        <v>872</v>
      </c>
      <c r="F9" s="238">
        <f>Operations!$S$37</f>
        <v>999</v>
      </c>
      <c r="G9" s="238">
        <f>Operations!$X$37</f>
        <v>1705</v>
      </c>
      <c r="H9" s="238">
        <f>Operations!$AC$37</f>
        <v>2145</v>
      </c>
      <c r="I9" s="238">
        <f>Operations!$AH$37</f>
        <v>2435</v>
      </c>
      <c r="J9" s="238">
        <f>Operations!$AM$37</f>
        <v>2528</v>
      </c>
      <c r="K9" s="238">
        <f>Operations!$AR$37</f>
        <v>2480</v>
      </c>
      <c r="L9" s="238">
        <f>Operations!$AW$37</f>
        <v>1608</v>
      </c>
      <c r="M9" s="238">
        <f>Operations!$BB$37</f>
        <v>2229</v>
      </c>
      <c r="N9" s="238">
        <f>Operations!$BG$37</f>
        <v>2278</v>
      </c>
      <c r="O9" s="238">
        <f>Operations!$BL$37</f>
        <v>2268</v>
      </c>
    </row>
    <row r="10" spans="1:15" ht="13.5" customHeight="1">
      <c r="A10" s="228"/>
      <c r="B10" s="20" t="s">
        <v>254</v>
      </c>
      <c r="C10" s="20"/>
      <c r="D10" s="238">
        <f>Operations!$I$126</f>
        <v>1205</v>
      </c>
      <c r="E10" s="238">
        <f>Operations!$N$126</f>
        <v>1128</v>
      </c>
      <c r="F10" s="238">
        <f>Operations!$S$126</f>
        <v>1210</v>
      </c>
      <c r="G10" s="238">
        <f>Operations!$X$126</f>
        <v>1322</v>
      </c>
      <c r="H10" s="238">
        <f>Operations!$AC$126</f>
        <v>1445</v>
      </c>
      <c r="I10" s="238">
        <f>Operations!$AH$126</f>
        <v>1469</v>
      </c>
      <c r="J10" s="238">
        <f>Operations!$AM$126</f>
        <v>2705</v>
      </c>
      <c r="K10" s="238">
        <f>Operations!$AR$126</f>
        <v>7002</v>
      </c>
      <c r="L10" s="238">
        <f>Operations!$AW$126</f>
        <v>5501</v>
      </c>
      <c r="M10" s="238">
        <f>Operations!$BB$126</f>
        <v>6198</v>
      </c>
      <c r="N10" s="238">
        <f>Operations!$BG$126</f>
        <v>6248</v>
      </c>
      <c r="O10" s="238">
        <f>Operations!$BL$126</f>
        <v>5619</v>
      </c>
    </row>
    <row r="11" spans="1:15" ht="13.5" customHeight="1">
      <c r="A11" s="228"/>
      <c r="B11" s="20" t="s">
        <v>491</v>
      </c>
      <c r="C11" s="20"/>
      <c r="D11" s="238"/>
      <c r="E11" s="238"/>
      <c r="F11" s="238"/>
      <c r="G11" s="238"/>
      <c r="H11" s="238"/>
      <c r="I11" s="238"/>
      <c r="J11" s="238"/>
      <c r="K11" s="238">
        <f>Operations!$AR$163</f>
        <v>4110.1212448940869</v>
      </c>
      <c r="L11" s="238">
        <f>Operations!$AW$163</f>
        <v>3369.6050655061217</v>
      </c>
      <c r="M11" s="238">
        <f>Operations!$BB$163</f>
        <v>3826.5640516130188</v>
      </c>
      <c r="N11" s="238">
        <f>Operations!$BG$163</f>
        <v>3715.6644558477137</v>
      </c>
      <c r="O11" s="238">
        <f>Operations!$BL$163</f>
        <v>2934.3833335565673</v>
      </c>
    </row>
    <row r="12" spans="1:15" ht="6.2" customHeight="1">
      <c r="A12" s="228"/>
      <c r="B12" s="228"/>
      <c r="C12" s="228"/>
      <c r="D12" s="232"/>
      <c r="E12" s="232"/>
      <c r="F12" s="232"/>
      <c r="G12" s="237"/>
      <c r="H12" s="237"/>
      <c r="I12" s="232"/>
      <c r="J12" s="228"/>
      <c r="K12" s="228"/>
      <c r="L12" s="228"/>
      <c r="M12" s="228"/>
      <c r="N12" s="228"/>
      <c r="O12" s="228"/>
    </row>
    <row r="13" spans="1:15" ht="13.5" customHeight="1">
      <c r="A13" s="224" t="s">
        <v>99</v>
      </c>
      <c r="B13" s="224"/>
      <c r="C13" s="224"/>
      <c r="D13" s="232"/>
      <c r="E13" s="232"/>
      <c r="F13" s="232"/>
      <c r="G13" s="232"/>
      <c r="H13" s="232"/>
      <c r="I13" s="232"/>
      <c r="J13" s="228"/>
      <c r="K13" s="228"/>
      <c r="L13" s="228"/>
      <c r="M13" s="228"/>
      <c r="N13" s="228"/>
      <c r="O13" s="228"/>
    </row>
    <row r="14" spans="1:15" ht="13.5" customHeight="1">
      <c r="A14" s="222"/>
      <c r="B14" s="20" t="s">
        <v>249</v>
      </c>
      <c r="C14" s="20"/>
      <c r="D14" s="233">
        <f>Operations!$I$89</f>
        <v>3449.6456309999999</v>
      </c>
      <c r="E14" s="233">
        <f>Operations!$N$89</f>
        <v>4062.5894280000002</v>
      </c>
      <c r="F14" s="233">
        <f>Operations!$S$89</f>
        <v>5446.1270000000004</v>
      </c>
      <c r="G14" s="233">
        <f>Operations!$X$89</f>
        <v>10109.43</v>
      </c>
      <c r="H14" s="233">
        <f>Operations!$AC$89</f>
        <v>11063.681</v>
      </c>
      <c r="I14" s="233">
        <f>Operations!$AH$89</f>
        <v>13025.123</v>
      </c>
      <c r="J14" s="233">
        <f>Operations!$AM$89</f>
        <v>13311.212</v>
      </c>
      <c r="K14" s="233">
        <f>Operations!$AR$89</f>
        <v>16477.900000000001</v>
      </c>
      <c r="L14" s="233">
        <f>Operations!$AW$89</f>
        <v>7159.5119999999997</v>
      </c>
      <c r="M14" s="233">
        <f>Operations!$BB$89</f>
        <v>10860.76</v>
      </c>
      <c r="N14" s="233">
        <f>Operations!$BG$89</f>
        <v>13960.245000000001</v>
      </c>
      <c r="O14" s="233">
        <f>Operations!$BL$89</f>
        <v>13317.98</v>
      </c>
    </row>
    <row r="15" spans="1:15" ht="13.5" customHeight="1">
      <c r="A15" s="228"/>
      <c r="B15" s="20" t="s">
        <v>254</v>
      </c>
      <c r="C15" s="20"/>
      <c r="D15" s="233">
        <f>Operations!$I$132</f>
        <v>884.06112299999995</v>
      </c>
      <c r="E15" s="233">
        <f>Operations!$N$132</f>
        <v>739.18710899999996</v>
      </c>
      <c r="F15" s="233">
        <f>Operations!$S$132</f>
        <v>819.69600000000003</v>
      </c>
      <c r="G15" s="233">
        <f>Operations!$X$132</f>
        <v>1267.3979999999999</v>
      </c>
      <c r="H15" s="233">
        <f>Operations!$AC$132</f>
        <v>1637.318</v>
      </c>
      <c r="I15" s="233">
        <f>Operations!$AH$132</f>
        <v>1726.1469999999999</v>
      </c>
      <c r="J15" s="233">
        <f>Operations!$AM$132</f>
        <v>3051.6480000000001</v>
      </c>
      <c r="K15" s="233">
        <f>Operations!$AR$132</f>
        <v>4339.5240000000003</v>
      </c>
      <c r="L15" s="233">
        <f>Operations!$AW$132</f>
        <v>2691.3220000000001</v>
      </c>
      <c r="M15" s="233">
        <f>Operations!$BB$132</f>
        <v>2831.2089999999998</v>
      </c>
      <c r="N15" s="233">
        <f>Operations!$BG$132</f>
        <v>3431.49</v>
      </c>
      <c r="O15" s="233">
        <f>Operations!$BL$132</f>
        <v>3738.3809999999999</v>
      </c>
    </row>
    <row r="16" spans="1:15" ht="13.5" customHeight="1">
      <c r="A16" s="234"/>
      <c r="B16" s="77" t="s">
        <v>491</v>
      </c>
      <c r="C16" s="77"/>
      <c r="D16" s="235"/>
      <c r="E16" s="235"/>
      <c r="F16" s="235"/>
      <c r="G16" s="235"/>
      <c r="H16" s="235"/>
      <c r="I16" s="235"/>
      <c r="J16" s="235"/>
      <c r="K16" s="235">
        <f>Operations!AR165</f>
        <v>2403.0749999999998</v>
      </c>
      <c r="L16" s="235">
        <f>Operations!AW165</f>
        <v>1076.9639999999999</v>
      </c>
      <c r="M16" s="235">
        <f>Operations!BB165</f>
        <v>1814.329</v>
      </c>
      <c r="N16" s="235">
        <f>Operations!BG165</f>
        <v>2128.3910000000001</v>
      </c>
      <c r="O16" s="235">
        <f>Operations!BL165</f>
        <v>1909.095</v>
      </c>
    </row>
    <row r="17" spans="1:15" ht="6.2" customHeight="1">
      <c r="A17" s="228"/>
      <c r="B17" s="228"/>
      <c r="C17" s="228"/>
      <c r="D17" s="233"/>
      <c r="E17" s="94"/>
      <c r="F17" s="94"/>
      <c r="G17" s="94"/>
      <c r="H17" s="94"/>
      <c r="I17" s="94"/>
      <c r="J17" s="94"/>
      <c r="K17" s="94"/>
      <c r="L17" s="94"/>
      <c r="M17" s="94"/>
      <c r="N17" s="94"/>
      <c r="O17" s="94"/>
    </row>
    <row r="18" spans="1:15" ht="13.5" customHeight="1">
      <c r="A18" s="224"/>
      <c r="B18" s="224"/>
      <c r="C18" s="224" t="s">
        <v>100</v>
      </c>
      <c r="D18" s="236">
        <f>SUM(D14:D17)</f>
        <v>4333.7067539999998</v>
      </c>
      <c r="E18" s="236">
        <f>SUM(E14:E17)</f>
        <v>4801.7765369999997</v>
      </c>
      <c r="F18" s="236">
        <f>SUM(F14:F17)</f>
        <v>6265.8230000000003</v>
      </c>
      <c r="G18" s="236">
        <f>Financials!$X$15</f>
        <v>11376.828</v>
      </c>
      <c r="H18" s="236">
        <f>Financials!$AC$15</f>
        <v>12700.999</v>
      </c>
      <c r="I18" s="236">
        <f>Financials!$AH$15</f>
        <v>14751.27</v>
      </c>
      <c r="J18" s="236">
        <f>Financials!$AM$15</f>
        <v>16610.976000000002</v>
      </c>
      <c r="K18" s="236">
        <f>Financials!$AR$15</f>
        <v>23663.324000000004</v>
      </c>
      <c r="L18" s="236">
        <f>Financials!$AW$15</f>
        <v>11190.295999999998</v>
      </c>
      <c r="M18" s="236">
        <f>Financials!$BB$15</f>
        <v>15844.627000000004</v>
      </c>
      <c r="N18" s="236">
        <f>Financials!$BG$15</f>
        <v>20023.563999999998</v>
      </c>
      <c r="O18" s="236">
        <f>Financials!$BL$15</f>
        <v>19429.273000000001</v>
      </c>
    </row>
    <row r="19" spans="1:15" ht="6.2" customHeight="1">
      <c r="A19" s="228"/>
      <c r="B19" s="228"/>
      <c r="C19" s="228"/>
      <c r="D19" s="232"/>
      <c r="E19" s="232"/>
      <c r="F19" s="232"/>
      <c r="G19" s="237"/>
      <c r="H19" s="237"/>
      <c r="I19" s="232"/>
      <c r="J19" s="228"/>
      <c r="K19" s="228"/>
      <c r="L19" s="228"/>
      <c r="M19" s="228"/>
      <c r="N19" s="228"/>
      <c r="O19" s="228"/>
    </row>
    <row r="20" spans="1:15" ht="13.5" customHeight="1">
      <c r="A20" s="224" t="s">
        <v>107</v>
      </c>
      <c r="B20" s="224"/>
      <c r="C20" s="224"/>
      <c r="D20" s="75"/>
      <c r="E20" s="75"/>
      <c r="F20" s="75"/>
      <c r="G20" s="75"/>
      <c r="H20" s="75"/>
      <c r="I20" s="75"/>
      <c r="J20" s="75"/>
      <c r="K20" s="75"/>
      <c r="L20" s="75"/>
      <c r="M20" s="75"/>
      <c r="N20" s="75"/>
      <c r="O20" s="75"/>
    </row>
    <row r="21" spans="1:15" ht="13.5" customHeight="1">
      <c r="A21" s="228"/>
      <c r="B21" s="20" t="s">
        <v>249</v>
      </c>
      <c r="C21" s="20"/>
      <c r="D21" s="805">
        <v>207.35815299999999</v>
      </c>
      <c r="E21" s="238">
        <f>Financials!N35</f>
        <v>401.82024799999999</v>
      </c>
      <c r="F21" s="238">
        <f>Financials!S35</f>
        <v>209.4</v>
      </c>
      <c r="G21" s="238">
        <f>Financials!X35</f>
        <v>2191.335</v>
      </c>
      <c r="H21" s="238">
        <f>Financials!AC35</f>
        <v>2207.6210000000001</v>
      </c>
      <c r="I21" s="238">
        <f>Financials!AH35</f>
        <v>3194.66</v>
      </c>
      <c r="J21" s="238">
        <f>Financials!AM35</f>
        <v>2854.152</v>
      </c>
      <c r="K21" s="238">
        <f>Financials!AR35</f>
        <v>3604.7809999999999</v>
      </c>
      <c r="L21" s="238">
        <f>Financials!AW35</f>
        <v>-350.37200000000001</v>
      </c>
      <c r="M21" s="238">
        <f>Financials!BB35</f>
        <v>778.94600000000003</v>
      </c>
      <c r="N21" s="238">
        <f>Financials!BG35</f>
        <v>1703.933</v>
      </c>
      <c r="O21" s="238">
        <f>Financials!BL35</f>
        <v>1161.4490000000001</v>
      </c>
    </row>
    <row r="22" spans="1:15" ht="13.5" customHeight="1">
      <c r="A22" s="228"/>
      <c r="B22" s="20" t="s">
        <v>254</v>
      </c>
      <c r="C22" s="20"/>
      <c r="D22" s="805">
        <v>98.405118000000002</v>
      </c>
      <c r="E22" s="238">
        <f>Financials!N36</f>
        <v>-0.40748899999999999</v>
      </c>
      <c r="F22" s="238">
        <f>Financials!S36</f>
        <v>-14.327999999999999</v>
      </c>
      <c r="G22" s="238">
        <f>Financials!X36</f>
        <v>149.61000000000001</v>
      </c>
      <c r="H22" s="238">
        <f>Financials!AC36</f>
        <v>180.756</v>
      </c>
      <c r="I22" s="238">
        <f>Financials!AH36</f>
        <v>191.51400000000001</v>
      </c>
      <c r="J22" s="238">
        <f>Financials!AM36</f>
        <v>302.16199999999998</v>
      </c>
      <c r="K22" s="238">
        <f>Financials!AR36</f>
        <v>295.88400000000001</v>
      </c>
      <c r="L22" s="238">
        <f>Financials!AW36</f>
        <v>-112.8</v>
      </c>
      <c r="M22" s="238">
        <f>Financials!BB36</f>
        <v>-173.43299999999999</v>
      </c>
      <c r="N22" s="238">
        <f>Financials!BG36</f>
        <v>-60.281999999999996</v>
      </c>
      <c r="O22" s="238">
        <f>Financials!BL36</f>
        <v>28.66</v>
      </c>
    </row>
    <row r="23" spans="1:15" ht="13.5" customHeight="1">
      <c r="A23" s="228"/>
      <c r="B23" s="20" t="s">
        <v>491</v>
      </c>
      <c r="C23" s="20"/>
      <c r="D23" s="805">
        <v>0</v>
      </c>
      <c r="E23" s="238">
        <v>0</v>
      </c>
      <c r="F23" s="238">
        <v>0</v>
      </c>
      <c r="G23" s="238">
        <v>0</v>
      </c>
      <c r="H23" s="238">
        <v>0</v>
      </c>
      <c r="I23" s="238">
        <v>0</v>
      </c>
      <c r="J23" s="238">
        <v>0</v>
      </c>
      <c r="K23" s="238">
        <f>Financials!AR37</f>
        <v>161.726</v>
      </c>
      <c r="L23" s="238">
        <f>Financials!AW37</f>
        <v>-76.965000000000003</v>
      </c>
      <c r="M23" s="238">
        <f>Financials!BB37</f>
        <v>106.31699999999999</v>
      </c>
      <c r="N23" s="238">
        <f>Financials!BG37</f>
        <v>150.029</v>
      </c>
      <c r="O23" s="238">
        <f>Financials!BL37</f>
        <v>55.264000000000003</v>
      </c>
    </row>
    <row r="24" spans="1:15" ht="13.5" customHeight="1">
      <c r="A24" s="234"/>
      <c r="B24" s="77" t="s">
        <v>91</v>
      </c>
      <c r="C24" s="77"/>
      <c r="D24" s="806">
        <v>-37.000375999999989</v>
      </c>
      <c r="E24" s="239">
        <f>E26-E21-E22-E23</f>
        <v>-107.50189900000004</v>
      </c>
      <c r="F24" s="239">
        <f t="shared" ref="F24:O24" si="0">F26-F21-F22-F23</f>
        <v>-83.964767000000052</v>
      </c>
      <c r="G24" s="239">
        <f t="shared" si="0"/>
        <v>-494.8190000000003</v>
      </c>
      <c r="H24" s="239">
        <f t="shared" si="0"/>
        <v>-266.33399999999995</v>
      </c>
      <c r="I24" s="239">
        <f t="shared" si="0"/>
        <v>-510.49999999999989</v>
      </c>
      <c r="J24" s="239">
        <f t="shared" si="0"/>
        <v>-604.02900000000068</v>
      </c>
      <c r="K24" s="239">
        <f t="shared" si="0"/>
        <v>-719.93399999999963</v>
      </c>
      <c r="L24" s="239">
        <f t="shared" si="0"/>
        <v>260.91100000000006</v>
      </c>
      <c r="M24" s="239">
        <f t="shared" si="0"/>
        <v>-281.62199999999996</v>
      </c>
      <c r="N24" s="239">
        <f t="shared" si="0"/>
        <v>-404.77399999999983</v>
      </c>
      <c r="O24" s="239">
        <f t="shared" si="0"/>
        <v>-133.75799999999984</v>
      </c>
    </row>
    <row r="25" spans="1:15" ht="6.2" customHeight="1">
      <c r="A25" s="228"/>
      <c r="B25" s="228"/>
      <c r="C25" s="228"/>
      <c r="D25" s="238"/>
      <c r="E25" s="238"/>
      <c r="F25" s="238"/>
      <c r="G25" s="238"/>
      <c r="H25" s="238"/>
      <c r="I25" s="238"/>
      <c r="J25" s="238"/>
      <c r="K25" s="238"/>
      <c r="L25" s="238"/>
      <c r="M25" s="238"/>
      <c r="N25" s="238"/>
      <c r="O25" s="238"/>
    </row>
    <row r="26" spans="1:15" ht="13.5" customHeight="1">
      <c r="A26" s="224"/>
      <c r="B26" s="224"/>
      <c r="C26" s="224" t="s">
        <v>100</v>
      </c>
      <c r="D26" s="240">
        <f>SUM(D21:D24)</f>
        <v>268.76289499999996</v>
      </c>
      <c r="E26" s="240">
        <f>Financials!$N$41</f>
        <v>293.91085999999996</v>
      </c>
      <c r="F26" s="240">
        <f>Financials!$S$41</f>
        <v>111.10723299999995</v>
      </c>
      <c r="G26" s="240">
        <f>Financials!$X$41</f>
        <v>1846.1259999999997</v>
      </c>
      <c r="H26" s="240">
        <f>Financials!$AC$41</f>
        <v>2122.0430000000001</v>
      </c>
      <c r="I26" s="240">
        <f>Financials!$AH$41</f>
        <v>2875.674</v>
      </c>
      <c r="J26" s="240">
        <f>Financials!$AM$41</f>
        <v>2552.2849999999994</v>
      </c>
      <c r="K26" s="240">
        <f>Financials!$AR$41</f>
        <v>3342.4570000000003</v>
      </c>
      <c r="L26" s="240">
        <f>Financials!$AW$41</f>
        <v>-279.226</v>
      </c>
      <c r="M26" s="240">
        <f>Financials!$BB$41</f>
        <v>430.20800000000008</v>
      </c>
      <c r="N26" s="240">
        <f>Financials!$BG$41</f>
        <v>1388.9060000000002</v>
      </c>
      <c r="O26" s="240">
        <f>Financials!$BL$41</f>
        <v>1111.6150000000002</v>
      </c>
    </row>
    <row r="27" spans="1:15" ht="6.2" customHeight="1">
      <c r="A27" s="228"/>
      <c r="B27" s="228"/>
      <c r="C27" s="228"/>
      <c r="D27" s="238"/>
      <c r="E27" s="238"/>
      <c r="F27" s="238"/>
      <c r="G27" s="238"/>
      <c r="H27" s="238"/>
      <c r="I27" s="238"/>
      <c r="J27" s="238"/>
      <c r="K27" s="238"/>
      <c r="L27" s="238"/>
      <c r="M27" s="238"/>
      <c r="N27" s="238"/>
      <c r="O27" s="238"/>
    </row>
    <row r="28" spans="1:15" ht="13.5" customHeight="1">
      <c r="A28" s="224" t="s">
        <v>353</v>
      </c>
      <c r="B28" s="224"/>
      <c r="C28" s="224"/>
      <c r="D28" s="238"/>
      <c r="E28" s="238"/>
      <c r="F28" s="238"/>
      <c r="G28" s="238"/>
      <c r="H28" s="238"/>
      <c r="I28" s="238"/>
      <c r="J28" s="238"/>
      <c r="K28" s="238"/>
      <c r="L28" s="238"/>
      <c r="M28" s="238"/>
      <c r="N28" s="238"/>
      <c r="O28" s="238"/>
    </row>
    <row r="29" spans="1:15" ht="13.5" customHeight="1">
      <c r="A29" s="228"/>
      <c r="B29" s="20" t="s">
        <v>249</v>
      </c>
      <c r="C29" s="20"/>
      <c r="D29" s="238">
        <f>Operations!$I$101</f>
        <v>274.01554099999998</v>
      </c>
      <c r="E29" s="238">
        <f>Operations!$N$101</f>
        <v>288.879257</v>
      </c>
      <c r="F29" s="238">
        <f>Operations!$S$101</f>
        <v>346.13600000000002</v>
      </c>
      <c r="G29" s="238">
        <f>Operations!$X$101</f>
        <v>366.02300000000002</v>
      </c>
      <c r="H29" s="238">
        <f>Operations!$AC$101</f>
        <v>355.887</v>
      </c>
      <c r="I29" s="238">
        <f>Operations!$AH$101</f>
        <v>345.16500000000002</v>
      </c>
      <c r="J29" s="238">
        <f>Operations!$AM$101</f>
        <v>353.79157810288143</v>
      </c>
      <c r="K29" s="238">
        <f>Operations!$AR$101</f>
        <v>360.53999999999996</v>
      </c>
      <c r="L29" s="238">
        <f>Operations!$AW$101</f>
        <v>358.12199999999996</v>
      </c>
      <c r="M29" s="238">
        <f>Operations!$BB$101</f>
        <v>370.72</v>
      </c>
      <c r="N29" s="238">
        <f>Operations!$BG$101</f>
        <v>371.98399999999998</v>
      </c>
      <c r="O29" s="238">
        <f>Operations!$BL$101</f>
        <v>373.99600000000004</v>
      </c>
    </row>
    <row r="30" spans="1:15" ht="13.5" customHeight="1">
      <c r="A30" s="228"/>
      <c r="B30" s="20" t="s">
        <v>254</v>
      </c>
      <c r="C30" s="20"/>
      <c r="D30" s="238">
        <f>Operations!$I$149</f>
        <v>53.482337999999999</v>
      </c>
      <c r="E30" s="238">
        <f>Operations!$N$149</f>
        <v>6.0695180000000004</v>
      </c>
      <c r="F30" s="238">
        <f>Operations!$S$149</f>
        <v>17.975999999999999</v>
      </c>
      <c r="G30" s="238">
        <f>Operations!$X$149</f>
        <v>17.282</v>
      </c>
      <c r="H30" s="238">
        <f>Operations!$AC$149</f>
        <v>19.167000000000002</v>
      </c>
      <c r="I30" s="238">
        <f>Operations!$AH$149</f>
        <v>19.370999999999999</v>
      </c>
      <c r="J30" s="238">
        <f>Operations!$AM$149</f>
        <v>55.073</v>
      </c>
      <c r="K30" s="238">
        <f>Operations!$AR$149</f>
        <v>95.382999999999996</v>
      </c>
      <c r="L30" s="238">
        <f>Operations!$AW$149</f>
        <v>98.692999999999998</v>
      </c>
      <c r="M30" s="238">
        <f>Operations!$BB$149</f>
        <v>99.174000000000007</v>
      </c>
      <c r="N30" s="238">
        <f>Operations!$BG$149</f>
        <v>92.015000000000001</v>
      </c>
      <c r="O30" s="238">
        <f>Operations!$BL$149</f>
        <v>83.1</v>
      </c>
    </row>
    <row r="31" spans="1:15" ht="13.5" customHeight="1">
      <c r="A31" s="234"/>
      <c r="B31" s="77" t="s">
        <v>491</v>
      </c>
      <c r="C31" s="77"/>
      <c r="D31" s="239">
        <v>0</v>
      </c>
      <c r="E31" s="239">
        <v>0</v>
      </c>
      <c r="F31" s="239">
        <v>0</v>
      </c>
      <c r="G31" s="239">
        <v>0</v>
      </c>
      <c r="H31" s="239">
        <v>0</v>
      </c>
      <c r="I31" s="239">
        <v>0</v>
      </c>
      <c r="J31" s="239">
        <v>0</v>
      </c>
      <c r="K31" s="239">
        <f>Operations!AR169</f>
        <v>91.602999999999994</v>
      </c>
      <c r="L31" s="239">
        <f>Operations!AW169</f>
        <v>106.11099999999999</v>
      </c>
      <c r="M31" s="239">
        <f>Operations!BB169</f>
        <v>106.88500000000001</v>
      </c>
      <c r="N31" s="239">
        <f>Operations!BG169</f>
        <v>120.465</v>
      </c>
      <c r="O31" s="239">
        <f>Operations!$BL$169</f>
        <v>142.048</v>
      </c>
    </row>
    <row r="32" spans="1:15" ht="6.2" customHeight="1">
      <c r="A32" s="228"/>
      <c r="B32" s="228"/>
      <c r="C32" s="228"/>
      <c r="D32" s="238"/>
      <c r="E32" s="238"/>
      <c r="F32" s="238"/>
      <c r="G32" s="238"/>
      <c r="H32" s="238"/>
      <c r="I32" s="238"/>
      <c r="J32" s="238"/>
      <c r="K32" s="238"/>
      <c r="L32" s="238"/>
      <c r="M32" s="238"/>
      <c r="N32" s="238"/>
      <c r="O32" s="238"/>
    </row>
    <row r="33" spans="1:15" ht="13.5" customHeight="1">
      <c r="A33" s="224"/>
      <c r="B33" s="224"/>
      <c r="C33" s="224" t="s">
        <v>100</v>
      </c>
      <c r="D33" s="240">
        <f>SUM(D29:D32)</f>
        <v>327.49787900000001</v>
      </c>
      <c r="E33" s="240">
        <f t="shared" ref="E33:O33" si="1">SUM(E29:E32)</f>
        <v>294.94877500000001</v>
      </c>
      <c r="F33" s="240">
        <f t="shared" si="1"/>
        <v>364.11200000000002</v>
      </c>
      <c r="G33" s="240">
        <f t="shared" si="1"/>
        <v>383.30500000000001</v>
      </c>
      <c r="H33" s="240">
        <f t="shared" si="1"/>
        <v>375.05399999999997</v>
      </c>
      <c r="I33" s="240">
        <f t="shared" si="1"/>
        <v>364.536</v>
      </c>
      <c r="J33" s="240">
        <f t="shared" si="1"/>
        <v>408.86457810288141</v>
      </c>
      <c r="K33" s="240">
        <f t="shared" si="1"/>
        <v>547.52599999999995</v>
      </c>
      <c r="L33" s="240">
        <f t="shared" si="1"/>
        <v>562.92599999999993</v>
      </c>
      <c r="M33" s="240">
        <f t="shared" si="1"/>
        <v>576.779</v>
      </c>
      <c r="N33" s="240">
        <f t="shared" si="1"/>
        <v>584.46399999999994</v>
      </c>
      <c r="O33" s="240">
        <f t="shared" si="1"/>
        <v>599.14400000000001</v>
      </c>
    </row>
    <row r="34" spans="1:15" ht="6.2" customHeight="1">
      <c r="A34" s="228"/>
      <c r="B34" s="228"/>
      <c r="C34" s="228"/>
      <c r="D34" s="238"/>
      <c r="E34" s="238"/>
      <c r="F34" s="238"/>
      <c r="G34" s="238"/>
      <c r="H34" s="238"/>
      <c r="I34" s="238"/>
      <c r="J34" s="238"/>
      <c r="K34" s="238"/>
      <c r="L34" s="238"/>
      <c r="M34" s="238"/>
      <c r="N34" s="238"/>
      <c r="O34" s="238"/>
    </row>
    <row r="35" spans="1:15" ht="13.5" customHeight="1">
      <c r="A35" s="224" t="s">
        <v>62</v>
      </c>
      <c r="B35" s="224"/>
      <c r="C35" s="224"/>
      <c r="D35" s="238"/>
      <c r="E35" s="238"/>
      <c r="F35" s="238"/>
      <c r="G35" s="238"/>
      <c r="H35" s="238"/>
      <c r="I35" s="238"/>
      <c r="J35" s="238"/>
      <c r="K35" s="238"/>
      <c r="L35" s="238"/>
      <c r="M35" s="238"/>
      <c r="N35" s="238"/>
      <c r="O35" s="238"/>
    </row>
    <row r="36" spans="1:15" ht="13.5" customHeight="1">
      <c r="A36" s="228"/>
      <c r="B36" s="20" t="s">
        <v>249</v>
      </c>
      <c r="C36" s="20"/>
      <c r="D36" s="238">
        <f t="shared" ref="D36:L36" si="2">D21+D29</f>
        <v>481.373694</v>
      </c>
      <c r="E36" s="238">
        <f t="shared" si="2"/>
        <v>690.69950500000004</v>
      </c>
      <c r="F36" s="238">
        <f t="shared" si="2"/>
        <v>555.53600000000006</v>
      </c>
      <c r="G36" s="238">
        <f t="shared" si="2"/>
        <v>2557.3580000000002</v>
      </c>
      <c r="H36" s="238">
        <f t="shared" si="2"/>
        <v>2563.5080000000003</v>
      </c>
      <c r="I36" s="238">
        <f t="shared" si="2"/>
        <v>3539.8249999999998</v>
      </c>
      <c r="J36" s="238">
        <f t="shared" si="2"/>
        <v>3207.9435781028815</v>
      </c>
      <c r="K36" s="238">
        <f t="shared" si="2"/>
        <v>3965.3209999999999</v>
      </c>
      <c r="L36" s="238">
        <f t="shared" si="2"/>
        <v>7.7499999999999432</v>
      </c>
      <c r="M36" s="238">
        <f t="shared" ref="M36:N38" si="3">M21+M29</f>
        <v>1149.6660000000002</v>
      </c>
      <c r="N36" s="238">
        <f t="shared" si="3"/>
        <v>2075.9169999999999</v>
      </c>
      <c r="O36" s="238">
        <f>O21+O29</f>
        <v>1535.4450000000002</v>
      </c>
    </row>
    <row r="37" spans="1:15" ht="13.5" customHeight="1">
      <c r="A37" s="228"/>
      <c r="B37" s="20" t="s">
        <v>254</v>
      </c>
      <c r="C37" s="20"/>
      <c r="D37" s="238">
        <f t="shared" ref="D37:L38" si="4">D22+D30</f>
        <v>151.88745599999999</v>
      </c>
      <c r="E37" s="238">
        <f t="shared" si="4"/>
        <v>5.6620290000000004</v>
      </c>
      <c r="F37" s="238">
        <f t="shared" si="4"/>
        <v>3.6479999999999997</v>
      </c>
      <c r="G37" s="238">
        <f t="shared" si="4"/>
        <v>166.89200000000002</v>
      </c>
      <c r="H37" s="238">
        <f t="shared" si="4"/>
        <v>199.923</v>
      </c>
      <c r="I37" s="238">
        <f t="shared" si="4"/>
        <v>210.88500000000002</v>
      </c>
      <c r="J37" s="238">
        <f t="shared" si="4"/>
        <v>357.23499999999996</v>
      </c>
      <c r="K37" s="238">
        <f t="shared" si="4"/>
        <v>391.267</v>
      </c>
      <c r="L37" s="238">
        <f t="shared" si="4"/>
        <v>-14.106999999999999</v>
      </c>
      <c r="M37" s="238">
        <f t="shared" si="3"/>
        <v>-74.258999999999986</v>
      </c>
      <c r="N37" s="238">
        <f t="shared" si="3"/>
        <v>31.733000000000004</v>
      </c>
      <c r="O37" s="238">
        <f>O22+O30</f>
        <v>111.75999999999999</v>
      </c>
    </row>
    <row r="38" spans="1:15" ht="13.5" customHeight="1">
      <c r="A38" s="234"/>
      <c r="B38" s="77" t="s">
        <v>491</v>
      </c>
      <c r="C38" s="77"/>
      <c r="D38" s="239">
        <v>0</v>
      </c>
      <c r="E38" s="239">
        <v>0</v>
      </c>
      <c r="F38" s="239">
        <v>0</v>
      </c>
      <c r="G38" s="239">
        <v>0</v>
      </c>
      <c r="H38" s="239">
        <v>0</v>
      </c>
      <c r="I38" s="239">
        <v>0</v>
      </c>
      <c r="J38" s="239">
        <v>0</v>
      </c>
      <c r="K38" s="239">
        <f t="shared" si="4"/>
        <v>253.32900000000001</v>
      </c>
      <c r="L38" s="239">
        <f t="shared" si="4"/>
        <v>29.145999999999987</v>
      </c>
      <c r="M38" s="239">
        <f t="shared" si="3"/>
        <v>213.202</v>
      </c>
      <c r="N38" s="239">
        <f t="shared" si="3"/>
        <v>270.49400000000003</v>
      </c>
      <c r="O38" s="239">
        <f>O23+O31</f>
        <v>197.31200000000001</v>
      </c>
    </row>
    <row r="39" spans="1:15" ht="6.2" customHeight="1">
      <c r="A39" s="228"/>
      <c r="B39" s="228"/>
      <c r="C39" s="228"/>
      <c r="D39" s="238"/>
      <c r="E39" s="238"/>
      <c r="F39" s="238"/>
      <c r="G39" s="238"/>
      <c r="H39" s="238"/>
      <c r="I39" s="238"/>
      <c r="J39" s="238"/>
      <c r="K39" s="238"/>
      <c r="L39" s="238"/>
      <c r="M39" s="238"/>
      <c r="N39" s="238"/>
      <c r="O39" s="238"/>
    </row>
    <row r="40" spans="1:15" ht="13.5" customHeight="1">
      <c r="A40" s="224"/>
      <c r="B40" s="224"/>
      <c r="C40" s="224" t="s">
        <v>100</v>
      </c>
      <c r="D40" s="240">
        <f t="shared" ref="D40:L40" si="5">SUM(D36:D38)</f>
        <v>633.26115000000004</v>
      </c>
      <c r="E40" s="240">
        <f t="shared" si="5"/>
        <v>696.36153400000001</v>
      </c>
      <c r="F40" s="240">
        <f t="shared" si="5"/>
        <v>559.18400000000008</v>
      </c>
      <c r="G40" s="240">
        <f t="shared" si="5"/>
        <v>2724.25</v>
      </c>
      <c r="H40" s="240">
        <f t="shared" si="5"/>
        <v>2763.4310000000005</v>
      </c>
      <c r="I40" s="240">
        <f t="shared" si="5"/>
        <v>3750.71</v>
      </c>
      <c r="J40" s="240">
        <f t="shared" si="5"/>
        <v>3565.1785781028816</v>
      </c>
      <c r="K40" s="240">
        <f t="shared" si="5"/>
        <v>4609.9169999999995</v>
      </c>
      <c r="L40" s="240">
        <f t="shared" si="5"/>
        <v>22.78899999999993</v>
      </c>
      <c r="M40" s="240">
        <f>SUM(M36:M38)</f>
        <v>1288.6090000000002</v>
      </c>
      <c r="N40" s="240">
        <f>SUM(N36:N38)</f>
        <v>2378.1440000000002</v>
      </c>
      <c r="O40" s="240">
        <f>SUM(O36:O38)</f>
        <v>1844.5170000000003</v>
      </c>
    </row>
    <row r="41" spans="1:15" ht="6.2" customHeight="1">
      <c r="A41" s="228"/>
      <c r="B41" s="228"/>
      <c r="C41" s="228"/>
      <c r="D41" s="238"/>
      <c r="E41" s="238"/>
      <c r="F41" s="238"/>
      <c r="G41" s="238"/>
      <c r="H41" s="238"/>
      <c r="I41" s="238"/>
      <c r="J41" s="238"/>
      <c r="K41" s="238"/>
      <c r="L41" s="238"/>
      <c r="M41" s="238"/>
      <c r="N41" s="238"/>
      <c r="O41" s="238"/>
    </row>
    <row r="42" spans="1:15" ht="13.5" customHeight="1">
      <c r="A42" s="224" t="s">
        <v>460</v>
      </c>
      <c r="B42" s="224"/>
      <c r="C42" s="224"/>
      <c r="D42" s="238"/>
      <c r="E42" s="238"/>
      <c r="F42" s="238"/>
      <c r="G42" s="238"/>
      <c r="H42" s="238"/>
      <c r="I42" s="238">
        <f>AVERAGE(G43:J43)</f>
        <v>1354.4293156547164</v>
      </c>
      <c r="J42" s="238">
        <f>AVERAGE(F43:O43)</f>
        <v>968.16186030472511</v>
      </c>
      <c r="K42" s="238"/>
      <c r="L42" s="238"/>
      <c r="M42" s="238"/>
      <c r="N42" s="238"/>
      <c r="O42" s="238"/>
    </row>
    <row r="43" spans="1:15" ht="13.5" customHeight="1">
      <c r="A43" s="228"/>
      <c r="B43" s="20" t="s">
        <v>249</v>
      </c>
      <c r="C43" s="20"/>
      <c r="D43" s="238">
        <f>D36/D9*1000</f>
        <v>922.17182758620686</v>
      </c>
      <c r="E43" s="238">
        <f t="shared" ref="E43:O45" si="6">E36/E9*1000</f>
        <v>792.08658830275238</v>
      </c>
      <c r="F43" s="238">
        <f t="shared" si="6"/>
        <v>556.09209209209223</v>
      </c>
      <c r="G43" s="238">
        <f t="shared" si="6"/>
        <v>1499.9167155425221</v>
      </c>
      <c r="H43" s="238">
        <f t="shared" si="6"/>
        <v>1195.1086247086248</v>
      </c>
      <c r="I43" s="238">
        <f t="shared" si="6"/>
        <v>1453.7268993839837</v>
      </c>
      <c r="J43" s="238">
        <f t="shared" si="6"/>
        <v>1268.9650229837348</v>
      </c>
      <c r="K43" s="238">
        <f t="shared" si="6"/>
        <v>1598.9197580645159</v>
      </c>
      <c r="L43" s="238">
        <f t="shared" si="6"/>
        <v>4.8196517412934972</v>
      </c>
      <c r="M43" s="238">
        <f t="shared" si="6"/>
        <v>515.77658142664882</v>
      </c>
      <c r="N43" s="238">
        <f t="shared" si="6"/>
        <v>911.28928884986829</v>
      </c>
      <c r="O43" s="238">
        <f t="shared" si="6"/>
        <v>677.00396825396831</v>
      </c>
    </row>
    <row r="44" spans="1:15" ht="13.5" customHeight="1">
      <c r="A44" s="228"/>
      <c r="B44" s="20" t="s">
        <v>254</v>
      </c>
      <c r="C44" s="20"/>
      <c r="D44" s="238">
        <f>D37/D10*1000</f>
        <v>126.0476813278008</v>
      </c>
      <c r="E44" s="238">
        <f t="shared" si="6"/>
        <v>5.0195292553191493</v>
      </c>
      <c r="F44" s="238">
        <f t="shared" si="6"/>
        <v>3.0148760330578508</v>
      </c>
      <c r="G44" s="238">
        <f t="shared" si="6"/>
        <v>126.24205748865359</v>
      </c>
      <c r="H44" s="238">
        <f t="shared" si="6"/>
        <v>138.35501730103806</v>
      </c>
      <c r="I44" s="238">
        <f t="shared" si="6"/>
        <v>143.55684138869981</v>
      </c>
      <c r="J44" s="238">
        <f t="shared" si="6"/>
        <v>132.06469500924212</v>
      </c>
      <c r="K44" s="238">
        <f t="shared" si="6"/>
        <v>55.879320194230218</v>
      </c>
      <c r="L44" s="238">
        <f t="shared" si="6"/>
        <v>-2.5644428285766225</v>
      </c>
      <c r="M44" s="238">
        <f t="shared" si="6"/>
        <v>-11.981122942884801</v>
      </c>
      <c r="N44" s="238">
        <f t="shared" si="6"/>
        <v>5.0789052496798979</v>
      </c>
      <c r="O44" s="238">
        <f t="shared" si="6"/>
        <v>19.889660081865099</v>
      </c>
    </row>
    <row r="45" spans="1:15" ht="13.5" customHeight="1">
      <c r="A45" s="234"/>
      <c r="B45" s="77" t="s">
        <v>491</v>
      </c>
      <c r="C45" s="77"/>
      <c r="D45" s="239"/>
      <c r="E45" s="239"/>
      <c r="F45" s="239"/>
      <c r="G45" s="239"/>
      <c r="H45" s="239"/>
      <c r="I45" s="239"/>
      <c r="J45" s="239"/>
      <c r="K45" s="239">
        <f t="shared" si="6"/>
        <v>61.63540803442357</v>
      </c>
      <c r="L45" s="239">
        <f t="shared" si="6"/>
        <v>8.6496783549980201</v>
      </c>
      <c r="M45" s="239">
        <f t="shared" si="6"/>
        <v>55.7163024385097</v>
      </c>
      <c r="N45" s="239">
        <f t="shared" si="6"/>
        <v>72.798284994302037</v>
      </c>
      <c r="O45" s="239">
        <f t="shared" si="6"/>
        <v>67.241385180869159</v>
      </c>
    </row>
    <row r="46" spans="1:15" ht="6.2" customHeight="1">
      <c r="A46" s="228"/>
      <c r="B46" s="228"/>
      <c r="C46" s="228"/>
      <c r="D46" s="238"/>
      <c r="E46" s="238"/>
      <c r="F46" s="238"/>
      <c r="G46" s="238"/>
      <c r="H46" s="238"/>
      <c r="I46" s="238"/>
      <c r="J46" s="238"/>
      <c r="K46" s="238"/>
      <c r="L46" s="238"/>
      <c r="M46" s="238"/>
      <c r="N46" s="238"/>
      <c r="O46" s="238"/>
    </row>
    <row r="47" spans="1:15" ht="13.5" customHeight="1">
      <c r="A47" s="224"/>
      <c r="B47" s="224"/>
      <c r="C47" s="224" t="s">
        <v>100</v>
      </c>
      <c r="D47" s="240">
        <f>D40/SUM(D9:D11)*1000</f>
        <v>366.68277359583095</v>
      </c>
      <c r="E47" s="240">
        <f t="shared" ref="E47:O47" si="7">E40/SUM(E9:E11)*1000</f>
        <v>348.180767</v>
      </c>
      <c r="F47" s="240">
        <f t="shared" si="7"/>
        <v>253.1389769126302</v>
      </c>
      <c r="G47" s="240">
        <f t="shared" si="7"/>
        <v>899.98348199537497</v>
      </c>
      <c r="H47" s="240">
        <f t="shared" si="7"/>
        <v>769.75793871866301</v>
      </c>
      <c r="I47" s="240">
        <f t="shared" si="7"/>
        <v>960.73514344262298</v>
      </c>
      <c r="J47" s="240">
        <f t="shared" si="7"/>
        <v>681.28770840872949</v>
      </c>
      <c r="K47" s="240">
        <f t="shared" si="7"/>
        <v>339.16096810361563</v>
      </c>
      <c r="L47" s="240">
        <f t="shared" si="7"/>
        <v>2.1748123779392774</v>
      </c>
      <c r="M47" s="240">
        <f t="shared" si="7"/>
        <v>105.16197528917081</v>
      </c>
      <c r="N47" s="240">
        <f t="shared" si="7"/>
        <v>194.26639315080934</v>
      </c>
      <c r="O47" s="240">
        <f t="shared" si="7"/>
        <v>170.45112839504037</v>
      </c>
    </row>
    <row r="48" spans="1:15" ht="6.2" customHeight="1">
      <c r="A48" s="228"/>
      <c r="B48" s="228"/>
      <c r="C48" s="228"/>
      <c r="D48" s="238"/>
      <c r="E48" s="238"/>
      <c r="F48" s="238"/>
      <c r="G48" s="238"/>
      <c r="H48" s="238"/>
      <c r="I48" s="238"/>
      <c r="J48" s="238"/>
      <c r="K48" s="238"/>
      <c r="L48" s="238"/>
      <c r="M48" s="238"/>
      <c r="N48" s="238"/>
      <c r="O48" s="238"/>
    </row>
    <row r="49" spans="1:15" ht="13.5" customHeight="1">
      <c r="A49" s="224" t="s">
        <v>92</v>
      </c>
      <c r="B49" s="224"/>
      <c r="C49" s="224"/>
      <c r="D49" s="238"/>
      <c r="E49" s="238"/>
      <c r="F49" s="238"/>
      <c r="G49" s="238"/>
      <c r="H49" s="238"/>
      <c r="I49" s="238"/>
      <c r="J49" s="238"/>
      <c r="K49" s="238"/>
      <c r="L49" s="238"/>
      <c r="M49" s="238"/>
      <c r="N49" s="238"/>
      <c r="O49" s="238"/>
    </row>
    <row r="50" spans="1:15" ht="13.5" customHeight="1">
      <c r="A50" s="20"/>
      <c r="B50" s="20" t="s">
        <v>249</v>
      </c>
      <c r="C50" s="20"/>
      <c r="D50" s="238">
        <f>Operations!I104</f>
        <v>206.561688</v>
      </c>
      <c r="E50" s="238">
        <f>Operations!N104</f>
        <v>237.52857800000001</v>
      </c>
      <c r="F50" s="238">
        <f>Operations!S104</f>
        <v>201.13399999999999</v>
      </c>
      <c r="G50" s="238">
        <f>Operations!X104</f>
        <v>242.48599999999999</v>
      </c>
      <c r="H50" s="238">
        <f>Operations!AC104</f>
        <v>216.047</v>
      </c>
      <c r="I50" s="238">
        <f>Operations!AH104</f>
        <v>195.54900000000001</v>
      </c>
      <c r="J50" s="238">
        <f>Operations!AM104</f>
        <v>409.98599999999999</v>
      </c>
      <c r="K50" s="238">
        <f>Operations!AR104</f>
        <v>771.22</v>
      </c>
      <c r="L50" s="238">
        <f>Operations!AW104</f>
        <v>217.69</v>
      </c>
      <c r="M50" s="238">
        <f>Operations!BB104</f>
        <v>186.23599999999999</v>
      </c>
      <c r="N50" s="238">
        <f>Operations!BG104</f>
        <v>181.178</v>
      </c>
      <c r="O50" s="238">
        <f>Operations!BL104</f>
        <v>369.46300000000002</v>
      </c>
    </row>
    <row r="51" spans="1:15" ht="13.5" customHeight="1">
      <c r="A51" s="20"/>
      <c r="B51" s="20" t="s">
        <v>254</v>
      </c>
      <c r="C51" s="20"/>
      <c r="D51" s="238">
        <f>Operations!I156</f>
        <v>53.482337999999999</v>
      </c>
      <c r="E51" s="238">
        <f>Operations!N156</f>
        <v>6.0695180000000004</v>
      </c>
      <c r="F51" s="238">
        <f>Operations!S156</f>
        <v>14.273999999999999</v>
      </c>
      <c r="G51" s="238">
        <f>Operations!X156</f>
        <v>7.2530000000000001</v>
      </c>
      <c r="H51" s="238">
        <f>Operations!AC156</f>
        <v>18.378</v>
      </c>
      <c r="I51" s="238">
        <f>Operations!AH156</f>
        <v>18.039000000000001</v>
      </c>
      <c r="J51" s="238">
        <f>Operations!AM156</f>
        <v>90.343999999999994</v>
      </c>
      <c r="K51" s="238">
        <f>Operations!AR156</f>
        <v>83.888999999999996</v>
      </c>
      <c r="L51" s="238">
        <f>Operations!AW156</f>
        <v>37.600999999999999</v>
      </c>
      <c r="M51" s="238">
        <f>Operations!BB156</f>
        <v>21.321000000000002</v>
      </c>
      <c r="N51" s="238">
        <f>Operations!BG156</f>
        <v>20.917999999999999</v>
      </c>
      <c r="O51" s="238">
        <f>Operations!BL156</f>
        <v>31.698</v>
      </c>
    </row>
    <row r="52" spans="1:15" ht="13.5" customHeight="1">
      <c r="A52" s="77"/>
      <c r="B52" s="77" t="s">
        <v>491</v>
      </c>
      <c r="C52" s="77"/>
      <c r="D52" s="239">
        <v>0</v>
      </c>
      <c r="E52" s="239">
        <v>0</v>
      </c>
      <c r="F52" s="239">
        <v>0</v>
      </c>
      <c r="G52" s="239">
        <v>0</v>
      </c>
      <c r="H52" s="239">
        <v>0</v>
      </c>
      <c r="I52" s="239">
        <v>0</v>
      </c>
      <c r="J52" s="239">
        <v>0</v>
      </c>
      <c r="K52" s="239">
        <f>Operations!AR173</f>
        <v>157.952</v>
      </c>
      <c r="L52" s="239">
        <f>Operations!AW173</f>
        <v>113</v>
      </c>
      <c r="M52" s="239">
        <f>Operations!BB173</f>
        <v>125.536</v>
      </c>
      <c r="N52" s="239">
        <f>Operations!BG173</f>
        <v>245.33699999999999</v>
      </c>
      <c r="O52" s="239">
        <f>Operations!BL173</f>
        <v>604.31200000000001</v>
      </c>
    </row>
    <row r="53" spans="1:15" ht="6.2" customHeight="1">
      <c r="A53" s="20"/>
      <c r="B53" s="20"/>
      <c r="C53" s="20"/>
      <c r="D53" s="238"/>
      <c r="E53" s="238"/>
      <c r="F53" s="238"/>
      <c r="G53" s="238"/>
      <c r="H53" s="238"/>
      <c r="I53" s="238"/>
      <c r="J53" s="238"/>
      <c r="K53" s="238"/>
      <c r="L53" s="238"/>
      <c r="M53" s="238"/>
      <c r="N53" s="238"/>
      <c r="O53" s="238"/>
    </row>
    <row r="54" spans="1:15" ht="13.5" customHeight="1">
      <c r="A54" s="224"/>
      <c r="B54" s="224"/>
      <c r="C54" s="224" t="s">
        <v>93</v>
      </c>
      <c r="D54" s="807">
        <v>261.14565800000003</v>
      </c>
      <c r="E54" s="240">
        <f>(Financials!$N$209)*-1</f>
        <v>243.598096</v>
      </c>
      <c r="F54" s="240">
        <f>(Financials!$S$209)*-1</f>
        <v>215.408007</v>
      </c>
      <c r="G54" s="240">
        <f>(Financials!$X$209)*-1</f>
        <v>285.92500000000001</v>
      </c>
      <c r="H54" s="240">
        <f>(Financials!$AC$209)*-1</f>
        <v>331.46600000000001</v>
      </c>
      <c r="I54" s="240">
        <f>(Financials!$AH$209)*-1</f>
        <v>338.404</v>
      </c>
      <c r="J54" s="240">
        <f>(Financials!$AM$209)*-1</f>
        <v>520.35299999999995</v>
      </c>
      <c r="K54" s="240">
        <f>(Financials!$AR$209)*-1</f>
        <v>1018.98</v>
      </c>
      <c r="L54" s="240">
        <f>(Financials!$AW$209)*-1</f>
        <v>390.5</v>
      </c>
      <c r="M54" s="240">
        <f>(Financials!$BB$209)*-1</f>
        <v>345.29399999999998</v>
      </c>
      <c r="N54" s="240">
        <f>(Financials!$BG$209)*-1</f>
        <v>440.50200000000001</v>
      </c>
      <c r="O54" s="240">
        <f>(Financials!$BL$209)*-1</f>
        <v>947.60799999999995</v>
      </c>
    </row>
    <row r="55" spans="1:15" ht="6.2" customHeight="1">
      <c r="A55" s="228"/>
      <c r="B55" s="228"/>
      <c r="C55" s="228"/>
      <c r="D55" s="238"/>
      <c r="E55" s="238"/>
      <c r="F55" s="238"/>
      <c r="G55" s="238"/>
      <c r="H55" s="238"/>
      <c r="I55" s="238"/>
      <c r="J55" s="238"/>
      <c r="K55" s="238"/>
      <c r="L55" s="238"/>
      <c r="M55" s="238"/>
      <c r="N55" s="238"/>
      <c r="O55" s="238"/>
    </row>
    <row r="56" spans="1:15" ht="13.5" customHeight="1">
      <c r="A56" s="224" t="s">
        <v>94</v>
      </c>
      <c r="B56" s="224"/>
      <c r="C56" s="224"/>
      <c r="D56" s="238"/>
      <c r="E56" s="238"/>
      <c r="F56" s="238"/>
      <c r="G56" s="238"/>
      <c r="H56" s="238"/>
      <c r="I56" s="238"/>
      <c r="J56" s="238"/>
      <c r="K56" s="238"/>
      <c r="L56" s="238"/>
      <c r="M56" s="238"/>
      <c r="N56" s="238"/>
      <c r="O56" s="238"/>
    </row>
    <row r="57" spans="1:15" ht="13.5" customHeight="1">
      <c r="A57" s="20"/>
      <c r="B57" s="20" t="s">
        <v>249</v>
      </c>
      <c r="C57" s="20"/>
      <c r="D57" s="238">
        <f t="shared" ref="D57:L57" si="8">D36-D50</f>
        <v>274.812006</v>
      </c>
      <c r="E57" s="238">
        <f t="shared" si="8"/>
        <v>453.17092700000001</v>
      </c>
      <c r="F57" s="238">
        <f t="shared" si="8"/>
        <v>354.40200000000004</v>
      </c>
      <c r="G57" s="238">
        <f t="shared" si="8"/>
        <v>2314.8720000000003</v>
      </c>
      <c r="H57" s="238">
        <f t="shared" si="8"/>
        <v>2347.4610000000002</v>
      </c>
      <c r="I57" s="238">
        <f t="shared" si="8"/>
        <v>3344.2759999999998</v>
      </c>
      <c r="J57" s="238">
        <f t="shared" si="8"/>
        <v>2797.9575781028816</v>
      </c>
      <c r="K57" s="238">
        <f t="shared" si="8"/>
        <v>3194.1009999999997</v>
      </c>
      <c r="L57" s="238">
        <f t="shared" si="8"/>
        <v>-209.94000000000005</v>
      </c>
      <c r="M57" s="238">
        <f t="shared" ref="M57:O59" si="9">M36-M50</f>
        <v>963.43000000000018</v>
      </c>
      <c r="N57" s="238">
        <f t="shared" si="9"/>
        <v>1894.739</v>
      </c>
      <c r="O57" s="238">
        <f t="shared" si="9"/>
        <v>1165.9820000000002</v>
      </c>
    </row>
    <row r="58" spans="1:15" ht="13.5" customHeight="1">
      <c r="A58" s="20"/>
      <c r="B58" s="20" t="s">
        <v>254</v>
      </c>
      <c r="C58" s="20"/>
      <c r="D58" s="238">
        <f t="shared" ref="D58:L58" si="10">D37-D51</f>
        <v>98.405117999999987</v>
      </c>
      <c r="E58" s="238">
        <f t="shared" si="10"/>
        <v>-0.40748899999999999</v>
      </c>
      <c r="F58" s="238">
        <f t="shared" si="10"/>
        <v>-10.625999999999999</v>
      </c>
      <c r="G58" s="238">
        <f t="shared" si="10"/>
        <v>159.63900000000001</v>
      </c>
      <c r="H58" s="238">
        <f t="shared" si="10"/>
        <v>181.54500000000002</v>
      </c>
      <c r="I58" s="238">
        <f t="shared" si="10"/>
        <v>192.846</v>
      </c>
      <c r="J58" s="238">
        <f t="shared" si="10"/>
        <v>266.89099999999996</v>
      </c>
      <c r="K58" s="238">
        <f t="shared" si="10"/>
        <v>307.37799999999999</v>
      </c>
      <c r="L58" s="238">
        <f t="shared" si="10"/>
        <v>-51.707999999999998</v>
      </c>
      <c r="M58" s="238">
        <f t="shared" si="9"/>
        <v>-95.579999999999984</v>
      </c>
      <c r="N58" s="238">
        <f t="shared" si="9"/>
        <v>10.815000000000005</v>
      </c>
      <c r="O58" s="238">
        <f t="shared" si="9"/>
        <v>80.061999999999983</v>
      </c>
    </row>
    <row r="59" spans="1:15" ht="13.5" customHeight="1">
      <c r="A59" s="77"/>
      <c r="B59" s="77" t="s">
        <v>491</v>
      </c>
      <c r="C59" s="77"/>
      <c r="D59" s="239">
        <v>0</v>
      </c>
      <c r="E59" s="239">
        <v>0</v>
      </c>
      <c r="F59" s="239">
        <v>0</v>
      </c>
      <c r="G59" s="239">
        <v>0</v>
      </c>
      <c r="H59" s="239">
        <v>0</v>
      </c>
      <c r="I59" s="239">
        <v>0</v>
      </c>
      <c r="J59" s="239">
        <v>0</v>
      </c>
      <c r="K59" s="239">
        <f>K38-K52</f>
        <v>95.37700000000001</v>
      </c>
      <c r="L59" s="239">
        <f>L38-L52</f>
        <v>-83.854000000000013</v>
      </c>
      <c r="M59" s="239">
        <f t="shared" si="9"/>
        <v>87.665999999999997</v>
      </c>
      <c r="N59" s="239">
        <f t="shared" si="9"/>
        <v>25.157000000000039</v>
      </c>
      <c r="O59" s="239">
        <f t="shared" si="9"/>
        <v>-407</v>
      </c>
    </row>
    <row r="60" spans="1:15" ht="6.2" customHeight="1">
      <c r="A60" s="20"/>
      <c r="B60" s="20"/>
      <c r="C60" s="20"/>
      <c r="D60" s="238"/>
      <c r="E60" s="238"/>
      <c r="F60" s="238"/>
      <c r="G60" s="238"/>
      <c r="H60" s="238"/>
      <c r="I60" s="238"/>
      <c r="J60" s="238"/>
      <c r="K60" s="238"/>
      <c r="L60" s="238"/>
      <c r="M60" s="238"/>
      <c r="N60" s="238"/>
      <c r="O60" s="238"/>
    </row>
    <row r="61" spans="1:15" ht="13.5" customHeight="1">
      <c r="A61" s="224"/>
      <c r="B61" s="224"/>
      <c r="C61" s="224" t="s">
        <v>93</v>
      </c>
      <c r="D61" s="240">
        <f t="shared" ref="D61:K61" si="11">SUM(D57:D59)</f>
        <v>373.21712400000001</v>
      </c>
      <c r="E61" s="240">
        <f t="shared" si="11"/>
        <v>452.76343800000001</v>
      </c>
      <c r="F61" s="240">
        <f t="shared" si="11"/>
        <v>343.77600000000007</v>
      </c>
      <c r="G61" s="240">
        <f t="shared" si="11"/>
        <v>2474.5110000000004</v>
      </c>
      <c r="H61" s="240">
        <f t="shared" si="11"/>
        <v>2529.0060000000003</v>
      </c>
      <c r="I61" s="240">
        <f t="shared" si="11"/>
        <v>3537.1219999999998</v>
      </c>
      <c r="J61" s="240">
        <f t="shared" si="11"/>
        <v>3064.8485781028817</v>
      </c>
      <c r="K61" s="240">
        <f t="shared" si="11"/>
        <v>3596.8559999999998</v>
      </c>
      <c r="L61" s="240">
        <f>SUM(L57:L59)</f>
        <v>-345.50200000000007</v>
      </c>
      <c r="M61" s="240">
        <f>SUM(M57:M59)</f>
        <v>955.51600000000008</v>
      </c>
      <c r="N61" s="240">
        <f>SUM(N57:N59)</f>
        <v>1930.7110000000002</v>
      </c>
      <c r="O61" s="240">
        <f>SUM(O57:O59)</f>
        <v>839.0440000000001</v>
      </c>
    </row>
    <row r="62" spans="1:15" ht="6.2" customHeight="1">
      <c r="A62" s="228"/>
      <c r="B62" s="228"/>
      <c r="C62" s="228"/>
      <c r="D62" s="241"/>
      <c r="E62" s="241"/>
      <c r="F62" s="241"/>
      <c r="G62" s="241"/>
      <c r="H62" s="241"/>
      <c r="I62" s="241"/>
      <c r="J62" s="241"/>
      <c r="K62" s="241"/>
      <c r="L62" s="241"/>
      <c r="M62" s="241"/>
      <c r="N62" s="241"/>
      <c r="O62" s="241"/>
    </row>
    <row r="63" spans="1:15" ht="13.5" customHeight="1">
      <c r="A63" s="224" t="s">
        <v>423</v>
      </c>
      <c r="B63" s="224"/>
      <c r="C63" s="224"/>
      <c r="D63" s="228"/>
      <c r="E63" s="228"/>
      <c r="F63" s="228"/>
      <c r="G63" s="228"/>
      <c r="H63" s="228"/>
      <c r="I63" s="228"/>
      <c r="J63" s="228"/>
      <c r="K63" s="228"/>
      <c r="L63" s="228"/>
      <c r="M63" s="228"/>
      <c r="N63" s="228"/>
      <c r="O63" s="228"/>
    </row>
    <row r="64" spans="1:15" ht="13.5" customHeight="1">
      <c r="A64" s="228"/>
      <c r="B64" s="20" t="s">
        <v>249</v>
      </c>
      <c r="C64" s="20"/>
      <c r="D64" s="114">
        <f t="shared" ref="D64:L64" si="12">D21/D14</f>
        <v>6.0109986700254199E-2</v>
      </c>
      <c r="E64" s="114">
        <f t="shared" si="12"/>
        <v>9.8907422254041269E-2</v>
      </c>
      <c r="F64" s="114">
        <f t="shared" si="12"/>
        <v>3.8449342073734231E-2</v>
      </c>
      <c r="G64" s="114">
        <f t="shared" si="12"/>
        <v>0.21676147913383839</v>
      </c>
      <c r="H64" s="114">
        <f t="shared" si="12"/>
        <v>0.19953765839777918</v>
      </c>
      <c r="I64" s="114">
        <f t="shared" si="12"/>
        <v>0.24526908498292108</v>
      </c>
      <c r="J64" s="114">
        <f t="shared" si="12"/>
        <v>0.21441713947610483</v>
      </c>
      <c r="K64" s="114">
        <f t="shared" si="12"/>
        <v>0.21876458772052262</v>
      </c>
      <c r="L64" s="114">
        <f t="shared" si="12"/>
        <v>-4.8937972308727193E-2</v>
      </c>
      <c r="M64" s="114">
        <f t="shared" ref="M64:N66" si="13">M21/M14</f>
        <v>7.1721131854492692E-2</v>
      </c>
      <c r="N64" s="114">
        <f t="shared" si="13"/>
        <v>0.12205609572038312</v>
      </c>
      <c r="O64" s="114">
        <f>O21/O14</f>
        <v>8.7209096274359937E-2</v>
      </c>
    </row>
    <row r="65" spans="1:15" ht="13.5" customHeight="1">
      <c r="A65" s="228"/>
      <c r="B65" s="20" t="s">
        <v>254</v>
      </c>
      <c r="C65" s="20"/>
      <c r="D65" s="114">
        <f t="shared" ref="D65:L66" si="14">D22/D15</f>
        <v>0.11131031038450043</v>
      </c>
      <c r="E65" s="114">
        <f t="shared" si="14"/>
        <v>-5.5126637767163769E-4</v>
      </c>
      <c r="F65" s="114">
        <f t="shared" si="14"/>
        <v>-1.7479650992563094E-2</v>
      </c>
      <c r="G65" s="114">
        <f t="shared" si="14"/>
        <v>0.11804500243806604</v>
      </c>
      <c r="H65" s="114">
        <f t="shared" si="14"/>
        <v>0.1103976136584341</v>
      </c>
      <c r="I65" s="114">
        <f t="shared" si="14"/>
        <v>0.11094883575964273</v>
      </c>
      <c r="J65" s="114">
        <f t="shared" si="14"/>
        <v>9.9016007088628816E-2</v>
      </c>
      <c r="K65" s="114">
        <f t="shared" si="14"/>
        <v>6.8183515058333588E-2</v>
      </c>
      <c r="L65" s="114">
        <f t="shared" si="14"/>
        <v>-4.1912487617609483E-2</v>
      </c>
      <c r="M65" s="114">
        <f t="shared" si="13"/>
        <v>-6.1257575827146638E-2</v>
      </c>
      <c r="N65" s="114">
        <f t="shared" si="13"/>
        <v>-1.7567295839416696E-2</v>
      </c>
      <c r="O65" s="114">
        <f>O22/O15</f>
        <v>7.6664203033345183E-3</v>
      </c>
    </row>
    <row r="66" spans="1:15" ht="13.5" customHeight="1">
      <c r="A66" s="234"/>
      <c r="B66" s="77" t="s">
        <v>491</v>
      </c>
      <c r="C66" s="77"/>
      <c r="D66" s="239"/>
      <c r="E66" s="239"/>
      <c r="F66" s="239"/>
      <c r="G66" s="239"/>
      <c r="H66" s="239"/>
      <c r="I66" s="239"/>
      <c r="J66" s="239"/>
      <c r="K66" s="243">
        <f t="shared" si="14"/>
        <v>6.72996057135129E-2</v>
      </c>
      <c r="L66" s="243">
        <f t="shared" si="14"/>
        <v>-7.1464784338195156E-2</v>
      </c>
      <c r="M66" s="243">
        <f t="shared" si="13"/>
        <v>5.8598523200588205E-2</v>
      </c>
      <c r="N66" s="243">
        <f t="shared" si="13"/>
        <v>7.0489397859697767E-2</v>
      </c>
      <c r="O66" s="243">
        <f>O23/O16</f>
        <v>2.8947747492922039E-2</v>
      </c>
    </row>
    <row r="67" spans="1:15" ht="6.2" customHeight="1">
      <c r="A67" s="228"/>
      <c r="B67" s="228"/>
      <c r="C67" s="228"/>
      <c r="D67" s="94"/>
      <c r="E67" s="94"/>
      <c r="F67" s="94"/>
      <c r="G67" s="94"/>
      <c r="H67" s="94"/>
      <c r="I67" s="94"/>
      <c r="J67" s="94"/>
      <c r="K67" s="94"/>
      <c r="L67" s="94"/>
      <c r="M67" s="94"/>
      <c r="N67" s="94"/>
      <c r="O67" s="94"/>
    </row>
    <row r="68" spans="1:15" ht="13.5" customHeight="1">
      <c r="A68" s="224"/>
      <c r="B68" s="224"/>
      <c r="C68" s="224" t="s">
        <v>93</v>
      </c>
      <c r="D68" s="244">
        <f t="shared" ref="D68:L68" si="15">D26/D18</f>
        <v>6.2016862297369919E-2</v>
      </c>
      <c r="E68" s="244">
        <f t="shared" si="15"/>
        <v>6.1208775072158252E-2</v>
      </c>
      <c r="F68" s="244">
        <f t="shared" si="15"/>
        <v>1.7732264859699986E-2</v>
      </c>
      <c r="G68" s="244">
        <f t="shared" si="15"/>
        <v>0.16227071377012994</v>
      </c>
      <c r="H68" s="244">
        <f t="shared" si="15"/>
        <v>0.16707685749758741</v>
      </c>
      <c r="I68" s="244">
        <f t="shared" si="15"/>
        <v>0.19494416412959698</v>
      </c>
      <c r="J68" s="244">
        <f t="shared" si="15"/>
        <v>0.15365051397341126</v>
      </c>
      <c r="K68" s="244">
        <f t="shared" si="15"/>
        <v>0.14125052760973056</v>
      </c>
      <c r="L68" s="244">
        <f t="shared" si="15"/>
        <v>-2.4952512426838401E-2</v>
      </c>
      <c r="M68" s="244">
        <f>M26/M18</f>
        <v>2.7151664725209371E-2</v>
      </c>
      <c r="N68" s="244">
        <f>N26/N18</f>
        <v>6.9363575834951272E-2</v>
      </c>
      <c r="O68" s="244">
        <f>O26/O18</f>
        <v>5.7213411948043559E-2</v>
      </c>
    </row>
    <row r="69" spans="1:15" ht="6.2" customHeight="1">
      <c r="A69" s="228"/>
      <c r="B69" s="228"/>
      <c r="C69" s="228"/>
      <c r="D69" s="228"/>
      <c r="E69" s="228"/>
      <c r="F69" s="228"/>
      <c r="G69" s="228"/>
      <c r="H69" s="228"/>
      <c r="I69" s="228"/>
      <c r="J69" s="228"/>
      <c r="K69" s="228"/>
      <c r="L69" s="228"/>
      <c r="M69" s="228"/>
      <c r="N69" s="228"/>
      <c r="O69" s="228"/>
    </row>
    <row r="70" spans="1:15" ht="13.5" customHeight="1">
      <c r="A70" s="224" t="s">
        <v>424</v>
      </c>
      <c r="B70" s="224"/>
      <c r="C70" s="224"/>
      <c r="D70" s="228"/>
      <c r="E70" s="228"/>
      <c r="F70" s="228"/>
      <c r="G70" s="228"/>
      <c r="H70" s="228"/>
      <c r="I70" s="228"/>
      <c r="J70" s="228"/>
      <c r="K70" s="228"/>
      <c r="L70" s="228"/>
      <c r="M70" s="228"/>
      <c r="N70" s="228"/>
      <c r="O70" s="228"/>
    </row>
    <row r="71" spans="1:15" ht="13.5" customHeight="1">
      <c r="A71" s="228"/>
      <c r="B71" s="20" t="s">
        <v>249</v>
      </c>
      <c r="C71" s="20"/>
      <c r="D71" s="114">
        <f t="shared" ref="D71:L71" si="16">D36/D14</f>
        <v>0.13954294020063071</v>
      </c>
      <c r="E71" s="114">
        <f t="shared" si="16"/>
        <v>0.17001459715313375</v>
      </c>
      <c r="F71" s="114">
        <f t="shared" si="16"/>
        <v>0.10200570056482341</v>
      </c>
      <c r="G71" s="114">
        <f t="shared" si="16"/>
        <v>0.25296757581782553</v>
      </c>
      <c r="H71" s="114">
        <f t="shared" si="16"/>
        <v>0.23170480059936654</v>
      </c>
      <c r="I71" s="114">
        <f t="shared" si="16"/>
        <v>0.27176902667253122</v>
      </c>
      <c r="J71" s="114">
        <f t="shared" si="16"/>
        <v>0.24099560416458557</v>
      </c>
      <c r="K71" s="114">
        <f t="shared" si="16"/>
        <v>0.2406448030392222</v>
      </c>
      <c r="L71" s="114">
        <f t="shared" si="16"/>
        <v>1.0824760123315589E-3</v>
      </c>
      <c r="M71" s="114">
        <f t="shared" ref="M71:N73" si="17">M36/M14</f>
        <v>0.10585502303706187</v>
      </c>
      <c r="N71" s="114">
        <f t="shared" si="17"/>
        <v>0.14870204641823978</v>
      </c>
      <c r="O71" s="114">
        <f>O36/O14</f>
        <v>0.11529113273934938</v>
      </c>
    </row>
    <row r="72" spans="1:15" ht="13.5" customHeight="1">
      <c r="A72" s="228"/>
      <c r="B72" s="20" t="s">
        <v>254</v>
      </c>
      <c r="C72" s="20"/>
      <c r="D72" s="114">
        <f t="shared" ref="D72:L73" si="18">D37/D15</f>
        <v>0.17180650980848525</v>
      </c>
      <c r="E72" s="114">
        <f t="shared" si="18"/>
        <v>7.6598048465155262E-3</v>
      </c>
      <c r="F72" s="114">
        <f t="shared" si="18"/>
        <v>4.4504304034666507E-3</v>
      </c>
      <c r="G72" s="114">
        <f t="shared" si="18"/>
        <v>0.13168081376173865</v>
      </c>
      <c r="H72" s="114">
        <f t="shared" si="18"/>
        <v>0.12210395292789794</v>
      </c>
      <c r="I72" s="114">
        <f t="shared" si="18"/>
        <v>0.12217093909151423</v>
      </c>
      <c r="J72" s="114">
        <f t="shared" si="18"/>
        <v>0.11706297711924833</v>
      </c>
      <c r="K72" s="114">
        <f t="shared" si="18"/>
        <v>9.0163575544230184E-2</v>
      </c>
      <c r="L72" s="114">
        <f t="shared" si="18"/>
        <v>-5.2416619044469591E-3</v>
      </c>
      <c r="M72" s="114">
        <f t="shared" si="17"/>
        <v>-2.62287241952113E-2</v>
      </c>
      <c r="N72" s="114">
        <f t="shared" si="17"/>
        <v>9.247586325473775E-3</v>
      </c>
      <c r="O72" s="114">
        <f>O37/O15</f>
        <v>2.9895294246359585E-2</v>
      </c>
    </row>
    <row r="73" spans="1:15" ht="13.5" customHeight="1">
      <c r="A73" s="234"/>
      <c r="B73" s="77" t="s">
        <v>491</v>
      </c>
      <c r="C73" s="77"/>
      <c r="D73" s="239"/>
      <c r="E73" s="239"/>
      <c r="F73" s="239"/>
      <c r="G73" s="239"/>
      <c r="H73" s="239"/>
      <c r="I73" s="239"/>
      <c r="J73" s="239"/>
      <c r="K73" s="243">
        <f t="shared" si="18"/>
        <v>0.10541868231328612</v>
      </c>
      <c r="L73" s="243">
        <f t="shared" si="18"/>
        <v>2.7063114458793412E-2</v>
      </c>
      <c r="M73" s="243">
        <f t="shared" si="17"/>
        <v>0.11751010979816781</v>
      </c>
      <c r="N73" s="243">
        <f t="shared" si="17"/>
        <v>0.12708849078952131</v>
      </c>
      <c r="O73" s="243">
        <f>O38/O16</f>
        <v>0.10335368328972629</v>
      </c>
    </row>
    <row r="74" spans="1:15" ht="6.2" customHeight="1">
      <c r="A74" s="228"/>
      <c r="B74" s="228"/>
      <c r="C74" s="228"/>
      <c r="D74" s="94"/>
      <c r="E74" s="94"/>
      <c r="F74" s="94"/>
      <c r="G74" s="94"/>
      <c r="H74" s="94"/>
      <c r="I74" s="94"/>
      <c r="J74" s="94"/>
      <c r="K74" s="94"/>
      <c r="L74" s="94"/>
      <c r="M74" s="94"/>
      <c r="N74" s="94"/>
      <c r="O74" s="94"/>
    </row>
    <row r="75" spans="1:15" ht="13.5" customHeight="1">
      <c r="A75" s="224"/>
      <c r="B75" s="224"/>
      <c r="C75" s="224" t="s">
        <v>93</v>
      </c>
      <c r="D75" s="244">
        <f t="shared" ref="D75:L75" si="19">D40/D18</f>
        <v>0.14612459632057515</v>
      </c>
      <c r="E75" s="244">
        <f t="shared" si="19"/>
        <v>0.14502164535025716</v>
      </c>
      <c r="F75" s="244">
        <f t="shared" si="19"/>
        <v>8.9243504005778657E-2</v>
      </c>
      <c r="G75" s="244">
        <f t="shared" si="19"/>
        <v>0.23945602412201364</v>
      </c>
      <c r="H75" s="244">
        <f t="shared" si="19"/>
        <v>0.21757587729910069</v>
      </c>
      <c r="I75" s="244">
        <f t="shared" si="19"/>
        <v>0.25426353120782141</v>
      </c>
      <c r="J75" s="244">
        <f t="shared" si="19"/>
        <v>0.21462788087243526</v>
      </c>
      <c r="K75" s="244">
        <f t="shared" si="19"/>
        <v>0.19481274059384043</v>
      </c>
      <c r="L75" s="244">
        <f t="shared" si="19"/>
        <v>2.0364966217158091E-3</v>
      </c>
      <c r="M75" s="244">
        <f>M40/M18</f>
        <v>8.13278217278324E-2</v>
      </c>
      <c r="N75" s="244">
        <f>N40/N18</f>
        <v>0.11876726840436599</v>
      </c>
      <c r="O75" s="244">
        <f>O40/O18</f>
        <v>9.4934946871146453E-2</v>
      </c>
    </row>
    <row r="76" spans="1:15" ht="6.2" customHeight="1">
      <c r="A76" s="224"/>
      <c r="B76" s="224"/>
      <c r="C76" s="224"/>
      <c r="D76" s="244"/>
      <c r="E76" s="244"/>
      <c r="F76" s="244"/>
      <c r="G76" s="244"/>
      <c r="H76" s="244"/>
      <c r="I76" s="244"/>
      <c r="J76" s="244"/>
      <c r="K76" s="244"/>
      <c r="L76" s="244"/>
      <c r="M76" s="244"/>
      <c r="N76" s="244"/>
      <c r="O76" s="244"/>
    </row>
    <row r="77" spans="1:15" ht="13.5" customHeight="1">
      <c r="A77" s="224" t="s">
        <v>414</v>
      </c>
      <c r="B77" s="228"/>
      <c r="C77" s="228"/>
      <c r="D77" s="228"/>
      <c r="E77" s="228"/>
      <c r="F77" s="228"/>
      <c r="G77" s="228"/>
      <c r="H77" s="228"/>
      <c r="I77" s="228"/>
      <c r="J77" s="228"/>
      <c r="K77" s="228"/>
      <c r="L77" s="228"/>
      <c r="M77" s="228"/>
      <c r="N77" s="228"/>
      <c r="O77" s="228"/>
    </row>
    <row r="78" spans="1:15" ht="13.5" customHeight="1">
      <c r="A78" s="228"/>
      <c r="B78" s="20" t="s">
        <v>249</v>
      </c>
      <c r="C78" s="20"/>
      <c r="D78" s="238">
        <f>D21*(1-D$102)+'Segment EBITDA'!D29-'Segment EBITDA'!D50</f>
        <v>197.50915468099913</v>
      </c>
      <c r="E78" s="238">
        <f>E21*(1-E$102)+'Segment EBITDA'!E29-'Segment EBITDA'!E50</f>
        <v>341.60450047325492</v>
      </c>
      <c r="F78" s="238">
        <f>F21*(1-F$102)+'Segment EBITDA'!F29-'Segment EBITDA'!F50</f>
        <v>345.84699385412796</v>
      </c>
      <c r="G78" s="238">
        <f>G21*(1-G$102)+'Segment EBITDA'!G29-'Segment EBITDA'!G50</f>
        <v>1543.0968085238228</v>
      </c>
      <c r="H78" s="238">
        <f>H21*(1-H$102)+'Segment EBITDA'!H29-'Segment EBITDA'!H50</f>
        <v>1574.4029766835663</v>
      </c>
      <c r="I78" s="238">
        <f>I21*(1-I$102)+'Segment EBITDA'!I29-'Segment EBITDA'!I50</f>
        <v>2226.145</v>
      </c>
      <c r="J78" s="238">
        <f>J21*(1-J$102)+'Segment EBITDA'!J29-'Segment EBITDA'!J50</f>
        <v>1808.2410759999793</v>
      </c>
      <c r="K78" s="238">
        <f>K21*(1-K$102)+'Segment EBITDA'!K29-'Segment EBITDA'!K50</f>
        <v>1951.8604186081736</v>
      </c>
      <c r="L78" s="238">
        <f>L21*(1-L$102)+'Segment EBITDA'!L29-'Segment EBITDA'!L50</f>
        <v>-60.304585557686693</v>
      </c>
      <c r="M78" s="238">
        <f>M21*(1-M$102)+'Segment EBITDA'!M29-'Segment EBITDA'!M50</f>
        <v>782.71081759558319</v>
      </c>
      <c r="N78" s="238">
        <f>N21*(1-N$102)+'Segment EBITDA'!N29-'Segment EBITDA'!N50</f>
        <v>1363.7937826452471</v>
      </c>
      <c r="O78" s="238">
        <f>O21*(1-O$102)+'Segment EBITDA'!O29-'Segment EBITDA'!O50</f>
        <v>807.0773249747167</v>
      </c>
    </row>
    <row r="79" spans="1:15" ht="13.5" customHeight="1">
      <c r="A79" s="228"/>
      <c r="B79" s="20" t="s">
        <v>254</v>
      </c>
      <c r="C79" s="20"/>
      <c r="D79" s="238">
        <f>D22*(1-D$102)+'Segment EBITDA'!D30-'Segment EBITDA'!D51</f>
        <v>61.719817249936256</v>
      </c>
      <c r="E79" s="238">
        <f>E22*(1-E$102)+'Segment EBITDA'!E30-'Segment EBITDA'!E51</f>
        <v>-0.29434862988366639</v>
      </c>
      <c r="F79" s="238">
        <f>F22*(1-F$102)+'Segment EBITDA'!F30-'Segment EBITDA'!F51</f>
        <v>-10.04063167116497</v>
      </c>
      <c r="G79" s="238">
        <f>G22*(1-G$102)+'Segment EBITDA'!G30-'Segment EBITDA'!G51</f>
        <v>106.94724524924264</v>
      </c>
      <c r="H79" s="238">
        <f>H22*(1-H$102)+'Segment EBITDA'!H30-'Segment EBITDA'!H51</f>
        <v>118.24841237803714</v>
      </c>
      <c r="I79" s="238">
        <f>I22*(1-I$102)+'Segment EBITDA'!I30-'Segment EBITDA'!I51</f>
        <v>125.81610000000002</v>
      </c>
      <c r="J79" s="238">
        <f>J22*(1-J$102)+'Segment EBITDA'!J30-'Segment EBITDA'!J51</f>
        <v>162.1121663189567</v>
      </c>
      <c r="K79" s="238">
        <f>K22*(1-K$102)+'Segment EBITDA'!K30-'Segment EBITDA'!K51</f>
        <v>205.41366092238633</v>
      </c>
      <c r="L79" s="238">
        <f>L22*(1-L$102)+'Segment EBITDA'!L30-'Segment EBITDA'!L51</f>
        <v>-3.533845817893706</v>
      </c>
      <c r="M79" s="238">
        <f>M22*(1-M$102)+'Segment EBITDA'!M30-'Segment EBITDA'!M51</f>
        <v>-55.342717875250372</v>
      </c>
      <c r="N79" s="238">
        <f>N22*(1-N$102)+'Segment EBITDA'!N30-'Segment EBITDA'!N51</f>
        <v>29.598860393911735</v>
      </c>
      <c r="O79" s="238">
        <f>O22*(1-O$102)+'Segment EBITDA'!O30-'Segment EBITDA'!O51</f>
        <v>71.205642134760438</v>
      </c>
    </row>
    <row r="80" spans="1:15" ht="13.5" customHeight="1">
      <c r="A80" s="228"/>
      <c r="B80" s="20" t="s">
        <v>491</v>
      </c>
      <c r="C80" s="20"/>
      <c r="D80" s="238">
        <v>0</v>
      </c>
      <c r="E80" s="238">
        <v>0</v>
      </c>
      <c r="F80" s="238">
        <v>0</v>
      </c>
      <c r="G80" s="238">
        <v>0</v>
      </c>
      <c r="H80" s="238">
        <v>0</v>
      </c>
      <c r="I80" s="238">
        <v>0</v>
      </c>
      <c r="J80" s="238">
        <v>0</v>
      </c>
      <c r="K80" s="238">
        <f>K23*(1-K$102)+'Segment EBITDA'!K31-'Segment EBITDA'!K52</f>
        <v>39.644737688870805</v>
      </c>
      <c r="L80" s="238">
        <f>L23*(1-L$102)+'Segment EBITDA'!L31-'Segment EBITDA'!L52</f>
        <v>-50.984108363246371</v>
      </c>
      <c r="M80" s="238">
        <f>M23*(1-M$102)+'Segment EBITDA'!M31-'Segment EBITDA'!M52</f>
        <v>62.999949573281867</v>
      </c>
      <c r="N80" s="238">
        <f>N23*(1-N$102)+'Segment EBITDA'!N31-'Segment EBITDA'!N52</f>
        <v>-21.592009505958373</v>
      </c>
      <c r="O80" s="238">
        <f>O23*(1-O$102)+'Segment EBITDA'!O31-'Segment EBITDA'!O52</f>
        <v>-424.07738175382411</v>
      </c>
    </row>
    <row r="81" spans="1:15" ht="6.2" customHeight="1">
      <c r="A81" s="228"/>
      <c r="B81" s="20"/>
      <c r="C81" s="20"/>
      <c r="D81" s="241"/>
      <c r="E81" s="241"/>
      <c r="F81" s="241"/>
      <c r="G81" s="241"/>
      <c r="H81" s="241"/>
      <c r="I81" s="241"/>
      <c r="J81" s="241"/>
      <c r="K81" s="241"/>
      <c r="L81" s="241"/>
      <c r="M81" s="241"/>
      <c r="N81" s="241"/>
      <c r="O81" s="241"/>
    </row>
    <row r="82" spans="1:15" ht="13.5" customHeight="1">
      <c r="A82" s="224" t="s">
        <v>324</v>
      </c>
      <c r="B82" s="228"/>
      <c r="C82" s="228"/>
      <c r="D82" s="114"/>
      <c r="E82" s="114"/>
      <c r="F82" s="114"/>
      <c r="G82" s="114"/>
      <c r="H82" s="114"/>
      <c r="I82" s="114"/>
      <c r="J82" s="114"/>
      <c r="K82" s="114"/>
      <c r="L82" s="114"/>
      <c r="M82" s="114"/>
      <c r="N82" s="114"/>
      <c r="O82" s="114"/>
    </row>
    <row r="83" spans="1:15" ht="13.5" customHeight="1">
      <c r="A83" s="228"/>
      <c r="B83" s="20" t="s">
        <v>249</v>
      </c>
      <c r="C83" s="20"/>
      <c r="D83" s="114">
        <f t="shared" ref="D83:N83" si="20">D78/D14</f>
        <v>5.7254911317874767E-2</v>
      </c>
      <c r="E83" s="114">
        <f t="shared" si="20"/>
        <v>8.4085410678928912E-2</v>
      </c>
      <c r="F83" s="114">
        <f t="shared" si="20"/>
        <v>6.3503292129274247E-2</v>
      </c>
      <c r="G83" s="114">
        <f t="shared" si="20"/>
        <v>0.15263934846216085</v>
      </c>
      <c r="H83" s="114">
        <f t="shared" si="20"/>
        <v>0.14230372121932711</v>
      </c>
      <c r="I83" s="114">
        <f t="shared" si="20"/>
        <v>0.17091162977885122</v>
      </c>
      <c r="J83" s="114">
        <f t="shared" si="20"/>
        <v>0.13584345858213207</v>
      </c>
      <c r="K83" s="114">
        <f t="shared" si="20"/>
        <v>0.11845322635822365</v>
      </c>
      <c r="L83" s="114">
        <f t="shared" si="20"/>
        <v>-8.4230022322312886E-3</v>
      </c>
      <c r="M83" s="114">
        <f t="shared" si="20"/>
        <v>7.2067775882680693E-2</v>
      </c>
      <c r="N83" s="114">
        <f t="shared" si="20"/>
        <v>9.7691249877437464E-2</v>
      </c>
      <c r="O83" s="114">
        <f>O78/O14</f>
        <v>6.0600580942058536E-2</v>
      </c>
    </row>
    <row r="84" spans="1:15" ht="13.5" customHeight="1">
      <c r="A84" s="228"/>
      <c r="B84" s="20" t="s">
        <v>254</v>
      </c>
      <c r="C84" s="20"/>
      <c r="D84" s="114">
        <f t="shared" ref="D84:N84" si="21">D79/D15</f>
        <v>6.9813970600238986E-2</v>
      </c>
      <c r="E84" s="114">
        <f t="shared" si="21"/>
        <v>-3.9820584842432147E-4</v>
      </c>
      <c r="F84" s="114">
        <f t="shared" si="21"/>
        <v>-1.224921394171128E-2</v>
      </c>
      <c r="G84" s="114">
        <f t="shared" si="21"/>
        <v>8.4383315461475122E-2</v>
      </c>
      <c r="H84" s="114">
        <f t="shared" si="21"/>
        <v>7.2220797901224529E-2</v>
      </c>
      <c r="I84" s="114">
        <f t="shared" si="21"/>
        <v>7.288840405828706E-2</v>
      </c>
      <c r="J84" s="114">
        <f t="shared" si="21"/>
        <v>5.3122826197174997E-2</v>
      </c>
      <c r="K84" s="114">
        <f t="shared" si="21"/>
        <v>4.7335528256644346E-2</v>
      </c>
      <c r="L84" s="114">
        <f t="shared" si="21"/>
        <v>-1.3130520308954877E-3</v>
      </c>
      <c r="M84" s="114">
        <f t="shared" si="21"/>
        <v>-1.9547379891505845E-2</v>
      </c>
      <c r="N84" s="114">
        <f t="shared" si="21"/>
        <v>8.6256583565482454E-3</v>
      </c>
      <c r="O84" s="114">
        <f>O79/O15</f>
        <v>1.9047187040261666E-2</v>
      </c>
    </row>
    <row r="85" spans="1:15" ht="13.5" customHeight="1">
      <c r="A85" s="228"/>
      <c r="B85" s="20" t="s">
        <v>491</v>
      </c>
      <c r="C85" s="20"/>
      <c r="D85" s="238">
        <v>0</v>
      </c>
      <c r="E85" s="238">
        <v>0</v>
      </c>
      <c r="F85" s="238">
        <v>0</v>
      </c>
      <c r="G85" s="238">
        <v>0</v>
      </c>
      <c r="H85" s="238">
        <v>0</v>
      </c>
      <c r="I85" s="238">
        <v>0</v>
      </c>
      <c r="J85" s="238">
        <v>0</v>
      </c>
      <c r="K85" s="114">
        <f>K80/K16</f>
        <v>1.6497503277621717E-2</v>
      </c>
      <c r="L85" s="114">
        <f>L80/L16</f>
        <v>-4.7340587394979192E-2</v>
      </c>
      <c r="M85" s="114">
        <f>M80/M16</f>
        <v>3.4723553210736238E-2</v>
      </c>
      <c r="N85" s="114">
        <f>N80/N16</f>
        <v>-1.0144757004684934E-2</v>
      </c>
      <c r="O85" s="114">
        <f>O80/O16</f>
        <v>-0.22213529539065585</v>
      </c>
    </row>
    <row r="86" spans="1:15" ht="6.2" customHeight="1">
      <c r="A86" s="228"/>
      <c r="B86" s="228"/>
      <c r="C86" s="228"/>
      <c r="D86" s="228"/>
      <c r="E86" s="228"/>
      <c r="F86" s="228"/>
      <c r="G86" s="228"/>
      <c r="H86" s="228"/>
      <c r="I86" s="228"/>
      <c r="J86" s="228"/>
      <c r="K86" s="228"/>
      <c r="L86" s="228"/>
      <c r="M86" s="228"/>
      <c r="N86" s="228"/>
      <c r="O86" s="228"/>
    </row>
    <row r="87" spans="1:15" ht="13.5" customHeight="1">
      <c r="A87" s="228"/>
      <c r="B87" s="71" t="s">
        <v>323</v>
      </c>
      <c r="C87" s="228"/>
      <c r="D87" s="228"/>
      <c r="E87" s="228"/>
      <c r="F87" s="228"/>
      <c r="G87" s="228"/>
      <c r="H87" s="228"/>
      <c r="I87" s="228"/>
      <c r="J87" s="228"/>
      <c r="K87" s="228"/>
      <c r="L87" s="228"/>
      <c r="M87" s="228"/>
      <c r="N87" s="228"/>
      <c r="O87" s="228"/>
    </row>
    <row r="88" spans="1:15" ht="13.5" customHeight="1">
      <c r="A88" s="228"/>
      <c r="B88" s="20" t="s">
        <v>249</v>
      </c>
      <c r="C88" s="228"/>
      <c r="D88" s="245"/>
      <c r="E88" s="245"/>
      <c r="F88" s="245"/>
      <c r="G88" s="245"/>
      <c r="H88" s="245">
        <f t="shared" ref="H88:O89" si="22">AVERAGE(D83:H83)</f>
        <v>9.9957336761513166E-2</v>
      </c>
      <c r="I88" s="245">
        <f t="shared" si="22"/>
        <v>0.12268868045370847</v>
      </c>
      <c r="J88" s="245">
        <f t="shared" si="22"/>
        <v>0.13304029003434908</v>
      </c>
      <c r="K88" s="245">
        <f t="shared" si="22"/>
        <v>0.14403027688013897</v>
      </c>
      <c r="L88" s="245">
        <f t="shared" si="22"/>
        <v>0.11181780674126056</v>
      </c>
      <c r="M88" s="245">
        <f t="shared" si="22"/>
        <v>9.7770617673931276E-2</v>
      </c>
      <c r="N88" s="245">
        <f t="shared" si="22"/>
        <v>8.3126541693648526E-2</v>
      </c>
      <c r="O88" s="245">
        <f t="shared" si="22"/>
        <v>6.8077966165633816E-2</v>
      </c>
    </row>
    <row r="89" spans="1:15" ht="13.5" customHeight="1">
      <c r="A89" s="228"/>
      <c r="B89" s="20" t="s">
        <v>254</v>
      </c>
      <c r="C89" s="228"/>
      <c r="D89" s="245"/>
      <c r="E89" s="245"/>
      <c r="F89" s="245"/>
      <c r="G89" s="245"/>
      <c r="H89" s="245">
        <f t="shared" si="22"/>
        <v>4.2754132834560608E-2</v>
      </c>
      <c r="I89" s="245">
        <f t="shared" si="22"/>
        <v>4.336901952617022E-2</v>
      </c>
      <c r="J89" s="245">
        <f t="shared" si="22"/>
        <v>5.4073225935290091E-2</v>
      </c>
      <c r="K89" s="245">
        <f t="shared" si="22"/>
        <v>6.5990174374961214E-2</v>
      </c>
      <c r="L89" s="245">
        <f t="shared" si="22"/>
        <v>4.8850900876487094E-2</v>
      </c>
      <c r="M89" s="245">
        <f t="shared" si="22"/>
        <v>3.0497265317941013E-2</v>
      </c>
      <c r="N89" s="245">
        <f t="shared" si="22"/>
        <v>1.764471617759325E-2</v>
      </c>
      <c r="O89" s="245">
        <f t="shared" si="22"/>
        <v>1.0829588346210584E-2</v>
      </c>
    </row>
    <row r="90" spans="1:15" ht="13.5" customHeight="1">
      <c r="A90" s="228"/>
      <c r="B90" s="20" t="s">
        <v>491</v>
      </c>
      <c r="C90" s="228"/>
      <c r="D90" s="245"/>
      <c r="E90" s="245"/>
      <c r="F90" s="245"/>
      <c r="G90" s="245"/>
      <c r="H90" s="238">
        <v>0</v>
      </c>
      <c r="I90" s="238">
        <v>0</v>
      </c>
      <c r="J90" s="238">
        <v>0</v>
      </c>
      <c r="K90" s="245">
        <f>AVERAGE(G85:K85)</f>
        <v>3.2995006555243435E-3</v>
      </c>
      <c r="L90" s="245">
        <f>AVERAGE(H85:L85)</f>
        <v>-6.168616823471495E-3</v>
      </c>
      <c r="M90" s="245">
        <f>AVERAGE(I85:M85)</f>
        <v>7.7609381867575278E-4</v>
      </c>
      <c r="N90" s="245">
        <f>AVERAGE(J85:N85)</f>
        <v>-1.252857582261234E-3</v>
      </c>
      <c r="O90" s="245">
        <f>AVERAGE(K85:O85)</f>
        <v>-4.5679916660392408E-2</v>
      </c>
    </row>
    <row r="91" spans="1:15" ht="6.2" customHeight="1">
      <c r="A91" s="228"/>
      <c r="B91" s="228"/>
      <c r="C91" s="228"/>
      <c r="D91" s="228"/>
      <c r="E91" s="228"/>
      <c r="F91" s="228"/>
      <c r="G91" s="228"/>
      <c r="H91" s="228"/>
      <c r="I91" s="228"/>
      <c r="J91" s="228"/>
      <c r="K91" s="228"/>
      <c r="L91" s="228"/>
      <c r="M91" s="228"/>
      <c r="N91" s="228"/>
      <c r="O91" s="228"/>
    </row>
    <row r="92" spans="1:15" ht="13.5" customHeight="1">
      <c r="A92" s="224" t="s">
        <v>325</v>
      </c>
      <c r="B92" s="228"/>
      <c r="C92" s="228"/>
      <c r="D92" s="228"/>
      <c r="E92" s="228"/>
      <c r="F92" s="228"/>
      <c r="G92" s="228"/>
      <c r="H92" s="228"/>
      <c r="I92" s="228"/>
      <c r="J92" s="228"/>
      <c r="K92" s="228"/>
      <c r="L92" s="228"/>
      <c r="M92" s="228"/>
      <c r="N92" s="228"/>
      <c r="O92" s="228"/>
    </row>
    <row r="93" spans="1:15" ht="13.5" customHeight="1">
      <c r="A93" s="228"/>
      <c r="B93" s="20" t="s">
        <v>249</v>
      </c>
      <c r="C93" s="20"/>
      <c r="D93" s="114">
        <f t="shared" ref="D93:L93" si="23">D50/D29</f>
        <v>0.75383201714095482</v>
      </c>
      <c r="E93" s="114">
        <f t="shared" si="23"/>
        <v>0.82224172294932207</v>
      </c>
      <c r="F93" s="114">
        <f t="shared" si="23"/>
        <v>0.58108373587260487</v>
      </c>
      <c r="G93" s="114">
        <f t="shared" si="23"/>
        <v>0.66248842285867271</v>
      </c>
      <c r="H93" s="114">
        <f t="shared" si="23"/>
        <v>0.60706628789475314</v>
      </c>
      <c r="I93" s="114">
        <f t="shared" si="23"/>
        <v>0.56653774281865188</v>
      </c>
      <c r="J93" s="114">
        <f t="shared" si="23"/>
        <v>1.1588348207677726</v>
      </c>
      <c r="K93" s="114">
        <f t="shared" si="23"/>
        <v>2.1390691740167531</v>
      </c>
      <c r="L93" s="114">
        <f t="shared" si="23"/>
        <v>0.60786547601096841</v>
      </c>
      <c r="M93" s="114">
        <f t="shared" ref="M93:N95" si="24">M50/M29</f>
        <v>0.50236296935692704</v>
      </c>
      <c r="N93" s="114">
        <f t="shared" si="24"/>
        <v>0.48705858316486733</v>
      </c>
      <c r="O93" s="114"/>
    </row>
    <row r="94" spans="1:15" ht="13.5" customHeight="1">
      <c r="A94" s="228"/>
      <c r="B94" s="20" t="s">
        <v>254</v>
      </c>
      <c r="C94" s="20"/>
      <c r="D94" s="114">
        <f t="shared" ref="D94:L94" si="25">D51/D30</f>
        <v>1</v>
      </c>
      <c r="E94" s="114">
        <f t="shared" si="25"/>
        <v>1</v>
      </c>
      <c r="F94" s="114">
        <f t="shared" si="25"/>
        <v>0.79405874499332441</v>
      </c>
      <c r="G94" s="114">
        <f t="shared" si="25"/>
        <v>0.41968522161786831</v>
      </c>
      <c r="H94" s="114">
        <f t="shared" si="25"/>
        <v>0.95883549851306926</v>
      </c>
      <c r="I94" s="114">
        <f t="shared" si="25"/>
        <v>0.931237416757008</v>
      </c>
      <c r="J94" s="114">
        <f t="shared" si="25"/>
        <v>1.6404408693915347</v>
      </c>
      <c r="K94" s="114">
        <f t="shared" si="25"/>
        <v>0.87949634630909068</v>
      </c>
      <c r="L94" s="114">
        <f t="shared" si="25"/>
        <v>0.38098953319890977</v>
      </c>
      <c r="M94" s="114">
        <f t="shared" si="24"/>
        <v>0.21498578256397846</v>
      </c>
      <c r="N94" s="114">
        <f t="shared" si="24"/>
        <v>0.22733250013584741</v>
      </c>
      <c r="O94" s="114"/>
    </row>
    <row r="95" spans="1:15" ht="13.5" customHeight="1">
      <c r="A95" s="228"/>
      <c r="B95" s="20" t="s">
        <v>491</v>
      </c>
      <c r="C95" s="20"/>
      <c r="D95" s="114"/>
      <c r="E95" s="114"/>
      <c r="F95" s="114"/>
      <c r="G95" s="114"/>
      <c r="H95" s="238">
        <v>0</v>
      </c>
      <c r="I95" s="238">
        <v>0</v>
      </c>
      <c r="J95" s="238">
        <v>0</v>
      </c>
      <c r="K95" s="114">
        <f>K52/K31</f>
        <v>1.7243103391810313</v>
      </c>
      <c r="L95" s="114">
        <f>L52/L31</f>
        <v>1.0649225810707657</v>
      </c>
      <c r="M95" s="114">
        <f t="shared" si="24"/>
        <v>1.1744959535949853</v>
      </c>
      <c r="N95" s="114">
        <f t="shared" si="24"/>
        <v>2.036583239945212</v>
      </c>
      <c r="O95" s="114"/>
    </row>
    <row r="96" spans="1:15" ht="6.2" customHeight="1">
      <c r="A96" s="228"/>
      <c r="B96" s="20"/>
      <c r="C96" s="20"/>
      <c r="D96" s="114"/>
      <c r="E96" s="114"/>
      <c r="F96" s="114"/>
      <c r="G96" s="114"/>
      <c r="H96" s="114"/>
      <c r="I96" s="114"/>
      <c r="J96" s="114"/>
      <c r="K96" s="114"/>
      <c r="L96" s="114"/>
      <c r="M96" s="114"/>
      <c r="N96" s="114"/>
      <c r="O96" s="114"/>
    </row>
    <row r="97" spans="1:15" ht="13.5" customHeight="1">
      <c r="A97" s="228"/>
      <c r="B97" s="71" t="s">
        <v>323</v>
      </c>
      <c r="C97" s="228"/>
      <c r="D97" s="228"/>
      <c r="E97" s="228"/>
      <c r="F97" s="228"/>
      <c r="G97" s="228"/>
      <c r="H97" s="228"/>
      <c r="I97" s="228"/>
      <c r="J97" s="228"/>
      <c r="K97" s="228"/>
      <c r="L97" s="228"/>
      <c r="M97" s="228"/>
      <c r="N97" s="228"/>
      <c r="O97" s="228"/>
    </row>
    <row r="98" spans="1:15" ht="13.5" customHeight="1">
      <c r="A98" s="228"/>
      <c r="B98" s="20" t="s">
        <v>249</v>
      </c>
      <c r="C98" s="228"/>
      <c r="D98" s="245"/>
      <c r="E98" s="245"/>
      <c r="F98" s="245"/>
      <c r="G98" s="245"/>
      <c r="H98" s="245">
        <f t="shared" ref="H98:N99" si="26">AVERAGE(D93:H93)</f>
        <v>0.6853424373432615</v>
      </c>
      <c r="I98" s="245">
        <f t="shared" si="26"/>
        <v>0.64788358247880085</v>
      </c>
      <c r="J98" s="245">
        <f t="shared" si="26"/>
        <v>0.71520220204249108</v>
      </c>
      <c r="K98" s="245">
        <f t="shared" si="26"/>
        <v>1.0267992896713207</v>
      </c>
      <c r="L98" s="245">
        <f t="shared" si="26"/>
        <v>1.0158747003017798</v>
      </c>
      <c r="M98" s="245">
        <f t="shared" si="26"/>
        <v>0.99493403659421453</v>
      </c>
      <c r="N98" s="245">
        <f t="shared" si="26"/>
        <v>0.97903820466345781</v>
      </c>
      <c r="O98" s="245"/>
    </row>
    <row r="99" spans="1:15" ht="13.5" customHeight="1">
      <c r="A99" s="228"/>
      <c r="B99" s="20" t="s">
        <v>254</v>
      </c>
      <c r="C99" s="228"/>
      <c r="D99" s="245"/>
      <c r="E99" s="245"/>
      <c r="F99" s="245"/>
      <c r="G99" s="245"/>
      <c r="H99" s="245">
        <f t="shared" si="26"/>
        <v>0.83451589302485252</v>
      </c>
      <c r="I99" s="245">
        <f t="shared" si="26"/>
        <v>0.82076337637625407</v>
      </c>
      <c r="J99" s="245">
        <f t="shared" si="26"/>
        <v>0.94885155025456103</v>
      </c>
      <c r="K99" s="245">
        <f t="shared" si="26"/>
        <v>0.96593907051771422</v>
      </c>
      <c r="L99" s="245">
        <f t="shared" si="26"/>
        <v>0.95819993283392235</v>
      </c>
      <c r="M99" s="245">
        <f t="shared" si="26"/>
        <v>0.8094299896441044</v>
      </c>
      <c r="N99" s="245">
        <f t="shared" si="26"/>
        <v>0.66864900631987223</v>
      </c>
      <c r="O99" s="245"/>
    </row>
    <row r="100" spans="1:15" ht="13.5" customHeight="1">
      <c r="A100" s="222"/>
      <c r="B100" s="20" t="s">
        <v>491</v>
      </c>
      <c r="C100" s="222"/>
      <c r="D100" s="222"/>
      <c r="E100" s="222"/>
      <c r="F100" s="222"/>
      <c r="G100" s="222"/>
      <c r="H100" s="238">
        <v>0</v>
      </c>
      <c r="I100" s="238">
        <v>0</v>
      </c>
      <c r="J100" s="238">
        <v>0</v>
      </c>
      <c r="K100" s="245">
        <f>AVERAGE(G95:K95)</f>
        <v>0.43107758479525782</v>
      </c>
      <c r="L100" s="245">
        <f>AVERAGE(H95:L95)</f>
        <v>0.55784658405035936</v>
      </c>
      <c r="M100" s="245">
        <f>AVERAGE(I95:M95)</f>
        <v>0.79274577476935648</v>
      </c>
      <c r="N100" s="245">
        <f>AVERAGE(J95:N95)</f>
        <v>1.2000624227583987</v>
      </c>
      <c r="O100" s="245"/>
    </row>
    <row r="101" spans="1:15" ht="6.2" customHeight="1"/>
    <row r="102" spans="1:15" ht="13.5" customHeight="1">
      <c r="A102" s="495" t="s">
        <v>233</v>
      </c>
      <c r="D102" s="809">
        <v>0.37279870697440498</v>
      </c>
      <c r="E102" s="808">
        <f>Financials!$N$52</f>
        <v>0.27765257495621543</v>
      </c>
      <c r="F102" s="245">
        <f>Financials!$S$52</f>
        <v>4.0854852654594431E-2</v>
      </c>
      <c r="G102" s="245">
        <f>Financials!$X$52</f>
        <v>0.35219406958597271</v>
      </c>
      <c r="H102" s="245">
        <f>Financials!$AC$52</f>
        <v>0.35017696575473495</v>
      </c>
      <c r="I102" s="245">
        <f>Financials!$AH$52</f>
        <v>0.35</v>
      </c>
      <c r="J102" s="245">
        <f>Financials!$AM$52</f>
        <v>0.3467637680484088</v>
      </c>
      <c r="K102" s="245">
        <f>Financials!$AR$52</f>
        <v>0.34460916804427966</v>
      </c>
      <c r="L102" s="245">
        <f>Financials!$AW$52</f>
        <v>0.42707583494775087</v>
      </c>
      <c r="M102" s="245">
        <f>Financials!$BB$52</f>
        <v>0.23200476336538972</v>
      </c>
      <c r="N102" s="245">
        <f>Financials!$BG$52</f>
        <v>0.31159982074104597</v>
      </c>
      <c r="O102" s="245">
        <f>Financials!$BL$52</f>
        <v>0.30901458008512067</v>
      </c>
    </row>
    <row r="103" spans="1:15" ht="13.5" customHeight="1"/>
  </sheetData>
  <customSheetViews>
    <customSheetView guid="{08BAB49F-44A8-4F04-A2E3-24B12C6D0857}" showGridLines="0" fitToPage="1">
      <pane xSplit="3" ySplit="6" topLeftCell="D7" activePane="bottomRight" state="frozen"/>
      <selection pane="bottomRight"/>
      <rowBreaks count="1" manualBreakCount="1">
        <brk id="62" max="13" man="1"/>
      </rowBreaks>
      <pageMargins left="0.75" right="0.75" top="1" bottom="1" header="0.5" footer="0.5"/>
      <pageSetup scale="77" orientation="portrait" horizontalDpi="300" verticalDpi="300" r:id="rId1"/>
      <headerFooter alignWithMargins="0"/>
    </customSheetView>
    <customSheetView guid="{4482C16F-8DC0-49F3-9E1F-335117126152}" showGridLines="0" fitToPage="1">
      <pane xSplit="3" ySplit="6" topLeftCell="D7" activePane="bottomRight" state="frozen"/>
      <selection pane="bottomRight"/>
      <rowBreaks count="1" manualBreakCount="1">
        <brk id="62" max="13" man="1"/>
      </rowBreaks>
      <pageMargins left="0.75" right="0.75" top="1" bottom="1" header="0.5" footer="0.5"/>
      <pageSetup scale="77" orientation="portrait" horizontalDpi="300" verticalDpi="300" r:id="rId2"/>
      <headerFooter alignWithMargins="0"/>
    </customSheetView>
  </customSheetViews>
  <phoneticPr fontId="7" type="noConversion"/>
  <pageMargins left="0.75" right="0.75" top="1" bottom="1" header="0.5" footer="0.5"/>
  <pageSetup scale="58" orientation="portrait" horizontalDpi="300" verticalDpi="300" r:id="rId3"/>
  <headerFooter alignWithMargins="0"/>
  <rowBreaks count="1" manualBreakCount="1">
    <brk id="62" max="13" man="1"/>
  </rowBreaks>
  <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7">
    <tabColor theme="0" tint="-0.499984740745262"/>
    <pageSetUpPr fitToPage="1"/>
  </sheetPr>
  <dimension ref="A1:T65"/>
  <sheetViews>
    <sheetView showGridLines="0" zoomScaleNormal="100" workbookViewId="0">
      <pane ySplit="7" topLeftCell="A8" activePane="bottomLeft" state="frozen"/>
      <selection pane="bottomLeft"/>
    </sheetView>
  </sheetViews>
  <sheetFormatPr defaultRowHeight="12.75" outlineLevelRow="1"/>
  <cols>
    <col min="1" max="1" width="1.7109375" customWidth="1"/>
    <col min="2" max="2" width="25.5703125" customWidth="1"/>
    <col min="3" max="3" width="28.7109375" bestFit="1" customWidth="1"/>
    <col min="4" max="4" width="10.42578125" bestFit="1" customWidth="1"/>
    <col min="5" max="5" width="2.42578125" customWidth="1"/>
    <col min="6" max="10" width="6.7109375" customWidth="1"/>
    <col min="11" max="11" width="1.7109375" customWidth="1"/>
    <col min="12" max="16" width="6.7109375" customWidth="1"/>
    <col min="17" max="17" width="1.42578125" customWidth="1"/>
    <col min="18" max="18" width="6.5703125" bestFit="1" customWidth="1"/>
    <col min="19" max="19" width="7" customWidth="1"/>
    <col min="20" max="20" width="5.140625" customWidth="1"/>
    <col min="21" max="21" width="3.7109375" customWidth="1"/>
    <col min="22" max="22" width="9.5703125" customWidth="1"/>
    <col min="23" max="23" width="9.7109375" customWidth="1"/>
  </cols>
  <sheetData>
    <row r="1" spans="1:20" ht="15.75">
      <c r="A1" s="258" t="s">
        <v>565</v>
      </c>
      <c r="B1" s="258"/>
      <c r="C1" s="258"/>
      <c r="D1" s="222"/>
      <c r="E1" s="222"/>
      <c r="F1" s="222"/>
      <c r="G1" s="222"/>
      <c r="H1" s="222"/>
      <c r="I1" s="222"/>
      <c r="J1" s="222"/>
      <c r="K1" s="222"/>
      <c r="L1" s="222"/>
      <c r="M1" s="222"/>
      <c r="N1" s="222"/>
      <c r="O1" s="222"/>
      <c r="P1" s="222"/>
      <c r="Q1" s="222"/>
      <c r="R1" s="222"/>
      <c r="S1" s="222"/>
      <c r="T1" s="222"/>
    </row>
    <row r="2" spans="1:20" ht="15.75">
      <c r="A2" s="258" t="s">
        <v>430</v>
      </c>
      <c r="B2" s="258"/>
      <c r="C2" s="258"/>
      <c r="D2" s="222"/>
      <c r="E2" s="222"/>
      <c r="F2" s="222"/>
      <c r="G2" s="222"/>
      <c r="H2" s="259"/>
      <c r="I2" s="222"/>
      <c r="J2" s="222"/>
      <c r="K2" s="222"/>
      <c r="L2" s="222"/>
      <c r="M2" s="222"/>
      <c r="N2" s="222"/>
      <c r="O2" s="222"/>
      <c r="P2" s="222"/>
      <c r="Q2" s="222"/>
      <c r="R2" s="222"/>
      <c r="S2" s="222"/>
      <c r="T2" s="260"/>
    </row>
    <row r="3" spans="1:20">
      <c r="A3" s="222"/>
      <c r="B3" s="222"/>
      <c r="C3" s="222"/>
      <c r="D3" s="222"/>
      <c r="E3" s="222"/>
      <c r="F3" s="222"/>
      <c r="G3" s="222"/>
      <c r="H3" s="222"/>
      <c r="I3" s="222"/>
      <c r="J3" s="222"/>
      <c r="K3" s="222"/>
      <c r="L3" s="222"/>
      <c r="M3" s="222"/>
      <c r="N3" s="222"/>
      <c r="O3" s="222"/>
      <c r="P3" s="222"/>
      <c r="Q3" s="222"/>
      <c r="R3" s="222"/>
      <c r="S3" s="222"/>
      <c r="T3" s="222"/>
    </row>
    <row r="4" spans="1:20" ht="13.5" thickBot="1">
      <c r="A4" s="229" t="s">
        <v>431</v>
      </c>
      <c r="B4" s="229"/>
      <c r="C4" s="229"/>
      <c r="D4" s="229"/>
      <c r="E4" s="229"/>
      <c r="F4" s="222"/>
      <c r="G4" s="222"/>
      <c r="H4" s="222"/>
      <c r="I4" s="222"/>
      <c r="J4" s="222"/>
      <c r="K4" s="222"/>
      <c r="L4" s="222"/>
      <c r="M4" s="222"/>
      <c r="N4" s="222"/>
      <c r="O4" s="222"/>
      <c r="P4" s="222"/>
      <c r="Q4" s="222"/>
      <c r="R4" s="222"/>
      <c r="S4" s="222"/>
      <c r="T4" s="222"/>
    </row>
    <row r="5" spans="1:20" ht="15.75" customHeight="1" thickBot="1">
      <c r="A5" s="1321" t="s">
        <v>150</v>
      </c>
      <c r="B5" s="1322"/>
      <c r="C5" s="1322"/>
      <c r="D5" s="1322"/>
      <c r="E5" s="1322"/>
      <c r="F5" s="1322"/>
      <c r="G5" s="1322"/>
      <c r="H5" s="1322"/>
      <c r="I5" s="1322"/>
      <c r="J5" s="1322"/>
      <c r="K5" s="1322"/>
      <c r="L5" s="1322"/>
      <c r="M5" s="1322"/>
      <c r="N5" s="1322"/>
      <c r="O5" s="1322"/>
      <c r="P5" s="1322"/>
      <c r="Q5" s="1322"/>
      <c r="R5" s="1322"/>
      <c r="S5" s="1322"/>
      <c r="T5" s="222"/>
    </row>
    <row r="6" spans="1:20" ht="13.5" thickBot="1">
      <c r="A6" s="222"/>
      <c r="B6" s="222"/>
      <c r="C6" s="222"/>
      <c r="D6" s="222"/>
      <c r="E6" s="222"/>
      <c r="F6" s="261" t="s">
        <v>432</v>
      </c>
      <c r="G6" s="261"/>
      <c r="H6" s="261"/>
      <c r="I6" s="261"/>
      <c r="J6" s="261"/>
      <c r="K6" s="262"/>
      <c r="L6" s="1323" t="s">
        <v>312</v>
      </c>
      <c r="M6" s="1323"/>
      <c r="N6" s="1323"/>
      <c r="O6" s="1323"/>
      <c r="P6" s="1324"/>
      <c r="Q6" s="232"/>
      <c r="R6" s="1323" t="s">
        <v>433</v>
      </c>
      <c r="S6" s="1323"/>
      <c r="T6" s="222"/>
    </row>
    <row r="7" spans="1:20" ht="45">
      <c r="A7" s="25" t="s">
        <v>434</v>
      </c>
      <c r="B7" s="25"/>
      <c r="C7" s="263" t="s">
        <v>435</v>
      </c>
      <c r="D7" s="264" t="s">
        <v>313</v>
      </c>
      <c r="E7" s="25"/>
      <c r="F7" s="265" t="s">
        <v>563</v>
      </c>
      <c r="G7" s="265" t="s">
        <v>464</v>
      </c>
      <c r="H7" s="265" t="s">
        <v>566</v>
      </c>
      <c r="I7" s="266" t="s">
        <v>72</v>
      </c>
      <c r="J7" s="266" t="s">
        <v>132</v>
      </c>
      <c r="K7" s="266"/>
      <c r="L7" s="266" t="s">
        <v>314</v>
      </c>
      <c r="M7" s="266" t="s">
        <v>443</v>
      </c>
      <c r="N7" s="266" t="s">
        <v>417</v>
      </c>
      <c r="O7" s="266" t="s">
        <v>126</v>
      </c>
      <c r="P7" s="266" t="s">
        <v>493</v>
      </c>
      <c r="Q7" s="265"/>
      <c r="R7" s="266" t="s">
        <v>469</v>
      </c>
      <c r="S7" s="265" t="s">
        <v>416</v>
      </c>
      <c r="T7" s="222" t="s">
        <v>148</v>
      </c>
    </row>
    <row r="8" spans="1:20">
      <c r="A8" s="25"/>
      <c r="B8" s="25"/>
      <c r="C8" s="263"/>
      <c r="D8" s="264"/>
      <c r="E8" s="25"/>
      <c r="F8" s="265"/>
      <c r="G8" s="265"/>
      <c r="H8" s="265"/>
      <c r="I8" s="266"/>
      <c r="J8" s="266"/>
      <c r="K8" s="266"/>
      <c r="L8" s="266"/>
      <c r="M8" s="266"/>
      <c r="N8" s="266"/>
      <c r="O8" s="266"/>
      <c r="P8" s="266"/>
      <c r="Q8" s="265"/>
      <c r="R8" s="265"/>
      <c r="S8" s="265"/>
      <c r="T8" s="222"/>
    </row>
    <row r="9" spans="1:20" ht="3" customHeight="1">
      <c r="A9" s="222"/>
      <c r="B9" s="222"/>
      <c r="C9" s="222"/>
      <c r="D9" s="222"/>
      <c r="E9" s="222"/>
      <c r="F9" s="267"/>
      <c r="G9" s="267"/>
      <c r="H9" s="267"/>
      <c r="I9" s="267"/>
      <c r="J9" s="267"/>
      <c r="K9" s="267"/>
      <c r="L9" s="267"/>
      <c r="M9" s="267"/>
      <c r="N9" s="267"/>
      <c r="O9" s="267"/>
      <c r="P9" s="267"/>
      <c r="Q9" s="267"/>
      <c r="R9" s="267"/>
      <c r="S9" s="267"/>
      <c r="T9" s="222"/>
    </row>
    <row r="10" spans="1:20">
      <c r="A10" s="222"/>
      <c r="B10" s="222" t="s">
        <v>73</v>
      </c>
      <c r="C10" s="222" t="s">
        <v>74</v>
      </c>
      <c r="D10" s="268">
        <v>0.79365600000000003</v>
      </c>
      <c r="E10" s="222"/>
      <c r="F10" s="267"/>
      <c r="G10" s="267"/>
      <c r="H10" s="267" t="s">
        <v>564</v>
      </c>
      <c r="I10" s="267"/>
      <c r="J10" s="267" t="s">
        <v>564</v>
      </c>
      <c r="K10" s="267"/>
      <c r="L10" s="267"/>
      <c r="M10" s="267"/>
      <c r="N10" s="267"/>
      <c r="O10" s="267"/>
      <c r="P10" s="267"/>
      <c r="Q10" s="267"/>
      <c r="R10" s="267"/>
      <c r="S10" s="267"/>
      <c r="T10" s="222"/>
    </row>
    <row r="11" spans="1:20">
      <c r="A11" s="222"/>
      <c r="B11" s="222" t="s">
        <v>412</v>
      </c>
      <c r="C11" s="222" t="s">
        <v>413</v>
      </c>
      <c r="D11" s="268">
        <v>0.99207000000000012</v>
      </c>
      <c r="E11" s="222"/>
      <c r="F11" s="267"/>
      <c r="G11" s="267"/>
      <c r="H11" s="267" t="s">
        <v>564</v>
      </c>
      <c r="I11" s="267"/>
      <c r="J11" s="267" t="s">
        <v>564</v>
      </c>
      <c r="K11" s="267"/>
      <c r="L11" s="267"/>
      <c r="M11" s="267"/>
      <c r="N11" s="267" t="s">
        <v>564</v>
      </c>
      <c r="O11" s="267" t="s">
        <v>564</v>
      </c>
      <c r="P11" s="267"/>
      <c r="Q11" s="267"/>
      <c r="R11" s="267"/>
      <c r="S11" s="267"/>
      <c r="T11" s="222"/>
    </row>
    <row r="12" spans="1:20">
      <c r="A12" s="222"/>
      <c r="B12" s="222" t="s">
        <v>447</v>
      </c>
      <c r="C12" s="222" t="s">
        <v>448</v>
      </c>
      <c r="D12" s="268">
        <v>0.99207000000000012</v>
      </c>
      <c r="E12" s="222"/>
      <c r="F12" s="267"/>
      <c r="G12" s="267"/>
      <c r="H12" s="267" t="s">
        <v>564</v>
      </c>
      <c r="I12" s="267"/>
      <c r="J12" s="267"/>
      <c r="K12" s="267"/>
      <c r="L12" s="267"/>
      <c r="M12" s="267"/>
      <c r="N12" s="267"/>
      <c r="O12" s="267"/>
      <c r="P12" s="267"/>
      <c r="Q12" s="267"/>
      <c r="R12" s="267"/>
      <c r="S12" s="267"/>
      <c r="T12" s="222"/>
    </row>
    <row r="13" spans="1:20">
      <c r="A13" s="222"/>
      <c r="B13" s="222" t="s">
        <v>146</v>
      </c>
      <c r="C13" s="222" t="s">
        <v>309</v>
      </c>
      <c r="D13" s="268">
        <v>0.99207000000000012</v>
      </c>
      <c r="E13" s="222"/>
      <c r="F13" s="267"/>
      <c r="G13" s="267"/>
      <c r="H13" s="267" t="s">
        <v>564</v>
      </c>
      <c r="I13" s="267"/>
      <c r="J13" s="267"/>
      <c r="K13" s="267"/>
      <c r="L13" s="267"/>
      <c r="M13" s="267"/>
      <c r="N13" s="267"/>
      <c r="O13" s="267"/>
      <c r="P13" s="267"/>
      <c r="Q13" s="267"/>
      <c r="R13" s="267"/>
      <c r="S13" s="267"/>
      <c r="T13" s="222"/>
    </row>
    <row r="14" spans="1:20">
      <c r="A14" s="222"/>
      <c r="B14" s="222" t="s">
        <v>119</v>
      </c>
      <c r="C14" s="222" t="s">
        <v>475</v>
      </c>
      <c r="D14" s="268">
        <v>0.60626500000000005</v>
      </c>
      <c r="E14" s="222"/>
      <c r="F14" s="267"/>
      <c r="G14" s="267"/>
      <c r="H14" s="267" t="s">
        <v>564</v>
      </c>
      <c r="I14" s="267"/>
      <c r="J14" s="267"/>
      <c r="K14" s="267"/>
      <c r="L14" s="267"/>
      <c r="M14" s="267"/>
      <c r="N14" s="267"/>
      <c r="O14" s="267"/>
      <c r="P14" s="267"/>
      <c r="Q14" s="267"/>
      <c r="R14" s="267"/>
      <c r="S14" s="267"/>
      <c r="T14" s="222"/>
    </row>
    <row r="15" spans="1:20">
      <c r="A15" s="222"/>
      <c r="B15" s="222" t="s">
        <v>476</v>
      </c>
      <c r="C15" s="222" t="s">
        <v>260</v>
      </c>
      <c r="D15" s="268">
        <v>0.49603500000000006</v>
      </c>
      <c r="E15" s="222"/>
      <c r="F15" s="267"/>
      <c r="G15" s="267"/>
      <c r="H15" s="267" t="s">
        <v>564</v>
      </c>
      <c r="I15" s="267"/>
      <c r="J15" s="267"/>
      <c r="K15" s="267"/>
      <c r="L15" s="267"/>
      <c r="M15" s="267"/>
      <c r="N15" s="267"/>
      <c r="O15" s="267"/>
      <c r="P15" s="267"/>
      <c r="Q15" s="267"/>
      <c r="R15" s="267"/>
      <c r="S15" s="267"/>
      <c r="T15" s="222"/>
    </row>
    <row r="16" spans="1:20">
      <c r="A16" s="222"/>
      <c r="B16" s="222" t="s">
        <v>591</v>
      </c>
      <c r="C16" s="222" t="s">
        <v>326</v>
      </c>
      <c r="D16" s="268">
        <v>0.79365600000000003</v>
      </c>
      <c r="E16" s="222"/>
      <c r="F16" s="267"/>
      <c r="G16" s="267"/>
      <c r="H16" s="267" t="s">
        <v>564</v>
      </c>
      <c r="I16" s="267"/>
      <c r="J16" s="267"/>
      <c r="K16" s="267"/>
      <c r="L16" s="267"/>
      <c r="M16" s="267"/>
      <c r="N16" s="267"/>
      <c r="O16" s="267"/>
      <c r="P16" s="267"/>
      <c r="Q16" s="267"/>
      <c r="R16" s="267"/>
      <c r="S16" s="267"/>
      <c r="T16" s="222"/>
    </row>
    <row r="17" spans="1:20">
      <c r="A17" s="222"/>
      <c r="B17" s="222" t="s">
        <v>327</v>
      </c>
      <c r="C17" s="222" t="s">
        <v>328</v>
      </c>
      <c r="D17" s="268">
        <v>0.49603500000000006</v>
      </c>
      <c r="E17" s="222"/>
      <c r="F17" s="267"/>
      <c r="G17" s="267"/>
      <c r="H17" s="267" t="s">
        <v>564</v>
      </c>
      <c r="I17" s="267"/>
      <c r="J17" s="267"/>
      <c r="K17" s="267"/>
      <c r="L17" s="267"/>
      <c r="M17" s="267"/>
      <c r="N17" s="267"/>
      <c r="O17" s="267"/>
      <c r="P17" s="267"/>
      <c r="Q17" s="267"/>
      <c r="R17" s="267"/>
      <c r="S17" s="267"/>
      <c r="T17" s="222"/>
    </row>
    <row r="18" spans="1:20">
      <c r="A18" s="222"/>
      <c r="B18" s="222" t="s">
        <v>42</v>
      </c>
      <c r="C18" s="222" t="s">
        <v>43</v>
      </c>
      <c r="D18" s="268">
        <v>0.73854100000000011</v>
      </c>
      <c r="E18" s="222"/>
      <c r="F18" s="267"/>
      <c r="G18" s="267"/>
      <c r="H18" s="267" t="s">
        <v>564</v>
      </c>
      <c r="I18" s="267"/>
      <c r="J18" s="267"/>
      <c r="K18" s="267"/>
      <c r="L18" s="267"/>
      <c r="M18" s="267"/>
      <c r="N18" s="267"/>
      <c r="O18" s="269"/>
      <c r="P18" s="267"/>
      <c r="Q18" s="267"/>
      <c r="R18" s="267"/>
      <c r="S18" s="267"/>
      <c r="T18" s="222"/>
    </row>
    <row r="19" spans="1:20">
      <c r="A19" s="222"/>
      <c r="B19" s="222" t="s">
        <v>44</v>
      </c>
      <c r="C19" s="222" t="s">
        <v>45</v>
      </c>
      <c r="D19" s="222"/>
      <c r="E19" s="222"/>
      <c r="F19" s="267"/>
      <c r="G19" s="267"/>
      <c r="H19" s="268">
        <v>0.45</v>
      </c>
      <c r="I19" s="267"/>
      <c r="J19" s="267"/>
      <c r="K19" s="267"/>
      <c r="L19" s="267"/>
      <c r="M19" s="267"/>
      <c r="N19" s="267"/>
      <c r="O19" s="267"/>
      <c r="P19" s="267"/>
      <c r="Q19" s="267"/>
      <c r="R19" s="267"/>
      <c r="S19" s="267"/>
      <c r="T19" s="222"/>
    </row>
    <row r="20" spans="1:20">
      <c r="A20" s="222"/>
      <c r="B20" s="222" t="s">
        <v>46</v>
      </c>
      <c r="C20" s="222" t="s">
        <v>47</v>
      </c>
      <c r="D20" s="222"/>
      <c r="E20" s="222"/>
      <c r="F20" s="267"/>
      <c r="G20" s="267"/>
      <c r="H20" s="268">
        <v>0.3</v>
      </c>
      <c r="I20" s="267"/>
      <c r="J20" s="267"/>
      <c r="K20" s="267"/>
      <c r="L20" s="267"/>
      <c r="M20" s="267"/>
      <c r="N20" s="267"/>
      <c r="O20" s="267"/>
      <c r="P20" s="267"/>
      <c r="Q20" s="267"/>
      <c r="R20" s="267"/>
      <c r="S20" s="267"/>
      <c r="T20" s="222"/>
    </row>
    <row r="21" spans="1:20">
      <c r="A21" s="222"/>
      <c r="B21" s="222" t="s">
        <v>439</v>
      </c>
      <c r="C21" s="222" t="s">
        <v>356</v>
      </c>
      <c r="D21" s="268">
        <v>2.4250600000000002</v>
      </c>
      <c r="E21" s="222"/>
      <c r="F21" s="267" t="s">
        <v>564</v>
      </c>
      <c r="G21" s="267"/>
      <c r="H21" s="267"/>
      <c r="I21" s="267"/>
      <c r="J21" s="267"/>
      <c r="K21" s="267"/>
      <c r="L21" s="267"/>
      <c r="M21" s="267"/>
      <c r="N21" s="267"/>
      <c r="O21" s="267"/>
      <c r="P21" s="267"/>
      <c r="Q21" s="267"/>
      <c r="R21" s="267"/>
      <c r="S21" s="267"/>
      <c r="T21" s="222"/>
    </row>
    <row r="22" spans="1:20">
      <c r="A22" s="222"/>
      <c r="B22" s="222" t="s">
        <v>440</v>
      </c>
      <c r="C22" s="222" t="s">
        <v>441</v>
      </c>
      <c r="D22" s="267">
        <v>2.2999999999999998</v>
      </c>
      <c r="E22" s="222"/>
      <c r="F22" s="267" t="s">
        <v>564</v>
      </c>
      <c r="G22" s="267"/>
      <c r="H22" s="267"/>
      <c r="I22" s="267"/>
      <c r="J22" s="267"/>
      <c r="K22" s="267"/>
      <c r="L22" s="267"/>
      <c r="M22" s="267"/>
      <c r="N22" s="267"/>
      <c r="O22" s="267"/>
      <c r="P22" s="267"/>
      <c r="Q22" s="267"/>
      <c r="R22" s="267"/>
      <c r="S22" s="267"/>
      <c r="T22" s="222"/>
    </row>
    <row r="23" spans="1:20">
      <c r="A23" s="222"/>
      <c r="B23" s="222" t="s">
        <v>523</v>
      </c>
      <c r="C23" s="222" t="s">
        <v>533</v>
      </c>
      <c r="D23" s="268">
        <v>3.3069000000000002</v>
      </c>
      <c r="E23" s="222"/>
      <c r="F23" s="267" t="s">
        <v>564</v>
      </c>
      <c r="G23" s="267"/>
      <c r="H23" s="267"/>
      <c r="I23" s="267"/>
      <c r="J23" s="267"/>
      <c r="K23" s="267"/>
      <c r="L23" s="267"/>
      <c r="M23" s="267"/>
      <c r="N23" s="267"/>
      <c r="O23" s="267"/>
      <c r="P23" s="267"/>
      <c r="Q23" s="267"/>
      <c r="R23" s="267"/>
      <c r="S23" s="267"/>
      <c r="T23" s="222"/>
    </row>
    <row r="24" spans="1:20">
      <c r="A24" s="222"/>
      <c r="B24" s="222" t="s">
        <v>534</v>
      </c>
      <c r="C24" s="222" t="s">
        <v>535</v>
      </c>
      <c r="D24" s="268">
        <v>2.3148300000000002</v>
      </c>
      <c r="E24" s="222"/>
      <c r="F24" s="267" t="s">
        <v>564</v>
      </c>
      <c r="G24" s="267"/>
      <c r="H24" s="267"/>
      <c r="I24" s="267"/>
      <c r="J24" s="267"/>
      <c r="K24" s="267"/>
      <c r="L24" s="267"/>
      <c r="M24" s="267"/>
      <c r="N24" s="267"/>
      <c r="O24" s="267"/>
      <c r="P24" s="267"/>
      <c r="Q24" s="267"/>
      <c r="R24" s="267"/>
      <c r="S24" s="267"/>
      <c r="T24" s="222"/>
    </row>
    <row r="25" spans="1:20">
      <c r="A25" s="222"/>
      <c r="B25" s="222" t="s">
        <v>536</v>
      </c>
      <c r="C25" s="222" t="s">
        <v>537</v>
      </c>
      <c r="D25" s="270">
        <v>2.7557499999999999</v>
      </c>
      <c r="E25" s="222"/>
      <c r="F25" s="267"/>
      <c r="G25" s="267" t="s">
        <v>564</v>
      </c>
      <c r="H25" s="267"/>
      <c r="I25" s="267"/>
      <c r="J25" s="267"/>
      <c r="K25" s="267"/>
      <c r="L25" s="267"/>
      <c r="M25" s="267"/>
      <c r="N25" s="267"/>
      <c r="O25" s="267"/>
      <c r="P25" s="267"/>
      <c r="Q25" s="267"/>
      <c r="R25" s="267"/>
      <c r="S25" s="267"/>
      <c r="T25" s="222"/>
    </row>
    <row r="26" spans="1:20">
      <c r="A26" s="222"/>
      <c r="B26" s="222" t="s">
        <v>538</v>
      </c>
      <c r="C26" s="222" t="s">
        <v>227</v>
      </c>
      <c r="D26" s="267"/>
      <c r="E26" s="222"/>
      <c r="F26" s="267"/>
      <c r="G26" s="267" t="s">
        <v>564</v>
      </c>
      <c r="H26" s="267"/>
      <c r="I26" s="267"/>
      <c r="J26" s="222"/>
      <c r="K26" s="222"/>
      <c r="L26" s="222"/>
      <c r="M26" s="222"/>
      <c r="N26" s="267" t="s">
        <v>564</v>
      </c>
      <c r="O26" s="267" t="s">
        <v>564</v>
      </c>
      <c r="P26" s="267"/>
      <c r="Q26" s="267"/>
      <c r="R26" s="267"/>
      <c r="S26" s="267"/>
      <c r="T26" s="222"/>
    </row>
    <row r="27" spans="1:20" ht="11.25" customHeight="1">
      <c r="A27" s="222"/>
      <c r="B27" s="222" t="s">
        <v>281</v>
      </c>
      <c r="C27" s="222" t="s">
        <v>282</v>
      </c>
      <c r="D27" s="267"/>
      <c r="E27" s="222"/>
      <c r="F27" s="267"/>
      <c r="G27" s="267"/>
      <c r="H27" s="267"/>
      <c r="I27" s="267">
        <v>1.6</v>
      </c>
      <c r="J27" s="222"/>
      <c r="K27" s="222"/>
      <c r="L27" s="222"/>
      <c r="M27" s="222"/>
      <c r="N27" s="267"/>
      <c r="O27" s="267"/>
      <c r="P27" s="267"/>
      <c r="Q27" s="267"/>
      <c r="R27" s="267"/>
      <c r="S27" s="267"/>
      <c r="T27" s="222"/>
    </row>
    <row r="28" spans="1:20" ht="11.25" customHeight="1">
      <c r="A28" s="222"/>
      <c r="B28" s="222" t="s">
        <v>584</v>
      </c>
      <c r="C28" s="222" t="s">
        <v>567</v>
      </c>
      <c r="D28" s="267"/>
      <c r="E28" s="222"/>
      <c r="F28" s="267"/>
      <c r="G28" s="267"/>
      <c r="H28" s="267"/>
      <c r="I28" s="267">
        <v>1.2</v>
      </c>
      <c r="J28" s="222"/>
      <c r="K28" s="222"/>
      <c r="L28" s="222"/>
      <c r="M28" s="222"/>
      <c r="N28" s="267"/>
      <c r="O28" s="267"/>
      <c r="P28" s="267"/>
      <c r="Q28" s="267"/>
      <c r="R28" s="267"/>
      <c r="S28" s="267"/>
      <c r="T28" s="222"/>
    </row>
    <row r="29" spans="1:20">
      <c r="A29" s="222"/>
      <c r="B29" s="222" t="s">
        <v>382</v>
      </c>
      <c r="C29" s="222" t="s">
        <v>383</v>
      </c>
      <c r="D29" s="271"/>
      <c r="E29" s="222"/>
      <c r="F29" s="267"/>
      <c r="G29" s="267"/>
      <c r="H29" s="267"/>
      <c r="I29" s="267"/>
      <c r="J29" s="222"/>
      <c r="K29" s="222"/>
      <c r="L29" s="222"/>
      <c r="M29" s="222"/>
      <c r="N29" s="267" t="s">
        <v>564</v>
      </c>
      <c r="O29" s="267" t="s">
        <v>564</v>
      </c>
      <c r="P29" s="267"/>
      <c r="Q29" s="267"/>
      <c r="R29" s="267"/>
      <c r="S29" s="267"/>
      <c r="T29" s="222"/>
    </row>
    <row r="30" spans="1:20">
      <c r="A30" s="222"/>
      <c r="B30" s="222" t="s">
        <v>385</v>
      </c>
      <c r="C30" s="222" t="s">
        <v>384</v>
      </c>
      <c r="D30" s="271"/>
      <c r="E30" s="222"/>
      <c r="F30" s="267"/>
      <c r="G30" s="267"/>
      <c r="H30" s="267"/>
      <c r="I30" s="267"/>
      <c r="J30" s="222"/>
      <c r="K30" s="222"/>
      <c r="L30" s="222"/>
      <c r="M30" s="222"/>
      <c r="N30" s="267" t="s">
        <v>564</v>
      </c>
      <c r="O30" s="267" t="s">
        <v>564</v>
      </c>
      <c r="P30" s="267"/>
      <c r="Q30" s="267"/>
      <c r="R30" s="267"/>
      <c r="S30" s="267"/>
      <c r="T30" s="222"/>
    </row>
    <row r="31" spans="1:20">
      <c r="A31" s="222"/>
      <c r="B31" s="222" t="s">
        <v>386</v>
      </c>
      <c r="C31" s="222" t="s">
        <v>387</v>
      </c>
      <c r="D31" s="271"/>
      <c r="E31" s="222"/>
      <c r="F31" s="267"/>
      <c r="G31" s="267"/>
      <c r="H31" s="267"/>
      <c r="I31" s="267"/>
      <c r="J31" s="222"/>
      <c r="K31" s="222"/>
      <c r="L31" s="222"/>
      <c r="M31" s="222"/>
      <c r="N31" s="267" t="s">
        <v>564</v>
      </c>
      <c r="O31" s="267" t="s">
        <v>564</v>
      </c>
      <c r="P31" s="272">
        <v>7.4999999999999997E-2</v>
      </c>
      <c r="Q31" s="267"/>
      <c r="R31" s="267"/>
      <c r="S31" s="267"/>
      <c r="T31" s="222"/>
    </row>
    <row r="32" spans="1:20">
      <c r="A32" s="25"/>
      <c r="B32" s="222" t="s">
        <v>398</v>
      </c>
      <c r="C32" s="222" t="s">
        <v>532</v>
      </c>
      <c r="D32" s="271"/>
      <c r="E32" s="222"/>
      <c r="F32" s="267"/>
      <c r="G32" s="267"/>
      <c r="H32" s="267"/>
      <c r="I32" s="267"/>
      <c r="J32" s="267" t="s">
        <v>564</v>
      </c>
      <c r="K32" s="267"/>
      <c r="L32" s="267"/>
      <c r="M32" s="222"/>
      <c r="N32" s="267" t="s">
        <v>564</v>
      </c>
      <c r="O32" s="267"/>
      <c r="P32" s="267"/>
      <c r="Q32" s="267"/>
      <c r="R32" s="267"/>
      <c r="S32" s="267"/>
      <c r="T32" s="222"/>
    </row>
    <row r="33" spans="1:20">
      <c r="A33" s="25"/>
      <c r="B33" s="222" t="s">
        <v>284</v>
      </c>
      <c r="C33" s="222" t="s">
        <v>283</v>
      </c>
      <c r="D33" s="271"/>
      <c r="E33" s="222"/>
      <c r="F33" s="267"/>
      <c r="G33" s="267"/>
      <c r="H33" s="267"/>
      <c r="I33" s="267"/>
      <c r="J33" s="222"/>
      <c r="K33" s="222"/>
      <c r="L33" s="222"/>
      <c r="M33" s="222"/>
      <c r="N33" s="267" t="s">
        <v>564</v>
      </c>
      <c r="O33" s="267" t="s">
        <v>564</v>
      </c>
      <c r="P33" s="222"/>
      <c r="Q33" s="267"/>
      <c r="R33" s="267"/>
      <c r="S33" s="267"/>
      <c r="T33" s="269"/>
    </row>
    <row r="34" spans="1:20" ht="11.25" customHeight="1">
      <c r="A34" s="222"/>
      <c r="B34" s="222" t="s">
        <v>124</v>
      </c>
      <c r="C34" s="222" t="s">
        <v>125</v>
      </c>
      <c r="D34" s="271"/>
      <c r="E34" s="222"/>
      <c r="F34" s="267"/>
      <c r="G34" s="267"/>
      <c r="H34" s="267"/>
      <c r="I34" s="267"/>
      <c r="J34" s="222"/>
      <c r="K34" s="222"/>
      <c r="L34" s="222"/>
      <c r="M34" s="222"/>
      <c r="N34" s="267"/>
      <c r="O34" s="267" t="s">
        <v>564</v>
      </c>
      <c r="P34" s="267"/>
      <c r="Q34" s="267"/>
      <c r="R34" s="267"/>
      <c r="S34" s="267"/>
      <c r="T34" s="269"/>
    </row>
    <row r="35" spans="1:20">
      <c r="A35" s="222"/>
      <c r="B35" s="222" t="s">
        <v>501</v>
      </c>
      <c r="C35" s="222" t="s">
        <v>502</v>
      </c>
      <c r="D35" s="271"/>
      <c r="E35" s="222"/>
      <c r="F35" s="267"/>
      <c r="G35" s="267"/>
      <c r="H35" s="267"/>
      <c r="I35" s="267"/>
      <c r="J35" s="222"/>
      <c r="K35" s="222"/>
      <c r="L35" s="222"/>
      <c r="M35" s="222"/>
      <c r="N35" s="222"/>
      <c r="O35" s="267" t="s">
        <v>564</v>
      </c>
      <c r="P35" s="267"/>
      <c r="Q35" s="267"/>
      <c r="R35" s="267"/>
      <c r="S35" s="267"/>
      <c r="T35" s="269"/>
    </row>
    <row r="36" spans="1:20">
      <c r="A36" s="222"/>
      <c r="B36" s="222" t="s">
        <v>503</v>
      </c>
      <c r="C36" s="222" t="s">
        <v>504</v>
      </c>
      <c r="D36" s="271"/>
      <c r="E36" s="222"/>
      <c r="F36" s="267"/>
      <c r="G36" s="267"/>
      <c r="H36" s="267"/>
      <c r="I36" s="267"/>
      <c r="J36" s="222"/>
      <c r="K36" s="222"/>
      <c r="L36" s="222"/>
      <c r="M36" s="222"/>
      <c r="N36" s="222"/>
      <c r="O36" s="267" t="s">
        <v>564</v>
      </c>
      <c r="P36" s="267"/>
      <c r="Q36" s="267"/>
      <c r="R36" s="267"/>
      <c r="S36" s="267"/>
      <c r="T36" s="269"/>
    </row>
    <row r="37" spans="1:20">
      <c r="A37" s="222"/>
      <c r="B37" s="222" t="s">
        <v>568</v>
      </c>
      <c r="C37" s="222" t="s">
        <v>90</v>
      </c>
      <c r="D37" s="268"/>
      <c r="E37" s="222"/>
      <c r="F37" s="267"/>
      <c r="G37" s="267"/>
      <c r="H37" s="267"/>
      <c r="I37" s="267"/>
      <c r="J37" s="222"/>
      <c r="K37" s="222"/>
      <c r="L37" s="222"/>
      <c r="M37" s="222"/>
      <c r="N37" s="267"/>
      <c r="O37" s="267"/>
      <c r="P37" s="267"/>
      <c r="Q37" s="267"/>
      <c r="R37" s="268">
        <f>0.8*0.25</f>
        <v>0.2</v>
      </c>
      <c r="S37" s="222"/>
      <c r="T37" s="269"/>
    </row>
    <row r="38" spans="1:20">
      <c r="A38" s="222"/>
      <c r="B38" s="222" t="s">
        <v>470</v>
      </c>
      <c r="C38" s="222" t="s">
        <v>415</v>
      </c>
      <c r="D38" s="268"/>
      <c r="E38" s="222"/>
      <c r="F38" s="267"/>
      <c r="G38" s="267"/>
      <c r="H38" s="267"/>
      <c r="I38" s="267"/>
      <c r="J38" s="222"/>
      <c r="K38" s="222"/>
      <c r="L38" s="222"/>
      <c r="M38" s="222"/>
      <c r="N38" s="267"/>
      <c r="O38" s="267"/>
      <c r="P38" s="267"/>
      <c r="Q38" s="267"/>
      <c r="R38" s="267"/>
      <c r="S38" s="268">
        <v>2</v>
      </c>
      <c r="T38" s="269"/>
    </row>
    <row r="39" spans="1:20">
      <c r="A39" s="222"/>
      <c r="B39" s="222" t="s">
        <v>506</v>
      </c>
      <c r="C39" s="222" t="s">
        <v>505</v>
      </c>
      <c r="D39" s="271"/>
      <c r="E39" s="222"/>
      <c r="F39" s="232"/>
      <c r="G39" s="232"/>
      <c r="H39" s="232"/>
      <c r="I39" s="232"/>
      <c r="J39" s="267" t="s">
        <v>564</v>
      </c>
      <c r="K39" s="267"/>
      <c r="L39" s="267"/>
      <c r="M39" s="267"/>
      <c r="N39" s="232"/>
      <c r="O39" s="232"/>
      <c r="P39" s="232"/>
      <c r="Q39" s="232"/>
      <c r="R39" s="232"/>
      <c r="S39" s="232"/>
      <c r="T39" s="222"/>
    </row>
    <row r="40" spans="1:20">
      <c r="A40" s="222"/>
      <c r="B40" s="222" t="s">
        <v>507</v>
      </c>
      <c r="C40" s="222" t="s">
        <v>508</v>
      </c>
      <c r="D40" s="273"/>
      <c r="E40" s="222"/>
      <c r="F40" s="232"/>
      <c r="G40" s="232"/>
      <c r="H40" s="232"/>
      <c r="I40" s="232"/>
      <c r="J40" s="232"/>
      <c r="K40" s="232"/>
      <c r="L40" s="232"/>
      <c r="M40" s="267" t="s">
        <v>564</v>
      </c>
      <c r="N40" s="222"/>
      <c r="O40" s="267"/>
      <c r="P40" s="267"/>
      <c r="Q40" s="232"/>
      <c r="R40" s="232"/>
      <c r="S40" s="232"/>
      <c r="T40" s="222"/>
    </row>
    <row r="41" spans="1:20">
      <c r="A41" s="222"/>
      <c r="B41" s="222" t="s">
        <v>294</v>
      </c>
      <c r="C41" s="222" t="s">
        <v>509</v>
      </c>
      <c r="D41" s="222"/>
      <c r="E41" s="222"/>
      <c r="F41" s="232"/>
      <c r="G41" s="232"/>
      <c r="H41" s="232"/>
      <c r="I41" s="232"/>
      <c r="J41" s="232"/>
      <c r="K41" s="232"/>
      <c r="L41" s="232"/>
      <c r="M41" s="267" t="s">
        <v>564</v>
      </c>
      <c r="N41" s="222"/>
      <c r="O41" s="267"/>
      <c r="P41" s="267"/>
      <c r="Q41" s="232"/>
      <c r="R41" s="232"/>
      <c r="S41" s="232"/>
      <c r="T41" s="222"/>
    </row>
    <row r="42" spans="1:20">
      <c r="A42" s="222"/>
      <c r="B42" s="222" t="s">
        <v>510</v>
      </c>
      <c r="C42" s="222" t="s">
        <v>295</v>
      </c>
      <c r="D42" s="271"/>
      <c r="E42" s="222"/>
      <c r="F42" s="232"/>
      <c r="G42" s="232"/>
      <c r="H42" s="232"/>
      <c r="I42" s="232"/>
      <c r="J42" s="232"/>
      <c r="K42" s="232"/>
      <c r="L42" s="232"/>
      <c r="M42" s="267" t="s">
        <v>564</v>
      </c>
      <c r="N42" s="222"/>
      <c r="O42" s="267"/>
      <c r="P42" s="267"/>
      <c r="Q42" s="232"/>
      <c r="R42" s="232"/>
      <c r="S42" s="232"/>
      <c r="T42" s="222"/>
    </row>
    <row r="43" spans="1:20">
      <c r="A43" s="222"/>
      <c r="B43" s="222" t="s">
        <v>316</v>
      </c>
      <c r="C43" s="222" t="s">
        <v>317</v>
      </c>
      <c r="D43" s="271"/>
      <c r="E43" s="222"/>
      <c r="F43" s="232"/>
      <c r="G43" s="232"/>
      <c r="H43" s="232"/>
      <c r="I43" s="232"/>
      <c r="J43" s="232"/>
      <c r="K43" s="232"/>
      <c r="L43" s="232"/>
      <c r="M43" s="267"/>
      <c r="N43" s="222"/>
      <c r="O43" s="267"/>
      <c r="P43" s="267"/>
      <c r="Q43" s="232"/>
      <c r="R43" s="232"/>
      <c r="S43" s="232"/>
      <c r="T43" s="268">
        <v>4</v>
      </c>
    </row>
    <row r="44" spans="1:20" ht="3" customHeight="1">
      <c r="A44" s="222"/>
      <c r="B44" s="222"/>
      <c r="C44" s="222"/>
      <c r="D44" s="268"/>
      <c r="E44" s="222"/>
      <c r="F44" s="267"/>
      <c r="G44" s="267"/>
      <c r="H44" s="267"/>
      <c r="I44" s="267"/>
      <c r="J44" s="267"/>
      <c r="K44" s="267"/>
      <c r="L44" s="267"/>
      <c r="M44" s="267"/>
      <c r="N44" s="267"/>
      <c r="O44" s="267"/>
      <c r="P44" s="267"/>
      <c r="Q44" s="267"/>
      <c r="R44" s="267"/>
      <c r="S44" s="267"/>
      <c r="T44" s="222"/>
    </row>
    <row r="45" spans="1:20">
      <c r="A45" s="222"/>
      <c r="B45" s="25" t="s">
        <v>486</v>
      </c>
      <c r="C45" s="222"/>
      <c r="D45" s="274">
        <v>26</v>
      </c>
      <c r="E45" s="222"/>
      <c r="F45" s="274">
        <v>10.8</v>
      </c>
      <c r="G45" s="274">
        <v>3.7</v>
      </c>
      <c r="H45" s="274">
        <f>8.06-J45</f>
        <v>7.57</v>
      </c>
      <c r="I45" s="274">
        <f>SUM(I27:I28)</f>
        <v>2.8</v>
      </c>
      <c r="J45" s="274">
        <v>0.49</v>
      </c>
      <c r="K45" s="274"/>
      <c r="L45" s="274">
        <v>1.4</v>
      </c>
      <c r="M45" s="274">
        <v>0.14499999999999999</v>
      </c>
      <c r="N45" s="274">
        <v>0.72</v>
      </c>
      <c r="O45" s="274">
        <v>0.53</v>
      </c>
      <c r="P45" s="274">
        <f>SUM(P31)</f>
        <v>7.4999999999999997E-2</v>
      </c>
      <c r="Q45" s="274"/>
      <c r="R45" s="274">
        <f>SUM(R37)</f>
        <v>0.2</v>
      </c>
      <c r="S45" s="274">
        <f>SUM(S38)</f>
        <v>2</v>
      </c>
      <c r="T45" s="274">
        <f>SUM(T43)</f>
        <v>4</v>
      </c>
    </row>
    <row r="46" spans="1:20">
      <c r="A46" s="222"/>
      <c r="B46" s="222"/>
      <c r="C46" s="222"/>
      <c r="D46" s="222"/>
      <c r="E46" s="222"/>
      <c r="F46" s="267"/>
      <c r="G46" s="267"/>
      <c r="H46" s="267"/>
      <c r="I46" s="267"/>
      <c r="J46" s="267"/>
      <c r="K46" s="267"/>
      <c r="L46" s="267"/>
      <c r="M46" s="267"/>
      <c r="N46" s="267"/>
      <c r="O46" s="267"/>
      <c r="P46" s="267"/>
      <c r="Q46" s="267"/>
      <c r="R46" s="267"/>
      <c r="S46" s="267"/>
      <c r="T46" s="222"/>
    </row>
    <row r="47" spans="1:20">
      <c r="A47" s="222"/>
      <c r="B47" s="222"/>
      <c r="C47" s="226" t="s">
        <v>342</v>
      </c>
      <c r="D47" s="275"/>
      <c r="E47" s="222"/>
      <c r="F47" s="267"/>
      <c r="G47" s="267"/>
      <c r="H47" s="267"/>
      <c r="I47" s="267"/>
      <c r="J47" s="267"/>
      <c r="K47" s="267"/>
      <c r="L47" s="267"/>
      <c r="M47" s="267"/>
      <c r="N47" s="267"/>
      <c r="O47" s="267"/>
      <c r="P47" s="267"/>
      <c r="Q47" s="267"/>
      <c r="R47" s="267"/>
      <c r="S47" s="267"/>
      <c r="T47" s="222"/>
    </row>
    <row r="48" spans="1:20" ht="3" customHeight="1">
      <c r="A48" s="222"/>
      <c r="B48" s="222"/>
      <c r="C48" s="25"/>
      <c r="D48" s="263"/>
      <c r="E48" s="222"/>
      <c r="F48" s="267"/>
      <c r="G48" s="267"/>
      <c r="H48" s="267"/>
      <c r="I48" s="267"/>
      <c r="J48" s="267"/>
      <c r="K48" s="267"/>
      <c r="L48" s="267"/>
      <c r="M48" s="267"/>
      <c r="N48" s="267"/>
      <c r="O48" s="267"/>
      <c r="P48" s="267"/>
      <c r="Q48" s="267"/>
      <c r="R48" s="267"/>
      <c r="S48" s="267"/>
      <c r="T48" s="222"/>
    </row>
    <row r="49" spans="1:20" outlineLevel="1">
      <c r="A49" s="222"/>
      <c r="B49" s="222"/>
      <c r="C49" s="222" t="s">
        <v>343</v>
      </c>
      <c r="D49" s="276">
        <v>350</v>
      </c>
      <c r="E49" s="277"/>
      <c r="F49" s="277"/>
      <c r="G49" s="277"/>
      <c r="H49" s="277"/>
      <c r="I49" s="277"/>
      <c r="J49" s="277"/>
      <c r="K49" s="277"/>
      <c r="L49" s="277"/>
      <c r="M49" s="277"/>
      <c r="N49" s="277"/>
      <c r="O49" s="277"/>
      <c r="P49" s="277"/>
      <c r="Q49" s="277"/>
      <c r="R49" s="277"/>
      <c r="S49" s="277"/>
      <c r="T49" s="277"/>
    </row>
    <row r="50" spans="1:20">
      <c r="A50" s="222"/>
      <c r="B50" s="222"/>
      <c r="C50" s="222" t="s">
        <v>343</v>
      </c>
      <c r="D50" s="276">
        <f>D49*D45</f>
        <v>9100</v>
      </c>
      <c r="E50" s="277"/>
      <c r="F50" s="277"/>
      <c r="G50" s="277"/>
      <c r="H50" s="277"/>
      <c r="I50" s="277"/>
      <c r="J50" s="277"/>
      <c r="K50" s="277"/>
      <c r="L50" s="277"/>
      <c r="M50" s="277"/>
      <c r="N50" s="277"/>
      <c r="O50" s="277"/>
      <c r="P50" s="277"/>
      <c r="Q50" s="277"/>
      <c r="R50" s="277"/>
      <c r="S50" s="277"/>
      <c r="T50" s="277"/>
    </row>
    <row r="51" spans="1:20" ht="3" customHeight="1">
      <c r="A51" s="222"/>
      <c r="B51" s="222"/>
      <c r="C51" s="222"/>
      <c r="D51" s="276"/>
      <c r="E51" s="277"/>
      <c r="F51" s="277"/>
      <c r="G51" s="277"/>
      <c r="H51" s="277"/>
      <c r="I51" s="277"/>
      <c r="J51" s="277"/>
      <c r="K51" s="277"/>
      <c r="L51" s="277"/>
      <c r="M51" s="277"/>
      <c r="N51" s="277"/>
      <c r="O51" s="277"/>
      <c r="P51" s="277"/>
      <c r="Q51" s="277"/>
      <c r="R51" s="277"/>
      <c r="S51" s="277"/>
      <c r="T51" s="277"/>
    </row>
    <row r="52" spans="1:20" outlineLevel="1">
      <c r="A52" s="222"/>
      <c r="B52" s="222"/>
      <c r="C52" s="222" t="s">
        <v>168</v>
      </c>
      <c r="D52" s="276">
        <f>D53/SUM(F45:P45)</f>
        <v>181.93411264612118</v>
      </c>
      <c r="E52" s="277"/>
      <c r="F52" s="277">
        <v>200</v>
      </c>
      <c r="G52" s="277">
        <v>150</v>
      </c>
      <c r="H52" s="277">
        <v>150</v>
      </c>
      <c r="I52" s="277">
        <v>200</v>
      </c>
      <c r="J52" s="277">
        <v>250</v>
      </c>
      <c r="K52" s="277"/>
      <c r="L52" s="277">
        <v>200</v>
      </c>
      <c r="M52" s="277">
        <v>400</v>
      </c>
      <c r="N52" s="277">
        <v>200</v>
      </c>
      <c r="O52" s="277">
        <v>200</v>
      </c>
      <c r="P52" s="277">
        <v>200</v>
      </c>
      <c r="Q52" s="277"/>
      <c r="R52" s="277"/>
      <c r="S52" s="277"/>
      <c r="T52" s="277"/>
    </row>
    <row r="53" spans="1:20">
      <c r="A53" s="222"/>
      <c r="B53" s="222"/>
      <c r="C53" s="222" t="s">
        <v>169</v>
      </c>
      <c r="D53" s="276">
        <f>SUM(F53:P53)</f>
        <v>5136</v>
      </c>
      <c r="E53" s="277"/>
      <c r="F53" s="277">
        <f>F52*F45</f>
        <v>2160</v>
      </c>
      <c r="G53" s="277">
        <f>G52*G45</f>
        <v>555</v>
      </c>
      <c r="H53" s="277">
        <f>H52*H45</f>
        <v>1135.5</v>
      </c>
      <c r="I53" s="277">
        <f>I52*I45</f>
        <v>560</v>
      </c>
      <c r="J53" s="277">
        <f>J52*J45</f>
        <v>122.5</v>
      </c>
      <c r="K53" s="277"/>
      <c r="L53" s="277">
        <f>L52*L45</f>
        <v>280</v>
      </c>
      <c r="M53" s="277">
        <f>M52*M45</f>
        <v>57.999999999999993</v>
      </c>
      <c r="N53" s="277">
        <f>N52*N45</f>
        <v>144</v>
      </c>
      <c r="O53" s="277">
        <f>O52*O45</f>
        <v>106</v>
      </c>
      <c r="P53" s="277">
        <f>P52*P45</f>
        <v>15</v>
      </c>
      <c r="Q53" s="277"/>
      <c r="R53" s="277"/>
      <c r="S53" s="277"/>
      <c r="T53" s="277"/>
    </row>
    <row r="54" spans="1:20" ht="3" customHeight="1">
      <c r="A54" s="222"/>
      <c r="B54" s="222"/>
      <c r="C54" s="222"/>
      <c r="D54" s="276"/>
      <c r="E54" s="277"/>
      <c r="F54" s="277"/>
      <c r="G54" s="277"/>
      <c r="H54" s="277"/>
      <c r="I54" s="277"/>
      <c r="J54" s="277"/>
      <c r="K54" s="277"/>
      <c r="L54" s="277"/>
      <c r="M54" s="277"/>
      <c r="N54" s="277"/>
      <c r="O54" s="277"/>
      <c r="P54" s="277"/>
      <c r="Q54" s="277"/>
      <c r="R54" s="277"/>
      <c r="S54" s="277"/>
      <c r="T54" s="277"/>
    </row>
    <row r="55" spans="1:20" outlineLevel="1">
      <c r="A55" s="222"/>
      <c r="B55" s="222"/>
      <c r="C55" s="222" t="s">
        <v>170</v>
      </c>
      <c r="D55" s="276">
        <f>D56/SUM(R45:T45)</f>
        <v>335.48387096774195</v>
      </c>
      <c r="E55" s="277"/>
      <c r="F55" s="277"/>
      <c r="G55" s="277"/>
      <c r="H55" s="277"/>
      <c r="I55" s="277"/>
      <c r="J55" s="277"/>
      <c r="K55" s="277"/>
      <c r="L55" s="277"/>
      <c r="M55" s="277"/>
      <c r="N55" s="277"/>
      <c r="O55" s="277"/>
      <c r="P55" s="277"/>
      <c r="Q55" s="277"/>
      <c r="R55" s="277">
        <v>400</v>
      </c>
      <c r="S55" s="277">
        <v>500</v>
      </c>
      <c r="T55" s="277">
        <v>250</v>
      </c>
    </row>
    <row r="56" spans="1:20">
      <c r="A56" s="222"/>
      <c r="B56" s="222"/>
      <c r="C56" s="227" t="s">
        <v>171</v>
      </c>
      <c r="D56" s="278">
        <f>SUM(R56:T56)</f>
        <v>2080</v>
      </c>
      <c r="E56" s="277"/>
      <c r="F56" s="277"/>
      <c r="G56" s="277"/>
      <c r="H56" s="277"/>
      <c r="I56" s="277"/>
      <c r="J56" s="277"/>
      <c r="K56" s="277"/>
      <c r="L56" s="277"/>
      <c r="M56" s="277"/>
      <c r="N56" s="277"/>
      <c r="O56" s="277"/>
      <c r="P56" s="277"/>
      <c r="Q56" s="277"/>
      <c r="R56" s="277">
        <f>R45*R55</f>
        <v>80</v>
      </c>
      <c r="S56" s="277">
        <f>S55*S45</f>
        <v>1000</v>
      </c>
      <c r="T56" s="277">
        <f>T55*T45</f>
        <v>1000</v>
      </c>
    </row>
    <row r="57" spans="1:20" ht="3" customHeight="1">
      <c r="A57" s="279"/>
      <c r="B57" s="279"/>
      <c r="C57" s="279"/>
      <c r="D57" s="276"/>
      <c r="E57" s="277"/>
      <c r="F57" s="277"/>
      <c r="G57" s="277"/>
      <c r="H57" s="277"/>
      <c r="I57" s="277"/>
      <c r="J57" s="277"/>
      <c r="K57" s="277"/>
      <c r="L57" s="277"/>
      <c r="M57" s="277"/>
      <c r="N57" s="277"/>
      <c r="O57" s="277"/>
      <c r="P57" s="277"/>
      <c r="Q57" s="277"/>
      <c r="R57" s="277"/>
      <c r="S57" s="277"/>
      <c r="T57" s="277"/>
    </row>
    <row r="58" spans="1:20">
      <c r="A58" s="222"/>
      <c r="B58" s="222"/>
      <c r="C58" s="25" t="s">
        <v>172</v>
      </c>
      <c r="D58" s="280">
        <f>D56+D53+D50</f>
        <v>16316</v>
      </c>
      <c r="E58" s="277"/>
      <c r="F58" s="277"/>
      <c r="G58" s="277"/>
      <c r="H58" s="277"/>
      <c r="I58" s="277"/>
      <c r="J58" s="277"/>
      <c r="K58" s="277"/>
      <c r="L58" s="277"/>
      <c r="M58" s="277"/>
      <c r="N58" s="277"/>
      <c r="O58" s="277"/>
      <c r="P58" s="277"/>
      <c r="Q58" s="277"/>
      <c r="R58" s="277"/>
      <c r="S58" s="277"/>
      <c r="T58" s="277"/>
    </row>
    <row r="59" spans="1:20">
      <c r="A59" s="222"/>
      <c r="B59" s="222"/>
      <c r="C59" s="227" t="s">
        <v>173</v>
      </c>
      <c r="D59" s="278">
        <f>-Financials!$AP$169</f>
        <v>-1602.3869999999997</v>
      </c>
      <c r="E59" s="277"/>
      <c r="F59" s="277"/>
      <c r="G59" s="277"/>
      <c r="H59" s="277"/>
      <c r="I59" s="277"/>
      <c r="J59" s="277"/>
      <c r="K59" s="277"/>
      <c r="L59" s="277"/>
      <c r="M59" s="277"/>
      <c r="N59" s="277"/>
      <c r="O59" s="277"/>
      <c r="P59" s="277"/>
      <c r="Q59" s="277"/>
      <c r="R59" s="277"/>
      <c r="S59" s="277"/>
      <c r="T59" s="277"/>
    </row>
    <row r="60" spans="1:20" ht="3" customHeight="1">
      <c r="A60" s="222"/>
      <c r="B60" s="222"/>
      <c r="C60" s="222"/>
      <c r="D60" s="276"/>
      <c r="E60" s="277"/>
      <c r="F60" s="277"/>
      <c r="G60" s="277"/>
      <c r="H60" s="277"/>
      <c r="I60" s="277"/>
      <c r="J60" s="277"/>
      <c r="K60" s="277"/>
      <c r="L60" s="277"/>
      <c r="M60" s="277"/>
      <c r="N60" s="277"/>
      <c r="O60" s="277"/>
      <c r="P60" s="277"/>
      <c r="Q60" s="277"/>
      <c r="R60" s="277"/>
      <c r="S60" s="277"/>
      <c r="T60" s="277"/>
    </row>
    <row r="61" spans="1:20">
      <c r="A61" s="25"/>
      <c r="B61" s="25"/>
      <c r="C61" s="25" t="s">
        <v>322</v>
      </c>
      <c r="D61" s="281">
        <f>D58+D59</f>
        <v>14713.613000000001</v>
      </c>
      <c r="E61" s="25"/>
      <c r="F61" s="265"/>
      <c r="G61" s="265"/>
      <c r="H61" s="265"/>
      <c r="I61" s="265"/>
      <c r="J61" s="265"/>
      <c r="K61" s="265"/>
      <c r="L61" s="265"/>
      <c r="M61" s="265"/>
      <c r="N61" s="265"/>
      <c r="O61" s="265"/>
      <c r="P61" s="265"/>
      <c r="Q61" s="265"/>
      <c r="R61" s="267"/>
      <c r="S61" s="267"/>
      <c r="T61" s="222"/>
    </row>
    <row r="62" spans="1:20">
      <c r="A62" s="222"/>
      <c r="B62" s="222"/>
      <c r="C62" s="222" t="s">
        <v>410</v>
      </c>
      <c r="D62" s="242">
        <f>Financials!$BG$63</f>
        <v>317.13849999999996</v>
      </c>
      <c r="E62" s="222"/>
      <c r="F62" s="267"/>
      <c r="G62" s="267"/>
      <c r="H62" s="267"/>
      <c r="I62" s="267"/>
      <c r="J62" s="267"/>
      <c r="K62" s="267"/>
      <c r="L62" s="267"/>
      <c r="M62" s="267"/>
      <c r="N62" s="267"/>
      <c r="O62" s="267"/>
      <c r="P62" s="267"/>
      <c r="Q62" s="267"/>
      <c r="R62" s="267"/>
      <c r="S62" s="267"/>
      <c r="T62" s="222"/>
    </row>
    <row r="63" spans="1:20">
      <c r="A63" s="279"/>
      <c r="B63" s="279"/>
      <c r="C63" s="279"/>
      <c r="D63" s="279"/>
      <c r="E63" s="279"/>
      <c r="F63" s="265"/>
      <c r="G63" s="265"/>
      <c r="H63" s="265"/>
      <c r="I63" s="265"/>
      <c r="J63" s="265"/>
      <c r="K63" s="265"/>
      <c r="L63" s="265"/>
      <c r="M63" s="265"/>
      <c r="N63" s="265"/>
      <c r="O63" s="265"/>
      <c r="P63" s="265"/>
      <c r="Q63" s="265"/>
      <c r="R63" s="267"/>
      <c r="S63" s="267"/>
      <c r="T63" s="222"/>
    </row>
    <row r="64" spans="1:20">
      <c r="A64" s="222"/>
      <c r="B64" s="222"/>
      <c r="C64" s="25" t="s">
        <v>364</v>
      </c>
      <c r="D64" s="282">
        <f>D61/D62</f>
        <v>46.394912632808705</v>
      </c>
      <c r="E64" s="222"/>
      <c r="F64" s="267"/>
      <c r="G64" s="267"/>
      <c r="H64" s="267"/>
      <c r="I64" s="267"/>
      <c r="J64" s="267"/>
      <c r="K64" s="267"/>
      <c r="L64" s="267"/>
      <c r="M64" s="267"/>
      <c r="N64" s="267"/>
      <c r="O64" s="267"/>
      <c r="P64" s="267"/>
      <c r="Q64" s="267"/>
      <c r="R64" s="267"/>
      <c r="S64" s="267"/>
      <c r="T64" s="222"/>
    </row>
    <row r="65" spans="1:20">
      <c r="A65" s="222"/>
      <c r="B65" s="222"/>
      <c r="C65" s="222" t="s">
        <v>522</v>
      </c>
      <c r="D65" s="283" t="e">
        <f ca="1">_xll.FDS("NUE","FG_PRICE(0)")/D64</f>
        <v>#NAME?</v>
      </c>
      <c r="E65" s="222"/>
      <c r="F65" s="277"/>
      <c r="G65" s="277"/>
      <c r="H65" s="277"/>
      <c r="I65" s="277"/>
      <c r="J65" s="277"/>
      <c r="K65" s="277"/>
      <c r="L65" s="277"/>
      <c r="M65" s="277"/>
      <c r="N65" s="277"/>
      <c r="O65" s="277"/>
      <c r="P65" s="277"/>
      <c r="Q65" s="277"/>
      <c r="R65" s="267"/>
      <c r="S65" s="267"/>
      <c r="T65" s="222"/>
    </row>
  </sheetData>
  <customSheetViews>
    <customSheetView guid="{08BAB49F-44A8-4F04-A2E3-24B12C6D0857}" showGridLines="0" fitToPage="1">
      <pane ySplit="7" topLeftCell="A8" activePane="bottomLeft" state="frozen"/>
      <selection pane="bottomLeft"/>
      <pageMargins left="0.75" right="0.75" top="1" bottom="1" header="0.5" footer="0.5"/>
      <pageSetup paperSize="9" scale="60" orientation="landscape" r:id="rId1"/>
      <headerFooter alignWithMargins="0"/>
    </customSheetView>
    <customSheetView guid="{4482C16F-8DC0-49F3-9E1F-335117126152}" showGridLines="0" fitToPage="1">
      <pane ySplit="7" topLeftCell="A8" activePane="bottomLeft" state="frozen"/>
      <selection pane="bottomLeft"/>
      <pageMargins left="0.75" right="0.75" top="1" bottom="1" header="0.5" footer="0.5"/>
      <pageSetup paperSize="9" scale="60" orientation="landscape" r:id="rId2"/>
      <headerFooter alignWithMargins="0"/>
    </customSheetView>
  </customSheetViews>
  <mergeCells count="3">
    <mergeCell ref="A5:S5"/>
    <mergeCell ref="L6:P6"/>
    <mergeCell ref="R6:S6"/>
  </mergeCells>
  <phoneticPr fontId="7" type="noConversion"/>
  <hyperlinks>
    <hyperlink ref="R2" location="'Table of Contents'!A1" display="Return to Table of Contents"/>
  </hyperlinks>
  <pageMargins left="0.75" right="0.75" top="1" bottom="1" header="0.5" footer="0.5"/>
  <pageSetup paperSize="9" scale="56" orientation="landscape" r:id="rId3"/>
  <headerFooter alignWithMargins="0"/>
  <legacy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D43"/>
  <sheetViews>
    <sheetView workbookViewId="0">
      <selection activeCell="B42" sqref="B42"/>
    </sheetView>
  </sheetViews>
  <sheetFormatPr defaultRowHeight="12.75"/>
  <cols>
    <col min="1" max="1" width="29.5703125" style="793" bestFit="1" customWidth="1"/>
    <col min="2" max="2" width="19.85546875" style="1346" customWidth="1"/>
    <col min="3" max="3" width="12" style="793" bestFit="1" customWidth="1"/>
    <col min="4" max="256" width="9.140625" style="793"/>
    <col min="257" max="257" width="29.5703125" style="793" bestFit="1" customWidth="1"/>
    <col min="258" max="258" width="19.85546875" style="793" customWidth="1"/>
    <col min="259" max="259" width="12" style="793" bestFit="1" customWidth="1"/>
    <col min="260" max="512" width="9.140625" style="793"/>
    <col min="513" max="513" width="29.5703125" style="793" bestFit="1" customWidth="1"/>
    <col min="514" max="514" width="19.85546875" style="793" customWidth="1"/>
    <col min="515" max="515" width="12" style="793" bestFit="1" customWidth="1"/>
    <col min="516" max="768" width="9.140625" style="793"/>
    <col min="769" max="769" width="29.5703125" style="793" bestFit="1" customWidth="1"/>
    <col min="770" max="770" width="19.85546875" style="793" customWidth="1"/>
    <col min="771" max="771" width="12" style="793" bestFit="1" customWidth="1"/>
    <col min="772" max="1024" width="9.140625" style="793"/>
    <col min="1025" max="1025" width="29.5703125" style="793" bestFit="1" customWidth="1"/>
    <col min="1026" max="1026" width="19.85546875" style="793" customWidth="1"/>
    <col min="1027" max="1027" width="12" style="793" bestFit="1" customWidth="1"/>
    <col min="1028" max="1280" width="9.140625" style="793"/>
    <col min="1281" max="1281" width="29.5703125" style="793" bestFit="1" customWidth="1"/>
    <col min="1282" max="1282" width="19.85546875" style="793" customWidth="1"/>
    <col min="1283" max="1283" width="12" style="793" bestFit="1" customWidth="1"/>
    <col min="1284" max="1536" width="9.140625" style="793"/>
    <col min="1537" max="1537" width="29.5703125" style="793" bestFit="1" customWidth="1"/>
    <col min="1538" max="1538" width="19.85546875" style="793" customWidth="1"/>
    <col min="1539" max="1539" width="12" style="793" bestFit="1" customWidth="1"/>
    <col min="1540" max="1792" width="9.140625" style="793"/>
    <col min="1793" max="1793" width="29.5703125" style="793" bestFit="1" customWidth="1"/>
    <col min="1794" max="1794" width="19.85546875" style="793" customWidth="1"/>
    <col min="1795" max="1795" width="12" style="793" bestFit="1" customWidth="1"/>
    <col min="1796" max="2048" width="9.140625" style="793"/>
    <col min="2049" max="2049" width="29.5703125" style="793" bestFit="1" customWidth="1"/>
    <col min="2050" max="2050" width="19.85546875" style="793" customWidth="1"/>
    <col min="2051" max="2051" width="12" style="793" bestFit="1" customWidth="1"/>
    <col min="2052" max="2304" width="9.140625" style="793"/>
    <col min="2305" max="2305" width="29.5703125" style="793" bestFit="1" customWidth="1"/>
    <col min="2306" max="2306" width="19.85546875" style="793" customWidth="1"/>
    <col min="2307" max="2307" width="12" style="793" bestFit="1" customWidth="1"/>
    <col min="2308" max="2560" width="9.140625" style="793"/>
    <col min="2561" max="2561" width="29.5703125" style="793" bestFit="1" customWidth="1"/>
    <col min="2562" max="2562" width="19.85546875" style="793" customWidth="1"/>
    <col min="2563" max="2563" width="12" style="793" bestFit="1" customWidth="1"/>
    <col min="2564" max="2816" width="9.140625" style="793"/>
    <col min="2817" max="2817" width="29.5703125" style="793" bestFit="1" customWidth="1"/>
    <col min="2818" max="2818" width="19.85546875" style="793" customWidth="1"/>
    <col min="2819" max="2819" width="12" style="793" bestFit="1" customWidth="1"/>
    <col min="2820" max="3072" width="9.140625" style="793"/>
    <col min="3073" max="3073" width="29.5703125" style="793" bestFit="1" customWidth="1"/>
    <col min="3074" max="3074" width="19.85546875" style="793" customWidth="1"/>
    <col min="3075" max="3075" width="12" style="793" bestFit="1" customWidth="1"/>
    <col min="3076" max="3328" width="9.140625" style="793"/>
    <col min="3329" max="3329" width="29.5703125" style="793" bestFit="1" customWidth="1"/>
    <col min="3330" max="3330" width="19.85546875" style="793" customWidth="1"/>
    <col min="3331" max="3331" width="12" style="793" bestFit="1" customWidth="1"/>
    <col min="3332" max="3584" width="9.140625" style="793"/>
    <col min="3585" max="3585" width="29.5703125" style="793" bestFit="1" customWidth="1"/>
    <col min="3586" max="3586" width="19.85546875" style="793" customWidth="1"/>
    <col min="3587" max="3587" width="12" style="793" bestFit="1" customWidth="1"/>
    <col min="3588" max="3840" width="9.140625" style="793"/>
    <col min="3841" max="3841" width="29.5703125" style="793" bestFit="1" customWidth="1"/>
    <col min="3842" max="3842" width="19.85546875" style="793" customWidth="1"/>
    <col min="3843" max="3843" width="12" style="793" bestFit="1" customWidth="1"/>
    <col min="3844" max="4096" width="9.140625" style="793"/>
    <col min="4097" max="4097" width="29.5703125" style="793" bestFit="1" customWidth="1"/>
    <col min="4098" max="4098" width="19.85546875" style="793" customWidth="1"/>
    <col min="4099" max="4099" width="12" style="793" bestFit="1" customWidth="1"/>
    <col min="4100" max="4352" width="9.140625" style="793"/>
    <col min="4353" max="4353" width="29.5703125" style="793" bestFit="1" customWidth="1"/>
    <col min="4354" max="4354" width="19.85546875" style="793" customWidth="1"/>
    <col min="4355" max="4355" width="12" style="793" bestFit="1" customWidth="1"/>
    <col min="4356" max="4608" width="9.140625" style="793"/>
    <col min="4609" max="4609" width="29.5703125" style="793" bestFit="1" customWidth="1"/>
    <col min="4610" max="4610" width="19.85546875" style="793" customWidth="1"/>
    <col min="4611" max="4611" width="12" style="793" bestFit="1" customWidth="1"/>
    <col min="4612" max="4864" width="9.140625" style="793"/>
    <col min="4865" max="4865" width="29.5703125" style="793" bestFit="1" customWidth="1"/>
    <col min="4866" max="4866" width="19.85546875" style="793" customWidth="1"/>
    <col min="4867" max="4867" width="12" style="793" bestFit="1" customWidth="1"/>
    <col min="4868" max="5120" width="9.140625" style="793"/>
    <col min="5121" max="5121" width="29.5703125" style="793" bestFit="1" customWidth="1"/>
    <col min="5122" max="5122" width="19.85546875" style="793" customWidth="1"/>
    <col min="5123" max="5123" width="12" style="793" bestFit="1" customWidth="1"/>
    <col min="5124" max="5376" width="9.140625" style="793"/>
    <col min="5377" max="5377" width="29.5703125" style="793" bestFit="1" customWidth="1"/>
    <col min="5378" max="5378" width="19.85546875" style="793" customWidth="1"/>
    <col min="5379" max="5379" width="12" style="793" bestFit="1" customWidth="1"/>
    <col min="5380" max="5632" width="9.140625" style="793"/>
    <col min="5633" max="5633" width="29.5703125" style="793" bestFit="1" customWidth="1"/>
    <col min="5634" max="5634" width="19.85546875" style="793" customWidth="1"/>
    <col min="5635" max="5635" width="12" style="793" bestFit="1" customWidth="1"/>
    <col min="5636" max="5888" width="9.140625" style="793"/>
    <col min="5889" max="5889" width="29.5703125" style="793" bestFit="1" customWidth="1"/>
    <col min="5890" max="5890" width="19.85546875" style="793" customWidth="1"/>
    <col min="5891" max="5891" width="12" style="793" bestFit="1" customWidth="1"/>
    <col min="5892" max="6144" width="9.140625" style="793"/>
    <col min="6145" max="6145" width="29.5703125" style="793" bestFit="1" customWidth="1"/>
    <col min="6146" max="6146" width="19.85546875" style="793" customWidth="1"/>
    <col min="6147" max="6147" width="12" style="793" bestFit="1" customWidth="1"/>
    <col min="6148" max="6400" width="9.140625" style="793"/>
    <col min="6401" max="6401" width="29.5703125" style="793" bestFit="1" customWidth="1"/>
    <col min="6402" max="6402" width="19.85546875" style="793" customWidth="1"/>
    <col min="6403" max="6403" width="12" style="793" bestFit="1" customWidth="1"/>
    <col min="6404" max="6656" width="9.140625" style="793"/>
    <col min="6657" max="6657" width="29.5703125" style="793" bestFit="1" customWidth="1"/>
    <col min="6658" max="6658" width="19.85546875" style="793" customWidth="1"/>
    <col min="6659" max="6659" width="12" style="793" bestFit="1" customWidth="1"/>
    <col min="6660" max="6912" width="9.140625" style="793"/>
    <col min="6913" max="6913" width="29.5703125" style="793" bestFit="1" customWidth="1"/>
    <col min="6914" max="6914" width="19.85546875" style="793" customWidth="1"/>
    <col min="6915" max="6915" width="12" style="793" bestFit="1" customWidth="1"/>
    <col min="6916" max="7168" width="9.140625" style="793"/>
    <col min="7169" max="7169" width="29.5703125" style="793" bestFit="1" customWidth="1"/>
    <col min="7170" max="7170" width="19.85546875" style="793" customWidth="1"/>
    <col min="7171" max="7171" width="12" style="793" bestFit="1" customWidth="1"/>
    <col min="7172" max="7424" width="9.140625" style="793"/>
    <col min="7425" max="7425" width="29.5703125" style="793" bestFit="1" customWidth="1"/>
    <col min="7426" max="7426" width="19.85546875" style="793" customWidth="1"/>
    <col min="7427" max="7427" width="12" style="793" bestFit="1" customWidth="1"/>
    <col min="7428" max="7680" width="9.140625" style="793"/>
    <col min="7681" max="7681" width="29.5703125" style="793" bestFit="1" customWidth="1"/>
    <col min="7682" max="7682" width="19.85546875" style="793" customWidth="1"/>
    <col min="7683" max="7683" width="12" style="793" bestFit="1" customWidth="1"/>
    <col min="7684" max="7936" width="9.140625" style="793"/>
    <col min="7937" max="7937" width="29.5703125" style="793" bestFit="1" customWidth="1"/>
    <col min="7938" max="7938" width="19.85546875" style="793" customWidth="1"/>
    <col min="7939" max="7939" width="12" style="793" bestFit="1" customWidth="1"/>
    <col min="7940" max="8192" width="9.140625" style="793"/>
    <col min="8193" max="8193" width="29.5703125" style="793" bestFit="1" customWidth="1"/>
    <col min="8194" max="8194" width="19.85546875" style="793" customWidth="1"/>
    <col min="8195" max="8195" width="12" style="793" bestFit="1" customWidth="1"/>
    <col min="8196" max="8448" width="9.140625" style="793"/>
    <col min="8449" max="8449" width="29.5703125" style="793" bestFit="1" customWidth="1"/>
    <col min="8450" max="8450" width="19.85546875" style="793" customWidth="1"/>
    <col min="8451" max="8451" width="12" style="793" bestFit="1" customWidth="1"/>
    <col min="8452" max="8704" width="9.140625" style="793"/>
    <col min="8705" max="8705" width="29.5703125" style="793" bestFit="1" customWidth="1"/>
    <col min="8706" max="8706" width="19.85546875" style="793" customWidth="1"/>
    <col min="8707" max="8707" width="12" style="793" bestFit="1" customWidth="1"/>
    <col min="8708" max="8960" width="9.140625" style="793"/>
    <col min="8961" max="8961" width="29.5703125" style="793" bestFit="1" customWidth="1"/>
    <col min="8962" max="8962" width="19.85546875" style="793" customWidth="1"/>
    <col min="8963" max="8963" width="12" style="793" bestFit="1" customWidth="1"/>
    <col min="8964" max="9216" width="9.140625" style="793"/>
    <col min="9217" max="9217" width="29.5703125" style="793" bestFit="1" customWidth="1"/>
    <col min="9218" max="9218" width="19.85546875" style="793" customWidth="1"/>
    <col min="9219" max="9219" width="12" style="793" bestFit="1" customWidth="1"/>
    <col min="9220" max="9472" width="9.140625" style="793"/>
    <col min="9473" max="9473" width="29.5703125" style="793" bestFit="1" customWidth="1"/>
    <col min="9474" max="9474" width="19.85546875" style="793" customWidth="1"/>
    <col min="9475" max="9475" width="12" style="793" bestFit="1" customWidth="1"/>
    <col min="9476" max="9728" width="9.140625" style="793"/>
    <col min="9729" max="9729" width="29.5703125" style="793" bestFit="1" customWidth="1"/>
    <col min="9730" max="9730" width="19.85546875" style="793" customWidth="1"/>
    <col min="9731" max="9731" width="12" style="793" bestFit="1" customWidth="1"/>
    <col min="9732" max="9984" width="9.140625" style="793"/>
    <col min="9985" max="9985" width="29.5703125" style="793" bestFit="1" customWidth="1"/>
    <col min="9986" max="9986" width="19.85546875" style="793" customWidth="1"/>
    <col min="9987" max="9987" width="12" style="793" bestFit="1" customWidth="1"/>
    <col min="9988" max="10240" width="9.140625" style="793"/>
    <col min="10241" max="10241" width="29.5703125" style="793" bestFit="1" customWidth="1"/>
    <col min="10242" max="10242" width="19.85546875" style="793" customWidth="1"/>
    <col min="10243" max="10243" width="12" style="793" bestFit="1" customWidth="1"/>
    <col min="10244" max="10496" width="9.140625" style="793"/>
    <col min="10497" max="10497" width="29.5703125" style="793" bestFit="1" customWidth="1"/>
    <col min="10498" max="10498" width="19.85546875" style="793" customWidth="1"/>
    <col min="10499" max="10499" width="12" style="793" bestFit="1" customWidth="1"/>
    <col min="10500" max="10752" width="9.140625" style="793"/>
    <col min="10753" max="10753" width="29.5703125" style="793" bestFit="1" customWidth="1"/>
    <col min="10754" max="10754" width="19.85546875" style="793" customWidth="1"/>
    <col min="10755" max="10755" width="12" style="793" bestFit="1" customWidth="1"/>
    <col min="10756" max="11008" width="9.140625" style="793"/>
    <col min="11009" max="11009" width="29.5703125" style="793" bestFit="1" customWidth="1"/>
    <col min="11010" max="11010" width="19.85546875" style="793" customWidth="1"/>
    <col min="11011" max="11011" width="12" style="793" bestFit="1" customWidth="1"/>
    <col min="11012" max="11264" width="9.140625" style="793"/>
    <col min="11265" max="11265" width="29.5703125" style="793" bestFit="1" customWidth="1"/>
    <col min="11266" max="11266" width="19.85546875" style="793" customWidth="1"/>
    <col min="11267" max="11267" width="12" style="793" bestFit="1" customWidth="1"/>
    <col min="11268" max="11520" width="9.140625" style="793"/>
    <col min="11521" max="11521" width="29.5703125" style="793" bestFit="1" customWidth="1"/>
    <col min="11522" max="11522" width="19.85546875" style="793" customWidth="1"/>
    <col min="11523" max="11523" width="12" style="793" bestFit="1" customWidth="1"/>
    <col min="11524" max="11776" width="9.140625" style="793"/>
    <col min="11777" max="11777" width="29.5703125" style="793" bestFit="1" customWidth="1"/>
    <col min="11778" max="11778" width="19.85546875" style="793" customWidth="1"/>
    <col min="11779" max="11779" width="12" style="793" bestFit="1" customWidth="1"/>
    <col min="11780" max="12032" width="9.140625" style="793"/>
    <col min="12033" max="12033" width="29.5703125" style="793" bestFit="1" customWidth="1"/>
    <col min="12034" max="12034" width="19.85546875" style="793" customWidth="1"/>
    <col min="12035" max="12035" width="12" style="793" bestFit="1" customWidth="1"/>
    <col min="12036" max="12288" width="9.140625" style="793"/>
    <col min="12289" max="12289" width="29.5703125" style="793" bestFit="1" customWidth="1"/>
    <col min="12290" max="12290" width="19.85546875" style="793" customWidth="1"/>
    <col min="12291" max="12291" width="12" style="793" bestFit="1" customWidth="1"/>
    <col min="12292" max="12544" width="9.140625" style="793"/>
    <col min="12545" max="12545" width="29.5703125" style="793" bestFit="1" customWidth="1"/>
    <col min="12546" max="12546" width="19.85546875" style="793" customWidth="1"/>
    <col min="12547" max="12547" width="12" style="793" bestFit="1" customWidth="1"/>
    <col min="12548" max="12800" width="9.140625" style="793"/>
    <col min="12801" max="12801" width="29.5703125" style="793" bestFit="1" customWidth="1"/>
    <col min="12802" max="12802" width="19.85546875" style="793" customWidth="1"/>
    <col min="12803" max="12803" width="12" style="793" bestFit="1" customWidth="1"/>
    <col min="12804" max="13056" width="9.140625" style="793"/>
    <col min="13057" max="13057" width="29.5703125" style="793" bestFit="1" customWidth="1"/>
    <col min="13058" max="13058" width="19.85546875" style="793" customWidth="1"/>
    <col min="13059" max="13059" width="12" style="793" bestFit="1" customWidth="1"/>
    <col min="13060" max="13312" width="9.140625" style="793"/>
    <col min="13313" max="13313" width="29.5703125" style="793" bestFit="1" customWidth="1"/>
    <col min="13314" max="13314" width="19.85546875" style="793" customWidth="1"/>
    <col min="13315" max="13315" width="12" style="793" bestFit="1" customWidth="1"/>
    <col min="13316" max="13568" width="9.140625" style="793"/>
    <col min="13569" max="13569" width="29.5703125" style="793" bestFit="1" customWidth="1"/>
    <col min="13570" max="13570" width="19.85546875" style="793" customWidth="1"/>
    <col min="13571" max="13571" width="12" style="793" bestFit="1" customWidth="1"/>
    <col min="13572" max="13824" width="9.140625" style="793"/>
    <col min="13825" max="13825" width="29.5703125" style="793" bestFit="1" customWidth="1"/>
    <col min="13826" max="13826" width="19.85546875" style="793" customWidth="1"/>
    <col min="13827" max="13827" width="12" style="793" bestFit="1" customWidth="1"/>
    <col min="13828" max="14080" width="9.140625" style="793"/>
    <col min="14081" max="14081" width="29.5703125" style="793" bestFit="1" customWidth="1"/>
    <col min="14082" max="14082" width="19.85546875" style="793" customWidth="1"/>
    <col min="14083" max="14083" width="12" style="793" bestFit="1" customWidth="1"/>
    <col min="14084" max="14336" width="9.140625" style="793"/>
    <col min="14337" max="14337" width="29.5703125" style="793" bestFit="1" customWidth="1"/>
    <col min="14338" max="14338" width="19.85546875" style="793" customWidth="1"/>
    <col min="14339" max="14339" width="12" style="793" bestFit="1" customWidth="1"/>
    <col min="14340" max="14592" width="9.140625" style="793"/>
    <col min="14593" max="14593" width="29.5703125" style="793" bestFit="1" customWidth="1"/>
    <col min="14594" max="14594" width="19.85546875" style="793" customWidth="1"/>
    <col min="14595" max="14595" width="12" style="793" bestFit="1" customWidth="1"/>
    <col min="14596" max="14848" width="9.140625" style="793"/>
    <col min="14849" max="14849" width="29.5703125" style="793" bestFit="1" customWidth="1"/>
    <col min="14850" max="14850" width="19.85546875" style="793" customWidth="1"/>
    <col min="14851" max="14851" width="12" style="793" bestFit="1" customWidth="1"/>
    <col min="14852" max="15104" width="9.140625" style="793"/>
    <col min="15105" max="15105" width="29.5703125" style="793" bestFit="1" customWidth="1"/>
    <col min="15106" max="15106" width="19.85546875" style="793" customWidth="1"/>
    <col min="15107" max="15107" width="12" style="793" bestFit="1" customWidth="1"/>
    <col min="15108" max="15360" width="9.140625" style="793"/>
    <col min="15361" max="15361" width="29.5703125" style="793" bestFit="1" customWidth="1"/>
    <col min="15362" max="15362" width="19.85546875" style="793" customWidth="1"/>
    <col min="15363" max="15363" width="12" style="793" bestFit="1" customWidth="1"/>
    <col min="15364" max="15616" width="9.140625" style="793"/>
    <col min="15617" max="15617" width="29.5703125" style="793" bestFit="1" customWidth="1"/>
    <col min="15618" max="15618" width="19.85546875" style="793" customWidth="1"/>
    <col min="15619" max="15619" width="12" style="793" bestFit="1" customWidth="1"/>
    <col min="15620" max="15872" width="9.140625" style="793"/>
    <col min="15873" max="15873" width="29.5703125" style="793" bestFit="1" customWidth="1"/>
    <col min="15874" max="15874" width="19.85546875" style="793" customWidth="1"/>
    <col min="15875" max="15875" width="12" style="793" bestFit="1" customWidth="1"/>
    <col min="15876" max="16128" width="9.140625" style="793"/>
    <col min="16129" max="16129" width="29.5703125" style="793" bestFit="1" customWidth="1"/>
    <col min="16130" max="16130" width="19.85546875" style="793" customWidth="1"/>
    <col min="16131" max="16131" width="12" style="793" bestFit="1" customWidth="1"/>
    <col min="16132" max="16384" width="9.140625" style="793"/>
  </cols>
  <sheetData>
    <row r="1" spans="1:2">
      <c r="A1" s="793" t="s">
        <v>991</v>
      </c>
      <c r="B1" s="1345">
        <v>6.1</v>
      </c>
    </row>
    <row r="2" spans="1:2">
      <c r="A2" s="793" t="s">
        <v>992</v>
      </c>
      <c r="B2" s="1349">
        <v>43214.499803240738</v>
      </c>
    </row>
    <row r="3" spans="1:2">
      <c r="A3" s="793" t="s">
        <v>993</v>
      </c>
      <c r="B3" s="1346" t="s">
        <v>695</v>
      </c>
    </row>
    <row r="4" spans="1:2">
      <c r="A4" s="793" t="s">
        <v>994</v>
      </c>
      <c r="B4" s="1346" t="s">
        <v>995</v>
      </c>
    </row>
    <row r="5" spans="1:2">
      <c r="A5" s="793" t="s">
        <v>996</v>
      </c>
      <c r="B5" s="1346" t="s">
        <v>997</v>
      </c>
    </row>
    <row r="6" spans="1:2">
      <c r="A6" s="793" t="s">
        <v>998</v>
      </c>
    </row>
    <row r="7" spans="1:2">
      <c r="A7" s="793" t="s">
        <v>549</v>
      </c>
      <c r="B7" s="1346" t="s">
        <v>330</v>
      </c>
    </row>
    <row r="8" spans="1:2">
      <c r="A8" s="793" t="s">
        <v>999</v>
      </c>
      <c r="B8" s="1346" t="s">
        <v>1000</v>
      </c>
    </row>
    <row r="9" spans="1:2">
      <c r="A9" s="793" t="s">
        <v>1001</v>
      </c>
      <c r="B9" s="1346" t="s">
        <v>1038</v>
      </c>
    </row>
    <row r="10" spans="1:2">
      <c r="A10" s="793" t="s">
        <v>1002</v>
      </c>
    </row>
    <row r="11" spans="1:2">
      <c r="A11" s="793" t="s">
        <v>1003</v>
      </c>
    </row>
    <row r="12" spans="1:2">
      <c r="A12" s="793" t="s">
        <v>1004</v>
      </c>
    </row>
    <row r="13" spans="1:2">
      <c r="A13" s="793" t="s">
        <v>1005</v>
      </c>
    </row>
    <row r="14" spans="1:2">
      <c r="A14" s="793" t="s">
        <v>1006</v>
      </c>
    </row>
    <row r="15" spans="1:2">
      <c r="A15" s="793" t="s">
        <v>1007</v>
      </c>
    </row>
    <row r="16" spans="1:2">
      <c r="A16" s="793" t="s">
        <v>1008</v>
      </c>
    </row>
    <row r="17" spans="1:4">
      <c r="A17" s="793" t="s">
        <v>1009</v>
      </c>
      <c r="B17" s="1346" t="s">
        <v>1039</v>
      </c>
    </row>
    <row r="18" spans="1:4">
      <c r="A18" s="793" t="s">
        <v>1010</v>
      </c>
      <c r="B18" s="1346" t="s">
        <v>1042</v>
      </c>
    </row>
    <row r="19" spans="1:4">
      <c r="A19" s="793" t="s">
        <v>1011</v>
      </c>
      <c r="B19" s="1346" t="s">
        <v>577</v>
      </c>
    </row>
    <row r="20" spans="1:4">
      <c r="A20" s="793" t="s">
        <v>1012</v>
      </c>
      <c r="B20" s="1347">
        <v>670346105</v>
      </c>
    </row>
    <row r="21" spans="1:4">
      <c r="A21" s="793" t="s">
        <v>1013</v>
      </c>
      <c r="B21" s="1346" t="s">
        <v>577</v>
      </c>
    </row>
    <row r="22" spans="1:4">
      <c r="A22" s="793" t="s">
        <v>1014</v>
      </c>
      <c r="B22" s="1347">
        <v>2651086</v>
      </c>
    </row>
    <row r="23" spans="1:4">
      <c r="A23" s="793" t="s">
        <v>365</v>
      </c>
      <c r="B23" s="1345">
        <v>62.88</v>
      </c>
    </row>
    <row r="24" spans="1:4">
      <c r="A24" s="793" t="s">
        <v>155</v>
      </c>
      <c r="B24" s="1346" t="s">
        <v>554</v>
      </c>
      <c r="D24" s="793" t="s">
        <v>230</v>
      </c>
    </row>
    <row r="25" spans="1:4">
      <c r="A25" s="793" t="s">
        <v>1015</v>
      </c>
      <c r="B25" s="1346" t="s">
        <v>1043</v>
      </c>
    </row>
    <row r="26" spans="1:4">
      <c r="A26" s="793" t="s">
        <v>1016</v>
      </c>
      <c r="B26" s="1346">
        <v>0</v>
      </c>
    </row>
    <row r="27" spans="1:4">
      <c r="A27" s="793" t="s">
        <v>1017</v>
      </c>
      <c r="B27" s="1346" t="s">
        <v>1018</v>
      </c>
    </row>
    <row r="28" spans="1:4">
      <c r="A28" s="793" t="s">
        <v>1019</v>
      </c>
      <c r="B28" s="1346" t="s">
        <v>1020</v>
      </c>
    </row>
    <row r="29" spans="1:4">
      <c r="A29" s="793" t="s">
        <v>1021</v>
      </c>
    </row>
    <row r="30" spans="1:4">
      <c r="A30" s="793" t="s">
        <v>1022</v>
      </c>
    </row>
    <row r="31" spans="1:4">
      <c r="A31" s="793" t="s">
        <v>1023</v>
      </c>
    </row>
    <row r="32" spans="1:4">
      <c r="A32" s="793" t="s">
        <v>1024</v>
      </c>
      <c r="B32" s="1345"/>
    </row>
    <row r="33" spans="1:2">
      <c r="A33" s="793" t="s">
        <v>1025</v>
      </c>
      <c r="B33" s="1345"/>
    </row>
    <row r="34" spans="1:2">
      <c r="A34" s="793" t="s">
        <v>1026</v>
      </c>
      <c r="B34" s="1345"/>
    </row>
    <row r="35" spans="1:2">
      <c r="A35" s="793" t="s">
        <v>1027</v>
      </c>
      <c r="B35" s="1346">
        <v>1000000</v>
      </c>
    </row>
    <row r="36" spans="1:2">
      <c r="A36" s="793" t="s">
        <v>1028</v>
      </c>
      <c r="B36" s="1346" t="s">
        <v>1040</v>
      </c>
    </row>
    <row r="37" spans="1:2">
      <c r="A37" s="793" t="s">
        <v>1029</v>
      </c>
      <c r="B37" s="1346" t="s">
        <v>1030</v>
      </c>
    </row>
    <row r="38" spans="1:2">
      <c r="A38" s="793" t="s">
        <v>1031</v>
      </c>
      <c r="B38" s="1346" t="s">
        <v>1032</v>
      </c>
    </row>
    <row r="39" spans="1:2">
      <c r="A39" s="793" t="s">
        <v>1033</v>
      </c>
      <c r="B39" s="1346" t="s">
        <v>1041</v>
      </c>
    </row>
    <row r="40" spans="1:2">
      <c r="A40" s="793" t="s">
        <v>1034</v>
      </c>
      <c r="B40" s="1346">
        <v>1500001333</v>
      </c>
    </row>
    <row r="41" spans="1:2">
      <c r="A41" s="793" t="s">
        <v>1035</v>
      </c>
      <c r="B41" s="1346">
        <v>1</v>
      </c>
    </row>
    <row r="42" spans="1:2">
      <c r="A42" s="1348" t="s">
        <v>1036</v>
      </c>
    </row>
    <row r="43" spans="1:2">
      <c r="A43" s="793" t="s">
        <v>1037</v>
      </c>
    </row>
  </sheetData>
  <pageMargins left="0.75" right="0.75" top="1" bottom="1" header="0.5" footer="0.5"/>
  <pageSetup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13"/>
  <sheetViews>
    <sheetView workbookViewId="0">
      <selection activeCell="E11" sqref="E11"/>
    </sheetView>
  </sheetViews>
  <sheetFormatPr defaultRowHeight="12.75"/>
  <cols>
    <col min="1" max="1" width="28.5703125" style="793" bestFit="1" customWidth="1"/>
    <col min="2" max="256" width="9.140625" style="793"/>
    <col min="257" max="257" width="28.5703125" style="793" bestFit="1" customWidth="1"/>
    <col min="258" max="512" width="9.140625" style="793"/>
    <col min="513" max="513" width="28.5703125" style="793" bestFit="1" customWidth="1"/>
    <col min="514" max="768" width="9.140625" style="793"/>
    <col min="769" max="769" width="28.5703125" style="793" bestFit="1" customWidth="1"/>
    <col min="770" max="1024" width="9.140625" style="793"/>
    <col min="1025" max="1025" width="28.5703125" style="793" bestFit="1" customWidth="1"/>
    <col min="1026" max="1280" width="9.140625" style="793"/>
    <col min="1281" max="1281" width="28.5703125" style="793" bestFit="1" customWidth="1"/>
    <col min="1282" max="1536" width="9.140625" style="793"/>
    <col min="1537" max="1537" width="28.5703125" style="793" bestFit="1" customWidth="1"/>
    <col min="1538" max="1792" width="9.140625" style="793"/>
    <col min="1793" max="1793" width="28.5703125" style="793" bestFit="1" customWidth="1"/>
    <col min="1794" max="2048" width="9.140625" style="793"/>
    <col min="2049" max="2049" width="28.5703125" style="793" bestFit="1" customWidth="1"/>
    <col min="2050" max="2304" width="9.140625" style="793"/>
    <col min="2305" max="2305" width="28.5703125" style="793" bestFit="1" customWidth="1"/>
    <col min="2306" max="2560" width="9.140625" style="793"/>
    <col min="2561" max="2561" width="28.5703125" style="793" bestFit="1" customWidth="1"/>
    <col min="2562" max="2816" width="9.140625" style="793"/>
    <col min="2817" max="2817" width="28.5703125" style="793" bestFit="1" customWidth="1"/>
    <col min="2818" max="3072" width="9.140625" style="793"/>
    <col min="3073" max="3073" width="28.5703125" style="793" bestFit="1" customWidth="1"/>
    <col min="3074" max="3328" width="9.140625" style="793"/>
    <col min="3329" max="3329" width="28.5703125" style="793" bestFit="1" customWidth="1"/>
    <col min="3330" max="3584" width="9.140625" style="793"/>
    <col min="3585" max="3585" width="28.5703125" style="793" bestFit="1" customWidth="1"/>
    <col min="3586" max="3840" width="9.140625" style="793"/>
    <col min="3841" max="3841" width="28.5703125" style="793" bestFit="1" customWidth="1"/>
    <col min="3842" max="4096" width="9.140625" style="793"/>
    <col min="4097" max="4097" width="28.5703125" style="793" bestFit="1" customWidth="1"/>
    <col min="4098" max="4352" width="9.140625" style="793"/>
    <col min="4353" max="4353" width="28.5703125" style="793" bestFit="1" customWidth="1"/>
    <col min="4354" max="4608" width="9.140625" style="793"/>
    <col min="4609" max="4609" width="28.5703125" style="793" bestFit="1" customWidth="1"/>
    <col min="4610" max="4864" width="9.140625" style="793"/>
    <col min="4865" max="4865" width="28.5703125" style="793" bestFit="1" customWidth="1"/>
    <col min="4866" max="5120" width="9.140625" style="793"/>
    <col min="5121" max="5121" width="28.5703125" style="793" bestFit="1" customWidth="1"/>
    <col min="5122" max="5376" width="9.140625" style="793"/>
    <col min="5377" max="5377" width="28.5703125" style="793" bestFit="1" customWidth="1"/>
    <col min="5378" max="5632" width="9.140625" style="793"/>
    <col min="5633" max="5633" width="28.5703125" style="793" bestFit="1" customWidth="1"/>
    <col min="5634" max="5888" width="9.140625" style="793"/>
    <col min="5889" max="5889" width="28.5703125" style="793" bestFit="1" customWidth="1"/>
    <col min="5890" max="6144" width="9.140625" style="793"/>
    <col min="6145" max="6145" width="28.5703125" style="793" bestFit="1" customWidth="1"/>
    <col min="6146" max="6400" width="9.140625" style="793"/>
    <col min="6401" max="6401" width="28.5703125" style="793" bestFit="1" customWidth="1"/>
    <col min="6402" max="6656" width="9.140625" style="793"/>
    <col min="6657" max="6657" width="28.5703125" style="793" bestFit="1" customWidth="1"/>
    <col min="6658" max="6912" width="9.140625" style="793"/>
    <col min="6913" max="6913" width="28.5703125" style="793" bestFit="1" customWidth="1"/>
    <col min="6914" max="7168" width="9.140625" style="793"/>
    <col min="7169" max="7169" width="28.5703125" style="793" bestFit="1" customWidth="1"/>
    <col min="7170" max="7424" width="9.140625" style="793"/>
    <col min="7425" max="7425" width="28.5703125" style="793" bestFit="1" customWidth="1"/>
    <col min="7426" max="7680" width="9.140625" style="793"/>
    <col min="7681" max="7681" width="28.5703125" style="793" bestFit="1" customWidth="1"/>
    <col min="7682" max="7936" width="9.140625" style="793"/>
    <col min="7937" max="7937" width="28.5703125" style="793" bestFit="1" customWidth="1"/>
    <col min="7938" max="8192" width="9.140625" style="793"/>
    <col min="8193" max="8193" width="28.5703125" style="793" bestFit="1" customWidth="1"/>
    <col min="8194" max="8448" width="9.140625" style="793"/>
    <col min="8449" max="8449" width="28.5703125" style="793" bestFit="1" customWidth="1"/>
    <col min="8450" max="8704" width="9.140625" style="793"/>
    <col min="8705" max="8705" width="28.5703125" style="793" bestFit="1" customWidth="1"/>
    <col min="8706" max="8960" width="9.140625" style="793"/>
    <col min="8961" max="8961" width="28.5703125" style="793" bestFit="1" customWidth="1"/>
    <col min="8962" max="9216" width="9.140625" style="793"/>
    <col min="9217" max="9217" width="28.5703125" style="793" bestFit="1" customWidth="1"/>
    <col min="9218" max="9472" width="9.140625" style="793"/>
    <col min="9473" max="9473" width="28.5703125" style="793" bestFit="1" customWidth="1"/>
    <col min="9474" max="9728" width="9.140625" style="793"/>
    <col min="9729" max="9729" width="28.5703125" style="793" bestFit="1" customWidth="1"/>
    <col min="9730" max="9984" width="9.140625" style="793"/>
    <col min="9985" max="9985" width="28.5703125" style="793" bestFit="1" customWidth="1"/>
    <col min="9986" max="10240" width="9.140625" style="793"/>
    <col min="10241" max="10241" width="28.5703125" style="793" bestFit="1" customWidth="1"/>
    <col min="10242" max="10496" width="9.140625" style="793"/>
    <col min="10497" max="10497" width="28.5703125" style="793" bestFit="1" customWidth="1"/>
    <col min="10498" max="10752" width="9.140625" style="793"/>
    <col min="10753" max="10753" width="28.5703125" style="793" bestFit="1" customWidth="1"/>
    <col min="10754" max="11008" width="9.140625" style="793"/>
    <col min="11009" max="11009" width="28.5703125" style="793" bestFit="1" customWidth="1"/>
    <col min="11010" max="11264" width="9.140625" style="793"/>
    <col min="11265" max="11265" width="28.5703125" style="793" bestFit="1" customWidth="1"/>
    <col min="11266" max="11520" width="9.140625" style="793"/>
    <col min="11521" max="11521" width="28.5703125" style="793" bestFit="1" customWidth="1"/>
    <col min="11522" max="11776" width="9.140625" style="793"/>
    <col min="11777" max="11777" width="28.5703125" style="793" bestFit="1" customWidth="1"/>
    <col min="11778" max="12032" width="9.140625" style="793"/>
    <col min="12033" max="12033" width="28.5703125" style="793" bestFit="1" customWidth="1"/>
    <col min="12034" max="12288" width="9.140625" style="793"/>
    <col min="12289" max="12289" width="28.5703125" style="793" bestFit="1" customWidth="1"/>
    <col min="12290" max="12544" width="9.140625" style="793"/>
    <col min="12545" max="12545" width="28.5703125" style="793" bestFit="1" customWidth="1"/>
    <col min="12546" max="12800" width="9.140625" style="793"/>
    <col min="12801" max="12801" width="28.5703125" style="793" bestFit="1" customWidth="1"/>
    <col min="12802" max="13056" width="9.140625" style="793"/>
    <col min="13057" max="13057" width="28.5703125" style="793" bestFit="1" customWidth="1"/>
    <col min="13058" max="13312" width="9.140625" style="793"/>
    <col min="13313" max="13313" width="28.5703125" style="793" bestFit="1" customWidth="1"/>
    <col min="13314" max="13568" width="9.140625" style="793"/>
    <col min="13569" max="13569" width="28.5703125" style="793" bestFit="1" customWidth="1"/>
    <col min="13570" max="13824" width="9.140625" style="793"/>
    <col min="13825" max="13825" width="28.5703125" style="793" bestFit="1" customWidth="1"/>
    <col min="13826" max="14080" width="9.140625" style="793"/>
    <col min="14081" max="14081" width="28.5703125" style="793" bestFit="1" customWidth="1"/>
    <col min="14082" max="14336" width="9.140625" style="793"/>
    <col min="14337" max="14337" width="28.5703125" style="793" bestFit="1" customWidth="1"/>
    <col min="14338" max="14592" width="9.140625" style="793"/>
    <col min="14593" max="14593" width="28.5703125" style="793" bestFit="1" customWidth="1"/>
    <col min="14594" max="14848" width="9.140625" style="793"/>
    <col min="14849" max="14849" width="28.5703125" style="793" bestFit="1" customWidth="1"/>
    <col min="14850" max="15104" width="9.140625" style="793"/>
    <col min="15105" max="15105" width="28.5703125" style="793" bestFit="1" customWidth="1"/>
    <col min="15106" max="15360" width="9.140625" style="793"/>
    <col min="15361" max="15361" width="28.5703125" style="793" bestFit="1" customWidth="1"/>
    <col min="15362" max="15616" width="9.140625" style="793"/>
    <col min="15617" max="15617" width="28.5703125" style="793" bestFit="1" customWidth="1"/>
    <col min="15618" max="15872" width="9.140625" style="793"/>
    <col min="15873" max="15873" width="28.5703125" style="793" bestFit="1" customWidth="1"/>
    <col min="15874" max="16128" width="9.140625" style="793"/>
    <col min="16129" max="16129" width="28.5703125" style="793" bestFit="1" customWidth="1"/>
    <col min="16130" max="16384" width="9.140625" style="793"/>
  </cols>
  <sheetData>
    <row r="1" spans="1:1">
      <c r="A1" s="1350" t="s">
        <v>1044</v>
      </c>
    </row>
    <row r="2" spans="1:1">
      <c r="A2" s="1350" t="s">
        <v>1049</v>
      </c>
    </row>
    <row r="3" spans="1:1">
      <c r="A3" s="1350" t="s">
        <v>1050</v>
      </c>
    </row>
    <row r="4" spans="1:1">
      <c r="A4" s="1350" t="s">
        <v>1051</v>
      </c>
    </row>
    <row r="5" spans="1:1">
      <c r="A5" s="1350" t="s">
        <v>1052</v>
      </c>
    </row>
    <row r="6" spans="1:1">
      <c r="A6" s="1350" t="s">
        <v>1045</v>
      </c>
    </row>
    <row r="7" spans="1:1">
      <c r="A7" s="1350" t="s">
        <v>1053</v>
      </c>
    </row>
    <row r="8" spans="1:1">
      <c r="A8" s="1350" t="s">
        <v>1054</v>
      </c>
    </row>
    <row r="9" spans="1:1">
      <c r="A9" s="1350" t="s">
        <v>1055</v>
      </c>
    </row>
    <row r="10" spans="1:1">
      <c r="A10" s="1350" t="s">
        <v>1046</v>
      </c>
    </row>
    <row r="11" spans="1:1">
      <c r="A11" s="1350" t="s">
        <v>1056</v>
      </c>
    </row>
    <row r="12" spans="1:1">
      <c r="A12" s="1350" t="s">
        <v>1047</v>
      </c>
    </row>
    <row r="13" spans="1:1">
      <c r="A13" s="1350" t="s">
        <v>1048</v>
      </c>
    </row>
  </sheetData>
  <pageMargins left="0.75" right="0.75" top="1" bottom="1" header="0.5" footer="0.5"/>
  <headerFooter alignWithMargins="0"/>
</worksheet>
</file>

<file path=customXml/_rels/item1.xml.rels><?xml version="1.0" encoding="UTF-8" standalone="yes"?>
<Relationships xmlns="http://schemas.openxmlformats.org/package/2006/relationships">
<Relationship Id="rId1" Target="itemProps1.xml" Type="http://schemas.openxmlformats.org/officeDocument/2006/relationships/customXmlProps"/>
</Relationships>

</file>

<file path=customXml/_rels/item2.xml.rels><?xml version="1.0" encoding="UTF-8" standalone="yes"?>
<Relationships xmlns="http://schemas.openxmlformats.org/package/2006/relationships">
<Relationship Id="rId1" Target="itemProps2.xml" Type="http://schemas.openxmlformats.org/officeDocument/2006/relationships/customXmlProps"/>
</Relationships>

</file>

<file path=customXml/item1.xml><?xml version="1.0" encoding="utf-8"?>
<lk:Links xmlns:lk="thomsonreuters.linking.metadata">
  <Link>
    <GUID>5b259ba6-9768-4ee1-85d1-b394ec61d88c</GUID>
    <SOURCE_ALTADDRESS>$B$2:$J$22</SOURCE_ALTADDRESS>
    <SOURCETYPE>Table</SOURCETYPE>
    <SOURCE_OBJECTNAME>Linking_Range_22</SOURCE_OBJECTNAME>
    <OBJECTTYPE>Native</OBJECTTYPE>
    <SOURCE_SHEETCODE>Sheet25</SOURCE_SHEETCODE>
    <SOURCE_SHEETNAME>Variance</SOURCE_SHEETNAME>
    <SOURCEAPPLICATION>EXCEL_SOURCE</SOURCEAPPLICATION>
    <UPDATEDAT>4/23/2015 10:36:43 AM</UPDATEDAT>
    <SOURCE_ISOUTOFDATE>False</SOURCE_ISOUTOFDATE>
    <SOURCE_WORKBOOKNAME>NUE.xls</SOURCE_WORKBOOKNAME>
    <SOURCE_WORKBOOKPATH>\\MSAD\ROOT\NA\NY\LIB\ER\METALS\Steel\Excel\Companies and Models\NUE</SOURCE_WORKBOOKPATH>
    <IMPORTEXPORTINBLACKANDWHITE>False</IMPORTEXPORTINBLACKANDWHITE>
    <IMPORTEXPORTTABLETEXTINBLACKANDWHITE>False</IMPORTEXPORTTABLETEXTINBLACKANDWHITE>
    <TABLEBACKGROUND>Existing</TABLEBACKGROUND>
    <HIDEGRIDLINES>True</HIDEGRIDLINES>
    <TARGETTYPE>Picture</TARGETTYPE>
    <TARGETAPPLICATION>METHODE_TARGET</TARGETAPPLICATION>
    <TARGET_BINARYFULLNAME>/MSResearch/Content/ExternalAssets/2015-01/Images/-roOUIhvLCOGIU_Z_sEg--.png</TARGET_BINARYFULLNAME>
    <TARGET_STORYFULLNAME>/MSResearch/Content/ExternalAssets/2015-01/Sections/20150127_100545_Linking_Range_22.xml</TARGET_STORYFULLNAME>
    <TARGET_UUID>f82781e2-a635-11e4-9d5a-3eb708603406</TARGET_UUID>
    <TRANSPARENTBACKGROUND>False</TRANSPARENTBACKGROUND>
    <TRANSPARENTPLOTAREA>False</TRANSPARENTPLOTAREA>
    <EXTRACTSOURCEMODE>CopyToClipboard</EXTRACTSOURCEMODE>
  </Link>
  <Link>
    <GUID>866c4f69-cd6a-4690-9926-c5cc326d3fb4</GUID>
    <SOURCE_ALTADDRESS>$B$3:$J$36</SOURCE_ALTADDRESS>
    <SOURCETYPE>Table</SOURCETYPE>
    <SOURCE_OBJECTNAME>Linking_Range_16</SOURCE_OBJECTNAME>
    <OBJECTTYPE>Native</OBJECTTYPE>
    <SOURCE_SHEETCODE>Sheet31</SOURCE_SHEETCODE>
    <SOURCE_SHEETNAME>Estimates</SOURCE_SHEETNAME>
    <SOURCEAPPLICATION>EXCEL_SOURCE</SOURCEAPPLICATION>
    <UPDATEDAT>4/24/2015 5:38:57 PM</UPDATEDAT>
    <SOURCE_ISOUTOFDATE>False</SOURCE_ISOUTOFDATE>
    <SOURCE_WORKBOOKNAME>NUE.xls</SOURCE_WORKBOOKNAME>
    <SOURCE_WORKBOOKPATH>\\MSAD\ROOT\NA\NY\LIB\ER\METALS\Steel\Excel\Companies and Models\NUE</SOURCE_WORKBOOKPATH>
    <IMPORTEXPORTINBLACKANDWHITE>False</IMPORTEXPORTINBLACKANDWHITE>
    <IMPORTEXPORTTABLETEXTINBLACKANDWHITE>False</IMPORTEXPORTTABLETEXTINBLACKANDWHITE>
    <TABLEBACKGROUND>Existing</TABLEBACKGROUND>
    <HIDEGRIDLINES>True</HIDEGRIDLINES>
    <TARGETTYPE>Picture</TARGETTYPE>
    <TARGETAPPLICATION>METHODE_TARGET</TARGETAPPLICATION>
    <TARGET_BINARYFULLNAME>/MSResearch/Content/ExternalAssets/2015-01/Images/uGMo2INL-UqhZ5bIxPk71w--.png</TARGET_BINARYFULLNAME>
    <TARGET_STORYFULLNAME>/MSResearch/Content/ExternalAssets/2015-01/Sections/20150116_060744_Linking_Range_16.xml</TARGET_STORYFULLNAME>
    <TARGET_UUID>7b2aebf2-9dd4-11e4-9edc-4fa5ec7c1f73</TARGET_UUID>
    <LINKSTATUS>Unknown</LINKSTATUS>
  </Link>
  <Link>
    <GUID>aafed917-3a12-4a5d-9641-a19e442f1015</GUID>
    <SOURCE_ALTADDRESS>$B$3:$W$36</SOURCE_ALTADDRESS>
    <SOURCETYPE>Table</SOURCETYPE>
    <SOURCE_OBJECTNAME>Linking_Range_17</SOURCE_OBJECTNAME>
    <OBJECTTYPE>Native</OBJECTTYPE>
    <SOURCE_SHEETCODE>Sheet31</SOURCE_SHEETCODE>
    <SOURCE_SHEETNAME>Estimates</SOURCE_SHEETNAME>
    <SOURCEAPPLICATION>EXCEL_SOURCE</SOURCEAPPLICATION>
    <UPDATEDAT>4/24/2015 5:40:13 PM</UPDATEDAT>
    <SOURCE_ISOUTOFDATE>False</SOURCE_ISOUTOFDATE>
    <SOURCE_WORKBOOKNAME>NUE.xls</SOURCE_WORKBOOKNAME>
    <SOURCE_WORKBOOKPATH>\\MSAD\ROOT\NA\NY\LIB\ER\METALS\Steel\Excel\Companies and Models\NUE</SOURCE_WORKBOOKPATH>
    <IMPORTEXPORTINBLACKANDWHITE>False</IMPORTEXPORTINBLACKANDWHITE>
    <IMPORTEXPORTTABLETEXTINBLACKANDWHITE>False</IMPORTEXPORTTABLETEXTINBLACKANDWHITE>
    <TABLEBACKGROUND>Existing</TABLEBACKGROUND>
    <HIDEGRIDLINES>True</HIDEGRIDLINES>
    <TARGETTYPE>Picture</TARGETTYPE>
    <TARGETAPPLICATION>METHODE_TARGET</TARGETAPPLICATION>
    <EXTRACTSOURCEMODE>CopyToClipboard</EXTRACTSOURCEMODE>
    <TARGET_BINARYFULLNAME>/MSResearch/Content/ExternalAssets/2015-04/Images/5APnALq-X0iBr0GfEQ1d3Q--.png</TARGET_BINARYFULLNAME>
    <TARGET_STORYFULLNAME>/MSResearch/Content/ExternalAssets/2015-04/Sections/20150424_054010_Linking_Range_17.xml</TARGET_STORYFULLNAME>
    <TARGET_UUID>7b6f55ce-eaca-11e4-b44c-544b7b2f2e67</TARGET_UUID>
  </Link>
  <Link>
    <GUID>94f2bfe7-7bbb-4d3a-a50b-b1a9423adb3e</GUID>
    <SOURCETYPE>Chart</SOURCETYPE>
    <SOURCE_OBJECTNAME>MWA_Risk_Reward</SOURCE_OBJECTNAME>
    <SOURCE_SHEETCODE>MWRSSData</SOURCE_SHEETCODE>
    <SOURCE_SHEETNAME>MWA RR</SOURCE_SHEETNAME>
    <OBJECTTYPE>Native</OBJECTTYPE>
    <SOURCEAPPLICATION>EXCEL_SOURCE</SOURCEAPPLICATION>
    <UPDATEDAT>5/7/2015 5:15:37 PM</UPDATEDAT>
    <SOURCE_ISOUTOFDATE>False</SOURCE_ISOUTOFDATE>
    <SOURCE_WORKBOOKNAME>NUE.xls</SOURCE_WORKBOOKNAME>
    <SOURCE_WORKBOOKPATH>\\MSAD\ROOT\NA\NY\LIB\ER\METALS\Steel\Excel\Companies and Models\NUE</SOURCE_WORKBOOKPATH>
    <TRANSPARENTBACKGROUND>False</TRANSPARENTBACKGROUND>
    <TRANSPARENTPLOTAREA>False</TRANSPARENTPLOTAREA>
    <TARGETTYPE>Picture</TARGETTYPE>
    <TARGETAPPLICATION>METHODE_TARGET</TARGETAPPLICATION>
    <TABLEBACKGROUND>Existing</TABLEBACKGROUND>
    <TARGET_BINARYFULLNAME>/MSResearch/Content/ExternalAssets/2015-01/Images/u_mEOVg_YkaSBAoTD5bK_w--.png</TARGET_BINARYFULLNAME>
    <TARGET_STORYFULLNAME>/MSResearch/Content/ExternalAssets/2015-01/Sections/20150115_115539_MWA_Risk_Reward.xml</TARGET_STORYFULLNAME>
    <TARGET_UUID>555af33e-9cd7-11e4-9edc-4fa5ec7c1f73</TARGET_UUID>
    <HIDEGRIDLINES>False</HIDEGRIDLINES>
    <EXTRACTSOURCEMODE>CopyToClipboard</EXTRACTSOURCEMODE>
    <LINKSTATUS>Unknown</LINKSTATUS>
  </Link>
  <Link>
    <GUID>ee52ab70-34a8-4580-9d60-8cb958a715d1</GUID>
    <SOURCE_ALTADDRESS>$B$3:$P$36</SOURCE_ALTADDRESS>
    <SOURCETYPE>Table</SOURCETYPE>
    <SOURCE_OBJECTNAME>Linking_Range_14</SOURCE_OBJECTNAME>
    <OBJECTTYPE>Native</OBJECTTYPE>
    <SOURCE_SHEETCODE>Sheet31</SOURCE_SHEETCODE>
    <SOURCE_SHEETNAME>Estimates</SOURCE_SHEETNAME>
    <SOURCEAPPLICATION>EXCEL_SOURCE</SOURCEAPPLICATION>
    <UPDATEDAT>5/7/2015 5:29:37 PM</UPDATEDAT>
    <SOURCE_ISOUTOFDATE>False</SOURCE_ISOUTOFDATE>
    <SOURCE_WORKBOOKNAME>NUE.xls</SOURCE_WORKBOOKNAME>
    <SOURCE_WORKBOOKPATH>\\MSAD\ROOT\NA\NY\LIB\ER\METALS\Steel\Excel\Companies and Models\NUE</SOURCE_WORKBOOKPATH>
    <IMPORTEXPORTINBLACKANDWHITE>False</IMPORTEXPORTINBLACKANDWHITE>
    <IMPORTEXPORTTABLETEXTINBLACKANDWHITE>False</IMPORTEXPORTTABLETEXTINBLACKANDWHITE>
    <TABLEBACKGROUND>Existing</TABLEBACKGROUND>
    <HIDEGRIDLINES>True</HIDEGRIDLINES>
    <TARGETTYPE>Picture</TARGETTYPE>
    <TARGETAPPLICATION>METHODE_TARGET</TARGETAPPLICATION>
    <TARGET_BINARYFULLNAME>/MSResearch/Content/ExternalAssets/2014-12/Images/9bxWy7OPk_M3Jzbt_5jqg--.png</TARGET_BINARYFULLNAME>
    <TARGET_STORYFULLNAME>/MSResearch/Content/ExternalAssets/2014-12/Sections/20141202_011244_Linking_Range_14.xml</TARGET_STORYFULLNAME>
    <TARGET_UUID>d02aad30-7a4e-11e4-a118-f2cb50997d55</TARGET_UUID>
    <TRANSPARENTBACKGROUND>False</TRANSPARENTBACKGROUND>
    <TRANSPARENTPLOTAREA>False</TRANSPARENTPLOTAREA>
    <EXTRACTSOURCEMODE>CopyToClipboard</EXTRACTSOURCEMODE>
    <LINKSTATUS>Unknown</LINKSTATUS>
  </Link>
  <Link>
    <GUID>4e8b30ef-e7fc-4690-99ac-9b2f32651177</GUID>
    <SOURCE_ALTADDRESS>$B$5:$P$58</SOURCE_ALTADDRESS>
    <SOURCETYPE>Table</SOURCETYPE>
    <SOURCE_OBJECTNAME>Linking_Range_9</SOURCE_OBJECTNAME>
    <OBJECTTYPE>Native</OBJECTTYPE>
    <SOURCE_SHEETCODE>Sheet27</SOURCE_SHEETCODE>
    <SOURCE_SHEETNAME>Summary</SOURCE_SHEETNAME>
    <SOURCEAPPLICATION>EXCEL_SOURCE</SOURCEAPPLICATION>
    <UPDATEDAT>5/8/2015 1:48:05 PM</UPDATEDAT>
    <SOURCE_ISOUTOFDATE>False</SOURCE_ISOUTOFDATE>
    <SOURCE_WORKBOOKNAME>NUE.xls</SOURCE_WORKBOOKNAME>
    <SOURCE_WORKBOOKPATH>\\MSAD\ROOT\NA\NY\LIB\ER\METALS\Steel\Excel\Companies and Models\NUE</SOURCE_WORKBOOKPATH>
    <IMPORTEXPORTINBLACKANDWHITE>False</IMPORTEXPORTINBLACKANDWHITE>
    <IMPORTEXPORTTABLETEXTINBLACKANDWHITE>False</IMPORTEXPORTTABLETEXTINBLACKANDWHITE>
    <TABLEBACKGROUND>Existing</TABLEBACKGROUND>
    <HIDEGRIDLINES>True</HIDEGRIDLINES>
    <TARGETTYPE>Picture</TARGETTYPE>
    <TARGETAPPLICATION>METHODE_TARGET</TARGETAPPLICATION>
    <EXTRACTSOURCEMODE>CopyToClipboard</EXTRACTSOURCEMODE>
    <TARGET_BINARYFULLNAME>/MSResearch/Content/ExternalAssets/2015-05/Images/MUMCSmbrh0adE77iiDtW5Q--.png</TARGET_BINARYFULLNAME>
    <TARGET_STORYFULLNAME>/MSResearch/Content/ExternalAssets/2015-05/Sections/20150508_014803_Linking_Range_9.xml</TARGET_STORYFULLNAME>
    <TARGET_UUID>60237620-f5aa-11e4-96ae-7c07ebc02301</TARGET_UUID>
  </Link>
</lk:Links>
</file>

<file path=customXml/item2.xml><?xml version="1.0" encoding="utf-8"?>
<lkmtd:Metadata xmlns:lkmtd="thomsonreuters.linking.metadatachange">
  <MetadataChanged>0</MetadataChanged>
</lkmtd:Metadata>
</file>

<file path=customXml/itemProps1.xml><?xml version="1.0" encoding="utf-8"?>
<ds:datastoreItem xmlns:ds="http://schemas.openxmlformats.org/officeDocument/2006/customXml" ds:itemID="{9A6A1039-CA17-4915-B1F7-A177F77D5214}">
  <ds:schemaRefs>
    <ds:schemaRef ds:uri="thomsonreuters.linking.metadata"/>
  </ds:schemaRefs>
</ds:datastoreItem>
</file>

<file path=customXml/itemProps2.xml><?xml version="1.0" encoding="utf-8"?>
<ds:datastoreItem xmlns:ds="http://schemas.openxmlformats.org/officeDocument/2006/customXml" ds:itemID="{1F776F53-EEDA-42E2-9F2E-8B71FD535E13}">
  <ds:schemaRefs>
    <ds:schemaRef ds:uri="thomsonreuters.linking.metadatachang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72</vt:i4>
      </vt:variant>
    </vt:vector>
  </HeadingPairs>
  <TitlesOfParts>
    <vt:vector size="84" baseType="lpstr">
      <vt:lpstr>ImportantDisclosures</vt:lpstr>
      <vt:lpstr>Summary</vt:lpstr>
      <vt:lpstr>Operations</vt:lpstr>
      <vt:lpstr>Financials</vt:lpstr>
      <vt:lpstr>Price Relationships</vt:lpstr>
      <vt:lpstr>debt schedule</vt:lpstr>
      <vt:lpstr>Estimates</vt:lpstr>
      <vt:lpstr>Variance</vt:lpstr>
      <vt:lpstr>Segment EBITDA</vt:lpstr>
      <vt:lpstr>Mills</vt:lpstr>
      <vt:lpstr>IndexInformation</vt:lpstr>
      <vt:lpstr>ModPubIndex</vt:lpstr>
      <vt:lpstr>AdditionalInstructions</vt:lpstr>
      <vt:lpstr>ImportantDisclosures!Address</vt:lpstr>
      <vt:lpstr>ModPubIndex!ANA</vt:lpstr>
      <vt:lpstr>ImportantDisclosures!Authors</vt:lpstr>
      <vt:lpstr>IndexInformation!Authors</vt:lpstr>
      <vt:lpstr>ModPubIndex!BRO</vt:lpstr>
      <vt:lpstr>CopyrightStamp</vt:lpstr>
      <vt:lpstr>ModPubIndex!COU</vt:lpstr>
      <vt:lpstr>IndexInformation!CQEnd</vt:lpstr>
      <vt:lpstr>IndexInformation!Currency</vt:lpstr>
      <vt:lpstr>IndexInformation!CurrentStockPrice</vt:lpstr>
      <vt:lpstr>IndexInformation!CurrQtrEPS</vt:lpstr>
      <vt:lpstr>IndexInformation!CurrYearEPS</vt:lpstr>
      <vt:lpstr>IndexInformation!CurrYearTotalRevenue</vt:lpstr>
      <vt:lpstr>IndexInformation!CurrYearTotalRevenueActual</vt:lpstr>
      <vt:lpstr>IndexInformation!CUSIP</vt:lpstr>
      <vt:lpstr>IndexInformation!CYEnd</vt:lpstr>
      <vt:lpstr>ImportantDisclosures!Date</vt:lpstr>
      <vt:lpstr>IndexInformation!Deleted</vt:lpstr>
      <vt:lpstr>IndexInformation!Description</vt:lpstr>
      <vt:lpstr>IndexInformation!Discipline</vt:lpstr>
      <vt:lpstr>ModPubIndex!DISCIPLINE</vt:lpstr>
      <vt:lpstr>DisclosuresText</vt:lpstr>
      <vt:lpstr>IndexInformation!Distribution</vt:lpstr>
      <vt:lpstr>ModPubIndex!DOCDAT</vt:lpstr>
      <vt:lpstr>ModPubIndex!DOCTIME</vt:lpstr>
      <vt:lpstr>IndexInformation!DocType</vt:lpstr>
      <vt:lpstr>ModPubIndex!EMAIL_ALERT</vt:lpstr>
      <vt:lpstr>IndexInformation!EmailAlert</vt:lpstr>
      <vt:lpstr>IndexInformation!FiveYearGrowthRate</vt:lpstr>
      <vt:lpstr>IndexInformation!FollowingYearEPS</vt:lpstr>
      <vt:lpstr>IndexInformation!FollowingYearTotalRevenue</vt:lpstr>
      <vt:lpstr>IndexInformation!FollowingYearTotalRevenueActual</vt:lpstr>
      <vt:lpstr>ModPubIndex!HL</vt:lpstr>
      <vt:lpstr>ModPubIndex!IND</vt:lpstr>
      <vt:lpstr>ImportantDisclosures!Industry</vt:lpstr>
      <vt:lpstr>IndustryId</vt:lpstr>
      <vt:lpstr>ImportantDisclosures!IndustryRating</vt:lpstr>
      <vt:lpstr>IndexInformation!KeepVersions</vt:lpstr>
      <vt:lpstr>LanguageCode</vt:lpstr>
      <vt:lpstr>ImportantDisclosures!LastCell</vt:lpstr>
      <vt:lpstr>IndexInformation!MacroVersion</vt:lpstr>
      <vt:lpstr>ImportantDisclosures!ModelPrice</vt:lpstr>
      <vt:lpstr>IndexInformation!Multiplier</vt:lpstr>
      <vt:lpstr>IndexInformation!NextYearEPS</vt:lpstr>
      <vt:lpstr>IndexInformation!NextYearTotalRevenue</vt:lpstr>
      <vt:lpstr>IndexInformation!NextYearTotalRevenueActual</vt:lpstr>
      <vt:lpstr>NUEestimates</vt:lpstr>
      <vt:lpstr>NUESummary</vt:lpstr>
      <vt:lpstr>NUEvariance</vt:lpstr>
      <vt:lpstr>ObjectType</vt:lpstr>
      <vt:lpstr>ModPubIndex!PANA</vt:lpstr>
      <vt:lpstr>IndexInformation!PathName</vt:lpstr>
      <vt:lpstr>ModPubIndex!PRODUCT</vt:lpstr>
      <vt:lpstr>ModPubIndex!PSYM</vt:lpstr>
      <vt:lpstr>IndexInformation!PublishDate</vt:lpstr>
      <vt:lpstr>IndexInformation!Rating</vt:lpstr>
      <vt:lpstr>ImportantDisclosures!RatingsDefined</vt:lpstr>
      <vt:lpstr>IndexInformation!ResearchTopic</vt:lpstr>
      <vt:lpstr>IndexInformation!RIC</vt:lpstr>
      <vt:lpstr>IndexInformation!SEDOL</vt:lpstr>
      <vt:lpstr>ImportantDisclosures!SourceDefined</vt:lpstr>
      <vt:lpstr>ImportantDisclosures!StockRating</vt:lpstr>
      <vt:lpstr>IndexInformation!SubjectCode</vt:lpstr>
      <vt:lpstr>SubmitterUserId</vt:lpstr>
      <vt:lpstr>ModPubIndex!SUPPRESSED</vt:lpstr>
      <vt:lpstr>ImportantDisclosures!TargetPrice</vt:lpstr>
      <vt:lpstr>TemplateRegion</vt:lpstr>
      <vt:lpstr>ImportantDisclosures!Ticker</vt:lpstr>
      <vt:lpstr>TickerRegion</vt:lpstr>
      <vt:lpstr>IndexInformation!Tickers</vt:lpstr>
      <vt:lpstr>IndexInformation!UpdateReason</vt:lpstr>
    </vt:vector>
  </TitlesOfParts>
  <Company>Morgan Stanley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2003-02-13T16:26:21Z</dcterms:created>
  <dc:creator>wileyk</dc:creator>
  <cp:lastModifiedBy>Nandu, Ankit (Research)</cp:lastModifiedBy>
  <cp:lastPrinted>2018-04-23T23:15:38Z</cp:lastPrinted>
  <dcterms:modified xsi:type="dcterms:W3CDTF">2018-04-24T06:29:46Z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ModelwareExpressVersionNumber" pid="2">
    <vt:lpwstr>3.00</vt:lpwstr>
  </property>
  <property fmtid="{D5CDD505-2E9C-101B-9397-08002B2CF9AE}" name="LinkingAutoNameNumberLinking_Range_" pid="3">
    <vt:lpwstr>20</vt:lpwstr>
  </property>
  <property fmtid="{D5CDD505-2E9C-101B-9397-08002B2CF9AE}" name="ERModPubTicket" pid="4">
    <vt:lpwstr>NA</vt:lpwstr>
  </property>
  <property fmtid="{D5CDD505-2E9C-101B-9397-08002B2CF9AE}" name="ERCompanyUploadState" pid="5">
    <vt:lpwstr>P</vt:lpwstr>
  </property>
  <property fmtid="{D5CDD505-2E9C-101B-9397-08002B2CF9AE}" name="ModelId" pid="6">
    <vt:lpwstr>763508</vt:lpwstr>
  </property>
  <property fmtid="{D5CDD505-2E9C-101B-9397-08002B2CF9AE}" name="ERModPubCompanyName" pid="7">
    <vt:lpwstr>Nucor Corporation</vt:lpwstr>
  </property>
  <property fmtid="{D5CDD505-2E9C-101B-9397-08002B2CF9AE}" name="MSDH34TAG" pid="8">
    <vt:lpwstr>.TEZUF76X5TAHATHESADREYAK-00-INB160+*94600-06=e4bf0c4a/-4788/-11e8/-adef/-6a0a1ce82510,MD=20180424031333/-0400,ZZ=000Z-c5c2.</vt:lpwstr>
  </property>
</Properties>
</file>