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30" windowWidth="24240" windowHeight="13350"/>
  </bookViews>
  <sheets>
    <sheet name="ImportantDisclosures" sheetId="19" r:id="rId1"/>
    <sheet name="Valuation" sheetId="1" r:id="rId2"/>
    <sheet name="DCF" sheetId="2" r:id="rId3"/>
    <sheet name="Financials" sheetId="3" r:id="rId4"/>
    <sheet name="Segments" sheetId="4" r:id="rId5"/>
    <sheet name="Earnings" sheetId="5" r:id="rId6"/>
    <sheet name="Changes" sheetId="6" r:id="rId7"/>
    <sheet name="Debt" sheetId="11" r:id="rId8"/>
    <sheet name="IndexInformation" sheetId="20" r:id="rId9"/>
    <sheet name="ModPubIndex" sheetId="21" r:id="rId10"/>
    <sheet name="MW-Cache" sheetId="10" state="veryHidden" r:id="rId11"/>
  </sheets>
  <definedNames>
    <definedName name="__abc1" localSheetId="4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__abc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__FDS_HYPERLINK_TOGGLE_STATE__" hidden="1">"ON"</definedName>
    <definedName name="__FDS_UNIQUE_RANGE_ID_GENERATOR_COUNTER" hidden="1">1</definedName>
    <definedName name="_1__FDSAUDITLINK__" localSheetId="6" hidden="1">{"fdsup://directions/FAT Viewer?action=UPDATE&amp;creator=factset&amp;DYN_ARGS=TRUE&amp;DOC_NAME=FAT:FQL_AUDITING_CLIENT_TEMPLATE.FAT&amp;display_string=Audit&amp;VAR:KEY=XWZOZMPGZW&amp;VAR:QUERY=RkZfRUJJVERBX09QRVIoQU5OLDEvMS8yMDAwLDEvMjYvMjAwMixDWSk=&amp;WINDOW=FIRST_POPUP&amp;HEIGHT=45","0&amp;WIDTH=450&amp;START_MAXIMIZED=FALSE&amp;VAR:CALENDAR=US&amp;VAR:SYMBOL=BWA&amp;VAR:INDEX=1"}</definedName>
    <definedName name="_1__FDSAUDITLINK__" localSheetId="5" hidden="1">{"fdsup://directions/FAT Viewer?action=UPDATE&amp;creator=factset&amp;DYN_ARGS=TRUE&amp;DOC_NAME=FAT:FQL_AUDITING_CLIENT_TEMPLATE.FAT&amp;display_string=Audit&amp;VAR:KEY=XWZOZMPGZW&amp;VAR:QUERY=RkZfRUJJVERBX09QRVIoQU5OLDEvMS8yMDAwLDEvMjYvMjAwMixDWSk=&amp;WINDOW=FIRST_POPUP&amp;HEIGHT=45","0&amp;WIDTH=450&amp;START_MAXIMIZED=FALSE&amp;VAR:CALENDAR=US&amp;VAR:SYMBOL=BWA&amp;VAR:INDEX=1"}</definedName>
    <definedName name="_1__FDSAUDITLINK__" localSheetId="4" hidden="1">{"fdsup://directions/FAT Viewer?action=UPDATE&amp;creator=factset&amp;DYN_ARGS=TRUE&amp;DOC_NAME=FAT:FQL_AUDITING_CLIENT_TEMPLATE.FAT&amp;display_string=Audit&amp;VAR:KEY=XWZOZMPGZW&amp;VAR:QUERY=RkZfRUJJVERBX09QRVIoQU5OLDEvMS8yMDAwLDEvMjYvMjAwMixDWSk=&amp;WINDOW=FIRST_POPUP&amp;HEIGHT=45","0&amp;WIDTH=450&amp;START_MAXIMIZED=FALSE&amp;VAR:CALENDAR=US&amp;VAR:SYMBOL=BWA&amp;VAR:INDEX=1"}</definedName>
    <definedName name="_1__FDSAUDITLINK__" localSheetId="1" hidden="1">{"fdsup://directions/FAT Viewer?action=UPDATE&amp;creator=factset&amp;DYN_ARGS=TRUE&amp;DOC_NAME=FAT:FQL_AUDITING_CLIENT_TEMPLATE.FAT&amp;display_string=Audit&amp;VAR:KEY=RELINIDUNI&amp;VAR:QUERY=RkVfVkFMVUFUSU9OKCdQQlBTJywnTUVBTicsJ0FOTlVBTCcsMjAxMiwwLCwsJycp&amp;WINDOW=FIRST_POPUP&amp;H","EIGHT=450&amp;WIDTH=450&amp;START_MAXIMIZED=FALSE&amp;VAR:CALENDAR=FIVEDAY&amp;VAR:SYMBOL=671499&amp;VAR:INDEX=0"}</definedName>
    <definedName name="_1__FDSAUDITLINK__" hidden="1">{"fdsup://directions/FAT Viewer?action=UPDATE&amp;creator=factset&amp;DYN_ARGS=TRUE&amp;DOC_NAME=FAT:FQL_AUDITING_CLIENT_TEMPLATE.FAT&amp;display_string=Audit&amp;VAR:KEY=XWZOZMPGZW&amp;VAR:QUERY=RkZfRUJJVERBX09QRVIoQU5OLDEvMS8yMDAwLDEvMjYvMjAwMixDWSk=&amp;WINDOW=FIRST_POPUP&amp;HEIGHT=45","0&amp;WIDTH=450&amp;START_MAXIMIZED=FALSE&amp;VAR:CALENDAR=US&amp;VAR:SYMBOL=BWA&amp;VAR:INDEX=1"}</definedName>
    <definedName name="_10__FDSAUDITLINK__" localSheetId="6" hidden="1">{"fdsup://directions/FAT Viewer?action=UPDATE&amp;creator=factset&amp;DYN_ARGS=TRUE&amp;DOC_NAME=FAT:FQL_AUDITING_CLIENT_TEMPLATE.FAT&amp;display_string=Audit&amp;VAR:KEY=DYHONQXAZS&amp;VAR:QUERY=RkVfVkFMVUFUSU9OKCdQQlBTJywnTUVBTicsJ0FOTlVBTCcsMjAwOSwwLCwsJycp&amp;WINDOW=FIRST_POPUP&amp;H","EIGHT=450&amp;WIDTH=450&amp;START_MAXIMIZED=FALSE&amp;VAR:CALENDAR=FIVEDAY&amp;VAR:SYMBOL=648963&amp;VAR:INDEX=0"}</definedName>
    <definedName name="_10__FDSAUDITLINK__" localSheetId="5" hidden="1">{"fdsup://directions/FAT Viewer?action=UPDATE&amp;creator=factset&amp;DYN_ARGS=TRUE&amp;DOC_NAME=FAT:FQL_AUDITING_CLIENT_TEMPLATE.FAT&amp;display_string=Audit&amp;VAR:KEY=DYHONQXAZS&amp;VAR:QUERY=RkVfVkFMVUFUSU9OKCdQQlBTJywnTUVBTicsJ0FOTlVBTCcsMjAwOSwwLCwsJycp&amp;WINDOW=FIRST_POPUP&amp;H","EIGHT=450&amp;WIDTH=450&amp;START_MAXIMIZED=FALSE&amp;VAR:CALENDAR=FIVEDAY&amp;VAR:SYMBOL=648963&amp;VAR:INDEX=0"}</definedName>
    <definedName name="_10__FDSAUDITLINK__" localSheetId="4" hidden="1">{"fdsup://directions/FAT Viewer?action=UPDATE&amp;creator=factset&amp;DYN_ARGS=TRUE&amp;DOC_NAME=FAT:FQL_AUDITING_CLIENT_TEMPLATE.FAT&amp;display_string=Audit&amp;VAR:KEY=DYHONQXAZS&amp;VAR:QUERY=RkVfVkFMVUFUSU9OKCdQQlBTJywnTUVBTicsJ0FOTlVBTCcsMjAwOSwwLCwsJycp&amp;WINDOW=FIRST_POPUP&amp;H","EIGHT=450&amp;WIDTH=450&amp;START_MAXIMIZED=FALSE&amp;VAR:CALENDAR=FIVEDAY&amp;VAR:SYMBOL=648963&amp;VAR:INDEX=0"}</definedName>
    <definedName name="_10__FDSAUDITLINK__" localSheetId="1" hidden="1">{"fdsup://directions/FAT Viewer?action=UPDATE&amp;creator=factset&amp;DYN_ARGS=TRUE&amp;DOC_NAME=FAT:FQL_AUDITING_CLIENT_TEMPLATE.FAT&amp;display_string=Audit&amp;VAR:KEY=DYHONQXAZS&amp;VAR:QUERY=RkVfVkFMVUFUSU9OKCdQQlBTJywnTUVBTicsJ0FOTlVBTCcsMjAwOSwwLCwsJycp&amp;WINDOW=FIRST_POPUP&amp;H","EIGHT=450&amp;WIDTH=450&amp;START_MAXIMIZED=FALSE&amp;VAR:CALENDAR=FIVEDAY&amp;VAR:SYMBOL=648963&amp;VAR:INDEX=0"}</definedName>
    <definedName name="_10__FDSAUDITLINK__" hidden="1">{"fdsup://directions/FAT Viewer?action=UPDATE&amp;creator=factset&amp;DYN_ARGS=TRUE&amp;DOC_NAME=FAT:FQL_AUDITING_CLIENT_TEMPLATE.FAT&amp;display_string=Audit&amp;VAR:KEY=DYHONQXAZS&amp;VAR:QUERY=RkVfVkFMVUFUSU9OKCdQQlBTJywnTUVBTicsJ0FOTlVBTCcsMjAwOSwwLCwsJycp&amp;WINDOW=FIRST_POPUP&amp;H","EIGHT=450&amp;WIDTH=450&amp;START_MAXIMIZED=FALSE&amp;VAR:CALENDAR=FIVEDAY&amp;VAR:SYMBOL=648963&amp;VAR:INDEX=0"}</definedName>
    <definedName name="_100__FDSAUDITLINK__" localSheetId="6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00__FDSAUDITLINK__" localSheetId="5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00__FDSAUDITLINK__" localSheetId="4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00__FDSAUDITLINK__" localSheetId="1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00__FDSAUDITLINK__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01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01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01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01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01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02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02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02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02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02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03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03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03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03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03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04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04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04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04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04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05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05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05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05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05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06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06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06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06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06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07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07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07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07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07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08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08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08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08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08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09__FDSAUDITLINK__" localSheetId="6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09__FDSAUDITLINK__" localSheetId="5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09__FDSAUDITLINK__" localSheetId="4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09__FDSAUDITLINK__" localSheetId="1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09__FDSAUDITLINK__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1__FDSAUDITLINK__" localSheetId="6" hidden="1">{"fdsup://directions/FAT Viewer?action=UPDATE&amp;creator=factset&amp;DYN_ARGS=TRUE&amp;DOC_NAME=FAT:FQL_AUDITING_CLIENT_TEMPLATE.FAT&amp;display_string=Audit&amp;VAR:KEY=DYHONQXAZS&amp;VAR:QUERY=RkVfVkFMVUFUSU9OKCdQQlBTJywnTUVBTicsJ0FOTlVBTCcsMjAwOSwwLCwsJycp&amp;WINDOW=FIRST_POPUP&amp;H","EIGHT=450&amp;WIDTH=450&amp;START_MAXIMIZED=FALSE&amp;VAR:CALENDAR=FIVEDAY&amp;VAR:SYMBOL=648963&amp;VAR:INDEX=0"}</definedName>
    <definedName name="_11__FDSAUDITLINK__" localSheetId="5" hidden="1">{"fdsup://directions/FAT Viewer?action=UPDATE&amp;creator=factset&amp;DYN_ARGS=TRUE&amp;DOC_NAME=FAT:FQL_AUDITING_CLIENT_TEMPLATE.FAT&amp;display_string=Audit&amp;VAR:KEY=DYHONQXAZS&amp;VAR:QUERY=RkVfVkFMVUFUSU9OKCdQQlBTJywnTUVBTicsJ0FOTlVBTCcsMjAwOSwwLCwsJycp&amp;WINDOW=FIRST_POPUP&amp;H","EIGHT=450&amp;WIDTH=450&amp;START_MAXIMIZED=FALSE&amp;VAR:CALENDAR=FIVEDAY&amp;VAR:SYMBOL=648963&amp;VAR:INDEX=0"}</definedName>
    <definedName name="_11__FDSAUDITLINK__" localSheetId="4" hidden="1">{"fdsup://directions/FAT Viewer?action=UPDATE&amp;creator=factset&amp;DYN_ARGS=TRUE&amp;DOC_NAME=FAT:FQL_AUDITING_CLIENT_TEMPLATE.FAT&amp;display_string=Audit&amp;VAR:KEY=DYHONQXAZS&amp;VAR:QUERY=RkVfVkFMVUFUSU9OKCdQQlBTJywnTUVBTicsJ0FOTlVBTCcsMjAwOSwwLCwsJycp&amp;WINDOW=FIRST_POPUP&amp;H","EIGHT=450&amp;WIDTH=450&amp;START_MAXIMIZED=FALSE&amp;VAR:CALENDAR=FIVEDAY&amp;VAR:SYMBOL=648963&amp;VAR:INDEX=0"}</definedName>
    <definedName name="_11__FDSAUDITLINK__" localSheetId="1" hidden="1">{"fdsup://directions/FAT Viewer?action=UPDATE&amp;creator=factset&amp;DYN_ARGS=TRUE&amp;DOC_NAME=FAT:FQL_AUDITING_CLIENT_TEMPLATE.FAT&amp;display_string=Audit&amp;VAR:KEY=DYHONQXAZS&amp;VAR:QUERY=RkVfVkFMVUFUSU9OKCdQQlBTJywnTUVBTicsJ0FOTlVBTCcsMjAwOSwwLCwsJycp&amp;WINDOW=FIRST_POPUP&amp;H","EIGHT=450&amp;WIDTH=450&amp;START_MAXIMIZED=FALSE&amp;VAR:CALENDAR=FIVEDAY&amp;VAR:SYMBOL=648963&amp;VAR:INDEX=0"}</definedName>
    <definedName name="_11__FDSAUDITLINK__" hidden="1">{"fdsup://directions/FAT Viewer?action=UPDATE&amp;creator=factset&amp;DYN_ARGS=TRUE&amp;DOC_NAME=FAT:FQL_AUDITING_CLIENT_TEMPLATE.FAT&amp;display_string=Audit&amp;VAR:KEY=DYHONQXAZS&amp;VAR:QUERY=RkVfVkFMVUFUSU9OKCdQQlBTJywnTUVBTicsJ0FOTlVBTCcsMjAwOSwwLCwsJycp&amp;WINDOW=FIRST_POPUP&amp;H","EIGHT=450&amp;WIDTH=450&amp;START_MAXIMIZED=FALSE&amp;VAR:CALENDAR=FIVEDAY&amp;VAR:SYMBOL=648963&amp;VAR:INDEX=0"}</definedName>
    <definedName name="_110__FDSAUDITLINK__" localSheetId="6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10__FDSAUDITLINK__" localSheetId="5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10__FDSAUDITLINK__" localSheetId="4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10__FDSAUDITLINK__" localSheetId="1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10__FDSAUDITLINK__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11__FDSAUDITLINK__" localSheetId="6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11__FDSAUDITLINK__" localSheetId="5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11__FDSAUDITLINK__" localSheetId="4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11__FDSAUDITLINK__" localSheetId="1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11__FDSAUDITLINK__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12__FDSAUDITLINK__" localSheetId="6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12__FDSAUDITLINK__" localSheetId="5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12__FDSAUDITLINK__" localSheetId="4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12__FDSAUDITLINK__" localSheetId="1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12__FDSAUDITLINK__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13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13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13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13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13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14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14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14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14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14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15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15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15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15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15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16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16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16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16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16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17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17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17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17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17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18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18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18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18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18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19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19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19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19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19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2__FDSAUDITLINK__" localSheetId="6" hidden="1">{"fdsup://directions/FAT Viewer?action=UPDATE&amp;creator=factset&amp;DYN_ARGS=TRUE&amp;DOC_NAME=FAT:FQL_AUDITING_CLIENT_TEMPLATE.FAT&amp;display_string=Audit&amp;VAR:KEY=DGFSNGJUZG&amp;VAR:QUERY=RkVfVkFMVUFUSU9OKCdQQlBTJywnTUVBTicsJ0FOTlVBTCcsMjAxMiwwLCwsJycp&amp;WINDOW=FIRST_POPUP&amp;H","EIGHT=450&amp;WIDTH=450&amp;START_MAXIMIZED=FALSE&amp;VAR:CALENDAR=FIVEDAY&amp;VAR:SYMBOL=615143&amp;VAR:INDEX=0"}</definedName>
    <definedName name="_12__FDSAUDITLINK__" localSheetId="5" hidden="1">{"fdsup://directions/FAT Viewer?action=UPDATE&amp;creator=factset&amp;DYN_ARGS=TRUE&amp;DOC_NAME=FAT:FQL_AUDITING_CLIENT_TEMPLATE.FAT&amp;display_string=Audit&amp;VAR:KEY=DGFSNGJUZG&amp;VAR:QUERY=RkVfVkFMVUFUSU9OKCdQQlBTJywnTUVBTicsJ0FOTlVBTCcsMjAxMiwwLCwsJycp&amp;WINDOW=FIRST_POPUP&amp;H","EIGHT=450&amp;WIDTH=450&amp;START_MAXIMIZED=FALSE&amp;VAR:CALENDAR=FIVEDAY&amp;VAR:SYMBOL=615143&amp;VAR:INDEX=0"}</definedName>
    <definedName name="_12__FDSAUDITLINK__" localSheetId="4" hidden="1">{"fdsup://directions/FAT Viewer?action=UPDATE&amp;creator=factset&amp;DYN_ARGS=TRUE&amp;DOC_NAME=FAT:FQL_AUDITING_CLIENT_TEMPLATE.FAT&amp;display_string=Audit&amp;VAR:KEY=DGFSNGJUZG&amp;VAR:QUERY=RkVfVkFMVUFUSU9OKCdQQlBTJywnTUVBTicsJ0FOTlVBTCcsMjAxMiwwLCwsJycp&amp;WINDOW=FIRST_POPUP&amp;H","EIGHT=450&amp;WIDTH=450&amp;START_MAXIMIZED=FALSE&amp;VAR:CALENDAR=FIVEDAY&amp;VAR:SYMBOL=615143&amp;VAR:INDEX=0"}</definedName>
    <definedName name="_12__FDSAUDITLINK__" localSheetId="1" hidden="1">{"fdsup://directions/FAT Viewer?action=UPDATE&amp;creator=factset&amp;DYN_ARGS=TRUE&amp;DOC_NAME=FAT:FQL_AUDITING_CLIENT_TEMPLATE.FAT&amp;display_string=Audit&amp;VAR:KEY=DGFSNGJUZG&amp;VAR:QUERY=RkVfVkFMVUFUSU9OKCdQQlBTJywnTUVBTicsJ0FOTlVBTCcsMjAxMiwwLCwsJycp&amp;WINDOW=FIRST_POPUP&amp;H","EIGHT=450&amp;WIDTH=450&amp;START_MAXIMIZED=FALSE&amp;VAR:CALENDAR=FIVEDAY&amp;VAR:SYMBOL=615143&amp;VAR:INDEX=0"}</definedName>
    <definedName name="_12__FDSAUDITLINK__" hidden="1">{"fdsup://directions/FAT Viewer?action=UPDATE&amp;creator=factset&amp;DYN_ARGS=TRUE&amp;DOC_NAME=FAT:FQL_AUDITING_CLIENT_TEMPLATE.FAT&amp;display_string=Audit&amp;VAR:KEY=DGFSNGJUZG&amp;VAR:QUERY=RkVfVkFMVUFUSU9OKCdQQlBTJywnTUVBTicsJ0FOTlVBTCcsMjAxMiwwLCwsJycp&amp;WINDOW=FIRST_POPUP&amp;H","EIGHT=450&amp;WIDTH=450&amp;START_MAXIMIZED=FALSE&amp;VAR:CALENDAR=FIVEDAY&amp;VAR:SYMBOL=615143&amp;VAR:INDEX=0"}</definedName>
    <definedName name="_120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20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20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20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20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21__FDSAUDITLINK__" localSheetId="6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21__FDSAUDITLINK__" localSheetId="5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21__FDSAUDITLINK__" localSheetId="4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21__FDSAUDITLINK__" localSheetId="1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21__FDSAUDITLINK__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22__FDSAUDITLINK__" localSheetId="6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22__FDSAUDITLINK__" localSheetId="5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22__FDSAUDITLINK__" localSheetId="4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22__FDSAUDITLINK__" localSheetId="1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22__FDSAUDITLINK__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23__FDSAUDITLINK__" localSheetId="6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23__FDSAUDITLINK__" localSheetId="5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23__FDSAUDITLINK__" localSheetId="4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23__FDSAUDITLINK__" localSheetId="1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23__FDSAUDITLINK__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24__FDSAUDITLINK__" localSheetId="6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24__FDSAUDITLINK__" localSheetId="5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24__FDSAUDITLINK__" localSheetId="4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24__FDSAUDITLINK__" localSheetId="1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24__FDSAUDITLINK__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25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25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25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25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25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26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26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26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26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26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27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27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27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27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27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28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28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28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28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28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29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29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29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29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29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3__FDSAUDITLINK__" localSheetId="6" hidden="1">{"fdsup://directions/FAT Viewer?action=UPDATE&amp;creator=factset&amp;DYN_ARGS=TRUE&amp;DOC_NAME=FAT:FQL_AUDITING_CLIENT_TEMPLATE.FAT&amp;display_string=Audit&amp;VAR:KEY=BCBUFQRWTM&amp;VAR:QUERY=RkVfVkFMVUFUSU9OKCdQQlBTJywnTUVBTicsJ0FOTlVBTCcsMjAxMSwwLCwsJycp&amp;WINDOW=FIRST_POPUP&amp;H","EIGHT=450&amp;WIDTH=450&amp;START_MAXIMIZED=FALSE&amp;VAR:CALENDAR=FIVEDAY&amp;VAR:SYMBOL=615143&amp;VAR:INDEX=0"}</definedName>
    <definedName name="_13__FDSAUDITLINK__" localSheetId="5" hidden="1">{"fdsup://directions/FAT Viewer?action=UPDATE&amp;creator=factset&amp;DYN_ARGS=TRUE&amp;DOC_NAME=FAT:FQL_AUDITING_CLIENT_TEMPLATE.FAT&amp;display_string=Audit&amp;VAR:KEY=BCBUFQRWTM&amp;VAR:QUERY=RkVfVkFMVUFUSU9OKCdQQlBTJywnTUVBTicsJ0FOTlVBTCcsMjAxMSwwLCwsJycp&amp;WINDOW=FIRST_POPUP&amp;H","EIGHT=450&amp;WIDTH=450&amp;START_MAXIMIZED=FALSE&amp;VAR:CALENDAR=FIVEDAY&amp;VAR:SYMBOL=615143&amp;VAR:INDEX=0"}</definedName>
    <definedName name="_13__FDSAUDITLINK__" localSheetId="4" hidden="1">{"fdsup://directions/FAT Viewer?action=UPDATE&amp;creator=factset&amp;DYN_ARGS=TRUE&amp;DOC_NAME=FAT:FQL_AUDITING_CLIENT_TEMPLATE.FAT&amp;display_string=Audit&amp;VAR:KEY=BCBUFQRWTM&amp;VAR:QUERY=RkVfVkFMVUFUSU9OKCdQQlBTJywnTUVBTicsJ0FOTlVBTCcsMjAxMSwwLCwsJycp&amp;WINDOW=FIRST_POPUP&amp;H","EIGHT=450&amp;WIDTH=450&amp;START_MAXIMIZED=FALSE&amp;VAR:CALENDAR=FIVEDAY&amp;VAR:SYMBOL=615143&amp;VAR:INDEX=0"}</definedName>
    <definedName name="_13__FDSAUDITLINK__" localSheetId="1" hidden="1">{"fdsup://directions/FAT Viewer?action=UPDATE&amp;creator=factset&amp;DYN_ARGS=TRUE&amp;DOC_NAME=FAT:FQL_AUDITING_CLIENT_TEMPLATE.FAT&amp;display_string=Audit&amp;VAR:KEY=BCBUFQRWTM&amp;VAR:QUERY=RkVfVkFMVUFUSU9OKCdQQlBTJywnTUVBTicsJ0FOTlVBTCcsMjAxMSwwLCwsJycp&amp;WINDOW=FIRST_POPUP&amp;H","EIGHT=450&amp;WIDTH=450&amp;START_MAXIMIZED=FALSE&amp;VAR:CALENDAR=FIVEDAY&amp;VAR:SYMBOL=615143&amp;VAR:INDEX=0"}</definedName>
    <definedName name="_13__FDSAUDITLINK__" hidden="1">{"fdsup://directions/FAT Viewer?action=UPDATE&amp;creator=factset&amp;DYN_ARGS=TRUE&amp;DOC_NAME=FAT:FQL_AUDITING_CLIENT_TEMPLATE.FAT&amp;display_string=Audit&amp;VAR:KEY=BCBUFQRWTM&amp;VAR:QUERY=RkVfVkFMVUFUSU9OKCdQQlBTJywnTUVBTicsJ0FOTlVBTCcsMjAxMSwwLCwsJycp&amp;WINDOW=FIRST_POPUP&amp;H","EIGHT=450&amp;WIDTH=450&amp;START_MAXIMIZED=FALSE&amp;VAR:CALENDAR=FIVEDAY&amp;VAR:SYMBOL=615143&amp;VAR:INDEX=0"}</definedName>
    <definedName name="_130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30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30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30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30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31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31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31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31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31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32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32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32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32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32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33__FDSAUDITLINK__" localSheetId="6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33__FDSAUDITLINK__" localSheetId="5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33__FDSAUDITLINK__" localSheetId="4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33__FDSAUDITLINK__" localSheetId="1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33__FDSAUDITLINK__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34__FDSAUDITLINK__" localSheetId="6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34__FDSAUDITLINK__" localSheetId="5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34__FDSAUDITLINK__" localSheetId="4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34__FDSAUDITLINK__" localSheetId="1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34__FDSAUDITLINK__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35__FDSAUDITLINK__" localSheetId="6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35__FDSAUDITLINK__" localSheetId="5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35__FDSAUDITLINK__" localSheetId="4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35__FDSAUDITLINK__" localSheetId="1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35__FDSAUDITLINK__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36__FDSAUDITLINK__" localSheetId="6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36__FDSAUDITLINK__" localSheetId="5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36__FDSAUDITLINK__" localSheetId="4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36__FDSAUDITLINK__" localSheetId="1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36__FDSAUDITLINK__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37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37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37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37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37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38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38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38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38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38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39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39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39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39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39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4__FDSAUDITLINK__" localSheetId="6" hidden="1">{"fdsup://directions/FAT Viewer?action=UPDATE&amp;creator=factset&amp;DYN_ARGS=TRUE&amp;DOC_NAME=FAT:FQL_AUDITING_CLIENT_TEMPLATE.FAT&amp;display_string=Audit&amp;VAR:KEY=VCFMTMNEHC&amp;VAR:QUERY=RkVfVkFMVUFUSU9OKCdQQlBTJywnTUVBTicsJ0FOTlVBTCcsMjAxMCwwLCwsJycp&amp;WINDOW=FIRST_POPUP&amp;H","EIGHT=450&amp;WIDTH=450&amp;START_MAXIMIZED=FALSE&amp;VAR:CALENDAR=FIVEDAY&amp;VAR:SYMBOL=615143&amp;VAR:INDEX=0"}</definedName>
    <definedName name="_14__FDSAUDITLINK__" localSheetId="5" hidden="1">{"fdsup://directions/FAT Viewer?action=UPDATE&amp;creator=factset&amp;DYN_ARGS=TRUE&amp;DOC_NAME=FAT:FQL_AUDITING_CLIENT_TEMPLATE.FAT&amp;display_string=Audit&amp;VAR:KEY=VCFMTMNEHC&amp;VAR:QUERY=RkVfVkFMVUFUSU9OKCdQQlBTJywnTUVBTicsJ0FOTlVBTCcsMjAxMCwwLCwsJycp&amp;WINDOW=FIRST_POPUP&amp;H","EIGHT=450&amp;WIDTH=450&amp;START_MAXIMIZED=FALSE&amp;VAR:CALENDAR=FIVEDAY&amp;VAR:SYMBOL=615143&amp;VAR:INDEX=0"}</definedName>
    <definedName name="_14__FDSAUDITLINK__" localSheetId="4" hidden="1">{"fdsup://directions/FAT Viewer?action=UPDATE&amp;creator=factset&amp;DYN_ARGS=TRUE&amp;DOC_NAME=FAT:FQL_AUDITING_CLIENT_TEMPLATE.FAT&amp;display_string=Audit&amp;VAR:KEY=VCFMTMNEHC&amp;VAR:QUERY=RkVfVkFMVUFUSU9OKCdQQlBTJywnTUVBTicsJ0FOTlVBTCcsMjAxMCwwLCwsJycp&amp;WINDOW=FIRST_POPUP&amp;H","EIGHT=450&amp;WIDTH=450&amp;START_MAXIMIZED=FALSE&amp;VAR:CALENDAR=FIVEDAY&amp;VAR:SYMBOL=615143&amp;VAR:INDEX=0"}</definedName>
    <definedName name="_14__FDSAUDITLINK__" localSheetId="1" hidden="1">{"fdsup://directions/FAT Viewer?action=UPDATE&amp;creator=factset&amp;DYN_ARGS=TRUE&amp;DOC_NAME=FAT:FQL_AUDITING_CLIENT_TEMPLATE.FAT&amp;display_string=Audit&amp;VAR:KEY=VCFMTMNEHC&amp;VAR:QUERY=RkVfVkFMVUFUSU9OKCdQQlBTJywnTUVBTicsJ0FOTlVBTCcsMjAxMCwwLCwsJycp&amp;WINDOW=FIRST_POPUP&amp;H","EIGHT=450&amp;WIDTH=450&amp;START_MAXIMIZED=FALSE&amp;VAR:CALENDAR=FIVEDAY&amp;VAR:SYMBOL=615143&amp;VAR:INDEX=0"}</definedName>
    <definedName name="_14__FDSAUDITLINK__" hidden="1">{"fdsup://directions/FAT Viewer?action=UPDATE&amp;creator=factset&amp;DYN_ARGS=TRUE&amp;DOC_NAME=FAT:FQL_AUDITING_CLIENT_TEMPLATE.FAT&amp;display_string=Audit&amp;VAR:KEY=VCFMTMNEHC&amp;VAR:QUERY=RkVfVkFMVUFUSU9OKCdQQlBTJywnTUVBTicsJ0FOTlVBTCcsMjAxMCwwLCwsJycp&amp;WINDOW=FIRST_POPUP&amp;H","EIGHT=450&amp;WIDTH=450&amp;START_MAXIMIZED=FALSE&amp;VAR:CALENDAR=FIVEDAY&amp;VAR:SYMBOL=615143&amp;VAR:INDEX=0"}</definedName>
    <definedName name="_140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40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40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40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40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41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41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41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41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41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42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42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42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42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42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43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43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43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43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43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44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44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44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44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44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45__FDSAUDITLINK__" localSheetId="6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45__FDSAUDITLINK__" localSheetId="5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45__FDSAUDITLINK__" localSheetId="4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45__FDSAUDITLINK__" localSheetId="1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45__FDSAUDITLINK__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146__FDSAUDITLINK__" localSheetId="6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46__FDSAUDITLINK__" localSheetId="5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46__FDSAUDITLINK__" localSheetId="4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46__FDSAUDITLINK__" localSheetId="1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46__FDSAUDITLINK__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147__FDSAUDITLINK__" localSheetId="6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47__FDSAUDITLINK__" localSheetId="5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47__FDSAUDITLINK__" localSheetId="4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47__FDSAUDITLINK__" localSheetId="1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47__FDSAUDITLINK__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148__FDSAUDITLINK__" localSheetId="6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48__FDSAUDITLINK__" localSheetId="5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48__FDSAUDITLINK__" localSheetId="4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48__FDSAUDITLINK__" localSheetId="1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48__FDSAUDITLINK__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149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49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49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49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49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5__FDSAUDITLINK__" localSheetId="6" hidden="1">{"fdsup://directions/FAT Viewer?action=UPDATE&amp;creator=factset&amp;DYN_ARGS=TRUE&amp;DOC_NAME=FAT:FQL_AUDITING_CLIENT_TEMPLATE.FAT&amp;display_string=Audit&amp;VAR:KEY=PEPWDAVAVW&amp;VAR:QUERY=RkVfVkFMVUFUSU9OKCdQQlBTJywnTUVBTicsJ0FOTlVBTCcsMjAwOSwwLCwsJycp&amp;WINDOW=FIRST_POPUP&amp;H","EIGHT=450&amp;WIDTH=450&amp;START_MAXIMIZED=FALSE&amp;VAR:CALENDAR=FIVEDAY&amp;VAR:SYMBOL=615143&amp;VAR:INDEX=0"}</definedName>
    <definedName name="_15__FDSAUDITLINK__" localSheetId="5" hidden="1">{"fdsup://directions/FAT Viewer?action=UPDATE&amp;creator=factset&amp;DYN_ARGS=TRUE&amp;DOC_NAME=FAT:FQL_AUDITING_CLIENT_TEMPLATE.FAT&amp;display_string=Audit&amp;VAR:KEY=PEPWDAVAVW&amp;VAR:QUERY=RkVfVkFMVUFUSU9OKCdQQlBTJywnTUVBTicsJ0FOTlVBTCcsMjAwOSwwLCwsJycp&amp;WINDOW=FIRST_POPUP&amp;H","EIGHT=450&amp;WIDTH=450&amp;START_MAXIMIZED=FALSE&amp;VAR:CALENDAR=FIVEDAY&amp;VAR:SYMBOL=615143&amp;VAR:INDEX=0"}</definedName>
    <definedName name="_15__FDSAUDITLINK__" localSheetId="4" hidden="1">{"fdsup://directions/FAT Viewer?action=UPDATE&amp;creator=factset&amp;DYN_ARGS=TRUE&amp;DOC_NAME=FAT:FQL_AUDITING_CLIENT_TEMPLATE.FAT&amp;display_string=Audit&amp;VAR:KEY=PEPWDAVAVW&amp;VAR:QUERY=RkVfVkFMVUFUSU9OKCdQQlBTJywnTUVBTicsJ0FOTlVBTCcsMjAwOSwwLCwsJycp&amp;WINDOW=FIRST_POPUP&amp;H","EIGHT=450&amp;WIDTH=450&amp;START_MAXIMIZED=FALSE&amp;VAR:CALENDAR=FIVEDAY&amp;VAR:SYMBOL=615143&amp;VAR:INDEX=0"}</definedName>
    <definedName name="_15__FDSAUDITLINK__" localSheetId="1" hidden="1">{"fdsup://directions/FAT Viewer?action=UPDATE&amp;creator=factset&amp;DYN_ARGS=TRUE&amp;DOC_NAME=FAT:FQL_AUDITING_CLIENT_TEMPLATE.FAT&amp;display_string=Audit&amp;VAR:KEY=PEPWDAVAVW&amp;VAR:QUERY=RkVfVkFMVUFUSU9OKCdQQlBTJywnTUVBTicsJ0FOTlVBTCcsMjAwOSwwLCwsJycp&amp;WINDOW=FIRST_POPUP&amp;H","EIGHT=450&amp;WIDTH=450&amp;START_MAXIMIZED=FALSE&amp;VAR:CALENDAR=FIVEDAY&amp;VAR:SYMBOL=615143&amp;VAR:INDEX=0"}</definedName>
    <definedName name="_15__FDSAUDITLINK__" hidden="1">{"fdsup://directions/FAT Viewer?action=UPDATE&amp;creator=factset&amp;DYN_ARGS=TRUE&amp;DOC_NAME=FAT:FQL_AUDITING_CLIENT_TEMPLATE.FAT&amp;display_string=Audit&amp;VAR:KEY=PEPWDAVAVW&amp;VAR:QUERY=RkVfVkFMVUFUSU9OKCdQQlBTJywnTUVBTicsJ0FOTlVBTCcsMjAwOSwwLCwsJycp&amp;WINDOW=FIRST_POPUP&amp;H","EIGHT=450&amp;WIDTH=450&amp;START_MAXIMIZED=FALSE&amp;VAR:CALENDAR=FIVEDAY&amp;VAR:SYMBOL=615143&amp;VAR:INDEX=0"}</definedName>
    <definedName name="_150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50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50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50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50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151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51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51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51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51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52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52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52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52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52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153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53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53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53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53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54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54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54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54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54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155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55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55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55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55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56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56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56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56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56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16__FDSAUDITLINK__" localSheetId="6" hidden="1">{"fdsup://directions/FAT Viewer?action=UPDATE&amp;creator=factset&amp;DYN_ARGS=TRUE&amp;DOC_NAME=FAT:FQL_AUDITING_CLIENT_TEMPLATE.FAT&amp;display_string=Audit&amp;VAR:KEY=ZENALIHQZU&amp;VAR:QUERY=RkVfVkFMVUFUSU9OKCdQQlBTJywnTUVBTicsJ0FOTlVBTCcsMjAxMiwwLCwsJycp&amp;WINDOW=FIRST_POPUP&amp;H","EIGHT=450&amp;WIDTH=450&amp;START_MAXIMIZED=FALSE&amp;VAR:CALENDAR=FIVEDAY&amp;VAR:SYMBOL=669728&amp;VAR:INDEX=0"}</definedName>
    <definedName name="_16__FDSAUDITLINK__" localSheetId="5" hidden="1">{"fdsup://directions/FAT Viewer?action=UPDATE&amp;creator=factset&amp;DYN_ARGS=TRUE&amp;DOC_NAME=FAT:FQL_AUDITING_CLIENT_TEMPLATE.FAT&amp;display_string=Audit&amp;VAR:KEY=ZENALIHQZU&amp;VAR:QUERY=RkVfVkFMVUFUSU9OKCdQQlBTJywnTUVBTicsJ0FOTlVBTCcsMjAxMiwwLCwsJycp&amp;WINDOW=FIRST_POPUP&amp;H","EIGHT=450&amp;WIDTH=450&amp;START_MAXIMIZED=FALSE&amp;VAR:CALENDAR=FIVEDAY&amp;VAR:SYMBOL=669728&amp;VAR:INDEX=0"}</definedName>
    <definedName name="_16__FDSAUDITLINK__" localSheetId="4" hidden="1">{"fdsup://directions/FAT Viewer?action=UPDATE&amp;creator=factset&amp;DYN_ARGS=TRUE&amp;DOC_NAME=FAT:FQL_AUDITING_CLIENT_TEMPLATE.FAT&amp;display_string=Audit&amp;VAR:KEY=ZENALIHQZU&amp;VAR:QUERY=RkVfVkFMVUFUSU9OKCdQQlBTJywnTUVBTicsJ0FOTlVBTCcsMjAxMiwwLCwsJycp&amp;WINDOW=FIRST_POPUP&amp;H","EIGHT=450&amp;WIDTH=450&amp;START_MAXIMIZED=FALSE&amp;VAR:CALENDAR=FIVEDAY&amp;VAR:SYMBOL=669728&amp;VAR:INDEX=0"}</definedName>
    <definedName name="_16__FDSAUDITLINK__" localSheetId="1" hidden="1">{"fdsup://directions/FAT Viewer?action=UPDATE&amp;creator=factset&amp;DYN_ARGS=TRUE&amp;DOC_NAME=FAT:FQL_AUDITING_CLIENT_TEMPLATE.FAT&amp;display_string=Audit&amp;VAR:KEY=ZENALIHQZU&amp;VAR:QUERY=RkVfVkFMVUFUSU9OKCdQQlBTJywnTUVBTicsJ0FOTlVBTCcsMjAxMiwwLCwsJycp&amp;WINDOW=FIRST_POPUP&amp;H","EIGHT=450&amp;WIDTH=450&amp;START_MAXIMIZED=FALSE&amp;VAR:CALENDAR=FIVEDAY&amp;VAR:SYMBOL=669728&amp;VAR:INDEX=0"}</definedName>
    <definedName name="_16__FDSAUDITLINK__" hidden="1">{"fdsup://directions/FAT Viewer?action=UPDATE&amp;creator=factset&amp;DYN_ARGS=TRUE&amp;DOC_NAME=FAT:FQL_AUDITING_CLIENT_TEMPLATE.FAT&amp;display_string=Audit&amp;VAR:KEY=ZENALIHQZU&amp;VAR:QUERY=RkVfVkFMVUFUSU9OKCdQQlBTJywnTUVBTicsJ0FOTlVBTCcsMjAxMiwwLCwsJycp&amp;WINDOW=FIRST_POPUP&amp;H","EIGHT=450&amp;WIDTH=450&amp;START_MAXIMIZED=FALSE&amp;VAR:CALENDAR=FIVEDAY&amp;VAR:SYMBOL=669728&amp;VAR:INDEX=0"}</definedName>
    <definedName name="_17__FDSAUDITLINK__" localSheetId="6" hidden="1">{"fdsup://directions/FAT Viewer?action=UPDATE&amp;creator=factset&amp;DYN_ARGS=TRUE&amp;DOC_NAME=FAT:FQL_AUDITING_CLIENT_TEMPLATE.FAT&amp;display_string=Audit&amp;VAR:KEY=NEFKFOZQBK&amp;VAR:QUERY=RkVfVkFMVUFUSU9OKCdQQlBTJywnTUVBTicsJ0FOTlVBTCcsMjAxMSwwLCwsJycp&amp;WINDOW=FIRST_POPUP&amp;H","EIGHT=450&amp;WIDTH=450&amp;START_MAXIMIZED=FALSE&amp;VAR:CALENDAR=FIVEDAY&amp;VAR:SYMBOL=669728&amp;VAR:INDEX=0"}</definedName>
    <definedName name="_17__FDSAUDITLINK__" localSheetId="5" hidden="1">{"fdsup://directions/FAT Viewer?action=UPDATE&amp;creator=factset&amp;DYN_ARGS=TRUE&amp;DOC_NAME=FAT:FQL_AUDITING_CLIENT_TEMPLATE.FAT&amp;display_string=Audit&amp;VAR:KEY=NEFKFOZQBK&amp;VAR:QUERY=RkVfVkFMVUFUSU9OKCdQQlBTJywnTUVBTicsJ0FOTlVBTCcsMjAxMSwwLCwsJycp&amp;WINDOW=FIRST_POPUP&amp;H","EIGHT=450&amp;WIDTH=450&amp;START_MAXIMIZED=FALSE&amp;VAR:CALENDAR=FIVEDAY&amp;VAR:SYMBOL=669728&amp;VAR:INDEX=0"}</definedName>
    <definedName name="_17__FDSAUDITLINK__" localSheetId="4" hidden="1">{"fdsup://directions/FAT Viewer?action=UPDATE&amp;creator=factset&amp;DYN_ARGS=TRUE&amp;DOC_NAME=FAT:FQL_AUDITING_CLIENT_TEMPLATE.FAT&amp;display_string=Audit&amp;VAR:KEY=NEFKFOZQBK&amp;VAR:QUERY=RkVfVkFMVUFUSU9OKCdQQlBTJywnTUVBTicsJ0FOTlVBTCcsMjAxMSwwLCwsJycp&amp;WINDOW=FIRST_POPUP&amp;H","EIGHT=450&amp;WIDTH=450&amp;START_MAXIMIZED=FALSE&amp;VAR:CALENDAR=FIVEDAY&amp;VAR:SYMBOL=669728&amp;VAR:INDEX=0"}</definedName>
    <definedName name="_17__FDSAUDITLINK__" localSheetId="1" hidden="1">{"fdsup://directions/FAT Viewer?action=UPDATE&amp;creator=factset&amp;DYN_ARGS=TRUE&amp;DOC_NAME=FAT:FQL_AUDITING_CLIENT_TEMPLATE.FAT&amp;display_string=Audit&amp;VAR:KEY=NEFKFOZQBK&amp;VAR:QUERY=RkVfVkFMVUFUSU9OKCdQQlBTJywnTUVBTicsJ0FOTlVBTCcsMjAxMSwwLCwsJycp&amp;WINDOW=FIRST_POPUP&amp;H","EIGHT=450&amp;WIDTH=450&amp;START_MAXIMIZED=FALSE&amp;VAR:CALENDAR=FIVEDAY&amp;VAR:SYMBOL=669728&amp;VAR:INDEX=0"}</definedName>
    <definedName name="_17__FDSAUDITLINK__" hidden="1">{"fdsup://directions/FAT Viewer?action=UPDATE&amp;creator=factset&amp;DYN_ARGS=TRUE&amp;DOC_NAME=FAT:FQL_AUDITING_CLIENT_TEMPLATE.FAT&amp;display_string=Audit&amp;VAR:KEY=NEFKFOZQBK&amp;VAR:QUERY=RkVfVkFMVUFUSU9OKCdQQlBTJywnTUVBTicsJ0FOTlVBTCcsMjAxMSwwLCwsJycp&amp;WINDOW=FIRST_POPUP&amp;H","EIGHT=450&amp;WIDTH=450&amp;START_MAXIMIZED=FALSE&amp;VAR:CALENDAR=FIVEDAY&amp;VAR:SYMBOL=669728&amp;VAR:INDEX=0"}</definedName>
    <definedName name="_18__FDSAUDITLINK__" localSheetId="6" hidden="1">{"fdsup://directions/FAT Viewer?action=UPDATE&amp;creator=factset&amp;DYN_ARGS=TRUE&amp;DOC_NAME=FAT:FQL_AUDITING_CLIENT_TEMPLATE.FAT&amp;display_string=Audit&amp;VAR:KEY=BOZKRUNWHI&amp;VAR:QUERY=RkVfVkFMVUFUSU9OKCdQQlBTJywnTUVBTicsJ0FOTlVBTCcsMjAxMCwwLCwsJycp&amp;WINDOW=FIRST_POPUP&amp;H","EIGHT=450&amp;WIDTH=450&amp;START_MAXIMIZED=FALSE&amp;VAR:CALENDAR=FIVEDAY&amp;VAR:SYMBOL=669728&amp;VAR:INDEX=0"}</definedName>
    <definedName name="_18__FDSAUDITLINK__" localSheetId="5" hidden="1">{"fdsup://directions/FAT Viewer?action=UPDATE&amp;creator=factset&amp;DYN_ARGS=TRUE&amp;DOC_NAME=FAT:FQL_AUDITING_CLIENT_TEMPLATE.FAT&amp;display_string=Audit&amp;VAR:KEY=BOZKRUNWHI&amp;VAR:QUERY=RkVfVkFMVUFUSU9OKCdQQlBTJywnTUVBTicsJ0FOTlVBTCcsMjAxMCwwLCwsJycp&amp;WINDOW=FIRST_POPUP&amp;H","EIGHT=450&amp;WIDTH=450&amp;START_MAXIMIZED=FALSE&amp;VAR:CALENDAR=FIVEDAY&amp;VAR:SYMBOL=669728&amp;VAR:INDEX=0"}</definedName>
    <definedName name="_18__FDSAUDITLINK__" localSheetId="4" hidden="1">{"fdsup://directions/FAT Viewer?action=UPDATE&amp;creator=factset&amp;DYN_ARGS=TRUE&amp;DOC_NAME=FAT:FQL_AUDITING_CLIENT_TEMPLATE.FAT&amp;display_string=Audit&amp;VAR:KEY=BOZKRUNWHI&amp;VAR:QUERY=RkVfVkFMVUFUSU9OKCdQQlBTJywnTUVBTicsJ0FOTlVBTCcsMjAxMCwwLCwsJycp&amp;WINDOW=FIRST_POPUP&amp;H","EIGHT=450&amp;WIDTH=450&amp;START_MAXIMIZED=FALSE&amp;VAR:CALENDAR=FIVEDAY&amp;VAR:SYMBOL=669728&amp;VAR:INDEX=0"}</definedName>
    <definedName name="_18__FDSAUDITLINK__" localSheetId="1" hidden="1">{"fdsup://directions/FAT Viewer?action=UPDATE&amp;creator=factset&amp;DYN_ARGS=TRUE&amp;DOC_NAME=FAT:FQL_AUDITING_CLIENT_TEMPLATE.FAT&amp;display_string=Audit&amp;VAR:KEY=BOZKRUNWHI&amp;VAR:QUERY=RkVfVkFMVUFUSU9OKCdQQlBTJywnTUVBTicsJ0FOTlVBTCcsMjAxMCwwLCwsJycp&amp;WINDOW=FIRST_POPUP&amp;H","EIGHT=450&amp;WIDTH=450&amp;START_MAXIMIZED=FALSE&amp;VAR:CALENDAR=FIVEDAY&amp;VAR:SYMBOL=669728&amp;VAR:INDEX=0"}</definedName>
    <definedName name="_18__FDSAUDITLINK__" hidden="1">{"fdsup://directions/FAT Viewer?action=UPDATE&amp;creator=factset&amp;DYN_ARGS=TRUE&amp;DOC_NAME=FAT:FQL_AUDITING_CLIENT_TEMPLATE.FAT&amp;display_string=Audit&amp;VAR:KEY=BOZKRUNWHI&amp;VAR:QUERY=RkVfVkFMVUFUSU9OKCdQQlBTJywnTUVBTicsJ0FOTlVBTCcsMjAxMCwwLCwsJycp&amp;WINDOW=FIRST_POPUP&amp;H","EIGHT=450&amp;WIDTH=450&amp;START_MAXIMIZED=FALSE&amp;VAR:CALENDAR=FIVEDAY&amp;VAR:SYMBOL=669728&amp;VAR:INDEX=0"}</definedName>
    <definedName name="_19__FDSAUDITLINK__" localSheetId="6" hidden="1">{"fdsup://directions/FAT Viewer?action=UPDATE&amp;creator=factset&amp;DYN_ARGS=TRUE&amp;DOC_NAME=FAT:FQL_AUDITING_CLIENT_TEMPLATE.FAT&amp;display_string=Audit&amp;VAR:KEY=BOZKRUNWHI&amp;VAR:QUERY=RkVfVkFMVUFUSU9OKCdQQlBTJywnTUVBTicsJ0FOTlVBTCcsMjAxMCwwLCwsJycp&amp;WINDOW=FIRST_POPUP&amp;H","EIGHT=450&amp;WIDTH=450&amp;START_MAXIMIZED=FALSE&amp;VAR:CALENDAR=FIVEDAY&amp;VAR:SYMBOL=669728&amp;VAR:INDEX=0"}</definedName>
    <definedName name="_19__FDSAUDITLINK__" localSheetId="5" hidden="1">{"fdsup://directions/FAT Viewer?action=UPDATE&amp;creator=factset&amp;DYN_ARGS=TRUE&amp;DOC_NAME=FAT:FQL_AUDITING_CLIENT_TEMPLATE.FAT&amp;display_string=Audit&amp;VAR:KEY=BOZKRUNWHI&amp;VAR:QUERY=RkVfVkFMVUFUSU9OKCdQQlBTJywnTUVBTicsJ0FOTlVBTCcsMjAxMCwwLCwsJycp&amp;WINDOW=FIRST_POPUP&amp;H","EIGHT=450&amp;WIDTH=450&amp;START_MAXIMIZED=FALSE&amp;VAR:CALENDAR=FIVEDAY&amp;VAR:SYMBOL=669728&amp;VAR:INDEX=0"}</definedName>
    <definedName name="_19__FDSAUDITLINK__" localSheetId="4" hidden="1">{"fdsup://directions/FAT Viewer?action=UPDATE&amp;creator=factset&amp;DYN_ARGS=TRUE&amp;DOC_NAME=FAT:FQL_AUDITING_CLIENT_TEMPLATE.FAT&amp;display_string=Audit&amp;VAR:KEY=BOZKRUNWHI&amp;VAR:QUERY=RkVfVkFMVUFUSU9OKCdQQlBTJywnTUVBTicsJ0FOTlVBTCcsMjAxMCwwLCwsJycp&amp;WINDOW=FIRST_POPUP&amp;H","EIGHT=450&amp;WIDTH=450&amp;START_MAXIMIZED=FALSE&amp;VAR:CALENDAR=FIVEDAY&amp;VAR:SYMBOL=669728&amp;VAR:INDEX=0"}</definedName>
    <definedName name="_19__FDSAUDITLINK__" localSheetId="1" hidden="1">{"fdsup://directions/FAT Viewer?action=UPDATE&amp;creator=factset&amp;DYN_ARGS=TRUE&amp;DOC_NAME=FAT:FQL_AUDITING_CLIENT_TEMPLATE.FAT&amp;display_string=Audit&amp;VAR:KEY=BOZKRUNWHI&amp;VAR:QUERY=RkVfVkFMVUFUSU9OKCdQQlBTJywnTUVBTicsJ0FOTlVBTCcsMjAxMCwwLCwsJycp&amp;WINDOW=FIRST_POPUP&amp;H","EIGHT=450&amp;WIDTH=450&amp;START_MAXIMIZED=FALSE&amp;VAR:CALENDAR=FIVEDAY&amp;VAR:SYMBOL=669728&amp;VAR:INDEX=0"}</definedName>
    <definedName name="_19__FDSAUDITLINK__" hidden="1">{"fdsup://directions/FAT Viewer?action=UPDATE&amp;creator=factset&amp;DYN_ARGS=TRUE&amp;DOC_NAME=FAT:FQL_AUDITING_CLIENT_TEMPLATE.FAT&amp;display_string=Audit&amp;VAR:KEY=BOZKRUNWHI&amp;VAR:QUERY=RkVfVkFMVUFUSU9OKCdQQlBTJywnTUVBTicsJ0FOTlVBTCcsMjAxMCwwLCwsJycp&amp;WINDOW=FIRST_POPUP&amp;H","EIGHT=450&amp;WIDTH=450&amp;START_MAXIMIZED=FALSE&amp;VAR:CALENDAR=FIVEDAY&amp;VAR:SYMBOL=669728&amp;VAR:INDEX=0"}</definedName>
    <definedName name="_2__FDSAUDITLINK__" localSheetId="6" hidden="1">{"fdsup://directions/FAT Viewer?action=UPDATE&amp;creator=factset&amp;DYN_ARGS=TRUE&amp;DOC_NAME=FAT:FQL_AUDITING_CLIENT_TEMPLATE.FAT&amp;display_string=Audit&amp;VAR:KEY=XWZOZMPGZW&amp;VAR:QUERY=RkZfRUJJVERBX09QRVIoQU5OLDEvMS8yMDAwLDEvMjYvMjAwMixDWSk=&amp;WINDOW=FIRST_POPUP&amp;HEIGHT=45","0&amp;WIDTH=450&amp;START_MAXIMIZED=FALSE&amp;VAR:CALENDAR=US&amp;VAR:SYMBOL=BWA&amp;VAR:INDEX=0"}</definedName>
    <definedName name="_2__FDSAUDITLINK__" localSheetId="5" hidden="1">{"fdsup://directions/FAT Viewer?action=UPDATE&amp;creator=factset&amp;DYN_ARGS=TRUE&amp;DOC_NAME=FAT:FQL_AUDITING_CLIENT_TEMPLATE.FAT&amp;display_string=Audit&amp;VAR:KEY=XWZOZMPGZW&amp;VAR:QUERY=RkZfRUJJVERBX09QRVIoQU5OLDEvMS8yMDAwLDEvMjYvMjAwMixDWSk=&amp;WINDOW=FIRST_POPUP&amp;HEIGHT=45","0&amp;WIDTH=450&amp;START_MAXIMIZED=FALSE&amp;VAR:CALENDAR=US&amp;VAR:SYMBOL=BWA&amp;VAR:INDEX=0"}</definedName>
    <definedName name="_2__FDSAUDITLINK__" localSheetId="4" hidden="1">{"fdsup://directions/FAT Viewer?action=UPDATE&amp;creator=factset&amp;DYN_ARGS=TRUE&amp;DOC_NAME=FAT:FQL_AUDITING_CLIENT_TEMPLATE.FAT&amp;display_string=Audit&amp;VAR:KEY=XWZOZMPGZW&amp;VAR:QUERY=RkZfRUJJVERBX09QRVIoQU5OLDEvMS8yMDAwLDEvMjYvMjAwMixDWSk=&amp;WINDOW=FIRST_POPUP&amp;HEIGHT=45","0&amp;WIDTH=450&amp;START_MAXIMIZED=FALSE&amp;VAR:CALENDAR=US&amp;VAR:SYMBOL=BWA&amp;VAR:INDEX=0"}</definedName>
    <definedName name="_2__FDSAUDITLINK__" localSheetId="1" hidden="1">{"fdsup://directions/FAT Viewer?action=UPDATE&amp;creator=factset&amp;DYN_ARGS=TRUE&amp;DOC_NAME=FAT:FQL_AUDITING_CLIENT_TEMPLATE.FAT&amp;display_string=Audit&amp;VAR:KEY=FODUDADIPC&amp;VAR:QUERY=RkVfVkFMVUFUSU9OKCdQQlBTJywnTUVBTicsJ0FOTlVBTCcsMjAxMSwwLCwsJycp&amp;WINDOW=FIRST_POPUP&amp;H","EIGHT=450&amp;WIDTH=450&amp;START_MAXIMIZED=FALSE&amp;VAR:CALENDAR=FIVEDAY&amp;VAR:SYMBOL=671499&amp;VAR:INDEX=0"}</definedName>
    <definedName name="_2__FDSAUDITLINK__" hidden="1">{"fdsup://directions/FAT Viewer?action=UPDATE&amp;creator=factset&amp;DYN_ARGS=TRUE&amp;DOC_NAME=FAT:FQL_AUDITING_CLIENT_TEMPLATE.FAT&amp;display_string=Audit&amp;VAR:KEY=XWZOZMPGZW&amp;VAR:QUERY=RkZfRUJJVERBX09QRVIoQU5OLDEvMS8yMDAwLDEvMjYvMjAwMixDWSk=&amp;WINDOW=FIRST_POPUP&amp;HEIGHT=45","0&amp;WIDTH=450&amp;START_MAXIMIZED=FALSE&amp;VAR:CALENDAR=US&amp;VAR:SYMBOL=BWA&amp;VAR:INDEX=0"}</definedName>
    <definedName name="_20__FDSAUDITLINK__" localSheetId="6" hidden="1">{"fdsup://directions/FAT Viewer?action=UPDATE&amp;creator=factset&amp;DYN_ARGS=TRUE&amp;DOC_NAME=FAT:FQL_AUDITING_CLIENT_TEMPLATE.FAT&amp;display_string=Audit&amp;VAR:KEY=NQPUPARQXU&amp;VAR:QUERY=RkVfVkFMVUFUSU9OKCdQQlBTJywnTUVBTicsJ0FOTlVBTCcsMjAwOSwwLCwsJycp&amp;WINDOW=FIRST_POPUP&amp;H","EIGHT=450&amp;WIDTH=450&amp;START_MAXIMIZED=FALSE&amp;VAR:CALENDAR=FIVEDAY&amp;VAR:SYMBOL=669728&amp;VAR:INDEX=0"}</definedName>
    <definedName name="_20__FDSAUDITLINK__" localSheetId="5" hidden="1">{"fdsup://directions/FAT Viewer?action=UPDATE&amp;creator=factset&amp;DYN_ARGS=TRUE&amp;DOC_NAME=FAT:FQL_AUDITING_CLIENT_TEMPLATE.FAT&amp;display_string=Audit&amp;VAR:KEY=NQPUPARQXU&amp;VAR:QUERY=RkVfVkFMVUFUSU9OKCdQQlBTJywnTUVBTicsJ0FOTlVBTCcsMjAwOSwwLCwsJycp&amp;WINDOW=FIRST_POPUP&amp;H","EIGHT=450&amp;WIDTH=450&amp;START_MAXIMIZED=FALSE&amp;VAR:CALENDAR=FIVEDAY&amp;VAR:SYMBOL=669728&amp;VAR:INDEX=0"}</definedName>
    <definedName name="_20__FDSAUDITLINK__" localSheetId="4" hidden="1">{"fdsup://directions/FAT Viewer?action=UPDATE&amp;creator=factset&amp;DYN_ARGS=TRUE&amp;DOC_NAME=FAT:FQL_AUDITING_CLIENT_TEMPLATE.FAT&amp;display_string=Audit&amp;VAR:KEY=NQPUPARQXU&amp;VAR:QUERY=RkVfVkFMVUFUSU9OKCdQQlBTJywnTUVBTicsJ0FOTlVBTCcsMjAwOSwwLCwsJycp&amp;WINDOW=FIRST_POPUP&amp;H","EIGHT=450&amp;WIDTH=450&amp;START_MAXIMIZED=FALSE&amp;VAR:CALENDAR=FIVEDAY&amp;VAR:SYMBOL=669728&amp;VAR:INDEX=0"}</definedName>
    <definedName name="_20__FDSAUDITLINK__" localSheetId="1" hidden="1">{"fdsup://directions/FAT Viewer?action=UPDATE&amp;creator=factset&amp;DYN_ARGS=TRUE&amp;DOC_NAME=FAT:FQL_AUDITING_CLIENT_TEMPLATE.FAT&amp;display_string=Audit&amp;VAR:KEY=NQPUPARQXU&amp;VAR:QUERY=RkVfVkFMVUFUSU9OKCdQQlBTJywnTUVBTicsJ0FOTlVBTCcsMjAwOSwwLCwsJycp&amp;WINDOW=FIRST_POPUP&amp;H","EIGHT=450&amp;WIDTH=450&amp;START_MAXIMIZED=FALSE&amp;VAR:CALENDAR=FIVEDAY&amp;VAR:SYMBOL=669728&amp;VAR:INDEX=0"}</definedName>
    <definedName name="_20__FDSAUDITLINK__" hidden="1">{"fdsup://directions/FAT Viewer?action=UPDATE&amp;creator=factset&amp;DYN_ARGS=TRUE&amp;DOC_NAME=FAT:FQL_AUDITING_CLIENT_TEMPLATE.FAT&amp;display_string=Audit&amp;VAR:KEY=NQPUPARQXU&amp;VAR:QUERY=RkVfVkFMVUFUSU9OKCdQQlBTJywnTUVBTicsJ0FOTlVBTCcsMjAwOSwwLCwsJycp&amp;WINDOW=FIRST_POPUP&amp;H","EIGHT=450&amp;WIDTH=450&amp;START_MAXIMIZED=FALSE&amp;VAR:CALENDAR=FIVEDAY&amp;VAR:SYMBOL=669728&amp;VAR:INDEX=0"}</definedName>
    <definedName name="_21__FDSAUDITLINK__" localSheetId="6" hidden="1">{"fdsup://directions/FAT Viewer?action=UPDATE&amp;creator=factset&amp;DYN_ARGS=TRUE&amp;DOC_NAME=FAT:FQL_AUDITING_CLIENT_TEMPLATE.FAT&amp;display_string=Audit&amp;VAR:KEY=RUNOBIVMNG&amp;VAR:QUERY=RkVfVkFMVUFUSU9OKCdQQlBTJywnTUVBTicsJ0FOTlVBTCcsMjAxMiwwLCwsJycp&amp;WINDOW=FIRST_POPUP&amp;H","EIGHT=450&amp;WIDTH=450&amp;START_MAXIMIZED=FALSE&amp;VAR:CALENDAR=FIVEDAY&amp;VAR:SYMBOL=B064SH&amp;VAR:INDEX=0"}</definedName>
    <definedName name="_21__FDSAUDITLINK__" localSheetId="5" hidden="1">{"fdsup://directions/FAT Viewer?action=UPDATE&amp;creator=factset&amp;DYN_ARGS=TRUE&amp;DOC_NAME=FAT:FQL_AUDITING_CLIENT_TEMPLATE.FAT&amp;display_string=Audit&amp;VAR:KEY=RUNOBIVMNG&amp;VAR:QUERY=RkVfVkFMVUFUSU9OKCdQQlBTJywnTUVBTicsJ0FOTlVBTCcsMjAxMiwwLCwsJycp&amp;WINDOW=FIRST_POPUP&amp;H","EIGHT=450&amp;WIDTH=450&amp;START_MAXIMIZED=FALSE&amp;VAR:CALENDAR=FIVEDAY&amp;VAR:SYMBOL=B064SH&amp;VAR:INDEX=0"}</definedName>
    <definedName name="_21__FDSAUDITLINK__" localSheetId="4" hidden="1">{"fdsup://directions/FAT Viewer?action=UPDATE&amp;creator=factset&amp;DYN_ARGS=TRUE&amp;DOC_NAME=FAT:FQL_AUDITING_CLIENT_TEMPLATE.FAT&amp;display_string=Audit&amp;VAR:KEY=RUNOBIVMNG&amp;VAR:QUERY=RkVfVkFMVUFUSU9OKCdQQlBTJywnTUVBTicsJ0FOTlVBTCcsMjAxMiwwLCwsJycp&amp;WINDOW=FIRST_POPUP&amp;H","EIGHT=450&amp;WIDTH=450&amp;START_MAXIMIZED=FALSE&amp;VAR:CALENDAR=FIVEDAY&amp;VAR:SYMBOL=B064SH&amp;VAR:INDEX=0"}</definedName>
    <definedName name="_21__FDSAUDITLINK__" localSheetId="1" hidden="1">{"fdsup://directions/FAT Viewer?action=UPDATE&amp;creator=factset&amp;DYN_ARGS=TRUE&amp;DOC_NAME=FAT:FQL_AUDITING_CLIENT_TEMPLATE.FAT&amp;display_string=Audit&amp;VAR:KEY=RUNOBIVMNG&amp;VAR:QUERY=RkVfVkFMVUFUSU9OKCdQQlBTJywnTUVBTicsJ0FOTlVBTCcsMjAxMiwwLCwsJycp&amp;WINDOW=FIRST_POPUP&amp;H","EIGHT=450&amp;WIDTH=450&amp;START_MAXIMIZED=FALSE&amp;VAR:CALENDAR=FIVEDAY&amp;VAR:SYMBOL=B064SH&amp;VAR:INDEX=0"}</definedName>
    <definedName name="_21__FDSAUDITLINK__" hidden="1">{"fdsup://directions/FAT Viewer?action=UPDATE&amp;creator=factset&amp;DYN_ARGS=TRUE&amp;DOC_NAME=FAT:FQL_AUDITING_CLIENT_TEMPLATE.FAT&amp;display_string=Audit&amp;VAR:KEY=RUNOBIVMNG&amp;VAR:QUERY=RkVfVkFMVUFUSU9OKCdQQlBTJywnTUVBTicsJ0FOTlVBTCcsMjAxMiwwLCwsJycp&amp;WINDOW=FIRST_POPUP&amp;H","EIGHT=450&amp;WIDTH=450&amp;START_MAXIMIZED=FALSE&amp;VAR:CALENDAR=FIVEDAY&amp;VAR:SYMBOL=B064SH&amp;VAR:INDEX=0"}</definedName>
    <definedName name="_22__FDSAUDITLINK__" localSheetId="6" hidden="1">{"fdsup://directions/FAT Viewer?action=UPDATE&amp;creator=factset&amp;DYN_ARGS=TRUE&amp;DOC_NAME=FAT:FQL_AUDITING_CLIENT_TEMPLATE.FAT&amp;display_string=Audit&amp;VAR:KEY=LCHSVMLSVY&amp;VAR:QUERY=RkVfVkFMVUFUSU9OKCdQQlBTJywnTUVBTicsJ0FOTlVBTCcsMjAxMSwwLCwsJycp&amp;WINDOW=FIRST_POPUP&amp;H","EIGHT=450&amp;WIDTH=450&amp;START_MAXIMIZED=FALSE&amp;VAR:CALENDAR=FIVEDAY&amp;VAR:SYMBOL=B064SH&amp;VAR:INDEX=0"}</definedName>
    <definedName name="_22__FDSAUDITLINK__" localSheetId="5" hidden="1">{"fdsup://directions/FAT Viewer?action=UPDATE&amp;creator=factset&amp;DYN_ARGS=TRUE&amp;DOC_NAME=FAT:FQL_AUDITING_CLIENT_TEMPLATE.FAT&amp;display_string=Audit&amp;VAR:KEY=LCHSVMLSVY&amp;VAR:QUERY=RkVfVkFMVUFUSU9OKCdQQlBTJywnTUVBTicsJ0FOTlVBTCcsMjAxMSwwLCwsJycp&amp;WINDOW=FIRST_POPUP&amp;H","EIGHT=450&amp;WIDTH=450&amp;START_MAXIMIZED=FALSE&amp;VAR:CALENDAR=FIVEDAY&amp;VAR:SYMBOL=B064SH&amp;VAR:INDEX=0"}</definedName>
    <definedName name="_22__FDSAUDITLINK__" localSheetId="4" hidden="1">{"fdsup://directions/FAT Viewer?action=UPDATE&amp;creator=factset&amp;DYN_ARGS=TRUE&amp;DOC_NAME=FAT:FQL_AUDITING_CLIENT_TEMPLATE.FAT&amp;display_string=Audit&amp;VAR:KEY=LCHSVMLSVY&amp;VAR:QUERY=RkVfVkFMVUFUSU9OKCdQQlBTJywnTUVBTicsJ0FOTlVBTCcsMjAxMSwwLCwsJycp&amp;WINDOW=FIRST_POPUP&amp;H","EIGHT=450&amp;WIDTH=450&amp;START_MAXIMIZED=FALSE&amp;VAR:CALENDAR=FIVEDAY&amp;VAR:SYMBOL=B064SH&amp;VAR:INDEX=0"}</definedName>
    <definedName name="_22__FDSAUDITLINK__" localSheetId="1" hidden="1">{"fdsup://directions/FAT Viewer?action=UPDATE&amp;creator=factset&amp;DYN_ARGS=TRUE&amp;DOC_NAME=FAT:FQL_AUDITING_CLIENT_TEMPLATE.FAT&amp;display_string=Audit&amp;VAR:KEY=LCHSVMLSVY&amp;VAR:QUERY=RkVfVkFMVUFUSU9OKCdQQlBTJywnTUVBTicsJ0FOTlVBTCcsMjAxMSwwLCwsJycp&amp;WINDOW=FIRST_POPUP&amp;H","EIGHT=450&amp;WIDTH=450&amp;START_MAXIMIZED=FALSE&amp;VAR:CALENDAR=FIVEDAY&amp;VAR:SYMBOL=B064SH&amp;VAR:INDEX=0"}</definedName>
    <definedName name="_22__FDSAUDITLINK__" hidden="1">{"fdsup://directions/FAT Viewer?action=UPDATE&amp;creator=factset&amp;DYN_ARGS=TRUE&amp;DOC_NAME=FAT:FQL_AUDITING_CLIENT_TEMPLATE.FAT&amp;display_string=Audit&amp;VAR:KEY=LCHSVMLSVY&amp;VAR:QUERY=RkVfVkFMVUFUSU9OKCdQQlBTJywnTUVBTicsJ0FOTlVBTCcsMjAxMSwwLCwsJycp&amp;WINDOW=FIRST_POPUP&amp;H","EIGHT=450&amp;WIDTH=450&amp;START_MAXIMIZED=FALSE&amp;VAR:CALENDAR=FIVEDAY&amp;VAR:SYMBOL=B064SH&amp;VAR:INDEX=0"}</definedName>
    <definedName name="_23__FDSAUDITLINK__" localSheetId="6" hidden="1">{"fdsup://directions/FAT Viewer?action=UPDATE&amp;creator=factset&amp;DYN_ARGS=TRUE&amp;DOC_NAME=FAT:FQL_AUDITING_CLIENT_TEMPLATE.FAT&amp;display_string=Audit&amp;VAR:KEY=DCBKNWDAHK&amp;VAR:QUERY=RkVfVkFMVUFUSU9OKCdQQlBTJywnTUVBTicsJ0FOTlVBTCcsMjAxMCwwLCwsJycp&amp;WINDOW=FIRST_POPUP&amp;H","EIGHT=450&amp;WIDTH=450&amp;START_MAXIMIZED=FALSE&amp;VAR:CALENDAR=FIVEDAY&amp;VAR:SYMBOL=B064SH&amp;VAR:INDEX=0"}</definedName>
    <definedName name="_23__FDSAUDITLINK__" localSheetId="5" hidden="1">{"fdsup://directions/FAT Viewer?action=UPDATE&amp;creator=factset&amp;DYN_ARGS=TRUE&amp;DOC_NAME=FAT:FQL_AUDITING_CLIENT_TEMPLATE.FAT&amp;display_string=Audit&amp;VAR:KEY=DCBKNWDAHK&amp;VAR:QUERY=RkVfVkFMVUFUSU9OKCdQQlBTJywnTUVBTicsJ0FOTlVBTCcsMjAxMCwwLCwsJycp&amp;WINDOW=FIRST_POPUP&amp;H","EIGHT=450&amp;WIDTH=450&amp;START_MAXIMIZED=FALSE&amp;VAR:CALENDAR=FIVEDAY&amp;VAR:SYMBOL=B064SH&amp;VAR:INDEX=0"}</definedName>
    <definedName name="_23__FDSAUDITLINK__" localSheetId="4" hidden="1">{"fdsup://directions/FAT Viewer?action=UPDATE&amp;creator=factset&amp;DYN_ARGS=TRUE&amp;DOC_NAME=FAT:FQL_AUDITING_CLIENT_TEMPLATE.FAT&amp;display_string=Audit&amp;VAR:KEY=DCBKNWDAHK&amp;VAR:QUERY=RkVfVkFMVUFUSU9OKCdQQlBTJywnTUVBTicsJ0FOTlVBTCcsMjAxMCwwLCwsJycp&amp;WINDOW=FIRST_POPUP&amp;H","EIGHT=450&amp;WIDTH=450&amp;START_MAXIMIZED=FALSE&amp;VAR:CALENDAR=FIVEDAY&amp;VAR:SYMBOL=B064SH&amp;VAR:INDEX=0"}</definedName>
    <definedName name="_23__FDSAUDITLINK__" localSheetId="1" hidden="1">{"fdsup://directions/FAT Viewer?action=UPDATE&amp;creator=factset&amp;DYN_ARGS=TRUE&amp;DOC_NAME=FAT:FQL_AUDITING_CLIENT_TEMPLATE.FAT&amp;display_string=Audit&amp;VAR:KEY=DCBKNWDAHK&amp;VAR:QUERY=RkVfVkFMVUFUSU9OKCdQQlBTJywnTUVBTicsJ0FOTlVBTCcsMjAxMCwwLCwsJycp&amp;WINDOW=FIRST_POPUP&amp;H","EIGHT=450&amp;WIDTH=450&amp;START_MAXIMIZED=FALSE&amp;VAR:CALENDAR=FIVEDAY&amp;VAR:SYMBOL=B064SH&amp;VAR:INDEX=0"}</definedName>
    <definedName name="_23__FDSAUDITLINK__" hidden="1">{"fdsup://directions/FAT Viewer?action=UPDATE&amp;creator=factset&amp;DYN_ARGS=TRUE&amp;DOC_NAME=FAT:FQL_AUDITING_CLIENT_TEMPLATE.FAT&amp;display_string=Audit&amp;VAR:KEY=DCBKNWDAHK&amp;VAR:QUERY=RkVfVkFMVUFUSU9OKCdQQlBTJywnTUVBTicsJ0FOTlVBTCcsMjAxMCwwLCwsJycp&amp;WINDOW=FIRST_POPUP&amp;H","EIGHT=450&amp;WIDTH=450&amp;START_MAXIMIZED=FALSE&amp;VAR:CALENDAR=FIVEDAY&amp;VAR:SYMBOL=B064SH&amp;VAR:INDEX=0"}</definedName>
    <definedName name="_24__FDSAUDITLINK__" localSheetId="6" hidden="1">{"fdsup://directions/FAT Viewer?action=UPDATE&amp;creator=factset&amp;DYN_ARGS=TRUE&amp;DOC_NAME=FAT:FQL_AUDITING_CLIENT_TEMPLATE.FAT&amp;display_string=Audit&amp;VAR:KEY=HKPODUPWHY&amp;VAR:QUERY=RkVfVkFMVUFUSU9OKCdQQlBTJywnTUVBTicsJ0FOTlVBTCcsMjAwOSwwLCwsJycp&amp;WINDOW=FIRST_POPUP&amp;H","EIGHT=450&amp;WIDTH=450&amp;START_MAXIMIZED=FALSE&amp;VAR:CALENDAR=FIVEDAY&amp;VAR:SYMBOL=B064SH&amp;VAR:INDEX=0"}</definedName>
    <definedName name="_24__FDSAUDITLINK__" localSheetId="5" hidden="1">{"fdsup://directions/FAT Viewer?action=UPDATE&amp;creator=factset&amp;DYN_ARGS=TRUE&amp;DOC_NAME=FAT:FQL_AUDITING_CLIENT_TEMPLATE.FAT&amp;display_string=Audit&amp;VAR:KEY=HKPODUPWHY&amp;VAR:QUERY=RkVfVkFMVUFUSU9OKCdQQlBTJywnTUVBTicsJ0FOTlVBTCcsMjAwOSwwLCwsJycp&amp;WINDOW=FIRST_POPUP&amp;H","EIGHT=450&amp;WIDTH=450&amp;START_MAXIMIZED=FALSE&amp;VAR:CALENDAR=FIVEDAY&amp;VAR:SYMBOL=B064SH&amp;VAR:INDEX=0"}</definedName>
    <definedName name="_24__FDSAUDITLINK__" localSheetId="4" hidden="1">{"fdsup://directions/FAT Viewer?action=UPDATE&amp;creator=factset&amp;DYN_ARGS=TRUE&amp;DOC_NAME=FAT:FQL_AUDITING_CLIENT_TEMPLATE.FAT&amp;display_string=Audit&amp;VAR:KEY=HKPODUPWHY&amp;VAR:QUERY=RkVfVkFMVUFUSU9OKCdQQlBTJywnTUVBTicsJ0FOTlVBTCcsMjAwOSwwLCwsJycp&amp;WINDOW=FIRST_POPUP&amp;H","EIGHT=450&amp;WIDTH=450&amp;START_MAXIMIZED=FALSE&amp;VAR:CALENDAR=FIVEDAY&amp;VAR:SYMBOL=B064SH&amp;VAR:INDEX=0"}</definedName>
    <definedName name="_24__FDSAUDITLINK__" localSheetId="1" hidden="1">{"fdsup://directions/FAT Viewer?action=UPDATE&amp;creator=factset&amp;DYN_ARGS=TRUE&amp;DOC_NAME=FAT:FQL_AUDITING_CLIENT_TEMPLATE.FAT&amp;display_string=Audit&amp;VAR:KEY=HKPODUPWHY&amp;VAR:QUERY=RkVfVkFMVUFUSU9OKCdQQlBTJywnTUVBTicsJ0FOTlVBTCcsMjAwOSwwLCwsJycp&amp;WINDOW=FIRST_POPUP&amp;H","EIGHT=450&amp;WIDTH=450&amp;START_MAXIMIZED=FALSE&amp;VAR:CALENDAR=FIVEDAY&amp;VAR:SYMBOL=B064SH&amp;VAR:INDEX=0"}</definedName>
    <definedName name="_24__FDSAUDITLINK__" hidden="1">{"fdsup://directions/FAT Viewer?action=UPDATE&amp;creator=factset&amp;DYN_ARGS=TRUE&amp;DOC_NAME=FAT:FQL_AUDITING_CLIENT_TEMPLATE.FAT&amp;display_string=Audit&amp;VAR:KEY=HKPODUPWHY&amp;VAR:QUERY=RkVfVkFMVUFUSU9OKCdQQlBTJywnTUVBTicsJ0FOTlVBTCcsMjAwOSwwLCwsJycp&amp;WINDOW=FIRST_POPUP&amp;H","EIGHT=450&amp;WIDTH=450&amp;START_MAXIMIZED=FALSE&amp;VAR:CALENDAR=FIVEDAY&amp;VAR:SYMBOL=B064SH&amp;VAR:INDEX=0"}</definedName>
    <definedName name="_25__FDSAUDITLINK__" localSheetId="6" hidden="1">{"fdsup://directions/FAT Viewer?action=UPDATE&amp;creator=factset&amp;DYN_ARGS=TRUE&amp;DOC_NAME=FAT:FQL_AUDITING_CLIENT_TEMPLATE.FAT&amp;display_string=Audit&amp;VAR:KEY=DWHUFCHOVA&amp;VAR:QUERY=RkVfVkFMVUFUSU9OKCdQQlBTJywnTUVBTicsJ0FOTlVBTCcsMjAxMiwwLCwsJycp&amp;WINDOW=FIRST_POPUP&amp;H","EIGHT=450&amp;WIDTH=450&amp;START_MAXIMIZED=FALSE&amp;VAR:CALENDAR=FIVEDAY&amp;VAR:SYMBOL=698646&amp;VAR:INDEX=0"}</definedName>
    <definedName name="_25__FDSAUDITLINK__" localSheetId="5" hidden="1">{"fdsup://directions/FAT Viewer?action=UPDATE&amp;creator=factset&amp;DYN_ARGS=TRUE&amp;DOC_NAME=FAT:FQL_AUDITING_CLIENT_TEMPLATE.FAT&amp;display_string=Audit&amp;VAR:KEY=DWHUFCHOVA&amp;VAR:QUERY=RkVfVkFMVUFUSU9OKCdQQlBTJywnTUVBTicsJ0FOTlVBTCcsMjAxMiwwLCwsJycp&amp;WINDOW=FIRST_POPUP&amp;H","EIGHT=450&amp;WIDTH=450&amp;START_MAXIMIZED=FALSE&amp;VAR:CALENDAR=FIVEDAY&amp;VAR:SYMBOL=698646&amp;VAR:INDEX=0"}</definedName>
    <definedName name="_25__FDSAUDITLINK__" localSheetId="4" hidden="1">{"fdsup://directions/FAT Viewer?action=UPDATE&amp;creator=factset&amp;DYN_ARGS=TRUE&amp;DOC_NAME=FAT:FQL_AUDITING_CLIENT_TEMPLATE.FAT&amp;display_string=Audit&amp;VAR:KEY=DWHUFCHOVA&amp;VAR:QUERY=RkVfVkFMVUFUSU9OKCdQQlBTJywnTUVBTicsJ0FOTlVBTCcsMjAxMiwwLCwsJycp&amp;WINDOW=FIRST_POPUP&amp;H","EIGHT=450&amp;WIDTH=450&amp;START_MAXIMIZED=FALSE&amp;VAR:CALENDAR=FIVEDAY&amp;VAR:SYMBOL=698646&amp;VAR:INDEX=0"}</definedName>
    <definedName name="_25__FDSAUDITLINK__" localSheetId="1" hidden="1">{"fdsup://directions/FAT Viewer?action=UPDATE&amp;creator=factset&amp;DYN_ARGS=TRUE&amp;DOC_NAME=FAT:FQL_AUDITING_CLIENT_TEMPLATE.FAT&amp;display_string=Audit&amp;VAR:KEY=DWHUFCHOVA&amp;VAR:QUERY=RkVfVkFMVUFUSU9OKCdQQlBTJywnTUVBTicsJ0FOTlVBTCcsMjAxMiwwLCwsJycp&amp;WINDOW=FIRST_POPUP&amp;H","EIGHT=450&amp;WIDTH=450&amp;START_MAXIMIZED=FALSE&amp;VAR:CALENDAR=FIVEDAY&amp;VAR:SYMBOL=698646&amp;VAR:INDEX=0"}</definedName>
    <definedName name="_25__FDSAUDITLINK__" hidden="1">{"fdsup://directions/FAT Viewer?action=UPDATE&amp;creator=factset&amp;DYN_ARGS=TRUE&amp;DOC_NAME=FAT:FQL_AUDITING_CLIENT_TEMPLATE.FAT&amp;display_string=Audit&amp;VAR:KEY=DWHUFCHOVA&amp;VAR:QUERY=RkVfVkFMVUFUSU9OKCdQQlBTJywnTUVBTicsJ0FOTlVBTCcsMjAxMiwwLCwsJycp&amp;WINDOW=FIRST_POPUP&amp;H","EIGHT=450&amp;WIDTH=450&amp;START_MAXIMIZED=FALSE&amp;VAR:CALENDAR=FIVEDAY&amp;VAR:SYMBOL=698646&amp;VAR:INDEX=0"}</definedName>
    <definedName name="_26__FDSAUDITLINK__" localSheetId="6" hidden="1">{"fdsup://directions/FAT Viewer?action=UPDATE&amp;creator=factset&amp;DYN_ARGS=TRUE&amp;DOC_NAME=FAT:FQL_AUDITING_CLIENT_TEMPLATE.FAT&amp;display_string=Audit&amp;VAR:KEY=DWHUFCHOVA&amp;VAR:QUERY=RkVfVkFMVUFUSU9OKCdQQlBTJywnTUVBTicsJ0FOTlVBTCcsMjAxMiwwLCwsJycp&amp;WINDOW=FIRST_POPUP&amp;H","EIGHT=450&amp;WIDTH=450&amp;START_MAXIMIZED=FALSE&amp;VAR:CALENDAR=FIVEDAY&amp;VAR:SYMBOL=698646&amp;VAR:INDEX=0"}</definedName>
    <definedName name="_26__FDSAUDITLINK__" localSheetId="5" hidden="1">{"fdsup://directions/FAT Viewer?action=UPDATE&amp;creator=factset&amp;DYN_ARGS=TRUE&amp;DOC_NAME=FAT:FQL_AUDITING_CLIENT_TEMPLATE.FAT&amp;display_string=Audit&amp;VAR:KEY=DWHUFCHOVA&amp;VAR:QUERY=RkVfVkFMVUFUSU9OKCdQQlBTJywnTUVBTicsJ0FOTlVBTCcsMjAxMiwwLCwsJycp&amp;WINDOW=FIRST_POPUP&amp;H","EIGHT=450&amp;WIDTH=450&amp;START_MAXIMIZED=FALSE&amp;VAR:CALENDAR=FIVEDAY&amp;VAR:SYMBOL=698646&amp;VAR:INDEX=0"}</definedName>
    <definedName name="_26__FDSAUDITLINK__" localSheetId="4" hidden="1">{"fdsup://directions/FAT Viewer?action=UPDATE&amp;creator=factset&amp;DYN_ARGS=TRUE&amp;DOC_NAME=FAT:FQL_AUDITING_CLIENT_TEMPLATE.FAT&amp;display_string=Audit&amp;VAR:KEY=DWHUFCHOVA&amp;VAR:QUERY=RkVfVkFMVUFUSU9OKCdQQlBTJywnTUVBTicsJ0FOTlVBTCcsMjAxMiwwLCwsJycp&amp;WINDOW=FIRST_POPUP&amp;H","EIGHT=450&amp;WIDTH=450&amp;START_MAXIMIZED=FALSE&amp;VAR:CALENDAR=FIVEDAY&amp;VAR:SYMBOL=698646&amp;VAR:INDEX=0"}</definedName>
    <definedName name="_26__FDSAUDITLINK__" localSheetId="1" hidden="1">{"fdsup://directions/FAT Viewer?action=UPDATE&amp;creator=factset&amp;DYN_ARGS=TRUE&amp;DOC_NAME=FAT:FQL_AUDITING_CLIENT_TEMPLATE.FAT&amp;display_string=Audit&amp;VAR:KEY=DWHUFCHOVA&amp;VAR:QUERY=RkVfVkFMVUFUSU9OKCdQQlBTJywnTUVBTicsJ0FOTlVBTCcsMjAxMiwwLCwsJycp&amp;WINDOW=FIRST_POPUP&amp;H","EIGHT=450&amp;WIDTH=450&amp;START_MAXIMIZED=FALSE&amp;VAR:CALENDAR=FIVEDAY&amp;VAR:SYMBOL=698646&amp;VAR:INDEX=0"}</definedName>
    <definedName name="_26__FDSAUDITLINK__" hidden="1">{"fdsup://directions/FAT Viewer?action=UPDATE&amp;creator=factset&amp;DYN_ARGS=TRUE&amp;DOC_NAME=FAT:FQL_AUDITING_CLIENT_TEMPLATE.FAT&amp;display_string=Audit&amp;VAR:KEY=DWHUFCHOVA&amp;VAR:QUERY=RkVfVkFMVUFUSU9OKCdQQlBTJywnTUVBTicsJ0FOTlVBTCcsMjAxMiwwLCwsJycp&amp;WINDOW=FIRST_POPUP&amp;H","EIGHT=450&amp;WIDTH=450&amp;START_MAXIMIZED=FALSE&amp;VAR:CALENDAR=FIVEDAY&amp;VAR:SYMBOL=698646&amp;VAR:INDEX=0"}</definedName>
    <definedName name="_27__FDSAUDITLINK__" localSheetId="6" hidden="1">{"fdsup://directions/FAT Viewer?action=UPDATE&amp;creator=factset&amp;DYN_ARGS=TRUE&amp;DOC_NAME=FAT:FQL_AUDITING_CLIENT_TEMPLATE.FAT&amp;display_string=Audit&amp;VAR:KEY=HQDWBINOJI&amp;VAR:QUERY=RkVfVkFMVUFUSU9OKCdQQlBTJywnTUVBTicsJ0FOTlVBTCcsMjAxMSwwLCwsJycp&amp;WINDOW=FIRST_POPUP&amp;H","EIGHT=450&amp;WIDTH=450&amp;START_MAXIMIZED=FALSE&amp;VAR:CALENDAR=FIVEDAY&amp;VAR:SYMBOL=698646&amp;VAR:INDEX=0"}</definedName>
    <definedName name="_27__FDSAUDITLINK__" localSheetId="5" hidden="1">{"fdsup://directions/FAT Viewer?action=UPDATE&amp;creator=factset&amp;DYN_ARGS=TRUE&amp;DOC_NAME=FAT:FQL_AUDITING_CLIENT_TEMPLATE.FAT&amp;display_string=Audit&amp;VAR:KEY=HQDWBINOJI&amp;VAR:QUERY=RkVfVkFMVUFUSU9OKCdQQlBTJywnTUVBTicsJ0FOTlVBTCcsMjAxMSwwLCwsJycp&amp;WINDOW=FIRST_POPUP&amp;H","EIGHT=450&amp;WIDTH=450&amp;START_MAXIMIZED=FALSE&amp;VAR:CALENDAR=FIVEDAY&amp;VAR:SYMBOL=698646&amp;VAR:INDEX=0"}</definedName>
    <definedName name="_27__FDSAUDITLINK__" localSheetId="4" hidden="1">{"fdsup://directions/FAT Viewer?action=UPDATE&amp;creator=factset&amp;DYN_ARGS=TRUE&amp;DOC_NAME=FAT:FQL_AUDITING_CLIENT_TEMPLATE.FAT&amp;display_string=Audit&amp;VAR:KEY=HQDWBINOJI&amp;VAR:QUERY=RkVfVkFMVUFUSU9OKCdQQlBTJywnTUVBTicsJ0FOTlVBTCcsMjAxMSwwLCwsJycp&amp;WINDOW=FIRST_POPUP&amp;H","EIGHT=450&amp;WIDTH=450&amp;START_MAXIMIZED=FALSE&amp;VAR:CALENDAR=FIVEDAY&amp;VAR:SYMBOL=698646&amp;VAR:INDEX=0"}</definedName>
    <definedName name="_27__FDSAUDITLINK__" localSheetId="1" hidden="1">{"fdsup://directions/FAT Viewer?action=UPDATE&amp;creator=factset&amp;DYN_ARGS=TRUE&amp;DOC_NAME=FAT:FQL_AUDITING_CLIENT_TEMPLATE.FAT&amp;display_string=Audit&amp;VAR:KEY=HQDWBINOJI&amp;VAR:QUERY=RkVfVkFMVUFUSU9OKCdQQlBTJywnTUVBTicsJ0FOTlVBTCcsMjAxMSwwLCwsJycp&amp;WINDOW=FIRST_POPUP&amp;H","EIGHT=450&amp;WIDTH=450&amp;START_MAXIMIZED=FALSE&amp;VAR:CALENDAR=FIVEDAY&amp;VAR:SYMBOL=698646&amp;VAR:INDEX=0"}</definedName>
    <definedName name="_27__FDSAUDITLINK__" hidden="1">{"fdsup://directions/FAT Viewer?action=UPDATE&amp;creator=factset&amp;DYN_ARGS=TRUE&amp;DOC_NAME=FAT:FQL_AUDITING_CLIENT_TEMPLATE.FAT&amp;display_string=Audit&amp;VAR:KEY=HQDWBINOJI&amp;VAR:QUERY=RkVfVkFMVUFUSU9OKCdQQlBTJywnTUVBTicsJ0FOTlVBTCcsMjAxMSwwLCwsJycp&amp;WINDOW=FIRST_POPUP&amp;H","EIGHT=450&amp;WIDTH=450&amp;START_MAXIMIZED=FALSE&amp;VAR:CALENDAR=FIVEDAY&amp;VAR:SYMBOL=698646&amp;VAR:INDEX=0"}</definedName>
    <definedName name="_28__FDSAUDITLINK__" localSheetId="6" hidden="1">{"fdsup://directions/FAT Viewer?action=UPDATE&amp;creator=factset&amp;DYN_ARGS=TRUE&amp;DOC_NAME=FAT:FQL_AUDITING_CLIENT_TEMPLATE.FAT&amp;display_string=Audit&amp;VAR:KEY=HQDWBINOJI&amp;VAR:QUERY=RkVfVkFMVUFUSU9OKCdQQlBTJywnTUVBTicsJ0FOTlVBTCcsMjAxMSwwLCwsJycp&amp;WINDOW=FIRST_POPUP&amp;H","EIGHT=450&amp;WIDTH=450&amp;START_MAXIMIZED=FALSE&amp;VAR:CALENDAR=FIVEDAY&amp;VAR:SYMBOL=698646&amp;VAR:INDEX=0"}</definedName>
    <definedName name="_28__FDSAUDITLINK__" localSheetId="5" hidden="1">{"fdsup://directions/FAT Viewer?action=UPDATE&amp;creator=factset&amp;DYN_ARGS=TRUE&amp;DOC_NAME=FAT:FQL_AUDITING_CLIENT_TEMPLATE.FAT&amp;display_string=Audit&amp;VAR:KEY=HQDWBINOJI&amp;VAR:QUERY=RkVfVkFMVUFUSU9OKCdQQlBTJywnTUVBTicsJ0FOTlVBTCcsMjAxMSwwLCwsJycp&amp;WINDOW=FIRST_POPUP&amp;H","EIGHT=450&amp;WIDTH=450&amp;START_MAXIMIZED=FALSE&amp;VAR:CALENDAR=FIVEDAY&amp;VAR:SYMBOL=698646&amp;VAR:INDEX=0"}</definedName>
    <definedName name="_28__FDSAUDITLINK__" localSheetId="4" hidden="1">{"fdsup://directions/FAT Viewer?action=UPDATE&amp;creator=factset&amp;DYN_ARGS=TRUE&amp;DOC_NAME=FAT:FQL_AUDITING_CLIENT_TEMPLATE.FAT&amp;display_string=Audit&amp;VAR:KEY=HQDWBINOJI&amp;VAR:QUERY=RkVfVkFMVUFUSU9OKCdQQlBTJywnTUVBTicsJ0FOTlVBTCcsMjAxMSwwLCwsJycp&amp;WINDOW=FIRST_POPUP&amp;H","EIGHT=450&amp;WIDTH=450&amp;START_MAXIMIZED=FALSE&amp;VAR:CALENDAR=FIVEDAY&amp;VAR:SYMBOL=698646&amp;VAR:INDEX=0"}</definedName>
    <definedName name="_28__FDSAUDITLINK__" localSheetId="1" hidden="1">{"fdsup://directions/FAT Viewer?action=UPDATE&amp;creator=factset&amp;DYN_ARGS=TRUE&amp;DOC_NAME=FAT:FQL_AUDITING_CLIENT_TEMPLATE.FAT&amp;display_string=Audit&amp;VAR:KEY=HQDWBINOJI&amp;VAR:QUERY=RkVfVkFMVUFUSU9OKCdQQlBTJywnTUVBTicsJ0FOTlVBTCcsMjAxMSwwLCwsJycp&amp;WINDOW=FIRST_POPUP&amp;H","EIGHT=450&amp;WIDTH=450&amp;START_MAXIMIZED=FALSE&amp;VAR:CALENDAR=FIVEDAY&amp;VAR:SYMBOL=698646&amp;VAR:INDEX=0"}</definedName>
    <definedName name="_28__FDSAUDITLINK__" hidden="1">{"fdsup://directions/FAT Viewer?action=UPDATE&amp;creator=factset&amp;DYN_ARGS=TRUE&amp;DOC_NAME=FAT:FQL_AUDITING_CLIENT_TEMPLATE.FAT&amp;display_string=Audit&amp;VAR:KEY=HQDWBINOJI&amp;VAR:QUERY=RkVfVkFMVUFUSU9OKCdQQlBTJywnTUVBTicsJ0FOTlVBTCcsMjAxMSwwLCwsJycp&amp;WINDOW=FIRST_POPUP&amp;H","EIGHT=450&amp;WIDTH=450&amp;START_MAXIMIZED=FALSE&amp;VAR:CALENDAR=FIVEDAY&amp;VAR:SYMBOL=698646&amp;VAR:INDEX=0"}</definedName>
    <definedName name="_29__FDSAUDITLINK__" localSheetId="6" hidden="1">{"fdsup://directions/FAT Viewer?action=UPDATE&amp;creator=factset&amp;DYN_ARGS=TRUE&amp;DOC_NAME=FAT:FQL_AUDITING_CLIENT_TEMPLATE.FAT&amp;display_string=Audit&amp;VAR:KEY=FUXUVUJWNO&amp;VAR:QUERY=RkVfVkFMVUFUSU9OKCdQQlBTJywnTUVBTicsJ0FOTlVBTCcsMjAxMCwwLCwsJycp&amp;WINDOW=FIRST_POPUP&amp;H","EIGHT=450&amp;WIDTH=450&amp;START_MAXIMIZED=FALSE&amp;VAR:CALENDAR=FIVEDAY&amp;VAR:SYMBOL=698646&amp;VAR:INDEX=0"}</definedName>
    <definedName name="_29__FDSAUDITLINK__" localSheetId="5" hidden="1">{"fdsup://directions/FAT Viewer?action=UPDATE&amp;creator=factset&amp;DYN_ARGS=TRUE&amp;DOC_NAME=FAT:FQL_AUDITING_CLIENT_TEMPLATE.FAT&amp;display_string=Audit&amp;VAR:KEY=FUXUVUJWNO&amp;VAR:QUERY=RkVfVkFMVUFUSU9OKCdQQlBTJywnTUVBTicsJ0FOTlVBTCcsMjAxMCwwLCwsJycp&amp;WINDOW=FIRST_POPUP&amp;H","EIGHT=450&amp;WIDTH=450&amp;START_MAXIMIZED=FALSE&amp;VAR:CALENDAR=FIVEDAY&amp;VAR:SYMBOL=698646&amp;VAR:INDEX=0"}</definedName>
    <definedName name="_29__FDSAUDITLINK__" localSheetId="4" hidden="1">{"fdsup://directions/FAT Viewer?action=UPDATE&amp;creator=factset&amp;DYN_ARGS=TRUE&amp;DOC_NAME=FAT:FQL_AUDITING_CLIENT_TEMPLATE.FAT&amp;display_string=Audit&amp;VAR:KEY=FUXUVUJWNO&amp;VAR:QUERY=RkVfVkFMVUFUSU9OKCdQQlBTJywnTUVBTicsJ0FOTlVBTCcsMjAxMCwwLCwsJycp&amp;WINDOW=FIRST_POPUP&amp;H","EIGHT=450&amp;WIDTH=450&amp;START_MAXIMIZED=FALSE&amp;VAR:CALENDAR=FIVEDAY&amp;VAR:SYMBOL=698646&amp;VAR:INDEX=0"}</definedName>
    <definedName name="_29__FDSAUDITLINK__" localSheetId="1" hidden="1">{"fdsup://directions/FAT Viewer?action=UPDATE&amp;creator=factset&amp;DYN_ARGS=TRUE&amp;DOC_NAME=FAT:FQL_AUDITING_CLIENT_TEMPLATE.FAT&amp;display_string=Audit&amp;VAR:KEY=FUXUVUJWNO&amp;VAR:QUERY=RkVfVkFMVUFUSU9OKCdQQlBTJywnTUVBTicsJ0FOTlVBTCcsMjAxMCwwLCwsJycp&amp;WINDOW=FIRST_POPUP&amp;H","EIGHT=450&amp;WIDTH=450&amp;START_MAXIMIZED=FALSE&amp;VAR:CALENDAR=FIVEDAY&amp;VAR:SYMBOL=698646&amp;VAR:INDEX=0"}</definedName>
    <definedName name="_29__FDSAUDITLINK__" hidden="1">{"fdsup://directions/FAT Viewer?action=UPDATE&amp;creator=factset&amp;DYN_ARGS=TRUE&amp;DOC_NAME=FAT:FQL_AUDITING_CLIENT_TEMPLATE.FAT&amp;display_string=Audit&amp;VAR:KEY=FUXUVUJWNO&amp;VAR:QUERY=RkVfVkFMVUFUSU9OKCdQQlBTJywnTUVBTicsJ0FOTlVBTCcsMjAxMCwwLCwsJycp&amp;WINDOW=FIRST_POPUP&amp;H","EIGHT=450&amp;WIDTH=450&amp;START_MAXIMIZED=FALSE&amp;VAR:CALENDAR=FIVEDAY&amp;VAR:SYMBOL=698646&amp;VAR:INDEX=0"}</definedName>
    <definedName name="_3__FDSAUDITLINK__" localSheetId="6" hidden="1">{"fdsup://directions/FAT Viewer?action=UPDATE&amp;creator=factset&amp;DYN_ARGS=TRUE&amp;DOC_NAME=FAT:FQL_AUDITING_CLIENT_TEMPLATE.FAT&amp;display_string=Audit&amp;VAR:KEY=VYHOZMZUDY&amp;VAR:QUERY=RkVfVkFMVUFUSU9OKCdQQlBTJywnTUVBTicsJ0FOTlVBTCcsMjAxMCwwLCwsJycp&amp;WINDOW=FIRST_POPUP&amp;H","EIGHT=450&amp;WIDTH=450&amp;START_MAXIMIZED=FALSE&amp;VAR:CALENDAR=FIVEDAY&amp;VAR:SYMBOL=671499&amp;VAR:INDEX=0"}</definedName>
    <definedName name="_3__FDSAUDITLINK__" localSheetId="5" hidden="1">{"fdsup://directions/FAT Viewer?action=UPDATE&amp;creator=factset&amp;DYN_ARGS=TRUE&amp;DOC_NAME=FAT:FQL_AUDITING_CLIENT_TEMPLATE.FAT&amp;display_string=Audit&amp;VAR:KEY=VYHOZMZUDY&amp;VAR:QUERY=RkVfVkFMVUFUSU9OKCdQQlBTJywnTUVBTicsJ0FOTlVBTCcsMjAxMCwwLCwsJycp&amp;WINDOW=FIRST_POPUP&amp;H","EIGHT=450&amp;WIDTH=450&amp;START_MAXIMIZED=FALSE&amp;VAR:CALENDAR=FIVEDAY&amp;VAR:SYMBOL=671499&amp;VAR:INDEX=0"}</definedName>
    <definedName name="_3__FDSAUDITLINK__" localSheetId="4" hidden="1">{"fdsup://directions/FAT Viewer?action=UPDATE&amp;creator=factset&amp;DYN_ARGS=TRUE&amp;DOC_NAME=FAT:FQL_AUDITING_CLIENT_TEMPLATE.FAT&amp;display_string=Audit&amp;VAR:KEY=VYHOZMZUDY&amp;VAR:QUERY=RkVfVkFMVUFUSU9OKCdQQlBTJywnTUVBTicsJ0FOTlVBTCcsMjAxMCwwLCwsJycp&amp;WINDOW=FIRST_POPUP&amp;H","EIGHT=450&amp;WIDTH=450&amp;START_MAXIMIZED=FALSE&amp;VAR:CALENDAR=FIVEDAY&amp;VAR:SYMBOL=671499&amp;VAR:INDEX=0"}</definedName>
    <definedName name="_3__FDSAUDITLINK__" localSheetId="1" hidden="1">{"fdsup://directions/FAT Viewer?action=UPDATE&amp;creator=factset&amp;DYN_ARGS=TRUE&amp;DOC_NAME=FAT:FQL_AUDITING_CLIENT_TEMPLATE.FAT&amp;display_string=Audit&amp;VAR:KEY=VYHOZMZUDY&amp;VAR:QUERY=RkVfVkFMVUFUSU9OKCdQQlBTJywnTUVBTicsJ0FOTlVBTCcsMjAxMCwwLCwsJycp&amp;WINDOW=FIRST_POPUP&amp;H","EIGHT=450&amp;WIDTH=450&amp;START_MAXIMIZED=FALSE&amp;VAR:CALENDAR=FIVEDAY&amp;VAR:SYMBOL=671499&amp;VAR:INDEX=0"}</definedName>
    <definedName name="_3__FDSAUDITLINK__" hidden="1">{"fdsup://directions/FAT Viewer?action=UPDATE&amp;creator=factset&amp;DYN_ARGS=TRUE&amp;DOC_NAME=FAT:FQL_AUDITING_CLIENT_TEMPLATE.FAT&amp;display_string=Audit&amp;VAR:KEY=VYHOZMZUDY&amp;VAR:QUERY=RkVfVkFMVUFUSU9OKCdQQlBTJywnTUVBTicsJ0FOTlVBTCcsMjAxMCwwLCwsJycp&amp;WINDOW=FIRST_POPUP&amp;H","EIGHT=450&amp;WIDTH=450&amp;START_MAXIMIZED=FALSE&amp;VAR:CALENDAR=FIVEDAY&amp;VAR:SYMBOL=671499&amp;VAR:INDEX=0"}</definedName>
    <definedName name="_30__FDSAUDITLINK__" localSheetId="6" hidden="1">{"fdsup://directions/FAT Viewer?action=UPDATE&amp;creator=factset&amp;DYN_ARGS=TRUE&amp;DOC_NAME=FAT:FQL_AUDITING_CLIENT_TEMPLATE.FAT&amp;display_string=Audit&amp;VAR:KEY=FUXUVUJWNO&amp;VAR:QUERY=RkVfVkFMVUFUSU9OKCdQQlBTJywnTUVBTicsJ0FOTlVBTCcsMjAxMCwwLCwsJycp&amp;WINDOW=FIRST_POPUP&amp;H","EIGHT=450&amp;WIDTH=450&amp;START_MAXIMIZED=FALSE&amp;VAR:CALENDAR=FIVEDAY&amp;VAR:SYMBOL=698646&amp;VAR:INDEX=0"}</definedName>
    <definedName name="_30__FDSAUDITLINK__" localSheetId="5" hidden="1">{"fdsup://directions/FAT Viewer?action=UPDATE&amp;creator=factset&amp;DYN_ARGS=TRUE&amp;DOC_NAME=FAT:FQL_AUDITING_CLIENT_TEMPLATE.FAT&amp;display_string=Audit&amp;VAR:KEY=FUXUVUJWNO&amp;VAR:QUERY=RkVfVkFMVUFUSU9OKCdQQlBTJywnTUVBTicsJ0FOTlVBTCcsMjAxMCwwLCwsJycp&amp;WINDOW=FIRST_POPUP&amp;H","EIGHT=450&amp;WIDTH=450&amp;START_MAXIMIZED=FALSE&amp;VAR:CALENDAR=FIVEDAY&amp;VAR:SYMBOL=698646&amp;VAR:INDEX=0"}</definedName>
    <definedName name="_30__FDSAUDITLINK__" localSheetId="4" hidden="1">{"fdsup://directions/FAT Viewer?action=UPDATE&amp;creator=factset&amp;DYN_ARGS=TRUE&amp;DOC_NAME=FAT:FQL_AUDITING_CLIENT_TEMPLATE.FAT&amp;display_string=Audit&amp;VAR:KEY=FUXUVUJWNO&amp;VAR:QUERY=RkVfVkFMVUFUSU9OKCdQQlBTJywnTUVBTicsJ0FOTlVBTCcsMjAxMCwwLCwsJycp&amp;WINDOW=FIRST_POPUP&amp;H","EIGHT=450&amp;WIDTH=450&amp;START_MAXIMIZED=FALSE&amp;VAR:CALENDAR=FIVEDAY&amp;VAR:SYMBOL=698646&amp;VAR:INDEX=0"}</definedName>
    <definedName name="_30__FDSAUDITLINK__" localSheetId="1" hidden="1">{"fdsup://directions/FAT Viewer?action=UPDATE&amp;creator=factset&amp;DYN_ARGS=TRUE&amp;DOC_NAME=FAT:FQL_AUDITING_CLIENT_TEMPLATE.FAT&amp;display_string=Audit&amp;VAR:KEY=FUXUVUJWNO&amp;VAR:QUERY=RkVfVkFMVUFUSU9OKCdQQlBTJywnTUVBTicsJ0FOTlVBTCcsMjAxMCwwLCwsJycp&amp;WINDOW=FIRST_POPUP&amp;H","EIGHT=450&amp;WIDTH=450&amp;START_MAXIMIZED=FALSE&amp;VAR:CALENDAR=FIVEDAY&amp;VAR:SYMBOL=698646&amp;VAR:INDEX=0"}</definedName>
    <definedName name="_30__FDSAUDITLINK__" hidden="1">{"fdsup://directions/FAT Viewer?action=UPDATE&amp;creator=factset&amp;DYN_ARGS=TRUE&amp;DOC_NAME=FAT:FQL_AUDITING_CLIENT_TEMPLATE.FAT&amp;display_string=Audit&amp;VAR:KEY=FUXUVUJWNO&amp;VAR:QUERY=RkVfVkFMVUFUSU9OKCdQQlBTJywnTUVBTicsJ0FOTlVBTCcsMjAxMCwwLCwsJycp&amp;WINDOW=FIRST_POPUP&amp;H","EIGHT=450&amp;WIDTH=450&amp;START_MAXIMIZED=FALSE&amp;VAR:CALENDAR=FIVEDAY&amp;VAR:SYMBOL=698646&amp;VAR:INDEX=0"}</definedName>
    <definedName name="_31__FDSAUDITLINK__" localSheetId="6" hidden="1">{"fdsup://directions/FAT Viewer?action=UPDATE&amp;creator=factset&amp;DYN_ARGS=TRUE&amp;DOC_NAME=FAT:FQL_AUDITING_CLIENT_TEMPLATE.FAT&amp;display_string=Audit&amp;VAR:KEY=RGPYRITKBW&amp;VAR:QUERY=RkVfVkFMVUFUSU9OKCdQQlBTJywnTUVBTicsJ0FOTlVBTCcsMjAwOSwwLCwsJycp&amp;WINDOW=FIRST_POPUP&amp;H","EIGHT=450&amp;WIDTH=450&amp;START_MAXIMIZED=FALSE&amp;VAR:CALENDAR=FIVEDAY&amp;VAR:SYMBOL=698646&amp;VAR:INDEX=0"}</definedName>
    <definedName name="_31__FDSAUDITLINK__" localSheetId="5" hidden="1">{"fdsup://directions/FAT Viewer?action=UPDATE&amp;creator=factset&amp;DYN_ARGS=TRUE&amp;DOC_NAME=FAT:FQL_AUDITING_CLIENT_TEMPLATE.FAT&amp;display_string=Audit&amp;VAR:KEY=RGPYRITKBW&amp;VAR:QUERY=RkVfVkFMVUFUSU9OKCdQQlBTJywnTUVBTicsJ0FOTlVBTCcsMjAwOSwwLCwsJycp&amp;WINDOW=FIRST_POPUP&amp;H","EIGHT=450&amp;WIDTH=450&amp;START_MAXIMIZED=FALSE&amp;VAR:CALENDAR=FIVEDAY&amp;VAR:SYMBOL=698646&amp;VAR:INDEX=0"}</definedName>
    <definedName name="_31__FDSAUDITLINK__" localSheetId="4" hidden="1">{"fdsup://directions/FAT Viewer?action=UPDATE&amp;creator=factset&amp;DYN_ARGS=TRUE&amp;DOC_NAME=FAT:FQL_AUDITING_CLIENT_TEMPLATE.FAT&amp;display_string=Audit&amp;VAR:KEY=RGPYRITKBW&amp;VAR:QUERY=RkVfVkFMVUFUSU9OKCdQQlBTJywnTUVBTicsJ0FOTlVBTCcsMjAwOSwwLCwsJycp&amp;WINDOW=FIRST_POPUP&amp;H","EIGHT=450&amp;WIDTH=450&amp;START_MAXIMIZED=FALSE&amp;VAR:CALENDAR=FIVEDAY&amp;VAR:SYMBOL=698646&amp;VAR:INDEX=0"}</definedName>
    <definedName name="_31__FDSAUDITLINK__" localSheetId="1" hidden="1">{"fdsup://directions/FAT Viewer?action=UPDATE&amp;creator=factset&amp;DYN_ARGS=TRUE&amp;DOC_NAME=FAT:FQL_AUDITING_CLIENT_TEMPLATE.FAT&amp;display_string=Audit&amp;VAR:KEY=RGPYRITKBW&amp;VAR:QUERY=RkVfVkFMVUFUSU9OKCdQQlBTJywnTUVBTicsJ0FOTlVBTCcsMjAwOSwwLCwsJycp&amp;WINDOW=FIRST_POPUP&amp;H","EIGHT=450&amp;WIDTH=450&amp;START_MAXIMIZED=FALSE&amp;VAR:CALENDAR=FIVEDAY&amp;VAR:SYMBOL=698646&amp;VAR:INDEX=0"}</definedName>
    <definedName name="_31__FDSAUDITLINK__" hidden="1">{"fdsup://directions/FAT Viewer?action=UPDATE&amp;creator=factset&amp;DYN_ARGS=TRUE&amp;DOC_NAME=FAT:FQL_AUDITING_CLIENT_TEMPLATE.FAT&amp;display_string=Audit&amp;VAR:KEY=RGPYRITKBW&amp;VAR:QUERY=RkVfVkFMVUFUSU9OKCdQQlBTJywnTUVBTicsJ0FOTlVBTCcsMjAwOSwwLCwsJycp&amp;WINDOW=FIRST_POPUP&amp;H","EIGHT=450&amp;WIDTH=450&amp;START_MAXIMIZED=FALSE&amp;VAR:CALENDAR=FIVEDAY&amp;VAR:SYMBOL=698646&amp;VAR:INDEX=0"}</definedName>
    <definedName name="_32__FDSAUDITLINK__" localSheetId="6" hidden="1">{"fdsup://directions/FAT Viewer?action=UPDATE&amp;creator=factset&amp;DYN_ARGS=TRUE&amp;DOC_NAME=FAT:FQL_AUDITING_CLIENT_TEMPLATE.FAT&amp;display_string=Audit&amp;VAR:KEY=RGPYRITKBW&amp;VAR:QUERY=RkVfVkFMVUFUSU9OKCdQQlBTJywnTUVBTicsJ0FOTlVBTCcsMjAwOSwwLCwsJycp&amp;WINDOW=FIRST_POPUP&amp;H","EIGHT=450&amp;WIDTH=450&amp;START_MAXIMIZED=FALSE&amp;VAR:CALENDAR=FIVEDAY&amp;VAR:SYMBOL=698646&amp;VAR:INDEX=0"}</definedName>
    <definedName name="_32__FDSAUDITLINK__" localSheetId="5" hidden="1">{"fdsup://directions/FAT Viewer?action=UPDATE&amp;creator=factset&amp;DYN_ARGS=TRUE&amp;DOC_NAME=FAT:FQL_AUDITING_CLIENT_TEMPLATE.FAT&amp;display_string=Audit&amp;VAR:KEY=RGPYRITKBW&amp;VAR:QUERY=RkVfVkFMVUFUSU9OKCdQQlBTJywnTUVBTicsJ0FOTlVBTCcsMjAwOSwwLCwsJycp&amp;WINDOW=FIRST_POPUP&amp;H","EIGHT=450&amp;WIDTH=450&amp;START_MAXIMIZED=FALSE&amp;VAR:CALENDAR=FIVEDAY&amp;VAR:SYMBOL=698646&amp;VAR:INDEX=0"}</definedName>
    <definedName name="_32__FDSAUDITLINK__" localSheetId="4" hidden="1">{"fdsup://directions/FAT Viewer?action=UPDATE&amp;creator=factset&amp;DYN_ARGS=TRUE&amp;DOC_NAME=FAT:FQL_AUDITING_CLIENT_TEMPLATE.FAT&amp;display_string=Audit&amp;VAR:KEY=RGPYRITKBW&amp;VAR:QUERY=RkVfVkFMVUFUSU9OKCdQQlBTJywnTUVBTicsJ0FOTlVBTCcsMjAwOSwwLCwsJycp&amp;WINDOW=FIRST_POPUP&amp;H","EIGHT=450&amp;WIDTH=450&amp;START_MAXIMIZED=FALSE&amp;VAR:CALENDAR=FIVEDAY&amp;VAR:SYMBOL=698646&amp;VAR:INDEX=0"}</definedName>
    <definedName name="_32__FDSAUDITLINK__" localSheetId="1" hidden="1">{"fdsup://directions/FAT Viewer?action=UPDATE&amp;creator=factset&amp;DYN_ARGS=TRUE&amp;DOC_NAME=FAT:FQL_AUDITING_CLIENT_TEMPLATE.FAT&amp;display_string=Audit&amp;VAR:KEY=RGPYRITKBW&amp;VAR:QUERY=RkVfVkFMVUFUSU9OKCdQQlBTJywnTUVBTicsJ0FOTlVBTCcsMjAwOSwwLCwsJycp&amp;WINDOW=FIRST_POPUP&amp;H","EIGHT=450&amp;WIDTH=450&amp;START_MAXIMIZED=FALSE&amp;VAR:CALENDAR=FIVEDAY&amp;VAR:SYMBOL=698646&amp;VAR:INDEX=0"}</definedName>
    <definedName name="_32__FDSAUDITLINK__" hidden="1">{"fdsup://directions/FAT Viewer?action=UPDATE&amp;creator=factset&amp;DYN_ARGS=TRUE&amp;DOC_NAME=FAT:FQL_AUDITING_CLIENT_TEMPLATE.FAT&amp;display_string=Audit&amp;VAR:KEY=RGPYRITKBW&amp;VAR:QUERY=RkVfVkFMVUFUSU9OKCdQQlBTJywnTUVBTicsJ0FOTlVBTCcsMjAwOSwwLCwsJycp&amp;WINDOW=FIRST_POPUP&amp;H","EIGHT=450&amp;WIDTH=450&amp;START_MAXIMIZED=FALSE&amp;VAR:CALENDAR=FIVEDAY&amp;VAR:SYMBOL=698646&amp;VAR:INDEX=0"}</definedName>
    <definedName name="_33__FDSAUDITLINK__" localSheetId="6" hidden="1">{"fdsup://directions/FAT Viewer?action=UPDATE&amp;creator=factset&amp;DYN_ARGS=TRUE&amp;DOC_NAME=FAT:FQL_AUDITING_CLIENT_TEMPLATE.FAT&amp;display_string=Audit&amp;VAR:KEY=JGBOFAPUNS&amp;VAR:QUERY=RkVfVkFMVUFUSU9OKCdQQlBTJywnTUVBTicsJ0FOTlVBTCcsMjAxMiwwLCwsJycp&amp;WINDOW=FIRST_POPUP&amp;H","EIGHT=450&amp;WIDTH=450&amp;START_MAXIMIZED=FALSE&amp;VAR:CALENDAR=FIVEDAY&amp;VAR:SYMBOL=0896265&amp;VAR:INDEX=0"}</definedName>
    <definedName name="_33__FDSAUDITLINK__" localSheetId="5" hidden="1">{"fdsup://directions/FAT Viewer?action=UPDATE&amp;creator=factset&amp;DYN_ARGS=TRUE&amp;DOC_NAME=FAT:FQL_AUDITING_CLIENT_TEMPLATE.FAT&amp;display_string=Audit&amp;VAR:KEY=JGBOFAPUNS&amp;VAR:QUERY=RkVfVkFMVUFUSU9OKCdQQlBTJywnTUVBTicsJ0FOTlVBTCcsMjAxMiwwLCwsJycp&amp;WINDOW=FIRST_POPUP&amp;H","EIGHT=450&amp;WIDTH=450&amp;START_MAXIMIZED=FALSE&amp;VAR:CALENDAR=FIVEDAY&amp;VAR:SYMBOL=0896265&amp;VAR:INDEX=0"}</definedName>
    <definedName name="_33__FDSAUDITLINK__" localSheetId="4" hidden="1">{"fdsup://directions/FAT Viewer?action=UPDATE&amp;creator=factset&amp;DYN_ARGS=TRUE&amp;DOC_NAME=FAT:FQL_AUDITING_CLIENT_TEMPLATE.FAT&amp;display_string=Audit&amp;VAR:KEY=JGBOFAPUNS&amp;VAR:QUERY=RkVfVkFMVUFUSU9OKCdQQlBTJywnTUVBTicsJ0FOTlVBTCcsMjAxMiwwLCwsJycp&amp;WINDOW=FIRST_POPUP&amp;H","EIGHT=450&amp;WIDTH=450&amp;START_MAXIMIZED=FALSE&amp;VAR:CALENDAR=FIVEDAY&amp;VAR:SYMBOL=0896265&amp;VAR:INDEX=0"}</definedName>
    <definedName name="_33__FDSAUDITLINK__" localSheetId="1" hidden="1">{"fdsup://directions/FAT Viewer?action=UPDATE&amp;creator=factset&amp;DYN_ARGS=TRUE&amp;DOC_NAME=FAT:FQL_AUDITING_CLIENT_TEMPLATE.FAT&amp;display_string=Audit&amp;VAR:KEY=JGBOFAPUNS&amp;VAR:QUERY=RkVfVkFMVUFUSU9OKCdQQlBTJywnTUVBTicsJ0FOTlVBTCcsMjAxMiwwLCwsJycp&amp;WINDOW=FIRST_POPUP&amp;H","EIGHT=450&amp;WIDTH=450&amp;START_MAXIMIZED=FALSE&amp;VAR:CALENDAR=FIVEDAY&amp;VAR:SYMBOL=0896265&amp;VAR:INDEX=0"}</definedName>
    <definedName name="_33__FDSAUDITLINK__" hidden="1">{"fdsup://directions/FAT Viewer?action=UPDATE&amp;creator=factset&amp;DYN_ARGS=TRUE&amp;DOC_NAME=FAT:FQL_AUDITING_CLIENT_TEMPLATE.FAT&amp;display_string=Audit&amp;VAR:KEY=JGBOFAPUNS&amp;VAR:QUERY=RkVfVkFMVUFUSU9OKCdQQlBTJywnTUVBTicsJ0FOTlVBTCcsMjAxMiwwLCwsJycp&amp;WINDOW=FIRST_POPUP&amp;H","EIGHT=450&amp;WIDTH=450&amp;START_MAXIMIZED=FALSE&amp;VAR:CALENDAR=FIVEDAY&amp;VAR:SYMBOL=0896265&amp;VAR:INDEX=0"}</definedName>
    <definedName name="_34__FDSAUDITLINK__" localSheetId="6" hidden="1">{"fdsup://directions/FAT Viewer?action=UPDATE&amp;creator=factset&amp;DYN_ARGS=TRUE&amp;DOC_NAME=FAT:FQL_AUDITING_CLIENT_TEMPLATE.FAT&amp;display_string=Audit&amp;VAR:KEY=JCNCDWZYHQ&amp;VAR:QUERY=RkVfVkFMVUFUSU9OKCdQQlBTJywnTUVBTicsJ0FOTlVBTCcsMjAxMSwwLCwsJycp&amp;WINDOW=FIRST_POPUP&amp;H","EIGHT=450&amp;WIDTH=450&amp;START_MAXIMIZED=FALSE&amp;VAR:CALENDAR=FIVEDAY&amp;VAR:SYMBOL=0896265&amp;VAR:INDEX=0"}</definedName>
    <definedName name="_34__FDSAUDITLINK__" localSheetId="5" hidden="1">{"fdsup://directions/FAT Viewer?action=UPDATE&amp;creator=factset&amp;DYN_ARGS=TRUE&amp;DOC_NAME=FAT:FQL_AUDITING_CLIENT_TEMPLATE.FAT&amp;display_string=Audit&amp;VAR:KEY=JCNCDWZYHQ&amp;VAR:QUERY=RkVfVkFMVUFUSU9OKCdQQlBTJywnTUVBTicsJ0FOTlVBTCcsMjAxMSwwLCwsJycp&amp;WINDOW=FIRST_POPUP&amp;H","EIGHT=450&amp;WIDTH=450&amp;START_MAXIMIZED=FALSE&amp;VAR:CALENDAR=FIVEDAY&amp;VAR:SYMBOL=0896265&amp;VAR:INDEX=0"}</definedName>
    <definedName name="_34__FDSAUDITLINK__" localSheetId="4" hidden="1">{"fdsup://directions/FAT Viewer?action=UPDATE&amp;creator=factset&amp;DYN_ARGS=TRUE&amp;DOC_NAME=FAT:FQL_AUDITING_CLIENT_TEMPLATE.FAT&amp;display_string=Audit&amp;VAR:KEY=JCNCDWZYHQ&amp;VAR:QUERY=RkVfVkFMVUFUSU9OKCdQQlBTJywnTUVBTicsJ0FOTlVBTCcsMjAxMSwwLCwsJycp&amp;WINDOW=FIRST_POPUP&amp;H","EIGHT=450&amp;WIDTH=450&amp;START_MAXIMIZED=FALSE&amp;VAR:CALENDAR=FIVEDAY&amp;VAR:SYMBOL=0896265&amp;VAR:INDEX=0"}</definedName>
    <definedName name="_34__FDSAUDITLINK__" localSheetId="1" hidden="1">{"fdsup://directions/FAT Viewer?action=UPDATE&amp;creator=factset&amp;DYN_ARGS=TRUE&amp;DOC_NAME=FAT:FQL_AUDITING_CLIENT_TEMPLATE.FAT&amp;display_string=Audit&amp;VAR:KEY=JCNCDWZYHQ&amp;VAR:QUERY=RkVfVkFMVUFUSU9OKCdQQlBTJywnTUVBTicsJ0FOTlVBTCcsMjAxMSwwLCwsJycp&amp;WINDOW=FIRST_POPUP&amp;H","EIGHT=450&amp;WIDTH=450&amp;START_MAXIMIZED=FALSE&amp;VAR:CALENDAR=FIVEDAY&amp;VAR:SYMBOL=0896265&amp;VAR:INDEX=0"}</definedName>
    <definedName name="_34__FDSAUDITLINK__" hidden="1">{"fdsup://directions/FAT Viewer?action=UPDATE&amp;creator=factset&amp;DYN_ARGS=TRUE&amp;DOC_NAME=FAT:FQL_AUDITING_CLIENT_TEMPLATE.FAT&amp;display_string=Audit&amp;VAR:KEY=JCNCDWZYHQ&amp;VAR:QUERY=RkVfVkFMVUFUSU9OKCdQQlBTJywnTUVBTicsJ0FOTlVBTCcsMjAxMSwwLCwsJycp&amp;WINDOW=FIRST_POPUP&amp;H","EIGHT=450&amp;WIDTH=450&amp;START_MAXIMIZED=FALSE&amp;VAR:CALENDAR=FIVEDAY&amp;VAR:SYMBOL=0896265&amp;VAR:INDEX=0"}</definedName>
    <definedName name="_35__FDSAUDITLINK__" localSheetId="6" hidden="1">{"fdsup://directions/FAT Viewer?action=UPDATE&amp;creator=factset&amp;DYN_ARGS=TRUE&amp;DOC_NAME=FAT:FQL_AUDITING_CLIENT_TEMPLATE.FAT&amp;display_string=Audit&amp;VAR:KEY=LILIHILQPE&amp;VAR:QUERY=RkVfVkFMVUFUSU9OKCdQQlBTJywnTUVBTicsJ0FOTlVBTCcsMjAxMCwwLCwsJycp&amp;WINDOW=FIRST_POPUP&amp;H","EIGHT=450&amp;WIDTH=450&amp;START_MAXIMIZED=FALSE&amp;VAR:CALENDAR=FIVEDAY&amp;VAR:SYMBOL=0896265&amp;VAR:INDEX=0"}</definedName>
    <definedName name="_35__FDSAUDITLINK__" localSheetId="5" hidden="1">{"fdsup://directions/FAT Viewer?action=UPDATE&amp;creator=factset&amp;DYN_ARGS=TRUE&amp;DOC_NAME=FAT:FQL_AUDITING_CLIENT_TEMPLATE.FAT&amp;display_string=Audit&amp;VAR:KEY=LILIHILQPE&amp;VAR:QUERY=RkVfVkFMVUFUSU9OKCdQQlBTJywnTUVBTicsJ0FOTlVBTCcsMjAxMCwwLCwsJycp&amp;WINDOW=FIRST_POPUP&amp;H","EIGHT=450&amp;WIDTH=450&amp;START_MAXIMIZED=FALSE&amp;VAR:CALENDAR=FIVEDAY&amp;VAR:SYMBOL=0896265&amp;VAR:INDEX=0"}</definedName>
    <definedName name="_35__FDSAUDITLINK__" localSheetId="4" hidden="1">{"fdsup://directions/FAT Viewer?action=UPDATE&amp;creator=factset&amp;DYN_ARGS=TRUE&amp;DOC_NAME=FAT:FQL_AUDITING_CLIENT_TEMPLATE.FAT&amp;display_string=Audit&amp;VAR:KEY=LILIHILQPE&amp;VAR:QUERY=RkVfVkFMVUFUSU9OKCdQQlBTJywnTUVBTicsJ0FOTlVBTCcsMjAxMCwwLCwsJycp&amp;WINDOW=FIRST_POPUP&amp;H","EIGHT=450&amp;WIDTH=450&amp;START_MAXIMIZED=FALSE&amp;VAR:CALENDAR=FIVEDAY&amp;VAR:SYMBOL=0896265&amp;VAR:INDEX=0"}</definedName>
    <definedName name="_35__FDSAUDITLINK__" localSheetId="1" hidden="1">{"fdsup://directions/FAT Viewer?action=UPDATE&amp;creator=factset&amp;DYN_ARGS=TRUE&amp;DOC_NAME=FAT:FQL_AUDITING_CLIENT_TEMPLATE.FAT&amp;display_string=Audit&amp;VAR:KEY=LILIHILQPE&amp;VAR:QUERY=RkVfVkFMVUFUSU9OKCdQQlBTJywnTUVBTicsJ0FOTlVBTCcsMjAxMCwwLCwsJycp&amp;WINDOW=FIRST_POPUP&amp;H","EIGHT=450&amp;WIDTH=450&amp;START_MAXIMIZED=FALSE&amp;VAR:CALENDAR=FIVEDAY&amp;VAR:SYMBOL=0896265&amp;VAR:INDEX=0"}</definedName>
    <definedName name="_35__FDSAUDITLINK__" hidden="1">{"fdsup://directions/FAT Viewer?action=UPDATE&amp;creator=factset&amp;DYN_ARGS=TRUE&amp;DOC_NAME=FAT:FQL_AUDITING_CLIENT_TEMPLATE.FAT&amp;display_string=Audit&amp;VAR:KEY=LILIHILQPE&amp;VAR:QUERY=RkVfVkFMVUFUSU9OKCdQQlBTJywnTUVBTicsJ0FOTlVBTCcsMjAxMCwwLCwsJycp&amp;WINDOW=FIRST_POPUP&amp;H","EIGHT=450&amp;WIDTH=450&amp;START_MAXIMIZED=FALSE&amp;VAR:CALENDAR=FIVEDAY&amp;VAR:SYMBOL=0896265&amp;VAR:INDEX=0"}</definedName>
    <definedName name="_36__FDSAUDITLINK__" localSheetId="6" hidden="1">{"fdsup://directions/FAT Viewer?action=UPDATE&amp;creator=factset&amp;DYN_ARGS=TRUE&amp;DOC_NAME=FAT:FQL_AUDITING_CLIENT_TEMPLATE.FAT&amp;display_string=Audit&amp;VAR:KEY=LWBKHSXEZQ&amp;VAR:QUERY=RkVfVkFMVUFUSU9OKCdQQlBTJywnTUVBTicsJ0FOTlVBTCcsMjAwOSwwLCwsJycp&amp;WINDOW=FIRST_POPUP&amp;H","EIGHT=450&amp;WIDTH=450&amp;START_MAXIMIZED=FALSE&amp;VAR:CALENDAR=FIVEDAY&amp;VAR:SYMBOL=0896265&amp;VAR:INDEX=0"}</definedName>
    <definedName name="_36__FDSAUDITLINK__" localSheetId="5" hidden="1">{"fdsup://directions/FAT Viewer?action=UPDATE&amp;creator=factset&amp;DYN_ARGS=TRUE&amp;DOC_NAME=FAT:FQL_AUDITING_CLIENT_TEMPLATE.FAT&amp;display_string=Audit&amp;VAR:KEY=LWBKHSXEZQ&amp;VAR:QUERY=RkVfVkFMVUFUSU9OKCdQQlBTJywnTUVBTicsJ0FOTlVBTCcsMjAwOSwwLCwsJycp&amp;WINDOW=FIRST_POPUP&amp;H","EIGHT=450&amp;WIDTH=450&amp;START_MAXIMIZED=FALSE&amp;VAR:CALENDAR=FIVEDAY&amp;VAR:SYMBOL=0896265&amp;VAR:INDEX=0"}</definedName>
    <definedName name="_36__FDSAUDITLINK__" localSheetId="4" hidden="1">{"fdsup://directions/FAT Viewer?action=UPDATE&amp;creator=factset&amp;DYN_ARGS=TRUE&amp;DOC_NAME=FAT:FQL_AUDITING_CLIENT_TEMPLATE.FAT&amp;display_string=Audit&amp;VAR:KEY=LWBKHSXEZQ&amp;VAR:QUERY=RkVfVkFMVUFUSU9OKCdQQlBTJywnTUVBTicsJ0FOTlVBTCcsMjAwOSwwLCwsJycp&amp;WINDOW=FIRST_POPUP&amp;H","EIGHT=450&amp;WIDTH=450&amp;START_MAXIMIZED=FALSE&amp;VAR:CALENDAR=FIVEDAY&amp;VAR:SYMBOL=0896265&amp;VAR:INDEX=0"}</definedName>
    <definedName name="_36__FDSAUDITLINK__" localSheetId="1" hidden="1">{"fdsup://directions/FAT Viewer?action=UPDATE&amp;creator=factset&amp;DYN_ARGS=TRUE&amp;DOC_NAME=FAT:FQL_AUDITING_CLIENT_TEMPLATE.FAT&amp;display_string=Audit&amp;VAR:KEY=LWBKHSXEZQ&amp;VAR:QUERY=RkVfVkFMVUFUSU9OKCdQQlBTJywnTUVBTicsJ0FOTlVBTCcsMjAwOSwwLCwsJycp&amp;WINDOW=FIRST_POPUP&amp;H","EIGHT=450&amp;WIDTH=450&amp;START_MAXIMIZED=FALSE&amp;VAR:CALENDAR=FIVEDAY&amp;VAR:SYMBOL=0896265&amp;VAR:INDEX=0"}</definedName>
    <definedName name="_36__FDSAUDITLINK__" hidden="1">{"fdsup://directions/FAT Viewer?action=UPDATE&amp;creator=factset&amp;DYN_ARGS=TRUE&amp;DOC_NAME=FAT:FQL_AUDITING_CLIENT_TEMPLATE.FAT&amp;display_string=Audit&amp;VAR:KEY=LWBKHSXEZQ&amp;VAR:QUERY=RkVfVkFMVUFUSU9OKCdQQlBTJywnTUVBTicsJ0FOTlVBTCcsMjAwOSwwLCwsJycp&amp;WINDOW=FIRST_POPUP&amp;H","EIGHT=450&amp;WIDTH=450&amp;START_MAXIMIZED=FALSE&amp;VAR:CALENDAR=FIVEDAY&amp;VAR:SYMBOL=0896265&amp;VAR:INDEX=0"}</definedName>
    <definedName name="_37__FDSAUDITLINK__" localSheetId="6" hidden="1">{"fdsup://directions/FAT Viewer?action=UPDATE&amp;creator=factset&amp;DYN_ARGS=TRUE&amp;DOC_NAME=FAT:FQL_AUDITING_CLIENT_TEMPLATE.FAT&amp;display_string=Audit&amp;VAR:KEY=JKNYZOXGHU&amp;VAR:QUERY=RkVfVkFMVUFUSU9OKCdQQlBTJywnTUVBTicsJ0FOTlVBTCcsMjAxMiwwLCwsJycp&amp;WINDOW=FIRST_POPUP&amp;H","EIGHT=450&amp;WIDTH=450&amp;START_MAXIMIZED=FALSE&amp;VAR:CALENDAR=FIVEDAY&amp;VAR:SYMBOL=306465&amp;VAR:INDEX=0"}</definedName>
    <definedName name="_37__FDSAUDITLINK__" localSheetId="5" hidden="1">{"fdsup://directions/FAT Viewer?action=UPDATE&amp;creator=factset&amp;DYN_ARGS=TRUE&amp;DOC_NAME=FAT:FQL_AUDITING_CLIENT_TEMPLATE.FAT&amp;display_string=Audit&amp;VAR:KEY=JKNYZOXGHU&amp;VAR:QUERY=RkVfVkFMVUFUSU9OKCdQQlBTJywnTUVBTicsJ0FOTlVBTCcsMjAxMiwwLCwsJycp&amp;WINDOW=FIRST_POPUP&amp;H","EIGHT=450&amp;WIDTH=450&amp;START_MAXIMIZED=FALSE&amp;VAR:CALENDAR=FIVEDAY&amp;VAR:SYMBOL=306465&amp;VAR:INDEX=0"}</definedName>
    <definedName name="_37__FDSAUDITLINK__" localSheetId="4" hidden="1">{"fdsup://directions/FAT Viewer?action=UPDATE&amp;creator=factset&amp;DYN_ARGS=TRUE&amp;DOC_NAME=FAT:FQL_AUDITING_CLIENT_TEMPLATE.FAT&amp;display_string=Audit&amp;VAR:KEY=JKNYZOXGHU&amp;VAR:QUERY=RkVfVkFMVUFUSU9OKCdQQlBTJywnTUVBTicsJ0FOTlVBTCcsMjAxMiwwLCwsJycp&amp;WINDOW=FIRST_POPUP&amp;H","EIGHT=450&amp;WIDTH=450&amp;START_MAXIMIZED=FALSE&amp;VAR:CALENDAR=FIVEDAY&amp;VAR:SYMBOL=306465&amp;VAR:INDEX=0"}</definedName>
    <definedName name="_37__FDSAUDITLINK__" localSheetId="1" hidden="1">{"fdsup://directions/FAT Viewer?action=UPDATE&amp;creator=factset&amp;DYN_ARGS=TRUE&amp;DOC_NAME=FAT:FQL_AUDITING_CLIENT_TEMPLATE.FAT&amp;display_string=Audit&amp;VAR:KEY=JKNYZOXGHU&amp;VAR:QUERY=RkVfVkFMVUFUSU9OKCdQQlBTJywnTUVBTicsJ0FOTlVBTCcsMjAxMiwwLCwsJycp&amp;WINDOW=FIRST_POPUP&amp;H","EIGHT=450&amp;WIDTH=450&amp;START_MAXIMIZED=FALSE&amp;VAR:CALENDAR=FIVEDAY&amp;VAR:SYMBOL=306465&amp;VAR:INDEX=0"}</definedName>
    <definedName name="_37__FDSAUDITLINK__" hidden="1">{"fdsup://directions/FAT Viewer?action=UPDATE&amp;creator=factset&amp;DYN_ARGS=TRUE&amp;DOC_NAME=FAT:FQL_AUDITING_CLIENT_TEMPLATE.FAT&amp;display_string=Audit&amp;VAR:KEY=JKNYZOXGHU&amp;VAR:QUERY=RkVfVkFMVUFUSU9OKCdQQlBTJywnTUVBTicsJ0FOTlVBTCcsMjAxMiwwLCwsJycp&amp;WINDOW=FIRST_POPUP&amp;H","EIGHT=450&amp;WIDTH=450&amp;START_MAXIMIZED=FALSE&amp;VAR:CALENDAR=FIVEDAY&amp;VAR:SYMBOL=306465&amp;VAR:INDEX=0"}</definedName>
    <definedName name="_38__FDSAUDITLINK__" localSheetId="6" hidden="1">{"fdsup://directions/FAT Viewer?action=UPDATE&amp;creator=factset&amp;DYN_ARGS=TRUE&amp;DOC_NAME=FAT:FQL_AUDITING_CLIENT_TEMPLATE.FAT&amp;display_string=Audit&amp;VAR:KEY=ZINYXYJIPE&amp;VAR:QUERY=RkVfVkFMVUFUSU9OKCdQQlBTJywnTUVBTicsJ0FOTlVBTCcsMjAxMSwwLCwsJycp&amp;WINDOW=FIRST_POPUP&amp;H","EIGHT=450&amp;WIDTH=450&amp;START_MAXIMIZED=FALSE&amp;VAR:CALENDAR=FIVEDAY&amp;VAR:SYMBOL=306465&amp;VAR:INDEX=0"}</definedName>
    <definedName name="_38__FDSAUDITLINK__" localSheetId="5" hidden="1">{"fdsup://directions/FAT Viewer?action=UPDATE&amp;creator=factset&amp;DYN_ARGS=TRUE&amp;DOC_NAME=FAT:FQL_AUDITING_CLIENT_TEMPLATE.FAT&amp;display_string=Audit&amp;VAR:KEY=ZINYXYJIPE&amp;VAR:QUERY=RkVfVkFMVUFUSU9OKCdQQlBTJywnTUVBTicsJ0FOTlVBTCcsMjAxMSwwLCwsJycp&amp;WINDOW=FIRST_POPUP&amp;H","EIGHT=450&amp;WIDTH=450&amp;START_MAXIMIZED=FALSE&amp;VAR:CALENDAR=FIVEDAY&amp;VAR:SYMBOL=306465&amp;VAR:INDEX=0"}</definedName>
    <definedName name="_38__FDSAUDITLINK__" localSheetId="4" hidden="1">{"fdsup://directions/FAT Viewer?action=UPDATE&amp;creator=factset&amp;DYN_ARGS=TRUE&amp;DOC_NAME=FAT:FQL_AUDITING_CLIENT_TEMPLATE.FAT&amp;display_string=Audit&amp;VAR:KEY=ZINYXYJIPE&amp;VAR:QUERY=RkVfVkFMVUFUSU9OKCdQQlBTJywnTUVBTicsJ0FOTlVBTCcsMjAxMSwwLCwsJycp&amp;WINDOW=FIRST_POPUP&amp;H","EIGHT=450&amp;WIDTH=450&amp;START_MAXIMIZED=FALSE&amp;VAR:CALENDAR=FIVEDAY&amp;VAR:SYMBOL=306465&amp;VAR:INDEX=0"}</definedName>
    <definedName name="_38__FDSAUDITLINK__" localSheetId="1" hidden="1">{"fdsup://directions/FAT Viewer?action=UPDATE&amp;creator=factset&amp;DYN_ARGS=TRUE&amp;DOC_NAME=FAT:FQL_AUDITING_CLIENT_TEMPLATE.FAT&amp;display_string=Audit&amp;VAR:KEY=ZINYXYJIPE&amp;VAR:QUERY=RkVfVkFMVUFUSU9OKCdQQlBTJywnTUVBTicsJ0FOTlVBTCcsMjAxMSwwLCwsJycp&amp;WINDOW=FIRST_POPUP&amp;H","EIGHT=450&amp;WIDTH=450&amp;START_MAXIMIZED=FALSE&amp;VAR:CALENDAR=FIVEDAY&amp;VAR:SYMBOL=306465&amp;VAR:INDEX=0"}</definedName>
    <definedName name="_38__FDSAUDITLINK__" hidden="1">{"fdsup://directions/FAT Viewer?action=UPDATE&amp;creator=factset&amp;DYN_ARGS=TRUE&amp;DOC_NAME=FAT:FQL_AUDITING_CLIENT_TEMPLATE.FAT&amp;display_string=Audit&amp;VAR:KEY=ZINYXYJIPE&amp;VAR:QUERY=RkVfVkFMVUFUSU9OKCdQQlBTJywnTUVBTicsJ0FOTlVBTCcsMjAxMSwwLCwsJycp&amp;WINDOW=FIRST_POPUP&amp;H","EIGHT=450&amp;WIDTH=450&amp;START_MAXIMIZED=FALSE&amp;VAR:CALENDAR=FIVEDAY&amp;VAR:SYMBOL=306465&amp;VAR:INDEX=0"}</definedName>
    <definedName name="_39__FDSAUDITLINK__" localSheetId="6" hidden="1">{"fdsup://directions/FAT Viewer?action=UPDATE&amp;creator=factset&amp;DYN_ARGS=TRUE&amp;DOC_NAME=FAT:FQL_AUDITING_CLIENT_TEMPLATE.FAT&amp;display_string=Audit&amp;VAR:KEY=BUNSBMVWPM&amp;VAR:QUERY=RkVfVkFMVUFUSU9OKCdQQlBTJywnTUVBTicsJ0FOTlVBTCcsMjAxMCwwLCwsJycp&amp;WINDOW=FIRST_POPUP&amp;H","EIGHT=450&amp;WIDTH=450&amp;START_MAXIMIZED=FALSE&amp;VAR:CALENDAR=FIVEDAY&amp;VAR:SYMBOL=306465&amp;VAR:INDEX=0"}</definedName>
    <definedName name="_39__FDSAUDITLINK__" localSheetId="5" hidden="1">{"fdsup://directions/FAT Viewer?action=UPDATE&amp;creator=factset&amp;DYN_ARGS=TRUE&amp;DOC_NAME=FAT:FQL_AUDITING_CLIENT_TEMPLATE.FAT&amp;display_string=Audit&amp;VAR:KEY=BUNSBMVWPM&amp;VAR:QUERY=RkVfVkFMVUFUSU9OKCdQQlBTJywnTUVBTicsJ0FOTlVBTCcsMjAxMCwwLCwsJycp&amp;WINDOW=FIRST_POPUP&amp;H","EIGHT=450&amp;WIDTH=450&amp;START_MAXIMIZED=FALSE&amp;VAR:CALENDAR=FIVEDAY&amp;VAR:SYMBOL=306465&amp;VAR:INDEX=0"}</definedName>
    <definedName name="_39__FDSAUDITLINK__" localSheetId="4" hidden="1">{"fdsup://directions/FAT Viewer?action=UPDATE&amp;creator=factset&amp;DYN_ARGS=TRUE&amp;DOC_NAME=FAT:FQL_AUDITING_CLIENT_TEMPLATE.FAT&amp;display_string=Audit&amp;VAR:KEY=BUNSBMVWPM&amp;VAR:QUERY=RkVfVkFMVUFUSU9OKCdQQlBTJywnTUVBTicsJ0FOTlVBTCcsMjAxMCwwLCwsJycp&amp;WINDOW=FIRST_POPUP&amp;H","EIGHT=450&amp;WIDTH=450&amp;START_MAXIMIZED=FALSE&amp;VAR:CALENDAR=FIVEDAY&amp;VAR:SYMBOL=306465&amp;VAR:INDEX=0"}</definedName>
    <definedName name="_39__FDSAUDITLINK__" localSheetId="1" hidden="1">{"fdsup://directions/FAT Viewer?action=UPDATE&amp;creator=factset&amp;DYN_ARGS=TRUE&amp;DOC_NAME=FAT:FQL_AUDITING_CLIENT_TEMPLATE.FAT&amp;display_string=Audit&amp;VAR:KEY=BUNSBMVWPM&amp;VAR:QUERY=RkVfVkFMVUFUSU9OKCdQQlBTJywnTUVBTicsJ0FOTlVBTCcsMjAxMCwwLCwsJycp&amp;WINDOW=FIRST_POPUP&amp;H","EIGHT=450&amp;WIDTH=450&amp;START_MAXIMIZED=FALSE&amp;VAR:CALENDAR=FIVEDAY&amp;VAR:SYMBOL=306465&amp;VAR:INDEX=0"}</definedName>
    <definedName name="_39__FDSAUDITLINK__" hidden="1">{"fdsup://directions/FAT Viewer?action=UPDATE&amp;creator=factset&amp;DYN_ARGS=TRUE&amp;DOC_NAME=FAT:FQL_AUDITING_CLIENT_TEMPLATE.FAT&amp;display_string=Audit&amp;VAR:KEY=BUNSBMVWPM&amp;VAR:QUERY=RkVfVkFMVUFUSU9OKCdQQlBTJywnTUVBTicsJ0FOTlVBTCcsMjAxMCwwLCwsJycp&amp;WINDOW=FIRST_POPUP&amp;H","EIGHT=450&amp;WIDTH=450&amp;START_MAXIMIZED=FALSE&amp;VAR:CALENDAR=FIVEDAY&amp;VAR:SYMBOL=306465&amp;VAR:INDEX=0"}</definedName>
    <definedName name="_4__FDSAUDITLINK__" localSheetId="6" hidden="1">{"fdsup://directions/FAT Viewer?action=UPDATE&amp;creator=factset&amp;DYN_ARGS=TRUE&amp;DOC_NAME=FAT:FQL_AUDITING_CLIENT_TEMPLATE.FAT&amp;display_string=Audit&amp;VAR:KEY=PUZOZGRKXK&amp;VAR:QUERY=RkVfVkFMVUFUSU9OKCdQQlBTJywnTUVBTicsJ0FOTlVBTCcsMjAwOSwwLCwsJycp&amp;WINDOW=FIRST_POPUP&amp;H","EIGHT=450&amp;WIDTH=450&amp;START_MAXIMIZED=FALSE&amp;VAR:CALENDAR=FIVEDAY&amp;VAR:SYMBOL=671499&amp;VAR:INDEX=0"}</definedName>
    <definedName name="_4__FDSAUDITLINK__" localSheetId="5" hidden="1">{"fdsup://directions/FAT Viewer?action=UPDATE&amp;creator=factset&amp;DYN_ARGS=TRUE&amp;DOC_NAME=FAT:FQL_AUDITING_CLIENT_TEMPLATE.FAT&amp;display_string=Audit&amp;VAR:KEY=PUZOZGRKXK&amp;VAR:QUERY=RkVfVkFMVUFUSU9OKCdQQlBTJywnTUVBTicsJ0FOTlVBTCcsMjAwOSwwLCwsJycp&amp;WINDOW=FIRST_POPUP&amp;H","EIGHT=450&amp;WIDTH=450&amp;START_MAXIMIZED=FALSE&amp;VAR:CALENDAR=FIVEDAY&amp;VAR:SYMBOL=671499&amp;VAR:INDEX=0"}</definedName>
    <definedName name="_4__FDSAUDITLINK__" localSheetId="4" hidden="1">{"fdsup://directions/FAT Viewer?action=UPDATE&amp;creator=factset&amp;DYN_ARGS=TRUE&amp;DOC_NAME=FAT:FQL_AUDITING_CLIENT_TEMPLATE.FAT&amp;display_string=Audit&amp;VAR:KEY=PUZOZGRKXK&amp;VAR:QUERY=RkVfVkFMVUFUSU9OKCdQQlBTJywnTUVBTicsJ0FOTlVBTCcsMjAwOSwwLCwsJycp&amp;WINDOW=FIRST_POPUP&amp;H","EIGHT=450&amp;WIDTH=450&amp;START_MAXIMIZED=FALSE&amp;VAR:CALENDAR=FIVEDAY&amp;VAR:SYMBOL=671499&amp;VAR:INDEX=0"}</definedName>
    <definedName name="_4__FDSAUDITLINK__" localSheetId="1" hidden="1">{"fdsup://directions/FAT Viewer?action=UPDATE&amp;creator=factset&amp;DYN_ARGS=TRUE&amp;DOC_NAME=FAT:FQL_AUDITING_CLIENT_TEMPLATE.FAT&amp;display_string=Audit&amp;VAR:KEY=PUZOZGRKXK&amp;VAR:QUERY=RkVfVkFMVUFUSU9OKCdQQlBTJywnTUVBTicsJ0FOTlVBTCcsMjAwOSwwLCwsJycp&amp;WINDOW=FIRST_POPUP&amp;H","EIGHT=450&amp;WIDTH=450&amp;START_MAXIMIZED=FALSE&amp;VAR:CALENDAR=FIVEDAY&amp;VAR:SYMBOL=671499&amp;VAR:INDEX=0"}</definedName>
    <definedName name="_4__FDSAUDITLINK__" hidden="1">{"fdsup://directions/FAT Viewer?action=UPDATE&amp;creator=factset&amp;DYN_ARGS=TRUE&amp;DOC_NAME=FAT:FQL_AUDITING_CLIENT_TEMPLATE.FAT&amp;display_string=Audit&amp;VAR:KEY=PUZOZGRKXK&amp;VAR:QUERY=RkVfVkFMVUFUSU9OKCdQQlBTJywnTUVBTicsJ0FOTlVBTCcsMjAwOSwwLCwsJycp&amp;WINDOW=FIRST_POPUP&amp;H","EIGHT=450&amp;WIDTH=450&amp;START_MAXIMIZED=FALSE&amp;VAR:CALENDAR=FIVEDAY&amp;VAR:SYMBOL=671499&amp;VAR:INDEX=0"}</definedName>
    <definedName name="_40__FDSAUDITLINK__" localSheetId="6" hidden="1">{"fdsup://directions/FAT Viewer?action=UPDATE&amp;creator=factset&amp;DYN_ARGS=TRUE&amp;DOC_NAME=FAT:FQL_AUDITING_CLIENT_TEMPLATE.FAT&amp;display_string=Audit&amp;VAR:KEY=TIRGRCNQPW&amp;VAR:QUERY=RkVfVkFMVUFUSU9OKCdQQlBTJywnTUVBTicsJ0FOTlVBTCcsMjAwOSwwLCwsJycp&amp;WINDOW=FIRST_POPUP&amp;H","EIGHT=450&amp;WIDTH=450&amp;START_MAXIMIZED=FALSE&amp;VAR:CALENDAR=FIVEDAY&amp;VAR:SYMBOL=306465&amp;VAR:INDEX=0"}</definedName>
    <definedName name="_40__FDSAUDITLINK__" localSheetId="5" hidden="1">{"fdsup://directions/FAT Viewer?action=UPDATE&amp;creator=factset&amp;DYN_ARGS=TRUE&amp;DOC_NAME=FAT:FQL_AUDITING_CLIENT_TEMPLATE.FAT&amp;display_string=Audit&amp;VAR:KEY=TIRGRCNQPW&amp;VAR:QUERY=RkVfVkFMVUFUSU9OKCdQQlBTJywnTUVBTicsJ0FOTlVBTCcsMjAwOSwwLCwsJycp&amp;WINDOW=FIRST_POPUP&amp;H","EIGHT=450&amp;WIDTH=450&amp;START_MAXIMIZED=FALSE&amp;VAR:CALENDAR=FIVEDAY&amp;VAR:SYMBOL=306465&amp;VAR:INDEX=0"}</definedName>
    <definedName name="_40__FDSAUDITLINK__" localSheetId="4" hidden="1">{"fdsup://directions/FAT Viewer?action=UPDATE&amp;creator=factset&amp;DYN_ARGS=TRUE&amp;DOC_NAME=FAT:FQL_AUDITING_CLIENT_TEMPLATE.FAT&amp;display_string=Audit&amp;VAR:KEY=TIRGRCNQPW&amp;VAR:QUERY=RkVfVkFMVUFUSU9OKCdQQlBTJywnTUVBTicsJ0FOTlVBTCcsMjAwOSwwLCwsJycp&amp;WINDOW=FIRST_POPUP&amp;H","EIGHT=450&amp;WIDTH=450&amp;START_MAXIMIZED=FALSE&amp;VAR:CALENDAR=FIVEDAY&amp;VAR:SYMBOL=306465&amp;VAR:INDEX=0"}</definedName>
    <definedName name="_40__FDSAUDITLINK__" localSheetId="1" hidden="1">{"fdsup://directions/FAT Viewer?action=UPDATE&amp;creator=factset&amp;DYN_ARGS=TRUE&amp;DOC_NAME=FAT:FQL_AUDITING_CLIENT_TEMPLATE.FAT&amp;display_string=Audit&amp;VAR:KEY=TIRGRCNQPW&amp;VAR:QUERY=RkVfVkFMVUFUSU9OKCdQQlBTJywnTUVBTicsJ0FOTlVBTCcsMjAwOSwwLCwsJycp&amp;WINDOW=FIRST_POPUP&amp;H","EIGHT=450&amp;WIDTH=450&amp;START_MAXIMIZED=FALSE&amp;VAR:CALENDAR=FIVEDAY&amp;VAR:SYMBOL=306465&amp;VAR:INDEX=0"}</definedName>
    <definedName name="_40__FDSAUDITLINK__" hidden="1">{"fdsup://directions/FAT Viewer?action=UPDATE&amp;creator=factset&amp;DYN_ARGS=TRUE&amp;DOC_NAME=FAT:FQL_AUDITING_CLIENT_TEMPLATE.FAT&amp;display_string=Audit&amp;VAR:KEY=TIRGRCNQPW&amp;VAR:QUERY=RkVfVkFMVUFUSU9OKCdQQlBTJywnTUVBTicsJ0FOTlVBTCcsMjAwOSwwLCwsJycp&amp;WINDOW=FIRST_POPUP&amp;H","EIGHT=450&amp;WIDTH=450&amp;START_MAXIMIZED=FALSE&amp;VAR:CALENDAR=FIVEDAY&amp;VAR:SYMBOL=306465&amp;VAR:INDEX=0"}</definedName>
    <definedName name="_41__FDSAUDITLINK__" localSheetId="6" hidden="1">{"fdsup://directions/FAT Viewer?action=UPDATE&amp;creator=factset&amp;DYN_ARGS=TRUE&amp;DOC_NAME=FAT:FQL_AUDITING_CLIENT_TEMPLATE.FAT&amp;display_string=Audit&amp;VAR:KEY=VGNCPODUVU&amp;VAR:QUERY=RkVfVkFMVUFUSU9OKCdQQlBTJywnTUVBTicsJ0FOTlVBTCcsMjAxMiwwLCwsJycp&amp;WINDOW=FIRST_POPUP&amp;H","EIGHT=450&amp;WIDTH=450&amp;START_MAXIMIZED=FALSE&amp;VAR:CALENDAR=FIVEDAY&amp;VAR:SYMBOL=440044&amp;VAR:INDEX=0"}</definedName>
    <definedName name="_41__FDSAUDITLINK__" localSheetId="5" hidden="1">{"fdsup://directions/FAT Viewer?action=UPDATE&amp;creator=factset&amp;DYN_ARGS=TRUE&amp;DOC_NAME=FAT:FQL_AUDITING_CLIENT_TEMPLATE.FAT&amp;display_string=Audit&amp;VAR:KEY=VGNCPODUVU&amp;VAR:QUERY=RkVfVkFMVUFUSU9OKCdQQlBTJywnTUVBTicsJ0FOTlVBTCcsMjAxMiwwLCwsJycp&amp;WINDOW=FIRST_POPUP&amp;H","EIGHT=450&amp;WIDTH=450&amp;START_MAXIMIZED=FALSE&amp;VAR:CALENDAR=FIVEDAY&amp;VAR:SYMBOL=440044&amp;VAR:INDEX=0"}</definedName>
    <definedName name="_41__FDSAUDITLINK__" localSheetId="4" hidden="1">{"fdsup://directions/FAT Viewer?action=UPDATE&amp;creator=factset&amp;DYN_ARGS=TRUE&amp;DOC_NAME=FAT:FQL_AUDITING_CLIENT_TEMPLATE.FAT&amp;display_string=Audit&amp;VAR:KEY=VGNCPODUVU&amp;VAR:QUERY=RkVfVkFMVUFUSU9OKCdQQlBTJywnTUVBTicsJ0FOTlVBTCcsMjAxMiwwLCwsJycp&amp;WINDOW=FIRST_POPUP&amp;H","EIGHT=450&amp;WIDTH=450&amp;START_MAXIMIZED=FALSE&amp;VAR:CALENDAR=FIVEDAY&amp;VAR:SYMBOL=440044&amp;VAR:INDEX=0"}</definedName>
    <definedName name="_41__FDSAUDITLINK__" localSheetId="1" hidden="1">{"fdsup://directions/FAT Viewer?action=UPDATE&amp;creator=factset&amp;DYN_ARGS=TRUE&amp;DOC_NAME=FAT:FQL_AUDITING_CLIENT_TEMPLATE.FAT&amp;display_string=Audit&amp;VAR:KEY=VGNCPODUVU&amp;VAR:QUERY=RkVfVkFMVUFUSU9OKCdQQlBTJywnTUVBTicsJ0FOTlVBTCcsMjAxMiwwLCwsJycp&amp;WINDOW=FIRST_POPUP&amp;H","EIGHT=450&amp;WIDTH=450&amp;START_MAXIMIZED=FALSE&amp;VAR:CALENDAR=FIVEDAY&amp;VAR:SYMBOL=440044&amp;VAR:INDEX=0"}</definedName>
    <definedName name="_41__FDSAUDITLINK__" hidden="1">{"fdsup://directions/FAT Viewer?action=UPDATE&amp;creator=factset&amp;DYN_ARGS=TRUE&amp;DOC_NAME=FAT:FQL_AUDITING_CLIENT_TEMPLATE.FAT&amp;display_string=Audit&amp;VAR:KEY=VGNCPODUVU&amp;VAR:QUERY=RkVfVkFMVUFUSU9OKCdQQlBTJywnTUVBTicsJ0FOTlVBTCcsMjAxMiwwLCwsJycp&amp;WINDOW=FIRST_POPUP&amp;H","EIGHT=450&amp;WIDTH=450&amp;START_MAXIMIZED=FALSE&amp;VAR:CALENDAR=FIVEDAY&amp;VAR:SYMBOL=440044&amp;VAR:INDEX=0"}</definedName>
    <definedName name="_42__FDSAUDITLINK__" localSheetId="6" hidden="1">{"fdsup://directions/FAT Viewer?action=UPDATE&amp;creator=factset&amp;DYN_ARGS=TRUE&amp;DOC_NAME=FAT:FQL_AUDITING_CLIENT_TEMPLATE.FAT&amp;display_string=Audit&amp;VAR:KEY=XGRIVODUVA&amp;VAR:QUERY=RkVfVkFMVUFUSU9OKCdQQlBTJywnTUVBTicsJ0FOTlVBTCcsMjAxMSwwLCwsJycp&amp;WINDOW=FIRST_POPUP&amp;H","EIGHT=450&amp;WIDTH=450&amp;START_MAXIMIZED=FALSE&amp;VAR:CALENDAR=FIVEDAY&amp;VAR:SYMBOL=440044&amp;VAR:INDEX=0"}</definedName>
    <definedName name="_42__FDSAUDITLINK__" localSheetId="5" hidden="1">{"fdsup://directions/FAT Viewer?action=UPDATE&amp;creator=factset&amp;DYN_ARGS=TRUE&amp;DOC_NAME=FAT:FQL_AUDITING_CLIENT_TEMPLATE.FAT&amp;display_string=Audit&amp;VAR:KEY=XGRIVODUVA&amp;VAR:QUERY=RkVfVkFMVUFUSU9OKCdQQlBTJywnTUVBTicsJ0FOTlVBTCcsMjAxMSwwLCwsJycp&amp;WINDOW=FIRST_POPUP&amp;H","EIGHT=450&amp;WIDTH=450&amp;START_MAXIMIZED=FALSE&amp;VAR:CALENDAR=FIVEDAY&amp;VAR:SYMBOL=440044&amp;VAR:INDEX=0"}</definedName>
    <definedName name="_42__FDSAUDITLINK__" localSheetId="4" hidden="1">{"fdsup://directions/FAT Viewer?action=UPDATE&amp;creator=factset&amp;DYN_ARGS=TRUE&amp;DOC_NAME=FAT:FQL_AUDITING_CLIENT_TEMPLATE.FAT&amp;display_string=Audit&amp;VAR:KEY=XGRIVODUVA&amp;VAR:QUERY=RkVfVkFMVUFUSU9OKCdQQlBTJywnTUVBTicsJ0FOTlVBTCcsMjAxMSwwLCwsJycp&amp;WINDOW=FIRST_POPUP&amp;H","EIGHT=450&amp;WIDTH=450&amp;START_MAXIMIZED=FALSE&amp;VAR:CALENDAR=FIVEDAY&amp;VAR:SYMBOL=440044&amp;VAR:INDEX=0"}</definedName>
    <definedName name="_42__FDSAUDITLINK__" localSheetId="1" hidden="1">{"fdsup://directions/FAT Viewer?action=UPDATE&amp;creator=factset&amp;DYN_ARGS=TRUE&amp;DOC_NAME=FAT:FQL_AUDITING_CLIENT_TEMPLATE.FAT&amp;display_string=Audit&amp;VAR:KEY=XGRIVODUVA&amp;VAR:QUERY=RkVfVkFMVUFUSU9OKCdQQlBTJywnTUVBTicsJ0FOTlVBTCcsMjAxMSwwLCwsJycp&amp;WINDOW=FIRST_POPUP&amp;H","EIGHT=450&amp;WIDTH=450&amp;START_MAXIMIZED=FALSE&amp;VAR:CALENDAR=FIVEDAY&amp;VAR:SYMBOL=440044&amp;VAR:INDEX=0"}</definedName>
    <definedName name="_42__FDSAUDITLINK__" hidden="1">{"fdsup://directions/FAT Viewer?action=UPDATE&amp;creator=factset&amp;DYN_ARGS=TRUE&amp;DOC_NAME=FAT:FQL_AUDITING_CLIENT_TEMPLATE.FAT&amp;display_string=Audit&amp;VAR:KEY=XGRIVODUVA&amp;VAR:QUERY=RkVfVkFMVUFUSU9OKCdQQlBTJywnTUVBTicsJ0FOTlVBTCcsMjAxMSwwLCwsJycp&amp;WINDOW=FIRST_POPUP&amp;H","EIGHT=450&amp;WIDTH=450&amp;START_MAXIMIZED=FALSE&amp;VAR:CALENDAR=FIVEDAY&amp;VAR:SYMBOL=440044&amp;VAR:INDEX=0"}</definedName>
    <definedName name="_43__FDSAUDITLINK__" localSheetId="6" hidden="1">{"fdsup://directions/FAT Viewer?action=UPDATE&amp;creator=factset&amp;DYN_ARGS=TRUE&amp;DOC_NAME=FAT:FQL_AUDITING_CLIENT_TEMPLATE.FAT&amp;display_string=Audit&amp;VAR:KEY=RANOROXQDY&amp;VAR:QUERY=RkVfVkFMVUFUSU9OKCdQQlBTJywnTUVBTicsJ0FOTlVBTCcsMjAxMCwwLCwsJycp&amp;WINDOW=FIRST_POPUP&amp;H","EIGHT=450&amp;WIDTH=450&amp;START_MAXIMIZED=FALSE&amp;VAR:CALENDAR=FIVEDAY&amp;VAR:SYMBOL=440044&amp;VAR:INDEX=0"}</definedName>
    <definedName name="_43__FDSAUDITLINK__" localSheetId="5" hidden="1">{"fdsup://directions/FAT Viewer?action=UPDATE&amp;creator=factset&amp;DYN_ARGS=TRUE&amp;DOC_NAME=FAT:FQL_AUDITING_CLIENT_TEMPLATE.FAT&amp;display_string=Audit&amp;VAR:KEY=RANOROXQDY&amp;VAR:QUERY=RkVfVkFMVUFUSU9OKCdQQlBTJywnTUVBTicsJ0FOTlVBTCcsMjAxMCwwLCwsJycp&amp;WINDOW=FIRST_POPUP&amp;H","EIGHT=450&amp;WIDTH=450&amp;START_MAXIMIZED=FALSE&amp;VAR:CALENDAR=FIVEDAY&amp;VAR:SYMBOL=440044&amp;VAR:INDEX=0"}</definedName>
    <definedName name="_43__FDSAUDITLINK__" localSheetId="4" hidden="1">{"fdsup://directions/FAT Viewer?action=UPDATE&amp;creator=factset&amp;DYN_ARGS=TRUE&amp;DOC_NAME=FAT:FQL_AUDITING_CLIENT_TEMPLATE.FAT&amp;display_string=Audit&amp;VAR:KEY=RANOROXQDY&amp;VAR:QUERY=RkVfVkFMVUFUSU9OKCdQQlBTJywnTUVBTicsJ0FOTlVBTCcsMjAxMCwwLCwsJycp&amp;WINDOW=FIRST_POPUP&amp;H","EIGHT=450&amp;WIDTH=450&amp;START_MAXIMIZED=FALSE&amp;VAR:CALENDAR=FIVEDAY&amp;VAR:SYMBOL=440044&amp;VAR:INDEX=0"}</definedName>
    <definedName name="_43__FDSAUDITLINK__" localSheetId="1" hidden="1">{"fdsup://directions/FAT Viewer?action=UPDATE&amp;creator=factset&amp;DYN_ARGS=TRUE&amp;DOC_NAME=FAT:FQL_AUDITING_CLIENT_TEMPLATE.FAT&amp;display_string=Audit&amp;VAR:KEY=RANOROXQDY&amp;VAR:QUERY=RkVfVkFMVUFUSU9OKCdQQlBTJywnTUVBTicsJ0FOTlVBTCcsMjAxMCwwLCwsJycp&amp;WINDOW=FIRST_POPUP&amp;H","EIGHT=450&amp;WIDTH=450&amp;START_MAXIMIZED=FALSE&amp;VAR:CALENDAR=FIVEDAY&amp;VAR:SYMBOL=440044&amp;VAR:INDEX=0"}</definedName>
    <definedName name="_43__FDSAUDITLINK__" hidden="1">{"fdsup://directions/FAT Viewer?action=UPDATE&amp;creator=factset&amp;DYN_ARGS=TRUE&amp;DOC_NAME=FAT:FQL_AUDITING_CLIENT_TEMPLATE.FAT&amp;display_string=Audit&amp;VAR:KEY=RANOROXQDY&amp;VAR:QUERY=RkVfVkFMVUFUSU9OKCdQQlBTJywnTUVBTicsJ0FOTlVBTCcsMjAxMCwwLCwsJycp&amp;WINDOW=FIRST_POPUP&amp;H","EIGHT=450&amp;WIDTH=450&amp;START_MAXIMIZED=FALSE&amp;VAR:CALENDAR=FIVEDAY&amp;VAR:SYMBOL=440044&amp;VAR:INDEX=0"}</definedName>
    <definedName name="_44__FDSAUDITLINK__" localSheetId="6" hidden="1">{"fdsup://directions/FAT Viewer?action=UPDATE&amp;creator=factset&amp;DYN_ARGS=TRUE&amp;DOC_NAME=FAT:FQL_AUDITING_CLIENT_TEMPLATE.FAT&amp;display_string=Audit&amp;VAR:KEY=LUTQLCLGJU&amp;VAR:QUERY=RkVfVkFMVUFUSU9OKCdQQlBTJywnTUVBTicsJ0FOTlVBTCcsMjAwOSwwLCwsJycp&amp;WINDOW=FIRST_POPUP&amp;H","EIGHT=450&amp;WIDTH=450&amp;START_MAXIMIZED=FALSE&amp;VAR:CALENDAR=FIVEDAY&amp;VAR:SYMBOL=440044&amp;VAR:INDEX=0"}</definedName>
    <definedName name="_44__FDSAUDITLINK__" localSheetId="5" hidden="1">{"fdsup://directions/FAT Viewer?action=UPDATE&amp;creator=factset&amp;DYN_ARGS=TRUE&amp;DOC_NAME=FAT:FQL_AUDITING_CLIENT_TEMPLATE.FAT&amp;display_string=Audit&amp;VAR:KEY=LUTQLCLGJU&amp;VAR:QUERY=RkVfVkFMVUFUSU9OKCdQQlBTJywnTUVBTicsJ0FOTlVBTCcsMjAwOSwwLCwsJycp&amp;WINDOW=FIRST_POPUP&amp;H","EIGHT=450&amp;WIDTH=450&amp;START_MAXIMIZED=FALSE&amp;VAR:CALENDAR=FIVEDAY&amp;VAR:SYMBOL=440044&amp;VAR:INDEX=0"}</definedName>
    <definedName name="_44__FDSAUDITLINK__" localSheetId="4" hidden="1">{"fdsup://directions/FAT Viewer?action=UPDATE&amp;creator=factset&amp;DYN_ARGS=TRUE&amp;DOC_NAME=FAT:FQL_AUDITING_CLIENT_TEMPLATE.FAT&amp;display_string=Audit&amp;VAR:KEY=LUTQLCLGJU&amp;VAR:QUERY=RkVfVkFMVUFUSU9OKCdQQlBTJywnTUVBTicsJ0FOTlVBTCcsMjAwOSwwLCwsJycp&amp;WINDOW=FIRST_POPUP&amp;H","EIGHT=450&amp;WIDTH=450&amp;START_MAXIMIZED=FALSE&amp;VAR:CALENDAR=FIVEDAY&amp;VAR:SYMBOL=440044&amp;VAR:INDEX=0"}</definedName>
    <definedName name="_44__FDSAUDITLINK__" localSheetId="1" hidden="1">{"fdsup://directions/FAT Viewer?action=UPDATE&amp;creator=factset&amp;DYN_ARGS=TRUE&amp;DOC_NAME=FAT:FQL_AUDITING_CLIENT_TEMPLATE.FAT&amp;display_string=Audit&amp;VAR:KEY=LUTQLCLGJU&amp;VAR:QUERY=RkVfVkFMVUFUSU9OKCdQQlBTJywnTUVBTicsJ0FOTlVBTCcsMjAwOSwwLCwsJycp&amp;WINDOW=FIRST_POPUP&amp;H","EIGHT=450&amp;WIDTH=450&amp;START_MAXIMIZED=FALSE&amp;VAR:CALENDAR=FIVEDAY&amp;VAR:SYMBOL=440044&amp;VAR:INDEX=0"}</definedName>
    <definedName name="_44__FDSAUDITLINK__" hidden="1">{"fdsup://directions/FAT Viewer?action=UPDATE&amp;creator=factset&amp;DYN_ARGS=TRUE&amp;DOC_NAME=FAT:FQL_AUDITING_CLIENT_TEMPLATE.FAT&amp;display_string=Audit&amp;VAR:KEY=LUTQLCLGJU&amp;VAR:QUERY=RkVfVkFMVUFUSU9OKCdQQlBTJywnTUVBTicsJ0FOTlVBTCcsMjAwOSwwLCwsJycp&amp;WINDOW=FIRST_POPUP&amp;H","EIGHT=450&amp;WIDTH=450&amp;START_MAXIMIZED=FALSE&amp;VAR:CALENDAR=FIVEDAY&amp;VAR:SYMBOL=440044&amp;VAR:INDEX=0"}</definedName>
    <definedName name="_45__FDSAUDITLINK__" localSheetId="6" hidden="1">{"fdsup://directions/FAT Viewer?action=UPDATE&amp;creator=factset&amp;DYN_ARGS=TRUE&amp;DOC_NAME=FAT:FQL_AUDITING_CLIENT_TEMPLATE.FAT&amp;display_string=Audit&amp;VAR:KEY=ZGTCLSBADE&amp;VAR:QUERY=RkVfVkFMVUFUSU9OKCdQQlBTJywnTUVBTicsJ0FOTlVBTCcsMjAxMiwwLCwsJycp&amp;WINDOW=FIRST_POPUP&amp;H","EIGHT=450&amp;WIDTH=450&amp;START_MAXIMIZED=FALSE&amp;VAR:CALENDAR=FIVEDAY&amp;VAR:SYMBOL=441901&amp;VAR:INDEX=0"}</definedName>
    <definedName name="_45__FDSAUDITLINK__" localSheetId="5" hidden="1">{"fdsup://directions/FAT Viewer?action=UPDATE&amp;creator=factset&amp;DYN_ARGS=TRUE&amp;DOC_NAME=FAT:FQL_AUDITING_CLIENT_TEMPLATE.FAT&amp;display_string=Audit&amp;VAR:KEY=ZGTCLSBADE&amp;VAR:QUERY=RkVfVkFMVUFUSU9OKCdQQlBTJywnTUVBTicsJ0FOTlVBTCcsMjAxMiwwLCwsJycp&amp;WINDOW=FIRST_POPUP&amp;H","EIGHT=450&amp;WIDTH=450&amp;START_MAXIMIZED=FALSE&amp;VAR:CALENDAR=FIVEDAY&amp;VAR:SYMBOL=441901&amp;VAR:INDEX=0"}</definedName>
    <definedName name="_45__FDSAUDITLINK__" localSheetId="4" hidden="1">{"fdsup://directions/FAT Viewer?action=UPDATE&amp;creator=factset&amp;DYN_ARGS=TRUE&amp;DOC_NAME=FAT:FQL_AUDITING_CLIENT_TEMPLATE.FAT&amp;display_string=Audit&amp;VAR:KEY=ZGTCLSBADE&amp;VAR:QUERY=RkVfVkFMVUFUSU9OKCdQQlBTJywnTUVBTicsJ0FOTlVBTCcsMjAxMiwwLCwsJycp&amp;WINDOW=FIRST_POPUP&amp;H","EIGHT=450&amp;WIDTH=450&amp;START_MAXIMIZED=FALSE&amp;VAR:CALENDAR=FIVEDAY&amp;VAR:SYMBOL=441901&amp;VAR:INDEX=0"}</definedName>
    <definedName name="_45__FDSAUDITLINK__" localSheetId="1" hidden="1">{"fdsup://directions/FAT Viewer?action=UPDATE&amp;creator=factset&amp;DYN_ARGS=TRUE&amp;DOC_NAME=FAT:FQL_AUDITING_CLIENT_TEMPLATE.FAT&amp;display_string=Audit&amp;VAR:KEY=ZGTCLSBADE&amp;VAR:QUERY=RkVfVkFMVUFUSU9OKCdQQlBTJywnTUVBTicsJ0FOTlVBTCcsMjAxMiwwLCwsJycp&amp;WINDOW=FIRST_POPUP&amp;H","EIGHT=450&amp;WIDTH=450&amp;START_MAXIMIZED=FALSE&amp;VAR:CALENDAR=FIVEDAY&amp;VAR:SYMBOL=441901&amp;VAR:INDEX=0"}</definedName>
    <definedName name="_45__FDSAUDITLINK__" hidden="1">{"fdsup://directions/FAT Viewer?action=UPDATE&amp;creator=factset&amp;DYN_ARGS=TRUE&amp;DOC_NAME=FAT:FQL_AUDITING_CLIENT_TEMPLATE.FAT&amp;display_string=Audit&amp;VAR:KEY=ZGTCLSBADE&amp;VAR:QUERY=RkVfVkFMVUFUSU9OKCdQQlBTJywnTUVBTicsJ0FOTlVBTCcsMjAxMiwwLCwsJycp&amp;WINDOW=FIRST_POPUP&amp;H","EIGHT=450&amp;WIDTH=450&amp;START_MAXIMIZED=FALSE&amp;VAR:CALENDAR=FIVEDAY&amp;VAR:SYMBOL=441901&amp;VAR:INDEX=0"}</definedName>
    <definedName name="_46__FDSAUDITLINK__" localSheetId="6" hidden="1">{"fdsup://directions/FAT Viewer?action=UPDATE&amp;creator=factset&amp;DYN_ARGS=TRUE&amp;DOC_NAME=FAT:FQL_AUDITING_CLIENT_TEMPLATE.FAT&amp;display_string=Audit&amp;VAR:KEY=JKTCVWVCXS&amp;VAR:QUERY=RkVfVkFMVUFUSU9OKCdQQlBTJywnTUVBTicsJ0FOTlVBTCcsMjAxMSwwLCwsJycp&amp;WINDOW=FIRST_POPUP&amp;H","EIGHT=450&amp;WIDTH=450&amp;START_MAXIMIZED=FALSE&amp;VAR:CALENDAR=FIVEDAY&amp;VAR:SYMBOL=441901&amp;VAR:INDEX=0"}</definedName>
    <definedName name="_46__FDSAUDITLINK__" localSheetId="5" hidden="1">{"fdsup://directions/FAT Viewer?action=UPDATE&amp;creator=factset&amp;DYN_ARGS=TRUE&amp;DOC_NAME=FAT:FQL_AUDITING_CLIENT_TEMPLATE.FAT&amp;display_string=Audit&amp;VAR:KEY=JKTCVWVCXS&amp;VAR:QUERY=RkVfVkFMVUFUSU9OKCdQQlBTJywnTUVBTicsJ0FOTlVBTCcsMjAxMSwwLCwsJycp&amp;WINDOW=FIRST_POPUP&amp;H","EIGHT=450&amp;WIDTH=450&amp;START_MAXIMIZED=FALSE&amp;VAR:CALENDAR=FIVEDAY&amp;VAR:SYMBOL=441901&amp;VAR:INDEX=0"}</definedName>
    <definedName name="_46__FDSAUDITLINK__" localSheetId="4" hidden="1">{"fdsup://directions/FAT Viewer?action=UPDATE&amp;creator=factset&amp;DYN_ARGS=TRUE&amp;DOC_NAME=FAT:FQL_AUDITING_CLIENT_TEMPLATE.FAT&amp;display_string=Audit&amp;VAR:KEY=JKTCVWVCXS&amp;VAR:QUERY=RkVfVkFMVUFUSU9OKCdQQlBTJywnTUVBTicsJ0FOTlVBTCcsMjAxMSwwLCwsJycp&amp;WINDOW=FIRST_POPUP&amp;H","EIGHT=450&amp;WIDTH=450&amp;START_MAXIMIZED=FALSE&amp;VAR:CALENDAR=FIVEDAY&amp;VAR:SYMBOL=441901&amp;VAR:INDEX=0"}</definedName>
    <definedName name="_46__FDSAUDITLINK__" localSheetId="1" hidden="1">{"fdsup://directions/FAT Viewer?action=UPDATE&amp;creator=factset&amp;DYN_ARGS=TRUE&amp;DOC_NAME=FAT:FQL_AUDITING_CLIENT_TEMPLATE.FAT&amp;display_string=Audit&amp;VAR:KEY=JKTCVWVCXS&amp;VAR:QUERY=RkVfVkFMVUFUSU9OKCdQQlBTJywnTUVBTicsJ0FOTlVBTCcsMjAxMSwwLCwsJycp&amp;WINDOW=FIRST_POPUP&amp;H","EIGHT=450&amp;WIDTH=450&amp;START_MAXIMIZED=FALSE&amp;VAR:CALENDAR=FIVEDAY&amp;VAR:SYMBOL=441901&amp;VAR:INDEX=0"}</definedName>
    <definedName name="_46__FDSAUDITLINK__" hidden="1">{"fdsup://directions/FAT Viewer?action=UPDATE&amp;creator=factset&amp;DYN_ARGS=TRUE&amp;DOC_NAME=FAT:FQL_AUDITING_CLIENT_TEMPLATE.FAT&amp;display_string=Audit&amp;VAR:KEY=JKTCVWVCXS&amp;VAR:QUERY=RkVfVkFMVUFUSU9OKCdQQlBTJywnTUVBTicsJ0FOTlVBTCcsMjAxMSwwLCwsJycp&amp;WINDOW=FIRST_POPUP&amp;H","EIGHT=450&amp;WIDTH=450&amp;START_MAXIMIZED=FALSE&amp;VAR:CALENDAR=FIVEDAY&amp;VAR:SYMBOL=441901&amp;VAR:INDEX=0"}</definedName>
    <definedName name="_47__FDSAUDITLINK__" localSheetId="6" hidden="1">{"fdsup://directions/FAT Viewer?action=UPDATE&amp;creator=factset&amp;DYN_ARGS=TRUE&amp;DOC_NAME=FAT:FQL_AUDITING_CLIENT_TEMPLATE.FAT&amp;display_string=Audit&amp;VAR:KEY=NIFKRWBWPY&amp;VAR:QUERY=RkVfVkFMVUFUSU9OKCdQQlBTJywnTUVBTicsJ0FOTlVBTCcsMjAxMCwwLCwsJycp&amp;WINDOW=FIRST_POPUP&amp;H","EIGHT=450&amp;WIDTH=450&amp;START_MAXIMIZED=FALSE&amp;VAR:CALENDAR=FIVEDAY&amp;VAR:SYMBOL=441901&amp;VAR:INDEX=0"}</definedName>
    <definedName name="_47__FDSAUDITLINK__" localSheetId="5" hidden="1">{"fdsup://directions/FAT Viewer?action=UPDATE&amp;creator=factset&amp;DYN_ARGS=TRUE&amp;DOC_NAME=FAT:FQL_AUDITING_CLIENT_TEMPLATE.FAT&amp;display_string=Audit&amp;VAR:KEY=NIFKRWBWPY&amp;VAR:QUERY=RkVfVkFMVUFUSU9OKCdQQlBTJywnTUVBTicsJ0FOTlVBTCcsMjAxMCwwLCwsJycp&amp;WINDOW=FIRST_POPUP&amp;H","EIGHT=450&amp;WIDTH=450&amp;START_MAXIMIZED=FALSE&amp;VAR:CALENDAR=FIVEDAY&amp;VAR:SYMBOL=441901&amp;VAR:INDEX=0"}</definedName>
    <definedName name="_47__FDSAUDITLINK__" localSheetId="4" hidden="1">{"fdsup://directions/FAT Viewer?action=UPDATE&amp;creator=factset&amp;DYN_ARGS=TRUE&amp;DOC_NAME=FAT:FQL_AUDITING_CLIENT_TEMPLATE.FAT&amp;display_string=Audit&amp;VAR:KEY=NIFKRWBWPY&amp;VAR:QUERY=RkVfVkFMVUFUSU9OKCdQQlBTJywnTUVBTicsJ0FOTlVBTCcsMjAxMCwwLCwsJycp&amp;WINDOW=FIRST_POPUP&amp;H","EIGHT=450&amp;WIDTH=450&amp;START_MAXIMIZED=FALSE&amp;VAR:CALENDAR=FIVEDAY&amp;VAR:SYMBOL=441901&amp;VAR:INDEX=0"}</definedName>
    <definedName name="_47__FDSAUDITLINK__" localSheetId="1" hidden="1">{"fdsup://directions/FAT Viewer?action=UPDATE&amp;creator=factset&amp;DYN_ARGS=TRUE&amp;DOC_NAME=FAT:FQL_AUDITING_CLIENT_TEMPLATE.FAT&amp;display_string=Audit&amp;VAR:KEY=NIFKRWBWPY&amp;VAR:QUERY=RkVfVkFMVUFUSU9OKCdQQlBTJywnTUVBTicsJ0FOTlVBTCcsMjAxMCwwLCwsJycp&amp;WINDOW=FIRST_POPUP&amp;H","EIGHT=450&amp;WIDTH=450&amp;START_MAXIMIZED=FALSE&amp;VAR:CALENDAR=FIVEDAY&amp;VAR:SYMBOL=441901&amp;VAR:INDEX=0"}</definedName>
    <definedName name="_47__FDSAUDITLINK__" hidden="1">{"fdsup://directions/FAT Viewer?action=UPDATE&amp;creator=factset&amp;DYN_ARGS=TRUE&amp;DOC_NAME=FAT:FQL_AUDITING_CLIENT_TEMPLATE.FAT&amp;display_string=Audit&amp;VAR:KEY=NIFKRWBWPY&amp;VAR:QUERY=RkVfVkFMVUFUSU9OKCdQQlBTJywnTUVBTicsJ0FOTlVBTCcsMjAxMCwwLCwsJycp&amp;WINDOW=FIRST_POPUP&amp;H","EIGHT=450&amp;WIDTH=450&amp;START_MAXIMIZED=FALSE&amp;VAR:CALENDAR=FIVEDAY&amp;VAR:SYMBOL=441901&amp;VAR:INDEX=0"}</definedName>
    <definedName name="_48__FDSAUDITLINK__" localSheetId="6" hidden="1">{"fdsup://directions/FAT Viewer?action=UPDATE&amp;creator=factset&amp;DYN_ARGS=TRUE&amp;DOC_NAME=FAT:FQL_AUDITING_CLIENT_TEMPLATE.FAT&amp;display_string=Audit&amp;VAR:KEY=DCBWBYDQBY&amp;VAR:QUERY=RkVfVkFMVUFUSU9OKCdQQlBTJywnTUVBTicsJ0FOTlVBTCcsMjAwOSwwLCwsJycp&amp;WINDOW=FIRST_POPUP&amp;H","EIGHT=450&amp;WIDTH=450&amp;START_MAXIMIZED=FALSE&amp;VAR:CALENDAR=FIVEDAY&amp;VAR:SYMBOL=441901&amp;VAR:INDEX=0"}</definedName>
    <definedName name="_48__FDSAUDITLINK__" localSheetId="5" hidden="1">{"fdsup://directions/FAT Viewer?action=UPDATE&amp;creator=factset&amp;DYN_ARGS=TRUE&amp;DOC_NAME=FAT:FQL_AUDITING_CLIENT_TEMPLATE.FAT&amp;display_string=Audit&amp;VAR:KEY=DCBWBYDQBY&amp;VAR:QUERY=RkVfVkFMVUFUSU9OKCdQQlBTJywnTUVBTicsJ0FOTlVBTCcsMjAwOSwwLCwsJycp&amp;WINDOW=FIRST_POPUP&amp;H","EIGHT=450&amp;WIDTH=450&amp;START_MAXIMIZED=FALSE&amp;VAR:CALENDAR=FIVEDAY&amp;VAR:SYMBOL=441901&amp;VAR:INDEX=0"}</definedName>
    <definedName name="_48__FDSAUDITLINK__" localSheetId="4" hidden="1">{"fdsup://directions/FAT Viewer?action=UPDATE&amp;creator=factset&amp;DYN_ARGS=TRUE&amp;DOC_NAME=FAT:FQL_AUDITING_CLIENT_TEMPLATE.FAT&amp;display_string=Audit&amp;VAR:KEY=DCBWBYDQBY&amp;VAR:QUERY=RkVfVkFMVUFUSU9OKCdQQlBTJywnTUVBTicsJ0FOTlVBTCcsMjAwOSwwLCwsJycp&amp;WINDOW=FIRST_POPUP&amp;H","EIGHT=450&amp;WIDTH=450&amp;START_MAXIMIZED=FALSE&amp;VAR:CALENDAR=FIVEDAY&amp;VAR:SYMBOL=441901&amp;VAR:INDEX=0"}</definedName>
    <definedName name="_48__FDSAUDITLINK__" localSheetId="1" hidden="1">{"fdsup://directions/FAT Viewer?action=UPDATE&amp;creator=factset&amp;DYN_ARGS=TRUE&amp;DOC_NAME=FAT:FQL_AUDITING_CLIENT_TEMPLATE.FAT&amp;display_string=Audit&amp;VAR:KEY=DCBWBYDQBY&amp;VAR:QUERY=RkVfVkFMVUFUSU9OKCdQQlBTJywnTUVBTicsJ0FOTlVBTCcsMjAwOSwwLCwsJycp&amp;WINDOW=FIRST_POPUP&amp;H","EIGHT=450&amp;WIDTH=450&amp;START_MAXIMIZED=FALSE&amp;VAR:CALENDAR=FIVEDAY&amp;VAR:SYMBOL=441901&amp;VAR:INDEX=0"}</definedName>
    <definedName name="_48__FDSAUDITLINK__" hidden="1">{"fdsup://directions/FAT Viewer?action=UPDATE&amp;creator=factset&amp;DYN_ARGS=TRUE&amp;DOC_NAME=FAT:FQL_AUDITING_CLIENT_TEMPLATE.FAT&amp;display_string=Audit&amp;VAR:KEY=DCBWBYDQBY&amp;VAR:QUERY=RkVfVkFMVUFUSU9OKCdQQlBTJywnTUVBTicsJ0FOTlVBTCcsMjAwOSwwLCwsJycp&amp;WINDOW=FIRST_POPUP&amp;H","EIGHT=450&amp;WIDTH=450&amp;START_MAXIMIZED=FALSE&amp;VAR:CALENDAR=FIVEDAY&amp;VAR:SYMBOL=441901&amp;VAR:INDEX=0"}</definedName>
    <definedName name="_49__FDSAUDITLINK__" localSheetId="6" hidden="1">{"fdsup://directions/FAT Viewer?action=UPDATE&amp;creator=factset&amp;DYN_ARGS=TRUE&amp;DOC_NAME=FAT:FQL_AUDITING_CLIENT_TEMPLATE.FAT&amp;display_string=Audit&amp;VAR:KEY=JERCXQTOJO&amp;VAR:QUERY=RkVfVkFMVUFUSU9OKCdQQlBTJywnTUVBTicsJ0FOTlVBTCcsMjAxMiwwLCwsJycp&amp;WINDOW=FIRST_POPUP&amp;H","EIGHT=450&amp;WIDTH=450&amp;START_MAXIMIZED=FALSE&amp;VAR:CALENDAR=US&amp;VAR:INDEX=0"}</definedName>
    <definedName name="_49__FDSAUDITLINK__" localSheetId="5" hidden="1">{"fdsup://directions/FAT Viewer?action=UPDATE&amp;creator=factset&amp;DYN_ARGS=TRUE&amp;DOC_NAME=FAT:FQL_AUDITING_CLIENT_TEMPLATE.FAT&amp;display_string=Audit&amp;VAR:KEY=JERCXQTOJO&amp;VAR:QUERY=RkVfVkFMVUFUSU9OKCdQQlBTJywnTUVBTicsJ0FOTlVBTCcsMjAxMiwwLCwsJycp&amp;WINDOW=FIRST_POPUP&amp;H","EIGHT=450&amp;WIDTH=450&amp;START_MAXIMIZED=FALSE&amp;VAR:CALENDAR=US&amp;VAR:INDEX=0"}</definedName>
    <definedName name="_49__FDSAUDITLINK__" localSheetId="4" hidden="1">{"fdsup://directions/FAT Viewer?action=UPDATE&amp;creator=factset&amp;DYN_ARGS=TRUE&amp;DOC_NAME=FAT:FQL_AUDITING_CLIENT_TEMPLATE.FAT&amp;display_string=Audit&amp;VAR:KEY=JERCXQTOJO&amp;VAR:QUERY=RkVfVkFMVUFUSU9OKCdQQlBTJywnTUVBTicsJ0FOTlVBTCcsMjAxMiwwLCwsJycp&amp;WINDOW=FIRST_POPUP&amp;H","EIGHT=450&amp;WIDTH=450&amp;START_MAXIMIZED=FALSE&amp;VAR:CALENDAR=US&amp;VAR:INDEX=0"}</definedName>
    <definedName name="_49__FDSAUDITLINK__" localSheetId="1" hidden="1">{"fdsup://directions/FAT Viewer?action=UPDATE&amp;creator=factset&amp;DYN_ARGS=TRUE&amp;DOC_NAME=FAT:FQL_AUDITING_CLIENT_TEMPLATE.FAT&amp;display_string=Audit&amp;VAR:KEY=JERCXQTOJO&amp;VAR:QUERY=RkVfVkFMVUFUSU9OKCdQQlBTJywnTUVBTicsJ0FOTlVBTCcsMjAxMiwwLCwsJycp&amp;WINDOW=FIRST_POPUP&amp;H","EIGHT=450&amp;WIDTH=450&amp;START_MAXIMIZED=FALSE&amp;VAR:CALENDAR=US&amp;VAR:INDEX=0"}</definedName>
    <definedName name="_49__FDSAUDITLINK__" hidden="1">{"fdsup://directions/FAT Viewer?action=UPDATE&amp;creator=factset&amp;DYN_ARGS=TRUE&amp;DOC_NAME=FAT:FQL_AUDITING_CLIENT_TEMPLATE.FAT&amp;display_string=Audit&amp;VAR:KEY=JERCXQTOJO&amp;VAR:QUERY=RkVfVkFMVUFUSU9OKCdQQlBTJywnTUVBTicsJ0FOTlVBTCcsMjAxMiwwLCwsJycp&amp;WINDOW=FIRST_POPUP&amp;H","EIGHT=450&amp;WIDTH=450&amp;START_MAXIMIZED=FALSE&amp;VAR:CALENDAR=US&amp;VAR:INDEX=0"}</definedName>
    <definedName name="_5__FDSAUDITLINK__" localSheetId="6" hidden="1">{"fdsup://directions/FAT Viewer?action=UPDATE&amp;creator=factset&amp;DYN_ARGS=TRUE&amp;DOC_NAME=FAT:FQL_AUDITING_CLIENT_TEMPLATE.FAT&amp;display_string=Audit&amp;VAR:KEY=HQTSVONSRI&amp;VAR:QUERY=RkVfVkFMVUFUSU9OKCdQQlBTJywnTUVBTicsJ0FOTlVBTCcsMjAxMiwwLCwsJycp&amp;WINDOW=FIRST_POPUP&amp;H","EIGHT=450&amp;WIDTH=450&amp;START_MAXIMIZED=FALSE&amp;VAR:CALENDAR=FIVEDAY&amp;VAR:SYMBOL=648963&amp;VAR:INDEX=0"}</definedName>
    <definedName name="_5__FDSAUDITLINK__" localSheetId="5" hidden="1">{"fdsup://directions/FAT Viewer?action=UPDATE&amp;creator=factset&amp;DYN_ARGS=TRUE&amp;DOC_NAME=FAT:FQL_AUDITING_CLIENT_TEMPLATE.FAT&amp;display_string=Audit&amp;VAR:KEY=HQTSVONSRI&amp;VAR:QUERY=RkVfVkFMVUFUSU9OKCdQQlBTJywnTUVBTicsJ0FOTlVBTCcsMjAxMiwwLCwsJycp&amp;WINDOW=FIRST_POPUP&amp;H","EIGHT=450&amp;WIDTH=450&amp;START_MAXIMIZED=FALSE&amp;VAR:CALENDAR=FIVEDAY&amp;VAR:SYMBOL=648963&amp;VAR:INDEX=0"}</definedName>
    <definedName name="_5__FDSAUDITLINK__" localSheetId="4" hidden="1">{"fdsup://directions/FAT Viewer?action=UPDATE&amp;creator=factset&amp;DYN_ARGS=TRUE&amp;DOC_NAME=FAT:FQL_AUDITING_CLIENT_TEMPLATE.FAT&amp;display_string=Audit&amp;VAR:KEY=HQTSVONSRI&amp;VAR:QUERY=RkVfVkFMVUFUSU9OKCdQQlBTJywnTUVBTicsJ0FOTlVBTCcsMjAxMiwwLCwsJycp&amp;WINDOW=FIRST_POPUP&amp;H","EIGHT=450&amp;WIDTH=450&amp;START_MAXIMIZED=FALSE&amp;VAR:CALENDAR=FIVEDAY&amp;VAR:SYMBOL=648963&amp;VAR:INDEX=0"}</definedName>
    <definedName name="_5__FDSAUDITLINK__" localSheetId="1" hidden="1">{"fdsup://directions/FAT Viewer?action=UPDATE&amp;creator=factset&amp;DYN_ARGS=TRUE&amp;DOC_NAME=FAT:FQL_AUDITING_CLIENT_TEMPLATE.FAT&amp;display_string=Audit&amp;VAR:KEY=HQTSVONSRI&amp;VAR:QUERY=RkVfVkFMVUFUSU9OKCdQQlBTJywnTUVBTicsJ0FOTlVBTCcsMjAxMiwwLCwsJycp&amp;WINDOW=FIRST_POPUP&amp;H","EIGHT=450&amp;WIDTH=450&amp;START_MAXIMIZED=FALSE&amp;VAR:CALENDAR=FIVEDAY&amp;VAR:SYMBOL=648963&amp;VAR:INDEX=0"}</definedName>
    <definedName name="_5__FDSAUDITLINK__" hidden="1">{"fdsup://directions/FAT Viewer?action=UPDATE&amp;creator=factset&amp;DYN_ARGS=TRUE&amp;DOC_NAME=FAT:FQL_AUDITING_CLIENT_TEMPLATE.FAT&amp;display_string=Audit&amp;VAR:KEY=HQTSVONSRI&amp;VAR:QUERY=RkVfVkFMVUFUSU9OKCdQQlBTJywnTUVBTicsJ0FOTlVBTCcsMjAxMiwwLCwsJycp&amp;WINDOW=FIRST_POPUP&amp;H","EIGHT=450&amp;WIDTH=450&amp;START_MAXIMIZED=FALSE&amp;VAR:CALENDAR=FIVEDAY&amp;VAR:SYMBOL=648963&amp;VAR:INDEX=0"}</definedName>
    <definedName name="_50__FDSAUDITLINK__" localSheetId="6" hidden="1">{"fdsup://directions/FAT Viewer?action=UPDATE&amp;creator=factset&amp;DYN_ARGS=TRUE&amp;DOC_NAME=FAT:FQL_AUDITING_CLIENT_TEMPLATE.FAT&amp;display_string=Audit&amp;VAR:KEY=FUPMPONMFY&amp;VAR:QUERY=RkVfVkFMVUFUSU9OKCdQQlBTJywnTUVBTicsJ0FOTlVBTCcsMjAxMSwwLCwsJycp&amp;WINDOW=FIRST_POPUP&amp;H","EIGHT=450&amp;WIDTH=450&amp;START_MAXIMIZED=FALSE&amp;VAR:CALENDAR=US&amp;VAR:INDEX=0"}</definedName>
    <definedName name="_50__FDSAUDITLINK__" localSheetId="5" hidden="1">{"fdsup://directions/FAT Viewer?action=UPDATE&amp;creator=factset&amp;DYN_ARGS=TRUE&amp;DOC_NAME=FAT:FQL_AUDITING_CLIENT_TEMPLATE.FAT&amp;display_string=Audit&amp;VAR:KEY=FUPMPONMFY&amp;VAR:QUERY=RkVfVkFMVUFUSU9OKCdQQlBTJywnTUVBTicsJ0FOTlVBTCcsMjAxMSwwLCwsJycp&amp;WINDOW=FIRST_POPUP&amp;H","EIGHT=450&amp;WIDTH=450&amp;START_MAXIMIZED=FALSE&amp;VAR:CALENDAR=US&amp;VAR:INDEX=0"}</definedName>
    <definedName name="_50__FDSAUDITLINK__" localSheetId="4" hidden="1">{"fdsup://directions/FAT Viewer?action=UPDATE&amp;creator=factset&amp;DYN_ARGS=TRUE&amp;DOC_NAME=FAT:FQL_AUDITING_CLIENT_TEMPLATE.FAT&amp;display_string=Audit&amp;VAR:KEY=FUPMPONMFY&amp;VAR:QUERY=RkVfVkFMVUFUSU9OKCdQQlBTJywnTUVBTicsJ0FOTlVBTCcsMjAxMSwwLCwsJycp&amp;WINDOW=FIRST_POPUP&amp;H","EIGHT=450&amp;WIDTH=450&amp;START_MAXIMIZED=FALSE&amp;VAR:CALENDAR=US&amp;VAR:INDEX=0"}</definedName>
    <definedName name="_50__FDSAUDITLINK__" localSheetId="1" hidden="1">{"fdsup://directions/FAT Viewer?action=UPDATE&amp;creator=factset&amp;DYN_ARGS=TRUE&amp;DOC_NAME=FAT:FQL_AUDITING_CLIENT_TEMPLATE.FAT&amp;display_string=Audit&amp;VAR:KEY=FUPMPONMFY&amp;VAR:QUERY=RkVfVkFMVUFUSU9OKCdQQlBTJywnTUVBTicsJ0FOTlVBTCcsMjAxMSwwLCwsJycp&amp;WINDOW=FIRST_POPUP&amp;H","EIGHT=450&amp;WIDTH=450&amp;START_MAXIMIZED=FALSE&amp;VAR:CALENDAR=US&amp;VAR:INDEX=0"}</definedName>
    <definedName name="_50__FDSAUDITLINK__" hidden="1">{"fdsup://directions/FAT Viewer?action=UPDATE&amp;creator=factset&amp;DYN_ARGS=TRUE&amp;DOC_NAME=FAT:FQL_AUDITING_CLIENT_TEMPLATE.FAT&amp;display_string=Audit&amp;VAR:KEY=FUPMPONMFY&amp;VAR:QUERY=RkVfVkFMVUFUSU9OKCdQQlBTJywnTUVBTicsJ0FOTlVBTCcsMjAxMSwwLCwsJycp&amp;WINDOW=FIRST_POPUP&amp;H","EIGHT=450&amp;WIDTH=450&amp;START_MAXIMIZED=FALSE&amp;VAR:CALENDAR=US&amp;VAR:INDEX=0"}</definedName>
    <definedName name="_51__FDSAUDITLINK__" localSheetId="6" hidden="1">{"fdsup://directions/FAT Viewer?action=UPDATE&amp;creator=factset&amp;DYN_ARGS=TRUE&amp;DOC_NAME=FAT:FQL_AUDITING_CLIENT_TEMPLATE.FAT&amp;display_string=Audit&amp;VAR:KEY=ZURCLIDSFE&amp;VAR:QUERY=RkVfVkFMVUFUSU9OKCdQQlBTJywnTUVBTicsJ0FOTlVBTCcsMjAxMCwwLCwsJycp&amp;WINDOW=FIRST_POPUP&amp;H","EIGHT=450&amp;WIDTH=450&amp;START_MAXIMIZED=FALSE&amp;VAR:CALENDAR=US&amp;VAR:INDEX=0"}</definedName>
    <definedName name="_51__FDSAUDITLINK__" localSheetId="5" hidden="1">{"fdsup://directions/FAT Viewer?action=UPDATE&amp;creator=factset&amp;DYN_ARGS=TRUE&amp;DOC_NAME=FAT:FQL_AUDITING_CLIENT_TEMPLATE.FAT&amp;display_string=Audit&amp;VAR:KEY=ZURCLIDSFE&amp;VAR:QUERY=RkVfVkFMVUFUSU9OKCdQQlBTJywnTUVBTicsJ0FOTlVBTCcsMjAxMCwwLCwsJycp&amp;WINDOW=FIRST_POPUP&amp;H","EIGHT=450&amp;WIDTH=450&amp;START_MAXIMIZED=FALSE&amp;VAR:CALENDAR=US&amp;VAR:INDEX=0"}</definedName>
    <definedName name="_51__FDSAUDITLINK__" localSheetId="4" hidden="1">{"fdsup://directions/FAT Viewer?action=UPDATE&amp;creator=factset&amp;DYN_ARGS=TRUE&amp;DOC_NAME=FAT:FQL_AUDITING_CLIENT_TEMPLATE.FAT&amp;display_string=Audit&amp;VAR:KEY=ZURCLIDSFE&amp;VAR:QUERY=RkVfVkFMVUFUSU9OKCdQQlBTJywnTUVBTicsJ0FOTlVBTCcsMjAxMCwwLCwsJycp&amp;WINDOW=FIRST_POPUP&amp;H","EIGHT=450&amp;WIDTH=450&amp;START_MAXIMIZED=FALSE&amp;VAR:CALENDAR=US&amp;VAR:INDEX=0"}</definedName>
    <definedName name="_51__FDSAUDITLINK__" localSheetId="1" hidden="1">{"fdsup://directions/FAT Viewer?action=UPDATE&amp;creator=factset&amp;DYN_ARGS=TRUE&amp;DOC_NAME=FAT:FQL_AUDITING_CLIENT_TEMPLATE.FAT&amp;display_string=Audit&amp;VAR:KEY=ZURCLIDSFE&amp;VAR:QUERY=RkVfVkFMVUFUSU9OKCdQQlBTJywnTUVBTicsJ0FOTlVBTCcsMjAxMCwwLCwsJycp&amp;WINDOW=FIRST_POPUP&amp;H","EIGHT=450&amp;WIDTH=450&amp;START_MAXIMIZED=FALSE&amp;VAR:CALENDAR=US&amp;VAR:INDEX=0"}</definedName>
    <definedName name="_51__FDSAUDITLINK__" hidden="1">{"fdsup://directions/FAT Viewer?action=UPDATE&amp;creator=factset&amp;DYN_ARGS=TRUE&amp;DOC_NAME=FAT:FQL_AUDITING_CLIENT_TEMPLATE.FAT&amp;display_string=Audit&amp;VAR:KEY=ZURCLIDSFE&amp;VAR:QUERY=RkVfVkFMVUFUSU9OKCdQQlBTJywnTUVBTicsJ0FOTlVBTCcsMjAxMCwwLCwsJycp&amp;WINDOW=FIRST_POPUP&amp;H","EIGHT=450&amp;WIDTH=450&amp;START_MAXIMIZED=FALSE&amp;VAR:CALENDAR=US&amp;VAR:INDEX=0"}</definedName>
    <definedName name="_52__FDSAUDITLINK__" localSheetId="6" hidden="1">{"fdsup://directions/FAT Viewer?action=UPDATE&amp;creator=factset&amp;DYN_ARGS=TRUE&amp;DOC_NAME=FAT:FQL_AUDITING_CLIENT_TEMPLATE.FAT&amp;display_string=Audit&amp;VAR:KEY=JULQVADWDI&amp;VAR:QUERY=RkVfVkFMVUFUSU9OKCdQQlBTJywnTUVBTicsJ0FOTlVBTCcsMjAwOSwwLCwsJycp&amp;WINDOW=FIRST_POPUP&amp;H","EIGHT=450&amp;WIDTH=450&amp;START_MAXIMIZED=FALSE&amp;VAR:CALENDAR=US&amp;VAR:INDEX=0"}</definedName>
    <definedName name="_52__FDSAUDITLINK__" localSheetId="5" hidden="1">{"fdsup://directions/FAT Viewer?action=UPDATE&amp;creator=factset&amp;DYN_ARGS=TRUE&amp;DOC_NAME=FAT:FQL_AUDITING_CLIENT_TEMPLATE.FAT&amp;display_string=Audit&amp;VAR:KEY=JULQVADWDI&amp;VAR:QUERY=RkVfVkFMVUFUSU9OKCdQQlBTJywnTUVBTicsJ0FOTlVBTCcsMjAwOSwwLCwsJycp&amp;WINDOW=FIRST_POPUP&amp;H","EIGHT=450&amp;WIDTH=450&amp;START_MAXIMIZED=FALSE&amp;VAR:CALENDAR=US&amp;VAR:INDEX=0"}</definedName>
    <definedName name="_52__FDSAUDITLINK__" localSheetId="4" hidden="1">{"fdsup://directions/FAT Viewer?action=UPDATE&amp;creator=factset&amp;DYN_ARGS=TRUE&amp;DOC_NAME=FAT:FQL_AUDITING_CLIENT_TEMPLATE.FAT&amp;display_string=Audit&amp;VAR:KEY=JULQVADWDI&amp;VAR:QUERY=RkVfVkFMVUFUSU9OKCdQQlBTJywnTUVBTicsJ0FOTlVBTCcsMjAwOSwwLCwsJycp&amp;WINDOW=FIRST_POPUP&amp;H","EIGHT=450&amp;WIDTH=450&amp;START_MAXIMIZED=FALSE&amp;VAR:CALENDAR=US&amp;VAR:INDEX=0"}</definedName>
    <definedName name="_52__FDSAUDITLINK__" localSheetId="1" hidden="1">{"fdsup://directions/FAT Viewer?action=UPDATE&amp;creator=factset&amp;DYN_ARGS=TRUE&amp;DOC_NAME=FAT:FQL_AUDITING_CLIENT_TEMPLATE.FAT&amp;display_string=Audit&amp;VAR:KEY=JULQVADWDI&amp;VAR:QUERY=RkVfVkFMVUFUSU9OKCdQQlBTJywnTUVBTicsJ0FOTlVBTCcsMjAwOSwwLCwsJycp&amp;WINDOW=FIRST_POPUP&amp;H","EIGHT=450&amp;WIDTH=450&amp;START_MAXIMIZED=FALSE&amp;VAR:CALENDAR=US&amp;VAR:INDEX=0"}</definedName>
    <definedName name="_52__FDSAUDITLINK__" hidden="1">{"fdsup://directions/FAT Viewer?action=UPDATE&amp;creator=factset&amp;DYN_ARGS=TRUE&amp;DOC_NAME=FAT:FQL_AUDITING_CLIENT_TEMPLATE.FAT&amp;display_string=Audit&amp;VAR:KEY=JULQVADWDI&amp;VAR:QUERY=RkVfVkFMVUFUSU9OKCdQQlBTJywnTUVBTicsJ0FOTlVBTCcsMjAwOSwwLCwsJycp&amp;WINDOW=FIRST_POPUP&amp;H","EIGHT=450&amp;WIDTH=450&amp;START_MAXIMIZED=FALSE&amp;VAR:CALENDAR=US&amp;VAR:INDEX=0"}</definedName>
    <definedName name="_53__FDSAUDITLINK__" localSheetId="6" hidden="1">{"fdsup://directions/FAT Viewer?action=UPDATE&amp;creator=factset&amp;DYN_ARGS=TRUE&amp;DOC_NAME=FAT:FQL_AUDITING_CLIENT_TEMPLATE.FAT&amp;display_string=Audit&amp;VAR:KEY=VEHCNYHAFI&amp;VAR:QUERY=RkVfVkFMVUFUSU9OKCdQQlBTJywnTUVBTicsJ0FOTlVBTCcsMjAxMiwwLCwsJycp&amp;WINDOW=FIRST_POPUP&amp;H","EIGHT=450&amp;WIDTH=450&amp;START_MAXIMIZED=FALSE&amp;VAR:CALENDAR=US&amp;VAR:SYMBOL=5497168&amp;VAR:INDEX=0"}</definedName>
    <definedName name="_53__FDSAUDITLINK__" localSheetId="5" hidden="1">{"fdsup://directions/FAT Viewer?action=UPDATE&amp;creator=factset&amp;DYN_ARGS=TRUE&amp;DOC_NAME=FAT:FQL_AUDITING_CLIENT_TEMPLATE.FAT&amp;display_string=Audit&amp;VAR:KEY=VEHCNYHAFI&amp;VAR:QUERY=RkVfVkFMVUFUSU9OKCdQQlBTJywnTUVBTicsJ0FOTlVBTCcsMjAxMiwwLCwsJycp&amp;WINDOW=FIRST_POPUP&amp;H","EIGHT=450&amp;WIDTH=450&amp;START_MAXIMIZED=FALSE&amp;VAR:CALENDAR=US&amp;VAR:SYMBOL=5497168&amp;VAR:INDEX=0"}</definedName>
    <definedName name="_53__FDSAUDITLINK__" localSheetId="4" hidden="1">{"fdsup://directions/FAT Viewer?action=UPDATE&amp;creator=factset&amp;DYN_ARGS=TRUE&amp;DOC_NAME=FAT:FQL_AUDITING_CLIENT_TEMPLATE.FAT&amp;display_string=Audit&amp;VAR:KEY=VEHCNYHAFI&amp;VAR:QUERY=RkVfVkFMVUFUSU9OKCdQQlBTJywnTUVBTicsJ0FOTlVBTCcsMjAxMiwwLCwsJycp&amp;WINDOW=FIRST_POPUP&amp;H","EIGHT=450&amp;WIDTH=450&amp;START_MAXIMIZED=FALSE&amp;VAR:CALENDAR=US&amp;VAR:SYMBOL=5497168&amp;VAR:INDEX=0"}</definedName>
    <definedName name="_53__FDSAUDITLINK__" localSheetId="1" hidden="1">{"fdsup://directions/FAT Viewer?action=UPDATE&amp;creator=factset&amp;DYN_ARGS=TRUE&amp;DOC_NAME=FAT:FQL_AUDITING_CLIENT_TEMPLATE.FAT&amp;display_string=Audit&amp;VAR:KEY=VEHCNYHAFI&amp;VAR:QUERY=RkVfVkFMVUFUSU9OKCdQQlBTJywnTUVBTicsJ0FOTlVBTCcsMjAxMiwwLCwsJycp&amp;WINDOW=FIRST_POPUP&amp;H","EIGHT=450&amp;WIDTH=450&amp;START_MAXIMIZED=FALSE&amp;VAR:CALENDAR=US&amp;VAR:SYMBOL=5497168&amp;VAR:INDEX=0"}</definedName>
    <definedName name="_53__FDSAUDITLINK__" hidden="1">{"fdsup://directions/FAT Viewer?action=UPDATE&amp;creator=factset&amp;DYN_ARGS=TRUE&amp;DOC_NAME=FAT:FQL_AUDITING_CLIENT_TEMPLATE.FAT&amp;display_string=Audit&amp;VAR:KEY=VEHCNYHAFI&amp;VAR:QUERY=RkVfVkFMVUFUSU9OKCdQQlBTJywnTUVBTicsJ0FOTlVBTCcsMjAxMiwwLCwsJycp&amp;WINDOW=FIRST_POPUP&amp;H","EIGHT=450&amp;WIDTH=450&amp;START_MAXIMIZED=FALSE&amp;VAR:CALENDAR=US&amp;VAR:SYMBOL=5497168&amp;VAR:INDEX=0"}</definedName>
    <definedName name="_54__FDSAUDITLINK__" localSheetId="6" hidden="1">{"fdsup://directions/FAT Viewer?action=UPDATE&amp;creator=factset&amp;DYN_ARGS=TRUE&amp;DOC_NAME=FAT:FQL_AUDITING_CLIENT_TEMPLATE.FAT&amp;display_string=Audit&amp;VAR:KEY=VEHCNYHAFI&amp;VAR:QUERY=RkVfVkFMVUFUSU9OKCdQQlBTJywnTUVBTicsJ0FOTlVBTCcsMjAxMiwwLCwsJycp&amp;WINDOW=FIRST_POPUP&amp;H","EIGHT=450&amp;WIDTH=450&amp;START_MAXIMIZED=FALSE&amp;VAR:CALENDAR=US&amp;VAR:SYMBOL=5497168&amp;VAR:INDEX=0"}</definedName>
    <definedName name="_54__FDSAUDITLINK__" localSheetId="5" hidden="1">{"fdsup://directions/FAT Viewer?action=UPDATE&amp;creator=factset&amp;DYN_ARGS=TRUE&amp;DOC_NAME=FAT:FQL_AUDITING_CLIENT_TEMPLATE.FAT&amp;display_string=Audit&amp;VAR:KEY=VEHCNYHAFI&amp;VAR:QUERY=RkVfVkFMVUFUSU9OKCdQQlBTJywnTUVBTicsJ0FOTlVBTCcsMjAxMiwwLCwsJycp&amp;WINDOW=FIRST_POPUP&amp;H","EIGHT=450&amp;WIDTH=450&amp;START_MAXIMIZED=FALSE&amp;VAR:CALENDAR=US&amp;VAR:SYMBOL=5497168&amp;VAR:INDEX=0"}</definedName>
    <definedName name="_54__FDSAUDITLINK__" localSheetId="4" hidden="1">{"fdsup://directions/FAT Viewer?action=UPDATE&amp;creator=factset&amp;DYN_ARGS=TRUE&amp;DOC_NAME=FAT:FQL_AUDITING_CLIENT_TEMPLATE.FAT&amp;display_string=Audit&amp;VAR:KEY=VEHCNYHAFI&amp;VAR:QUERY=RkVfVkFMVUFUSU9OKCdQQlBTJywnTUVBTicsJ0FOTlVBTCcsMjAxMiwwLCwsJycp&amp;WINDOW=FIRST_POPUP&amp;H","EIGHT=450&amp;WIDTH=450&amp;START_MAXIMIZED=FALSE&amp;VAR:CALENDAR=US&amp;VAR:SYMBOL=5497168&amp;VAR:INDEX=0"}</definedName>
    <definedName name="_54__FDSAUDITLINK__" localSheetId="1" hidden="1">{"fdsup://directions/FAT Viewer?action=UPDATE&amp;creator=factset&amp;DYN_ARGS=TRUE&amp;DOC_NAME=FAT:FQL_AUDITING_CLIENT_TEMPLATE.FAT&amp;display_string=Audit&amp;VAR:KEY=VEHCNYHAFI&amp;VAR:QUERY=RkVfVkFMVUFUSU9OKCdQQlBTJywnTUVBTicsJ0FOTlVBTCcsMjAxMiwwLCwsJycp&amp;WINDOW=FIRST_POPUP&amp;H","EIGHT=450&amp;WIDTH=450&amp;START_MAXIMIZED=FALSE&amp;VAR:CALENDAR=US&amp;VAR:SYMBOL=5497168&amp;VAR:INDEX=0"}</definedName>
    <definedName name="_54__FDSAUDITLINK__" hidden="1">{"fdsup://directions/FAT Viewer?action=UPDATE&amp;creator=factset&amp;DYN_ARGS=TRUE&amp;DOC_NAME=FAT:FQL_AUDITING_CLIENT_TEMPLATE.FAT&amp;display_string=Audit&amp;VAR:KEY=VEHCNYHAFI&amp;VAR:QUERY=RkVfVkFMVUFUSU9OKCdQQlBTJywnTUVBTicsJ0FOTlVBTCcsMjAxMiwwLCwsJycp&amp;WINDOW=FIRST_POPUP&amp;H","EIGHT=450&amp;WIDTH=450&amp;START_MAXIMIZED=FALSE&amp;VAR:CALENDAR=US&amp;VAR:SYMBOL=5497168&amp;VAR:INDEX=0"}</definedName>
    <definedName name="_55__FDSAUDITLINK__" localSheetId="6" hidden="1">{"fdsup://directions/FAT Viewer?action=UPDATE&amp;creator=factset&amp;DYN_ARGS=TRUE&amp;DOC_NAME=FAT:FQL_AUDITING_CLIENT_TEMPLATE.FAT&amp;display_string=Audit&amp;VAR:KEY=NWHWNMDOLS&amp;VAR:QUERY=RkVfVkFMVUFUSU9OKCdQQlBTJywnTUVBTicsJ0FOTlVBTCcsMjAxMSwwLCwsJycp&amp;WINDOW=FIRST_POPUP&amp;H","EIGHT=450&amp;WIDTH=450&amp;START_MAXIMIZED=FALSE&amp;VAR:CALENDAR=US&amp;VAR:SYMBOL=5497168&amp;VAR:INDEX=0"}</definedName>
    <definedName name="_55__FDSAUDITLINK__" localSheetId="5" hidden="1">{"fdsup://directions/FAT Viewer?action=UPDATE&amp;creator=factset&amp;DYN_ARGS=TRUE&amp;DOC_NAME=FAT:FQL_AUDITING_CLIENT_TEMPLATE.FAT&amp;display_string=Audit&amp;VAR:KEY=NWHWNMDOLS&amp;VAR:QUERY=RkVfVkFMVUFUSU9OKCdQQlBTJywnTUVBTicsJ0FOTlVBTCcsMjAxMSwwLCwsJycp&amp;WINDOW=FIRST_POPUP&amp;H","EIGHT=450&amp;WIDTH=450&amp;START_MAXIMIZED=FALSE&amp;VAR:CALENDAR=US&amp;VAR:SYMBOL=5497168&amp;VAR:INDEX=0"}</definedName>
    <definedName name="_55__FDSAUDITLINK__" localSheetId="4" hidden="1">{"fdsup://directions/FAT Viewer?action=UPDATE&amp;creator=factset&amp;DYN_ARGS=TRUE&amp;DOC_NAME=FAT:FQL_AUDITING_CLIENT_TEMPLATE.FAT&amp;display_string=Audit&amp;VAR:KEY=NWHWNMDOLS&amp;VAR:QUERY=RkVfVkFMVUFUSU9OKCdQQlBTJywnTUVBTicsJ0FOTlVBTCcsMjAxMSwwLCwsJycp&amp;WINDOW=FIRST_POPUP&amp;H","EIGHT=450&amp;WIDTH=450&amp;START_MAXIMIZED=FALSE&amp;VAR:CALENDAR=US&amp;VAR:SYMBOL=5497168&amp;VAR:INDEX=0"}</definedName>
    <definedName name="_55__FDSAUDITLINK__" localSheetId="1" hidden="1">{"fdsup://directions/FAT Viewer?action=UPDATE&amp;creator=factset&amp;DYN_ARGS=TRUE&amp;DOC_NAME=FAT:FQL_AUDITING_CLIENT_TEMPLATE.FAT&amp;display_string=Audit&amp;VAR:KEY=NWHWNMDOLS&amp;VAR:QUERY=RkVfVkFMVUFUSU9OKCdQQlBTJywnTUVBTicsJ0FOTlVBTCcsMjAxMSwwLCwsJycp&amp;WINDOW=FIRST_POPUP&amp;H","EIGHT=450&amp;WIDTH=450&amp;START_MAXIMIZED=FALSE&amp;VAR:CALENDAR=US&amp;VAR:SYMBOL=5497168&amp;VAR:INDEX=0"}</definedName>
    <definedName name="_55__FDSAUDITLINK__" hidden="1">{"fdsup://directions/FAT Viewer?action=UPDATE&amp;creator=factset&amp;DYN_ARGS=TRUE&amp;DOC_NAME=FAT:FQL_AUDITING_CLIENT_TEMPLATE.FAT&amp;display_string=Audit&amp;VAR:KEY=NWHWNMDOLS&amp;VAR:QUERY=RkVfVkFMVUFUSU9OKCdQQlBTJywnTUVBTicsJ0FOTlVBTCcsMjAxMSwwLCwsJycp&amp;WINDOW=FIRST_POPUP&amp;H","EIGHT=450&amp;WIDTH=450&amp;START_MAXIMIZED=FALSE&amp;VAR:CALENDAR=US&amp;VAR:SYMBOL=5497168&amp;VAR:INDEX=0"}</definedName>
    <definedName name="_56__FDSAUDITLINK__" localSheetId="6" hidden="1">{"fdsup://directions/FAT Viewer?action=UPDATE&amp;creator=factset&amp;DYN_ARGS=TRUE&amp;DOC_NAME=FAT:FQL_AUDITING_CLIENT_TEMPLATE.FAT&amp;display_string=Audit&amp;VAR:KEY=NWHWNMDOLS&amp;VAR:QUERY=RkVfVkFMVUFUSU9OKCdQQlBTJywnTUVBTicsJ0FOTlVBTCcsMjAxMSwwLCwsJycp&amp;WINDOW=FIRST_POPUP&amp;H","EIGHT=450&amp;WIDTH=450&amp;START_MAXIMIZED=FALSE&amp;VAR:CALENDAR=US&amp;VAR:SYMBOL=5497168&amp;VAR:INDEX=0"}</definedName>
    <definedName name="_56__FDSAUDITLINK__" localSheetId="5" hidden="1">{"fdsup://directions/FAT Viewer?action=UPDATE&amp;creator=factset&amp;DYN_ARGS=TRUE&amp;DOC_NAME=FAT:FQL_AUDITING_CLIENT_TEMPLATE.FAT&amp;display_string=Audit&amp;VAR:KEY=NWHWNMDOLS&amp;VAR:QUERY=RkVfVkFMVUFUSU9OKCdQQlBTJywnTUVBTicsJ0FOTlVBTCcsMjAxMSwwLCwsJycp&amp;WINDOW=FIRST_POPUP&amp;H","EIGHT=450&amp;WIDTH=450&amp;START_MAXIMIZED=FALSE&amp;VAR:CALENDAR=US&amp;VAR:SYMBOL=5497168&amp;VAR:INDEX=0"}</definedName>
    <definedName name="_56__FDSAUDITLINK__" localSheetId="4" hidden="1">{"fdsup://directions/FAT Viewer?action=UPDATE&amp;creator=factset&amp;DYN_ARGS=TRUE&amp;DOC_NAME=FAT:FQL_AUDITING_CLIENT_TEMPLATE.FAT&amp;display_string=Audit&amp;VAR:KEY=NWHWNMDOLS&amp;VAR:QUERY=RkVfVkFMVUFUSU9OKCdQQlBTJywnTUVBTicsJ0FOTlVBTCcsMjAxMSwwLCwsJycp&amp;WINDOW=FIRST_POPUP&amp;H","EIGHT=450&amp;WIDTH=450&amp;START_MAXIMIZED=FALSE&amp;VAR:CALENDAR=US&amp;VAR:SYMBOL=5497168&amp;VAR:INDEX=0"}</definedName>
    <definedName name="_56__FDSAUDITLINK__" localSheetId="1" hidden="1">{"fdsup://directions/FAT Viewer?action=UPDATE&amp;creator=factset&amp;DYN_ARGS=TRUE&amp;DOC_NAME=FAT:FQL_AUDITING_CLIENT_TEMPLATE.FAT&amp;display_string=Audit&amp;VAR:KEY=NWHWNMDOLS&amp;VAR:QUERY=RkVfVkFMVUFUSU9OKCdQQlBTJywnTUVBTicsJ0FOTlVBTCcsMjAxMSwwLCwsJycp&amp;WINDOW=FIRST_POPUP&amp;H","EIGHT=450&amp;WIDTH=450&amp;START_MAXIMIZED=FALSE&amp;VAR:CALENDAR=US&amp;VAR:SYMBOL=5497168&amp;VAR:INDEX=0"}</definedName>
    <definedName name="_56__FDSAUDITLINK__" hidden="1">{"fdsup://directions/FAT Viewer?action=UPDATE&amp;creator=factset&amp;DYN_ARGS=TRUE&amp;DOC_NAME=FAT:FQL_AUDITING_CLIENT_TEMPLATE.FAT&amp;display_string=Audit&amp;VAR:KEY=NWHWNMDOLS&amp;VAR:QUERY=RkVfVkFMVUFUSU9OKCdQQlBTJywnTUVBTicsJ0FOTlVBTCcsMjAxMSwwLCwsJycp&amp;WINDOW=FIRST_POPUP&amp;H","EIGHT=450&amp;WIDTH=450&amp;START_MAXIMIZED=FALSE&amp;VAR:CALENDAR=US&amp;VAR:SYMBOL=5497168&amp;VAR:INDEX=0"}</definedName>
    <definedName name="_57__FDSAUDITLINK__" localSheetId="6" hidden="1">{"fdsup://directions/FAT Viewer?action=UPDATE&amp;creator=factset&amp;DYN_ARGS=TRUE&amp;DOC_NAME=FAT:FQL_AUDITING_CLIENT_TEMPLATE.FAT&amp;display_string=Audit&amp;VAR:KEY=XCTIDENSVI&amp;VAR:QUERY=RkVfVkFMVUFUSU9OKCdQQlBTJywnTUVBTicsJ0FOTlVBTCcsMjAxMCwwLCwsJycp&amp;WINDOW=FIRST_POPUP&amp;H","EIGHT=450&amp;WIDTH=450&amp;START_MAXIMIZED=FALSE&amp;VAR:CALENDAR=US&amp;VAR:SYMBOL=5497168&amp;VAR:INDEX=0"}</definedName>
    <definedName name="_57__FDSAUDITLINK__" localSheetId="5" hidden="1">{"fdsup://directions/FAT Viewer?action=UPDATE&amp;creator=factset&amp;DYN_ARGS=TRUE&amp;DOC_NAME=FAT:FQL_AUDITING_CLIENT_TEMPLATE.FAT&amp;display_string=Audit&amp;VAR:KEY=XCTIDENSVI&amp;VAR:QUERY=RkVfVkFMVUFUSU9OKCdQQlBTJywnTUVBTicsJ0FOTlVBTCcsMjAxMCwwLCwsJycp&amp;WINDOW=FIRST_POPUP&amp;H","EIGHT=450&amp;WIDTH=450&amp;START_MAXIMIZED=FALSE&amp;VAR:CALENDAR=US&amp;VAR:SYMBOL=5497168&amp;VAR:INDEX=0"}</definedName>
    <definedName name="_57__FDSAUDITLINK__" localSheetId="4" hidden="1">{"fdsup://directions/FAT Viewer?action=UPDATE&amp;creator=factset&amp;DYN_ARGS=TRUE&amp;DOC_NAME=FAT:FQL_AUDITING_CLIENT_TEMPLATE.FAT&amp;display_string=Audit&amp;VAR:KEY=XCTIDENSVI&amp;VAR:QUERY=RkVfVkFMVUFUSU9OKCdQQlBTJywnTUVBTicsJ0FOTlVBTCcsMjAxMCwwLCwsJycp&amp;WINDOW=FIRST_POPUP&amp;H","EIGHT=450&amp;WIDTH=450&amp;START_MAXIMIZED=FALSE&amp;VAR:CALENDAR=US&amp;VAR:SYMBOL=5497168&amp;VAR:INDEX=0"}</definedName>
    <definedName name="_57__FDSAUDITLINK__" localSheetId="1" hidden="1">{"fdsup://directions/FAT Viewer?action=UPDATE&amp;creator=factset&amp;DYN_ARGS=TRUE&amp;DOC_NAME=FAT:FQL_AUDITING_CLIENT_TEMPLATE.FAT&amp;display_string=Audit&amp;VAR:KEY=XCTIDENSVI&amp;VAR:QUERY=RkVfVkFMVUFUSU9OKCdQQlBTJywnTUVBTicsJ0FOTlVBTCcsMjAxMCwwLCwsJycp&amp;WINDOW=FIRST_POPUP&amp;H","EIGHT=450&amp;WIDTH=450&amp;START_MAXIMIZED=FALSE&amp;VAR:CALENDAR=US&amp;VAR:SYMBOL=5497168&amp;VAR:INDEX=0"}</definedName>
    <definedName name="_57__FDSAUDITLINK__" hidden="1">{"fdsup://directions/FAT Viewer?action=UPDATE&amp;creator=factset&amp;DYN_ARGS=TRUE&amp;DOC_NAME=FAT:FQL_AUDITING_CLIENT_TEMPLATE.FAT&amp;display_string=Audit&amp;VAR:KEY=XCTIDENSVI&amp;VAR:QUERY=RkVfVkFMVUFUSU9OKCdQQlBTJywnTUVBTicsJ0FOTlVBTCcsMjAxMCwwLCwsJycp&amp;WINDOW=FIRST_POPUP&amp;H","EIGHT=450&amp;WIDTH=450&amp;START_MAXIMIZED=FALSE&amp;VAR:CALENDAR=US&amp;VAR:SYMBOL=5497168&amp;VAR:INDEX=0"}</definedName>
    <definedName name="_58__FDSAUDITLINK__" localSheetId="6" hidden="1">{"fdsup://directions/FAT Viewer?action=UPDATE&amp;creator=factset&amp;DYN_ARGS=TRUE&amp;DOC_NAME=FAT:FQL_AUDITING_CLIENT_TEMPLATE.FAT&amp;display_string=Audit&amp;VAR:KEY=XCTIDENSVI&amp;VAR:QUERY=RkVfVkFMVUFUSU9OKCdQQlBTJywnTUVBTicsJ0FOTlVBTCcsMjAxMCwwLCwsJycp&amp;WINDOW=FIRST_POPUP&amp;H","EIGHT=450&amp;WIDTH=450&amp;START_MAXIMIZED=FALSE&amp;VAR:CALENDAR=US&amp;VAR:SYMBOL=5497168&amp;VAR:INDEX=0"}</definedName>
    <definedName name="_58__FDSAUDITLINK__" localSheetId="5" hidden="1">{"fdsup://directions/FAT Viewer?action=UPDATE&amp;creator=factset&amp;DYN_ARGS=TRUE&amp;DOC_NAME=FAT:FQL_AUDITING_CLIENT_TEMPLATE.FAT&amp;display_string=Audit&amp;VAR:KEY=XCTIDENSVI&amp;VAR:QUERY=RkVfVkFMVUFUSU9OKCdQQlBTJywnTUVBTicsJ0FOTlVBTCcsMjAxMCwwLCwsJycp&amp;WINDOW=FIRST_POPUP&amp;H","EIGHT=450&amp;WIDTH=450&amp;START_MAXIMIZED=FALSE&amp;VAR:CALENDAR=US&amp;VAR:SYMBOL=5497168&amp;VAR:INDEX=0"}</definedName>
    <definedName name="_58__FDSAUDITLINK__" localSheetId="4" hidden="1">{"fdsup://directions/FAT Viewer?action=UPDATE&amp;creator=factset&amp;DYN_ARGS=TRUE&amp;DOC_NAME=FAT:FQL_AUDITING_CLIENT_TEMPLATE.FAT&amp;display_string=Audit&amp;VAR:KEY=XCTIDENSVI&amp;VAR:QUERY=RkVfVkFMVUFUSU9OKCdQQlBTJywnTUVBTicsJ0FOTlVBTCcsMjAxMCwwLCwsJycp&amp;WINDOW=FIRST_POPUP&amp;H","EIGHT=450&amp;WIDTH=450&amp;START_MAXIMIZED=FALSE&amp;VAR:CALENDAR=US&amp;VAR:SYMBOL=5497168&amp;VAR:INDEX=0"}</definedName>
    <definedName name="_58__FDSAUDITLINK__" localSheetId="1" hidden="1">{"fdsup://directions/FAT Viewer?action=UPDATE&amp;creator=factset&amp;DYN_ARGS=TRUE&amp;DOC_NAME=FAT:FQL_AUDITING_CLIENT_TEMPLATE.FAT&amp;display_string=Audit&amp;VAR:KEY=XCTIDENSVI&amp;VAR:QUERY=RkVfVkFMVUFUSU9OKCdQQlBTJywnTUVBTicsJ0FOTlVBTCcsMjAxMCwwLCwsJycp&amp;WINDOW=FIRST_POPUP&amp;H","EIGHT=450&amp;WIDTH=450&amp;START_MAXIMIZED=FALSE&amp;VAR:CALENDAR=US&amp;VAR:SYMBOL=5497168&amp;VAR:INDEX=0"}</definedName>
    <definedName name="_58__FDSAUDITLINK__" hidden="1">{"fdsup://directions/FAT Viewer?action=UPDATE&amp;creator=factset&amp;DYN_ARGS=TRUE&amp;DOC_NAME=FAT:FQL_AUDITING_CLIENT_TEMPLATE.FAT&amp;display_string=Audit&amp;VAR:KEY=XCTIDENSVI&amp;VAR:QUERY=RkVfVkFMVUFUSU9OKCdQQlBTJywnTUVBTicsJ0FOTlVBTCcsMjAxMCwwLCwsJycp&amp;WINDOW=FIRST_POPUP&amp;H","EIGHT=450&amp;WIDTH=450&amp;START_MAXIMIZED=FALSE&amp;VAR:CALENDAR=US&amp;VAR:SYMBOL=5497168&amp;VAR:INDEX=0"}</definedName>
    <definedName name="_59__FDSAUDITLINK__" localSheetId="6" hidden="1">{"fdsup://directions/FAT Viewer?action=UPDATE&amp;creator=factset&amp;DYN_ARGS=TRUE&amp;DOC_NAME=FAT:FQL_AUDITING_CLIENT_TEMPLATE.FAT&amp;display_string=Audit&amp;VAR:KEY=DODUZQZWFK&amp;VAR:QUERY=RkVfVkFMVUFUSU9OKCdQQlBTJywnTUVBTicsJ0FOTlVBTCcsMjAwOSwwLCwsJycp&amp;WINDOW=FIRST_POPUP&amp;H","EIGHT=450&amp;WIDTH=450&amp;START_MAXIMIZED=FALSE&amp;VAR:CALENDAR=US&amp;VAR:SYMBOL=5497168&amp;VAR:INDEX=0"}</definedName>
    <definedName name="_59__FDSAUDITLINK__" localSheetId="5" hidden="1">{"fdsup://directions/FAT Viewer?action=UPDATE&amp;creator=factset&amp;DYN_ARGS=TRUE&amp;DOC_NAME=FAT:FQL_AUDITING_CLIENT_TEMPLATE.FAT&amp;display_string=Audit&amp;VAR:KEY=DODUZQZWFK&amp;VAR:QUERY=RkVfVkFMVUFUSU9OKCdQQlBTJywnTUVBTicsJ0FOTlVBTCcsMjAwOSwwLCwsJycp&amp;WINDOW=FIRST_POPUP&amp;H","EIGHT=450&amp;WIDTH=450&amp;START_MAXIMIZED=FALSE&amp;VAR:CALENDAR=US&amp;VAR:SYMBOL=5497168&amp;VAR:INDEX=0"}</definedName>
    <definedName name="_59__FDSAUDITLINK__" localSheetId="4" hidden="1">{"fdsup://directions/FAT Viewer?action=UPDATE&amp;creator=factset&amp;DYN_ARGS=TRUE&amp;DOC_NAME=FAT:FQL_AUDITING_CLIENT_TEMPLATE.FAT&amp;display_string=Audit&amp;VAR:KEY=DODUZQZWFK&amp;VAR:QUERY=RkVfVkFMVUFUSU9OKCdQQlBTJywnTUVBTicsJ0FOTlVBTCcsMjAwOSwwLCwsJycp&amp;WINDOW=FIRST_POPUP&amp;H","EIGHT=450&amp;WIDTH=450&amp;START_MAXIMIZED=FALSE&amp;VAR:CALENDAR=US&amp;VAR:SYMBOL=5497168&amp;VAR:INDEX=0"}</definedName>
    <definedName name="_59__FDSAUDITLINK__" localSheetId="1" hidden="1">{"fdsup://directions/FAT Viewer?action=UPDATE&amp;creator=factset&amp;DYN_ARGS=TRUE&amp;DOC_NAME=FAT:FQL_AUDITING_CLIENT_TEMPLATE.FAT&amp;display_string=Audit&amp;VAR:KEY=DODUZQZWFK&amp;VAR:QUERY=RkVfVkFMVUFUSU9OKCdQQlBTJywnTUVBTicsJ0FOTlVBTCcsMjAwOSwwLCwsJycp&amp;WINDOW=FIRST_POPUP&amp;H","EIGHT=450&amp;WIDTH=450&amp;START_MAXIMIZED=FALSE&amp;VAR:CALENDAR=US&amp;VAR:SYMBOL=5497168&amp;VAR:INDEX=0"}</definedName>
    <definedName name="_59__FDSAUDITLINK__" hidden="1">{"fdsup://directions/FAT Viewer?action=UPDATE&amp;creator=factset&amp;DYN_ARGS=TRUE&amp;DOC_NAME=FAT:FQL_AUDITING_CLIENT_TEMPLATE.FAT&amp;display_string=Audit&amp;VAR:KEY=DODUZQZWFK&amp;VAR:QUERY=RkVfVkFMVUFUSU9OKCdQQlBTJywnTUVBTicsJ0FOTlVBTCcsMjAwOSwwLCwsJycp&amp;WINDOW=FIRST_POPUP&amp;H","EIGHT=450&amp;WIDTH=450&amp;START_MAXIMIZED=FALSE&amp;VAR:CALENDAR=US&amp;VAR:SYMBOL=5497168&amp;VAR:INDEX=0"}</definedName>
    <definedName name="_6__FDSAUDITLINK__" localSheetId="6" hidden="1">{"fdsup://directions/FAT Viewer?action=UPDATE&amp;creator=factset&amp;DYN_ARGS=TRUE&amp;DOC_NAME=FAT:FQL_AUDITING_CLIENT_TEMPLATE.FAT&amp;display_string=Audit&amp;VAR:KEY=LSZKFETWBY&amp;VAR:QUERY=RkVfVkFMVUFUSU9OKCdQQlBTJywnTUVBTicsJ0FOTlVBTCcsMjAxMSwwLCwsJycp&amp;WINDOW=FIRST_POPUP&amp;H","EIGHT=450&amp;WIDTH=450&amp;START_MAXIMIZED=FALSE&amp;VAR:CALENDAR=FIVEDAY&amp;VAR:SYMBOL=648963&amp;VAR:INDEX=0"}</definedName>
    <definedName name="_6__FDSAUDITLINK__" localSheetId="5" hidden="1">{"fdsup://directions/FAT Viewer?action=UPDATE&amp;creator=factset&amp;DYN_ARGS=TRUE&amp;DOC_NAME=FAT:FQL_AUDITING_CLIENT_TEMPLATE.FAT&amp;display_string=Audit&amp;VAR:KEY=LSZKFETWBY&amp;VAR:QUERY=RkVfVkFMVUFUSU9OKCdQQlBTJywnTUVBTicsJ0FOTlVBTCcsMjAxMSwwLCwsJycp&amp;WINDOW=FIRST_POPUP&amp;H","EIGHT=450&amp;WIDTH=450&amp;START_MAXIMIZED=FALSE&amp;VAR:CALENDAR=FIVEDAY&amp;VAR:SYMBOL=648963&amp;VAR:INDEX=0"}</definedName>
    <definedName name="_6__FDSAUDITLINK__" localSheetId="4" hidden="1">{"fdsup://directions/FAT Viewer?action=UPDATE&amp;creator=factset&amp;DYN_ARGS=TRUE&amp;DOC_NAME=FAT:FQL_AUDITING_CLIENT_TEMPLATE.FAT&amp;display_string=Audit&amp;VAR:KEY=LSZKFETWBY&amp;VAR:QUERY=RkVfVkFMVUFUSU9OKCdQQlBTJywnTUVBTicsJ0FOTlVBTCcsMjAxMSwwLCwsJycp&amp;WINDOW=FIRST_POPUP&amp;H","EIGHT=450&amp;WIDTH=450&amp;START_MAXIMIZED=FALSE&amp;VAR:CALENDAR=FIVEDAY&amp;VAR:SYMBOL=648963&amp;VAR:INDEX=0"}</definedName>
    <definedName name="_6__FDSAUDITLINK__" localSheetId="1" hidden="1">{"fdsup://directions/FAT Viewer?action=UPDATE&amp;creator=factset&amp;DYN_ARGS=TRUE&amp;DOC_NAME=FAT:FQL_AUDITING_CLIENT_TEMPLATE.FAT&amp;display_string=Audit&amp;VAR:KEY=LSZKFETWBY&amp;VAR:QUERY=RkVfVkFMVUFUSU9OKCdQQlBTJywnTUVBTicsJ0FOTlVBTCcsMjAxMSwwLCwsJycp&amp;WINDOW=FIRST_POPUP&amp;H","EIGHT=450&amp;WIDTH=450&amp;START_MAXIMIZED=FALSE&amp;VAR:CALENDAR=FIVEDAY&amp;VAR:SYMBOL=648963&amp;VAR:INDEX=0"}</definedName>
    <definedName name="_6__FDSAUDITLINK__" hidden="1">{"fdsup://directions/FAT Viewer?action=UPDATE&amp;creator=factset&amp;DYN_ARGS=TRUE&amp;DOC_NAME=FAT:FQL_AUDITING_CLIENT_TEMPLATE.FAT&amp;display_string=Audit&amp;VAR:KEY=LSZKFETWBY&amp;VAR:QUERY=RkVfVkFMVUFUSU9OKCdQQlBTJywnTUVBTicsJ0FOTlVBTCcsMjAxMSwwLCwsJycp&amp;WINDOW=FIRST_POPUP&amp;H","EIGHT=450&amp;WIDTH=450&amp;START_MAXIMIZED=FALSE&amp;VAR:CALENDAR=FIVEDAY&amp;VAR:SYMBOL=648963&amp;VAR:INDEX=0"}</definedName>
    <definedName name="_60__FDSAUDITLINK__" localSheetId="6" hidden="1">{"fdsup://directions/FAT Viewer?action=UPDATE&amp;creator=factset&amp;DYN_ARGS=TRUE&amp;DOC_NAME=FAT:FQL_AUDITING_CLIENT_TEMPLATE.FAT&amp;display_string=Audit&amp;VAR:KEY=DODUZQZWFK&amp;VAR:QUERY=RkVfVkFMVUFUSU9OKCdQQlBTJywnTUVBTicsJ0FOTlVBTCcsMjAwOSwwLCwsJycp&amp;WINDOW=FIRST_POPUP&amp;H","EIGHT=450&amp;WIDTH=450&amp;START_MAXIMIZED=FALSE&amp;VAR:CALENDAR=US&amp;VAR:SYMBOL=5497168&amp;VAR:INDEX=0"}</definedName>
    <definedName name="_60__FDSAUDITLINK__" localSheetId="5" hidden="1">{"fdsup://directions/FAT Viewer?action=UPDATE&amp;creator=factset&amp;DYN_ARGS=TRUE&amp;DOC_NAME=FAT:FQL_AUDITING_CLIENT_TEMPLATE.FAT&amp;display_string=Audit&amp;VAR:KEY=DODUZQZWFK&amp;VAR:QUERY=RkVfVkFMVUFUSU9OKCdQQlBTJywnTUVBTicsJ0FOTlVBTCcsMjAwOSwwLCwsJycp&amp;WINDOW=FIRST_POPUP&amp;H","EIGHT=450&amp;WIDTH=450&amp;START_MAXIMIZED=FALSE&amp;VAR:CALENDAR=US&amp;VAR:SYMBOL=5497168&amp;VAR:INDEX=0"}</definedName>
    <definedName name="_60__FDSAUDITLINK__" localSheetId="4" hidden="1">{"fdsup://directions/FAT Viewer?action=UPDATE&amp;creator=factset&amp;DYN_ARGS=TRUE&amp;DOC_NAME=FAT:FQL_AUDITING_CLIENT_TEMPLATE.FAT&amp;display_string=Audit&amp;VAR:KEY=DODUZQZWFK&amp;VAR:QUERY=RkVfVkFMVUFUSU9OKCdQQlBTJywnTUVBTicsJ0FOTlVBTCcsMjAwOSwwLCwsJycp&amp;WINDOW=FIRST_POPUP&amp;H","EIGHT=450&amp;WIDTH=450&amp;START_MAXIMIZED=FALSE&amp;VAR:CALENDAR=US&amp;VAR:SYMBOL=5497168&amp;VAR:INDEX=0"}</definedName>
    <definedName name="_60__FDSAUDITLINK__" localSheetId="1" hidden="1">{"fdsup://directions/FAT Viewer?action=UPDATE&amp;creator=factset&amp;DYN_ARGS=TRUE&amp;DOC_NAME=FAT:FQL_AUDITING_CLIENT_TEMPLATE.FAT&amp;display_string=Audit&amp;VAR:KEY=DODUZQZWFK&amp;VAR:QUERY=RkVfVkFMVUFUSU9OKCdQQlBTJywnTUVBTicsJ0FOTlVBTCcsMjAwOSwwLCwsJycp&amp;WINDOW=FIRST_POPUP&amp;H","EIGHT=450&amp;WIDTH=450&amp;START_MAXIMIZED=FALSE&amp;VAR:CALENDAR=US&amp;VAR:SYMBOL=5497168&amp;VAR:INDEX=0"}</definedName>
    <definedName name="_60__FDSAUDITLINK__" hidden="1">{"fdsup://directions/FAT Viewer?action=UPDATE&amp;creator=factset&amp;DYN_ARGS=TRUE&amp;DOC_NAME=FAT:FQL_AUDITING_CLIENT_TEMPLATE.FAT&amp;display_string=Audit&amp;VAR:KEY=DODUZQZWFK&amp;VAR:QUERY=RkVfVkFMVUFUSU9OKCdQQlBTJywnTUVBTicsJ0FOTlVBTCcsMjAwOSwwLCwsJycp&amp;WINDOW=FIRST_POPUP&amp;H","EIGHT=450&amp;WIDTH=450&amp;START_MAXIMIZED=FALSE&amp;VAR:CALENDAR=US&amp;VAR:SYMBOL=5497168&amp;VAR:INDEX=0"}</definedName>
    <definedName name="_61__FDSAUDITLINK__" localSheetId="6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61__FDSAUDITLINK__" localSheetId="5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61__FDSAUDITLINK__" localSheetId="4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61__FDSAUDITLINK__" localSheetId="1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61__FDSAUDITLINK__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62__FDSAUDITLINK__" localSheetId="6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62__FDSAUDITLINK__" localSheetId="5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62__FDSAUDITLINK__" localSheetId="4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62__FDSAUDITLINK__" localSheetId="1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62__FDSAUDITLINK__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63__FDSAUDITLINK__" localSheetId="6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63__FDSAUDITLINK__" localSheetId="5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63__FDSAUDITLINK__" localSheetId="4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63__FDSAUDITLINK__" localSheetId="1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63__FDSAUDITLINK__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64__FDSAUDITLINK__" localSheetId="6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64__FDSAUDITLINK__" localSheetId="5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64__FDSAUDITLINK__" localSheetId="4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64__FDSAUDITLINK__" localSheetId="1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64__FDSAUDITLINK__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65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65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65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65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65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66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66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66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66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66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67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67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67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67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67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68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68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68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68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68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69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69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69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69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69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7__FDSAUDITLINK__" localSheetId="6" hidden="1">{"fdsup://directions/FAT Viewer?action=UPDATE&amp;creator=factset&amp;DYN_ARGS=TRUE&amp;DOC_NAME=FAT:FQL_AUDITING_CLIENT_TEMPLATE.FAT&amp;display_string=Audit&amp;VAR:KEY=LSZKFETWBY&amp;VAR:QUERY=RkVfVkFMVUFUSU9OKCdQQlBTJywnTUVBTicsJ0FOTlVBTCcsMjAxMSwwLCwsJycp&amp;WINDOW=FIRST_POPUP&amp;H","EIGHT=450&amp;WIDTH=450&amp;START_MAXIMIZED=FALSE&amp;VAR:CALENDAR=FIVEDAY&amp;VAR:SYMBOL=648963&amp;VAR:INDEX=0"}</definedName>
    <definedName name="_7__FDSAUDITLINK__" localSheetId="5" hidden="1">{"fdsup://directions/FAT Viewer?action=UPDATE&amp;creator=factset&amp;DYN_ARGS=TRUE&amp;DOC_NAME=FAT:FQL_AUDITING_CLIENT_TEMPLATE.FAT&amp;display_string=Audit&amp;VAR:KEY=LSZKFETWBY&amp;VAR:QUERY=RkVfVkFMVUFUSU9OKCdQQlBTJywnTUVBTicsJ0FOTlVBTCcsMjAxMSwwLCwsJycp&amp;WINDOW=FIRST_POPUP&amp;H","EIGHT=450&amp;WIDTH=450&amp;START_MAXIMIZED=FALSE&amp;VAR:CALENDAR=FIVEDAY&amp;VAR:SYMBOL=648963&amp;VAR:INDEX=0"}</definedName>
    <definedName name="_7__FDSAUDITLINK__" localSheetId="4" hidden="1">{"fdsup://directions/FAT Viewer?action=UPDATE&amp;creator=factset&amp;DYN_ARGS=TRUE&amp;DOC_NAME=FAT:FQL_AUDITING_CLIENT_TEMPLATE.FAT&amp;display_string=Audit&amp;VAR:KEY=LSZKFETWBY&amp;VAR:QUERY=RkVfVkFMVUFUSU9OKCdQQlBTJywnTUVBTicsJ0FOTlVBTCcsMjAxMSwwLCwsJycp&amp;WINDOW=FIRST_POPUP&amp;H","EIGHT=450&amp;WIDTH=450&amp;START_MAXIMIZED=FALSE&amp;VAR:CALENDAR=FIVEDAY&amp;VAR:SYMBOL=648963&amp;VAR:INDEX=0"}</definedName>
    <definedName name="_7__FDSAUDITLINK__" localSheetId="1" hidden="1">{"fdsup://directions/FAT Viewer?action=UPDATE&amp;creator=factset&amp;DYN_ARGS=TRUE&amp;DOC_NAME=FAT:FQL_AUDITING_CLIENT_TEMPLATE.FAT&amp;display_string=Audit&amp;VAR:KEY=LSZKFETWBY&amp;VAR:QUERY=RkVfVkFMVUFUSU9OKCdQQlBTJywnTUVBTicsJ0FOTlVBTCcsMjAxMSwwLCwsJycp&amp;WINDOW=FIRST_POPUP&amp;H","EIGHT=450&amp;WIDTH=450&amp;START_MAXIMIZED=FALSE&amp;VAR:CALENDAR=FIVEDAY&amp;VAR:SYMBOL=648963&amp;VAR:INDEX=0"}</definedName>
    <definedName name="_7__FDSAUDITLINK__" hidden="1">{"fdsup://directions/FAT Viewer?action=UPDATE&amp;creator=factset&amp;DYN_ARGS=TRUE&amp;DOC_NAME=FAT:FQL_AUDITING_CLIENT_TEMPLATE.FAT&amp;display_string=Audit&amp;VAR:KEY=LSZKFETWBY&amp;VAR:QUERY=RkVfVkFMVUFUSU9OKCdQQlBTJywnTUVBTicsJ0FOTlVBTCcsMjAxMSwwLCwsJycp&amp;WINDOW=FIRST_POPUP&amp;H","EIGHT=450&amp;WIDTH=450&amp;START_MAXIMIZED=FALSE&amp;VAR:CALENDAR=FIVEDAY&amp;VAR:SYMBOL=648963&amp;VAR:INDEX=0"}</definedName>
    <definedName name="_70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70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70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70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70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71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71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71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71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71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72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72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72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72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72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73__FDSAUDITLINK__" localSheetId="6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73__FDSAUDITLINK__" localSheetId="5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73__FDSAUDITLINK__" localSheetId="4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73__FDSAUDITLINK__" localSheetId="1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73__FDSAUDITLINK__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74__FDSAUDITLINK__" localSheetId="6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74__FDSAUDITLINK__" localSheetId="5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74__FDSAUDITLINK__" localSheetId="4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74__FDSAUDITLINK__" localSheetId="1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74__FDSAUDITLINK__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75__FDSAUDITLINK__" localSheetId="6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75__FDSAUDITLINK__" localSheetId="5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75__FDSAUDITLINK__" localSheetId="4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75__FDSAUDITLINK__" localSheetId="1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75__FDSAUDITLINK__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76__FDSAUDITLINK__" localSheetId="6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76__FDSAUDITLINK__" localSheetId="5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76__FDSAUDITLINK__" localSheetId="4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76__FDSAUDITLINK__" localSheetId="1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76__FDSAUDITLINK__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77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77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77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77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77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78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78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78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78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78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79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79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79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79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79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8__FDSAUDITLINK__" localSheetId="6" hidden="1">{"fdsup://directions/FAT Viewer?action=UPDATE&amp;creator=factset&amp;DYN_ARGS=TRUE&amp;DOC_NAME=FAT:FQL_AUDITING_CLIENT_TEMPLATE.FAT&amp;display_string=Audit&amp;VAR:KEY=FALUTYBGPK&amp;VAR:QUERY=RkVfVkFMVUFUSU9OKCdQQlBTJywnTUVBTicsJ0FOTlVBTCcsMjAxMCwwLCwsJycp&amp;WINDOW=FIRST_POPUP&amp;H","EIGHT=450&amp;WIDTH=450&amp;START_MAXIMIZED=FALSE&amp;VAR:CALENDAR=FIVEDAY&amp;VAR:SYMBOL=648963&amp;VAR:INDEX=0"}</definedName>
    <definedName name="_8__FDSAUDITLINK__" localSheetId="5" hidden="1">{"fdsup://directions/FAT Viewer?action=UPDATE&amp;creator=factset&amp;DYN_ARGS=TRUE&amp;DOC_NAME=FAT:FQL_AUDITING_CLIENT_TEMPLATE.FAT&amp;display_string=Audit&amp;VAR:KEY=FALUTYBGPK&amp;VAR:QUERY=RkVfVkFMVUFUSU9OKCdQQlBTJywnTUVBTicsJ0FOTlVBTCcsMjAxMCwwLCwsJycp&amp;WINDOW=FIRST_POPUP&amp;H","EIGHT=450&amp;WIDTH=450&amp;START_MAXIMIZED=FALSE&amp;VAR:CALENDAR=FIVEDAY&amp;VAR:SYMBOL=648963&amp;VAR:INDEX=0"}</definedName>
    <definedName name="_8__FDSAUDITLINK__" localSheetId="4" hidden="1">{"fdsup://directions/FAT Viewer?action=UPDATE&amp;creator=factset&amp;DYN_ARGS=TRUE&amp;DOC_NAME=FAT:FQL_AUDITING_CLIENT_TEMPLATE.FAT&amp;display_string=Audit&amp;VAR:KEY=FALUTYBGPK&amp;VAR:QUERY=RkVfVkFMVUFUSU9OKCdQQlBTJywnTUVBTicsJ0FOTlVBTCcsMjAxMCwwLCwsJycp&amp;WINDOW=FIRST_POPUP&amp;H","EIGHT=450&amp;WIDTH=450&amp;START_MAXIMIZED=FALSE&amp;VAR:CALENDAR=FIVEDAY&amp;VAR:SYMBOL=648963&amp;VAR:INDEX=0"}</definedName>
    <definedName name="_8__FDSAUDITLINK__" localSheetId="1" hidden="1">{"fdsup://directions/FAT Viewer?action=UPDATE&amp;creator=factset&amp;DYN_ARGS=TRUE&amp;DOC_NAME=FAT:FQL_AUDITING_CLIENT_TEMPLATE.FAT&amp;display_string=Audit&amp;VAR:KEY=FALUTYBGPK&amp;VAR:QUERY=RkVfVkFMVUFUSU9OKCdQQlBTJywnTUVBTicsJ0FOTlVBTCcsMjAxMCwwLCwsJycp&amp;WINDOW=FIRST_POPUP&amp;H","EIGHT=450&amp;WIDTH=450&amp;START_MAXIMIZED=FALSE&amp;VAR:CALENDAR=FIVEDAY&amp;VAR:SYMBOL=648963&amp;VAR:INDEX=0"}</definedName>
    <definedName name="_8__FDSAUDITLINK__" hidden="1">{"fdsup://directions/FAT Viewer?action=UPDATE&amp;creator=factset&amp;DYN_ARGS=TRUE&amp;DOC_NAME=FAT:FQL_AUDITING_CLIENT_TEMPLATE.FAT&amp;display_string=Audit&amp;VAR:KEY=FALUTYBGPK&amp;VAR:QUERY=RkVfVkFMVUFUSU9OKCdQQlBTJywnTUVBTicsJ0FOTlVBTCcsMjAxMCwwLCwsJycp&amp;WINDOW=FIRST_POPUP&amp;H","EIGHT=450&amp;WIDTH=450&amp;START_MAXIMIZED=FALSE&amp;VAR:CALENDAR=FIVEDAY&amp;VAR:SYMBOL=648963&amp;VAR:INDEX=0"}</definedName>
    <definedName name="_80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80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80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80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80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81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81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81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81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81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82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82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82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82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82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83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83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83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83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83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84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84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84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84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84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85__FDSAUDITLINK__" localSheetId="6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85__FDSAUDITLINK__" localSheetId="5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85__FDSAUDITLINK__" localSheetId="4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85__FDSAUDITLINK__" localSheetId="1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85__FDSAUDITLINK__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86__FDSAUDITLINK__" localSheetId="6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86__FDSAUDITLINK__" localSheetId="5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86__FDSAUDITLINK__" localSheetId="4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86__FDSAUDITLINK__" localSheetId="1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86__FDSAUDITLINK__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87__FDSAUDITLINK__" localSheetId="6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87__FDSAUDITLINK__" localSheetId="5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87__FDSAUDITLINK__" localSheetId="4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87__FDSAUDITLINK__" localSheetId="1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87__FDSAUDITLINK__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88__FDSAUDITLINK__" localSheetId="6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88__FDSAUDITLINK__" localSheetId="5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88__FDSAUDITLINK__" localSheetId="4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88__FDSAUDITLINK__" localSheetId="1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88__FDSAUDITLINK__" hidden="1">{"fdsup://directions/FAT Viewer?action=UPDATE&amp;creator=factset&amp;DYN_ARGS=TRUE&amp;DOC_NAME=FAT:FQL_AUDITING_CLIENT_TEMPLATE.FAT&amp;display_string=Audit&amp;VAR:KEY=NAHWJCVMXQ&amp;VAR:QUERY=RkVfVkFMVUFUSU9OKCdQQlBTJywnTUVBTicsJ0FOTlVBTCcsMjAwOSwwLCwsJycp&amp;WINDOW=FIRST_POPUP&amp;H","EIGHT=450&amp;WIDTH=450&amp;START_MAXIMIZED=FALSE&amp;VAR:CALENDAR=US&amp;VAR:INDEX=0"}</definedName>
    <definedName name="_89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89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89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89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89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9__FDSAUDITLINK__" localSheetId="6" hidden="1">{"fdsup://directions/FAT Viewer?action=UPDATE&amp;creator=factset&amp;DYN_ARGS=TRUE&amp;DOC_NAME=FAT:FQL_AUDITING_CLIENT_TEMPLATE.FAT&amp;display_string=Audit&amp;VAR:KEY=FALUTYBGPK&amp;VAR:QUERY=RkVfVkFMVUFUSU9OKCdQQlBTJywnTUVBTicsJ0FOTlVBTCcsMjAxMCwwLCwsJycp&amp;WINDOW=FIRST_POPUP&amp;H","EIGHT=450&amp;WIDTH=450&amp;START_MAXIMIZED=FALSE&amp;VAR:CALENDAR=FIVEDAY&amp;VAR:SYMBOL=648963&amp;VAR:INDEX=0"}</definedName>
    <definedName name="_9__FDSAUDITLINK__" localSheetId="5" hidden="1">{"fdsup://directions/FAT Viewer?action=UPDATE&amp;creator=factset&amp;DYN_ARGS=TRUE&amp;DOC_NAME=FAT:FQL_AUDITING_CLIENT_TEMPLATE.FAT&amp;display_string=Audit&amp;VAR:KEY=FALUTYBGPK&amp;VAR:QUERY=RkVfVkFMVUFUSU9OKCdQQlBTJywnTUVBTicsJ0FOTlVBTCcsMjAxMCwwLCwsJycp&amp;WINDOW=FIRST_POPUP&amp;H","EIGHT=450&amp;WIDTH=450&amp;START_MAXIMIZED=FALSE&amp;VAR:CALENDAR=FIVEDAY&amp;VAR:SYMBOL=648963&amp;VAR:INDEX=0"}</definedName>
    <definedName name="_9__FDSAUDITLINK__" localSheetId="4" hidden="1">{"fdsup://directions/FAT Viewer?action=UPDATE&amp;creator=factset&amp;DYN_ARGS=TRUE&amp;DOC_NAME=FAT:FQL_AUDITING_CLIENT_TEMPLATE.FAT&amp;display_string=Audit&amp;VAR:KEY=FALUTYBGPK&amp;VAR:QUERY=RkVfVkFMVUFUSU9OKCdQQlBTJywnTUVBTicsJ0FOTlVBTCcsMjAxMCwwLCwsJycp&amp;WINDOW=FIRST_POPUP&amp;H","EIGHT=450&amp;WIDTH=450&amp;START_MAXIMIZED=FALSE&amp;VAR:CALENDAR=FIVEDAY&amp;VAR:SYMBOL=648963&amp;VAR:INDEX=0"}</definedName>
    <definedName name="_9__FDSAUDITLINK__" localSheetId="1" hidden="1">{"fdsup://directions/FAT Viewer?action=UPDATE&amp;creator=factset&amp;DYN_ARGS=TRUE&amp;DOC_NAME=FAT:FQL_AUDITING_CLIENT_TEMPLATE.FAT&amp;display_string=Audit&amp;VAR:KEY=FALUTYBGPK&amp;VAR:QUERY=RkVfVkFMVUFUSU9OKCdQQlBTJywnTUVBTicsJ0FOTlVBTCcsMjAxMCwwLCwsJycp&amp;WINDOW=FIRST_POPUP&amp;H","EIGHT=450&amp;WIDTH=450&amp;START_MAXIMIZED=FALSE&amp;VAR:CALENDAR=FIVEDAY&amp;VAR:SYMBOL=648963&amp;VAR:INDEX=0"}</definedName>
    <definedName name="_9__FDSAUDITLINK__" hidden="1">{"fdsup://directions/FAT Viewer?action=UPDATE&amp;creator=factset&amp;DYN_ARGS=TRUE&amp;DOC_NAME=FAT:FQL_AUDITING_CLIENT_TEMPLATE.FAT&amp;display_string=Audit&amp;VAR:KEY=FALUTYBGPK&amp;VAR:QUERY=RkVfVkFMVUFUSU9OKCdQQlBTJywnTUVBTicsJ0FOTlVBTCcsMjAxMCwwLCwsJycp&amp;WINDOW=FIRST_POPUP&amp;H","EIGHT=450&amp;WIDTH=450&amp;START_MAXIMIZED=FALSE&amp;VAR:CALENDAR=FIVEDAY&amp;VAR:SYMBOL=648963&amp;VAR:INDEX=0"}</definedName>
    <definedName name="_90__FDSAUDITLINK__" localSheetId="6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90__FDSAUDITLINK__" localSheetId="5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90__FDSAUDITLINK__" localSheetId="4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90__FDSAUDITLINK__" localSheetId="1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90__FDSAUDITLINK__" hidden="1">{"fdsup://directions/FAT Viewer?action=UPDATE&amp;creator=factset&amp;DYN_ARGS=TRUE&amp;DOC_NAME=FAT:FQL_AUDITING_CLIENT_TEMPLATE.FAT&amp;display_string=Audit&amp;VAR:KEY=HYJWBIFEPE&amp;VAR:QUERY=RkVfVkFMVUFUSU9OKCdQQlBTJywnTUVBTicsJ0FOTlVBTCcsMjAxMiwwLCwsJycp&amp;WINDOW=FIRST_POPUP&amp;H","EIGHT=450&amp;WIDTH=450&amp;START_MAXIMIZED=FALSE&amp;VAR:CALENDAR=US&amp;VAR:SYMBOL=5497168&amp;VAR:INDEX=0"}</definedName>
    <definedName name="_91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91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91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91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91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92__FDSAUDITLINK__" localSheetId="6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92__FDSAUDITLINK__" localSheetId="5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92__FDSAUDITLINK__" localSheetId="4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92__FDSAUDITLINK__" localSheetId="1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92__FDSAUDITLINK__" hidden="1">{"fdsup://directions/FAT Viewer?action=UPDATE&amp;creator=factset&amp;DYN_ARGS=TRUE&amp;DOC_NAME=FAT:FQL_AUDITING_CLIENT_TEMPLATE.FAT&amp;display_string=Audit&amp;VAR:KEY=NQVWRUXWFO&amp;VAR:QUERY=RkVfVkFMVUFUSU9OKCdQQlBTJywnTUVBTicsJ0FOTlVBTCcsMjAxMSwwLCwsJycp&amp;WINDOW=FIRST_POPUP&amp;H","EIGHT=450&amp;WIDTH=450&amp;START_MAXIMIZED=FALSE&amp;VAR:CALENDAR=US&amp;VAR:SYMBOL=5497168&amp;VAR:INDEX=0"}</definedName>
    <definedName name="_93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93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93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93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93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94__FDSAUDITLINK__" localSheetId="6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94__FDSAUDITLINK__" localSheetId="5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94__FDSAUDITLINK__" localSheetId="4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94__FDSAUDITLINK__" localSheetId="1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94__FDSAUDITLINK__" hidden="1">{"fdsup://directions/FAT Viewer?action=UPDATE&amp;creator=factset&amp;DYN_ARGS=TRUE&amp;DOC_NAME=FAT:FQL_AUDITING_CLIENT_TEMPLATE.FAT&amp;display_string=Audit&amp;VAR:KEY=DGPMDIBWVA&amp;VAR:QUERY=RkVfVkFMVUFUSU9OKCdQQlBTJywnTUVBTicsJ0FOTlVBTCcsMjAxMCwwLCwsJycp&amp;WINDOW=FIRST_POPUP&amp;H","EIGHT=450&amp;WIDTH=450&amp;START_MAXIMIZED=FALSE&amp;VAR:CALENDAR=US&amp;VAR:SYMBOL=5497168&amp;VAR:INDEX=0"}</definedName>
    <definedName name="_95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95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95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95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95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96__FDSAUDITLINK__" localSheetId="6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96__FDSAUDITLINK__" localSheetId="5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96__FDSAUDITLINK__" localSheetId="4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96__FDSAUDITLINK__" localSheetId="1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96__FDSAUDITLINK__" hidden="1">{"fdsup://directions/FAT Viewer?action=UPDATE&amp;creator=factset&amp;DYN_ARGS=TRUE&amp;DOC_NAME=FAT:FQL_AUDITING_CLIENT_TEMPLATE.FAT&amp;display_string=Audit&amp;VAR:KEY=PSRIJSXIZC&amp;VAR:QUERY=RkVfVkFMVUFUSU9OKCdQQlBTJywnTUVBTicsJ0FOTlVBTCcsMjAwOSwwLCwsJycp&amp;WINDOW=FIRST_POPUP&amp;H","EIGHT=450&amp;WIDTH=450&amp;START_MAXIMIZED=FALSE&amp;VAR:CALENDAR=US&amp;VAR:SYMBOL=5497168&amp;VAR:INDEX=0"}</definedName>
    <definedName name="_97__FDSAUDITLINK__" localSheetId="6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97__FDSAUDITLINK__" localSheetId="5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97__FDSAUDITLINK__" localSheetId="4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97__FDSAUDITLINK__" localSheetId="1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97__FDSAUDITLINK__" hidden="1">{"fdsup://directions/FAT Viewer?action=UPDATE&amp;creator=factset&amp;DYN_ARGS=TRUE&amp;DOC_NAME=FAT:FQL_AUDITING_CLIENT_TEMPLATE.FAT&amp;display_string=Audit&amp;VAR:KEY=RCNCLSNQFI&amp;VAR:QUERY=RkVfVkFMVUFUSU9OKCdQQlBTJywnTUVBTicsJ0FOTlVBTCcsMjAxMiwwLCwsJycp&amp;WINDOW=FIRST_POPUP&amp;H","EIGHT=450&amp;WIDTH=450&amp;START_MAXIMIZED=FALSE&amp;VAR:CALENDAR=US&amp;VAR:INDEX=0"}</definedName>
    <definedName name="_98__FDSAUDITLINK__" localSheetId="6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98__FDSAUDITLINK__" localSheetId="5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98__FDSAUDITLINK__" localSheetId="4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98__FDSAUDITLINK__" localSheetId="1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98__FDSAUDITLINK__" hidden="1">{"fdsup://directions/FAT Viewer?action=UPDATE&amp;creator=factset&amp;DYN_ARGS=TRUE&amp;DOC_NAME=FAT:FQL_AUDITING_CLIENT_TEMPLATE.FAT&amp;display_string=Audit&amp;VAR:KEY=ZUXAFKPSPW&amp;VAR:QUERY=RkVfVkFMVUFUSU9OKCdQQlBTJywnTUVBTicsJ0FOTlVBTCcsMjAxMSwwLCwsJycp&amp;WINDOW=FIRST_POPUP&amp;H","EIGHT=450&amp;WIDTH=450&amp;START_MAXIMIZED=FALSE&amp;VAR:CALENDAR=US&amp;VAR:INDEX=0"}</definedName>
    <definedName name="_99__FDSAUDITLINK__" localSheetId="6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99__FDSAUDITLINK__" localSheetId="5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99__FDSAUDITLINK__" localSheetId="4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99__FDSAUDITLINK__" localSheetId="1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99__FDSAUDITLINK__" hidden="1">{"fdsup://directions/FAT Viewer?action=UPDATE&amp;creator=factset&amp;DYN_ARGS=TRUE&amp;DOC_NAME=FAT:FQL_AUDITING_CLIENT_TEMPLATE.FAT&amp;display_string=Audit&amp;VAR:KEY=NUZSVWFEZC&amp;VAR:QUERY=RkVfVkFMVUFUSU9OKCdQQlBTJywnTUVBTicsJ0FOTlVBTCcsMjAxMCwwLCwsJycp&amp;WINDOW=FIRST_POPUP&amp;H","EIGHT=450&amp;WIDTH=450&amp;START_MAXIMIZED=FALSE&amp;VAR:CALENDAR=US&amp;VAR:INDEX=0"}</definedName>
    <definedName name="_abc1" localSheetId="6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_abc1" localSheetId="5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_abc1" localSheetId="4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_abc1" localSheetId="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_bdm.2A9C7F9F15A24114B6DFB46EC4219725.edm" localSheetId="3" hidden="1">Financials!$B$5:$AS$17</definedName>
    <definedName name="_bdm.40DD99DD6C504492A9715B49B5FB7F32.edm" localSheetId="3" hidden="1">Financials!$B$18:$AS$29</definedName>
    <definedName name="_bdm.61E237EBAA0F407DB2F17B3451088F0C.edm" localSheetId="3" hidden="1">Financials!$B$111:$AS$134</definedName>
    <definedName name="_bdm.66341A4A399046E3B0C364611AB3FBB7.edm" localSheetId="3" hidden="1">Financials!$B$58:$AS$86</definedName>
    <definedName name="_bdm.A2488FC61DF54A9499130D3DF33FDBC2.edm" localSheetId="3" hidden="1">Financials!$1:$1048576</definedName>
    <definedName name="_bdm.A2488FC61DF54A9499130D3DF33FDBC2.edm" localSheetId="4" hidden="1">Segments!$1:$1048576</definedName>
    <definedName name="_bdm.A4DF769F61764F0CAFBFA63350C7E22B.edm" localSheetId="3" hidden="1">Financials!$B$135:$AS$151</definedName>
    <definedName name="_bdm.B11A17D9EA0143A88D4B2A38FDEDE624.edm" localSheetId="3" hidden="1">Financials!$B$5:$AS$38</definedName>
    <definedName name="_bdm.BC985434CD754753BA6120B946245513.edm" localSheetId="3" hidden="1">Financials!$B$57:$AS$106</definedName>
    <definedName name="_bdm.E895DE663DCE42D7906705037CF1B3E9.edm" localSheetId="3" hidden="1">Financials!$B$5:$AS$17</definedName>
    <definedName name="_bdm.F2F725B6263040CAB723654332FEA7BE.edm" localSheetId="3" hidden="1">Financials!$B$110:$AS$151</definedName>
    <definedName name="a" localSheetId="6" hidden="1">{"Pulp Production",#N/A,FALSE,"Pulp";"Pulp Earnings",#N/A,FALSE,"Pulp"}</definedName>
    <definedName name="a" localSheetId="5" hidden="1">{"Pulp Production",#N/A,FALSE,"Pulp";"Pulp Earnings",#N/A,FALSE,"Pulp"}</definedName>
    <definedName name="a" localSheetId="4" hidden="1">{"Pulp Production",#N/A,FALSE,"Pulp";"Pulp Earnings",#N/A,FALSE,"Pulp"}</definedName>
    <definedName name="a" hidden="1">{"Pulp Production",#N/A,FALSE,"Pulp";"Pulp Earnings",#N/A,FALSE,"Pulp"}</definedName>
    <definedName name="abc" localSheetId="6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bc" localSheetId="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bc" localSheetId="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bc" localSheetId="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bc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ctual" localSheetId="6" hidden="1">{#N/A,#N/A,TRUE,"Historicals";#N/A,#N/A,TRUE,"Charts";#N/A,#N/A,TRUE,"Forecasts"}</definedName>
    <definedName name="Actual" localSheetId="5" hidden="1">{#N/A,#N/A,TRUE,"Historicals";#N/A,#N/A,TRUE,"Charts";#N/A,#N/A,TRUE,"Forecasts"}</definedName>
    <definedName name="Actual" localSheetId="4" hidden="1">{#N/A,#N/A,TRUE,"Historicals";#N/A,#N/A,TRUE,"Charts";#N/A,#N/A,TRUE,"Forecasts"}</definedName>
    <definedName name="Actual" localSheetId="1" hidden="1">{#N/A,#N/A,TRUE,"Historicals";#N/A,#N/A,TRUE,"Charts";#N/A,#N/A,TRUE,"Forecasts"}</definedName>
    <definedName name="Actual" hidden="1">{#N/A,#N/A,TRUE,"Historicals";#N/A,#N/A,TRUE,"Charts";#N/A,#N/A,TRUE,"Forecasts"}</definedName>
    <definedName name="AdditionalInstructions">IndexInformation!$B$42</definedName>
    <definedName name="Address" localSheetId="0">ImportantDisclosures!$A$2:$A$2</definedName>
    <definedName name="ANA" localSheetId="9">ModPubIndex!$A$7</definedName>
    <definedName name="anscount" hidden="1">1</definedName>
    <definedName name="AS2DocOpenMode" hidden="1">"AS2DocumentEdit"</definedName>
    <definedName name="Authors" localSheetId="0">ImportantDisclosures!$A$7</definedName>
    <definedName name="Authors" localSheetId="8">IndexInformation!$B$18</definedName>
    <definedName name="bcd" localSheetId="6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bcd" localSheetId="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bcd" localSheetId="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bcd" localSheetId="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bcd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BRO" localSheetId="9">ModPubIndex!$A$1</definedName>
    <definedName name="CopyrightStamp">ImportantDisclosures!$A$27</definedName>
    <definedName name="COU" localSheetId="9">ModPubIndex!$A$5</definedName>
    <definedName name="CQEnd" localSheetId="8">IndexInformation!$B$31</definedName>
    <definedName name="Currency" localSheetId="8">IndexInformation!$B$24</definedName>
    <definedName name="CurrentStockPrice" localSheetId="8">IndexInformation!$B$23</definedName>
    <definedName name="CurrQtrEPS" localSheetId="8">IndexInformation!$B$29</definedName>
    <definedName name="CurrYearEPS" localSheetId="8">IndexInformation!$B$11</definedName>
    <definedName name="CurrYearTotalRevenue" localSheetId="8">IndexInformation!$B$10</definedName>
    <definedName name="CurrYearTotalRevenueActual" localSheetId="8">IndexInformation!$B$32</definedName>
    <definedName name="CUSIP" localSheetId="8">IndexInformation!$B$20</definedName>
    <definedName name="CYEnd" localSheetId="8">IndexInformation!$B$30</definedName>
    <definedName name="dasdasd" localSheetId="6" hidden="1">{"Bell",#N/A,TRUE,"Earnings Model";"Cessna",#N/A,TRUE,"Earnings Model"}</definedName>
    <definedName name="dasdasd" localSheetId="5" hidden="1">{"Bell",#N/A,TRUE,"Earnings Model";"Cessna",#N/A,TRUE,"Earnings Model"}</definedName>
    <definedName name="dasdasd" localSheetId="4" hidden="1">{"Bell",#N/A,TRUE,"Earnings Model";"Cessna",#N/A,TRUE,"Earnings Model"}</definedName>
    <definedName name="dasdasd" localSheetId="1" hidden="1">{"Bell",#N/A,TRUE,"Earnings Model";"Cessna",#N/A,TRUE,"Earnings Model"}</definedName>
    <definedName name="dasdasd" hidden="1">{"Bell",#N/A,TRUE,"Earnings Model";"Cessna",#N/A,TRUE,"Earnings Model"}</definedName>
    <definedName name="Date" localSheetId="0">ImportantDisclosures!$A$8</definedName>
    <definedName name="Deleted" localSheetId="8">IndexInformation!$B$27</definedName>
    <definedName name="Description" localSheetId="8">IndexInformation!$B$7</definedName>
    <definedName name="DEVELOPMENT">5</definedName>
    <definedName name="Discipline" localSheetId="8">IndexInformation!$B$3</definedName>
    <definedName name="DISCIPLINE" localSheetId="9">ModPubIndex!$A$12</definedName>
    <definedName name="DisclosuresText">ImportantDisclosures!$A$22</definedName>
    <definedName name="Distribution" localSheetId="8">IndexInformation!$B$26</definedName>
    <definedName name="DistTable" localSheetId="0">ImportantDisclosures!#REF!</definedName>
    <definedName name="DistTablePreamble" localSheetId="0">ImportantDisclosures!#REF!</definedName>
    <definedName name="DOCDAT" localSheetId="9">ModPubIndex!$A$2</definedName>
    <definedName name="DOCTIME" localSheetId="9">ModPubIndex!$A$3</definedName>
    <definedName name="DocType" localSheetId="8">IndexInformation!$B$5</definedName>
    <definedName name="EMAIL_ALERT" localSheetId="9">ModPubIndex!$A$10</definedName>
    <definedName name="EmailAlert" localSheetId="8">IndexInformation!$B$28</definedName>
    <definedName name="ｆ" hidden="1">"iQShowAnnual"</definedName>
    <definedName name="FiveYearGrowthRate" localSheetId="8">IndexInformation!$B$16</definedName>
    <definedName name="FollowingYearEPS" localSheetId="8">IndexInformation!$B$15</definedName>
    <definedName name="FollowingYearTotalRevenue" localSheetId="8">IndexInformation!$B$14</definedName>
    <definedName name="FollowingYearTotalRevenueActual" localSheetId="8">IndexInformation!$B$34</definedName>
    <definedName name="forecast" localSheetId="6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localSheetId="5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localSheetId="4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localSheetId="1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1" localSheetId="6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1" localSheetId="5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1" localSheetId="4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1" localSheetId="1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forecast1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HL" localSheetId="9">ModPubIndex!$A$8</definedName>
    <definedName name="HTML_CodePage" hidden="1">1252</definedName>
    <definedName name="HTML_Control" localSheetId="6" hidden="1">{"'Breakup 01 Euro'!$A$3:$I$30"}</definedName>
    <definedName name="HTML_Control" localSheetId="5" hidden="1">{"'Breakup 01 Euro'!$A$3:$I$30"}</definedName>
    <definedName name="HTML_Control" localSheetId="4" hidden="1">{"'Breakup 01 Euro'!$A$3:$I$30"}</definedName>
    <definedName name="HTML_Control" localSheetId="1" hidden="1">{"'Breakup 01 Euro'!$A$3:$I$30"}</definedName>
    <definedName name="HTML_Control" hidden="1">{"'Breakup 01 Euro'!$A$3:$I$30"}</definedName>
    <definedName name="HTML_Description" hidden="1">""</definedName>
    <definedName name="HTML_Email" hidden="1">""</definedName>
    <definedName name="HTML_Header" hidden="1">"Breakup 01 Euro"</definedName>
    <definedName name="HTML_LastUpdate" hidden="1">"27/02/2001"</definedName>
    <definedName name="HTML_LineAfter" hidden="1">FALSE</definedName>
    <definedName name="HTML_LineBefore" hidden="1">FALSE</definedName>
    <definedName name="HTML_Name" hidden="1">"jonasa"</definedName>
    <definedName name="HTML_OBDlg2" hidden="1">TRUE</definedName>
    <definedName name="HTML_OBDlg4" hidden="1">TRUE</definedName>
    <definedName name="HTML_OS" hidden="1">0</definedName>
    <definedName name="HTML_PathFile" hidden="1">"L:\AUTOS\XLDATA\Jonas\other\DCX_Sop.htm"</definedName>
    <definedName name="HTML_Title" hidden="1">"DAIC-INC"</definedName>
    <definedName name="i" localSheetId="6">{"Qtr Op Mgd Q3",#N/A,FALSE,"Qtr-Op (Mng)";"Qtr Op Rpt Q3",#N/A,FALSE,"Qtr-Op (Rpt)";"Operating Vs Reported",#N/A,FALSE,"Rpt-Op Inc"}</definedName>
    <definedName name="i" localSheetId="5">{"Qtr Op Mgd Q3",#N/A,FALSE,"Qtr-Op (Mng)";"Qtr Op Rpt Q3",#N/A,FALSE,"Qtr-Op (Rpt)";"Operating Vs Reported",#N/A,FALSE,"Rpt-Op Inc"}</definedName>
    <definedName name="i" localSheetId="4">{"Qtr Op Mgd Q3",#N/A,FALSE,"Qtr-Op (Mng)";"Qtr Op Rpt Q3",#N/A,FALSE,"Qtr-Op (Rpt)";"Operating Vs Reported",#N/A,FALSE,"Rpt-Op Inc"}</definedName>
    <definedName name="i" localSheetId="1">{"Qtr Op Mgd Q3",#N/A,FALSE,"Qtr-Op (Mng)";"Qtr Op Rpt Q3",#N/A,FALSE,"Qtr-Op (Rpt)";"Operating Vs Reported",#N/A,FALSE,"Rpt-Op Inc"}</definedName>
    <definedName name="i">{"Qtr Op Mgd Q3",#N/A,FALSE,"Qtr-Op (Mng)";"Qtr Op Rpt Q3",#N/A,FALSE,"Qtr-Op (Rpt)";"Operating Vs Reported",#N/A,FALSE,"Rpt-Op Inc"}</definedName>
    <definedName name="IND" localSheetId="9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39244.4711574074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KeepVersions" localSheetId="8">IndexInformation!$B$8</definedName>
    <definedName name="LanguageCode">IndexInformation!$B$38</definedName>
    <definedName name="LastCell" localSheetId="0">ImportantDisclosures!$A$22</definedName>
    <definedName name="Linking_11">Changes!$B$5:$P$36</definedName>
    <definedName name="Linking_2">Financials!$B$4:$AX$39</definedName>
    <definedName name="Linking_3">Earnings!$B$5:$M$37</definedName>
    <definedName name="Linking_5">Financials!$B$57:$AX$86</definedName>
    <definedName name="Linking_6" localSheetId="6">Changes!$C$20:$C$32</definedName>
    <definedName name="Linking_6" localSheetId="5">Earnings!$C$21:$J$33</definedName>
    <definedName name="Linking_7">Earnings!$O$5:$AB$16</definedName>
    <definedName name="Linking_8">Earnings!$A$4:$AC$38</definedName>
    <definedName name="Linking_9">Financials!$B$110:$AX$153</definedName>
    <definedName name="Linking_Range_10" localSheetId="3">Financials!$B$110:$AU$151</definedName>
    <definedName name="Linking_Range_12" localSheetId="3">Financials!$B$5:$AU$38</definedName>
    <definedName name="Linking_Range_13" localSheetId="3">Financials!$B$57:$AU$106</definedName>
    <definedName name="Linking_Range_14" localSheetId="3">Financials!$B$110:$AU$151</definedName>
    <definedName name="Linking_Range_15" localSheetId="3">Financials!$B$5:$AX$38</definedName>
    <definedName name="Linking_Range_16" localSheetId="3">Financials!$B$57:$AX$106</definedName>
    <definedName name="Linking_Range_17" localSheetId="3">Financials!$B$110:$AX$147</definedName>
    <definedName name="Linking_Range_18" localSheetId="3">Financials!$B$57:$AX$105</definedName>
    <definedName name="Linking_Range_19" localSheetId="6">Changes!$C$24:$Q$43</definedName>
    <definedName name="Linking_Range_19" localSheetId="5">Earnings!$C$27:$N$46</definedName>
    <definedName name="Linking_Range_19" localSheetId="3">Financials!$B$110:$AX$149</definedName>
    <definedName name="Linking_Range_20" localSheetId="6">Changes!$C$24:$Q$51</definedName>
    <definedName name="Linking_Range_20" localSheetId="5">Earnings!$C$27:$N$54</definedName>
    <definedName name="Linking_Range_21" localSheetId="6">Changes!$C$24:$Q$54</definedName>
    <definedName name="Linking_Range_21" localSheetId="5">Earnings!$C$27:$N$57</definedName>
    <definedName name="Linking_Range_22" localSheetId="6">Changes!$C$24:$Q$60</definedName>
    <definedName name="Linking_Range_22" localSheetId="5">Earnings!$C$27:$Y$63</definedName>
    <definedName name="Linking_Range_27" localSheetId="6">Changes!$C$24:$Q$58</definedName>
    <definedName name="Linking_Range_27" localSheetId="5">Earnings!$C$27:$N$61</definedName>
    <definedName name="Linking_Range_3" localSheetId="3">Financials!$B$5:$AS$38</definedName>
    <definedName name="Linking_Range_4" localSheetId="3">Financials!$B$57:$AS$106</definedName>
    <definedName name="Linking_Range_5" localSheetId="3">Financials!$B$110:$AS$151</definedName>
    <definedName name="Linking_Range_8" localSheetId="3">Financials!$B$5:$AU$38</definedName>
    <definedName name="Linking_Range_9" localSheetId="3">Financials!$B$57:$AU$106</definedName>
    <definedName name="MacroVersion" localSheetId="8">IndexInformation!$B$1</definedName>
    <definedName name="ModelPrice" localSheetId="0">ImportantDisclosures!$A$14</definedName>
    <definedName name="Multiplier" localSheetId="8">IndexInformation!$B$35</definedName>
    <definedName name="nEW" localSheetId="6" hidden="1">{#N/A,#N/A,TRUE,"Historicals";#N/A,#N/A,TRUE,"Charts";#N/A,#N/A,TRUE,"Forecasts"}</definedName>
    <definedName name="nEW" localSheetId="5" hidden="1">{#N/A,#N/A,TRUE,"Historicals";#N/A,#N/A,TRUE,"Charts";#N/A,#N/A,TRUE,"Forecasts"}</definedName>
    <definedName name="nEW" localSheetId="4" hidden="1">{#N/A,#N/A,TRUE,"Historicals";#N/A,#N/A,TRUE,"Charts";#N/A,#N/A,TRUE,"Forecasts"}</definedName>
    <definedName name="nEW" localSheetId="1" hidden="1">{#N/A,#N/A,TRUE,"Historicals";#N/A,#N/A,TRUE,"Charts";#N/A,#N/A,TRUE,"Forecasts"}</definedName>
    <definedName name="nEW" hidden="1">{#N/A,#N/A,TRUE,"Historicals";#N/A,#N/A,TRUE,"Charts";#N/A,#N/A,TRUE,"Forecasts"}</definedName>
    <definedName name="NextYearEPS" localSheetId="8">IndexInformation!$B$13</definedName>
    <definedName name="NextYearTotalRevenue" localSheetId="8">IndexInformation!$B$12</definedName>
    <definedName name="NextYearTotalRevenueActual" localSheetId="8">IndexInformation!$B$33</definedName>
    <definedName name="o" localSheetId="6" hidden="1">{"Pulp Production",#N/A,FALSE,"Pulp";"Pulp Earnings",#N/A,FALSE,"Pulp"}</definedName>
    <definedName name="o" localSheetId="5" hidden="1">{"Pulp Production",#N/A,FALSE,"Pulp";"Pulp Earnings",#N/A,FALSE,"Pulp"}</definedName>
    <definedName name="o" localSheetId="4" hidden="1">{"Pulp Production",#N/A,FALSE,"Pulp";"Pulp Earnings",#N/A,FALSE,"Pulp"}</definedName>
    <definedName name="o" localSheetId="1" hidden="1">{"Pulp Production",#N/A,FALSE,"Pulp";"Pulp Earnings",#N/A,FALSE,"Pulp"}</definedName>
    <definedName name="o" hidden="1">{"Pulp Production",#N/A,FALSE,"Pulp";"Pulp Earnings",#N/A,FALSE,"Pulp"}</definedName>
    <definedName name="ObjectType">IndexInformation!$B$37</definedName>
    <definedName name="PANA" localSheetId="9">ModPubIndex!$A$11</definedName>
    <definedName name="PathName" localSheetId="8">IndexInformation!$B$25</definedName>
    <definedName name="_xlnm.Print_Area" localSheetId="6">Changes!$A$1:$Q$37</definedName>
    <definedName name="_xlnm.Print_Area" localSheetId="2">DCF!$A$1:$Q$47</definedName>
    <definedName name="_xlnm.Print_Area" localSheetId="7">Debt!$A$1:$M$12</definedName>
    <definedName name="_xlnm.Print_Area" localSheetId="5">Earnings!$A$1:$AC$37</definedName>
    <definedName name="_xlnm.Print_Area" localSheetId="3">Financials!$A$1:$BB$175</definedName>
    <definedName name="_xlnm.Print_Area" localSheetId="4">Segments!$A$1:$BB$113</definedName>
    <definedName name="_xlnm.Print_Area" localSheetId="1">Valuation!$A$1:$P$61</definedName>
    <definedName name="_xlnm.Print_Area">"Formula removed, name can be deleted."</definedName>
    <definedName name="_xlnm.Print_Titles" localSheetId="3">Financials!$1:$5</definedName>
    <definedName name="_xlnm.Print_Titles" localSheetId="4">Segments!$1:$5</definedName>
    <definedName name="_xlnm.Print_Titles" localSheetId="1">Valuation!$2:$4</definedName>
    <definedName name="PRODUCT" localSheetId="9">ModPubIndex!$A$6</definedName>
    <definedName name="ProjectName" localSheetId="6">{"Client Name or Project Name"}</definedName>
    <definedName name="ProjectName" localSheetId="5">{"Client Name or Project Name"}</definedName>
    <definedName name="ProjectName" localSheetId="4">{"Client Name or Project Name"}</definedName>
    <definedName name="ProjectName" localSheetId="1">{"Client Name or Project Name"}</definedName>
    <definedName name="ProjectName">{"Client Name or Project Name"}</definedName>
    <definedName name="PSYM" localSheetId="9">ModPubIndex!$A$4</definedName>
    <definedName name="PublishDate" localSheetId="8">IndexInformation!$B$2</definedName>
    <definedName name="q" localSheetId="6" hidden="1">{"Qtr Op Mgd Q2",#N/A,FALSE,"Qtr-Op (Mng)";"Qtr Op Rpt Q2",#N/A,FALSE,"Qtr-Op (Rpt)";"Operating Vs Reported",#N/A,FALSE,"Rpt-Op Inc"}</definedName>
    <definedName name="q" localSheetId="5" hidden="1">{"Qtr Op Mgd Q2",#N/A,FALSE,"Qtr-Op (Mng)";"Qtr Op Rpt Q2",#N/A,FALSE,"Qtr-Op (Rpt)";"Operating Vs Reported",#N/A,FALSE,"Rpt-Op Inc"}</definedName>
    <definedName name="q" localSheetId="4" hidden="1">{"Qtr Op Mgd Q2",#N/A,FALSE,"Qtr-Op (Mng)";"Qtr Op Rpt Q2",#N/A,FALSE,"Qtr-Op (Rpt)";"Operating Vs Reported",#N/A,FALSE,"Rpt-Op Inc"}</definedName>
    <definedName name="q" localSheetId="1" hidden="1">{"Qtr Op Mgd Q2",#N/A,FALSE,"Qtr-Op (Mng)";"Qtr Op Rpt Q2",#N/A,FALSE,"Qtr-Op (Rpt)";"Operating Vs Reported",#N/A,FALSE,"Rpt-Op Inc"}</definedName>
    <definedName name="q" hidden="1">{"Qtr Op Mgd Q2",#N/A,FALSE,"Qtr-Op (Mng)";"Qtr Op Rpt Q2",#N/A,FALSE,"Qtr-Op (Rpt)";"Operating Vs Reported",#N/A,FALSE,"Rpt-Op Inc"}</definedName>
    <definedName name="Rating" localSheetId="8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p" localSheetId="6" hidden="1">{#N/A,#N/A,FALSE,"COVER";#N/A,#N/A,FALSE,"VALUATION";#N/A,#N/A,FALSE,"FORECAST";#N/A,#N/A,FALSE,"FY ANALYSIS ";#N/A,#N/A,FALSE," HY ANALYSIS"}</definedName>
    <definedName name="rep" localSheetId="5" hidden="1">{#N/A,#N/A,FALSE,"COVER";#N/A,#N/A,FALSE,"VALUATION";#N/A,#N/A,FALSE,"FORECAST";#N/A,#N/A,FALSE,"FY ANALYSIS ";#N/A,#N/A,FALSE," HY ANALYSIS"}</definedName>
    <definedName name="rep" localSheetId="4" hidden="1">{#N/A,#N/A,FALSE,"COVER";#N/A,#N/A,FALSE,"VALUATION";#N/A,#N/A,FALSE,"FORECAST";#N/A,#N/A,FALSE,"FY ANALYSIS ";#N/A,#N/A,FALSE," HY ANALYSIS"}</definedName>
    <definedName name="rep" localSheetId="1" hidden="1">{#N/A,#N/A,FALSE,"COVER";#N/A,#N/A,FALSE,"VALUATION";#N/A,#N/A,FALSE,"FORECAST";#N/A,#N/A,FALSE,"FY ANALYSIS ";#N/A,#N/A,FALSE," HY ANALYSIS"}</definedName>
    <definedName name="rep" hidden="1">{#N/A,#N/A,FALSE,"COVER";#N/A,#N/A,FALSE,"VALUATION";#N/A,#N/A,FALSE,"FORECAST";#N/A,#N/A,FALSE,"FY ANALYSIS ";#N/A,#N/A,FALSE," HY ANALYSIS"}</definedName>
    <definedName name="ResearchTopic" localSheetId="8">IndexInformation!$B$4</definedName>
    <definedName name="RIC" localSheetId="8">IndexInformation!$B$21</definedName>
    <definedName name="SECSettlement" localSheetId="0">ImportantDisclosures!#REF!</definedName>
    <definedName name="SEDOL" localSheetId="8">IndexInformation!$B$22</definedName>
    <definedName name="SourceDefined" localSheetId="0">ImportantDisclosures!$A$19</definedName>
    <definedName name="StockRating" localSheetId="0">ImportantDisclosures!$A$11</definedName>
    <definedName name="SubjectCode" localSheetId="8">IndexInformation!$B$6</definedName>
    <definedName name="SubmitterUserId">IndexInformation!$B$39</definedName>
    <definedName name="SUPPRESSED" localSheetId="9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8">IndexInformation!$B$19</definedName>
    <definedName name="TRW" localSheetId="6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TRW" localSheetId="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TRW" localSheetId="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TRW" localSheetId="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TRW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UpdateReason" localSheetId="8">IndexInformation!$B$17</definedName>
    <definedName name="USRegDisclosures" localSheetId="0">ImportantDisclosures!#REF!</definedName>
    <definedName name="wrn.2._.pagers." localSheetId="6" hidden="1">{"Cover",#N/A,FALSE,"Cover";"Summary",#N/A,FALSE,"Summarpage"}</definedName>
    <definedName name="wrn.2._.pagers." localSheetId="5" hidden="1">{"Cover",#N/A,FALSE,"Cover";"Summary",#N/A,FALSE,"Summarpage"}</definedName>
    <definedName name="wrn.2._.pagers." localSheetId="4" hidden="1">{"Cover",#N/A,FALSE,"Cover";"Summary",#N/A,FALSE,"Summarpage"}</definedName>
    <definedName name="wrn.2._.pagers." localSheetId="1" hidden="1">{"Cover",#N/A,FALSE,"Cover";"Summary",#N/A,FALSE,"Summarpage"}</definedName>
    <definedName name="wrn.2._.pagers." hidden="1">{"Cover",#N/A,FALSE,"Cover";"Summary",#N/A,FALSE,"Summarpage"}</definedName>
    <definedName name="wrn.96_model." localSheetId="6" hidden="1">{"qtr_is_94_95",#N/A,FALSE,"MA";"ann_is_96",#N/A,FALSE,"MA";"seg_sales_96",#N/A,FALSE,"MA";"seg_inc_96",#N/A,FALSE,"MA";"divisional_91_95",#N/A,FALSE,"MA";"ann_bs_96",#N/A,FALSE,"MA";"ann_cf_96",#N/A,FALSE,"MA"}</definedName>
    <definedName name="wrn.96_model." localSheetId="5" hidden="1">{"qtr_is_94_95",#N/A,FALSE,"MA";"ann_is_96",#N/A,FALSE,"MA";"seg_sales_96",#N/A,FALSE,"MA";"seg_inc_96",#N/A,FALSE,"MA";"divisional_91_95",#N/A,FALSE,"MA";"ann_bs_96",#N/A,FALSE,"MA";"ann_cf_96",#N/A,FALSE,"MA"}</definedName>
    <definedName name="wrn.96_model." localSheetId="4" hidden="1">{"qtr_is_94_95",#N/A,FALSE,"MA";"ann_is_96",#N/A,FALSE,"MA";"seg_sales_96",#N/A,FALSE,"MA";"seg_inc_96",#N/A,FALSE,"MA";"divisional_91_95",#N/A,FALSE,"MA";"ann_bs_96",#N/A,FALSE,"MA";"ann_cf_96",#N/A,FALSE,"MA"}</definedName>
    <definedName name="wrn.96_model." localSheetId="1" hidden="1">{"qtr_is_94_95",#N/A,FALSE,"MA";"ann_is_96",#N/A,FALSE,"MA";"seg_sales_96",#N/A,FALSE,"MA";"seg_inc_96",#N/A,FALSE,"MA";"divisional_91_95",#N/A,FALSE,"MA";"ann_bs_96",#N/A,FALSE,"MA";"ann_cf_96",#N/A,FALSE,"MA"}</definedName>
    <definedName name="wrn.96_model." hidden="1">{"qtr_is_94_95",#N/A,FALSE,"MA";"ann_is_96",#N/A,FALSE,"MA";"seg_sales_96",#N/A,FALSE,"MA";"seg_inc_96",#N/A,FALSE,"MA";"divisional_91_95",#N/A,FALSE,"MA";"ann_bs_96",#N/A,FALSE,"MA";"ann_cf_96",#N/A,FALSE,"MA"}</definedName>
    <definedName name="wrn.Aircraft._.Breakdown." localSheetId="6" hidden="1">{"Bell",#N/A,TRUE,"Earnings Model";"Cessna",#N/A,TRUE,"Earnings Model"}</definedName>
    <definedName name="wrn.Aircraft._.Breakdown." localSheetId="5" hidden="1">{"Bell",#N/A,TRUE,"Earnings Model";"Cessna",#N/A,TRUE,"Earnings Model"}</definedName>
    <definedName name="wrn.Aircraft._.Breakdown." localSheetId="4" hidden="1">{"Bell",#N/A,TRUE,"Earnings Model";"Cessna",#N/A,TRUE,"Earnings Model"}</definedName>
    <definedName name="wrn.Aircraft._.Breakdown." localSheetId="1" hidden="1">{"Bell",#N/A,TRUE,"Earnings Model";"Cessna",#N/A,TRUE,"Earnings Model"}</definedName>
    <definedName name="wrn.Aircraft._.Breakdown." hidden="1">{"Bell",#N/A,TRUE,"Earnings Model";"Cessna",#N/A,TRUE,"Earnings Model"}</definedName>
    <definedName name="wrn.allpages." localSheetId="6" hidden="1">{#N/A,#N/A,TRUE,"Historicals";#N/A,#N/A,TRUE,"Charts";#N/A,#N/A,TRUE,"Forecasts"}</definedName>
    <definedName name="wrn.allpages." localSheetId="5" hidden="1">{#N/A,#N/A,TRUE,"Historicals";#N/A,#N/A,TRUE,"Charts";#N/A,#N/A,TRUE,"Forecasts"}</definedName>
    <definedName name="wrn.allpages." localSheetId="4" hidden="1">{#N/A,#N/A,TRUE,"Historicals";#N/A,#N/A,TRUE,"Charts";#N/A,#N/A,TRUE,"Forecasts"}</definedName>
    <definedName name="wrn.allpages." localSheetId="1" hidden="1">{#N/A,#N/A,TRUE,"Historicals";#N/A,#N/A,TRUE,"Charts";#N/A,#N/A,TRUE,"Forecasts"}</definedName>
    <definedName name="wrn.allpages." hidden="1">{#N/A,#N/A,TRUE,"Historicals";#N/A,#N/A,TRUE,"Charts";#N/A,#N/A,TRUE,"Forecasts"}</definedName>
    <definedName name="wrn.Annual._.Operating._.Earnings." localSheetId="6" hidden="1">{"Annual 1996",#N/A,FALSE,"Ann-Op (Mng)";"Annual 1996",#N/A,FALSE,"Ann-Op (Rep)";"Operating Vs. Reported Earnings",#N/A,FALSE,"Rpt-Op Inc"}</definedName>
    <definedName name="wrn.Annual._.Operating._.Earnings." localSheetId="5" hidden="1">{"Annual 1996",#N/A,FALSE,"Ann-Op (Mng)";"Annual 1996",#N/A,FALSE,"Ann-Op (Rep)";"Operating Vs. Reported Earnings",#N/A,FALSE,"Rpt-Op Inc"}</definedName>
    <definedName name="wrn.Annual._.Operating._.Earnings." localSheetId="4" hidden="1">{"Annual 1996",#N/A,FALSE,"Ann-Op (Mng)";"Annual 1996",#N/A,FALSE,"Ann-Op (Rep)";"Operating Vs. Reported Earnings",#N/A,FALSE,"Rpt-Op Inc"}</definedName>
    <definedName name="wrn.Annual._.Operating._.Earnings." localSheetId="1" hidden="1">{"Annual 1996",#N/A,FALSE,"Ann-Op (Mng)";"Annual 1996",#N/A,FALSE,"Ann-Op (Rep)";"Operating Vs. Reported Earnings",#N/A,FALSE,"Rpt-Op Inc"}</definedName>
    <definedName name="wrn.Annual._.Operating._.Earnings." hidden="1">{"Annual 1996",#N/A,FALSE,"Ann-Op (Mng)";"Annual 1996",#N/A,FALSE,"Ann-Op (Rep)";"Operating Vs. Reported Earnings",#N/A,FALSE,"Rpt-Op Inc"}</definedName>
    <definedName name="wrn.Annual._.Operating._.Earnings1." localSheetId="6" hidden="1">{"Annual 1996",#N/A,FALSE,"Ann-Op (Mng)";"Annual 1996",#N/A,FALSE,"Ann-Op (Rep)";"Operating Vs. Reported Earnings",#N/A,FALSE,"Rpt-Op Inc"}</definedName>
    <definedName name="wrn.Annual._.Operating._.Earnings1." localSheetId="5" hidden="1">{"Annual 1996",#N/A,FALSE,"Ann-Op (Mng)";"Annual 1996",#N/A,FALSE,"Ann-Op (Rep)";"Operating Vs. Reported Earnings",#N/A,FALSE,"Rpt-Op Inc"}</definedName>
    <definedName name="wrn.Annual._.Operating._.Earnings1." localSheetId="4" hidden="1">{"Annual 1996",#N/A,FALSE,"Ann-Op (Mng)";"Annual 1996",#N/A,FALSE,"Ann-Op (Rep)";"Operating Vs. Reported Earnings",#N/A,FALSE,"Rpt-Op Inc"}</definedName>
    <definedName name="wrn.Annual._.Operating._.Earnings1." localSheetId="1" hidden="1">{"Annual 1996",#N/A,FALSE,"Ann-Op (Mng)";"Annual 1996",#N/A,FALSE,"Ann-Op (Rep)";"Operating Vs. Reported Earnings",#N/A,FALSE,"Rpt-Op Inc"}</definedName>
    <definedName name="wrn.Annual._.Operating._.Earnings1." hidden="1">{"Annual 1996",#N/A,FALSE,"Ann-Op (Mng)";"Annual 1996",#N/A,FALSE,"Ann-Op (Rep)";"Operating Vs. Reported Earnings",#N/A,FALSE,"Rpt-Op Inc"}</definedName>
    <definedName name="wrn.Complete." localSheetId="6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localSheetId="5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localSheetId="4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localSheetId="1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nsolidated._.Statements." localSheetId="6" hidden="1">{"view1",#N/A,FALSE,"EARN (US$)";"view1",#N/A,FALSE,"DASTBS (US$)";"view1",#N/A,FALSE,"DASTCF (US$)"}</definedName>
    <definedName name="wrn.Consolidated._.Statements." localSheetId="5" hidden="1">{"view1",#N/A,FALSE,"EARN (US$)";"view1",#N/A,FALSE,"DASTBS (US$)";"view1",#N/A,FALSE,"DASTCF (US$)"}</definedName>
    <definedName name="wrn.Consolidated._.Statements." localSheetId="4" hidden="1">{"view1",#N/A,FALSE,"EARN (US$)";"view1",#N/A,FALSE,"DASTBS (US$)";"view1",#N/A,FALSE,"DASTCF (US$)"}</definedName>
    <definedName name="wrn.Consolidated._.Statements." localSheetId="1" hidden="1">{"view1",#N/A,FALSE,"EARN (US$)";"view1",#N/A,FALSE,"DASTBS (US$)";"view1",#N/A,FALSE,"DASTCF (US$)"}</definedName>
    <definedName name="wrn.Consolidated._.Statements." hidden="1">{"view1",#N/A,FALSE,"EARN (US$)";"view1",#N/A,FALSE,"DASTBS (US$)";"view1",#N/A,FALSE,"DASTCF (US$)"}</definedName>
    <definedName name="wrn.Covers." localSheetId="6" hidden="1">{"view1",#N/A,FALSE,"MOTEARN";"view1",#N/A,FALSE,"Bal Sht";"view1",#N/A,FALSE,"Cash Flows"}</definedName>
    <definedName name="wrn.Covers." localSheetId="5" hidden="1">{"view1",#N/A,FALSE,"MOTEARN";"view1",#N/A,FALSE,"Bal Sht";"view1",#N/A,FALSE,"Cash Flows"}</definedName>
    <definedName name="wrn.Covers." localSheetId="4" hidden="1">{"view1",#N/A,FALSE,"MOTEARN";"view1",#N/A,FALSE,"Bal Sht";"view1",#N/A,FALSE,"Cash Flows"}</definedName>
    <definedName name="wrn.Covers." localSheetId="1" hidden="1">{"view1",#N/A,FALSE,"MOTEARN";"view1",#N/A,FALSE,"Bal Sht";"view1",#N/A,FALSE,"Cash Flows"}</definedName>
    <definedName name="wrn.Covers." hidden="1">{"view1",#N/A,FALSE,"MOTEARN";"view1",#N/A,FALSE,"Bal Sht";"view1",#N/A,FALSE,"Cash Flows"}</definedName>
    <definedName name="wrn.Forecast._.Q1." localSheetId="6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localSheetId="5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localSheetId="4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localSheetId="1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1.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6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5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4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localSheetId="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.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6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5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4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localSheetId="1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2a." hidden="1">{"cover a","2q",FALSE,"Cover";"Op Earn Mgd Q2",#N/A,FALSE,"Op-Earn (Mng)";"Op Earn Rpt Q2",#N/A,FALSE,"Op-Earn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6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5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4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localSheetId="1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3." hidden="1">{"cover a","3q",FALSE,"Cover";"Op Earn Mgd Q3",#N/A,FALSE,"Op-Earn (Mng)";"Op Earn Rpt Q3",#N/A,FALSE,"Op-Earn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6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5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4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localSheetId="1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.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6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5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4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localSheetId="1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orecast._.Q4a" hidden="1">{"cover a","4q",FALSE,"Cover";"Op Earn Mgd Q4",#N/A,FALSE,"Op-Earn (Mng)";"Op Earn Rpt Q4",#N/A,FALSE,"Op-Earn (Rpt)";"Loans",#N/A,FALSE,"Loans";"Credit Costs",#N/A,FALSE,"CCosts";"Net Interest Margin",#N/A,FALSE,"Margin";"Nonint Income",#N/A,FALSE,"NonII";"Nonint Exp",#N/A,FALSE,"NonIE";"Valuation",#N/A,FALSE,"Valuation"}</definedName>
    <definedName name="wrn.Full._.Report." localSheetId="6" hidden="1">{#N/A,#N/A,FALSE,"COVER";#N/A,#N/A,FALSE,"VALUATION";#N/A,#N/A,FALSE,"FORECAST";#N/A,#N/A,FALSE,"FY ANALYSIS ";#N/A,#N/A,FALSE," HY ANALYSIS"}</definedName>
    <definedName name="wrn.Full._.Report." localSheetId="5" hidden="1">{#N/A,#N/A,FALSE,"COVER";#N/A,#N/A,FALSE,"VALUATION";#N/A,#N/A,FALSE,"FORECAST";#N/A,#N/A,FALSE,"FY ANALYSIS ";#N/A,#N/A,FALSE," HY ANALYSIS"}</definedName>
    <definedName name="wrn.Full._.Report." localSheetId="4" hidden="1">{#N/A,#N/A,FALSE,"COVER";#N/A,#N/A,FALSE,"VALUATION";#N/A,#N/A,FALSE,"FORECAST";#N/A,#N/A,FALSE,"FY ANALYSIS ";#N/A,#N/A,FALSE," HY ANALYSIS"}</definedName>
    <definedName name="wrn.Full._.Report." localSheetId="1" hidden="1">{#N/A,#N/A,FALSE,"COVER";#N/A,#N/A,FALSE,"VALUATION";#N/A,#N/A,FALSE,"FORECAST";#N/A,#N/A,FALSE,"FY ANALYSIS ";#N/A,#N/A,FALSE," HY ANALYSIS"}</definedName>
    <definedName name="wrn.Full._.Report." hidden="1">{#N/A,#N/A,FALSE,"COVER";#N/A,#N/A,FALSE,"VALUATION";#N/A,#N/A,FALSE,"FORECAST";#N/A,#N/A,FALSE,"FY ANALYSIS ";#N/A,#N/A,FALSE," HY ANALYSIS"}</definedName>
    <definedName name="wrn.FUZ_REP." localSheetId="6" hidden="1">{"FUZ_INC_A",#N/A,FALSE,"NOBE";"FUZ_INC_Q",#N/A,FALSE,"NOBE";"FUZ_BAL_A",#N/A,FALSE,"NOBE";"FUZ_CASH_A",#N/A,FALSE,"NOBE";"FUZ_PROD_A",#N/A,FALSE,"NOBE"}</definedName>
    <definedName name="wrn.FUZ_REP." localSheetId="5" hidden="1">{"FUZ_INC_A",#N/A,FALSE,"NOBE";"FUZ_INC_Q",#N/A,FALSE,"NOBE";"FUZ_BAL_A",#N/A,FALSE,"NOBE";"FUZ_CASH_A",#N/A,FALSE,"NOBE";"FUZ_PROD_A",#N/A,FALSE,"NOBE"}</definedName>
    <definedName name="wrn.FUZ_REP." localSheetId="4" hidden="1">{"FUZ_INC_A",#N/A,FALSE,"NOBE";"FUZ_INC_Q",#N/A,FALSE,"NOBE";"FUZ_BAL_A",#N/A,FALSE,"NOBE";"FUZ_CASH_A",#N/A,FALSE,"NOBE";"FUZ_PROD_A",#N/A,FALSE,"NOBE"}</definedName>
    <definedName name="wrn.FUZ_REP." localSheetId="1" hidden="1">{"FUZ_INC_A",#N/A,FALSE,"NOBE";"FUZ_INC_Q",#N/A,FALSE,"NOBE";"FUZ_BAL_A",#N/A,FALSE,"NOBE";"FUZ_CASH_A",#N/A,FALSE,"NOBE";"FUZ_PROD_A",#N/A,FALSE,"NOBE"}</definedName>
    <definedName name="wrn.FUZ_REP." hidden="1">{"FUZ_INC_A",#N/A,FALSE,"NOBE";"FUZ_INC_Q",#N/A,FALSE,"NOBE";"FUZ_BAL_A",#N/A,FALSE,"NOBE";"FUZ_CASH_A",#N/A,FALSE,"NOBE";"FUZ_PROD_A",#N/A,FALSE,"NOBE"}</definedName>
    <definedName name="wrn.Industry.xls." localSheetId="6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localSheetId="5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localSheetId="4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localSheetId="1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Industry.xls.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JCI._.Earnings." localSheetId="6" hidden="1">{"Income Statement -- Quarterly",#N/A,FALSE,"Model";"Balance Sheet",#N/A,FALSE,"Model";"Income Statement Annual",#N/A,FALSE,"Model"}</definedName>
    <definedName name="wrn.JCI._.Earnings." localSheetId="5" hidden="1">{"Income Statement -- Quarterly",#N/A,FALSE,"Model";"Balance Sheet",#N/A,FALSE,"Model";"Income Statement Annual",#N/A,FALSE,"Model"}</definedName>
    <definedName name="wrn.JCI._.Earnings." localSheetId="4" hidden="1">{"Income Statement -- Quarterly",#N/A,FALSE,"Model";"Balance Sheet",#N/A,FALSE,"Model";"Income Statement Annual",#N/A,FALSE,"Model"}</definedName>
    <definedName name="wrn.JCI._.Earnings." localSheetId="1" hidden="1">{"Income Statement -- Quarterly",#N/A,FALSE,"Model";"Balance Sheet",#N/A,FALSE,"Model";"Income Statement Annual",#N/A,FALSE,"Model"}</definedName>
    <definedName name="wrn.JCI._.Earnings." hidden="1">{"Income Statement -- Quarterly",#N/A,FALSE,"Model";"Balance Sheet",#N/A,FALSE,"Model";"Income Statement Annual",#N/A,FALSE,"Model"}</definedName>
    <definedName name="wrn.MOBIL." localSheetId="6" hidden="1">{"quarter",#N/A,FALSE,"MOB"}</definedName>
    <definedName name="wrn.MOBIL." localSheetId="5" hidden="1">{"quarter",#N/A,FALSE,"MOB"}</definedName>
    <definedName name="wrn.MOBIL." localSheetId="4" hidden="1">{"quarter",#N/A,FALSE,"MOB"}</definedName>
    <definedName name="wrn.MOBIL." localSheetId="1" hidden="1">{"quarter",#N/A,FALSE,"MOB"}</definedName>
    <definedName name="wrn.MOBIL." hidden="1">{"quarter",#N/A,FALSE,"MOB"}</definedName>
    <definedName name="wrn.Pulp." localSheetId="6" hidden="1">{"Pulp Production",#N/A,FALSE,"Pulp";"Pulp Earnings",#N/A,FALSE,"Pulp"}</definedName>
    <definedName name="wrn.Pulp." localSheetId="5" hidden="1">{"Pulp Production",#N/A,FALSE,"Pulp";"Pulp Earnings",#N/A,FALSE,"Pulp"}</definedName>
    <definedName name="wrn.Pulp." localSheetId="4" hidden="1">{"Pulp Production",#N/A,FALSE,"Pulp";"Pulp Earnings",#N/A,FALSE,"Pulp"}</definedName>
    <definedName name="wrn.Pulp." localSheetId="1" hidden="1">{"Pulp Production",#N/A,FALSE,"Pulp";"Pulp Earnings",#N/A,FALSE,"Pulp"}</definedName>
    <definedName name="wrn.Pulp." hidden="1">{"Pulp Production",#N/A,FALSE,"Pulp";"Pulp Earnings",#N/A,FALSE,"Pulp"}</definedName>
    <definedName name="wrn.Qtr._.Op._.Q1." localSheetId="6" hidden="1">{"Qtr Op Mgd Q1",#N/A,FALSE,"Qtr-Op (Mng)";"Qtr Op Rpt Q1",#N/A,FALSE,"Qtr-Op (Rpt)";"Operating Vs Reported",#N/A,FALSE,"Rpt-Op Inc"}</definedName>
    <definedName name="wrn.Qtr._.Op._.Q1." localSheetId="5" hidden="1">{"Qtr Op Mgd Q1",#N/A,FALSE,"Qtr-Op (Mng)";"Qtr Op Rpt Q1",#N/A,FALSE,"Qtr-Op (Rpt)";"Operating Vs Reported",#N/A,FALSE,"Rpt-Op Inc"}</definedName>
    <definedName name="wrn.Qtr._.Op._.Q1." localSheetId="4" hidden="1">{"Qtr Op Mgd Q1",#N/A,FALSE,"Qtr-Op (Mng)";"Qtr Op Rpt Q1",#N/A,FALSE,"Qtr-Op (Rpt)";"Operating Vs Reported",#N/A,FALSE,"Rpt-Op Inc"}</definedName>
    <definedName name="wrn.Qtr._.Op._.Q1." localSheetId="1" hidden="1">{"Qtr Op Mgd Q1",#N/A,FALSE,"Qtr-Op (Mng)";"Qtr Op Rpt Q1",#N/A,FALSE,"Qtr-Op (Rpt)";"Operating Vs Reported",#N/A,FALSE,"Rpt-Op Inc"}</definedName>
    <definedName name="wrn.Qtr._.Op._.Q1." hidden="1">{"Qtr Op Mgd Q1",#N/A,FALSE,"Qtr-Op (Mng)";"Qtr Op Rpt Q1",#N/A,FALSE,"Qtr-Op (Rpt)";"Operating Vs Reported",#N/A,FALSE,"Rpt-Op Inc"}</definedName>
    <definedName name="wrn.Qtr._.Op._.Q2." localSheetId="6" hidden="1">{"Qtr Op Mgd Q2",#N/A,FALSE,"Qtr-Op (Mng)";"Qtr Op Rpt Q2",#N/A,FALSE,"Qtr-Op (Rpt)";"Operating Vs Reported",#N/A,FALSE,"Rpt-Op Inc"}</definedName>
    <definedName name="wrn.Qtr._.Op._.Q2." localSheetId="5" hidden="1">{"Qtr Op Mgd Q2",#N/A,FALSE,"Qtr-Op (Mng)";"Qtr Op Rpt Q2",#N/A,FALSE,"Qtr-Op (Rpt)";"Operating Vs Reported",#N/A,FALSE,"Rpt-Op Inc"}</definedName>
    <definedName name="wrn.Qtr._.Op._.Q2." localSheetId="4" hidden="1">{"Qtr Op Mgd Q2",#N/A,FALSE,"Qtr-Op (Mng)";"Qtr Op Rpt Q2",#N/A,FALSE,"Qtr-Op (Rpt)";"Operating Vs Reported",#N/A,FALSE,"Rpt-Op Inc"}</definedName>
    <definedName name="wrn.Qtr._.Op._.Q2." localSheetId="1" hidden="1">{"Qtr Op Mgd Q2",#N/A,FALSE,"Qtr-Op (Mng)";"Qtr Op Rpt Q2",#N/A,FALSE,"Qtr-Op (Rpt)";"Operating Vs Reported",#N/A,FALSE,"Rpt-Op Inc"}</definedName>
    <definedName name="wrn.Qtr._.Op._.Q2." hidden="1">{"Qtr Op Mgd Q2",#N/A,FALSE,"Qtr-Op (Mng)";"Qtr Op Rpt Q2",#N/A,FALSE,"Qtr-Op (Rpt)";"Operating Vs Reported",#N/A,FALSE,"Rpt-Op Inc"}</definedName>
    <definedName name="wrn.Qtr._.Op._.Q3." localSheetId="6" hidden="1">{"Qtr Op Mgd Q3",#N/A,FALSE,"Qtr-Op (Mng)";"Qtr Op Rpt Q3",#N/A,FALSE,"Qtr-Op (Rpt)";"Operating Vs Reported",#N/A,FALSE,"Rpt-Op Inc"}</definedName>
    <definedName name="wrn.Qtr._.Op._.Q3." localSheetId="5" hidden="1">{"Qtr Op Mgd Q3",#N/A,FALSE,"Qtr-Op (Mng)";"Qtr Op Rpt Q3",#N/A,FALSE,"Qtr-Op (Rpt)";"Operating Vs Reported",#N/A,FALSE,"Rpt-Op Inc"}</definedName>
    <definedName name="wrn.Qtr._.Op._.Q3." localSheetId="4" hidden="1">{"Qtr Op Mgd Q3",#N/A,FALSE,"Qtr-Op (Mng)";"Qtr Op Rpt Q3",#N/A,FALSE,"Qtr-Op (Rpt)";"Operating Vs Reported",#N/A,FALSE,"Rpt-Op Inc"}</definedName>
    <definedName name="wrn.Qtr._.Op._.Q3." localSheetId="1" hidden="1">{"Qtr Op Mgd Q3",#N/A,FALSE,"Qtr-Op (Mng)";"Qtr Op Rpt Q3",#N/A,FALSE,"Qtr-Op (Rpt)";"Operating Vs Reported",#N/A,FALSE,"Rpt-Op Inc"}</definedName>
    <definedName name="wrn.Qtr._.Op._.Q3." hidden="1">{"Qtr Op Mgd Q3",#N/A,FALSE,"Qtr-Op (Mng)";"Qtr Op Rpt Q3",#N/A,FALSE,"Qtr-Op (Rpt)";"Operating Vs Reported",#N/A,FALSE,"Rpt-Op Inc"}</definedName>
    <definedName name="wrn.Qtr._.Op._.Q4." localSheetId="6" hidden="1">{"Qtr Op Mgd Q3",#N/A,FALSE,"Qtr-Op (Mng)";"Qtr Op Rpt Q4",#N/A,FALSE,"Qtr-Op (Rpt)";"Operating Vs Reported",#N/A,FALSE,"Rpt-Op Inc"}</definedName>
    <definedName name="wrn.Qtr._.Op._.Q4." localSheetId="5" hidden="1">{"Qtr Op Mgd Q3",#N/A,FALSE,"Qtr-Op (Mng)";"Qtr Op Rpt Q4",#N/A,FALSE,"Qtr-Op (Rpt)";"Operating Vs Reported",#N/A,FALSE,"Rpt-Op Inc"}</definedName>
    <definedName name="wrn.Qtr._.Op._.Q4." localSheetId="4" hidden="1">{"Qtr Op Mgd Q3",#N/A,FALSE,"Qtr-Op (Mng)";"Qtr Op Rpt Q4",#N/A,FALSE,"Qtr-Op (Rpt)";"Operating Vs Reported",#N/A,FALSE,"Rpt-Op Inc"}</definedName>
    <definedName name="wrn.Qtr._.Op._.Q4." localSheetId="1" hidden="1">{"Qtr Op Mgd Q3",#N/A,FALSE,"Qtr-Op (Mng)";"Qtr Op Rpt Q4",#N/A,FALSE,"Qtr-Op (Rpt)";"Operating Vs Reported",#N/A,FALSE,"Rpt-Op Inc"}</definedName>
    <definedName name="wrn.Qtr._.Op._.Q4." hidden="1">{"Qtr Op Mgd Q3",#N/A,FALSE,"Qtr-Op (Mng)";"Qtr Op Rpt Q4",#N/A,FALSE,"Qtr-Op (Rpt)";"Operating Vs Reported",#N/A,FALSE,"Rpt-Op Inc"}</definedName>
    <definedName name="wrn.Qtr._.Op._Q2a." localSheetId="6" hidden="1">{"Qtr Op Mgd Q2",#N/A,FALSE,"Qtr-Op (Mng)";"Qtr Op Rpt Q2",#N/A,FALSE,"Qtr-Op (Rpt)";"Operating Vs Reported",#N/A,FALSE,"Rpt-Op Inc"}</definedName>
    <definedName name="wrn.Qtr._.Op._Q2a." localSheetId="5" hidden="1">{"Qtr Op Mgd Q2",#N/A,FALSE,"Qtr-Op (Mng)";"Qtr Op Rpt Q2",#N/A,FALSE,"Qtr-Op (Rpt)";"Operating Vs Reported",#N/A,FALSE,"Rpt-Op Inc"}</definedName>
    <definedName name="wrn.Qtr._.Op._Q2a." localSheetId="4" hidden="1">{"Qtr Op Mgd Q2",#N/A,FALSE,"Qtr-Op (Mng)";"Qtr Op Rpt Q2",#N/A,FALSE,"Qtr-Op (Rpt)";"Operating Vs Reported",#N/A,FALSE,"Rpt-Op Inc"}</definedName>
    <definedName name="wrn.Qtr._.Op._Q2a." localSheetId="1" hidden="1">{"Qtr Op Mgd Q2",#N/A,FALSE,"Qtr-Op (Mng)";"Qtr Op Rpt Q2",#N/A,FALSE,"Qtr-Op (Rpt)";"Operating Vs Reported",#N/A,FALSE,"Rpt-Op Inc"}</definedName>
    <definedName name="wrn.Qtr._.Op._Q2a." hidden="1">{"Qtr Op Mgd Q2",#N/A,FALSE,"Qtr-Op (Mng)";"Qtr Op Rpt Q2",#N/A,FALSE,"Qtr-Op (Rpt)";"Operating Vs Reported",#N/A,FALSE,"Rpt-Op Inc"}</definedName>
    <definedName name="wrn.Qtr_.Op._.Q4." localSheetId="6" hidden="1">{"Qtr Op Mgd Q3",#N/A,FALSE,"Qtr-Op (Mng)";"Qtr Op Rpt Q4",#N/A,FALSE,"Qtr-Op (Rpt)";"Operating Vs Reported",#N/A,FALSE,"Rpt-Op Inc"}</definedName>
    <definedName name="wrn.Qtr_.Op._.Q4." localSheetId="5" hidden="1">{"Qtr Op Mgd Q3",#N/A,FALSE,"Qtr-Op (Mng)";"Qtr Op Rpt Q4",#N/A,FALSE,"Qtr-Op (Rpt)";"Operating Vs Reported",#N/A,FALSE,"Rpt-Op Inc"}</definedName>
    <definedName name="wrn.Qtr_.Op._.Q4." localSheetId="4" hidden="1">{"Qtr Op Mgd Q3",#N/A,FALSE,"Qtr-Op (Mng)";"Qtr Op Rpt Q4",#N/A,FALSE,"Qtr-Op (Rpt)";"Operating Vs Reported",#N/A,FALSE,"Rpt-Op Inc"}</definedName>
    <definedName name="wrn.Qtr_.Op._.Q4." localSheetId="1" hidden="1">{"Qtr Op Mgd Q3",#N/A,FALSE,"Qtr-Op (Mng)";"Qtr Op Rpt Q4",#N/A,FALSE,"Qtr-Op (Rpt)";"Operating Vs Reported",#N/A,FALSE,"Rpt-Op Inc"}</definedName>
    <definedName name="wrn.Qtr_.Op._.Q4." hidden="1">{"Qtr Op Mgd Q3",#N/A,FALSE,"Qtr-Op (Mng)";"Qtr Op Rpt Q4",#N/A,FALSE,"Qtr-Op (Rpt)";"Operating Vs Reported",#N/A,FALSE,"Rpt-Op Inc"}</definedName>
    <definedName name="wrn.Report." localSheetId="6" hidden="1">{#N/A,#N/A,FALSE,"COVER";#N/A,#N/A,FALSE,"FORECAST";#N/A,#N/A,FALSE,"VALUATION";#N/A,#N/A,FALSE,"FY ANALYSIS ";#N/A,#N/A,FALSE," HY ANALYSIS"}</definedName>
    <definedName name="wrn.Report." localSheetId="5" hidden="1">{#N/A,#N/A,FALSE,"COVER";#N/A,#N/A,FALSE,"FORECAST";#N/A,#N/A,FALSE,"VALUATION";#N/A,#N/A,FALSE,"FY ANALYSIS ";#N/A,#N/A,FALSE," HY ANALYSIS"}</definedName>
    <definedName name="wrn.Report." localSheetId="4" hidden="1">{#N/A,#N/A,FALSE,"COVER";#N/A,#N/A,FALSE,"FORECAST";#N/A,#N/A,FALSE,"VALUATION";#N/A,#N/A,FALSE,"FY ANALYSIS ";#N/A,#N/A,FALSE," HY ANALYSIS"}</definedName>
    <definedName name="wrn.Report." localSheetId="1" hidden="1">{#N/A,#N/A,FALSE,"COVER";#N/A,#N/A,FALSE,"FORECAST";#N/A,#N/A,FALSE,"VALUATION";#N/A,#N/A,FALSE,"FY ANALYSIS ";#N/A,#N/A,FALSE," HY ANALYSIS"}</definedName>
    <definedName name="wrn.Report." hidden="1">{#N/A,#N/A,FALSE,"COVER";#N/A,#N/A,FALSE,"FORECAST";#N/A,#N/A,FALSE,"VALUATION";#N/A,#N/A,FALSE,"FY ANALYSIS ";#N/A,#N/A,FALSE," HY ANALYSIS"}</definedName>
    <definedName name="wrn.Segments." localSheetId="6" hidden="1">{"view1",#N/A,FALSE,"Consolidated";"view2",#N/A,FALSE,"Consolidated (sum)";"view1",#N/A,FALSE,"Gen Sys";"view1",#N/A,FALSE,"Semicon";"view1",#N/A,FALSE,"Mess|Med";"view1",#N/A,FALSE,"Land Mob";"view1",#N/A,FALSE,"Other Prod";"view1",#N/A,FALSE,"Adj|Elim"}</definedName>
    <definedName name="wrn.Segments." localSheetId="5" hidden="1">{"view1",#N/A,FALSE,"Consolidated";"view2",#N/A,FALSE,"Consolidated (sum)";"view1",#N/A,FALSE,"Gen Sys";"view1",#N/A,FALSE,"Semicon";"view1",#N/A,FALSE,"Mess|Med";"view1",#N/A,FALSE,"Land Mob";"view1",#N/A,FALSE,"Other Prod";"view1",#N/A,FALSE,"Adj|Elim"}</definedName>
    <definedName name="wrn.Segments." localSheetId="4" hidden="1">{"view1",#N/A,FALSE,"Consolidated";"view2",#N/A,FALSE,"Consolidated (sum)";"view1",#N/A,FALSE,"Gen Sys";"view1",#N/A,FALSE,"Semicon";"view1",#N/A,FALSE,"Mess|Med";"view1",#N/A,FALSE,"Land Mob";"view1",#N/A,FALSE,"Other Prod";"view1",#N/A,FALSE,"Adj|Elim"}</definedName>
    <definedName name="wrn.Segments." localSheetId="1" hidden="1">{"view1",#N/A,FALSE,"Consolidated";"view2",#N/A,FALSE,"Consolidated (sum)";"view1",#N/A,FALSE,"Gen Sys";"view1",#N/A,FALSE,"Semicon";"view1",#N/A,FALSE,"Mess|Med";"view1",#N/A,FALSE,"Land Mob";"view1",#N/A,FALSE,"Other Prod";"view1",#N/A,FALSE,"Adj|Elim"}</definedName>
    <definedName name="wrn.Segments." hidden="1">{"view1",#N/A,FALSE,"Consolidated";"view2",#N/A,FALSE,"Consolidated (sum)";"view1",#N/A,FALSE,"Gen Sys";"view1",#N/A,FALSE,"Semicon";"view1",#N/A,FALSE,"Mess|Med";"view1",#N/A,FALSE,"Land Mob";"view1",#N/A,FALSE,"Other Prod";"view1",#N/A,FALSE,"Adj|Elim"}</definedName>
    <definedName name="wrn.Tables." localSheetId="6" hidden="1">{"view1",#N/A,FALSE,"Tables";"view2",#N/A,FALSE,"Tables";"view3",#N/A,FALSE,"Tables"}</definedName>
    <definedName name="wrn.Tables." localSheetId="5" hidden="1">{"view1",#N/A,FALSE,"Tables";"view2",#N/A,FALSE,"Tables";"view3",#N/A,FALSE,"Tables"}</definedName>
    <definedName name="wrn.Tables." localSheetId="4" hidden="1">{"view1",#N/A,FALSE,"Tables";"view2",#N/A,FALSE,"Tables";"view3",#N/A,FALSE,"Tables"}</definedName>
    <definedName name="wrn.Tables." localSheetId="1" hidden="1">{"view1",#N/A,FALSE,"Tables";"view2",#N/A,FALSE,"Tables";"view3",#N/A,FALSE,"Tables"}</definedName>
    <definedName name="wrn.Tables." hidden="1">{"view1",#N/A,FALSE,"Tables";"view2",#N/A,FALSE,"Tables";"view3",#N/A,FALSE,"Tables"}</definedName>
    <definedName name="wrn.Variance._.3." localSheetId="6" hidden="1">{"Variance Q3",#N/A,FALSE,"Var"}</definedName>
    <definedName name="wrn.Variance._.3." localSheetId="5" hidden="1">{"Variance Q3",#N/A,FALSE,"Var"}</definedName>
    <definedName name="wrn.Variance._.3." localSheetId="4" hidden="1">{"Variance Q3",#N/A,FALSE,"Var"}</definedName>
    <definedName name="wrn.Variance._.3." localSheetId="1" hidden="1">{"Variance Q3",#N/A,FALSE,"Var"}</definedName>
    <definedName name="wrn.Variance._.3." hidden="1">{"Variance Q3",#N/A,FALSE,"Var"}</definedName>
    <definedName name="wrn.Variance._.Q1." localSheetId="6" hidden="1">{"Variance Q1",#N/A,FALSE,"Var"}</definedName>
    <definedName name="wrn.Variance._.Q1." localSheetId="5" hidden="1">{"Variance Q1",#N/A,FALSE,"Var"}</definedName>
    <definedName name="wrn.Variance._.Q1." localSheetId="4" hidden="1">{"Variance Q1",#N/A,FALSE,"Var"}</definedName>
    <definedName name="wrn.Variance._.Q1." localSheetId="1" hidden="1">{"Variance Q1",#N/A,FALSE,"Var"}</definedName>
    <definedName name="wrn.Variance._.Q1." hidden="1">{"Variance Q1",#N/A,FALSE,"Var"}</definedName>
    <definedName name="wrn.Variance._.Q2." localSheetId="6" hidden="1">{"Variance Q2",#N/A,FALSE,"Var"}</definedName>
    <definedName name="wrn.Variance._.Q2." localSheetId="5" hidden="1">{"Variance Q2",#N/A,FALSE,"Var"}</definedName>
    <definedName name="wrn.Variance._.Q2." localSheetId="4" hidden="1">{"Variance Q2",#N/A,FALSE,"Var"}</definedName>
    <definedName name="wrn.Variance._.Q2." localSheetId="1" hidden="1">{"Variance Q2",#N/A,FALSE,"Var"}</definedName>
    <definedName name="wrn.Variance._.Q2." hidden="1">{"Variance Q2",#N/A,FALSE,"Var"}</definedName>
    <definedName name="wrn.Variance._.Q3." localSheetId="6" hidden="1">{"Variance Q3",#N/A,FALSE,"Var"}</definedName>
    <definedName name="wrn.Variance._.Q3." localSheetId="5" hidden="1">{"Variance Q3",#N/A,FALSE,"Var"}</definedName>
    <definedName name="wrn.Variance._.Q3." localSheetId="4" hidden="1">{"Variance Q3",#N/A,FALSE,"Var"}</definedName>
    <definedName name="wrn.Variance._.Q3." localSheetId="1" hidden="1">{"Variance Q3",#N/A,FALSE,"Var"}</definedName>
    <definedName name="wrn.Variance._.Q3." hidden="1">{"Variance Q3",#N/A,FALSE,"Var"}</definedName>
    <definedName name="wrn.Variance._.Q4" localSheetId="6" hidden="1">{"Variance Q4",#N/A,FALSE,"Var"}</definedName>
    <definedName name="wrn.Variance._.Q4" localSheetId="5" hidden="1">{"Variance Q4",#N/A,FALSE,"Var"}</definedName>
    <definedName name="wrn.Variance._.Q4" localSheetId="4" hidden="1">{"Variance Q4",#N/A,FALSE,"Var"}</definedName>
    <definedName name="wrn.Variance._.Q4" localSheetId="1" hidden="1">{"Variance Q4",#N/A,FALSE,"Var"}</definedName>
    <definedName name="wrn.Variance._.Q4" hidden="1">{"Variance Q4",#N/A,FALSE,"Var"}</definedName>
    <definedName name="wrn.Variance._.Q4." localSheetId="6" hidden="1">{"Variance Q4",#N/A,FALSE,"Var"}</definedName>
    <definedName name="wrn.Variance._.Q4." localSheetId="5" hidden="1">{"Variance Q4",#N/A,FALSE,"Var"}</definedName>
    <definedName name="wrn.Variance._.Q4." localSheetId="4" hidden="1">{"Variance Q4",#N/A,FALSE,"Var"}</definedName>
    <definedName name="wrn.Variance._.Q4." localSheetId="1" hidden="1">{"Variance Q4",#N/A,FALSE,"Var"}</definedName>
    <definedName name="wrn.Variance._.Q4." hidden="1">{"Variance Q4",#N/A,FALSE,"Var"}</definedName>
    <definedName name="xxx" localSheetId="6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xxx" localSheetId="5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xxx" localSheetId="4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xxx" localSheetId="1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xxx" hidden="1">{"cover a","1q",FALSE,"Cover";"Op Earn Mgd Q1",#N/A,FALSE,"Op-Earn (Mng)";"Op Earn Rpt Q1",#N/A,FALSE,"Op-Earn (Rpt)";"Loans",#N/A,FALSE,"Loans";"Credit Costs",#N/A,FALSE,"CCosts";"Net Interest Margin",#N/A,FALSE,"Margin";"Nonint Income",#N/A,FALSE,"NonII";"Nonint Exp",#N/A,FALSE,"NonIE";"Valuation",#N/A,FALSE,"Valuation"}</definedName>
    <definedName name="Z_2A82A09C_3BBB_4611_B6AA_7AE8EB9D6C99_.wvu.PrintArea" localSheetId="3" hidden="1">Financials!$B$5:$B$166</definedName>
  </definedNames>
  <calcPr calcId="145621" iterate="1" iterateDelta="1.0000000000000002E-3"/>
</workbook>
</file>

<file path=xl/calcChain.xml><?xml version="1.0" encoding="utf-8"?>
<calcChain xmlns="http://schemas.openxmlformats.org/spreadsheetml/2006/main">
  <c r="X14" i="5" l="1"/>
  <c r="AU51" i="4"/>
  <c r="AU49" i="4"/>
  <c r="AU47" i="4"/>
  <c r="AU45" i="4"/>
  <c r="AE45" i="4" s="1"/>
  <c r="AU43" i="4"/>
  <c r="AU41" i="4"/>
  <c r="AE41" i="4" s="1"/>
  <c r="AI64" i="4"/>
  <c r="AE49" i="4"/>
  <c r="AE47" i="4"/>
  <c r="AE43" i="4"/>
  <c r="AU50" i="4"/>
  <c r="AL10" i="3" l="1"/>
  <c r="AW69" i="3" l="1"/>
  <c r="AX69" i="3" s="1"/>
  <c r="AY69" i="3" s="1"/>
  <c r="AZ69" i="3" s="1"/>
  <c r="BA69" i="3" s="1"/>
  <c r="AJ69" i="3"/>
  <c r="AK69" i="3" s="1"/>
  <c r="AL69" i="3" s="1"/>
  <c r="AI69" i="3"/>
  <c r="AI124" i="3"/>
  <c r="AW78" i="3"/>
  <c r="AX78" i="3" s="1"/>
  <c r="AY78" i="3" s="1"/>
  <c r="AZ78" i="3" s="1"/>
  <c r="BA78" i="3" s="1"/>
  <c r="AJ78" i="3"/>
  <c r="AK78" i="3" s="1"/>
  <c r="AL78" i="3" s="1"/>
  <c r="AI78" i="3"/>
  <c r="AI79" i="3"/>
  <c r="AI77" i="3"/>
  <c r="AI67" i="3"/>
  <c r="AI63" i="3"/>
  <c r="E18" i="1" l="1"/>
  <c r="P7" i="2"/>
  <c r="P19" i="2"/>
  <c r="AX65" i="4" l="1"/>
  <c r="AY65" i="4" s="1"/>
  <c r="AZ65" i="4" s="1"/>
  <c r="BA65" i="4" s="1"/>
  <c r="AZ18" i="4" l="1"/>
  <c r="BA18" i="4" s="1"/>
  <c r="AL18" i="4" l="1"/>
  <c r="AK18" i="4"/>
  <c r="AJ18" i="4"/>
  <c r="AI18" i="4"/>
  <c r="C45" i="1" l="1"/>
  <c r="C31" i="1"/>
  <c r="F18" i="1"/>
  <c r="G18" i="1" s="1"/>
  <c r="E16" i="1"/>
  <c r="E17" i="1"/>
  <c r="E15" i="1"/>
  <c r="E13" i="1"/>
  <c r="P35" i="2"/>
  <c r="P33" i="2"/>
  <c r="I19" i="2"/>
  <c r="J19" i="2"/>
  <c r="K19" i="2"/>
  <c r="L19" i="2"/>
  <c r="M19" i="2"/>
  <c r="E37" i="2"/>
  <c r="E38" i="2"/>
  <c r="F19" i="2" s="1"/>
  <c r="AI91" i="3"/>
  <c r="AI47" i="3"/>
  <c r="AJ47" i="3"/>
  <c r="AK47" i="3"/>
  <c r="AL47" i="3"/>
  <c r="E19" i="2" l="1"/>
  <c r="H19" i="2"/>
  <c r="O19" i="2"/>
  <c r="G19" i="2"/>
  <c r="N19" i="2"/>
  <c r="AU76" i="4" l="1"/>
  <c r="AU57" i="4"/>
  <c r="AH76" i="4"/>
  <c r="AH77" i="4"/>
  <c r="AH58" i="4"/>
  <c r="AH57" i="4"/>
  <c r="AH110" i="4" l="1"/>
  <c r="AH111" i="4" s="1"/>
  <c r="AR104" i="4"/>
  <c r="AQ104" i="4"/>
  <c r="AP104" i="4"/>
  <c r="AO104" i="4"/>
  <c r="AN104" i="4"/>
  <c r="AH102" i="4"/>
  <c r="AR96" i="4"/>
  <c r="AQ96" i="4"/>
  <c r="AP96" i="4"/>
  <c r="AO96" i="4"/>
  <c r="AN96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AU91" i="4"/>
  <c r="AT91" i="4"/>
  <c r="AS91" i="4"/>
  <c r="AR91" i="4"/>
  <c r="AQ91" i="4"/>
  <c r="AP91" i="4"/>
  <c r="AO91" i="4"/>
  <c r="AN91" i="4"/>
  <c r="AK91" i="4"/>
  <c r="AQ92" i="4" l="1"/>
  <c r="AO92" i="4"/>
  <c r="AS92" i="4"/>
  <c r="AP92" i="4"/>
  <c r="AR92" i="4"/>
  <c r="AU92" i="4"/>
  <c r="AT92" i="4"/>
  <c r="AL91" i="4"/>
  <c r="AL92" i="4" s="1"/>
  <c r="AK92" i="4"/>
  <c r="AJ92" i="4"/>
  <c r="AV91" i="4" l="1"/>
  <c r="AV92" i="4" s="1"/>
  <c r="AX115" i="3"/>
  <c r="AY115" i="3"/>
  <c r="AG77" i="4"/>
  <c r="AF77" i="4"/>
  <c r="AE77" i="4"/>
  <c r="AW91" i="4" l="1"/>
  <c r="AX91" i="4" s="1"/>
  <c r="AI20" i="3"/>
  <c r="AD78" i="4"/>
  <c r="AU94" i="3"/>
  <c r="AT94" i="3"/>
  <c r="AS94" i="3"/>
  <c r="AR94" i="3"/>
  <c r="AH94" i="3"/>
  <c r="AG94" i="3"/>
  <c r="AF94" i="3"/>
  <c r="AE94" i="3"/>
  <c r="AD94" i="3"/>
  <c r="AC94" i="3"/>
  <c r="AB94" i="3"/>
  <c r="AA94" i="3"/>
  <c r="AW92" i="4" l="1"/>
  <c r="AX92" i="4"/>
  <c r="AY91" i="4"/>
  <c r="AL130" i="3"/>
  <c r="AK130" i="3"/>
  <c r="AJ130" i="3"/>
  <c r="AI130" i="3"/>
  <c r="AV130" i="3"/>
  <c r="AW115" i="3"/>
  <c r="AV115" i="3"/>
  <c r="AI115" i="3" s="1"/>
  <c r="AL115" i="3"/>
  <c r="AK115" i="3"/>
  <c r="AJ115" i="3"/>
  <c r="AZ115" i="3"/>
  <c r="BA115" i="3" s="1"/>
  <c r="AJ21" i="3"/>
  <c r="AK21" i="3"/>
  <c r="AL21" i="3" s="1"/>
  <c r="AW15" i="3"/>
  <c r="AX15" i="3" s="1"/>
  <c r="AY15" i="3" s="1"/>
  <c r="AZ15" i="3" s="1"/>
  <c r="BA15" i="3" s="1"/>
  <c r="AU41" i="3"/>
  <c r="AV42" i="3"/>
  <c r="AW42" i="3"/>
  <c r="AX42" i="3"/>
  <c r="AY42" i="3" s="1"/>
  <c r="AZ42" i="3" s="1"/>
  <c r="BA42" i="3" s="1"/>
  <c r="AU42" i="3"/>
  <c r="AH127" i="3"/>
  <c r="AH125" i="3"/>
  <c r="AH124" i="3"/>
  <c r="AH123" i="3"/>
  <c r="AH122" i="3"/>
  <c r="AH121" i="3"/>
  <c r="AH119" i="3"/>
  <c r="AH118" i="3"/>
  <c r="AH117" i="3"/>
  <c r="AH116" i="3"/>
  <c r="AH115" i="3"/>
  <c r="AH114" i="3"/>
  <c r="AH113" i="3"/>
  <c r="AH143" i="3"/>
  <c r="AH140" i="3"/>
  <c r="AH139" i="3"/>
  <c r="AH138" i="3"/>
  <c r="AH137" i="3"/>
  <c r="AH136" i="3"/>
  <c r="AH133" i="3"/>
  <c r="AH132" i="3"/>
  <c r="AH131" i="3"/>
  <c r="AH130" i="3"/>
  <c r="AS31" i="3"/>
  <c r="AR31" i="3"/>
  <c r="AQ31" i="3"/>
  <c r="AP31" i="3"/>
  <c r="AS33" i="3"/>
  <c r="AR33" i="3"/>
  <c r="AQ33" i="3"/>
  <c r="AP33" i="3"/>
  <c r="AS35" i="3"/>
  <c r="AR35" i="3"/>
  <c r="AQ35" i="3"/>
  <c r="AP35" i="3"/>
  <c r="AT143" i="3"/>
  <c r="AT140" i="3"/>
  <c r="AT139" i="3"/>
  <c r="AT138" i="3"/>
  <c r="AT137" i="3"/>
  <c r="AT136" i="3"/>
  <c r="AT133" i="3"/>
  <c r="AT132" i="3"/>
  <c r="AT131" i="3"/>
  <c r="AT130" i="3"/>
  <c r="AT124" i="3"/>
  <c r="AT123" i="3"/>
  <c r="AT122" i="3"/>
  <c r="AT121" i="3"/>
  <c r="AT114" i="3"/>
  <c r="AT115" i="3"/>
  <c r="AT116" i="3"/>
  <c r="AT117" i="3"/>
  <c r="AT118" i="3"/>
  <c r="AT119" i="3"/>
  <c r="AT113" i="3"/>
  <c r="AD127" i="3"/>
  <c r="AT146" i="3"/>
  <c r="AS146" i="3"/>
  <c r="AR116" i="3"/>
  <c r="AD143" i="3"/>
  <c r="AD140" i="3"/>
  <c r="AD137" i="3"/>
  <c r="AD136" i="3"/>
  <c r="AD141" i="3" s="1"/>
  <c r="AD131" i="3"/>
  <c r="AD130" i="3"/>
  <c r="AD125" i="3"/>
  <c r="AD124" i="3"/>
  <c r="AD123" i="3"/>
  <c r="AD122" i="3"/>
  <c r="AD121" i="3"/>
  <c r="AD118" i="3"/>
  <c r="AD117" i="3"/>
  <c r="AD119" i="3"/>
  <c r="AD115" i="3"/>
  <c r="AD114" i="3"/>
  <c r="AD113" i="3"/>
  <c r="AD134" i="3"/>
  <c r="AU17" i="3"/>
  <c r="AE24" i="3"/>
  <c r="AF24" i="3"/>
  <c r="AG24" i="3"/>
  <c r="AU77" i="4"/>
  <c r="AH78" i="4"/>
  <c r="AG58" i="4"/>
  <c r="AF58" i="4"/>
  <c r="AE58" i="4"/>
  <c r="AT24" i="3"/>
  <c r="AT8" i="3"/>
  <c r="AT6" i="3"/>
  <c r="AU6" i="3"/>
  <c r="AB35" i="3"/>
  <c r="AA35" i="3"/>
  <c r="AA33" i="3" s="1"/>
  <c r="AA31" i="3" s="1"/>
  <c r="AC35" i="3"/>
  <c r="AC33" i="3"/>
  <c r="AC31" i="3" s="1"/>
  <c r="AF35" i="3"/>
  <c r="AE35" i="3"/>
  <c r="AE33" i="3" s="1"/>
  <c r="AE31" i="3" s="1"/>
  <c r="AE32" i="3" s="1"/>
  <c r="AG35" i="3"/>
  <c r="AC24" i="3"/>
  <c r="AA24" i="3"/>
  <c r="AB24" i="3"/>
  <c r="AD24" i="3"/>
  <c r="AH24" i="3"/>
  <c r="AE8" i="3"/>
  <c r="AC15" i="3"/>
  <c r="AD8" i="3"/>
  <c r="AD15" i="3"/>
  <c r="AG8" i="3"/>
  <c r="AF8" i="3"/>
  <c r="AF15" i="3"/>
  <c r="AB8" i="3"/>
  <c r="AB15" i="3"/>
  <c r="AE15" i="3"/>
  <c r="AA8" i="3"/>
  <c r="AA15" i="3"/>
  <c r="AC8" i="3"/>
  <c r="AD12" i="3"/>
  <c r="AH8" i="3"/>
  <c r="AH12" i="3"/>
  <c r="AH15" i="3"/>
  <c r="AG15" i="3"/>
  <c r="AA12" i="3"/>
  <c r="AE12" i="3"/>
  <c r="AF12" i="3"/>
  <c r="AG33" i="3"/>
  <c r="AG31" i="3" s="1"/>
  <c r="AF33" i="3"/>
  <c r="AF31" i="3"/>
  <c r="AB33" i="3"/>
  <c r="AB31" i="3" s="1"/>
  <c r="AC28" i="3"/>
  <c r="AC27" i="3"/>
  <c r="AC21" i="3"/>
  <c r="AC19" i="3"/>
  <c r="AC14" i="3"/>
  <c r="AC12" i="3"/>
  <c r="AG28" i="3"/>
  <c r="AG27" i="3"/>
  <c r="AG21" i="3"/>
  <c r="AG19" i="3"/>
  <c r="AG14" i="3"/>
  <c r="AZ91" i="4" l="1"/>
  <c r="AY92" i="4"/>
  <c r="AT127" i="3"/>
  <c r="AD128" i="3"/>
  <c r="AD145" i="3"/>
  <c r="AB34" i="3"/>
  <c r="AF32" i="3"/>
  <c r="AG32" i="3"/>
  <c r="BA91" i="4" l="1"/>
  <c r="BA92" i="4" s="1"/>
  <c r="AZ92" i="4"/>
  <c r="AT77" i="4"/>
  <c r="AT58" i="4" l="1"/>
  <c r="AE78" i="4"/>
  <c r="AD69" i="3"/>
  <c r="AD34" i="3"/>
  <c r="AD32" i="3"/>
  <c r="AD31" i="3"/>
  <c r="AD28" i="3"/>
  <c r="AD27" i="3"/>
  <c r="AD21" i="3"/>
  <c r="AD19" i="3"/>
  <c r="AD14" i="3"/>
  <c r="T9" i="5"/>
  <c r="AU140" i="3"/>
  <c r="AU136" i="3"/>
  <c r="AH69" i="3" l="1"/>
  <c r="AH31" i="3"/>
  <c r="AH28" i="3"/>
  <c r="AH27" i="3"/>
  <c r="AH21" i="3"/>
  <c r="AH19" i="3"/>
  <c r="AH14" i="3"/>
  <c r="AJ119" i="3" l="1"/>
  <c r="AK119" i="3" s="1"/>
  <c r="AL119" i="3" s="1"/>
  <c r="AH36" i="4"/>
  <c r="AH35" i="4"/>
  <c r="AH34" i="4"/>
  <c r="AI34" i="4" s="1"/>
  <c r="AH32" i="4"/>
  <c r="AH31" i="4"/>
  <c r="AH30" i="4"/>
  <c r="AH27" i="4"/>
  <c r="AH26" i="4"/>
  <c r="AH25" i="4"/>
  <c r="AH23" i="4"/>
  <c r="AH22" i="4"/>
  <c r="AH20" i="4"/>
  <c r="AH19" i="4"/>
  <c r="AH17" i="4"/>
  <c r="AH16" i="4"/>
  <c r="AH14" i="4"/>
  <c r="AH13" i="4"/>
  <c r="AH11" i="4"/>
  <c r="AH10" i="4"/>
  <c r="AH8" i="4"/>
  <c r="AH7" i="4"/>
  <c r="AH4" i="4"/>
  <c r="AH94" i="4" s="1"/>
  <c r="AH170" i="3"/>
  <c r="AH169" i="3"/>
  <c r="AH164" i="3"/>
  <c r="AH160" i="3"/>
  <c r="AH141" i="3"/>
  <c r="AH134" i="3"/>
  <c r="AH161" i="3"/>
  <c r="AH110" i="3"/>
  <c r="AH103" i="3"/>
  <c r="AH105" i="3" s="1"/>
  <c r="AH98" i="3"/>
  <c r="AH93" i="3" s="1"/>
  <c r="AH75" i="3"/>
  <c r="AH80" i="3" s="1"/>
  <c r="AH86" i="3" s="1"/>
  <c r="AH57" i="3"/>
  <c r="AH34" i="3"/>
  <c r="AH32" i="3"/>
  <c r="E33" i="5"/>
  <c r="L15" i="6"/>
  <c r="D35" i="5"/>
  <c r="D25" i="5"/>
  <c r="D14" i="5"/>
  <c r="D17" i="5"/>
  <c r="W24" i="5"/>
  <c r="S24" i="5"/>
  <c r="Q24" i="5"/>
  <c r="W13" i="5"/>
  <c r="W11" i="5"/>
  <c r="R14" i="5"/>
  <c r="R12" i="5"/>
  <c r="R24" i="5"/>
  <c r="R13" i="5"/>
  <c r="S10" i="5"/>
  <c r="R11" i="5"/>
  <c r="Q10" i="5"/>
  <c r="V9" i="5"/>
  <c r="AH53" i="4" l="1"/>
  <c r="AH89" i="4"/>
  <c r="AV119" i="3"/>
  <c r="AW119" i="3" s="1"/>
  <c r="AX119" i="3" s="1"/>
  <c r="AY119" i="3" s="1"/>
  <c r="AZ119" i="3" s="1"/>
  <c r="BA119" i="3" s="1"/>
  <c r="AH159" i="3"/>
  <c r="AH13" i="3"/>
  <c r="AH68" i="4"/>
  <c r="AH60" i="4"/>
  <c r="AH83" i="4"/>
  <c r="AH72" i="4"/>
  <c r="AH63" i="4"/>
  <c r="AH86" i="4"/>
  <c r="AH157" i="3"/>
  <c r="AH92" i="3"/>
  <c r="AH158" i="3"/>
  <c r="AH145" i="3"/>
  <c r="AH128" i="3"/>
  <c r="AH151" i="3"/>
  <c r="AH162" i="3"/>
  <c r="AH64" i="3"/>
  <c r="AH70" i="3" s="1"/>
  <c r="AH88" i="3" s="1"/>
  <c r="AH104" i="3"/>
  <c r="AH9" i="3"/>
  <c r="N15" i="6"/>
  <c r="R22" i="5"/>
  <c r="Q23" i="5"/>
  <c r="R9" i="5"/>
  <c r="R10" i="5" s="1"/>
  <c r="R15" i="5"/>
  <c r="S23" i="5"/>
  <c r="R23" i="5" l="1"/>
  <c r="AH51" i="3"/>
  <c r="AH69" i="4"/>
  <c r="AH80" i="4"/>
  <c r="AH153" i="3"/>
  <c r="AH152" i="3"/>
  <c r="AH10" i="3"/>
  <c r="AH16" i="3"/>
  <c r="AH52" i="3" l="1"/>
  <c r="AH22" i="3"/>
  <c r="AH17" i="3"/>
  <c r="E52" i="1"/>
  <c r="F52" i="1" s="1"/>
  <c r="AH25" i="3" l="1"/>
  <c r="AH26" i="3"/>
  <c r="AH29" i="3" s="1"/>
  <c r="G52" i="1"/>
  <c r="AH38" i="3" l="1"/>
  <c r="AH37" i="3"/>
  <c r="AH166" i="3"/>
  <c r="H52" i="1"/>
  <c r="I52" i="1" l="1"/>
  <c r="J52" i="1" l="1"/>
  <c r="K52" i="1" l="1"/>
  <c r="L52" i="1" l="1"/>
  <c r="M52" i="1" l="1"/>
  <c r="K30" i="1" l="1"/>
  <c r="X24" i="5" l="1"/>
  <c r="V24" i="5" l="1"/>
  <c r="T24" i="5"/>
  <c r="U24" i="5"/>
  <c r="U22" i="5"/>
  <c r="W22" i="5" s="1"/>
  <c r="U23" i="5" l="1"/>
  <c r="W23" i="5" s="1"/>
  <c r="V23" i="5"/>
  <c r="T23" i="5"/>
  <c r="AL58" i="4" l="1"/>
  <c r="AL77" i="4" s="1"/>
  <c r="AL16" i="3" s="1"/>
  <c r="U13" i="5" l="1"/>
  <c r="T10" i="5"/>
  <c r="V11" i="5"/>
  <c r="U11" i="5" s="1"/>
  <c r="T11" i="5"/>
  <c r="T15" i="5"/>
  <c r="V15" i="5"/>
  <c r="U15" i="5" l="1"/>
  <c r="W15" i="5" s="1"/>
  <c r="U9" i="5"/>
  <c r="V10" i="5"/>
  <c r="X11" i="5"/>
  <c r="E19" i="5"/>
  <c r="E11" i="5"/>
  <c r="E10" i="5" s="1"/>
  <c r="U10" i="5" l="1"/>
  <c r="W10" i="5" s="1"/>
  <c r="W9" i="5"/>
  <c r="M19" i="1"/>
  <c r="D30" i="1"/>
  <c r="L44" i="1"/>
  <c r="L47" i="1" s="1"/>
  <c r="D44" i="1"/>
  <c r="D47" i="1" s="1"/>
  <c r="AL23" i="4"/>
  <c r="AK23" i="4"/>
  <c r="AJ23" i="4"/>
  <c r="AI23" i="4"/>
  <c r="AY14" i="4" l="1"/>
  <c r="L45" i="1"/>
  <c r="L46" i="1"/>
  <c r="D45" i="1"/>
  <c r="D46" i="1"/>
  <c r="AJ25" i="3" l="1"/>
  <c r="AK25" i="3" s="1"/>
  <c r="AL25" i="3" s="1"/>
  <c r="F22" i="5" l="1"/>
  <c r="D21" i="6"/>
  <c r="F21" i="6" l="1"/>
  <c r="AV21" i="3"/>
  <c r="AW21" i="3" s="1"/>
  <c r="AX21" i="3" s="1"/>
  <c r="AY21" i="3" s="1"/>
  <c r="AZ21" i="3" s="1"/>
  <c r="BA21" i="3" s="1"/>
  <c r="AJ58" i="4" l="1"/>
  <c r="AJ77" i="4" s="1"/>
  <c r="AJ16" i="3" s="1"/>
  <c r="AT12" i="3"/>
  <c r="AU58" i="4" l="1"/>
  <c r="AI58" i="4"/>
  <c r="AI77" i="4" s="1"/>
  <c r="AI16" i="3" s="1"/>
  <c r="AH85" i="4"/>
  <c r="AH82" i="4"/>
  <c r="AH62" i="4"/>
  <c r="AH59" i="4"/>
  <c r="AK58" i="4"/>
  <c r="AK77" i="4" s="1"/>
  <c r="AK16" i="3" s="1"/>
  <c r="AV58" i="4" l="1"/>
  <c r="AV63" i="4" s="1"/>
  <c r="AV77" i="4"/>
  <c r="AG63" i="4"/>
  <c r="AF63" i="4"/>
  <c r="AE63" i="4"/>
  <c r="AD63" i="4"/>
  <c r="AH66" i="4" s="1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I63" i="4"/>
  <c r="H63" i="4"/>
  <c r="G63" i="4"/>
  <c r="AL14" i="3" l="1"/>
  <c r="AK14" i="3"/>
  <c r="AJ14" i="3"/>
  <c r="AI14" i="3"/>
  <c r="D15" i="6" l="1"/>
  <c r="F15" i="6" s="1"/>
  <c r="F16" i="5"/>
  <c r="L21" i="6" l="1"/>
  <c r="L11" i="11"/>
  <c r="K11" i="11"/>
  <c r="J11" i="11"/>
  <c r="I11" i="11"/>
  <c r="I8" i="11"/>
  <c r="I7" i="11"/>
  <c r="I9" i="11"/>
  <c r="K9" i="11"/>
  <c r="K8" i="11"/>
  <c r="K7" i="11"/>
  <c r="G9" i="11"/>
  <c r="E8" i="11"/>
  <c r="G8" i="11" s="1"/>
  <c r="F11" i="11"/>
  <c r="N21" i="6" l="1"/>
  <c r="E7" i="11"/>
  <c r="G7" i="11" s="1"/>
  <c r="G11" i="11" s="1"/>
  <c r="J8" i="11"/>
  <c r="L7" i="11"/>
  <c r="J7" i="11" l="1"/>
  <c r="L8" i="11"/>
  <c r="E11" i="11"/>
  <c r="AX138" i="3"/>
  <c r="AY138" i="3" s="1"/>
  <c r="AZ138" i="3" s="1"/>
  <c r="BA138" i="3" s="1"/>
  <c r="AK138" i="3"/>
  <c r="AL138" i="3" s="1"/>
  <c r="AJ138" i="3"/>
  <c r="AJ44" i="3"/>
  <c r="AK44" i="3" s="1"/>
  <c r="AN16" i="3"/>
  <c r="AP17" i="3"/>
  <c r="AQ17" i="3"/>
  <c r="AL44" i="3" l="1"/>
  <c r="AV44" i="3" s="1"/>
  <c r="BA164" i="3"/>
  <c r="BA110" i="3"/>
  <c r="BA57" i="3"/>
  <c r="AZ164" i="3"/>
  <c r="AZ110" i="3"/>
  <c r="AZ57" i="3"/>
  <c r="AY164" i="3"/>
  <c r="AY110" i="3"/>
  <c r="AY57" i="3"/>
  <c r="BA32" i="4"/>
  <c r="BA31" i="4"/>
  <c r="BA26" i="4"/>
  <c r="BA23" i="4"/>
  <c r="BA17" i="4"/>
  <c r="BA14" i="4"/>
  <c r="BA11" i="4"/>
  <c r="BA8" i="4"/>
  <c r="BA4" i="4"/>
  <c r="BA94" i="4" s="1"/>
  <c r="AZ32" i="4"/>
  <c r="AZ31" i="4"/>
  <c r="AZ26" i="4"/>
  <c r="AZ23" i="4"/>
  <c r="AZ17" i="4"/>
  <c r="AZ14" i="4"/>
  <c r="AZ11" i="4"/>
  <c r="AZ8" i="4"/>
  <c r="AZ4" i="4"/>
  <c r="AZ94" i="4" s="1"/>
  <c r="AY32" i="4"/>
  <c r="AY31" i="4"/>
  <c r="AY26" i="4"/>
  <c r="AY23" i="4"/>
  <c r="AY17" i="4"/>
  <c r="AY11" i="4"/>
  <c r="AY8" i="4"/>
  <c r="AY4" i="4"/>
  <c r="AY94" i="4" s="1"/>
  <c r="AE68" i="4"/>
  <c r="AE51" i="3" s="1"/>
  <c r="AG68" i="4"/>
  <c r="AZ53" i="4" l="1"/>
  <c r="AZ89" i="4"/>
  <c r="BA53" i="4"/>
  <c r="BA89" i="4"/>
  <c r="AY53" i="4"/>
  <c r="AY89" i="4"/>
  <c r="AY20" i="4"/>
  <c r="AY27" i="4"/>
  <c r="AY170" i="3"/>
  <c r="AY47" i="3"/>
  <c r="AZ170" i="3"/>
  <c r="AZ27" i="4"/>
  <c r="AZ20" i="4"/>
  <c r="AZ29" i="4" l="1"/>
  <c r="AZ47" i="3"/>
  <c r="BA27" i="4"/>
  <c r="BA29" i="4" s="1"/>
  <c r="BA20" i="4"/>
  <c r="BA170" i="3" l="1"/>
  <c r="BA47" i="3"/>
  <c r="AV143" i="3" l="1"/>
  <c r="AV140" i="3"/>
  <c r="AV137" i="3"/>
  <c r="AV136" i="3"/>
  <c r="AV133" i="3"/>
  <c r="AV132" i="3"/>
  <c r="AV131" i="3"/>
  <c r="AJ20" i="3"/>
  <c r="AK20" i="3" s="1"/>
  <c r="AL20" i="3" s="1"/>
  <c r="AI80" i="4"/>
  <c r="AE86" i="4"/>
  <c r="AD86" i="4"/>
  <c r="AH87" i="4" s="1"/>
  <c r="AL80" i="4"/>
  <c r="AL79" i="4"/>
  <c r="AK79" i="4"/>
  <c r="AJ79" i="4"/>
  <c r="AI79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AJ34" i="4" l="1"/>
  <c r="AK34" i="4" s="1"/>
  <c r="AL34" i="4" s="1"/>
  <c r="AV116" i="3"/>
  <c r="AV24" i="4" l="1"/>
  <c r="AV21" i="4"/>
  <c r="AV15" i="4"/>
  <c r="AV12" i="4"/>
  <c r="AV9" i="4"/>
  <c r="AV6" i="4"/>
  <c r="AL33" i="4"/>
  <c r="AL30" i="4" s="1"/>
  <c r="AK33" i="4"/>
  <c r="AK36" i="4" s="1"/>
  <c r="AJ33" i="4"/>
  <c r="AJ36" i="4" s="1"/>
  <c r="AI33" i="4"/>
  <c r="AI36" i="4" s="1"/>
  <c r="AX4" i="4"/>
  <c r="AW4" i="4"/>
  <c r="AV4" i="4"/>
  <c r="AU4" i="4"/>
  <c r="AT4" i="4"/>
  <c r="AS4" i="4"/>
  <c r="AR4" i="4"/>
  <c r="AQ4" i="4"/>
  <c r="AP4" i="4"/>
  <c r="AO4" i="4"/>
  <c r="AN4" i="4"/>
  <c r="AL4" i="4"/>
  <c r="AL94" i="4" s="1"/>
  <c r="AK4" i="4"/>
  <c r="AK94" i="4" s="1"/>
  <c r="AJ4" i="4"/>
  <c r="AJ94" i="4" s="1"/>
  <c r="AI4" i="4"/>
  <c r="AI94" i="4" s="1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AL66" i="4"/>
  <c r="AL32" i="4"/>
  <c r="AL31" i="4"/>
  <c r="AL26" i="4"/>
  <c r="AL25" i="4"/>
  <c r="AL22" i="4"/>
  <c r="AL20" i="4"/>
  <c r="AL17" i="4"/>
  <c r="AL16" i="4"/>
  <c r="AL14" i="4"/>
  <c r="AL13" i="4"/>
  <c r="AL11" i="4"/>
  <c r="AL10" i="4"/>
  <c r="AL8" i="4"/>
  <c r="AL7" i="4"/>
  <c r="AK32" i="4"/>
  <c r="AK31" i="4"/>
  <c r="AK26" i="4"/>
  <c r="AK25" i="4"/>
  <c r="AK22" i="4"/>
  <c r="AK17" i="4"/>
  <c r="AK16" i="4"/>
  <c r="AK14" i="4"/>
  <c r="AK13" i="4"/>
  <c r="AK11" i="4"/>
  <c r="AK10" i="4"/>
  <c r="AK8" i="4"/>
  <c r="AK7" i="4"/>
  <c r="AJ32" i="4"/>
  <c r="AJ31" i="4"/>
  <c r="AJ26" i="4"/>
  <c r="AJ25" i="4"/>
  <c r="AJ22" i="4"/>
  <c r="AJ17" i="4"/>
  <c r="AJ16" i="4"/>
  <c r="AJ14" i="4"/>
  <c r="AJ13" i="4"/>
  <c r="AJ11" i="4"/>
  <c r="AJ10" i="4"/>
  <c r="AJ8" i="4"/>
  <c r="AJ7" i="4"/>
  <c r="AI6" i="3"/>
  <c r="AI32" i="4"/>
  <c r="AI31" i="4"/>
  <c r="AI26" i="4"/>
  <c r="AI25" i="4"/>
  <c r="AI22" i="4"/>
  <c r="AI19" i="4"/>
  <c r="AI17" i="4"/>
  <c r="AI16" i="4"/>
  <c r="AI14" i="4"/>
  <c r="AI13" i="4"/>
  <c r="AI11" i="4"/>
  <c r="AI10" i="4"/>
  <c r="AI8" i="4"/>
  <c r="AI7" i="4"/>
  <c r="AL164" i="3"/>
  <c r="AL110" i="3"/>
  <c r="AL57" i="3"/>
  <c r="AK164" i="3"/>
  <c r="AK110" i="3"/>
  <c r="AK57" i="3"/>
  <c r="AJ164" i="3"/>
  <c r="AJ110" i="3"/>
  <c r="AJ57" i="3"/>
  <c r="AI164" i="3"/>
  <c r="AI110" i="3"/>
  <c r="AJ79" i="3"/>
  <c r="AJ77" i="3"/>
  <c r="AI74" i="3"/>
  <c r="AJ74" i="3" s="1"/>
  <c r="AK74" i="3" s="1"/>
  <c r="AL74" i="3" s="1"/>
  <c r="AV74" i="3" s="1"/>
  <c r="AI60" i="3"/>
  <c r="AJ60" i="3" s="1"/>
  <c r="AK60" i="3" s="1"/>
  <c r="AL60" i="3" s="1"/>
  <c r="AV60" i="3" s="1"/>
  <c r="AI57" i="3"/>
  <c r="AK20" i="4" l="1"/>
  <c r="AJ27" i="4"/>
  <c r="U89" i="4"/>
  <c r="U94" i="4"/>
  <c r="F89" i="4"/>
  <c r="F94" i="4"/>
  <c r="AD89" i="4"/>
  <c r="AD94" i="4"/>
  <c r="O89" i="4"/>
  <c r="O94" i="4"/>
  <c r="AE89" i="4"/>
  <c r="AE94" i="4"/>
  <c r="P89" i="4"/>
  <c r="P94" i="4"/>
  <c r="I89" i="4"/>
  <c r="I94" i="4"/>
  <c r="Q89" i="4"/>
  <c r="Q94" i="4"/>
  <c r="Y89" i="4"/>
  <c r="Y94" i="4"/>
  <c r="AG89" i="4"/>
  <c r="AG94" i="4"/>
  <c r="AQ89" i="4"/>
  <c r="AQ94" i="4"/>
  <c r="E89" i="4"/>
  <c r="E94" i="4"/>
  <c r="AC89" i="4"/>
  <c r="AC94" i="4"/>
  <c r="V89" i="4"/>
  <c r="V94" i="4"/>
  <c r="G89" i="4"/>
  <c r="G94" i="4"/>
  <c r="W89" i="4"/>
  <c r="W94" i="4"/>
  <c r="AO89" i="4"/>
  <c r="AO94" i="4"/>
  <c r="AX89" i="4"/>
  <c r="AX94" i="4"/>
  <c r="J89" i="4"/>
  <c r="J94" i="4"/>
  <c r="R89" i="4"/>
  <c r="R94" i="4"/>
  <c r="Z89" i="4"/>
  <c r="Z94" i="4"/>
  <c r="AR89" i="4"/>
  <c r="AR94" i="4"/>
  <c r="N89" i="4"/>
  <c r="N94" i="4"/>
  <c r="AN89" i="4"/>
  <c r="AN94" i="4"/>
  <c r="AF89" i="4"/>
  <c r="AF94" i="4"/>
  <c r="C89" i="4"/>
  <c r="C94" i="4"/>
  <c r="K89" i="4"/>
  <c r="K94" i="4"/>
  <c r="S89" i="4"/>
  <c r="S94" i="4"/>
  <c r="AA89" i="4"/>
  <c r="AA94" i="4"/>
  <c r="AS89" i="4"/>
  <c r="AS94" i="4"/>
  <c r="M89" i="4"/>
  <c r="M94" i="4"/>
  <c r="AU89" i="4"/>
  <c r="AU94" i="4"/>
  <c r="AV89" i="4"/>
  <c r="AV94" i="4"/>
  <c r="AW89" i="4"/>
  <c r="AW94" i="4"/>
  <c r="H89" i="4"/>
  <c r="H94" i="4"/>
  <c r="X89" i="4"/>
  <c r="X94" i="4"/>
  <c r="AP89" i="4"/>
  <c r="AP94" i="4"/>
  <c r="D89" i="4"/>
  <c r="D94" i="4"/>
  <c r="L89" i="4"/>
  <c r="L94" i="4"/>
  <c r="T89" i="4"/>
  <c r="T94" i="4"/>
  <c r="AB89" i="4"/>
  <c r="AB94" i="4"/>
  <c r="AT89" i="4"/>
  <c r="AT94" i="4"/>
  <c r="AJ53" i="4"/>
  <c r="AJ89" i="4"/>
  <c r="AL53" i="4"/>
  <c r="AL89" i="4"/>
  <c r="AI53" i="4"/>
  <c r="AI89" i="4"/>
  <c r="AK53" i="4"/>
  <c r="AK89" i="4"/>
  <c r="AJ30" i="4"/>
  <c r="AJ20" i="4"/>
  <c r="AI27" i="4"/>
  <c r="AK27" i="4"/>
  <c r="AL27" i="4"/>
  <c r="AI20" i="4"/>
  <c r="AK19" i="4"/>
  <c r="AL19" i="4"/>
  <c r="AJ19" i="4"/>
  <c r="D8" i="6"/>
  <c r="F8" i="6" s="1"/>
  <c r="F9" i="5"/>
  <c r="AL35" i="4"/>
  <c r="AL36" i="4"/>
  <c r="AJ35" i="4"/>
  <c r="AI30" i="4"/>
  <c r="AI35" i="4"/>
  <c r="AK30" i="4"/>
  <c r="AK35" i="4"/>
  <c r="AV33" i="4"/>
  <c r="AV34" i="4" s="1"/>
  <c r="AW34" i="4" s="1"/>
  <c r="AK79" i="3"/>
  <c r="AK77" i="3"/>
  <c r="AJ62" i="4"/>
  <c r="AJ6" i="3"/>
  <c r="AJ60" i="4"/>
  <c r="AJ59" i="4"/>
  <c r="AK62" i="4"/>
  <c r="AK6" i="3"/>
  <c r="AK59" i="4"/>
  <c r="AK60" i="4"/>
  <c r="AI60" i="4"/>
  <c r="AK28" i="4" l="1"/>
  <c r="AJ28" i="4"/>
  <c r="AL28" i="4"/>
  <c r="AJ83" i="4"/>
  <c r="AJ82" i="4"/>
  <c r="AJ86" i="4"/>
  <c r="AJ85" i="4"/>
  <c r="AW33" i="4"/>
  <c r="AX34" i="4"/>
  <c r="AK86" i="4"/>
  <c r="AK85" i="4"/>
  <c r="AK83" i="4"/>
  <c r="AK82" i="4"/>
  <c r="AI86" i="4"/>
  <c r="AI87" i="4" s="1"/>
  <c r="AI83" i="4"/>
  <c r="AL79" i="3"/>
  <c r="AV138" i="3"/>
  <c r="AV47" i="3" s="1"/>
  <c r="AL77" i="3"/>
  <c r="AY34" i="4" l="1"/>
  <c r="AX33" i="4"/>
  <c r="AV79" i="3"/>
  <c r="AV77" i="3"/>
  <c r="AK17" i="3"/>
  <c r="AJ17" i="3"/>
  <c r="AI17" i="3"/>
  <c r="AZ34" i="4" l="1"/>
  <c r="AY33" i="4"/>
  <c r="AY36" i="4" l="1"/>
  <c r="AY30" i="4"/>
  <c r="BA34" i="4"/>
  <c r="BA33" i="4" s="1"/>
  <c r="AZ33" i="4"/>
  <c r="E38" i="1"/>
  <c r="F38" i="1" l="1"/>
  <c r="E44" i="1"/>
  <c r="AZ30" i="4"/>
  <c r="AZ36" i="4"/>
  <c r="BA36" i="4"/>
  <c r="BA30" i="4"/>
  <c r="G38" i="1" l="1"/>
  <c r="F44" i="1"/>
  <c r="E47" i="1"/>
  <c r="E46" i="1"/>
  <c r="E45" i="1"/>
  <c r="G10" i="5"/>
  <c r="G9" i="5"/>
  <c r="I9" i="5"/>
  <c r="D11" i="5"/>
  <c r="G11" i="5" s="1"/>
  <c r="D18" i="5"/>
  <c r="D23" i="5" s="1"/>
  <c r="D15" i="5"/>
  <c r="AN51" i="3"/>
  <c r="AG51" i="3"/>
  <c r="N51" i="3"/>
  <c r="M51" i="3"/>
  <c r="L51" i="3"/>
  <c r="K51" i="3"/>
  <c r="J51" i="3"/>
  <c r="I51" i="3"/>
  <c r="H51" i="3"/>
  <c r="G51" i="3"/>
  <c r="E51" i="3"/>
  <c r="D51" i="3"/>
  <c r="C51" i="3"/>
  <c r="Z16" i="3"/>
  <c r="Y16" i="3"/>
  <c r="X16" i="3"/>
  <c r="W16" i="3"/>
  <c r="V16" i="3"/>
  <c r="U16" i="3"/>
  <c r="T16" i="3"/>
  <c r="S16" i="3"/>
  <c r="R16" i="3"/>
  <c r="Q16" i="3"/>
  <c r="P16" i="3"/>
  <c r="O1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E6" i="3"/>
  <c r="D6" i="3"/>
  <c r="C6" i="3"/>
  <c r="AG86" i="4"/>
  <c r="AK87" i="4" s="1"/>
  <c r="AF86" i="4"/>
  <c r="AJ87" i="4" s="1"/>
  <c r="AC86" i="4"/>
  <c r="AB86" i="4"/>
  <c r="AA86" i="4"/>
  <c r="Z86" i="4"/>
  <c r="Y86" i="4"/>
  <c r="X86" i="4"/>
  <c r="W86" i="4"/>
  <c r="V86" i="4"/>
  <c r="U86" i="4"/>
  <c r="T86" i="4"/>
  <c r="S86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G83" i="4"/>
  <c r="AK84" i="4" s="1"/>
  <c r="AF83" i="4"/>
  <c r="AJ84" i="4" s="1"/>
  <c r="AE83" i="4"/>
  <c r="AI84" i="4" s="1"/>
  <c r="AD83" i="4"/>
  <c r="AH84" i="4" s="1"/>
  <c r="AC83" i="4"/>
  <c r="AB83" i="4"/>
  <c r="AA83" i="4"/>
  <c r="Z83" i="4"/>
  <c r="Y83" i="4"/>
  <c r="X83" i="4"/>
  <c r="W83" i="4"/>
  <c r="V83" i="4"/>
  <c r="U83" i="4"/>
  <c r="T83" i="4"/>
  <c r="S83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G78" i="4"/>
  <c r="AF78" i="4"/>
  <c r="AJ80" i="4" s="1"/>
  <c r="AL81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AS77" i="4"/>
  <c r="AR77" i="4"/>
  <c r="AQ77" i="4"/>
  <c r="N77" i="4"/>
  <c r="R83" i="4" s="1"/>
  <c r="M77" i="4"/>
  <c r="Q86" i="4" s="1"/>
  <c r="L77" i="4"/>
  <c r="P83" i="4" s="1"/>
  <c r="K77" i="4"/>
  <c r="K78" i="4" s="1"/>
  <c r="J77" i="4"/>
  <c r="J16" i="3" s="1"/>
  <c r="I77" i="4"/>
  <c r="I16" i="3" s="1"/>
  <c r="H77" i="4"/>
  <c r="H16" i="3" s="1"/>
  <c r="G77" i="4"/>
  <c r="G16" i="3" s="1"/>
  <c r="E77" i="4"/>
  <c r="E78" i="4" s="1"/>
  <c r="D77" i="4"/>
  <c r="D16" i="3" s="1"/>
  <c r="C77" i="4"/>
  <c r="C78" i="4" s="1"/>
  <c r="AG72" i="4"/>
  <c r="AI72" i="4" s="1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N72" i="4"/>
  <c r="M72" i="4"/>
  <c r="L72" i="4"/>
  <c r="K72" i="4"/>
  <c r="J72" i="4"/>
  <c r="I72" i="4"/>
  <c r="H72" i="4"/>
  <c r="G72" i="4"/>
  <c r="E72" i="4"/>
  <c r="D72" i="4"/>
  <c r="C72" i="4"/>
  <c r="AT71" i="4"/>
  <c r="AS71" i="4"/>
  <c r="AR71" i="4"/>
  <c r="AP71" i="4"/>
  <c r="AO71" i="4"/>
  <c r="O71" i="4"/>
  <c r="F71" i="4"/>
  <c r="N69" i="4"/>
  <c r="M69" i="4"/>
  <c r="L69" i="4"/>
  <c r="K69" i="4"/>
  <c r="J69" i="4"/>
  <c r="I69" i="4"/>
  <c r="H69" i="4"/>
  <c r="G69" i="4"/>
  <c r="E69" i="4"/>
  <c r="D69" i="4"/>
  <c r="C69" i="4"/>
  <c r="AP68" i="4"/>
  <c r="AP51" i="3" s="1"/>
  <c r="AO68" i="4"/>
  <c r="AO51" i="3" s="1"/>
  <c r="AG69" i="4"/>
  <c r="AF68" i="4"/>
  <c r="AF51" i="3" s="1"/>
  <c r="AD68" i="4"/>
  <c r="AD69" i="4" s="1"/>
  <c r="AC68" i="4"/>
  <c r="AC69" i="4" s="1"/>
  <c r="AB68" i="4"/>
  <c r="AB69" i="4" s="1"/>
  <c r="AA68" i="4"/>
  <c r="AA69" i="4" s="1"/>
  <c r="Z68" i="4"/>
  <c r="Z69" i="4" s="1"/>
  <c r="Y68" i="4"/>
  <c r="Y69" i="4" s="1"/>
  <c r="X68" i="4"/>
  <c r="X69" i="4" s="1"/>
  <c r="W68" i="4"/>
  <c r="W51" i="3" s="1"/>
  <c r="V68" i="4"/>
  <c r="V69" i="4" s="1"/>
  <c r="U68" i="4"/>
  <c r="U69" i="4" s="1"/>
  <c r="T68" i="4"/>
  <c r="T69" i="4" s="1"/>
  <c r="S68" i="4"/>
  <c r="S69" i="4" s="1"/>
  <c r="R68" i="4"/>
  <c r="R69" i="4" s="1"/>
  <c r="Q68" i="4"/>
  <c r="Q69" i="4" s="1"/>
  <c r="P68" i="4"/>
  <c r="P69" i="4" s="1"/>
  <c r="F68" i="4"/>
  <c r="F51" i="3" s="1"/>
  <c r="AK66" i="4"/>
  <c r="AJ66" i="4"/>
  <c r="AI66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E62" i="4"/>
  <c r="D62" i="4"/>
  <c r="AG60" i="4"/>
  <c r="AK61" i="4" s="1"/>
  <c r="AF60" i="4"/>
  <c r="AJ61" i="4" s="1"/>
  <c r="AE60" i="4"/>
  <c r="AI61" i="4" s="1"/>
  <c r="AD60" i="4"/>
  <c r="AH61" i="4" s="1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I60" i="4"/>
  <c r="H60" i="4"/>
  <c r="G60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E59" i="4"/>
  <c r="D59" i="4"/>
  <c r="AS58" i="4"/>
  <c r="AR58" i="4"/>
  <c r="AQ58" i="4"/>
  <c r="AP58" i="4"/>
  <c r="AO58" i="4"/>
  <c r="F58" i="4"/>
  <c r="AT50" i="4"/>
  <c r="AT41" i="4" s="1"/>
  <c r="AS50" i="4"/>
  <c r="AS45" i="4" s="1"/>
  <c r="Y45" i="4" s="1"/>
  <c r="AR50" i="4"/>
  <c r="AR45" i="4" s="1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AU33" i="4"/>
  <c r="AT33" i="4"/>
  <c r="AS33" i="4"/>
  <c r="AR33" i="4"/>
  <c r="AQ33" i="4"/>
  <c r="AP33" i="4"/>
  <c r="AO33" i="4"/>
  <c r="AN33" i="4"/>
  <c r="AX32" i="4"/>
  <c r="AW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AX31" i="4"/>
  <c r="AW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AX27" i="4"/>
  <c r="AY29" i="4" s="1"/>
  <c r="AW27" i="4"/>
  <c r="AV27" i="4"/>
  <c r="AG27" i="4"/>
  <c r="AF27" i="4"/>
  <c r="AJ29" i="4" s="1"/>
  <c r="AJ64" i="4" s="1"/>
  <c r="AE27" i="4"/>
  <c r="AI29" i="4" s="1"/>
  <c r="AD27" i="4"/>
  <c r="AH29" i="4" s="1"/>
  <c r="AH64" i="4" s="1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X26" i="4"/>
  <c r="AW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L26" i="4"/>
  <c r="K26" i="4"/>
  <c r="J26" i="4"/>
  <c r="I26" i="4"/>
  <c r="H26" i="4"/>
  <c r="G26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AU24" i="4"/>
  <c r="AV26" i="4" s="1"/>
  <c r="AT24" i="4"/>
  <c r="AS24" i="4"/>
  <c r="AR24" i="4"/>
  <c r="AQ24" i="4"/>
  <c r="AP24" i="4"/>
  <c r="AO24" i="4"/>
  <c r="AN24" i="4"/>
  <c r="AX23" i="4"/>
  <c r="AW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L23" i="4"/>
  <c r="K23" i="4"/>
  <c r="J23" i="4"/>
  <c r="I23" i="4"/>
  <c r="H23" i="4"/>
  <c r="G23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AU21" i="4"/>
  <c r="AV23" i="4" s="1"/>
  <c r="AT21" i="4"/>
  <c r="AS21" i="4"/>
  <c r="AR21" i="4"/>
  <c r="AQ21" i="4"/>
  <c r="AP21" i="4"/>
  <c r="AO21" i="4"/>
  <c r="AN21" i="4"/>
  <c r="AX20" i="4"/>
  <c r="AW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L20" i="4"/>
  <c r="K20" i="4"/>
  <c r="J20" i="4"/>
  <c r="I20" i="4"/>
  <c r="H20" i="4"/>
  <c r="G20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AU18" i="4"/>
  <c r="AV20" i="4" s="1"/>
  <c r="AT18" i="4"/>
  <c r="AS18" i="4"/>
  <c r="AR18" i="4"/>
  <c r="AQ18" i="4"/>
  <c r="AP18" i="4"/>
  <c r="AO18" i="4"/>
  <c r="AN18" i="4"/>
  <c r="AX17" i="4"/>
  <c r="AW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AU15" i="4"/>
  <c r="AT15" i="4"/>
  <c r="AS15" i="4"/>
  <c r="AR15" i="4"/>
  <c r="AQ15" i="4"/>
  <c r="AP15" i="4"/>
  <c r="AO15" i="4"/>
  <c r="AN15" i="4"/>
  <c r="AX14" i="4"/>
  <c r="AW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AU12" i="4"/>
  <c r="AV14" i="4" s="1"/>
  <c r="AT12" i="4"/>
  <c r="AS12" i="4"/>
  <c r="AR12" i="4"/>
  <c r="AQ12" i="4"/>
  <c r="AP12" i="4"/>
  <c r="AO12" i="4"/>
  <c r="AN12" i="4"/>
  <c r="AX11" i="4"/>
  <c r="AW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AU9" i="4"/>
  <c r="AT9" i="4"/>
  <c r="AS9" i="4"/>
  <c r="AR9" i="4"/>
  <c r="AQ9" i="4"/>
  <c r="AP9" i="4"/>
  <c r="AO9" i="4"/>
  <c r="AN9" i="4"/>
  <c r="AX8" i="4"/>
  <c r="AW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AU6" i="4"/>
  <c r="AT6" i="4"/>
  <c r="AS6" i="4"/>
  <c r="AR6" i="4"/>
  <c r="AQ6" i="4"/>
  <c r="AP6" i="4"/>
  <c r="AO6" i="4"/>
  <c r="AN6" i="4"/>
  <c r="AT53" i="4"/>
  <c r="AS53" i="4"/>
  <c r="AG53" i="4"/>
  <c r="AF53" i="4"/>
  <c r="Y53" i="4"/>
  <c r="X53" i="4"/>
  <c r="W53" i="4"/>
  <c r="Q53" i="4"/>
  <c r="P53" i="4"/>
  <c r="M53" i="4"/>
  <c r="K53" i="4"/>
  <c r="I53" i="4"/>
  <c r="H53" i="4"/>
  <c r="AS170" i="3"/>
  <c r="AG170" i="3"/>
  <c r="AF170" i="3"/>
  <c r="AE170" i="3"/>
  <c r="AD170" i="3"/>
  <c r="AC170" i="3"/>
  <c r="AB170" i="3"/>
  <c r="AA170" i="3"/>
  <c r="AT169" i="3"/>
  <c r="AS169" i="3"/>
  <c r="AG169" i="3"/>
  <c r="AF169" i="3"/>
  <c r="AE169" i="3"/>
  <c r="AD169" i="3"/>
  <c r="AC169" i="3"/>
  <c r="AB169" i="3"/>
  <c r="AA169" i="3"/>
  <c r="AX164" i="3"/>
  <c r="AW164" i="3"/>
  <c r="AV164" i="3"/>
  <c r="AU164" i="3"/>
  <c r="AT164" i="3"/>
  <c r="AS164" i="3"/>
  <c r="AR164" i="3"/>
  <c r="AQ164" i="3"/>
  <c r="AP164" i="3"/>
  <c r="AO164" i="3"/>
  <c r="AN164" i="3"/>
  <c r="AG164" i="3"/>
  <c r="AF164" i="3"/>
  <c r="AE164" i="3"/>
  <c r="AD164" i="3"/>
  <c r="AC164" i="3"/>
  <c r="AB164" i="3"/>
  <c r="AA164" i="3"/>
  <c r="Z164" i="3"/>
  <c r="Y164" i="3"/>
  <c r="X164" i="3"/>
  <c r="W164" i="3"/>
  <c r="V164" i="3"/>
  <c r="U164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AS157" i="3"/>
  <c r="AR157" i="3"/>
  <c r="AF143" i="3"/>
  <c r="AB143" i="3"/>
  <c r="AC143" i="3" s="1"/>
  <c r="AS141" i="3"/>
  <c r="AR141" i="3"/>
  <c r="AE141" i="3"/>
  <c r="AA141" i="3"/>
  <c r="AF140" i="3"/>
  <c r="AB140" i="3"/>
  <c r="AT170" i="3"/>
  <c r="AF137" i="3"/>
  <c r="AB137" i="3"/>
  <c r="AC137" i="3" s="1"/>
  <c r="AF136" i="3"/>
  <c r="AB136" i="3"/>
  <c r="AC136" i="3" s="1"/>
  <c r="AS134" i="3"/>
  <c r="AR134" i="3"/>
  <c r="AE134" i="3"/>
  <c r="AA134" i="3"/>
  <c r="AF131" i="3"/>
  <c r="AB131" i="3"/>
  <c r="AC131" i="3" s="1"/>
  <c r="AF130" i="3"/>
  <c r="AB130" i="3"/>
  <c r="AS125" i="3"/>
  <c r="AE125" i="3"/>
  <c r="AA125" i="3"/>
  <c r="AS124" i="3"/>
  <c r="AR124" i="3"/>
  <c r="AR125" i="3" s="1"/>
  <c r="AE124" i="3"/>
  <c r="AF124" i="3" s="1"/>
  <c r="AA124" i="3"/>
  <c r="AF123" i="3"/>
  <c r="AG123" i="3" s="1"/>
  <c r="AB123" i="3"/>
  <c r="AC123" i="3" s="1"/>
  <c r="AF122" i="3"/>
  <c r="AB122" i="3"/>
  <c r="AC122" i="3" s="1"/>
  <c r="AF121" i="3"/>
  <c r="AG121" i="3" s="1"/>
  <c r="AB121" i="3"/>
  <c r="AF118" i="3"/>
  <c r="AB118" i="3"/>
  <c r="AC118" i="3" s="1"/>
  <c r="AS117" i="3"/>
  <c r="AR117" i="3"/>
  <c r="AF117" i="3"/>
  <c r="AG117" i="3" s="1"/>
  <c r="AB117" i="3"/>
  <c r="AS116" i="3"/>
  <c r="AE116" i="3"/>
  <c r="AA119" i="3"/>
  <c r="AB119" i="3" s="1"/>
  <c r="AC119" i="3" s="1"/>
  <c r="AF115" i="3"/>
  <c r="AC115" i="3"/>
  <c r="AB115" i="3"/>
  <c r="AS114" i="3"/>
  <c r="AR114" i="3"/>
  <c r="AE114" i="3"/>
  <c r="AE161" i="3" s="1"/>
  <c r="AA114" i="3"/>
  <c r="AB114" i="3" s="1"/>
  <c r="AC114" i="3" s="1"/>
  <c r="AF113" i="3"/>
  <c r="AB113" i="3"/>
  <c r="AC113" i="3" s="1"/>
  <c r="AX110" i="3"/>
  <c r="AW110" i="3"/>
  <c r="AV110" i="3"/>
  <c r="AU110" i="3"/>
  <c r="AT110" i="3"/>
  <c r="AS110" i="3"/>
  <c r="AR110" i="3"/>
  <c r="AQ110" i="3"/>
  <c r="AP110" i="3"/>
  <c r="AO110" i="3"/>
  <c r="AN110" i="3"/>
  <c r="AG110" i="3"/>
  <c r="AF110" i="3"/>
  <c r="AE110" i="3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AF104" i="3"/>
  <c r="AS103" i="3"/>
  <c r="AG103" i="3"/>
  <c r="AG104" i="3" s="1"/>
  <c r="AF103" i="3"/>
  <c r="AF105" i="3" s="1"/>
  <c r="AE103" i="3"/>
  <c r="AE105" i="3" s="1"/>
  <c r="AD103" i="3"/>
  <c r="AD104" i="3" s="1"/>
  <c r="AT99" i="3"/>
  <c r="AS99" i="3"/>
  <c r="AR99" i="3"/>
  <c r="AR98" i="3"/>
  <c r="AS97" i="3"/>
  <c r="AR97" i="3"/>
  <c r="AQ97" i="3"/>
  <c r="AP97" i="3"/>
  <c r="AT84" i="3"/>
  <c r="AU82" i="3"/>
  <c r="F17" i="1" s="1"/>
  <c r="AT82" i="3"/>
  <c r="AI82" i="3"/>
  <c r="AJ82" i="3" s="1"/>
  <c r="AK82" i="3" s="1"/>
  <c r="AL82" i="3" s="1"/>
  <c r="AV82" i="3" s="1"/>
  <c r="AU79" i="3"/>
  <c r="AW79" i="3" s="1"/>
  <c r="AX79" i="3" s="1"/>
  <c r="AY79" i="3" s="1"/>
  <c r="AZ79" i="3" s="1"/>
  <c r="AT79" i="3"/>
  <c r="AT78" i="3"/>
  <c r="AT77" i="3"/>
  <c r="AU77" i="3"/>
  <c r="AW77" i="3" s="1"/>
  <c r="AX77" i="3" s="1"/>
  <c r="AY77" i="3" s="1"/>
  <c r="AZ77" i="3" s="1"/>
  <c r="BA77" i="3" s="1"/>
  <c r="AT74" i="3"/>
  <c r="AU74" i="3"/>
  <c r="AS73" i="3"/>
  <c r="AS75" i="3" s="1"/>
  <c r="AS80" i="3" s="1"/>
  <c r="AS86" i="3" s="1"/>
  <c r="AG73" i="3"/>
  <c r="AG75" i="3" s="1"/>
  <c r="AG80" i="3" s="1"/>
  <c r="AG86" i="3" s="1"/>
  <c r="AF73" i="3"/>
  <c r="AE73" i="3"/>
  <c r="AD73" i="3"/>
  <c r="AT73" i="3" s="1"/>
  <c r="AU72" i="3"/>
  <c r="AT72" i="3"/>
  <c r="AI72" i="3"/>
  <c r="AT69" i="3"/>
  <c r="AS68" i="3"/>
  <c r="AG68" i="3"/>
  <c r="AF68" i="3"/>
  <c r="AE68" i="3"/>
  <c r="AD68" i="3"/>
  <c r="AT68" i="3" s="1"/>
  <c r="AT67" i="3"/>
  <c r="AT66" i="3"/>
  <c r="AS64" i="3"/>
  <c r="AT63" i="3"/>
  <c r="AT62" i="3"/>
  <c r="AS61" i="3"/>
  <c r="AS91" i="3" s="1"/>
  <c r="AG61" i="3"/>
  <c r="AG64" i="3" s="1"/>
  <c r="AG70" i="3" s="1"/>
  <c r="AG88" i="3" s="1"/>
  <c r="AF61" i="3"/>
  <c r="AF64" i="3" s="1"/>
  <c r="AF70" i="3" s="1"/>
  <c r="AE61" i="3"/>
  <c r="AE64" i="3" s="1"/>
  <c r="AD61" i="3"/>
  <c r="AD64" i="3" s="1"/>
  <c r="AD70" i="3" s="1"/>
  <c r="AU60" i="3"/>
  <c r="AT60" i="3"/>
  <c r="AT59" i="3"/>
  <c r="AX57" i="3"/>
  <c r="AW57" i="3"/>
  <c r="AV57" i="3"/>
  <c r="AU57" i="3"/>
  <c r="AT57" i="3"/>
  <c r="AS57" i="3"/>
  <c r="AR57" i="3"/>
  <c r="AQ57" i="3"/>
  <c r="AP57" i="3"/>
  <c r="AO57" i="3"/>
  <c r="AN57" i="3"/>
  <c r="AG57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AT53" i="3"/>
  <c r="AS53" i="3"/>
  <c r="AS52" i="3"/>
  <c r="AR52" i="3"/>
  <c r="AW44" i="3"/>
  <c r="AX44" i="3" s="1"/>
  <c r="AY44" i="3" s="1"/>
  <c r="AZ44" i="3" s="1"/>
  <c r="BA44" i="3" s="1"/>
  <c r="AS42" i="3"/>
  <c r="AR42" i="3"/>
  <c r="AQ38" i="3" s="1"/>
  <c r="AP38" i="3" s="1"/>
  <c r="AC34" i="3" s="1"/>
  <c r="AQ37" i="3" s="1"/>
  <c r="AT28" i="3"/>
  <c r="AT27" i="3"/>
  <c r="AQ26" i="3"/>
  <c r="AP26" i="3"/>
  <c r="AQ22" i="3"/>
  <c r="AQ25" i="3" s="1"/>
  <c r="AQ100" i="3" s="1"/>
  <c r="AP22" i="3"/>
  <c r="AP25" i="3" s="1"/>
  <c r="AP100" i="3" s="1"/>
  <c r="AT21" i="3"/>
  <c r="AE20" i="3"/>
  <c r="AT19" i="3"/>
  <c r="AT20" i="3" s="1"/>
  <c r="AS15" i="3"/>
  <c r="AR15" i="3"/>
  <c r="AT14" i="3"/>
  <c r="AS13" i="3"/>
  <c r="AR13" i="3"/>
  <c r="AR9" i="3"/>
  <c r="AR10" i="3" s="1"/>
  <c r="AS8" i="3"/>
  <c r="AS7" i="3"/>
  <c r="AR7" i="3"/>
  <c r="AQ7" i="3"/>
  <c r="E33" i="2"/>
  <c r="E35" i="2" s="1"/>
  <c r="AI49" i="3" s="1"/>
  <c r="AI48" i="3" s="1"/>
  <c r="G26" i="2"/>
  <c r="H26" i="2" s="1"/>
  <c r="I26" i="2" s="1"/>
  <c r="J26" i="2" s="1"/>
  <c r="K26" i="2" s="1"/>
  <c r="L26" i="2" s="1"/>
  <c r="M26" i="2" s="1"/>
  <c r="N26" i="2" s="1"/>
  <c r="O26" i="2" s="1"/>
  <c r="P26" i="2" s="1"/>
  <c r="F7" i="2"/>
  <c r="G7" i="2" s="1"/>
  <c r="H7" i="2" s="1"/>
  <c r="I7" i="2" s="1"/>
  <c r="J7" i="2" s="1"/>
  <c r="K7" i="2" s="1"/>
  <c r="L7" i="2" s="1"/>
  <c r="M7" i="2" s="1"/>
  <c r="N7" i="2" s="1"/>
  <c r="O7" i="2" s="1"/>
  <c r="E24" i="1"/>
  <c r="E30" i="1" s="1"/>
  <c r="F12" i="1"/>
  <c r="AQ63" i="4" l="1"/>
  <c r="P51" i="3"/>
  <c r="Q51" i="3"/>
  <c r="R51" i="3"/>
  <c r="AH7" i="3"/>
  <c r="AD13" i="3"/>
  <c r="AH99" i="3"/>
  <c r="AH106" i="3" s="1"/>
  <c r="AK29" i="4"/>
  <c r="AK64" i="4" s="1"/>
  <c r="AH28" i="4"/>
  <c r="AP63" i="4"/>
  <c r="AK80" i="4"/>
  <c r="AH79" i="4"/>
  <c r="AQ34" i="4"/>
  <c r="Y51" i="3"/>
  <c r="AR63" i="4"/>
  <c r="AT63" i="4"/>
  <c r="AT60" i="4"/>
  <c r="AS63" i="4"/>
  <c r="X51" i="3"/>
  <c r="AR34" i="4"/>
  <c r="G59" i="4"/>
  <c r="J63" i="4"/>
  <c r="Z51" i="3"/>
  <c r="AO34" i="4"/>
  <c r="AO6" i="3"/>
  <c r="AA13" i="3"/>
  <c r="AT7" i="3"/>
  <c r="AI7" i="3"/>
  <c r="AH97" i="3"/>
  <c r="AH91" i="3" s="1"/>
  <c r="AH20" i="3"/>
  <c r="G17" i="1"/>
  <c r="AW82" i="3"/>
  <c r="AX82" i="3" s="1"/>
  <c r="AY82" i="3" s="1"/>
  <c r="AZ82" i="3" s="1"/>
  <c r="BA82" i="3" s="1"/>
  <c r="I11" i="5"/>
  <c r="F46" i="1"/>
  <c r="F45" i="1"/>
  <c r="F47" i="1"/>
  <c r="H38" i="1"/>
  <c r="G44" i="1"/>
  <c r="N19" i="1"/>
  <c r="D26" i="5"/>
  <c r="D29" i="5"/>
  <c r="D31" i="5" s="1"/>
  <c r="AT61" i="3"/>
  <c r="AS70" i="3"/>
  <c r="AD75" i="3"/>
  <c r="AD80" i="3" s="1"/>
  <c r="AD86" i="3" s="1"/>
  <c r="AD88" i="3" s="1"/>
  <c r="AS127" i="3"/>
  <c r="AS145" i="3" s="1"/>
  <c r="AU63" i="4"/>
  <c r="AI62" i="4"/>
  <c r="AI59" i="4"/>
  <c r="V51" i="3"/>
  <c r="AD51" i="3"/>
  <c r="AU21" i="3"/>
  <c r="AU27" i="3"/>
  <c r="AU68" i="3"/>
  <c r="AI68" i="3"/>
  <c r="AJ68" i="3" s="1"/>
  <c r="AK68" i="3" s="1"/>
  <c r="AL68" i="3" s="1"/>
  <c r="AV68" i="3" s="1"/>
  <c r="AG140" i="3"/>
  <c r="AP34" i="4"/>
  <c r="AI28" i="4"/>
  <c r="AL29" i="4"/>
  <c r="AL64" i="4" s="1"/>
  <c r="AU31" i="3"/>
  <c r="AT31" i="3" s="1"/>
  <c r="AU32" i="3" s="1"/>
  <c r="AF125" i="3"/>
  <c r="AS159" i="3"/>
  <c r="K16" i="3"/>
  <c r="AG20" i="3"/>
  <c r="AJ72" i="3"/>
  <c r="AI103" i="3"/>
  <c r="AJ19" i="3" s="1"/>
  <c r="AJ117" i="3" s="1"/>
  <c r="AG105" i="3"/>
  <c r="AA161" i="3"/>
  <c r="AT34" i="4"/>
  <c r="AJ72" i="4"/>
  <c r="AI71" i="4"/>
  <c r="AI114" i="3" s="1"/>
  <c r="AI66" i="3" s="1"/>
  <c r="L16" i="3"/>
  <c r="S51" i="3"/>
  <c r="AA51" i="3"/>
  <c r="D19" i="5"/>
  <c r="G19" i="5" s="1"/>
  <c r="AU19" i="3"/>
  <c r="AU63" i="3"/>
  <c r="AU67" i="3"/>
  <c r="AS34" i="4"/>
  <c r="C16" i="3"/>
  <c r="AT103" i="3"/>
  <c r="BA79" i="3"/>
  <c r="AB141" i="3"/>
  <c r="AU34" i="4"/>
  <c r="AC159" i="3"/>
  <c r="E16" i="3"/>
  <c r="M16" i="3"/>
  <c r="T51" i="3"/>
  <c r="AB51" i="3"/>
  <c r="H22" i="5"/>
  <c r="AU28" i="3"/>
  <c r="AI28" i="3"/>
  <c r="AG131" i="3"/>
  <c r="AF69" i="4"/>
  <c r="AU14" i="3"/>
  <c r="AU103" i="3"/>
  <c r="F15" i="1" s="1"/>
  <c r="AB161" i="3"/>
  <c r="AC140" i="3"/>
  <c r="AS161" i="3"/>
  <c r="AN34" i="4"/>
  <c r="F6" i="3"/>
  <c r="N16" i="3"/>
  <c r="U51" i="3"/>
  <c r="AC51" i="3"/>
  <c r="AT33" i="3"/>
  <c r="AT34" i="3" s="1"/>
  <c r="AC32" i="3"/>
  <c r="AE34" i="3"/>
  <c r="AW60" i="3"/>
  <c r="AX60" i="3" s="1"/>
  <c r="AY60" i="3" s="1"/>
  <c r="AZ60" i="3" s="1"/>
  <c r="BA60" i="3" s="1"/>
  <c r="AI31" i="3"/>
  <c r="AJ49" i="3"/>
  <c r="AU78" i="3"/>
  <c r="AV78" i="3"/>
  <c r="AF157" i="3"/>
  <c r="AJ7" i="3"/>
  <c r="AI97" i="3"/>
  <c r="AI61" i="3" s="1"/>
  <c r="W52" i="3"/>
  <c r="AK7" i="3"/>
  <c r="AJ97" i="3"/>
  <c r="AK97" i="3"/>
  <c r="R97" i="3"/>
  <c r="Z17" i="3"/>
  <c r="AG9" i="3"/>
  <c r="AF20" i="3"/>
  <c r="AF34" i="3"/>
  <c r="AD105" i="3"/>
  <c r="AQ32" i="3"/>
  <c r="AB32" i="3"/>
  <c r="AR32" i="3"/>
  <c r="O17" i="3"/>
  <c r="AR34" i="3"/>
  <c r="J17" i="3"/>
  <c r="AS34" i="3"/>
  <c r="E14" i="1"/>
  <c r="K97" i="3"/>
  <c r="P52" i="3"/>
  <c r="AA97" i="3"/>
  <c r="I52" i="3"/>
  <c r="R17" i="3"/>
  <c r="G17" i="3"/>
  <c r="W17" i="3"/>
  <c r="I17" i="3"/>
  <c r="Q17" i="3"/>
  <c r="Y17" i="3"/>
  <c r="J53" i="3"/>
  <c r="AF52" i="3"/>
  <c r="AF13" i="3"/>
  <c r="N52" i="3"/>
  <c r="S97" i="3"/>
  <c r="AG13" i="3"/>
  <c r="AG52" i="3"/>
  <c r="AD7" i="3"/>
  <c r="S17" i="3"/>
  <c r="Q97" i="3"/>
  <c r="D12" i="5"/>
  <c r="G12" i="5" s="1"/>
  <c r="H16" i="5"/>
  <c r="G18" i="5"/>
  <c r="I18" i="5"/>
  <c r="K53" i="3"/>
  <c r="U17" i="3"/>
  <c r="AC9" i="3"/>
  <c r="E52" i="3"/>
  <c r="AG7" i="3"/>
  <c r="AC13" i="3"/>
  <c r="V84" i="4"/>
  <c r="U66" i="4"/>
  <c r="P61" i="4"/>
  <c r="X61" i="4"/>
  <c r="AF61" i="4"/>
  <c r="AS26" i="4"/>
  <c r="Z28" i="4"/>
  <c r="AT45" i="4"/>
  <c r="AH45" i="4" s="1"/>
  <c r="AT14" i="4"/>
  <c r="AO23" i="4"/>
  <c r="W79" i="4"/>
  <c r="AT11" i="4"/>
  <c r="AR49" i="4"/>
  <c r="V49" i="4" s="1"/>
  <c r="K66" i="4"/>
  <c r="AQ23" i="4"/>
  <c r="AT26" i="4"/>
  <c r="K28" i="4"/>
  <c r="AA28" i="4"/>
  <c r="AR36" i="4"/>
  <c r="W84" i="4"/>
  <c r="Z87" i="4"/>
  <c r="W80" i="4"/>
  <c r="Q83" i="4"/>
  <c r="U84" i="4" s="1"/>
  <c r="AT49" i="4"/>
  <c r="AD49" i="4" s="1"/>
  <c r="Q79" i="4"/>
  <c r="Y79" i="4"/>
  <c r="J28" i="4"/>
  <c r="S66" i="4"/>
  <c r="AQ78" i="4"/>
  <c r="Z80" i="4"/>
  <c r="AG84" i="4"/>
  <c r="AT27" i="4"/>
  <c r="AS14" i="4"/>
  <c r="AR17" i="4"/>
  <c r="L28" i="4"/>
  <c r="AW29" i="4"/>
  <c r="F59" i="4"/>
  <c r="H85" i="4"/>
  <c r="AR20" i="4"/>
  <c r="AP26" i="4"/>
  <c r="AU36" i="4"/>
  <c r="AR23" i="4"/>
  <c r="D28" i="4"/>
  <c r="AB28" i="4"/>
  <c r="AT43" i="4"/>
  <c r="AC43" i="4" s="1"/>
  <c r="V80" i="4"/>
  <c r="AD84" i="4"/>
  <c r="O29" i="4"/>
  <c r="O64" i="4" s="1"/>
  <c r="AT47" i="4"/>
  <c r="AA84" i="4"/>
  <c r="AA41" i="4"/>
  <c r="AD41" i="4"/>
  <c r="AX29" i="4"/>
  <c r="AQ17" i="4"/>
  <c r="AT30" i="4"/>
  <c r="AU23" i="4"/>
  <c r="S28" i="4"/>
  <c r="AN58" i="4"/>
  <c r="AN6" i="3" s="1"/>
  <c r="AN17" i="3" s="1"/>
  <c r="J60" i="4"/>
  <c r="N61" i="4" s="1"/>
  <c r="R61" i="4"/>
  <c r="AC66" i="4"/>
  <c r="AF80" i="4"/>
  <c r="AJ81" i="4" s="1"/>
  <c r="Y87" i="4"/>
  <c r="U28" i="4"/>
  <c r="I82" i="4"/>
  <c r="AP8" i="4"/>
  <c r="AO17" i="4"/>
  <c r="AR26" i="4"/>
  <c r="H29" i="4"/>
  <c r="H64" i="4" s="1"/>
  <c r="AF29" i="4"/>
  <c r="AF64" i="4" s="1"/>
  <c r="AQ30" i="4"/>
  <c r="AS43" i="4"/>
  <c r="Z43" i="4" s="1"/>
  <c r="Z66" i="4"/>
  <c r="AS72" i="4"/>
  <c r="AU8" i="4"/>
  <c r="R79" i="4"/>
  <c r="AP23" i="4"/>
  <c r="AU20" i="4"/>
  <c r="AB61" i="4"/>
  <c r="AO69" i="4"/>
  <c r="AP32" i="4"/>
  <c r="AC28" i="4"/>
  <c r="AA79" i="4"/>
  <c r="AO20" i="4"/>
  <c r="AS49" i="4"/>
  <c r="X49" i="4" s="1"/>
  <c r="AO14" i="4"/>
  <c r="AU26" i="4"/>
  <c r="AS36" i="4"/>
  <c r="M61" i="4"/>
  <c r="U61" i="4"/>
  <c r="T84" i="4"/>
  <c r="X87" i="4"/>
  <c r="AF87" i="4"/>
  <c r="AG79" i="4"/>
  <c r="AC84" i="4"/>
  <c r="Y84" i="4"/>
  <c r="X28" i="4"/>
  <c r="W29" i="4"/>
  <c r="W64" i="4" s="1"/>
  <c r="AQ8" i="4"/>
  <c r="AQ31" i="4"/>
  <c r="AV36" i="4"/>
  <c r="V66" i="4"/>
  <c r="AD66" i="4"/>
  <c r="AS68" i="4"/>
  <c r="AS69" i="4" s="1"/>
  <c r="AA29" i="4"/>
  <c r="AA64" i="4" s="1"/>
  <c r="AS17" i="4"/>
  <c r="AU30" i="4"/>
  <c r="AT86" i="4"/>
  <c r="X45" i="4"/>
  <c r="Z61" i="4"/>
  <c r="AG66" i="4"/>
  <c r="AC80" i="4"/>
  <c r="AO8" i="4"/>
  <c r="AQ20" i="4"/>
  <c r="AQ26" i="4"/>
  <c r="F28" i="4"/>
  <c r="V28" i="4"/>
  <c r="AT36" i="4"/>
  <c r="AC61" i="4"/>
  <c r="G62" i="4"/>
  <c r="F72" i="4"/>
  <c r="AF84" i="4"/>
  <c r="W87" i="4"/>
  <c r="AR11" i="4"/>
  <c r="AT17" i="4"/>
  <c r="I28" i="4"/>
  <c r="Q28" i="4"/>
  <c r="Y28" i="4"/>
  <c r="AG28" i="4"/>
  <c r="AG29" i="4"/>
  <c r="AG64" i="4" s="1"/>
  <c r="AP60" i="4"/>
  <c r="AP69" i="4"/>
  <c r="S79" i="4"/>
  <c r="AA80" i="4"/>
  <c r="AU14" i="4"/>
  <c r="AE84" i="4"/>
  <c r="R28" i="4"/>
  <c r="Q66" i="4"/>
  <c r="AU11" i="4"/>
  <c r="L29" i="4"/>
  <c r="L64" i="4" s="1"/>
  <c r="T29" i="4"/>
  <c r="T64" i="4" s="1"/>
  <c r="AB29" i="4"/>
  <c r="AB64" i="4" s="1"/>
  <c r="K61" i="4"/>
  <c r="AT72" i="4"/>
  <c r="M78" i="4"/>
  <c r="Q80" i="4" s="1"/>
  <c r="V79" i="4"/>
  <c r="Z79" i="4"/>
  <c r="AS47" i="4"/>
  <c r="X47" i="4" s="1"/>
  <c r="Y66" i="4"/>
  <c r="AN27" i="4"/>
  <c r="AP14" i="4"/>
  <c r="AP17" i="4"/>
  <c r="E28" i="4"/>
  <c r="M29" i="4"/>
  <c r="M64" i="4" s="1"/>
  <c r="U29" i="4"/>
  <c r="U64" i="4" s="1"/>
  <c r="AC29" i="4"/>
  <c r="AC64" i="4" s="1"/>
  <c r="T28" i="4"/>
  <c r="I29" i="4"/>
  <c r="I64" i="4" s="1"/>
  <c r="AS41" i="4"/>
  <c r="Z41" i="4" s="1"/>
  <c r="L61" i="4"/>
  <c r="T61" i="4"/>
  <c r="F62" i="4"/>
  <c r="O66" i="4"/>
  <c r="W66" i="4"/>
  <c r="AE66" i="4"/>
  <c r="AD87" i="4"/>
  <c r="I36" i="5"/>
  <c r="G36" i="5"/>
  <c r="I33" i="5"/>
  <c r="G33" i="5"/>
  <c r="V45" i="4"/>
  <c r="T45" i="4"/>
  <c r="U45" i="4"/>
  <c r="S45" i="4"/>
  <c r="AO36" i="4"/>
  <c r="E53" i="4"/>
  <c r="U53" i="4"/>
  <c r="AC53" i="4"/>
  <c r="AP53" i="4"/>
  <c r="AX53" i="4"/>
  <c r="AU31" i="4"/>
  <c r="AU27" i="4"/>
  <c r="AV29" i="4" s="1"/>
  <c r="AV8" i="4"/>
  <c r="W28" i="4"/>
  <c r="AQ36" i="4"/>
  <c r="AP36" i="4"/>
  <c r="AT68" i="4"/>
  <c r="AT69" i="4" s="1"/>
  <c r="AO30" i="4"/>
  <c r="AS31" i="4"/>
  <c r="AR41" i="4"/>
  <c r="V61" i="4"/>
  <c r="AB84" i="4"/>
  <c r="X84" i="4"/>
  <c r="P66" i="4"/>
  <c r="X66" i="4"/>
  <c r="T66" i="4"/>
  <c r="AB66" i="4"/>
  <c r="J53" i="4"/>
  <c r="R53" i="4"/>
  <c r="Z53" i="4"/>
  <c r="AR31" i="4"/>
  <c r="AS8" i="4"/>
  <c r="AR8" i="4"/>
  <c r="N28" i="4"/>
  <c r="N29" i="4"/>
  <c r="N64" i="4" s="1"/>
  <c r="AD28" i="4"/>
  <c r="AD29" i="4"/>
  <c r="AD64" i="4" s="1"/>
  <c r="AU53" i="4"/>
  <c r="AD61" i="4"/>
  <c r="L66" i="4"/>
  <c r="AS23" i="4"/>
  <c r="AT23" i="4"/>
  <c r="H28" i="4"/>
  <c r="G28" i="4"/>
  <c r="K29" i="4"/>
  <c r="K64" i="4" s="1"/>
  <c r="P28" i="4"/>
  <c r="O28" i="4"/>
  <c r="AF28" i="4"/>
  <c r="AE29" i="4"/>
  <c r="AE64" i="4" s="1"/>
  <c r="AE28" i="4"/>
  <c r="G29" i="4"/>
  <c r="G64" i="4" s="1"/>
  <c r="AR47" i="4"/>
  <c r="AR43" i="4"/>
  <c r="S61" i="4"/>
  <c r="O61" i="4"/>
  <c r="AA61" i="4"/>
  <c r="W61" i="4"/>
  <c r="AE61" i="4"/>
  <c r="AQ71" i="4"/>
  <c r="AQ72" i="4" s="1"/>
  <c r="O72" i="4"/>
  <c r="O68" i="4"/>
  <c r="O51" i="3" s="1"/>
  <c r="AO32" i="4"/>
  <c r="AO11" i="4"/>
  <c r="AQ27" i="4"/>
  <c r="AQ14" i="4"/>
  <c r="AP30" i="4"/>
  <c r="AP20" i="4"/>
  <c r="AO27" i="4"/>
  <c r="S29" i="4"/>
  <c r="S64" i="4" s="1"/>
  <c r="AV31" i="4"/>
  <c r="AQ32" i="4"/>
  <c r="F77" i="4"/>
  <c r="F69" i="4"/>
  <c r="AQ11" i="4"/>
  <c r="AP27" i="4"/>
  <c r="AP11" i="4"/>
  <c r="AR27" i="4"/>
  <c r="V29" i="4"/>
  <c r="V64" i="4" s="1"/>
  <c r="AU32" i="4"/>
  <c r="AF66" i="4"/>
  <c r="C53" i="4"/>
  <c r="AA53" i="4"/>
  <c r="AN53" i="4"/>
  <c r="AS27" i="4"/>
  <c r="AU17" i="4"/>
  <c r="AV17" i="4"/>
  <c r="AS30" i="4"/>
  <c r="AS20" i="4"/>
  <c r="AT20" i="4"/>
  <c r="M28" i="4"/>
  <c r="X29" i="4"/>
  <c r="X64" i="4" s="1"/>
  <c r="AR32" i="4"/>
  <c r="AC41" i="4"/>
  <c r="AB41" i="4"/>
  <c r="AH41" i="4"/>
  <c r="Z45" i="4"/>
  <c r="W45" i="4"/>
  <c r="S53" i="4"/>
  <c r="AO72" i="4"/>
  <c r="R66" i="4"/>
  <c r="D53" i="4"/>
  <c r="L53" i="4"/>
  <c r="T53" i="4"/>
  <c r="AB53" i="4"/>
  <c r="AO53" i="4"/>
  <c r="AW53" i="4"/>
  <c r="AT31" i="4"/>
  <c r="AT8" i="4"/>
  <c r="AS11" i="4"/>
  <c r="J29" i="4"/>
  <c r="R29" i="4"/>
  <c r="R64" i="4" s="1"/>
  <c r="Z29" i="4"/>
  <c r="Z64" i="4" s="1"/>
  <c r="Y29" i="4"/>
  <c r="Y64" i="4" s="1"/>
  <c r="AS32" i="4"/>
  <c r="AR30" i="4"/>
  <c r="AT32" i="4"/>
  <c r="AR14" i="4"/>
  <c r="AO26" i="4"/>
  <c r="P29" i="4"/>
  <c r="P64" i="4" s="1"/>
  <c r="AO31" i="4"/>
  <c r="AV53" i="4"/>
  <c r="AR68" i="4"/>
  <c r="AR69" i="4" s="1"/>
  <c r="G53" i="4"/>
  <c r="O53" i="4"/>
  <c r="AR53" i="4"/>
  <c r="AV32" i="4"/>
  <c r="AV11" i="4"/>
  <c r="Q29" i="4"/>
  <c r="Q64" i="4" s="1"/>
  <c r="AP31" i="4"/>
  <c r="AE53" i="4"/>
  <c r="F53" i="4"/>
  <c r="N53" i="4"/>
  <c r="V53" i="4"/>
  <c r="AD53" i="4"/>
  <c r="AQ53" i="4"/>
  <c r="AQ60" i="4"/>
  <c r="M66" i="4"/>
  <c r="AE69" i="4"/>
  <c r="W69" i="4"/>
  <c r="AS78" i="4"/>
  <c r="AR72" i="4"/>
  <c r="AP72" i="4"/>
  <c r="D85" i="4"/>
  <c r="D82" i="4"/>
  <c r="D78" i="4"/>
  <c r="D79" i="4" s="1"/>
  <c r="P86" i="4"/>
  <c r="T87" i="4" s="1"/>
  <c r="L85" i="4"/>
  <c r="L83" i="4"/>
  <c r="P84" i="4" s="1"/>
  <c r="L86" i="4"/>
  <c r="L78" i="4"/>
  <c r="M82" i="4"/>
  <c r="L82" i="4"/>
  <c r="T80" i="4"/>
  <c r="T79" i="4"/>
  <c r="U79" i="4"/>
  <c r="AB80" i="4"/>
  <c r="AB79" i="4"/>
  <c r="AC79" i="4"/>
  <c r="AE87" i="4"/>
  <c r="AA87" i="4"/>
  <c r="AR60" i="4"/>
  <c r="AA66" i="4"/>
  <c r="E85" i="4"/>
  <c r="E82" i="4"/>
  <c r="I83" i="4"/>
  <c r="U87" i="4"/>
  <c r="O80" i="4"/>
  <c r="Q61" i="4"/>
  <c r="Y61" i="4"/>
  <c r="AG61" i="4"/>
  <c r="AS60" i="4"/>
  <c r="N83" i="4"/>
  <c r="R84" i="4" s="1"/>
  <c r="N86" i="4"/>
  <c r="N78" i="4"/>
  <c r="O79" i="4" s="1"/>
  <c r="R86" i="4"/>
  <c r="V87" i="4" s="1"/>
  <c r="N85" i="4"/>
  <c r="O82" i="4"/>
  <c r="N82" i="4"/>
  <c r="O85" i="4"/>
  <c r="X80" i="4"/>
  <c r="AC87" i="4"/>
  <c r="AG87" i="4"/>
  <c r="H86" i="4"/>
  <c r="H78" i="4"/>
  <c r="H82" i="4"/>
  <c r="H83" i="4"/>
  <c r="U80" i="4"/>
  <c r="Y80" i="4"/>
  <c r="AG80" i="4"/>
  <c r="AB87" i="4"/>
  <c r="AE80" i="4"/>
  <c r="AI81" i="4" s="1"/>
  <c r="AE79" i="4"/>
  <c r="S80" i="4"/>
  <c r="Z84" i="4"/>
  <c r="O83" i="4"/>
  <c r="S84" i="4" s="1"/>
  <c r="K82" i="4"/>
  <c r="O86" i="4"/>
  <c r="S87" i="4" s="1"/>
  <c r="K85" i="4"/>
  <c r="K86" i="4"/>
  <c r="AP77" i="4"/>
  <c r="AQ83" i="4" s="1"/>
  <c r="K83" i="4"/>
  <c r="G83" i="4"/>
  <c r="AO77" i="4"/>
  <c r="AO16" i="3" s="1"/>
  <c r="G86" i="4"/>
  <c r="P79" i="4"/>
  <c r="X79" i="4"/>
  <c r="AF79" i="4"/>
  <c r="I86" i="4"/>
  <c r="I78" i="4"/>
  <c r="AR83" i="4"/>
  <c r="AR86" i="4"/>
  <c r="AR78" i="4"/>
  <c r="G78" i="4"/>
  <c r="K80" i="4" s="1"/>
  <c r="AD80" i="4"/>
  <c r="AH81" i="4" s="1"/>
  <c r="I85" i="4"/>
  <c r="M86" i="4"/>
  <c r="Q87" i="4" s="1"/>
  <c r="J82" i="4"/>
  <c r="J85" i="4"/>
  <c r="AS83" i="4"/>
  <c r="AS86" i="4"/>
  <c r="J78" i="4"/>
  <c r="AT83" i="4"/>
  <c r="AD79" i="4"/>
  <c r="M83" i="4"/>
  <c r="AT78" i="4"/>
  <c r="M85" i="4"/>
  <c r="F24" i="1"/>
  <c r="F30" i="1" s="1"/>
  <c r="D52" i="3"/>
  <c r="O97" i="3"/>
  <c r="L52" i="3"/>
  <c r="W97" i="3"/>
  <c r="AE97" i="3"/>
  <c r="AE91" i="3" s="1"/>
  <c r="AB9" i="3"/>
  <c r="AB7" i="3"/>
  <c r="AB13" i="3"/>
  <c r="AF7" i="3"/>
  <c r="AC97" i="3"/>
  <c r="AW74" i="3"/>
  <c r="AX74" i="3" s="1"/>
  <c r="AY74" i="3" s="1"/>
  <c r="AZ74" i="3" s="1"/>
  <c r="BA74" i="3" s="1"/>
  <c r="AT15" i="3"/>
  <c r="AU33" i="3"/>
  <c r="Y97" i="3"/>
  <c r="V17" i="3"/>
  <c r="AC121" i="3"/>
  <c r="AG130" i="3"/>
  <c r="AF134" i="3"/>
  <c r="G12" i="1"/>
  <c r="J97" i="3"/>
  <c r="G52" i="3"/>
  <c r="Z97" i="3"/>
  <c r="AA7" i="3"/>
  <c r="AE157" i="3"/>
  <c r="AE9" i="3"/>
  <c r="AE7" i="3"/>
  <c r="AE13" i="3"/>
  <c r="AE52" i="3"/>
  <c r="D17" i="3"/>
  <c r="T17" i="3"/>
  <c r="J52" i="3"/>
  <c r="M99" i="3"/>
  <c r="AD98" i="3"/>
  <c r="AS104" i="3"/>
  <c r="AA20" i="3"/>
  <c r="AS20" i="3"/>
  <c r="M97" i="3"/>
  <c r="AP34" i="3"/>
  <c r="AP37" i="3"/>
  <c r="AS105" i="3"/>
  <c r="AS106" i="3" s="1"/>
  <c r="AG124" i="3"/>
  <c r="AA9" i="3"/>
  <c r="N97" i="3"/>
  <c r="I99" i="3"/>
  <c r="N53" i="3"/>
  <c r="P97" i="3"/>
  <c r="X97" i="3"/>
  <c r="AF97" i="3"/>
  <c r="AF91" i="3" s="1"/>
  <c r="AS98" i="3"/>
  <c r="AS9" i="3"/>
  <c r="AF9" i="3"/>
  <c r="AA34" i="3"/>
  <c r="AI19" i="3"/>
  <c r="AI117" i="3" s="1"/>
  <c r="AB134" i="3"/>
  <c r="AB157" i="3"/>
  <c r="AR16" i="3"/>
  <c r="H17" i="3"/>
  <c r="P17" i="3"/>
  <c r="X17" i="3"/>
  <c r="AS32" i="3"/>
  <c r="AT32" i="3"/>
  <c r="AQ39" i="3"/>
  <c r="L97" i="3"/>
  <c r="T97" i="3"/>
  <c r="AB97" i="3"/>
  <c r="AC7" i="3"/>
  <c r="H52" i="3"/>
  <c r="AE70" i="3"/>
  <c r="AE75" i="3"/>
  <c r="AE80" i="3" s="1"/>
  <c r="AE86" i="3" s="1"/>
  <c r="AG113" i="3"/>
  <c r="U97" i="3"/>
  <c r="H99" i="3"/>
  <c r="G99" i="3"/>
  <c r="M53" i="3"/>
  <c r="M52" i="3"/>
  <c r="AS88" i="3"/>
  <c r="AC130" i="3"/>
  <c r="V97" i="3"/>
  <c r="AA157" i="3"/>
  <c r="AD97" i="3"/>
  <c r="AD91" i="3" s="1"/>
  <c r="AG34" i="3"/>
  <c r="AI34" i="3" s="1"/>
  <c r="AJ34" i="3" s="1"/>
  <c r="AK34" i="3" s="1"/>
  <c r="AL34" i="3" s="1"/>
  <c r="L53" i="3"/>
  <c r="AT75" i="3"/>
  <c r="AT80" i="3" s="1"/>
  <c r="AT86" i="3" s="1"/>
  <c r="AR159" i="3"/>
  <c r="AR127" i="3"/>
  <c r="AR161" i="3"/>
  <c r="AG118" i="3"/>
  <c r="AG97" i="3"/>
  <c r="AG91" i="3" s="1"/>
  <c r="AQ34" i="3"/>
  <c r="J99" i="3"/>
  <c r="G53" i="3"/>
  <c r="AF75" i="3"/>
  <c r="AF80" i="3" s="1"/>
  <c r="AF86" i="3" s="1"/>
  <c r="AF88" i="3" s="1"/>
  <c r="K99" i="3"/>
  <c r="H53" i="3"/>
  <c r="AB159" i="3"/>
  <c r="AF116" i="3"/>
  <c r="AG116" i="3" s="1"/>
  <c r="L99" i="3"/>
  <c r="I53" i="3"/>
  <c r="AT105" i="3"/>
  <c r="AT106" i="3" s="1"/>
  <c r="AT104" i="3"/>
  <c r="AC161" i="3"/>
  <c r="AG137" i="3"/>
  <c r="F99" i="3"/>
  <c r="N99" i="3"/>
  <c r="C52" i="3"/>
  <c r="K52" i="3"/>
  <c r="AE160" i="3"/>
  <c r="AE127" i="3"/>
  <c r="AF114" i="3"/>
  <c r="AE159" i="3"/>
  <c r="AC117" i="3"/>
  <c r="AG115" i="3"/>
  <c r="AG122" i="3"/>
  <c r="AG125" i="3" s="1"/>
  <c r="AF141" i="3"/>
  <c r="AE104" i="3"/>
  <c r="AG136" i="3"/>
  <c r="AG141" i="3" s="1"/>
  <c r="AG143" i="3"/>
  <c r="AT64" i="3"/>
  <c r="AT70" i="3" s="1"/>
  <c r="AT88" i="3" s="1"/>
  <c r="AA159" i="3"/>
  <c r="AA160" i="3"/>
  <c r="AA127" i="3"/>
  <c r="AB124" i="3"/>
  <c r="P53" i="3" l="1"/>
  <c r="Q52" i="3"/>
  <c r="Q53" i="3"/>
  <c r="AO17" i="3"/>
  <c r="AB16" i="3"/>
  <c r="K17" i="3"/>
  <c r="Z52" i="3"/>
  <c r="AB53" i="3"/>
  <c r="AC10" i="3"/>
  <c r="N17" i="3"/>
  <c r="T53" i="3"/>
  <c r="AA53" i="3"/>
  <c r="R53" i="3"/>
  <c r="O53" i="3"/>
  <c r="U52" i="3"/>
  <c r="AG10" i="3"/>
  <c r="AU8" i="3" s="1"/>
  <c r="I97" i="3"/>
  <c r="M17" i="3"/>
  <c r="C17" i="3"/>
  <c r="W53" i="3"/>
  <c r="X52" i="3"/>
  <c r="E17" i="3"/>
  <c r="L17" i="3"/>
  <c r="AC53" i="3"/>
  <c r="AC52" i="3"/>
  <c r="J64" i="4"/>
  <c r="Z99" i="3"/>
  <c r="R52" i="3"/>
  <c r="AT42" i="3"/>
  <c r="R99" i="3"/>
  <c r="AB52" i="3"/>
  <c r="X53" i="3"/>
  <c r="T52" i="3"/>
  <c r="AK81" i="4"/>
  <c r="Y52" i="3"/>
  <c r="AF53" i="3"/>
  <c r="Z53" i="3"/>
  <c r="AO63" i="4"/>
  <c r="AT66" i="4"/>
  <c r="AJ91" i="3"/>
  <c r="AK91" i="3" s="1"/>
  <c r="AL91" i="3" s="1"/>
  <c r="AG47" i="4"/>
  <c r="AH47" i="4"/>
  <c r="U53" i="3"/>
  <c r="N66" i="4"/>
  <c r="AT61" i="4"/>
  <c r="AG53" i="3"/>
  <c r="S99" i="3"/>
  <c r="AE53" i="3"/>
  <c r="V52" i="3"/>
  <c r="T99" i="3"/>
  <c r="U99" i="3"/>
  <c r="AD52" i="3"/>
  <c r="AH53" i="3"/>
  <c r="Y99" i="3"/>
  <c r="S52" i="3"/>
  <c r="AW68" i="3"/>
  <c r="AX68" i="3" s="1"/>
  <c r="AY68" i="3" s="1"/>
  <c r="AZ68" i="3" s="1"/>
  <c r="BA68" i="3" s="1"/>
  <c r="F21" i="5"/>
  <c r="H21" i="5" s="1"/>
  <c r="D20" i="6"/>
  <c r="D27" i="6"/>
  <c r="F28" i="5"/>
  <c r="H28" i="5" s="1"/>
  <c r="D26" i="6"/>
  <c r="F27" i="5"/>
  <c r="H27" i="5" s="1"/>
  <c r="I38" i="1"/>
  <c r="H44" i="1"/>
  <c r="G47" i="1"/>
  <c r="G46" i="1"/>
  <c r="G45" i="1"/>
  <c r="O19" i="1"/>
  <c r="AU66" i="4"/>
  <c r="S53" i="3"/>
  <c r="O52" i="3"/>
  <c r="V99" i="3"/>
  <c r="AG99" i="3"/>
  <c r="AG106" i="3" s="1"/>
  <c r="AI15" i="3"/>
  <c r="AT141" i="3"/>
  <c r="AD99" i="3"/>
  <c r="AD106" i="3" s="1"/>
  <c r="AN97" i="3"/>
  <c r="V53" i="3"/>
  <c r="F97" i="3"/>
  <c r="AS162" i="3"/>
  <c r="AI68" i="4"/>
  <c r="AE99" i="3"/>
  <c r="AE106" i="3" s="1"/>
  <c r="AA52" i="3"/>
  <c r="AS158" i="3"/>
  <c r="P99" i="3"/>
  <c r="AS151" i="3"/>
  <c r="AS152" i="3" s="1"/>
  <c r="AA99" i="3"/>
  <c r="H97" i="3"/>
  <c r="F52" i="3"/>
  <c r="AC99" i="3"/>
  <c r="Y53" i="3"/>
  <c r="AK72" i="3"/>
  <c r="AJ103" i="3"/>
  <c r="AK19" i="3" s="1"/>
  <c r="AK117" i="3" s="1"/>
  <c r="G97" i="3"/>
  <c r="AJ63" i="3"/>
  <c r="AJ124" i="3"/>
  <c r="AB99" i="3"/>
  <c r="AS128" i="3"/>
  <c r="Q99" i="3"/>
  <c r="AU20" i="3"/>
  <c r="AJ28" i="3"/>
  <c r="AK28" i="3" s="1"/>
  <c r="AL28" i="3" s="1"/>
  <c r="AK72" i="4"/>
  <c r="AJ71" i="4"/>
  <c r="W99" i="3"/>
  <c r="AD53" i="3"/>
  <c r="AI85" i="4"/>
  <c r="AI82" i="4"/>
  <c r="O99" i="3"/>
  <c r="AU15" i="3"/>
  <c r="AL6" i="3"/>
  <c r="AV64" i="4"/>
  <c r="AL60" i="4"/>
  <c r="AL61" i="4" s="1"/>
  <c r="AL59" i="4"/>
  <c r="AL62" i="4"/>
  <c r="AF99" i="3"/>
  <c r="AF106" i="3" s="1"/>
  <c r="X99" i="3"/>
  <c r="G85" i="4"/>
  <c r="F16" i="3"/>
  <c r="AC141" i="3"/>
  <c r="AJ27" i="3"/>
  <c r="AK27" i="3" s="1"/>
  <c r="AL27" i="3" s="1"/>
  <c r="AT52" i="3"/>
  <c r="AU9" i="3"/>
  <c r="AU7" i="3"/>
  <c r="AK49" i="3"/>
  <c r="AJ48" i="3"/>
  <c r="AI10" i="3"/>
  <c r="AI9" i="3" s="1"/>
  <c r="AI12" i="3" s="1"/>
  <c r="AI13" i="3" s="1"/>
  <c r="AG16" i="3"/>
  <c r="AT13" i="3"/>
  <c r="AE88" i="3"/>
  <c r="AT97" i="3"/>
  <c r="AT91" i="3" s="1"/>
  <c r="K9" i="5"/>
  <c r="J9" i="5"/>
  <c r="H9" i="5"/>
  <c r="AC16" i="3"/>
  <c r="I23" i="5"/>
  <c r="G23" i="5"/>
  <c r="S49" i="4"/>
  <c r="X43" i="4"/>
  <c r="T49" i="4"/>
  <c r="E79" i="4"/>
  <c r="Z49" i="4"/>
  <c r="W43" i="4"/>
  <c r="Y43" i="4"/>
  <c r="AB45" i="4"/>
  <c r="AC45" i="4"/>
  <c r="AV45" i="4"/>
  <c r="AF45" i="4"/>
  <c r="AD45" i="4"/>
  <c r="Z81" i="4"/>
  <c r="AA45" i="4"/>
  <c r="U49" i="4"/>
  <c r="AG45" i="4"/>
  <c r="AG81" i="4"/>
  <c r="AT87" i="4"/>
  <c r="AR80" i="4"/>
  <c r="AA49" i="4"/>
  <c r="AA81" i="4"/>
  <c r="L87" i="4"/>
  <c r="Q84" i="4"/>
  <c r="W81" i="4"/>
  <c r="AC81" i="4"/>
  <c r="AF47" i="4"/>
  <c r="AC49" i="4"/>
  <c r="AB49" i="4"/>
  <c r="AO60" i="4"/>
  <c r="AP61" i="4" s="1"/>
  <c r="AN69" i="4"/>
  <c r="AS61" i="4"/>
  <c r="O81" i="4"/>
  <c r="Y49" i="4"/>
  <c r="AN72" i="4"/>
  <c r="AR84" i="4"/>
  <c r="M87" i="4"/>
  <c r="AV47" i="4"/>
  <c r="AA43" i="4"/>
  <c r="AU29" i="4"/>
  <c r="AU64" i="4" s="1"/>
  <c r="AC47" i="4"/>
  <c r="AD47" i="4"/>
  <c r="R80" i="4"/>
  <c r="V81" i="4" s="1"/>
  <c r="AN78" i="4"/>
  <c r="Y47" i="4"/>
  <c r="AT29" i="4"/>
  <c r="AT64" i="4" s="1"/>
  <c r="AB47" i="4"/>
  <c r="Z47" i="4"/>
  <c r="AB43" i="4"/>
  <c r="W47" i="4"/>
  <c r="AD43" i="4"/>
  <c r="AA47" i="4"/>
  <c r="M80" i="4"/>
  <c r="Q81" i="4" s="1"/>
  <c r="AB81" i="4"/>
  <c r="W41" i="4"/>
  <c r="AF81" i="4"/>
  <c r="AT80" i="4"/>
  <c r="AP29" i="4"/>
  <c r="AP64" i="4" s="1"/>
  <c r="AW36" i="4"/>
  <c r="W49" i="4"/>
  <c r="M84" i="4"/>
  <c r="K87" i="4"/>
  <c r="AO29" i="4"/>
  <c r="AT51" i="4"/>
  <c r="K84" i="4"/>
  <c r="AS51" i="4"/>
  <c r="AQ86" i="4"/>
  <c r="AR87" i="4" s="1"/>
  <c r="AE81" i="4"/>
  <c r="X81" i="4"/>
  <c r="AR29" i="4"/>
  <c r="AR64" i="4" s="1"/>
  <c r="AV30" i="4"/>
  <c r="Y41" i="4"/>
  <c r="X41" i="4"/>
  <c r="L9" i="5"/>
  <c r="AS87" i="4"/>
  <c r="O84" i="4"/>
  <c r="U81" i="4"/>
  <c r="H79" i="4"/>
  <c r="H80" i="4"/>
  <c r="R87" i="4"/>
  <c r="AS84" i="4"/>
  <c r="AP83" i="4"/>
  <c r="AQ84" i="4" s="1"/>
  <c r="AP86" i="4"/>
  <c r="AP78" i="4"/>
  <c r="AD81" i="4"/>
  <c r="V47" i="4"/>
  <c r="S47" i="4"/>
  <c r="U47" i="4"/>
  <c r="T47" i="4"/>
  <c r="J79" i="4"/>
  <c r="AO78" i="4"/>
  <c r="AO83" i="4"/>
  <c r="AO86" i="4"/>
  <c r="Y81" i="4"/>
  <c r="AQ66" i="4"/>
  <c r="AU60" i="4"/>
  <c r="AU61" i="4" s="1"/>
  <c r="G80" i="4"/>
  <c r="K81" i="4" s="1"/>
  <c r="L84" i="4"/>
  <c r="F78" i="4"/>
  <c r="F79" i="4" s="1"/>
  <c r="G82" i="4"/>
  <c r="F82" i="4"/>
  <c r="J86" i="4"/>
  <c r="N87" i="4" s="1"/>
  <c r="J83" i="4"/>
  <c r="N84" i="4" s="1"/>
  <c r="F85" i="4"/>
  <c r="AQ68" i="4"/>
  <c r="AQ51" i="3" s="1"/>
  <c r="AR53" i="3" s="1"/>
  <c r="O69" i="4"/>
  <c r="AT84" i="4"/>
  <c r="N79" i="4"/>
  <c r="N80" i="4"/>
  <c r="AS66" i="4"/>
  <c r="AS80" i="4"/>
  <c r="AR66" i="4"/>
  <c r="AS29" i="4"/>
  <c r="AS64" i="4" s="1"/>
  <c r="AQ29" i="4"/>
  <c r="AQ64" i="4" s="1"/>
  <c r="AU71" i="4"/>
  <c r="AU72" i="4" s="1"/>
  <c r="I79" i="4"/>
  <c r="I80" i="4"/>
  <c r="O87" i="4"/>
  <c r="S81" i="4"/>
  <c r="L80" i="4"/>
  <c r="P80" i="4"/>
  <c r="T81" i="4" s="1"/>
  <c r="M79" i="4"/>
  <c r="L79" i="4"/>
  <c r="AG41" i="4"/>
  <c r="AV41" i="4"/>
  <c r="AF41" i="4"/>
  <c r="AR51" i="4"/>
  <c r="U41" i="4"/>
  <c r="T41" i="4"/>
  <c r="V41" i="4"/>
  <c r="S41" i="4"/>
  <c r="K79" i="4"/>
  <c r="P87" i="4"/>
  <c r="AR61" i="4"/>
  <c r="AQ61" i="4"/>
  <c r="U43" i="4"/>
  <c r="T43" i="4"/>
  <c r="S43" i="4"/>
  <c r="V43" i="4"/>
  <c r="AD93" i="3"/>
  <c r="AD92" i="3"/>
  <c r="AC124" i="3"/>
  <c r="AB127" i="3"/>
  <c r="AA162" i="3"/>
  <c r="AA145" i="3"/>
  <c r="AA158" i="3"/>
  <c r="AA128" i="3"/>
  <c r="AA151" i="3"/>
  <c r="AU170" i="3"/>
  <c r="AF127" i="3"/>
  <c r="AF10" i="3"/>
  <c r="AF16" i="3"/>
  <c r="AA16" i="3"/>
  <c r="AA10" i="3"/>
  <c r="AO99" i="3"/>
  <c r="AO53" i="3"/>
  <c r="AO52" i="3"/>
  <c r="AE16" i="3"/>
  <c r="AE10" i="3"/>
  <c r="AG134" i="3"/>
  <c r="AG157" i="3"/>
  <c r="AB10" i="3"/>
  <c r="AP99" i="3"/>
  <c r="AP53" i="3"/>
  <c r="AP52" i="3"/>
  <c r="AS16" i="3"/>
  <c r="AS10" i="3"/>
  <c r="AV170" i="3"/>
  <c r="AS93" i="3"/>
  <c r="AS92" i="3"/>
  <c r="AG98" i="3"/>
  <c r="AD9" i="3"/>
  <c r="AN52" i="3"/>
  <c r="AN99" i="3"/>
  <c r="AE98" i="3"/>
  <c r="AB125" i="3"/>
  <c r="AG114" i="3"/>
  <c r="AF161" i="3"/>
  <c r="AF160" i="3"/>
  <c r="AF159" i="3"/>
  <c r="AR162" i="3"/>
  <c r="AR145" i="3"/>
  <c r="AR147" i="3" s="1"/>
  <c r="AS147" i="3" s="1"/>
  <c r="AA146" i="3" s="1"/>
  <c r="AR128" i="3"/>
  <c r="AR158" i="3"/>
  <c r="AR151" i="3"/>
  <c r="AD159" i="3"/>
  <c r="AF98" i="3"/>
  <c r="AR17" i="3"/>
  <c r="AR22" i="3"/>
  <c r="AO97" i="3"/>
  <c r="AP7" i="3"/>
  <c r="AO7" i="3"/>
  <c r="G24" i="1"/>
  <c r="G30" i="1" s="1"/>
  <c r="AE128" i="3"/>
  <c r="AE162" i="3"/>
  <c r="AE151" i="3"/>
  <c r="AE158" i="3"/>
  <c r="AE145" i="3"/>
  <c r="AC157" i="3"/>
  <c r="AD161" i="3"/>
  <c r="AC134" i="3"/>
  <c r="AU97" i="3"/>
  <c r="AG22" i="3" l="1"/>
  <c r="AG26" i="3" s="1"/>
  <c r="AG29" i="3" s="1"/>
  <c r="AI8" i="3"/>
  <c r="D9" i="6" s="1"/>
  <c r="F17" i="3"/>
  <c r="AT65" i="4"/>
  <c r="AC17" i="3"/>
  <c r="AV6" i="3"/>
  <c r="AK61" i="3"/>
  <c r="AJ61" i="3"/>
  <c r="AO64" i="4"/>
  <c r="AF49" i="4"/>
  <c r="AH49" i="4"/>
  <c r="AP66" i="4"/>
  <c r="AH43" i="4"/>
  <c r="AQ52" i="3"/>
  <c r="AS153" i="3"/>
  <c r="F17" i="5"/>
  <c r="H17" i="5" s="1"/>
  <c r="D16" i="6"/>
  <c r="F26" i="6"/>
  <c r="AJ67" i="3"/>
  <c r="AK67" i="3" s="1"/>
  <c r="AV27" i="3"/>
  <c r="H26" i="6" s="1"/>
  <c r="J26" i="6" s="1"/>
  <c r="F20" i="6"/>
  <c r="F27" i="6"/>
  <c r="H47" i="1"/>
  <c r="H46" i="1"/>
  <c r="H45" i="1"/>
  <c r="J38" i="1"/>
  <c r="I44" i="1"/>
  <c r="AS65" i="4"/>
  <c r="AR65" i="4"/>
  <c r="AU12" i="3"/>
  <c r="AQ99" i="3"/>
  <c r="AQ53" i="3"/>
  <c r="H15" i="6"/>
  <c r="J15" i="6" s="1"/>
  <c r="AI41" i="4"/>
  <c r="AL41" i="4"/>
  <c r="AK41" i="4"/>
  <c r="AJ41" i="4"/>
  <c r="AW45" i="4"/>
  <c r="AX45" i="4" s="1"/>
  <c r="AY45" i="4" s="1"/>
  <c r="AZ45" i="4" s="1"/>
  <c r="BA45" i="4" s="1"/>
  <c r="AI45" i="4"/>
  <c r="AL45" i="4"/>
  <c r="AJ45" i="4"/>
  <c r="AK45" i="4"/>
  <c r="AV60" i="4"/>
  <c r="AV61" i="4" s="1"/>
  <c r="AU161" i="3"/>
  <c r="AI159" i="3"/>
  <c r="AL97" i="3"/>
  <c r="AL61" i="3" s="1"/>
  <c r="AV61" i="3" s="1"/>
  <c r="AL7" i="3"/>
  <c r="AU68" i="4"/>
  <c r="AU51" i="3" s="1"/>
  <c r="AK63" i="3"/>
  <c r="AI22" i="3"/>
  <c r="AK22" i="3"/>
  <c r="AJ22" i="3"/>
  <c r="H21" i="6"/>
  <c r="AZ14" i="3"/>
  <c r="BA14" i="3" s="1"/>
  <c r="AE51" i="4"/>
  <c r="AC127" i="3"/>
  <c r="AC158" i="3" s="1"/>
  <c r="AV28" i="3"/>
  <c r="AU66" i="3"/>
  <c r="AJ114" i="3"/>
  <c r="AJ159" i="3" s="1"/>
  <c r="AJ68" i="4"/>
  <c r="AL72" i="3"/>
  <c r="AK103" i="3"/>
  <c r="AL19" i="3" s="1"/>
  <c r="AI69" i="4"/>
  <c r="AI51" i="3"/>
  <c r="AW47" i="4"/>
  <c r="AX47" i="4" s="1"/>
  <c r="AY47" i="4" s="1"/>
  <c r="AZ47" i="4" s="1"/>
  <c r="BA47" i="4" s="1"/>
  <c r="AI47" i="4"/>
  <c r="AL47" i="4"/>
  <c r="AK47" i="4"/>
  <c r="AJ47" i="4"/>
  <c r="AL85" i="4"/>
  <c r="AL83" i="4"/>
  <c r="AL84" i="4" s="1"/>
  <c r="AL82" i="4"/>
  <c r="AL86" i="4"/>
  <c r="AL87" i="4" s="1"/>
  <c r="AC125" i="3"/>
  <c r="AL72" i="4"/>
  <c r="AL71" i="4" s="1"/>
  <c r="AK71" i="4"/>
  <c r="AJ15" i="3"/>
  <c r="AK15" i="3" s="1"/>
  <c r="AL15" i="3" s="1"/>
  <c r="AG17" i="3"/>
  <c r="AJ31" i="3"/>
  <c r="AJ33" i="3" s="1"/>
  <c r="AJ35" i="3" s="1"/>
  <c r="AJ139" i="3" s="1"/>
  <c r="AI33" i="3"/>
  <c r="AL49" i="3"/>
  <c r="AL48" i="3" s="1"/>
  <c r="AK48" i="3"/>
  <c r="AU34" i="3"/>
  <c r="F13" i="1"/>
  <c r="F14" i="1" s="1"/>
  <c r="AU61" i="3"/>
  <c r="AU91" i="3" s="1"/>
  <c r="AC22" i="3"/>
  <c r="AC26" i="3" s="1"/>
  <c r="AC29" i="3" s="1"/>
  <c r="AJ10" i="3"/>
  <c r="I29" i="5"/>
  <c r="G29" i="5"/>
  <c r="X51" i="4"/>
  <c r="Z51" i="4"/>
  <c r="AD51" i="4"/>
  <c r="AC51" i="4"/>
  <c r="AV49" i="4"/>
  <c r="W51" i="4"/>
  <c r="AA51" i="4"/>
  <c r="M81" i="4"/>
  <c r="AO80" i="4"/>
  <c r="AX30" i="4"/>
  <c r="AG49" i="4"/>
  <c r="Y51" i="4"/>
  <c r="AB51" i="4"/>
  <c r="AT81" i="4"/>
  <c r="AG43" i="4"/>
  <c r="AV43" i="4"/>
  <c r="AF43" i="4"/>
  <c r="R81" i="4"/>
  <c r="P81" i="4"/>
  <c r="AW30" i="4"/>
  <c r="T51" i="4"/>
  <c r="AP84" i="4"/>
  <c r="U51" i="4"/>
  <c r="AQ87" i="4"/>
  <c r="AP80" i="4"/>
  <c r="AQ80" i="4"/>
  <c r="AR81" i="4" s="1"/>
  <c r="L81" i="4"/>
  <c r="AW41" i="4"/>
  <c r="AQ69" i="4"/>
  <c r="G79" i="4"/>
  <c r="J80" i="4"/>
  <c r="N81" i="4" s="1"/>
  <c r="S51" i="4"/>
  <c r="AP87" i="4"/>
  <c r="AU86" i="4"/>
  <c r="AU78" i="4"/>
  <c r="AU83" i="4"/>
  <c r="V51" i="4"/>
  <c r="AS81" i="4"/>
  <c r="AS149" i="3"/>
  <c r="AS172" i="3" s="1"/>
  <c r="AA147" i="3"/>
  <c r="AB146" i="3" s="1"/>
  <c r="H24" i="1"/>
  <c r="H30" i="1" s="1"/>
  <c r="AR152" i="3"/>
  <c r="AR153" i="3"/>
  <c r="AF17" i="3"/>
  <c r="AF22" i="3"/>
  <c r="AU157" i="3"/>
  <c r="AU134" i="3"/>
  <c r="AE152" i="3"/>
  <c r="AE153" i="3"/>
  <c r="AR26" i="3"/>
  <c r="AR29" i="3" s="1"/>
  <c r="AR25" i="3"/>
  <c r="AR100" i="3" s="1"/>
  <c r="AC128" i="3"/>
  <c r="AW170" i="3"/>
  <c r="AW47" i="3"/>
  <c r="AG25" i="3"/>
  <c r="AB145" i="3"/>
  <c r="AB151" i="3"/>
  <c r="AB128" i="3"/>
  <c r="AB162" i="3"/>
  <c r="AB158" i="3"/>
  <c r="AB17" i="3"/>
  <c r="AB22" i="3"/>
  <c r="AE17" i="3"/>
  <c r="AE22" i="3"/>
  <c r="AE25" i="3" s="1"/>
  <c r="AD157" i="3"/>
  <c r="AE93" i="3"/>
  <c r="AE92" i="3"/>
  <c r="AD16" i="3"/>
  <c r="AD10" i="3"/>
  <c r="AG93" i="3"/>
  <c r="AI93" i="3" s="1"/>
  <c r="AJ93" i="3" s="1"/>
  <c r="AK93" i="3" s="1"/>
  <c r="AL93" i="3" s="1"/>
  <c r="AG92" i="3"/>
  <c r="AI92" i="3" s="1"/>
  <c r="AJ92" i="3" s="1"/>
  <c r="AK92" i="3" s="1"/>
  <c r="AL92" i="3" s="1"/>
  <c r="AA152" i="3"/>
  <c r="AA153" i="3"/>
  <c r="AT160" i="3"/>
  <c r="AT159" i="3"/>
  <c r="AT161" i="3"/>
  <c r="AS22" i="3"/>
  <c r="AS17" i="3"/>
  <c r="AT98" i="3"/>
  <c r="AT9" i="3"/>
  <c r="AT16" i="3" s="1"/>
  <c r="AF93" i="3"/>
  <c r="AF92" i="3"/>
  <c r="AG161" i="3"/>
  <c r="AG159" i="3"/>
  <c r="AG160" i="3"/>
  <c r="AF128" i="3"/>
  <c r="AF162" i="3"/>
  <c r="AF151" i="3"/>
  <c r="AF145" i="3"/>
  <c r="AF158" i="3"/>
  <c r="AG127" i="3"/>
  <c r="AA22" i="3"/>
  <c r="AA17" i="3"/>
  <c r="AV41" i="3" l="1"/>
  <c r="AV157" i="3"/>
  <c r="AV7" i="3"/>
  <c r="E10" i="2" s="1"/>
  <c r="AJ121" i="3"/>
  <c r="AV48" i="3"/>
  <c r="AS154" i="3"/>
  <c r="AV71" i="4"/>
  <c r="AV72" i="4" s="1"/>
  <c r="AW72" i="4" s="1"/>
  <c r="AX72" i="4" s="1"/>
  <c r="AY72" i="4" s="1"/>
  <c r="AZ72" i="4" s="1"/>
  <c r="BA72" i="4" s="1"/>
  <c r="F10" i="5"/>
  <c r="K10" i="5" s="1"/>
  <c r="AK121" i="3"/>
  <c r="AI121" i="3"/>
  <c r="AU65" i="4"/>
  <c r="AH51" i="4"/>
  <c r="AF51" i="4"/>
  <c r="AG51" i="4"/>
  <c r="AC25" i="3"/>
  <c r="AC166" i="3" s="1"/>
  <c r="AW27" i="3"/>
  <c r="AX27" i="3" s="1"/>
  <c r="AY27" i="3" s="1"/>
  <c r="AZ27" i="3" s="1"/>
  <c r="BA27" i="3" s="1"/>
  <c r="AV15" i="3"/>
  <c r="H16" i="6" s="1"/>
  <c r="F9" i="6"/>
  <c r="D10" i="6"/>
  <c r="AV49" i="3"/>
  <c r="AW49" i="3" s="1"/>
  <c r="J21" i="6"/>
  <c r="AV19" i="3"/>
  <c r="H20" i="6" s="1"/>
  <c r="AL117" i="3"/>
  <c r="AV117" i="3" s="1"/>
  <c r="F16" i="6"/>
  <c r="K38" i="1"/>
  <c r="K44" i="1" s="1"/>
  <c r="J44" i="1"/>
  <c r="I45" i="1"/>
  <c r="I46" i="1"/>
  <c r="I47" i="1"/>
  <c r="AU160" i="3"/>
  <c r="AU159" i="3"/>
  <c r="AU16" i="3"/>
  <c r="AU13" i="3"/>
  <c r="Z65" i="4"/>
  <c r="T65" i="4"/>
  <c r="X65" i="4"/>
  <c r="AA65" i="4"/>
  <c r="AB65" i="4"/>
  <c r="Y65" i="4"/>
  <c r="S65" i="4"/>
  <c r="W65" i="4"/>
  <c r="AC65" i="4"/>
  <c r="U65" i="4"/>
  <c r="AD65" i="4"/>
  <c r="AU99" i="3"/>
  <c r="C25" i="1"/>
  <c r="AU52" i="3"/>
  <c r="AU53" i="3"/>
  <c r="AJ69" i="4"/>
  <c r="AJ51" i="3"/>
  <c r="AC162" i="3"/>
  <c r="AI160" i="3"/>
  <c r="AJ118" i="3"/>
  <c r="AK118" i="3" s="1"/>
  <c r="AL118" i="3" s="1"/>
  <c r="AC151" i="3"/>
  <c r="AC152" i="3" s="1"/>
  <c r="AW49" i="4"/>
  <c r="AX49" i="4" s="1"/>
  <c r="AY49" i="4" s="1"/>
  <c r="AZ49" i="4" s="1"/>
  <c r="BA49" i="4" s="1"/>
  <c r="AJ49" i="4"/>
  <c r="AL49" i="4"/>
  <c r="AI49" i="4"/>
  <c r="AK49" i="4"/>
  <c r="AK114" i="3"/>
  <c r="AK68" i="4"/>
  <c r="AL63" i="3"/>
  <c r="AV63" i="3" s="1"/>
  <c r="AV78" i="4"/>
  <c r="AV83" i="4"/>
  <c r="AV84" i="4" s="1"/>
  <c r="AV86" i="4"/>
  <c r="AV87" i="4" s="1"/>
  <c r="AW43" i="4"/>
  <c r="AX43" i="4" s="1"/>
  <c r="AY43" i="4" s="1"/>
  <c r="AZ43" i="4" s="1"/>
  <c r="BA43" i="4" s="1"/>
  <c r="AI43" i="4"/>
  <c r="AL43" i="4"/>
  <c r="AK43" i="4"/>
  <c r="AJ43" i="4"/>
  <c r="AV72" i="3"/>
  <c r="AL103" i="3"/>
  <c r="AV20" i="3" s="1"/>
  <c r="AW20" i="3" s="1"/>
  <c r="AI99" i="3"/>
  <c r="AL22" i="3"/>
  <c r="AL17" i="3"/>
  <c r="H27" i="6"/>
  <c r="AW28" i="3"/>
  <c r="AU69" i="3"/>
  <c r="AC145" i="3"/>
  <c r="AU69" i="4"/>
  <c r="AL114" i="3"/>
  <c r="AL159" i="3" s="1"/>
  <c r="AL68" i="4"/>
  <c r="AI52" i="3"/>
  <c r="AI53" i="3"/>
  <c r="AV66" i="4"/>
  <c r="AL121" i="3"/>
  <c r="AK124" i="3"/>
  <c r="AJ141" i="3"/>
  <c r="AJ169" i="3"/>
  <c r="AK31" i="3"/>
  <c r="AK33" i="3" s="1"/>
  <c r="AK35" i="3" s="1"/>
  <c r="AK139" i="3" s="1"/>
  <c r="AI35" i="3"/>
  <c r="AU141" i="3"/>
  <c r="AK10" i="3"/>
  <c r="AJ9" i="3"/>
  <c r="E39" i="2"/>
  <c r="G31" i="5"/>
  <c r="I31" i="5"/>
  <c r="AX36" i="4"/>
  <c r="AV51" i="4"/>
  <c r="AU80" i="4"/>
  <c r="AX41" i="4"/>
  <c r="AY41" i="4" s="1"/>
  <c r="AQ81" i="4"/>
  <c r="AU84" i="4"/>
  <c r="AU87" i="4"/>
  <c r="V65" i="4"/>
  <c r="AP81" i="4"/>
  <c r="AG166" i="3"/>
  <c r="AU98" i="3"/>
  <c r="AT125" i="3"/>
  <c r="AT158" i="3"/>
  <c r="AG37" i="3"/>
  <c r="AG38" i="3"/>
  <c r="AA26" i="3"/>
  <c r="AA29" i="3" s="1"/>
  <c r="AA25" i="3"/>
  <c r="AD151" i="3"/>
  <c r="AD162" i="3"/>
  <c r="AD158" i="3"/>
  <c r="AB25" i="3"/>
  <c r="AB26" i="3"/>
  <c r="AB29" i="3" s="1"/>
  <c r="AE154" i="3"/>
  <c r="AF153" i="3"/>
  <c r="AF152" i="3"/>
  <c r="AT10" i="3"/>
  <c r="AB153" i="3"/>
  <c r="AB152" i="3"/>
  <c r="AX170" i="3"/>
  <c r="AX47" i="3"/>
  <c r="AF26" i="3"/>
  <c r="AF29" i="3" s="1"/>
  <c r="AF25" i="3"/>
  <c r="AH100" i="3" s="1"/>
  <c r="AH108" i="3" s="1"/>
  <c r="AG162" i="3"/>
  <c r="AG145" i="3"/>
  <c r="AG151" i="3"/>
  <c r="AG128" i="3"/>
  <c r="AG158" i="3"/>
  <c r="AS25" i="3"/>
  <c r="AS26" i="3"/>
  <c r="AS29" i="3" s="1"/>
  <c r="AD22" i="3"/>
  <c r="AD17" i="3"/>
  <c r="AT157" i="3"/>
  <c r="AT134" i="3"/>
  <c r="AE26" i="3"/>
  <c r="AE29" i="3" s="1"/>
  <c r="AR37" i="3"/>
  <c r="AR38" i="3"/>
  <c r="AR39" i="3" s="1"/>
  <c r="AT92" i="3"/>
  <c r="AT93" i="3"/>
  <c r="AC37" i="3"/>
  <c r="AC38" i="3"/>
  <c r="AB147" i="3"/>
  <c r="AC146" i="3" s="1"/>
  <c r="I24" i="1"/>
  <c r="I30" i="1" s="1"/>
  <c r="L26" i="6" l="1"/>
  <c r="N26" i="6" s="1"/>
  <c r="AE65" i="4"/>
  <c r="AL51" i="4"/>
  <c r="L10" i="5"/>
  <c r="F11" i="5"/>
  <c r="F12" i="5" s="1"/>
  <c r="H12" i="5" s="1"/>
  <c r="H10" i="5"/>
  <c r="L16" i="6"/>
  <c r="AV121" i="3"/>
  <c r="AJ99" i="3"/>
  <c r="AG65" i="4"/>
  <c r="AF65" i="4"/>
  <c r="AH65" i="4"/>
  <c r="AK51" i="4"/>
  <c r="AJ51" i="4"/>
  <c r="AC153" i="3"/>
  <c r="AL67" i="3"/>
  <c r="AV67" i="3" s="1"/>
  <c r="AW67" i="3" s="1"/>
  <c r="AX67" i="3" s="1"/>
  <c r="AY67" i="3" s="1"/>
  <c r="AZ67" i="3" s="1"/>
  <c r="BA67" i="3" s="1"/>
  <c r="AV68" i="4"/>
  <c r="D32" i="6"/>
  <c r="F33" i="5"/>
  <c r="J16" i="6"/>
  <c r="J20" i="6"/>
  <c r="AU169" i="3"/>
  <c r="F10" i="6"/>
  <c r="D11" i="6"/>
  <c r="F11" i="6" s="1"/>
  <c r="AX49" i="3"/>
  <c r="AY49" i="3" s="1"/>
  <c r="AZ49" i="3" s="1"/>
  <c r="AX28" i="3"/>
  <c r="AY28" i="3" s="1"/>
  <c r="AZ28" i="3" s="1"/>
  <c r="BA28" i="3" s="1"/>
  <c r="L27" i="6"/>
  <c r="D13" i="6"/>
  <c r="D17" i="6" s="1"/>
  <c r="F14" i="5"/>
  <c r="J47" i="1"/>
  <c r="J46" i="1"/>
  <c r="J45" i="1"/>
  <c r="K47" i="1"/>
  <c r="K46" i="1"/>
  <c r="K45" i="1"/>
  <c r="J27" i="6"/>
  <c r="AV65" i="4"/>
  <c r="AI51" i="4"/>
  <c r="AI65" i="4" s="1"/>
  <c r="AW51" i="4"/>
  <c r="AW63" i="3"/>
  <c r="AX63" i="3" s="1"/>
  <c r="AW124" i="3"/>
  <c r="AC147" i="3"/>
  <c r="AL69" i="4"/>
  <c r="AL51" i="3"/>
  <c r="AJ52" i="3"/>
  <c r="AJ53" i="3"/>
  <c r="AK159" i="3"/>
  <c r="AV114" i="3"/>
  <c r="AK69" i="4"/>
  <c r="AK51" i="3"/>
  <c r="AZ41" i="4"/>
  <c r="AY51" i="4"/>
  <c r="AV118" i="3"/>
  <c r="AW118" i="3" s="1"/>
  <c r="AX118" i="3" s="1"/>
  <c r="AY118" i="3" s="1"/>
  <c r="AX20" i="3"/>
  <c r="AW72" i="3"/>
  <c r="AV103" i="3"/>
  <c r="AV80" i="4"/>
  <c r="AW78" i="4"/>
  <c r="AV69" i="3"/>
  <c r="AL124" i="3"/>
  <c r="AV124" i="3" s="1"/>
  <c r="AL31" i="3"/>
  <c r="AV31" i="3" s="1"/>
  <c r="AK169" i="3"/>
  <c r="AK141" i="3"/>
  <c r="AI139" i="3"/>
  <c r="AJ8" i="3"/>
  <c r="AJ12" i="3"/>
  <c r="AI100" i="3"/>
  <c r="AL9" i="3"/>
  <c r="AK9" i="3"/>
  <c r="AI98" i="3"/>
  <c r="AF166" i="3"/>
  <c r="AU73" i="3"/>
  <c r="AU92" i="3" s="1"/>
  <c r="AX51" i="4"/>
  <c r="AU81" i="4"/>
  <c r="AS166" i="3"/>
  <c r="AS100" i="3"/>
  <c r="AS108" i="3" s="1"/>
  <c r="AE37" i="3"/>
  <c r="AE38" i="3"/>
  <c r="AB37" i="3"/>
  <c r="AB38" i="3"/>
  <c r="AD152" i="3"/>
  <c r="AD153" i="3"/>
  <c r="AH154" i="3" s="1"/>
  <c r="AT17" i="3"/>
  <c r="AT22" i="3"/>
  <c r="AB166" i="3"/>
  <c r="AT145" i="3"/>
  <c r="AT147" i="3" s="1"/>
  <c r="AT151" i="3"/>
  <c r="AT128" i="3"/>
  <c r="AT162" i="3"/>
  <c r="AS38" i="3"/>
  <c r="AS39" i="3" s="1"/>
  <c r="AS37" i="3"/>
  <c r="AU62" i="3"/>
  <c r="J24" i="1"/>
  <c r="J30" i="1" s="1"/>
  <c r="AF154" i="3"/>
  <c r="AD26" i="3"/>
  <c r="AD29" i="3" s="1"/>
  <c r="AD25" i="3"/>
  <c r="AD100" i="3" s="1"/>
  <c r="AD108" i="3" s="1"/>
  <c r="AF38" i="3"/>
  <c r="AF37" i="3"/>
  <c r="AA166" i="3"/>
  <c r="AU10" i="3"/>
  <c r="AG152" i="3"/>
  <c r="AG153" i="3"/>
  <c r="AA37" i="3"/>
  <c r="AA38" i="3"/>
  <c r="AE166" i="3"/>
  <c r="AG39" i="3"/>
  <c r="AL65" i="4" l="1"/>
  <c r="K12" i="5"/>
  <c r="L11" i="5"/>
  <c r="H11" i="5"/>
  <c r="J11" i="5"/>
  <c r="F18" i="5"/>
  <c r="F23" i="5" s="1"/>
  <c r="K11" i="5"/>
  <c r="AY48" i="3"/>
  <c r="AT149" i="3"/>
  <c r="AT172" i="3" s="1"/>
  <c r="AU146" i="3"/>
  <c r="AD146" i="3"/>
  <c r="AD147" i="3" s="1"/>
  <c r="AD149" i="3" s="1"/>
  <c r="AK65" i="4"/>
  <c r="AG154" i="3"/>
  <c r="AJ13" i="3"/>
  <c r="AJ65" i="4"/>
  <c r="AX48" i="3"/>
  <c r="F17" i="6"/>
  <c r="D22" i="6"/>
  <c r="D18" i="6"/>
  <c r="F18" i="6" s="1"/>
  <c r="N27" i="6"/>
  <c r="F15" i="5"/>
  <c r="H15" i="5" s="1"/>
  <c r="H14" i="5"/>
  <c r="D14" i="6"/>
  <c r="F14" i="6" s="1"/>
  <c r="F13" i="6"/>
  <c r="N16" i="6"/>
  <c r="H33" i="5"/>
  <c r="K33" i="5"/>
  <c r="J33" i="5"/>
  <c r="L33" i="5"/>
  <c r="F32" i="6"/>
  <c r="G27" i="6"/>
  <c r="G26" i="6"/>
  <c r="AY63" i="4"/>
  <c r="AW63" i="4"/>
  <c r="AX63" i="4"/>
  <c r="AL33" i="3"/>
  <c r="AV33" i="3" s="1"/>
  <c r="AV81" i="4"/>
  <c r="G15" i="1"/>
  <c r="AZ118" i="3"/>
  <c r="AX72" i="3"/>
  <c r="AW103" i="3"/>
  <c r="AX19" i="3" s="1"/>
  <c r="BA41" i="4"/>
  <c r="BA51" i="4" s="1"/>
  <c r="AZ51" i="4"/>
  <c r="AL52" i="3"/>
  <c r="AL53" i="3"/>
  <c r="AY20" i="3"/>
  <c r="BA49" i="3"/>
  <c r="BA48" i="3" s="1"/>
  <c r="AZ48" i="3"/>
  <c r="AX78" i="4"/>
  <c r="AW80" i="4"/>
  <c r="AW81" i="4" s="1"/>
  <c r="AK52" i="3"/>
  <c r="AK53" i="3"/>
  <c r="AK99" i="3"/>
  <c r="AL99" i="3"/>
  <c r="AW19" i="3"/>
  <c r="L20" i="6" s="1"/>
  <c r="AX124" i="3"/>
  <c r="AY63" i="3"/>
  <c r="AY124" i="3" s="1"/>
  <c r="AU75" i="3"/>
  <c r="AU80" i="3" s="1"/>
  <c r="AJ98" i="3"/>
  <c r="AJ73" i="3" s="1"/>
  <c r="AI141" i="3"/>
  <c r="AI169" i="3"/>
  <c r="AV32" i="3"/>
  <c r="AW32" i="3" s="1"/>
  <c r="AX32" i="3" s="1"/>
  <c r="AY32" i="3" s="1"/>
  <c r="AZ32" i="3" s="1"/>
  <c r="BA32" i="3" s="1"/>
  <c r="AL12" i="3"/>
  <c r="AL8" i="3"/>
  <c r="AI62" i="3"/>
  <c r="AI73" i="3"/>
  <c r="AI166" i="3"/>
  <c r="AI24" i="3"/>
  <c r="AK8" i="3"/>
  <c r="AK12" i="3"/>
  <c r="AF39" i="3"/>
  <c r="AT26" i="3"/>
  <c r="AT29" i="3" s="1"/>
  <c r="AT25" i="3"/>
  <c r="AE39" i="3"/>
  <c r="AU24" i="3"/>
  <c r="AU22" i="3"/>
  <c r="AD166" i="3"/>
  <c r="AF100" i="3"/>
  <c r="AF108" i="3" s="1"/>
  <c r="AG100" i="3"/>
  <c r="AG108" i="3" s="1"/>
  <c r="AU125" i="3"/>
  <c r="AE100" i="3"/>
  <c r="AE108" i="3" s="1"/>
  <c r="AD38" i="3"/>
  <c r="AD37" i="3"/>
  <c r="AU93" i="3"/>
  <c r="AT152" i="3"/>
  <c r="AT153" i="3"/>
  <c r="AT154" i="3" s="1"/>
  <c r="AW58" i="4" l="1"/>
  <c r="AW71" i="4" s="1"/>
  <c r="AW66" i="4"/>
  <c r="AX66" i="4"/>
  <c r="AY64" i="4"/>
  <c r="AY66" i="4"/>
  <c r="K18" i="5"/>
  <c r="H18" i="5"/>
  <c r="L18" i="5"/>
  <c r="F19" i="5"/>
  <c r="K19" i="5" s="1"/>
  <c r="J18" i="5"/>
  <c r="AE146" i="3"/>
  <c r="AE147" i="3" s="1"/>
  <c r="AE149" i="3" s="1"/>
  <c r="AH39" i="3"/>
  <c r="AL13" i="3"/>
  <c r="AW31" i="3"/>
  <c r="N20" i="6"/>
  <c r="F22" i="6"/>
  <c r="D24" i="6"/>
  <c r="D28" i="6" s="1"/>
  <c r="F25" i="5"/>
  <c r="F29" i="5" s="1"/>
  <c r="F31" i="5" s="1"/>
  <c r="AZ63" i="4"/>
  <c r="AZ66" i="4" s="1"/>
  <c r="AW64" i="4"/>
  <c r="AX64" i="4"/>
  <c r="BA63" i="4"/>
  <c r="BA64" i="4" s="1"/>
  <c r="AL35" i="3"/>
  <c r="AL139" i="3" s="1"/>
  <c r="AZ20" i="3"/>
  <c r="AV8" i="3"/>
  <c r="AV9" i="3" s="1"/>
  <c r="AV10" i="3" s="1"/>
  <c r="AW10" i="3" s="1"/>
  <c r="AX10" i="3" s="1"/>
  <c r="AY10" i="3" s="1"/>
  <c r="AZ10" i="3" s="1"/>
  <c r="BA10" i="3" s="1"/>
  <c r="AZ63" i="3"/>
  <c r="AZ124" i="3" s="1"/>
  <c r="AX80" i="4"/>
  <c r="AX81" i="4" s="1"/>
  <c r="AY78" i="4"/>
  <c r="AY72" i="3"/>
  <c r="AX103" i="3"/>
  <c r="AY19" i="3" s="1"/>
  <c r="BA118" i="3"/>
  <c r="AJ62" i="3"/>
  <c r="AJ122" i="3" s="1"/>
  <c r="AK13" i="3"/>
  <c r="AV12" i="3"/>
  <c r="AI26" i="3"/>
  <c r="AI29" i="3" s="1"/>
  <c r="AI123" i="3"/>
  <c r="AI75" i="3"/>
  <c r="AI80" i="3" s="1"/>
  <c r="AI122" i="3"/>
  <c r="AJ75" i="3"/>
  <c r="AJ80" i="3" s="1"/>
  <c r="AJ123" i="3"/>
  <c r="AL98" i="3"/>
  <c r="AK98" i="3"/>
  <c r="AJ166" i="3"/>
  <c r="AK100" i="3"/>
  <c r="AJ24" i="3"/>
  <c r="AJ100" i="3"/>
  <c r="H8" i="6"/>
  <c r="J8" i="6" s="1"/>
  <c r="Y9" i="5"/>
  <c r="E9" i="2"/>
  <c r="AV97" i="3"/>
  <c r="H23" i="5"/>
  <c r="L23" i="5"/>
  <c r="K23" i="5"/>
  <c r="J23" i="5"/>
  <c r="AU26" i="3"/>
  <c r="AT166" i="3"/>
  <c r="AT100" i="3"/>
  <c r="AT108" i="3" s="1"/>
  <c r="AT37" i="3"/>
  <c r="AT38" i="3"/>
  <c r="AT39" i="3" s="1"/>
  <c r="AU25" i="3"/>
  <c r="AV13" i="3" l="1"/>
  <c r="AV16" i="3"/>
  <c r="AV22" i="3" s="1"/>
  <c r="AW6" i="3"/>
  <c r="AW41" i="3" s="1"/>
  <c r="AX58" i="4"/>
  <c r="AX71" i="4" s="1"/>
  <c r="AW77" i="4"/>
  <c r="AW68" i="4" s="1"/>
  <c r="AW60" i="4"/>
  <c r="AW61" i="4" s="1"/>
  <c r="BA66" i="4"/>
  <c r="H19" i="5"/>
  <c r="AV35" i="3"/>
  <c r="H32" i="6" s="1"/>
  <c r="AI113" i="3"/>
  <c r="AF146" i="3"/>
  <c r="AF147" i="3" s="1"/>
  <c r="AF149" i="3" s="1"/>
  <c r="G32" i="6"/>
  <c r="F28" i="6"/>
  <c r="D30" i="6"/>
  <c r="F26" i="5"/>
  <c r="H26" i="5" s="1"/>
  <c r="F24" i="6"/>
  <c r="D25" i="6"/>
  <c r="H25" i="5"/>
  <c r="AV91" i="3"/>
  <c r="AA9" i="5"/>
  <c r="Z9" i="5"/>
  <c r="AW114" i="3"/>
  <c r="AZ64" i="4"/>
  <c r="AI37" i="3"/>
  <c r="BA63" i="3"/>
  <c r="BA124" i="3" s="1"/>
  <c r="AY103" i="3"/>
  <c r="AZ72" i="3"/>
  <c r="BA20" i="3"/>
  <c r="AZ19" i="3"/>
  <c r="AY80" i="4"/>
  <c r="AY81" i="4" s="1"/>
  <c r="AZ78" i="4"/>
  <c r="AU127" i="3"/>
  <c r="AI38" i="3"/>
  <c r="AU29" i="3"/>
  <c r="AU38" i="3" s="1"/>
  <c r="AL169" i="3"/>
  <c r="AL141" i="3"/>
  <c r="AV139" i="3"/>
  <c r="AW33" i="3"/>
  <c r="AX31" i="3"/>
  <c r="AJ26" i="3"/>
  <c r="AJ29" i="3" s="1"/>
  <c r="AI125" i="3"/>
  <c r="AI94" i="3" s="1"/>
  <c r="AK73" i="3"/>
  <c r="AK62" i="3"/>
  <c r="AJ125" i="3"/>
  <c r="AJ94" i="3" s="1"/>
  <c r="AL73" i="3"/>
  <c r="AV73" i="3" s="1"/>
  <c r="AL62" i="3"/>
  <c r="AV62" i="3" s="1"/>
  <c r="AK166" i="3"/>
  <c r="AL100" i="3"/>
  <c r="AK24" i="3"/>
  <c r="AK26" i="3" s="1"/>
  <c r="AK29" i="3" s="1"/>
  <c r="AV69" i="4"/>
  <c r="AV51" i="3"/>
  <c r="AV160" i="3"/>
  <c r="AV159" i="3"/>
  <c r="AV98" i="3"/>
  <c r="H9" i="6"/>
  <c r="H13" i="6"/>
  <c r="J29" i="5"/>
  <c r="H29" i="5"/>
  <c r="L29" i="5"/>
  <c r="K31" i="5"/>
  <c r="K29" i="5"/>
  <c r="AU166" i="3"/>
  <c r="AU100" i="3"/>
  <c r="AW7" i="3" l="1"/>
  <c r="F9" i="2"/>
  <c r="F10" i="2" s="1"/>
  <c r="AI127" i="3"/>
  <c r="AI128" i="3" s="1"/>
  <c r="AI84" i="3"/>
  <c r="AW97" i="3"/>
  <c r="AW130" i="3" s="1"/>
  <c r="L35" i="6" s="1"/>
  <c r="N35" i="6" s="1"/>
  <c r="AW9" i="3"/>
  <c r="AW8" i="3" s="1"/>
  <c r="AW98" i="3" s="1"/>
  <c r="AY58" i="4"/>
  <c r="AY71" i="4" s="1"/>
  <c r="AW86" i="4"/>
  <c r="AW87" i="4" s="1"/>
  <c r="AW16" i="3"/>
  <c r="F15" i="2" s="1"/>
  <c r="AX6" i="3"/>
  <c r="AX9" i="3" s="1"/>
  <c r="L8" i="6"/>
  <c r="N8" i="6" s="1"/>
  <c r="AW83" i="4"/>
  <c r="AW84" i="4" s="1"/>
  <c r="AX77" i="4"/>
  <c r="AX86" i="4" s="1"/>
  <c r="AX60" i="4"/>
  <c r="AX61" i="4" s="1"/>
  <c r="AV34" i="3"/>
  <c r="AW34" i="3" s="1"/>
  <c r="AX34" i="3" s="1"/>
  <c r="AY34" i="3" s="1"/>
  <c r="AZ34" i="3" s="1"/>
  <c r="BA34" i="3" s="1"/>
  <c r="G13" i="1"/>
  <c r="P38" i="2" s="1"/>
  <c r="AW91" i="3"/>
  <c r="AX91" i="3" s="1"/>
  <c r="AY91" i="3" s="1"/>
  <c r="AZ91" i="3" s="1"/>
  <c r="BA91" i="3" s="1"/>
  <c r="AG146" i="3"/>
  <c r="AG147" i="3" s="1"/>
  <c r="AH146" i="3" s="1"/>
  <c r="AH147" i="3" s="1"/>
  <c r="AH149" i="3" s="1"/>
  <c r="AI39" i="3"/>
  <c r="AJ113" i="3"/>
  <c r="G30" i="6"/>
  <c r="F30" i="6"/>
  <c r="F25" i="6"/>
  <c r="G15" i="6"/>
  <c r="G21" i="6"/>
  <c r="G20" i="6"/>
  <c r="G16" i="6"/>
  <c r="G10" i="6"/>
  <c r="G17" i="6"/>
  <c r="G13" i="6"/>
  <c r="G22" i="6"/>
  <c r="J13" i="6"/>
  <c r="J32" i="6"/>
  <c r="K26" i="6"/>
  <c r="K27" i="6"/>
  <c r="H10" i="6"/>
  <c r="H11" i="6" s="1"/>
  <c r="J11" i="6" s="1"/>
  <c r="J9" i="6"/>
  <c r="AX114" i="3"/>
  <c r="AV17" i="3"/>
  <c r="E15" i="2"/>
  <c r="E16" i="2" s="1"/>
  <c r="Y10" i="5"/>
  <c r="AZ80" i="4"/>
  <c r="AZ81" i="4" s="1"/>
  <c r="BA78" i="4"/>
  <c r="BA80" i="4" s="1"/>
  <c r="AZ103" i="3"/>
  <c r="BA19" i="3" s="1"/>
  <c r="BA72" i="3"/>
  <c r="AX33" i="3"/>
  <c r="AX35" i="3" s="1"/>
  <c r="AX139" i="3" s="1"/>
  <c r="AY31" i="3"/>
  <c r="AV92" i="3"/>
  <c r="AW92" i="3" s="1"/>
  <c r="AX92" i="3" s="1"/>
  <c r="AY92" i="3" s="1"/>
  <c r="AV134" i="3"/>
  <c r="AV93" i="3"/>
  <c r="AW93" i="3" s="1"/>
  <c r="AX93" i="3" s="1"/>
  <c r="AY93" i="3" s="1"/>
  <c r="AZ93" i="3" s="1"/>
  <c r="BA93" i="3" s="1"/>
  <c r="AU37" i="3"/>
  <c r="AU39" i="3"/>
  <c r="C39" i="1"/>
  <c r="AW35" i="3"/>
  <c r="AV141" i="3"/>
  <c r="AV169" i="3"/>
  <c r="AJ37" i="3"/>
  <c r="AJ38" i="3"/>
  <c r="AL123" i="3"/>
  <c r="AL75" i="3"/>
  <c r="AL80" i="3" s="1"/>
  <c r="AK38" i="3"/>
  <c r="AK113" i="3"/>
  <c r="AK37" i="3"/>
  <c r="AL122" i="3"/>
  <c r="AK122" i="3"/>
  <c r="AL166" i="3"/>
  <c r="AL24" i="3"/>
  <c r="AV24" i="3" s="1"/>
  <c r="AK75" i="3"/>
  <c r="AK80" i="3" s="1"/>
  <c r="AK123" i="3"/>
  <c r="H35" i="6"/>
  <c r="J35" i="6" s="1"/>
  <c r="Y15" i="5"/>
  <c r="E21" i="2"/>
  <c r="E22" i="2" s="1"/>
  <c r="C26" i="1"/>
  <c r="E12" i="2"/>
  <c r="E13" i="2" s="1"/>
  <c r="AV53" i="3"/>
  <c r="AV52" i="3"/>
  <c r="AV99" i="3"/>
  <c r="AW160" i="3"/>
  <c r="AW159" i="3"/>
  <c r="AX7" i="3"/>
  <c r="AW69" i="4"/>
  <c r="AW51" i="3"/>
  <c r="C27" i="1" s="1"/>
  <c r="AV161" i="3"/>
  <c r="L31" i="5"/>
  <c r="H31" i="5"/>
  <c r="J31" i="5"/>
  <c r="H14" i="6"/>
  <c r="J14" i="6" s="1"/>
  <c r="AU84" i="3"/>
  <c r="AU108" i="3" s="1"/>
  <c r="AU151" i="3"/>
  <c r="AU128" i="3"/>
  <c r="AU145" i="3"/>
  <c r="AU147" i="3" s="1"/>
  <c r="AU162" i="3"/>
  <c r="AU158" i="3"/>
  <c r="AV75" i="3"/>
  <c r="AV80" i="3" s="1"/>
  <c r="AI162" i="3" l="1"/>
  <c r="AI45" i="3"/>
  <c r="F16" i="2"/>
  <c r="AY77" i="4"/>
  <c r="AY83" i="4" s="1"/>
  <c r="AY6" i="3"/>
  <c r="AY41" i="3" s="1"/>
  <c r="AZ58" i="4"/>
  <c r="BA58" i="4" s="1"/>
  <c r="AY60" i="4"/>
  <c r="AY61" i="4" s="1"/>
  <c r="AJ84" i="3"/>
  <c r="AK84" i="3" s="1"/>
  <c r="AI86" i="3"/>
  <c r="AX97" i="3"/>
  <c r="AX61" i="3" s="1"/>
  <c r="AW22" i="3"/>
  <c r="AW17" i="3"/>
  <c r="AX157" i="3"/>
  <c r="AW12" i="3"/>
  <c r="L13" i="6" s="1"/>
  <c r="AX87" i="4"/>
  <c r="G9" i="2"/>
  <c r="G10" i="2" s="1"/>
  <c r="AX83" i="4"/>
  <c r="AX84" i="4" s="1"/>
  <c r="AX41" i="3"/>
  <c r="AX68" i="4"/>
  <c r="AX69" i="4" s="1"/>
  <c r="AX16" i="3"/>
  <c r="AX17" i="3" s="1"/>
  <c r="G14" i="1"/>
  <c r="AI104" i="3"/>
  <c r="AI108" i="3"/>
  <c r="AW61" i="3"/>
  <c r="AW121" i="3" s="1"/>
  <c r="AG149" i="3"/>
  <c r="L9" i="6"/>
  <c r="N9" i="6" s="1"/>
  <c r="AJ127" i="3"/>
  <c r="AJ45" i="3" s="1"/>
  <c r="AJ39" i="3"/>
  <c r="AK39" i="3"/>
  <c r="AI158" i="3"/>
  <c r="D35" i="6"/>
  <c r="F35" i="6" s="1"/>
  <c r="F36" i="5"/>
  <c r="J10" i="6"/>
  <c r="AW139" i="3"/>
  <c r="AW141" i="3" s="1"/>
  <c r="L32" i="6"/>
  <c r="G24" i="6"/>
  <c r="H17" i="6"/>
  <c r="Z15" i="5"/>
  <c r="AA15" i="5"/>
  <c r="AI151" i="3"/>
  <c r="Y11" i="5"/>
  <c r="Z11" i="5" s="1"/>
  <c r="Z10" i="5"/>
  <c r="AA10" i="5"/>
  <c r="AY114" i="3"/>
  <c r="AY160" i="3" s="1"/>
  <c r="AW73" i="3"/>
  <c r="AW123" i="3" s="1"/>
  <c r="BA81" i="4"/>
  <c r="AZ92" i="3"/>
  <c r="BA103" i="3"/>
  <c r="AY33" i="3"/>
  <c r="AZ31" i="3"/>
  <c r="AW62" i="3"/>
  <c r="AW122" i="3" s="1"/>
  <c r="AL157" i="3"/>
  <c r="AL134" i="3"/>
  <c r="AL161" i="3"/>
  <c r="AJ157" i="3"/>
  <c r="AJ134" i="3"/>
  <c r="AJ161" i="3"/>
  <c r="AI157" i="3"/>
  <c r="AI161" i="3"/>
  <c r="AI134" i="3"/>
  <c r="AI145" i="3" s="1"/>
  <c r="AK157" i="3"/>
  <c r="AK161" i="3"/>
  <c r="AK134" i="3"/>
  <c r="AV122" i="3"/>
  <c r="AV123" i="3"/>
  <c r="AX169" i="3"/>
  <c r="AX141" i="3"/>
  <c r="AL26" i="3"/>
  <c r="AL29" i="3" s="1"/>
  <c r="AX8" i="3"/>
  <c r="AX98" i="3" s="1"/>
  <c r="AX73" i="3" s="1"/>
  <c r="AK127" i="3"/>
  <c r="AK45" i="3" s="1"/>
  <c r="AL125" i="3"/>
  <c r="AL94" i="3" s="1"/>
  <c r="AK125" i="3"/>
  <c r="AK94" i="3" s="1"/>
  <c r="F12" i="2"/>
  <c r="F13" i="2" s="1"/>
  <c r="AW99" i="3"/>
  <c r="AW53" i="3"/>
  <c r="AW52" i="3"/>
  <c r="AX159" i="3"/>
  <c r="AX160" i="3"/>
  <c r="AW134" i="3"/>
  <c r="F21" i="2"/>
  <c r="F22" i="2" s="1"/>
  <c r="AW161" i="3"/>
  <c r="H24" i="6"/>
  <c r="J24" i="6" s="1"/>
  <c r="AU152" i="3"/>
  <c r="AU153" i="3"/>
  <c r="C53" i="1" s="1"/>
  <c r="AU104" i="3"/>
  <c r="AU86" i="3"/>
  <c r="AI146" i="3"/>
  <c r="AY68" i="4" l="1"/>
  <c r="AY69" i="4" s="1"/>
  <c r="AX51" i="3"/>
  <c r="G12" i="2" s="1"/>
  <c r="G13" i="2" s="1"/>
  <c r="AY16" i="3"/>
  <c r="AY22" i="3" s="1"/>
  <c r="AY97" i="3"/>
  <c r="AY61" i="3" s="1"/>
  <c r="AY9" i="3"/>
  <c r="AY8" i="3" s="1"/>
  <c r="AY98" i="3" s="1"/>
  <c r="AY62" i="3" s="1"/>
  <c r="G15" i="2"/>
  <c r="G16" i="2" s="1"/>
  <c r="H9" i="2"/>
  <c r="H10" i="2" s="1"/>
  <c r="AY86" i="4"/>
  <c r="AY87" i="4" s="1"/>
  <c r="AZ77" i="4"/>
  <c r="AZ83" i="4" s="1"/>
  <c r="AZ84" i="4" s="1"/>
  <c r="AZ60" i="4"/>
  <c r="AZ61" i="4" s="1"/>
  <c r="AY7" i="3"/>
  <c r="AZ71" i="4"/>
  <c r="AZ6" i="3"/>
  <c r="AZ41" i="3" s="1"/>
  <c r="AX130" i="3"/>
  <c r="AX12" i="3"/>
  <c r="AX13" i="3" s="1"/>
  <c r="AJ108" i="3"/>
  <c r="AW13" i="3"/>
  <c r="AY84" i="4"/>
  <c r="AX22" i="3"/>
  <c r="AJ86" i="3"/>
  <c r="AJ104" i="3"/>
  <c r="AK86" i="3"/>
  <c r="AX121" i="3"/>
  <c r="L10" i="6"/>
  <c r="L17" i="6" s="1"/>
  <c r="AJ151" i="3"/>
  <c r="AJ152" i="3" s="1"/>
  <c r="AJ145" i="3"/>
  <c r="AJ162" i="3"/>
  <c r="AJ128" i="3"/>
  <c r="AJ158" i="3"/>
  <c r="AL38" i="3"/>
  <c r="AW169" i="3"/>
  <c r="J36" i="5"/>
  <c r="K36" i="5"/>
  <c r="H36" i="5"/>
  <c r="L36" i="5"/>
  <c r="AI152" i="3"/>
  <c r="D34" i="6"/>
  <c r="F34" i="6" s="1"/>
  <c r="F35" i="5"/>
  <c r="N32" i="6"/>
  <c r="O26" i="6"/>
  <c r="O27" i="6"/>
  <c r="AI153" i="3"/>
  <c r="AI154" i="3" s="1"/>
  <c r="L14" i="6"/>
  <c r="N14" i="6" s="1"/>
  <c r="N13" i="6"/>
  <c r="N53" i="1"/>
  <c r="D53" i="1"/>
  <c r="E53" i="1"/>
  <c r="F53" i="1"/>
  <c r="G53" i="1"/>
  <c r="H53" i="1"/>
  <c r="I53" i="1"/>
  <c r="J53" i="1"/>
  <c r="K53" i="1"/>
  <c r="L53" i="1"/>
  <c r="M53" i="1"/>
  <c r="J17" i="6"/>
  <c r="H18" i="6"/>
  <c r="J18" i="6" s="1"/>
  <c r="H22" i="6"/>
  <c r="AU154" i="3"/>
  <c r="BA6" i="3"/>
  <c r="BA77" i="4"/>
  <c r="AY159" i="3"/>
  <c r="AW75" i="3"/>
  <c r="AW80" i="3" s="1"/>
  <c r="BA71" i="4"/>
  <c r="BA60" i="4"/>
  <c r="BA61" i="4" s="1"/>
  <c r="AX123" i="3"/>
  <c r="AL37" i="3"/>
  <c r="AL113" i="3"/>
  <c r="AV113" i="3" s="1"/>
  <c r="AV127" i="3" s="1"/>
  <c r="AV145" i="3" s="1"/>
  <c r="AY121" i="3"/>
  <c r="BA92" i="3"/>
  <c r="AZ33" i="3"/>
  <c r="BA31" i="3"/>
  <c r="BA33" i="3" s="1"/>
  <c r="AY35" i="3"/>
  <c r="AI147" i="3"/>
  <c r="AJ66" i="3"/>
  <c r="AJ160" i="3"/>
  <c r="AK145" i="3"/>
  <c r="AV125" i="3"/>
  <c r="AV25" i="3"/>
  <c r="AW25" i="3" s="1"/>
  <c r="AX25" i="3" s="1"/>
  <c r="AV26" i="3"/>
  <c r="AX62" i="3"/>
  <c r="AK151" i="3"/>
  <c r="AK153" i="3" s="1"/>
  <c r="AK154" i="3" s="1"/>
  <c r="AK158" i="3"/>
  <c r="AK162" i="3"/>
  <c r="AK128" i="3"/>
  <c r="AX75" i="3"/>
  <c r="AX80" i="3" s="1"/>
  <c r="AW125" i="3"/>
  <c r="AY51" i="3" l="1"/>
  <c r="AY53" i="3" s="1"/>
  <c r="AX52" i="3"/>
  <c r="AX99" i="3"/>
  <c r="AX53" i="3"/>
  <c r="AY17" i="3"/>
  <c r="O21" i="1"/>
  <c r="H15" i="2"/>
  <c r="H16" i="2" s="1"/>
  <c r="AY12" i="3"/>
  <c r="AY13" i="3" s="1"/>
  <c r="AZ86" i="4"/>
  <c r="AZ87" i="4" s="1"/>
  <c r="AZ16" i="3"/>
  <c r="AZ17" i="3" s="1"/>
  <c r="AZ68" i="4"/>
  <c r="AZ51" i="3" s="1"/>
  <c r="AZ114" i="3"/>
  <c r="AZ159" i="3" s="1"/>
  <c r="I9" i="2"/>
  <c r="I10" i="2" s="1"/>
  <c r="AZ9" i="3"/>
  <c r="AZ8" i="3" s="1"/>
  <c r="AZ98" i="3" s="1"/>
  <c r="AZ62" i="3" s="1"/>
  <c r="AZ122" i="3" s="1"/>
  <c r="Y22" i="5"/>
  <c r="Z22" i="5" s="1"/>
  <c r="AL84" i="3"/>
  <c r="AV84" i="3" s="1"/>
  <c r="AZ97" i="3"/>
  <c r="AZ61" i="3" s="1"/>
  <c r="AZ121" i="3" s="1"/>
  <c r="AZ7" i="3"/>
  <c r="AJ146" i="3"/>
  <c r="AJ147" i="3" s="1"/>
  <c r="AJ59" i="3" s="1"/>
  <c r="AJ149" i="3" s="1"/>
  <c r="AI59" i="3"/>
  <c r="AI149" i="3" s="1"/>
  <c r="AK104" i="3"/>
  <c r="AK108" i="3"/>
  <c r="F20" i="2"/>
  <c r="AW94" i="3"/>
  <c r="E20" i="2"/>
  <c r="AV94" i="3"/>
  <c r="N10" i="6"/>
  <c r="L11" i="6"/>
  <c r="N11" i="6" s="1"/>
  <c r="BA41" i="3"/>
  <c r="AJ153" i="3"/>
  <c r="AJ154" i="3" s="1"/>
  <c r="AY73" i="3"/>
  <c r="AY123" i="3" s="1"/>
  <c r="AL39" i="3"/>
  <c r="J22" i="6"/>
  <c r="H28" i="6"/>
  <c r="K32" i="6" s="1"/>
  <c r="H25" i="6"/>
  <c r="K22" i="6" s="1"/>
  <c r="L18" i="6"/>
  <c r="N18" i="6" s="1"/>
  <c r="N17" i="6"/>
  <c r="L22" i="6"/>
  <c r="J35" i="5"/>
  <c r="H35" i="5"/>
  <c r="BA7" i="3"/>
  <c r="J9" i="2"/>
  <c r="BA97" i="3"/>
  <c r="BA9" i="3"/>
  <c r="BA114" i="3"/>
  <c r="BA160" i="3" s="1"/>
  <c r="BA83" i="4"/>
  <c r="BA84" i="4" s="1"/>
  <c r="BA86" i="4"/>
  <c r="BA16" i="3"/>
  <c r="BA68" i="4"/>
  <c r="AL127" i="3"/>
  <c r="AL151" i="3" s="1"/>
  <c r="AL152" i="3" s="1"/>
  <c r="AX122" i="3"/>
  <c r="AX125" i="3" s="1"/>
  <c r="AY122" i="3"/>
  <c r="AZ35" i="3"/>
  <c r="BA35" i="3"/>
  <c r="AY139" i="3"/>
  <c r="AV29" i="3"/>
  <c r="AK160" i="3"/>
  <c r="AK66" i="3"/>
  <c r="Y14" i="5"/>
  <c r="Y13" i="5"/>
  <c r="AV166" i="3"/>
  <c r="AV100" i="3"/>
  <c r="E18" i="2"/>
  <c r="AK152" i="3"/>
  <c r="AV158" i="3"/>
  <c r="AV128" i="3"/>
  <c r="AV151" i="3"/>
  <c r="H34" i="6" s="1"/>
  <c r="J34" i="6" s="1"/>
  <c r="AV162" i="3"/>
  <c r="AV45" i="3"/>
  <c r="E39" i="1"/>
  <c r="G39" i="1"/>
  <c r="M14" i="1"/>
  <c r="F39" i="1"/>
  <c r="D39" i="1"/>
  <c r="H39" i="1"/>
  <c r="I39" i="1"/>
  <c r="J39" i="1"/>
  <c r="K39" i="1"/>
  <c r="L39" i="1"/>
  <c r="AU59" i="3"/>
  <c r="AU105" i="3" s="1"/>
  <c r="AU106" i="3" s="1"/>
  <c r="H12" i="2" l="1"/>
  <c r="H13" i="2" s="1"/>
  <c r="AY52" i="3"/>
  <c r="AY99" i="3"/>
  <c r="I15" i="2"/>
  <c r="I16" i="2" s="1"/>
  <c r="AZ12" i="3"/>
  <c r="AZ13" i="3" s="1"/>
  <c r="AA22" i="5"/>
  <c r="BA87" i="4"/>
  <c r="Y23" i="5"/>
  <c r="Z23" i="5" s="1"/>
  <c r="AZ69" i="4"/>
  <c r="AZ22" i="3"/>
  <c r="J10" i="2"/>
  <c r="K10" i="2" s="1"/>
  <c r="L10" i="2" s="1"/>
  <c r="M10" i="2" s="1"/>
  <c r="N10" i="2" s="1"/>
  <c r="O10" i="2" s="1"/>
  <c r="P10" i="2" s="1"/>
  <c r="AZ160" i="3"/>
  <c r="AV37" i="3"/>
  <c r="AV38" i="3"/>
  <c r="G20" i="2"/>
  <c r="AX94" i="3"/>
  <c r="AK146" i="3"/>
  <c r="AK147" i="3" s="1"/>
  <c r="AK59" i="3" s="1"/>
  <c r="AZ73" i="3"/>
  <c r="AZ75" i="3" s="1"/>
  <c r="AZ80" i="3" s="1"/>
  <c r="AY75" i="3"/>
  <c r="AY80" i="3" s="1"/>
  <c r="AY125" i="3"/>
  <c r="BA8" i="3"/>
  <c r="BA98" i="3" s="1"/>
  <c r="BA62" i="3" s="1"/>
  <c r="BA122" i="3" s="1"/>
  <c r="BA22" i="3"/>
  <c r="AZ53" i="3"/>
  <c r="J28" i="6"/>
  <c r="H30" i="6"/>
  <c r="J30" i="6" s="1"/>
  <c r="N22" i="6"/>
  <c r="J25" i="6"/>
  <c r="K15" i="6"/>
  <c r="K21" i="6"/>
  <c r="K16" i="6"/>
  <c r="K20" i="6"/>
  <c r="K13" i="6"/>
  <c r="K10" i="6"/>
  <c r="K17" i="6"/>
  <c r="BA61" i="3"/>
  <c r="BA121" i="3" s="1"/>
  <c r="AZ99" i="3"/>
  <c r="I12" i="2"/>
  <c r="I13" i="2" s="1"/>
  <c r="AA14" i="5"/>
  <c r="Z14" i="5"/>
  <c r="BA159" i="3"/>
  <c r="AZ52" i="3"/>
  <c r="BA69" i="4"/>
  <c r="BA17" i="3"/>
  <c r="BA12" i="3"/>
  <c r="J15" i="2"/>
  <c r="J16" i="2" s="1"/>
  <c r="K16" i="2" s="1"/>
  <c r="L16" i="2" s="1"/>
  <c r="M16" i="2" s="1"/>
  <c r="N16" i="2" s="1"/>
  <c r="O16" i="2" s="1"/>
  <c r="P16" i="2" s="1"/>
  <c r="BA51" i="3"/>
  <c r="AL158" i="3"/>
  <c r="AV108" i="3"/>
  <c r="AL45" i="3"/>
  <c r="AL86" i="3"/>
  <c r="AL108" i="3"/>
  <c r="AL104" i="3"/>
  <c r="AL128" i="3"/>
  <c r="AL145" i="3"/>
  <c r="AL162" i="3"/>
  <c r="AI64" i="3"/>
  <c r="AI70" i="3" s="1"/>
  <c r="AI88" i="3" s="1"/>
  <c r="AI105" i="3"/>
  <c r="AI106" i="3" s="1"/>
  <c r="AY169" i="3"/>
  <c r="AY141" i="3"/>
  <c r="BA139" i="3"/>
  <c r="AZ139" i="3"/>
  <c r="AL160" i="3"/>
  <c r="AL66" i="3"/>
  <c r="AV66" i="3" s="1"/>
  <c r="AW66" i="3" s="1"/>
  <c r="AL153" i="3"/>
  <c r="AL154" i="3" s="1"/>
  <c r="F16" i="1"/>
  <c r="AV146" i="3"/>
  <c r="AV147" i="3" s="1"/>
  <c r="AY25" i="3"/>
  <c r="AW166" i="3"/>
  <c r="AW100" i="3"/>
  <c r="AW24" i="3"/>
  <c r="L24" i="6" s="1"/>
  <c r="AJ105" i="3"/>
  <c r="AJ106" i="3" s="1"/>
  <c r="AJ64" i="3"/>
  <c r="AJ70" i="3" s="1"/>
  <c r="AJ88" i="3" s="1"/>
  <c r="AV104" i="3"/>
  <c r="AV86" i="3"/>
  <c r="AV153" i="3"/>
  <c r="C54" i="1" s="1"/>
  <c r="AV152" i="3"/>
  <c r="M15" i="1"/>
  <c r="E24" i="2"/>
  <c r="AU64" i="3"/>
  <c r="AU70" i="3" s="1"/>
  <c r="AU88" i="3" s="1"/>
  <c r="AU149" i="3"/>
  <c r="AU172" i="3" s="1"/>
  <c r="AA23" i="5" l="1"/>
  <c r="Y24" i="5"/>
  <c r="Z24" i="5" s="1"/>
  <c r="K9" i="2"/>
  <c r="K15" i="2" s="1"/>
  <c r="H20" i="2"/>
  <c r="AY94" i="3"/>
  <c r="AZ123" i="3"/>
  <c r="AZ125" i="3" s="1"/>
  <c r="AL146" i="3"/>
  <c r="AL147" i="3" s="1"/>
  <c r="AL59" i="3" s="1"/>
  <c r="AV59" i="3" s="1"/>
  <c r="BA73" i="3"/>
  <c r="BA123" i="3" s="1"/>
  <c r="BA125" i="3" s="1"/>
  <c r="BA13" i="3"/>
  <c r="J12" i="2"/>
  <c r="J13" i="2" s="1"/>
  <c r="K13" i="2" s="1"/>
  <c r="K30" i="6"/>
  <c r="K24" i="6" s="1"/>
  <c r="N24" i="6"/>
  <c r="L25" i="6"/>
  <c r="N54" i="1"/>
  <c r="F54" i="1"/>
  <c r="E54" i="1"/>
  <c r="D54" i="1"/>
  <c r="G54" i="1"/>
  <c r="H54" i="1"/>
  <c r="I54" i="1"/>
  <c r="J54" i="1"/>
  <c r="K54" i="1"/>
  <c r="L54" i="1"/>
  <c r="M54" i="1"/>
  <c r="L28" i="6"/>
  <c r="AV154" i="3"/>
  <c r="C40" i="1"/>
  <c r="BA52" i="3"/>
  <c r="BA99" i="3"/>
  <c r="BA53" i="3"/>
  <c r="Y12" i="5"/>
  <c r="AV39" i="3"/>
  <c r="AY166" i="3"/>
  <c r="AZ25" i="3"/>
  <c r="AY100" i="3"/>
  <c r="AY24" i="3"/>
  <c r="AZ169" i="3"/>
  <c r="AZ141" i="3"/>
  <c r="BA169" i="3"/>
  <c r="BA141" i="3"/>
  <c r="AW26" i="3"/>
  <c r="AW29" i="3" s="1"/>
  <c r="F18" i="2"/>
  <c r="F24" i="2" s="1"/>
  <c r="AX166" i="3"/>
  <c r="AX24" i="3"/>
  <c r="AX100" i="3"/>
  <c r="AK149" i="3"/>
  <c r="AK64" i="3"/>
  <c r="AK70" i="3" s="1"/>
  <c r="AK88" i="3" s="1"/>
  <c r="AK105" i="3"/>
  <c r="AK106" i="3" s="1"/>
  <c r="L9" i="2" l="1"/>
  <c r="L15" i="2" s="1"/>
  <c r="L13" i="2"/>
  <c r="J20" i="2"/>
  <c r="K20" i="2" s="1"/>
  <c r="BA94" i="3"/>
  <c r="I20" i="2"/>
  <c r="AZ94" i="3"/>
  <c r="BA75" i="3"/>
  <c r="BA80" i="3" s="1"/>
  <c r="N25" i="6"/>
  <c r="O15" i="6"/>
  <c r="O21" i="6"/>
  <c r="O16" i="6"/>
  <c r="O20" i="6"/>
  <c r="O10" i="6"/>
  <c r="O13" i="6"/>
  <c r="O17" i="6"/>
  <c r="O22" i="6"/>
  <c r="O32" i="6"/>
  <c r="L30" i="6"/>
  <c r="N28" i="6"/>
  <c r="AA12" i="5"/>
  <c r="Z12" i="5"/>
  <c r="K12" i="2"/>
  <c r="AL105" i="3"/>
  <c r="AL106" i="3" s="1"/>
  <c r="AL64" i="3"/>
  <c r="AL70" i="3" s="1"/>
  <c r="AL88" i="3" s="1"/>
  <c r="AL149" i="3"/>
  <c r="H18" i="2"/>
  <c r="AY26" i="3"/>
  <c r="AY29" i="3" s="1"/>
  <c r="AZ166" i="3"/>
  <c r="BA25" i="3"/>
  <c r="AZ100" i="3"/>
  <c r="AZ24" i="3"/>
  <c r="AX26" i="3"/>
  <c r="AX29" i="3" s="1"/>
  <c r="AW38" i="3"/>
  <c r="AW37" i="3"/>
  <c r="AW113" i="3"/>
  <c r="AW84" i="3" s="1"/>
  <c r="AV149" i="3"/>
  <c r="AV172" i="3" s="1"/>
  <c r="G16" i="1"/>
  <c r="P34" i="2" s="1"/>
  <c r="E40" i="1"/>
  <c r="F40" i="1"/>
  <c r="N14" i="1"/>
  <c r="D40" i="1"/>
  <c r="G40" i="1"/>
  <c r="H40" i="1"/>
  <c r="I40" i="1"/>
  <c r="J40" i="1"/>
  <c r="K40" i="1"/>
  <c r="L40" i="1"/>
  <c r="F25" i="2"/>
  <c r="AW146" i="3"/>
  <c r="AV64" i="3"/>
  <c r="AV70" i="3" s="1"/>
  <c r="AV88" i="3" s="1"/>
  <c r="AV105" i="3"/>
  <c r="AV106" i="3" s="1"/>
  <c r="M9" i="2" l="1"/>
  <c r="N9" i="2" s="1"/>
  <c r="O9" i="2" s="1"/>
  <c r="P9" i="2" s="1"/>
  <c r="L20" i="2"/>
  <c r="L12" i="2"/>
  <c r="M13" i="2"/>
  <c r="N13" i="2" s="1"/>
  <c r="O13" i="2" s="1"/>
  <c r="P13" i="2" s="1"/>
  <c r="O30" i="6"/>
  <c r="O24" i="6" s="1"/>
  <c r="N30" i="6"/>
  <c r="BA166" i="3"/>
  <c r="BA100" i="3"/>
  <c r="BA24" i="3"/>
  <c r="I18" i="2"/>
  <c r="AZ26" i="3"/>
  <c r="AZ29" i="3" s="1"/>
  <c r="AY113" i="3"/>
  <c r="AY127" i="3" s="1"/>
  <c r="AY37" i="3"/>
  <c r="AY38" i="3"/>
  <c r="AW127" i="3"/>
  <c r="G18" i="2"/>
  <c r="AW39" i="3"/>
  <c r="C41" i="1"/>
  <c r="E41" i="1" s="1"/>
  <c r="AX38" i="3"/>
  <c r="AX37" i="3"/>
  <c r="AX113" i="3"/>
  <c r="AX127" i="3" s="1"/>
  <c r="M15" i="2" l="1"/>
  <c r="N15" i="2"/>
  <c r="N18" i="2" s="1"/>
  <c r="M20" i="2"/>
  <c r="N20" i="2" s="1"/>
  <c r="O20" i="2" s="1"/>
  <c r="P20" i="2" s="1"/>
  <c r="AX84" i="3"/>
  <c r="AY84" i="3" s="1"/>
  <c r="P12" i="2"/>
  <c r="P15" i="2"/>
  <c r="P18" i="2" s="1"/>
  <c r="N12" i="2"/>
  <c r="M12" i="2"/>
  <c r="O12" i="2"/>
  <c r="O15" i="2"/>
  <c r="O18" i="2" s="1"/>
  <c r="AZ113" i="3"/>
  <c r="AZ127" i="3" s="1"/>
  <c r="AZ37" i="3"/>
  <c r="AZ38" i="3"/>
  <c r="BA26" i="3"/>
  <c r="BA29" i="3" s="1"/>
  <c r="AY39" i="3"/>
  <c r="AY128" i="3"/>
  <c r="AY162" i="3"/>
  <c r="AY45" i="3"/>
  <c r="F41" i="1"/>
  <c r="O14" i="1"/>
  <c r="D41" i="1"/>
  <c r="L41" i="1"/>
  <c r="K41" i="1"/>
  <c r="J41" i="1"/>
  <c r="I41" i="1"/>
  <c r="H41" i="1"/>
  <c r="G41" i="1"/>
  <c r="AX162" i="3"/>
  <c r="AX45" i="3"/>
  <c r="AX128" i="3"/>
  <c r="AW104" i="3"/>
  <c r="AW86" i="3"/>
  <c r="AW108" i="3"/>
  <c r="AX39" i="3"/>
  <c r="O35" i="1"/>
  <c r="AW128" i="3"/>
  <c r="AW162" i="3"/>
  <c r="AW145" i="3"/>
  <c r="AW147" i="3" s="1"/>
  <c r="AW59" i="3" s="1"/>
  <c r="AW149" i="3" s="1"/>
  <c r="AW172" i="3" s="1"/>
  <c r="AW151" i="3"/>
  <c r="AW45" i="3"/>
  <c r="AW158" i="3"/>
  <c r="AZ84" i="3" l="1"/>
  <c r="L34" i="6"/>
  <c r="N34" i="6" s="1"/>
  <c r="AZ39" i="3"/>
  <c r="J18" i="2"/>
  <c r="BA113" i="3"/>
  <c r="BA127" i="3" s="1"/>
  <c r="BA37" i="3"/>
  <c r="BA38" i="3"/>
  <c r="AZ162" i="3"/>
  <c r="AZ128" i="3"/>
  <c r="AZ45" i="3"/>
  <c r="AY104" i="3"/>
  <c r="AY108" i="3"/>
  <c r="AY86" i="3"/>
  <c r="AW64" i="3"/>
  <c r="AW70" i="3" s="1"/>
  <c r="AW88" i="3" s="1"/>
  <c r="AX146" i="3"/>
  <c r="AX86" i="3"/>
  <c r="AX104" i="3"/>
  <c r="AX108" i="3"/>
  <c r="AW105" i="3"/>
  <c r="AW106" i="3" s="1"/>
  <c r="AW153" i="3"/>
  <c r="AW152" i="3"/>
  <c r="N15" i="1"/>
  <c r="BA84" i="3" l="1"/>
  <c r="C55" i="1"/>
  <c r="H55" i="1" s="1"/>
  <c r="BA39" i="3"/>
  <c r="AW154" i="3"/>
  <c r="BA128" i="3"/>
  <c r="BA162" i="3"/>
  <c r="BA45" i="3"/>
  <c r="AZ108" i="3"/>
  <c r="AZ104" i="3"/>
  <c r="AZ86" i="3"/>
  <c r="M55" i="1" l="1"/>
  <c r="L55" i="1"/>
  <c r="K55" i="1"/>
  <c r="F55" i="1"/>
  <c r="N55" i="1"/>
  <c r="D55" i="1"/>
  <c r="J55" i="1"/>
  <c r="G55" i="1"/>
  <c r="E55" i="1"/>
  <c r="I55" i="1"/>
  <c r="O15" i="1"/>
  <c r="BA104" i="3"/>
  <c r="E41" i="2" s="1"/>
  <c r="E42" i="2" s="1"/>
  <c r="E43" i="2" s="1"/>
  <c r="BA108" i="3"/>
  <c r="BA86" i="3"/>
  <c r="K18" i="2"/>
  <c r="F27" i="2" l="1"/>
  <c r="F28" i="2" s="1"/>
  <c r="P27" i="2"/>
  <c r="N27" i="2"/>
  <c r="O27" i="2"/>
  <c r="M27" i="2"/>
  <c r="K27" i="2"/>
  <c r="J27" i="2"/>
  <c r="L27" i="2"/>
  <c r="G27" i="2"/>
  <c r="I27" i="2"/>
  <c r="H27" i="2"/>
  <c r="M18" i="2"/>
  <c r="L18" i="2"/>
  <c r="AX66" i="3" l="1"/>
  <c r="AY157" i="3"/>
  <c r="AY130" i="3" s="1"/>
  <c r="AX158" i="3" l="1"/>
  <c r="G21" i="2"/>
  <c r="G22" i="2" s="1"/>
  <c r="AZ157" i="3"/>
  <c r="AZ130" i="3" s="1"/>
  <c r="AY158" i="3"/>
  <c r="H21" i="2"/>
  <c r="H22" i="2" s="1"/>
  <c r="AY66" i="3"/>
  <c r="AX161" i="3"/>
  <c r="AY151" i="3"/>
  <c r="AY161" i="3"/>
  <c r="AY134" i="3"/>
  <c r="AY145" i="3" s="1"/>
  <c r="AX151" i="3"/>
  <c r="AX134" i="3"/>
  <c r="AX145" i="3" s="1"/>
  <c r="AX147" i="3" s="1"/>
  <c r="H24" i="2" l="1"/>
  <c r="H28" i="2" s="1"/>
  <c r="G24" i="2"/>
  <c r="AZ66" i="3"/>
  <c r="BA157" i="3"/>
  <c r="BA130" i="3" s="1"/>
  <c r="AY152" i="3"/>
  <c r="AY153" i="3"/>
  <c r="AX59" i="3"/>
  <c r="AX149" i="3" s="1"/>
  <c r="AX172" i="3" s="1"/>
  <c r="AX152" i="3"/>
  <c r="AX153" i="3"/>
  <c r="H25" i="2" l="1"/>
  <c r="G25" i="2"/>
  <c r="G28" i="2"/>
  <c r="BA151" i="3"/>
  <c r="BA158" i="3"/>
  <c r="BA134" i="3"/>
  <c r="BA145" i="3" s="1"/>
  <c r="BA161" i="3"/>
  <c r="J21" i="2"/>
  <c r="I21" i="2"/>
  <c r="AZ151" i="3"/>
  <c r="AZ158" i="3"/>
  <c r="AZ134" i="3"/>
  <c r="AZ145" i="3" s="1"/>
  <c r="AZ161" i="3"/>
  <c r="AY146" i="3"/>
  <c r="AY147" i="3" s="1"/>
  <c r="AX105" i="3"/>
  <c r="AX106" i="3" s="1"/>
  <c r="AX64" i="3"/>
  <c r="AX70" i="3" s="1"/>
  <c r="AX88" i="3" s="1"/>
  <c r="BA66" i="3"/>
  <c r="AY154" i="3"/>
  <c r="AX154" i="3"/>
  <c r="O49" i="1"/>
  <c r="AZ153" i="3" l="1"/>
  <c r="AZ152" i="3"/>
  <c r="I22" i="2"/>
  <c r="I24" i="2"/>
  <c r="J22" i="2"/>
  <c r="K22" i="2" s="1"/>
  <c r="J24" i="2"/>
  <c r="BA152" i="3"/>
  <c r="BA153" i="3"/>
  <c r="AY59" i="3"/>
  <c r="AY149" i="3" s="1"/>
  <c r="AY172" i="3" s="1"/>
  <c r="AZ154" i="3" l="1"/>
  <c r="BA154" i="3"/>
  <c r="I28" i="2"/>
  <c r="I25" i="2"/>
  <c r="J28" i="2"/>
  <c r="J25" i="2"/>
  <c r="K21" i="2"/>
  <c r="K24" i="2" s="1"/>
  <c r="L22" i="2"/>
  <c r="AZ146" i="3"/>
  <c r="AZ147" i="3" s="1"/>
  <c r="AY64" i="3"/>
  <c r="AY70" i="3" s="1"/>
  <c r="AY88" i="3" s="1"/>
  <c r="AY105" i="3"/>
  <c r="AY106" i="3" s="1"/>
  <c r="K25" i="2" l="1"/>
  <c r="K28" i="2"/>
  <c r="L21" i="2"/>
  <c r="L24" i="2" s="1"/>
  <c r="M22" i="2"/>
  <c r="AZ59" i="3"/>
  <c r="M21" i="2" l="1"/>
  <c r="M24" i="2" s="1"/>
  <c r="M25" i="2" s="1"/>
  <c r="N22" i="2"/>
  <c r="L25" i="2"/>
  <c r="L28" i="2"/>
  <c r="AZ64" i="3"/>
  <c r="AZ70" i="3" s="1"/>
  <c r="AZ88" i="3" s="1"/>
  <c r="AZ105" i="3"/>
  <c r="AZ106" i="3" s="1"/>
  <c r="BA146" i="3"/>
  <c r="BA147" i="3" s="1"/>
  <c r="AZ149" i="3"/>
  <c r="AZ172" i="3" s="1"/>
  <c r="M28" i="2" l="1"/>
  <c r="O22" i="2"/>
  <c r="N21" i="2"/>
  <c r="N24" i="2" s="1"/>
  <c r="N28" i="2" s="1"/>
  <c r="BA59" i="3"/>
  <c r="BA149" i="3" s="1"/>
  <c r="BA172" i="3" s="1"/>
  <c r="O21" i="2" l="1"/>
  <c r="O24" i="2" s="1"/>
  <c r="O28" i="2" s="1"/>
  <c r="P22" i="2"/>
  <c r="P21" i="2" s="1"/>
  <c r="P24" i="2" s="1"/>
  <c r="N25" i="2"/>
  <c r="BA64" i="3"/>
  <c r="BA70" i="3" s="1"/>
  <c r="BA88" i="3" s="1"/>
  <c r="BA105" i="3"/>
  <c r="BA106" i="3" s="1"/>
  <c r="O25" i="2" l="1"/>
  <c r="P25" i="2"/>
  <c r="P29" i="2"/>
  <c r="P28" i="2"/>
  <c r="E19" i="1"/>
  <c r="M13" i="1" s="1"/>
  <c r="D25" i="1"/>
  <c r="E25" i="1"/>
  <c r="F25" i="1"/>
  <c r="G25" i="1"/>
  <c r="H25" i="1"/>
  <c r="I25" i="1"/>
  <c r="J25" i="1"/>
  <c r="K25" i="1"/>
  <c r="D31" i="1"/>
  <c r="E31" i="1"/>
  <c r="F31" i="1"/>
  <c r="G31" i="1"/>
  <c r="H31" i="1"/>
  <c r="I31" i="1"/>
  <c r="J31" i="1"/>
  <c r="K31" i="1"/>
  <c r="P32" i="2" l="1"/>
  <c r="P43" i="2" s="1"/>
  <c r="M18" i="1"/>
  <c r="F19" i="1"/>
  <c r="N18" i="1" s="1"/>
  <c r="D26" i="1"/>
  <c r="E26" i="1"/>
  <c r="F26" i="1"/>
  <c r="G26" i="1"/>
  <c r="H26" i="1"/>
  <c r="I26" i="1"/>
  <c r="J26" i="1"/>
  <c r="K26" i="1"/>
  <c r="D32" i="1"/>
  <c r="E32" i="1"/>
  <c r="F32" i="1"/>
  <c r="G32" i="1"/>
  <c r="H32" i="1"/>
  <c r="I32" i="1"/>
  <c r="J32" i="1"/>
  <c r="K32" i="1"/>
  <c r="N13" i="1" l="1"/>
  <c r="P36" i="2"/>
  <c r="P37" i="2"/>
  <c r="P40" i="2" s="1"/>
  <c r="G19" i="1"/>
  <c r="O18" i="1" s="1"/>
  <c r="D27" i="1"/>
  <c r="E6" i="1" s="1"/>
  <c r="E27" i="1"/>
  <c r="F27" i="1"/>
  <c r="G27" i="1"/>
  <c r="H27" i="1"/>
  <c r="I27" i="1"/>
  <c r="J27" i="1"/>
  <c r="K27" i="1"/>
  <c r="D33" i="1"/>
  <c r="E33" i="1"/>
  <c r="F33" i="1"/>
  <c r="G33" i="1"/>
  <c r="H33" i="1"/>
  <c r="I33" i="1"/>
  <c r="J33" i="1"/>
  <c r="K33" i="1"/>
  <c r="O13" i="1" l="1"/>
  <c r="O6" i="1"/>
  <c r="J6" i="1"/>
  <c r="P41" i="2"/>
  <c r="P44" i="2"/>
  <c r="P45" i="2"/>
</calcChain>
</file>

<file path=xl/comments1.xml><?xml version="1.0" encoding="utf-8"?>
<comments xmlns="http://schemas.openxmlformats.org/spreadsheetml/2006/main">
  <authors>
    <author>Sinkevicius, Armintas (Research)</author>
  </authors>
  <commentList>
    <comment ref="O5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+ Management Guidance
+ Acquisition
@ 50% of Synergies
@ 10% of Opex
@ 90% Probability of Approval
Discounted 4 Years</t>
        </r>
      </text>
    </comment>
  </commentList>
</comments>
</file>

<file path=xl/comments2.xml><?xml version="1.0" encoding="utf-8"?>
<comments xmlns="http://schemas.openxmlformats.org/spreadsheetml/2006/main">
  <authors>
    <author>Sinkevicius, Armintas (Research)</author>
  </authors>
  <commentList>
    <comment ref="AZ6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@ Investor Day 2017
+ 2% to 3% GoM
Through 2020
+4% to 6% GoM
Through 2022
to ~$5b Revenue in 2020
to ~$6b Revenue in 2022</t>
        </r>
      </text>
    </comment>
    <comment ref="AS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2 for Other
9 for Asset Impairments</t>
        </r>
      </text>
    </comment>
    <comment ref="AV14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Form 10</t>
        </r>
      </text>
    </comment>
    <comment ref="AW14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Form 10</t>
        </r>
      </text>
    </comment>
    <comment ref="AX14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Form 10</t>
        </r>
      </text>
    </comment>
    <comment ref="AY14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Form 10</t>
        </r>
      </text>
    </comment>
    <comment ref="AP15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23 for Restructuring</t>
        </r>
      </text>
    </comment>
    <comment ref="AQ15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54 for Restructuring</t>
        </r>
      </text>
    </comment>
    <comment ref="AR15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52 for Restructuring</t>
        </r>
      </text>
    </comment>
    <comment ref="AS15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112 for Restructuring</t>
        </r>
      </text>
    </comment>
    <comment ref="AU1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11.9% Pro Forma
(from 12.0%)</t>
        </r>
      </text>
    </comment>
    <comment ref="AZ1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@ Investor Day 2017
+ 40 to 50 bps / Year
Through 2020
+35 to 45 bps / Year
Through 2022
to 13.4% in 2020
to 14.2% in 2022</t>
        </r>
      </text>
    </comment>
    <comment ref="AA24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Morgan Stanley Estimate for Tax Adjustment</t>
        </r>
      </text>
    </comment>
    <comment ref="AB24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Morgan Stanley Estimate for Tax Adjustment</t>
        </r>
      </text>
    </comment>
    <comment ref="AC24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Morgan Stanley Estimate for Tax Adjustment</t>
        </r>
      </text>
    </comment>
    <comment ref="AV25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16% - 17%</t>
        </r>
      </text>
    </comment>
    <comment ref="AV3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$4.50 - $4.80</t>
        </r>
      </text>
    </comment>
    <comment ref="AI44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"Targeting Competitive Dividend"</t>
        </r>
      </text>
    </comment>
    <comment ref="BA45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APTV @ 10% - 15%
for Dividend</t>
        </r>
      </text>
    </comment>
    <comment ref="BA106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~2.0x
@ Analyst Day 2017</t>
        </r>
      </text>
    </comment>
    <comment ref="AV115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75 - 80 Separation
95 - 100 Restructuring</t>
        </r>
      </text>
    </comment>
    <comment ref="AY115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15 - 25 Restructuring
in 3 Years</t>
        </r>
      </text>
    </comment>
    <comment ref="AU12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$400M Pro Forma
@ Analyst Day 2017</t>
        </r>
      </text>
    </comment>
    <comment ref="AV12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440 - 480</t>
        </r>
      </text>
    </comment>
    <comment ref="AX12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$700M Pro Forma
@ Analyst Day 2017</t>
        </r>
      </text>
    </comment>
    <comment ref="AV130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280 - 300</t>
        </r>
      </text>
    </comment>
    <comment ref="AW130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30% to 35% of
$90M to $100M
Separation Capex</t>
        </r>
      </text>
    </comment>
    <comment ref="AV151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160 - 180</t>
        </r>
      </text>
    </comment>
    <comment ref="BA15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@ 5% - 6% of Sales
to 5% in 2020+</t>
        </r>
      </text>
    </comment>
    <comment ref="BA162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"Maintain Capital Allocation Strategy of Returning Cash to Shareholders"
+ 
"Opportunistically Pursue Strategic Acquisitions"
@ Analyst Day 2017
APTV @
45% to 55% of OCF
for Buybacks + M&amp;A</t>
        </r>
      </text>
    </comment>
  </commentList>
</comments>
</file>

<file path=xl/comments3.xml><?xml version="1.0" encoding="utf-8"?>
<comments xmlns="http://schemas.openxmlformats.org/spreadsheetml/2006/main">
  <authors>
    <author>Sinkevicius, Armintas (Research)</author>
  </authors>
  <commentList>
    <comment ref="J4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IPO on November 17, 2011</t>
        </r>
      </text>
    </comment>
    <comment ref="AV1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Morgan Stanley Estimate
for US SAAR</t>
        </r>
      </text>
    </comment>
    <comment ref="AW1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Morgan Stanley Estimate
for US SAAR</t>
        </r>
      </text>
    </comment>
    <comment ref="AX1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Morgan Stanley Estimate
for US SAAR</t>
        </r>
      </text>
    </comment>
    <comment ref="AY1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Morgan Stanley Estimate
for US SAAR</t>
        </r>
      </text>
    </comment>
    <comment ref="AZ1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Morgan Stanley Estimate
for US SAAR</t>
        </r>
      </text>
    </comment>
    <comment ref="BA1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Morgan Stanley Estimate
for US SAAR</t>
        </r>
      </text>
    </comment>
    <comment ref="B46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"… are primarily attributable to China…"</t>
        </r>
      </text>
    </comment>
    <comment ref="AU5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$4.5b Pro Forma
@ September 2017</t>
        </r>
      </text>
    </comment>
    <comment ref="AV5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4900 - 5100
@ 1.15 Euro
+1c = $15M Revenue, $3M Operating Income</t>
        </r>
      </text>
    </comment>
    <comment ref="AV63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2% - 6% v. Market ~1%</t>
        </r>
      </text>
    </comment>
    <comment ref="AZ65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@ Investor Day 2017
+ 2% to 3% GoM
Through 2020
+4% to 6% GoM
Through 2022
to ~$5b Revenue in 2020
to ~$6b Revenue in 2022</t>
        </r>
      </text>
    </comment>
    <comment ref="B7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Reported @ COGS</t>
        </r>
      </text>
    </comment>
    <comment ref="AE7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Pro Forma Adjustment @ $72M in 2018 @ Proportionate to Revenue</t>
        </r>
      </text>
    </comment>
    <comment ref="AF7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Pro Forma Adjustment @ $72M in 2018 @ Proportionate to Revenue</t>
        </r>
      </text>
    </comment>
    <comment ref="AG7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Pro Forma Adjustment @ $72M in 2018 @ Proportionate to Revenue</t>
        </r>
      </text>
    </comment>
    <comment ref="AH7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Pro Forma Adjustment @ $72M in 2018 @ Proportionate to Revenue</t>
        </r>
      </text>
    </comment>
    <comment ref="AQ7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Ex. Co Investment</t>
        </r>
      </text>
    </comment>
    <comment ref="AR7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Ex. Co Investment</t>
        </r>
      </text>
    </comment>
    <comment ref="AS7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Ex. Co Investment</t>
        </r>
      </text>
    </comment>
    <comment ref="AU7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Guidance (Ex. Co Investment)</t>
        </r>
      </text>
    </comment>
    <comment ref="AD7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Ex. Unfavorable Settlement</t>
        </r>
      </text>
    </comment>
    <comment ref="AE7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Ex. Favorable Settlement</t>
        </r>
      </text>
    </comment>
    <comment ref="AI7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Engineering Expense</t>
        </r>
      </text>
    </comment>
    <comment ref="AL7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Light Duty Diesel</t>
        </r>
      </text>
    </comment>
    <comment ref="AU7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12.0% Pro Forma
@ September 2017</t>
        </r>
      </text>
    </comment>
    <comment ref="AV7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12.2% - 12.4%
= 600 to 630</t>
        </r>
      </text>
    </comment>
    <comment ref="AX78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13.3%
@ 4Q17</t>
        </r>
      </text>
    </comment>
    <comment ref="AZ80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@ Investor Day 2017
+ 40 to 50 bps / Year
Through 2020
+35 to 45 bps / Year
Through 2022
to 13.3% - 13.5% in 2020
to 14.0% - 14.4% in 2022</t>
        </r>
      </text>
    </comment>
    <comment ref="AJ91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March 30, 2018</t>
        </r>
      </text>
    </comment>
  </commentList>
</comments>
</file>

<file path=xl/comments4.xml><?xml version="1.0" encoding="utf-8"?>
<comments xmlns="http://schemas.openxmlformats.org/spreadsheetml/2006/main">
  <authors>
    <author>Sinkevicius, Armintas (Research)</author>
  </authors>
  <commentList>
    <comment ref="F7" authorId="0">
      <text>
        <r>
          <rPr>
            <b/>
            <sz val="9"/>
            <color indexed="81"/>
            <rFont val="Tahoma"/>
            <family val="2"/>
          </rPr>
          <t>Sinkevicius, Armintas (Research):</t>
        </r>
        <r>
          <rPr>
            <sz val="9"/>
            <color indexed="81"/>
            <rFont val="Tahoma"/>
            <family val="2"/>
          </rPr>
          <t xml:space="preserve">
$500M</t>
        </r>
      </text>
    </comment>
  </commentList>
</comments>
</file>

<file path=xl/sharedStrings.xml><?xml version="1.0" encoding="utf-8"?>
<sst xmlns="http://schemas.openxmlformats.org/spreadsheetml/2006/main" count="927" uniqueCount="666">
  <si>
    <t>Valuation</t>
  </si>
  <si>
    <t>Bear Case</t>
  </si>
  <si>
    <t>Price Target</t>
  </si>
  <si>
    <t>Bull Case</t>
  </si>
  <si>
    <t>% Upside / Downside</t>
  </si>
  <si>
    <t>Valuation Multiples</t>
  </si>
  <si>
    <t>3Q17</t>
  </si>
  <si>
    <t>2018e</t>
  </si>
  <si>
    <t>Current Multiples</t>
  </si>
  <si>
    <t>2019e</t>
  </si>
  <si>
    <t>Current Stock Price</t>
  </si>
  <si>
    <t>Morgan Stanley</t>
  </si>
  <si>
    <t>(x) Diluted Shares Outstanding</t>
  </si>
  <si>
    <t>P / FCF</t>
  </si>
  <si>
    <t>Equity Value</t>
  </si>
  <si>
    <t>EV / EBITDA</t>
  </si>
  <si>
    <t>(+) Debt</t>
  </si>
  <si>
    <t>P / E</t>
  </si>
  <si>
    <t>(-) Cash</t>
  </si>
  <si>
    <t>(+) Minority Interest</t>
  </si>
  <si>
    <t>(+) Pension</t>
  </si>
  <si>
    <t>Enterprise Value</t>
  </si>
  <si>
    <t>CAGR</t>
  </si>
  <si>
    <t>DCF Valuation</t>
  </si>
  <si>
    <t>DCF</t>
  </si>
  <si>
    <t>Revenue</t>
  </si>
  <si>
    <t>% Y / Y</t>
  </si>
  <si>
    <t>EBITDA</t>
  </si>
  <si>
    <t>% Margin</t>
  </si>
  <si>
    <t>Operating Income</t>
  </si>
  <si>
    <t>Interest Expense</t>
  </si>
  <si>
    <t>Taxes</t>
  </si>
  <si>
    <t>% Tax Rate</t>
  </si>
  <si>
    <t>Working Capital</t>
  </si>
  <si>
    <t>Capital Expenditures</t>
  </si>
  <si>
    <t>% Capital Intensity</t>
  </si>
  <si>
    <t>Unlevered Free Cash Flow</t>
  </si>
  <si>
    <t>Period Discount Factor</t>
  </si>
  <si>
    <t>Discount Factor</t>
  </si>
  <si>
    <t>NPV of Free Cash Flows</t>
  </si>
  <si>
    <t>NPV of Terminal Value</t>
  </si>
  <si>
    <t>Adjusted Beta</t>
  </si>
  <si>
    <t>Equity Risk Free Rate</t>
  </si>
  <si>
    <t>(-) Debt</t>
  </si>
  <si>
    <t>Risk Free Rate</t>
  </si>
  <si>
    <t>(+) Cash</t>
  </si>
  <si>
    <t>Cost of Equity</t>
  </si>
  <si>
    <t>(-) Minority Interest</t>
  </si>
  <si>
    <t>(-) Pension</t>
  </si>
  <si>
    <t>Interest Rate</t>
  </si>
  <si>
    <t>Tax Rate</t>
  </si>
  <si>
    <t>Share Count</t>
  </si>
  <si>
    <t>Cost of Debt</t>
  </si>
  <si>
    <t>Fair Value</t>
  </si>
  <si>
    <t>Debt / Capital</t>
  </si>
  <si>
    <t>Equity / Capital</t>
  </si>
  <si>
    <t>Weighted Average Cost of Capital</t>
  </si>
  <si>
    <t>Terminal Growth</t>
  </si>
  <si>
    <t>Income Statement ($MM)</t>
  </si>
  <si>
    <t>1Q10</t>
  </si>
  <si>
    <t>2Q10</t>
  </si>
  <si>
    <t>3Q10</t>
  </si>
  <si>
    <t>4Q10</t>
  </si>
  <si>
    <t>1Q11</t>
  </si>
  <si>
    <t>2Q11</t>
  </si>
  <si>
    <t>3Q11</t>
  </si>
  <si>
    <t>4Q11</t>
  </si>
  <si>
    <t>1Q12</t>
  </si>
  <si>
    <t>2Q12</t>
  </si>
  <si>
    <t>3Q12</t>
  </si>
  <si>
    <t>4Q12</t>
  </si>
  <si>
    <t>1Q13</t>
  </si>
  <si>
    <t>2Q13</t>
  </si>
  <si>
    <t>3Q13</t>
  </si>
  <si>
    <t>4Q13</t>
  </si>
  <si>
    <t>1Q14</t>
  </si>
  <si>
    <t>2Q14</t>
  </si>
  <si>
    <t>3Q14</t>
  </si>
  <si>
    <t>4Q14</t>
  </si>
  <si>
    <t>1Q15</t>
  </si>
  <si>
    <t>2Q15</t>
  </si>
  <si>
    <t>3Q15</t>
  </si>
  <si>
    <t>4Q15</t>
  </si>
  <si>
    <t>1Q16</t>
  </si>
  <si>
    <t>2Q16</t>
  </si>
  <si>
    <t>3Q16</t>
  </si>
  <si>
    <t>4Q16</t>
  </si>
  <si>
    <t>1Q17</t>
  </si>
  <si>
    <t>2Q17</t>
  </si>
  <si>
    <t>2020e</t>
  </si>
  <si>
    <t>COGS</t>
  </si>
  <si>
    <t>Gross Profit</t>
  </si>
  <si>
    <t>% Gross Margin</t>
  </si>
  <si>
    <t>% of Sales</t>
  </si>
  <si>
    <t>Amortization</t>
  </si>
  <si>
    <t xml:space="preserve">Restructuring  </t>
  </si>
  <si>
    <t>Adjusted Operating Income</t>
  </si>
  <si>
    <t>% Interest Rate</t>
  </si>
  <si>
    <t>Other</t>
  </si>
  <si>
    <t>Pre Tax Income</t>
  </si>
  <si>
    <t>Tax Expense</t>
  </si>
  <si>
    <t>Net Income Before Equity Income</t>
  </si>
  <si>
    <t>Equity Income</t>
  </si>
  <si>
    <t>Minority Interest</t>
  </si>
  <si>
    <t>Adjusted Net Income</t>
  </si>
  <si>
    <t>End of Period Basic Shares Outstanding</t>
  </si>
  <si>
    <t>% Increase</t>
  </si>
  <si>
    <t>Basic Common Shares Outstanding</t>
  </si>
  <si>
    <t>% Dilution</t>
  </si>
  <si>
    <t>Diluted Common Shares Outstanding</t>
  </si>
  <si>
    <t>Basic EPS</t>
  </si>
  <si>
    <t>Diluted EPS</t>
  </si>
  <si>
    <t>Research &amp; Development</t>
  </si>
  <si>
    <t>Dividend Per Share</t>
  </si>
  <si>
    <t>% of OCF</t>
  </si>
  <si>
    <t>Share Repurchase ($MM)</t>
  </si>
  <si>
    <t>Shares Repurchased</t>
  </si>
  <si>
    <t>Average Share Price</t>
  </si>
  <si>
    <t>Adjusted EBITDA</t>
  </si>
  <si>
    <t>Number of Employees</t>
  </si>
  <si>
    <t>Balance Sheet ($MM)</t>
  </si>
  <si>
    <t>Cash &amp; Cash Equivalents</t>
  </si>
  <si>
    <t>Restricted Cash</t>
  </si>
  <si>
    <t>Accounts Receivable</t>
  </si>
  <si>
    <t>Inventories</t>
  </si>
  <si>
    <t>Other Current Assets</t>
  </si>
  <si>
    <t>Total Current Assets</t>
  </si>
  <si>
    <t>Property, Plant &amp; Equipment</t>
  </si>
  <si>
    <t>Investments in Affiliates</t>
  </si>
  <si>
    <t>Intangible Assets &amp; Goodwill</t>
  </si>
  <si>
    <t>Total Assets</t>
  </si>
  <si>
    <t>Short Term Debt</t>
  </si>
  <si>
    <t>Accounts Payable</t>
  </si>
  <si>
    <t>Accrued Liabilities</t>
  </si>
  <si>
    <t>Total Current Liabilities</t>
  </si>
  <si>
    <t>Long Term Debt</t>
  </si>
  <si>
    <t>Pension Benefit Obligations</t>
  </si>
  <si>
    <t>Total Liabilities</t>
  </si>
  <si>
    <t>Non Controlling Interest</t>
  </si>
  <si>
    <t>Shareholders' Equity</t>
  </si>
  <si>
    <t>Total Liabilities &amp; Shareholders' Equity</t>
  </si>
  <si>
    <t>Check</t>
  </si>
  <si>
    <t>Days Receivables</t>
  </si>
  <si>
    <t>Days Payables</t>
  </si>
  <si>
    <t>Days Supply</t>
  </si>
  <si>
    <t>LTM</t>
  </si>
  <si>
    <t>Cost of Sales</t>
  </si>
  <si>
    <t>NOPAT</t>
  </si>
  <si>
    <t>Leverage</t>
  </si>
  <si>
    <t>Total Debt</t>
  </si>
  <si>
    <t>Net Debt</t>
  </si>
  <si>
    <t>Net Debt / EBITDA</t>
  </si>
  <si>
    <t>ROIC</t>
  </si>
  <si>
    <t>Cash Flow Statement ($MM)</t>
  </si>
  <si>
    <t>Cash from Operations</t>
  </si>
  <si>
    <t>Net Income</t>
  </si>
  <si>
    <t>Depreciation</t>
  </si>
  <si>
    <t>Restructuring</t>
  </si>
  <si>
    <t>Pension Contributions</t>
  </si>
  <si>
    <t>Stock Based Compensation</t>
  </si>
  <si>
    <t>Change in Working Capital</t>
  </si>
  <si>
    <t>Cash From Operating Activities</t>
  </si>
  <si>
    <t>% of Revenue</t>
  </si>
  <si>
    <t>Proceeds From Sale of Property</t>
  </si>
  <si>
    <t>Cost of Technology Investments</t>
  </si>
  <si>
    <t>Cash From Investing Activities</t>
  </si>
  <si>
    <t>Dividend Payments to Minority Shareholders</t>
  </si>
  <si>
    <t>Share Repurchase</t>
  </si>
  <si>
    <t>Distribution of Cash Dividends</t>
  </si>
  <si>
    <t>Cash From Financing Activities</t>
  </si>
  <si>
    <t>Effect of Exchange Rate Fluctuations</t>
  </si>
  <si>
    <t>Change in Cash &amp; Cash Equivalents</t>
  </si>
  <si>
    <t>Cash Balance, Beginning</t>
  </si>
  <si>
    <t>Cash Balance, Ending</t>
  </si>
  <si>
    <t>Free Cash Flow</t>
  </si>
  <si>
    <t>per Share</t>
  </si>
  <si>
    <t>Capital Intensity</t>
  </si>
  <si>
    <t>Capex (% of Revenue)</t>
  </si>
  <si>
    <t>Capex (% of OCF)</t>
  </si>
  <si>
    <t>Depreciation (% of Revenue)</t>
  </si>
  <si>
    <t>Depreciation (% of PP&amp;E)</t>
  </si>
  <si>
    <t>Depreciation (% of Capex)</t>
  </si>
  <si>
    <t>Acquisitions &amp; Buybacks (% of OCF)</t>
  </si>
  <si>
    <t>Modelware</t>
  </si>
  <si>
    <t>Statutory Tax Rate</t>
  </si>
  <si>
    <t>Unrecorded Goodwill</t>
  </si>
  <si>
    <t>Retained Earnings</t>
  </si>
  <si>
    <t>ND</t>
  </si>
  <si>
    <t>Dividends</t>
  </si>
  <si>
    <t>Net Issuance of Stock</t>
  </si>
  <si>
    <t>Total Share Capital</t>
  </si>
  <si>
    <t>Cash Flow from Discontinued Operations</t>
  </si>
  <si>
    <t>Revenue Drivers</t>
  </si>
  <si>
    <t>Europe</t>
  </si>
  <si>
    <t>% Q / Q</t>
  </si>
  <si>
    <t>China</t>
  </si>
  <si>
    <t>Japan / Korea</t>
  </si>
  <si>
    <t>Middle East / Africa</t>
  </si>
  <si>
    <t>North America</t>
  </si>
  <si>
    <t>South America</t>
  </si>
  <si>
    <t>South Asia</t>
  </si>
  <si>
    <t>Global Production</t>
  </si>
  <si>
    <t>EMEA</t>
  </si>
  <si>
    <t>Asia</t>
  </si>
  <si>
    <t>United States</t>
  </si>
  <si>
    <t>Adjusted Bookings ($b)</t>
  </si>
  <si>
    <t>% of Total Revenue</t>
  </si>
  <si>
    <t>Total Revenue</t>
  </si>
  <si>
    <t>% Geographically Adjusted Growth</t>
  </si>
  <si>
    <t>Segments ($MM)</t>
  </si>
  <si>
    <t>$ Q / Q</t>
  </si>
  <si>
    <t>$ Y / Y</t>
  </si>
  <si>
    <t>$ 2 Year</t>
  </si>
  <si>
    <t>v. Geographically Adjusted Growth</t>
  </si>
  <si>
    <t>% 2 Year</t>
  </si>
  <si>
    <t>Depreciation &amp; Amortization</t>
  </si>
  <si>
    <t>Q / Q</t>
  </si>
  <si>
    <t>Y / Y</t>
  </si>
  <si>
    <t>2 Year</t>
  </si>
  <si>
    <t>Earnings Variance v. Results</t>
  </si>
  <si>
    <t>4Q17</t>
  </si>
  <si>
    <t>Cons</t>
  </si>
  <si>
    <t>MSe</t>
  </si>
  <si>
    <t>$ Difference</t>
  </si>
  <si>
    <t>% Difference</t>
  </si>
  <si>
    <t>MSe v. Cons</t>
  </si>
  <si>
    <t>2018 Outlook</t>
  </si>
  <si>
    <t>Low</t>
  </si>
  <si>
    <t>Mid</t>
  </si>
  <si>
    <t>High</t>
  </si>
  <si>
    <t>v. Cons</t>
  </si>
  <si>
    <t>v. MSe</t>
  </si>
  <si>
    <t>$</t>
  </si>
  <si>
    <t>%</t>
  </si>
  <si>
    <t>Adjusted EPS</t>
  </si>
  <si>
    <t>Cash Flow From Operations</t>
  </si>
  <si>
    <t>Changes to Estimates</t>
  </si>
  <si>
    <t>Old</t>
  </si>
  <si>
    <t>∆</t>
  </si>
  <si>
    <t>∆ EPS</t>
  </si>
  <si>
    <t>Delphi Technologies (DLPH)</t>
  </si>
  <si>
    <t>SG&amp;A</t>
  </si>
  <si>
    <t>sinkevic</t>
  </si>
  <si>
    <t>USD</t>
  </si>
  <si>
    <t>Delphi Technologies PLC</t>
  </si>
  <si>
    <t>Currency</t>
  </si>
  <si>
    <t>Date</t>
  </si>
  <si>
    <t>Volume</t>
  </si>
  <si>
    <t>Count</t>
  </si>
  <si>
    <t>DLPH_w.N,mscalc:closePriceCurrencyCalc</t>
  </si>
  <si>
    <t>DLPH_w.N,mscalc:sedolCodeCalc</t>
  </si>
  <si>
    <t>DLPH_w.N,mscalc:targetPrice,,,,USD</t>
  </si>
  <si>
    <t>NA</t>
  </si>
  <si>
    <t>1Q18e</t>
  </si>
  <si>
    <t>2Q18e</t>
  </si>
  <si>
    <t>3Q18e</t>
  </si>
  <si>
    <t>4Q18e</t>
  </si>
  <si>
    <t>% of North America</t>
  </si>
  <si>
    <t>2021e</t>
  </si>
  <si>
    <t>2022e</t>
  </si>
  <si>
    <t>2023e</t>
  </si>
  <si>
    <t>Debt Schedule</t>
  </si>
  <si>
    <t>Debt</t>
  </si>
  <si>
    <t>Due</t>
  </si>
  <si>
    <t>Interest</t>
  </si>
  <si>
    <t>1Q</t>
  </si>
  <si>
    <t>2Q</t>
  </si>
  <si>
    <t>3Q</t>
  </si>
  <si>
    <t>4Q</t>
  </si>
  <si>
    <t>Revolving Credit Facility</t>
  </si>
  <si>
    <t>Total</t>
  </si>
  <si>
    <t>5.000% Senior Notes due 2025</t>
  </si>
  <si>
    <t>Term Loan</t>
  </si>
  <si>
    <t>v. Global Production</t>
  </si>
  <si>
    <t>DLPH.N</t>
  </si>
  <si>
    <t>DLPH.N,mscalc:closePriceCurrencyCalc</t>
  </si>
  <si>
    <t>DLPH.N,mscalc:targetPrice,,,,USD</t>
  </si>
  <si>
    <t>DLPH.N,mscalc:sedolCodeCalc</t>
  </si>
  <si>
    <t>$L$2</t>
  </si>
  <si>
    <t>% North America</t>
  </si>
  <si>
    <t>% EMEA</t>
  </si>
  <si>
    <t>% Asia</t>
  </si>
  <si>
    <t>Consensus</t>
  </si>
  <si>
    <t>57</t>
  </si>
  <si>
    <t>BD85SC5</t>
  </si>
  <si>
    <t>2022 Outlook</t>
  </si>
  <si>
    <t>Guidance</t>
  </si>
  <si>
    <t>Previous</t>
  </si>
  <si>
    <t>1Q18</t>
  </si>
  <si>
    <t>Deferred Income Taxes</t>
  </si>
  <si>
    <t>as % of Revenue</t>
  </si>
  <si>
    <t>EUR to USD</t>
  </si>
  <si>
    <t>Previous Revenue</t>
  </si>
  <si>
    <t>Price</t>
  </si>
  <si>
    <t>FX</t>
  </si>
  <si>
    <t>Spin Related Adjustments</t>
  </si>
  <si>
    <t>Pro Forma Adjustments</t>
  </si>
  <si>
    <t>Previous Operating Income</t>
  </si>
  <si>
    <t>Performance</t>
  </si>
  <si>
    <t>D&amp;A</t>
  </si>
  <si>
    <t>Powertrain</t>
  </si>
  <si>
    <t>Aftermarket</t>
  </si>
  <si>
    <t>Eliminations &amp; Other</t>
  </si>
  <si>
    <t>Inventory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</si>
  <si>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</si>
  <si>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</si>
  <si>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</si>
  <si>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</si>
  <si>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</si>
  <si>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</si>
  <si>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</si>
  <si>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Armintas Sinkevicius, Adam Jonas</t>
  </si>
  <si>
    <t>Date: 10 Apr 2018</t>
  </si>
  <si>
    <t>Ticker: DLPH.N</t>
  </si>
  <si>
    <t>Stock Rating: Equal-Weight</t>
  </si>
  <si>
    <t>Industry: Autos &amp; Shared Mobility</t>
  </si>
  <si>
    <t>Industry View: Cautious</t>
  </si>
  <si>
    <t>Price as of 10 Apr 2018: 49.56</t>
  </si>
  <si>
    <t>Target Price: 51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</si>
  <si>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</si>
  <si>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</si>
  <si>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</si>
  <si>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</si>
  <si>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Delphi Technologies PLC.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</si>
  <si>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</si>
  <si>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</si>
  <si>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</si>
  <si>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</si>
  <si>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</si>
  <si>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</si>
  <si>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</si>
  <si>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</si>
  <si>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</si>
  <si>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</si>
  <si>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</si>
  <si>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</si>
  <si>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</si>
  <si>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</si>
  <si>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</si>
  <si>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</si>
  <si>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</si>
  <si>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</si>
  <si>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</si>
  <si>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</si>
  <si>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</si>
  <si>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</si>
  <si>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</si>
  <si>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</si>
  <si>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</si>
  <si>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</si>
  <si>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</si>
  <si>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</si>
  <si>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</si>
  <si>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</si>
  <si>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</si>
  <si>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</si>
  <si>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</si>
  <si>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</si>
  <si>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</si>
  <si>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</si>
  <si>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</si>
  <si>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</si>
  <si>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</si>
  <si>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</si>
  <si>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</si>
  <si>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</si>
  <si>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</si>
  <si>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</si>
  <si>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</si>
  <si>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</si>
  <si>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</si>
  <si>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</si>
  <si>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</si>
  <si>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</si>
  <si>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</si>
  <si>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</si>
  <si>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</si>
  <si>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</si>
  <si>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</si>
  <si>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</si>
  <si>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</si>
  <si>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</si>
  <si>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</si>
  <si>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</si>
  <si>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</si>
  <si>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</si>
  <si>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</si>
  <si>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</si>
  <si>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</si>
  <si>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</si>
  <si>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</si>
  <si>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</si>
  <si>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</si>
  <si>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</si>
  <si>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</si>
  <si>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</si>
  <si>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</si>
  <si>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</si>
  <si>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</si>
  <si>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</si>
  <si>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</si>
  <si>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</si>
  <si>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</si>
  <si>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</si>
  <si>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</si>
  <si>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</si>
  <si>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</si>
  <si>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</si>
  <si>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</si>
  <si>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</si>
  <si>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</si>
  <si>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</si>
  <si>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</si>
  <si>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</si>
  <si>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</si>
  <si>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</si>
  <si>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</si>
  <si>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</si>
  <si>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</si>
  <si>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</si>
  <si>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</si>
  <si>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</si>
  <si>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</si>
  <si>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</si>
  <si>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</si>
  <si>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</si>
  <si>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</si>
  <si>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</si>
  <si>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</si>
  <si>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</si>
  <si>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</si>
  <si>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</si>
  <si>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</si>
  <si>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</si>
  <si>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</si>
  <si>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</si>
  <si>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</si>
  <si>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</si>
  <si>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</si>
  <si>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</si>
  <si>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</si>
  <si>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</si>
  <si>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</si>
  <si>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</si>
  <si>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</si>
  <si>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</si>
  <si>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</si>
  <si>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</si>
  <si>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</si>
  <si>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</si>
  <si>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</si>
  <si>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</si>
  <si>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</si>
  <si>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</si>
  <si>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</si>
  <si>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</si>
  <si>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</si>
  <si>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</si>
  <si>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</si>
  <si>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</si>
  <si>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</si>
  <si>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</si>
  <si>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</si>
  <si>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</si>
  <si>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</si>
  <si>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</si>
  <si>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</si>
  <si>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</si>
  <si>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</si>
  <si>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</si>
  <si>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</si>
  <si>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</si>
  <si>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</si>
  <si>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</si>
  <si>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</si>
  <si>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</si>
  <si>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</si>
  <si>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</si>
  <si>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</si>
  <si>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</si>
  <si>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</si>
  <si>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</si>
  <si>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</si>
  <si>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</si>
  <si>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</si>
  <si>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</si>
  <si>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</si>
  <si>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</si>
  <si>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</si>
  <si>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</si>
  <si>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</si>
  <si>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</si>
  <si>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</si>
  <si>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</si>
  <si>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</si>
  <si>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</si>
  <si>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</si>
  <si>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</si>
  <si>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</si>
  <si>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</si>
  <si>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Delphi Technologies PLC.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</si>
  <si>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</si>
  <si>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</si>
  <si>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</si>
  <si>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</si>
  <si>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</si>
  <si>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</si>
  <si>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</si>
  <si>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</si>
  <si>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</si>
  <si>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</si>
  <si>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</si>
  <si>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</si>
  <si>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</si>
  <si>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</si>
  <si>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</si>
  <si>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</si>
  <si>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</si>
  <si>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</si>
  <si>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</si>
  <si>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</si>
  <si>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</si>
  <si>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</si>
  <si>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</si>
  <si>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</si>
  <si>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</si>
  <si>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</si>
  <si>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</si>
  <si>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</si>
  <si>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</si>
  <si>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</si>
  <si>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</si>
  <si>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</si>
  <si>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</si>
  <si>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</si>
  <si>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</si>
  <si>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</si>
  <si>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</si>
  <si>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</si>
  <si>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</si>
  <si>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</si>
  <si>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</si>
  <si>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</si>
  <si>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</si>
  <si>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</si>
  <si>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</si>
  <si>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</si>
  <si>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</si>
  <si>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</si>
  <si>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</si>
  <si>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</si>
  <si>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</si>
  <si>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</si>
  <si>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</si>
  <si>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</si>
  <si>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</si>
  <si>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</si>
  <si>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</si>
  <si>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</si>
  <si>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</si>
  <si>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</si>
  <si>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</si>
  <si>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</si>
  <si>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</si>
  <si>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</si>
  <si>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</si>
  <si>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</si>
  <si>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provided or is providing investment banking services to,</t>
  </si>
  <si>
    <t>or has an investment banking client relationship with, the following company: Delphi Technologies PLC.</t>
  </si>
  <si>
    <t>In the next 3 months, Morgan Stanley expects to receive or intends to seek compensation for investment</t>
  </si>
  <si>
    <t>banking services from Delphi Technologies PLC.</t>
  </si>
  <si>
    <t>Within the last 12 months, Morgan Stanley has received compensation for investment banking services from</t>
  </si>
  <si>
    <t>Delphi Technologies PLC.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</si>
  <si>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</si>
  <si>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</si>
  <si>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</si>
  <si>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</si>
  <si>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</si>
  <si>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Armintas Sinkevicius, CFA, CPA.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</si>
  <si>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</si>
  <si>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</si>
  <si>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</si>
  <si>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</si>
  <si>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</si>
  <si>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</si>
  <si>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</si>
  <si>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</si>
  <si>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</si>
  <si>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</si>
  <si>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</si>
  <si>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</si>
  <si>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</si>
  <si>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</si>
  <si>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</si>
  <si>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</si>
  <si>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</si>
  <si>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</si>
  <si>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</si>
  <si>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</si>
  <si>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</si>
  <si>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</si>
  <si>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</si>
  <si>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</si>
  <si>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</si>
  <si>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</si>
  <si>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</si>
  <si>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</si>
  <si>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</si>
  <si>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</si>
  <si>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</si>
  <si>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</si>
  <si>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</si>
  <si>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</si>
  <si>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</si>
  <si>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</si>
  <si>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</si>
  <si>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</si>
  <si>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</si>
  <si>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</si>
  <si>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</si>
  <si>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</si>
  <si>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</si>
  <si>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</si>
  <si>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</si>
  <si>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</si>
  <si>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</si>
  <si>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</si>
  <si>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</si>
  <si>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</si>
  <si>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</si>
  <si>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</si>
  <si>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</si>
  <si>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</si>
  <si>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</si>
  <si>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</si>
  <si>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</si>
  <si>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</si>
  <si>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</si>
  <si>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</si>
  <si>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</si>
  <si>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</si>
  <si>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</si>
  <si>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</si>
  <si>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</si>
  <si>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</si>
  <si>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</si>
  <si>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</si>
  <si>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</si>
  <si>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Cautious</t>
  </si>
  <si>
    <t>Regular Update</t>
  </si>
  <si>
    <t>NorthAmerica</t>
  </si>
  <si>
    <t>MSA79FGM, MSA10866</t>
  </si>
  <si>
    <t>\\nyn177f2\u_t1481699656\sinkevic\Desktop\DLPH Model.xlsm</t>
  </si>
  <si>
    <t>[BRO MSA]</t>
  </si>
  <si>
    <t>[PRODUCT MODEL]</t>
  </si>
  <si>
    <t>[EMAIL_ALERT YES]</t>
  </si>
  <si>
    <t>[DISCIPLINE Company]</t>
  </si>
  <si>
    <t>[SUPPRESSED NO]</t>
  </si>
  <si>
    <t>[DOCDAT 2018-04-10]</t>
  </si>
  <si>
    <t>[DOCTIME 19:07]</t>
  </si>
  <si>
    <t>[PSYM DLPH.N(S&amp;P) (None)]</t>
  </si>
  <si>
    <t>[COU 1]</t>
  </si>
  <si>
    <t>[ANA MSA10866]</t>
  </si>
  <si>
    <t>[HL DLPH.N Model]</t>
  </si>
  <si>
    <t>[IND AUTMAN AUTPTS TIRRUB]</t>
  </si>
  <si>
    <t>[PANA MSA79FGM]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</si>
</sst>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&quot;x&quot;"/>
    <numFmt numFmtId="166" formatCode="0.0\x"/>
    <numFmt numFmtId="167" formatCode="#,##0.0_);\(#,##0.0\);\–_);&quot;–&quot;_)"/>
    <numFmt numFmtId="168" formatCode="0.0%_);\(0.0%\);&quot;–&quot;_)"/>
    <numFmt numFmtId="169" formatCode="0&quot;e&quot;"/>
    <numFmt numFmtId="170" formatCode="#,##0.0_);\(#,##0.0\)"/>
    <numFmt numFmtId="171" formatCode="_(&quot;$&quot;* #,##0_);_(&quot;$&quot;* \(#,##0\);_(&quot;$&quot;* &quot;-&quot;??_);_(@_)"/>
    <numFmt numFmtId="172" formatCode="_(* #,##0_);_(* \(#,##0\);_(* &quot;-&quot;??_);_(@_)"/>
    <numFmt numFmtId="173" formatCode="_(* #,##0.0%_);_(* \-#,##0.0%;_(* &quot;-&quot;??_);_(@_)"/>
    <numFmt numFmtId="174" formatCode="0.000"/>
    <numFmt numFmtId="175" formatCode="_(* #,##0.0_);_(* \(#,##0.0\);_(* &quot;-&quot;??_);_(@_)"/>
    <numFmt numFmtId="176" formatCode="0.0"/>
    <numFmt numFmtId="177" formatCode="_ * #,##0_ ;_ * \-#,##0_ ;_ * &quot;-&quot;_ ;_ @_ "/>
    <numFmt numFmtId="185" formatCode="0.000%"/>
    <numFmt numFmtId="191" formatCode="mm/dd/yy\ hh:mm"/>
  </numFmts>
  <fonts count="67">
    <font>
      <sz val="9"/>
      <name val="Arial"/>
      <family val="2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1"/>
      <color rgb="FFF8F8F8"/>
      <name val="Calibri"/>
      <family val="2"/>
      <scheme val="minor"/>
    </font>
    <font>
      <sz val="11"/>
      <color rgb="FFF8F8F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indexed="9"/>
      <name val="Calibri"/>
      <family val="2"/>
    </font>
    <font>
      <b/>
      <sz val="11"/>
      <color rgb="FFF8F8F8"/>
      <name val="Calibri"/>
      <family val="2"/>
    </font>
    <font>
      <sz val="11"/>
      <color rgb="FFF8F8F8"/>
      <name val="Calibri"/>
      <family val="2"/>
    </font>
    <font>
      <sz val="11"/>
      <color indexed="8"/>
      <name val="Calibri"/>
      <family val="2"/>
    </font>
    <font>
      <sz val="11"/>
      <color indexed="48"/>
      <name val="Calibri"/>
      <family val="2"/>
    </font>
    <font>
      <b/>
      <sz val="11"/>
      <color indexed="8"/>
      <name val="Calibri"/>
      <family val="2"/>
    </font>
    <font>
      <b/>
      <sz val="11"/>
      <color rgb="FFFF0000"/>
      <name val="Calibri"/>
      <family val="2"/>
    </font>
    <font>
      <sz val="11"/>
      <color theme="0" tint="-0.249977111117893"/>
      <name val="Calibri"/>
      <family val="2"/>
    </font>
    <font>
      <sz val="11"/>
      <color rgb="FFFF0000"/>
      <name val="Calibri"/>
      <family val="2"/>
    </font>
    <font>
      <sz val="11"/>
      <color rgb="FF0070C0"/>
      <name val="Calibri"/>
      <family val="2"/>
    </font>
    <font>
      <b/>
      <sz val="11"/>
      <color indexed="48"/>
      <name val="Calibri"/>
      <family val="2"/>
    </font>
    <font>
      <sz val="11"/>
      <color indexed="8"/>
      <name val="Calibri"/>
      <family val="2"/>
      <scheme val="minor"/>
    </font>
    <font>
      <sz val="11"/>
      <name val="Arial"/>
      <family val="2"/>
    </font>
    <font>
      <b/>
      <sz val="11"/>
      <color indexed="10"/>
      <name val="Calibri"/>
      <family val="2"/>
      <scheme val="minor"/>
    </font>
    <font>
      <sz val="9"/>
      <color indexed="18"/>
      <name val="Arial"/>
      <family val="2"/>
    </font>
    <font>
      <sz val="11"/>
      <color indexed="18"/>
      <name val="Calibri"/>
      <family val="2"/>
      <scheme val="minor"/>
    </font>
    <font>
      <sz val="11"/>
      <color indexed="53"/>
      <name val="Calibri"/>
      <family val="2"/>
      <scheme val="minor"/>
    </font>
    <font>
      <b/>
      <sz val="11"/>
      <color indexed="53"/>
      <name val="Calibri"/>
      <family val="2"/>
      <scheme val="minor"/>
    </font>
    <font>
      <sz val="11"/>
      <color indexed="55"/>
      <name val="Calibri"/>
      <family val="2"/>
      <scheme val="minor"/>
    </font>
    <font>
      <sz val="11"/>
      <color indexed="16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7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color indexed="8"/>
      <name val="MS Sans Serif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8"/>
      <name val="Times New Roman"/>
      <family val="1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b/>
      <sz val="8"/>
      <name val="Arial"/>
      <family val="2"/>
    </font>
    <font>
      <b/>
      <sz val="10"/>
      <name val="Arial"/>
      <family val="2"/>
    </font>
    <font>
      <sz val="10"/>
      <name val="Tahoma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12"/>
      <name val="바탕체"/>
      <family val="1"/>
      <charset val="129"/>
    </font>
    <font>
      <b/>
      <sz val="11"/>
      <color rgb="FF0070C0"/>
      <name val="Calibri"/>
      <family val="2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00B050"/>
      <name val="Calibri"/>
      <family val="2"/>
      <scheme val="minor"/>
    </font>
    <font>
      <sz val="10"/>
      <name val="Courier"/>
      <family val="3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8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82">
    <xf numFmtId="0" fontId="0" fillId="0" borderId="0"/>
    <xf numFmtId="172" fontId="32" fillId="0" borderId="0" applyBorder="0" applyAlignment="0" applyProtection="0"/>
    <xf numFmtId="44" fontId="2" fillId="0" borderId="0" applyFont="0" applyFill="0" applyBorder="0" applyAlignment="0" applyProtection="0"/>
    <xf numFmtId="164" fontId="30" fillId="0" borderId="22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42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Fill="0" applyAlignment="0">
      <protection locked="0"/>
    </xf>
    <xf numFmtId="0" fontId="2" fillId="0" borderId="0"/>
    <xf numFmtId="0" fontId="2" fillId="0" borderId="0" applyFill="0" applyAlignment="0">
      <protection locked="0"/>
    </xf>
    <xf numFmtId="0" fontId="2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2" fillId="0" borderId="31"/>
    <xf numFmtId="0" fontId="44" fillId="0" borderId="0"/>
    <xf numFmtId="0" fontId="44" fillId="0" borderId="0"/>
    <xf numFmtId="43" fontId="2" fillId="0" borderId="0" applyFont="0" applyFill="0" applyBorder="0" applyAlignment="0" applyProtection="0"/>
    <xf numFmtId="40" fontId="45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0" fontId="2" fillId="0" borderId="31"/>
    <xf numFmtId="1" fontId="2" fillId="0" borderId="31"/>
    <xf numFmtId="0" fontId="46" fillId="0" borderId="0"/>
    <xf numFmtId="0" fontId="47" fillId="8" borderId="0"/>
    <xf numFmtId="0" fontId="48" fillId="0" borderId="0"/>
    <xf numFmtId="0" fontId="49" fillId="0" borderId="31">
      <alignment horizontal="center"/>
    </xf>
    <xf numFmtId="0" fontId="50" fillId="0" borderId="0">
      <alignment wrapText="1"/>
    </xf>
    <xf numFmtId="0" fontId="47" fillId="0" borderId="0"/>
    <xf numFmtId="0" fontId="51" fillId="0" borderId="0"/>
    <xf numFmtId="0" fontId="52" fillId="0" borderId="0"/>
    <xf numFmtId="0" fontId="45" fillId="0" borderId="0"/>
    <xf numFmtId="0" fontId="53" fillId="0" borderId="0">
      <alignment vertical="center"/>
    </xf>
    <xf numFmtId="0" fontId="52" fillId="0" borderId="0"/>
    <xf numFmtId="9" fontId="2" fillId="0" borderId="0" applyFont="0" applyFill="0" applyBorder="0" applyAlignment="0" applyProtection="0"/>
    <xf numFmtId="0" fontId="2" fillId="9" borderId="0" applyNumberFormat="0" applyFont="0" applyBorder="0" applyAlignment="0" applyProtection="0"/>
    <xf numFmtId="0" fontId="54" fillId="0" borderId="0"/>
    <xf numFmtId="0" fontId="54" fillId="0" borderId="0"/>
    <xf numFmtId="0" fontId="54" fillId="0" borderId="32">
      <alignment horizontal="centerContinuous"/>
    </xf>
    <xf numFmtId="0" fontId="54" fillId="0" borderId="32">
      <alignment horizontal="centerContinuous"/>
    </xf>
    <xf numFmtId="0" fontId="54" fillId="0" borderId="32">
      <alignment horizontal="centerContinuous"/>
    </xf>
    <xf numFmtId="0" fontId="54" fillId="0" borderId="32">
      <alignment horizontal="centerContinuous"/>
    </xf>
    <xf numFmtId="0" fontId="54" fillId="0" borderId="32">
      <alignment horizontal="centerContinuous"/>
    </xf>
    <xf numFmtId="0" fontId="54" fillId="0" borderId="32">
      <alignment horizontal="centerContinuous"/>
    </xf>
    <xf numFmtId="0" fontId="54" fillId="0" borderId="32">
      <alignment horizontal="centerContinuous"/>
    </xf>
    <xf numFmtId="0" fontId="54" fillId="0" borderId="32">
      <alignment horizontal="centerContinuous"/>
    </xf>
    <xf numFmtId="0" fontId="54" fillId="0" borderId="32">
      <alignment horizontal="centerContinuous"/>
    </xf>
    <xf numFmtId="0" fontId="54" fillId="0" borderId="32">
      <alignment horizontal="centerContinuous"/>
    </xf>
    <xf numFmtId="0" fontId="54" fillId="0" borderId="32">
      <alignment horizontal="centerContinuous"/>
    </xf>
    <xf numFmtId="0" fontId="55" fillId="0" borderId="32"/>
    <xf numFmtId="0" fontId="2" fillId="0" borderId="0">
      <alignment vertical="top"/>
    </xf>
    <xf numFmtId="0" fontId="2" fillId="0" borderId="0">
      <alignment vertical="top"/>
    </xf>
    <xf numFmtId="177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60" fillId="0" borderId="0"/>
    <xf numFmtId="44" fontId="60" fillId="0" borderId="0" applyFont="0" applyFill="0" applyBorder="0" applyAlignment="0" applyProtection="0"/>
    <xf numFmtId="0" fontId="61" fillId="0" borderId="0"/>
    <xf numFmtId="44" fontId="61" fillId="0" borderId="0" applyFont="0" applyFill="0" applyBorder="0" applyAlignment="0" applyProtection="0"/>
    <xf numFmtId="0" fontId="63" fillId="0" borderId="0"/>
  </cellStyleXfs>
  <cellXfs count="800">
    <xf numFmtId="0" fontId="0" fillId="0" borderId="0" xfId="0"/>
    <xf numFmtId="0" fontId="3" fillId="0" borderId="0" xfId="4" applyFont="1" applyFill="1"/>
    <xf numFmtId="0" fontId="4" fillId="2" borderId="0" xfId="4" applyFont="1" applyFill="1"/>
    <xf numFmtId="0" fontId="5" fillId="2" borderId="0" xfId="4" applyFont="1" applyFill="1"/>
    <xf numFmtId="0" fontId="5" fillId="2" borderId="0" xfId="4" applyFont="1" applyFill="1" applyAlignment="1">
      <alignment horizontal="right"/>
    </xf>
    <xf numFmtId="0" fontId="5" fillId="0" borderId="0" xfId="4" applyFont="1" applyFill="1"/>
    <xf numFmtId="9" fontId="5" fillId="0" borderId="0" xfId="5" applyFont="1" applyFill="1"/>
    <xf numFmtId="0" fontId="6" fillId="0" borderId="0" xfId="4" applyFont="1" applyFill="1"/>
    <xf numFmtId="0" fontId="5" fillId="0" borderId="0" xfId="4" applyFont="1" applyFill="1" applyAlignment="1">
      <alignment horizontal="right"/>
    </xf>
    <xf numFmtId="0" fontId="7" fillId="3" borderId="1" xfId="4" applyFont="1" applyFill="1" applyBorder="1"/>
    <xf numFmtId="0" fontId="7" fillId="3" borderId="2" xfId="4" applyFont="1" applyFill="1" applyBorder="1"/>
    <xf numFmtId="0" fontId="7" fillId="3" borderId="2" xfId="4" applyFont="1" applyFill="1" applyBorder="1" applyAlignment="1">
      <alignment horizontal="right"/>
    </xf>
    <xf numFmtId="5" fontId="7" fillId="3" borderId="3" xfId="4" applyNumberFormat="1" applyFont="1" applyFill="1" applyBorder="1" applyAlignment="1">
      <alignment horizontal="right"/>
    </xf>
    <xf numFmtId="9" fontId="6" fillId="0" borderId="0" xfId="4" applyNumberFormat="1" applyFont="1" applyFill="1"/>
    <xf numFmtId="9" fontId="5" fillId="0" borderId="0" xfId="4" applyNumberFormat="1" applyFont="1" applyFill="1"/>
    <xf numFmtId="9" fontId="5" fillId="0" borderId="0" xfId="4" applyNumberFormat="1" applyFont="1" applyFill="1" applyAlignment="1">
      <alignment horizontal="right"/>
    </xf>
    <xf numFmtId="0" fontId="7" fillId="3" borderId="0" xfId="4" applyFont="1" applyFill="1"/>
    <xf numFmtId="0" fontId="8" fillId="3" borderId="0" xfId="4" applyFont="1" applyFill="1"/>
    <xf numFmtId="0" fontId="8" fillId="3" borderId="0" xfId="4" applyFont="1" applyFill="1" applyAlignment="1">
      <alignment horizontal="right"/>
    </xf>
    <xf numFmtId="0" fontId="4" fillId="4" borderId="0" xfId="4" applyFont="1" applyFill="1" applyAlignment="1">
      <alignment horizontal="center"/>
    </xf>
    <xf numFmtId="0" fontId="4" fillId="4" borderId="0" xfId="4" applyFont="1" applyFill="1" applyAlignment="1">
      <alignment horizontal="left"/>
    </xf>
    <xf numFmtId="37" fontId="4" fillId="0" borderId="0" xfId="4" applyNumberFormat="1" applyFont="1" applyFill="1"/>
    <xf numFmtId="7" fontId="9" fillId="0" borderId="0" xfId="4" applyNumberFormat="1" applyFont="1" applyFill="1" applyAlignment="1">
      <alignment horizontal="center"/>
    </xf>
    <xf numFmtId="7" fontId="5" fillId="0" borderId="0" xfId="4" applyNumberFormat="1" applyFont="1" applyFill="1" applyAlignment="1">
      <alignment horizontal="center"/>
    </xf>
    <xf numFmtId="9" fontId="4" fillId="0" borderId="0" xfId="5" applyFont="1" applyFill="1"/>
    <xf numFmtId="164" fontId="10" fillId="0" borderId="0" xfId="4" applyNumberFormat="1" applyFont="1" applyFill="1"/>
    <xf numFmtId="37" fontId="1" fillId="0" borderId="0" xfId="4" applyNumberFormat="1" applyFont="1" applyFill="1" applyAlignment="1">
      <alignment horizontal="center"/>
    </xf>
    <xf numFmtId="0" fontId="5" fillId="0" borderId="4" xfId="4" applyFont="1" applyFill="1" applyBorder="1"/>
    <xf numFmtId="0" fontId="5" fillId="0" borderId="5" xfId="4" applyFont="1" applyFill="1" applyBorder="1"/>
    <xf numFmtId="165" fontId="5" fillId="0" borderId="5" xfId="4" applyNumberFormat="1" applyFont="1" applyFill="1" applyBorder="1"/>
    <xf numFmtId="165" fontId="4" fillId="0" borderId="6" xfId="4" applyNumberFormat="1" applyFont="1" applyFill="1" applyBorder="1"/>
    <xf numFmtId="9" fontId="10" fillId="0" borderId="0" xfId="5" applyFont="1" applyFill="1"/>
    <xf numFmtId="0" fontId="5" fillId="0" borderId="7" xfId="4" applyFont="1" applyFill="1" applyBorder="1"/>
    <xf numFmtId="37" fontId="5" fillId="0" borderId="7" xfId="4" applyNumberFormat="1" applyFont="1" applyFill="1" applyBorder="1" applyAlignment="1">
      <alignment horizontal="center"/>
    </xf>
    <xf numFmtId="0" fontId="5" fillId="0" borderId="8" xfId="4" applyFont="1" applyFill="1" applyBorder="1"/>
    <xf numFmtId="0" fontId="5" fillId="0" borderId="0" xfId="4" applyFont="1" applyFill="1" applyBorder="1"/>
    <xf numFmtId="165" fontId="5" fillId="0" borderId="0" xfId="4" applyNumberFormat="1" applyFont="1" applyFill="1" applyBorder="1"/>
    <xf numFmtId="165" fontId="4" fillId="0" borderId="9" xfId="4" applyNumberFormat="1" applyFont="1" applyFill="1" applyBorder="1"/>
    <xf numFmtId="0" fontId="5" fillId="0" borderId="0" xfId="4" quotePrefix="1" applyFont="1" applyFill="1"/>
    <xf numFmtId="0" fontId="5" fillId="0" borderId="10" xfId="4" applyFont="1" applyFill="1" applyBorder="1"/>
    <xf numFmtId="0" fontId="5" fillId="0" borderId="11" xfId="4" applyFont="1" applyFill="1" applyBorder="1"/>
    <xf numFmtId="165" fontId="5" fillId="0" borderId="11" xfId="4" applyNumberFormat="1" applyFont="1" applyFill="1" applyBorder="1"/>
    <xf numFmtId="165" fontId="4" fillId="0" borderId="12" xfId="4" applyNumberFormat="1" applyFont="1" applyFill="1" applyBorder="1"/>
    <xf numFmtId="0" fontId="4" fillId="0" borderId="0" xfId="4" applyFont="1" applyFill="1"/>
    <xf numFmtId="0" fontId="4" fillId="5" borderId="0" xfId="4" applyFont="1" applyFill="1" applyAlignment="1">
      <alignment horizontal="left"/>
    </xf>
    <xf numFmtId="0" fontId="5" fillId="5" borderId="0" xfId="4" applyFont="1" applyFill="1"/>
    <xf numFmtId="0" fontId="4" fillId="5" borderId="0" xfId="4" applyFont="1" applyFill="1" applyAlignment="1">
      <alignment horizontal="center"/>
    </xf>
    <xf numFmtId="164" fontId="12" fillId="5" borderId="0" xfId="4" applyNumberFormat="1" applyFont="1" applyFill="1" applyAlignment="1">
      <alignment horizontal="center"/>
    </xf>
    <xf numFmtId="38" fontId="4" fillId="0" borderId="0" xfId="4" applyNumberFormat="1" applyFont="1" applyFill="1"/>
    <xf numFmtId="38" fontId="5" fillId="0" borderId="0" xfId="4" applyNumberFormat="1" applyFont="1" applyFill="1"/>
    <xf numFmtId="166" fontId="4" fillId="6" borderId="13" xfId="4" applyNumberFormat="1" applyFont="1" applyFill="1" applyBorder="1"/>
    <xf numFmtId="166" fontId="4" fillId="6" borderId="13" xfId="4" applyNumberFormat="1" applyFont="1" applyFill="1" applyBorder="1" applyAlignment="1">
      <alignment horizontal="center"/>
    </xf>
    <xf numFmtId="166" fontId="9" fillId="6" borderId="13" xfId="4" applyNumberFormat="1" applyFont="1" applyFill="1" applyBorder="1" applyAlignment="1">
      <alignment horizontal="center"/>
    </xf>
    <xf numFmtId="0" fontId="5" fillId="0" borderId="13" xfId="4" applyFont="1" applyFill="1" applyBorder="1"/>
    <xf numFmtId="7" fontId="1" fillId="0" borderId="13" xfId="4" applyNumberFormat="1" applyFont="1" applyFill="1" applyBorder="1" applyAlignment="1">
      <alignment horizontal="center"/>
    </xf>
    <xf numFmtId="5" fontId="5" fillId="0" borderId="13" xfId="4" applyNumberFormat="1" applyFont="1" applyFill="1" applyBorder="1" applyAlignment="1">
      <alignment horizontal="center"/>
    </xf>
    <xf numFmtId="37" fontId="5" fillId="0" borderId="0" xfId="4" applyNumberFormat="1" applyFont="1" applyFill="1"/>
    <xf numFmtId="5" fontId="4" fillId="7" borderId="13" xfId="0" applyNumberFormat="1" applyFont="1" applyFill="1" applyBorder="1" applyAlignment="1">
      <alignment horizontal="center"/>
    </xf>
    <xf numFmtId="37" fontId="1" fillId="0" borderId="13" xfId="4" applyNumberFormat="1" applyFont="1" applyFill="1" applyBorder="1" applyAlignment="1">
      <alignment horizontal="center"/>
    </xf>
    <xf numFmtId="166" fontId="5" fillId="6" borderId="13" xfId="4" applyNumberFormat="1" applyFont="1" applyFill="1" applyBorder="1"/>
    <xf numFmtId="0" fontId="15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17" fillId="2" borderId="0" xfId="0" applyFont="1" applyFill="1"/>
    <xf numFmtId="0" fontId="18" fillId="2" borderId="0" xfId="0" applyFont="1" applyFill="1"/>
    <xf numFmtId="0" fontId="19" fillId="3" borderId="0" xfId="0" applyFont="1" applyFill="1"/>
    <xf numFmtId="0" fontId="20" fillId="3" borderId="0" xfId="0" applyFont="1" applyFill="1"/>
    <xf numFmtId="0" fontId="20" fillId="3" borderId="0" xfId="0" applyFont="1" applyFill="1" applyAlignment="1">
      <alignment horizontal="right"/>
    </xf>
    <xf numFmtId="0" fontId="16" fillId="2" borderId="0" xfId="0" applyFont="1" applyFill="1" applyBorder="1"/>
    <xf numFmtId="167" fontId="21" fillId="2" borderId="0" xfId="0" applyNumberFormat="1" applyFont="1" applyFill="1" applyBorder="1"/>
    <xf numFmtId="168" fontId="22" fillId="2" borderId="0" xfId="0" applyNumberFormat="1" applyFont="1" applyFill="1" applyBorder="1"/>
    <xf numFmtId="169" fontId="17" fillId="4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37" fontId="17" fillId="2" borderId="0" xfId="0" applyNumberFormat="1" applyFont="1" applyFill="1"/>
    <xf numFmtId="37" fontId="17" fillId="2" borderId="0" xfId="0" applyNumberFormat="1" applyFont="1" applyFill="1" applyBorder="1"/>
    <xf numFmtId="37" fontId="23" fillId="2" borderId="0" xfId="0" applyNumberFormat="1" applyFont="1" applyFill="1" applyBorder="1"/>
    <xf numFmtId="37" fontId="17" fillId="2" borderId="0" xfId="0" applyNumberFormat="1" applyFont="1" applyFill="1" applyAlignment="1">
      <alignment horizontal="right"/>
    </xf>
    <xf numFmtId="37" fontId="24" fillId="2" borderId="0" xfId="0" applyNumberFormat="1" applyFont="1" applyFill="1" applyAlignment="1">
      <alignment horizontal="center"/>
    </xf>
    <xf numFmtId="37" fontId="17" fillId="2" borderId="0" xfId="0" applyNumberFormat="1" applyFont="1" applyFill="1" applyAlignment="1">
      <alignment horizontal="center"/>
    </xf>
    <xf numFmtId="164" fontId="25" fillId="2" borderId="0" xfId="0" applyNumberFormat="1" applyFont="1" applyFill="1"/>
    <xf numFmtId="164" fontId="25" fillId="2" borderId="0" xfId="0" applyNumberFormat="1" applyFont="1" applyFill="1" applyBorder="1" applyAlignment="1">
      <alignment horizontal="left" indent="1"/>
    </xf>
    <xf numFmtId="164" fontId="25" fillId="2" borderId="0" xfId="0" applyNumberFormat="1" applyFont="1" applyFill="1" applyBorder="1"/>
    <xf numFmtId="164" fontId="25" fillId="2" borderId="0" xfId="0" applyNumberFormat="1" applyFont="1" applyFill="1" applyAlignment="1">
      <alignment horizontal="right"/>
    </xf>
    <xf numFmtId="164" fontId="26" fillId="2" borderId="0" xfId="0" applyNumberFormat="1" applyFont="1" applyFill="1" applyAlignment="1">
      <alignment horizontal="center"/>
    </xf>
    <xf numFmtId="164" fontId="25" fillId="2" borderId="0" xfId="0" applyNumberFormat="1" applyFont="1" applyFill="1" applyAlignment="1">
      <alignment horizontal="center"/>
    </xf>
    <xf numFmtId="164" fontId="27" fillId="2" borderId="0" xfId="0" applyNumberFormat="1" applyFont="1" applyFill="1" applyAlignment="1">
      <alignment horizontal="center"/>
    </xf>
    <xf numFmtId="0" fontId="25" fillId="2" borderId="0" xfId="0" applyFont="1" applyFill="1"/>
    <xf numFmtId="168" fontId="21" fillId="2" borderId="0" xfId="0" applyNumberFormat="1" applyFont="1" applyFill="1" applyBorder="1"/>
    <xf numFmtId="168" fontId="21" fillId="2" borderId="0" xfId="0" applyNumberFormat="1" applyFont="1" applyFill="1"/>
    <xf numFmtId="164" fontId="16" fillId="2" borderId="0" xfId="0" applyNumberFormat="1" applyFont="1" applyFill="1" applyAlignment="1">
      <alignment horizontal="center"/>
    </xf>
    <xf numFmtId="0" fontId="17" fillId="2" borderId="0" xfId="0" applyFont="1" applyFill="1" applyBorder="1"/>
    <xf numFmtId="168" fontId="28" fillId="2" borderId="0" xfId="0" applyNumberFormat="1" applyFont="1" applyFill="1" applyBorder="1"/>
    <xf numFmtId="168" fontId="28" fillId="2" borderId="0" xfId="0" applyNumberFormat="1" applyFont="1" applyFill="1"/>
    <xf numFmtId="38" fontId="17" fillId="2" borderId="0" xfId="0" applyNumberFormat="1" applyFont="1" applyFill="1"/>
    <xf numFmtId="168" fontId="22" fillId="2" borderId="0" xfId="0" applyNumberFormat="1" applyFont="1" applyFill="1"/>
    <xf numFmtId="38" fontId="16" fillId="2" borderId="0" xfId="0" applyNumberFormat="1" applyFont="1" applyFill="1"/>
    <xf numFmtId="37" fontId="26" fillId="2" borderId="0" xfId="0" applyNumberFormat="1" applyFont="1" applyFill="1" applyAlignment="1">
      <alignment horizontal="center"/>
    </xf>
    <xf numFmtId="37" fontId="27" fillId="2" borderId="0" xfId="0" applyNumberFormat="1" applyFont="1" applyFill="1" applyAlignment="1">
      <alignment horizontal="center"/>
    </xf>
    <xf numFmtId="37" fontId="16" fillId="2" borderId="0" xfId="0" applyNumberFormat="1" applyFont="1" applyFill="1" applyAlignment="1">
      <alignment horizontal="center"/>
    </xf>
    <xf numFmtId="37" fontId="16" fillId="2" borderId="0" xfId="0" applyNumberFormat="1" applyFont="1" applyFill="1"/>
    <xf numFmtId="39" fontId="27" fillId="2" borderId="0" xfId="0" applyNumberFormat="1" applyFont="1" applyFill="1" applyAlignment="1">
      <alignment horizontal="center"/>
    </xf>
    <xf numFmtId="39" fontId="16" fillId="2" borderId="0" xfId="0" applyNumberFormat="1" applyFont="1" applyFill="1" applyAlignment="1">
      <alignment horizontal="center"/>
    </xf>
    <xf numFmtId="0" fontId="16" fillId="2" borderId="14" xfId="0" applyFont="1" applyFill="1" applyBorder="1"/>
    <xf numFmtId="168" fontId="22" fillId="2" borderId="14" xfId="0" applyNumberFormat="1" applyFont="1" applyFill="1" applyBorder="1"/>
    <xf numFmtId="39" fontId="16" fillId="2" borderId="14" xfId="0" applyNumberFormat="1" applyFont="1" applyFill="1" applyBorder="1" applyAlignment="1">
      <alignment horizontal="center"/>
    </xf>
    <xf numFmtId="0" fontId="4" fillId="2" borderId="15" xfId="4" applyFont="1" applyFill="1" applyBorder="1"/>
    <xf numFmtId="0" fontId="5" fillId="2" borderId="16" xfId="4" applyFont="1" applyFill="1" applyBorder="1"/>
    <xf numFmtId="0" fontId="5" fillId="2" borderId="17" xfId="4" applyFont="1" applyFill="1" applyBorder="1"/>
    <xf numFmtId="0" fontId="5" fillId="2" borderId="15" xfId="6" applyFont="1" applyFill="1" applyBorder="1" applyAlignment="1">
      <alignment horizontal="right"/>
    </xf>
    <xf numFmtId="0" fontId="5" fillId="2" borderId="16" xfId="6" applyFont="1" applyFill="1" applyBorder="1" applyAlignment="1">
      <alignment horizontal="right"/>
    </xf>
    <xf numFmtId="0" fontId="5" fillId="2" borderId="17" xfId="6" applyFont="1" applyFill="1" applyBorder="1" applyAlignment="1">
      <alignment horizontal="right"/>
    </xf>
    <xf numFmtId="0" fontId="5" fillId="2" borderId="18" xfId="4" applyFont="1" applyFill="1" applyBorder="1"/>
    <xf numFmtId="0" fontId="5" fillId="2" borderId="0" xfId="4" applyFont="1" applyFill="1" applyBorder="1"/>
    <xf numFmtId="0" fontId="5" fillId="2" borderId="18" xfId="6" applyFont="1" applyFill="1" applyBorder="1" applyAlignment="1">
      <alignment horizontal="left"/>
    </xf>
    <xf numFmtId="0" fontId="5" fillId="2" borderId="0" xfId="6" applyFont="1" applyFill="1" applyBorder="1" applyAlignment="1">
      <alignment horizontal="right"/>
    </xf>
    <xf numFmtId="37" fontId="5" fillId="2" borderId="19" xfId="6" applyNumberFormat="1" applyFont="1" applyFill="1" applyBorder="1" applyAlignment="1">
      <alignment horizontal="right"/>
    </xf>
    <xf numFmtId="164" fontId="11" fillId="2" borderId="19" xfId="4" applyNumberFormat="1" applyFont="1" applyFill="1" applyBorder="1"/>
    <xf numFmtId="0" fontId="5" fillId="2" borderId="18" xfId="6" quotePrefix="1" applyFont="1" applyFill="1" applyBorder="1" applyAlignment="1">
      <alignment horizontal="left"/>
    </xf>
    <xf numFmtId="37" fontId="1" fillId="2" borderId="19" xfId="6" applyNumberFormat="1" applyFont="1" applyFill="1" applyBorder="1" applyAlignment="1">
      <alignment horizontal="right"/>
    </xf>
    <xf numFmtId="0" fontId="4" fillId="2" borderId="18" xfId="4" applyFont="1" applyFill="1" applyBorder="1"/>
    <xf numFmtId="164" fontId="4" fillId="2" borderId="19" xfId="4" applyNumberFormat="1" applyFont="1" applyFill="1" applyBorder="1"/>
    <xf numFmtId="164" fontId="1" fillId="2" borderId="19" xfId="4" applyNumberFormat="1" applyFont="1" applyFill="1" applyBorder="1"/>
    <xf numFmtId="0" fontId="5" fillId="2" borderId="18" xfId="6" applyFont="1" applyFill="1" applyBorder="1"/>
    <xf numFmtId="0" fontId="5" fillId="2" borderId="0" xfId="6" applyFont="1" applyFill="1" applyBorder="1"/>
    <xf numFmtId="9" fontId="5" fillId="2" borderId="19" xfId="6" applyNumberFormat="1" applyFont="1" applyFill="1" applyBorder="1"/>
    <xf numFmtId="0" fontId="4" fillId="5" borderId="18" xfId="6" applyFont="1" applyFill="1" applyBorder="1" applyAlignment="1">
      <alignment horizontal="left"/>
    </xf>
    <xf numFmtId="0" fontId="4" fillId="5" borderId="0" xfId="6" applyFont="1" applyFill="1" applyBorder="1" applyAlignment="1">
      <alignment horizontal="right"/>
    </xf>
    <xf numFmtId="5" fontId="4" fillId="5" borderId="19" xfId="6" applyNumberFormat="1" applyFont="1" applyFill="1" applyBorder="1" applyAlignment="1">
      <alignment horizontal="right"/>
    </xf>
    <xf numFmtId="164" fontId="5" fillId="2" borderId="19" xfId="4" applyNumberFormat="1" applyFont="1" applyFill="1" applyBorder="1"/>
    <xf numFmtId="164" fontId="9" fillId="2" borderId="19" xfId="4" applyNumberFormat="1" applyFont="1" applyFill="1" applyBorder="1"/>
    <xf numFmtId="0" fontId="5" fillId="2" borderId="20" xfId="4" applyFont="1" applyFill="1" applyBorder="1"/>
    <xf numFmtId="0" fontId="5" fillId="2" borderId="14" xfId="4" applyFont="1" applyFill="1" applyBorder="1"/>
    <xf numFmtId="167" fontId="29" fillId="2" borderId="21" xfId="4" applyNumberFormat="1" applyFont="1" applyFill="1" applyBorder="1"/>
    <xf numFmtId="0" fontId="5" fillId="2" borderId="20" xfId="6" applyFont="1" applyFill="1" applyBorder="1" applyAlignment="1">
      <alignment horizontal="right"/>
    </xf>
    <xf numFmtId="0" fontId="5" fillId="2" borderId="14" xfId="6" applyFont="1" applyFill="1" applyBorder="1" applyAlignment="1">
      <alignment horizontal="right"/>
    </xf>
    <xf numFmtId="0" fontId="5" fillId="2" borderId="21" xfId="6" applyFont="1" applyFill="1" applyBorder="1" applyAlignment="1">
      <alignment horizontal="right"/>
    </xf>
    <xf numFmtId="0" fontId="5" fillId="0" borderId="0" xfId="0" applyFont="1" applyFill="1" applyBorder="1"/>
    <xf numFmtId="0" fontId="3" fillId="2" borderId="0" xfId="0" applyFont="1" applyFill="1" applyBorder="1"/>
    <xf numFmtId="0" fontId="5" fillId="2" borderId="0" xfId="0" applyFont="1" applyFill="1" applyBorder="1"/>
    <xf numFmtId="164" fontId="5" fillId="2" borderId="0" xfId="3" applyNumberFormat="1" applyFont="1" applyFill="1" applyBorder="1"/>
    <xf numFmtId="0" fontId="5" fillId="2" borderId="0" xfId="0" applyFont="1" applyFill="1" applyBorder="1" applyAlignment="1">
      <alignment horizontal="right"/>
    </xf>
    <xf numFmtId="164" fontId="5" fillId="2" borderId="0" xfId="3" applyNumberFormat="1" applyFont="1" applyFill="1" applyBorder="1" applyAlignment="1">
      <alignment horizontal="right"/>
    </xf>
    <xf numFmtId="164" fontId="5" fillId="2" borderId="0" xfId="3" applyFont="1" applyFill="1" applyBorder="1" applyAlignment="1">
      <alignment horizontal="right"/>
    </xf>
    <xf numFmtId="43" fontId="5" fillId="2" borderId="0" xfId="0" applyNumberFormat="1" applyFont="1" applyFill="1" applyBorder="1" applyAlignment="1">
      <alignment horizontal="right"/>
    </xf>
    <xf numFmtId="0" fontId="4" fillId="0" borderId="0" xfId="0" applyFont="1" applyFill="1"/>
    <xf numFmtId="0" fontId="3" fillId="3" borderId="15" xfId="0" applyFont="1" applyFill="1" applyBorder="1" applyAlignment="1">
      <alignment horizontal="right"/>
    </xf>
    <xf numFmtId="0" fontId="3" fillId="3" borderId="16" xfId="0" applyFont="1" applyFill="1" applyBorder="1" applyAlignment="1">
      <alignment horizontal="right"/>
    </xf>
    <xf numFmtId="0" fontId="3" fillId="3" borderId="17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right"/>
    </xf>
    <xf numFmtId="0" fontId="4" fillId="2" borderId="0" xfId="0" applyFont="1" applyFill="1"/>
    <xf numFmtId="37" fontId="5" fillId="0" borderId="0" xfId="0" applyNumberFormat="1" applyFont="1" applyFill="1"/>
    <xf numFmtId="0" fontId="31" fillId="2" borderId="18" xfId="0" applyFont="1" applyFill="1" applyBorder="1" applyAlignment="1">
      <alignment horizontal="right"/>
    </xf>
    <xf numFmtId="0" fontId="31" fillId="2" borderId="0" xfId="0" applyFont="1" applyFill="1" applyBorder="1" applyAlignment="1">
      <alignment horizontal="right"/>
    </xf>
    <xf numFmtId="171" fontId="31" fillId="2" borderId="0" xfId="2" applyNumberFormat="1" applyFont="1" applyFill="1" applyBorder="1" applyAlignment="1">
      <alignment horizontal="right"/>
    </xf>
    <xf numFmtId="171" fontId="31" fillId="2" borderId="19" xfId="2" applyNumberFormat="1" applyFont="1" applyFill="1" applyBorder="1" applyAlignment="1">
      <alignment horizontal="right"/>
    </xf>
    <xf numFmtId="164" fontId="31" fillId="2" borderId="0" xfId="3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3" fillId="2" borderId="19" xfId="0" applyFont="1" applyFill="1" applyBorder="1" applyAlignment="1">
      <alignment horizontal="right"/>
    </xf>
    <xf numFmtId="164" fontId="29" fillId="2" borderId="0" xfId="3" applyFont="1" applyFill="1" applyBorder="1"/>
    <xf numFmtId="43" fontId="3" fillId="2" borderId="0" xfId="0" applyNumberFormat="1" applyFont="1" applyFill="1" applyBorder="1" applyAlignment="1">
      <alignment horizontal="right"/>
    </xf>
    <xf numFmtId="0" fontId="5" fillId="2" borderId="0" xfId="0" applyFont="1" applyFill="1"/>
    <xf numFmtId="37" fontId="5" fillId="0" borderId="0" xfId="0" applyNumberFormat="1" applyFont="1" applyFill="1" applyBorder="1"/>
    <xf numFmtId="37" fontId="5" fillId="2" borderId="0" xfId="0" applyNumberFormat="1" applyFont="1" applyFill="1" applyBorder="1"/>
    <xf numFmtId="37" fontId="1" fillId="2" borderId="18" xfId="0" applyNumberFormat="1" applyFont="1" applyFill="1" applyBorder="1"/>
    <xf numFmtId="37" fontId="1" fillId="2" borderId="0" xfId="0" applyNumberFormat="1" applyFont="1" applyFill="1" applyBorder="1"/>
    <xf numFmtId="37" fontId="1" fillId="2" borderId="19" xfId="0" applyNumberFormat="1" applyFont="1" applyFill="1" applyBorder="1"/>
    <xf numFmtId="37" fontId="5" fillId="2" borderId="0" xfId="1" applyNumberFormat="1" applyFont="1" applyFill="1" applyBorder="1"/>
    <xf numFmtId="37" fontId="11" fillId="2" borderId="0" xfId="1" applyNumberFormat="1" applyFont="1" applyFill="1" applyBorder="1"/>
    <xf numFmtId="37" fontId="5" fillId="2" borderId="0" xfId="0" applyNumberFormat="1" applyFont="1" applyFill="1"/>
    <xf numFmtId="164" fontId="10" fillId="0" borderId="0" xfId="0" applyNumberFormat="1" applyFont="1" applyFill="1"/>
    <xf numFmtId="164" fontId="10" fillId="2" borderId="18" xfId="1" applyNumberFormat="1" applyFont="1" applyFill="1" applyBorder="1"/>
    <xf numFmtId="164" fontId="10" fillId="2" borderId="0" xfId="1" applyNumberFormat="1" applyFont="1" applyFill="1" applyBorder="1"/>
    <xf numFmtId="164" fontId="10" fillId="2" borderId="19" xfId="1" applyNumberFormat="1" applyFont="1" applyFill="1" applyBorder="1"/>
    <xf numFmtId="164" fontId="10" fillId="2" borderId="0" xfId="0" applyNumberFormat="1" applyFont="1" applyFill="1"/>
    <xf numFmtId="37" fontId="11" fillId="2" borderId="18" xfId="1" applyNumberFormat="1" applyFont="1" applyFill="1" applyBorder="1"/>
    <xf numFmtId="37" fontId="11" fillId="2" borderId="19" xfId="1" applyNumberFormat="1" applyFont="1" applyFill="1" applyBorder="1"/>
    <xf numFmtId="37" fontId="5" fillId="2" borderId="19" xfId="1" applyNumberFormat="1" applyFont="1" applyFill="1" applyBorder="1"/>
    <xf numFmtId="37" fontId="5" fillId="2" borderId="15" xfId="1" applyNumberFormat="1" applyFont="1" applyFill="1" applyBorder="1"/>
    <xf numFmtId="37" fontId="5" fillId="2" borderId="16" xfId="1" applyNumberFormat="1" applyFont="1" applyFill="1" applyBorder="1"/>
    <xf numFmtId="37" fontId="5" fillId="2" borderId="17" xfId="1" applyNumberFormat="1" applyFont="1" applyFill="1" applyBorder="1"/>
    <xf numFmtId="37" fontId="5" fillId="0" borderId="16" xfId="1" applyNumberFormat="1" applyFont="1" applyFill="1" applyBorder="1"/>
    <xf numFmtId="164" fontId="10" fillId="0" borderId="0" xfId="0" applyNumberFormat="1" applyFont="1" applyFill="1" applyBorder="1"/>
    <xf numFmtId="173" fontId="10" fillId="2" borderId="18" xfId="1" applyNumberFormat="1" applyFont="1" applyFill="1" applyBorder="1"/>
    <xf numFmtId="173" fontId="10" fillId="2" borderId="0" xfId="1" applyNumberFormat="1" applyFont="1" applyFill="1" applyBorder="1"/>
    <xf numFmtId="173" fontId="10" fillId="2" borderId="19" xfId="1" applyNumberFormat="1" applyFont="1" applyFill="1" applyBorder="1"/>
    <xf numFmtId="164" fontId="11" fillId="2" borderId="19" xfId="3" applyFont="1" applyFill="1" applyBorder="1"/>
    <xf numFmtId="173" fontId="10" fillId="0" borderId="0" xfId="1" applyNumberFormat="1" applyFont="1" applyFill="1" applyBorder="1"/>
    <xf numFmtId="164" fontId="11" fillId="2" borderId="0" xfId="3" applyFont="1" applyFill="1" applyBorder="1"/>
    <xf numFmtId="0" fontId="10" fillId="2" borderId="0" xfId="0" applyFont="1" applyFill="1" applyBorder="1"/>
    <xf numFmtId="0" fontId="5" fillId="2" borderId="18" xfId="0" applyFont="1" applyFill="1" applyBorder="1"/>
    <xf numFmtId="164" fontId="33" fillId="2" borderId="0" xfId="3" applyFont="1" applyFill="1" applyBorder="1"/>
    <xf numFmtId="164" fontId="33" fillId="2" borderId="19" xfId="3" applyFont="1" applyFill="1" applyBorder="1"/>
    <xf numFmtId="172" fontId="33" fillId="2" borderId="19" xfId="1" applyNumberFormat="1" applyFont="1" applyFill="1" applyBorder="1"/>
    <xf numFmtId="172" fontId="33" fillId="2" borderId="0" xfId="1" applyNumberFormat="1" applyFont="1" applyFill="1" applyBorder="1"/>
    <xf numFmtId="0" fontId="5" fillId="2" borderId="19" xfId="0" applyFont="1" applyFill="1" applyBorder="1"/>
    <xf numFmtId="174" fontId="5" fillId="2" borderId="0" xfId="0" applyNumberFormat="1" applyFont="1" applyFill="1" applyBorder="1"/>
    <xf numFmtId="37" fontId="10" fillId="0" borderId="0" xfId="0" applyNumberFormat="1" applyFont="1" applyFill="1"/>
    <xf numFmtId="37" fontId="29" fillId="2" borderId="19" xfId="1" applyNumberFormat="1" applyFont="1" applyFill="1" applyBorder="1"/>
    <xf numFmtId="37" fontId="29" fillId="2" borderId="0" xfId="1" applyNumberFormat="1" applyFont="1" applyFill="1" applyBorder="1"/>
    <xf numFmtId="37" fontId="29" fillId="0" borderId="0" xfId="1" applyNumberFormat="1" applyFont="1" applyFill="1" applyBorder="1"/>
    <xf numFmtId="0" fontId="10" fillId="2" borderId="0" xfId="0" applyFont="1" applyFill="1"/>
    <xf numFmtId="37" fontId="11" fillId="2" borderId="20" xfId="1" applyNumberFormat="1" applyFont="1" applyFill="1" applyBorder="1"/>
    <xf numFmtId="37" fontId="11" fillId="2" borderId="14" xfId="1" applyNumberFormat="1" applyFont="1" applyFill="1" applyBorder="1"/>
    <xf numFmtId="37" fontId="11" fillId="2" borderId="21" xfId="1" applyNumberFormat="1" applyFont="1" applyFill="1" applyBorder="1"/>
    <xf numFmtId="37" fontId="5" fillId="2" borderId="14" xfId="1" applyNumberFormat="1" applyFont="1" applyFill="1" applyBorder="1"/>
    <xf numFmtId="37" fontId="5" fillId="0" borderId="14" xfId="1" applyNumberFormat="1" applyFont="1" applyFill="1" applyBorder="1"/>
    <xf numFmtId="37" fontId="10" fillId="0" borderId="0" xfId="0" applyNumberFormat="1" applyFont="1" applyFill="1" applyBorder="1"/>
    <xf numFmtId="175" fontId="33" fillId="2" borderId="19" xfId="1" applyNumberFormat="1" applyFont="1" applyFill="1" applyBorder="1"/>
    <xf numFmtId="175" fontId="33" fillId="2" borderId="0" xfId="1" applyNumberFormat="1" applyFont="1" applyFill="1" applyBorder="1"/>
    <xf numFmtId="172" fontId="5" fillId="2" borderId="19" xfId="3" applyNumberFormat="1" applyFont="1" applyFill="1" applyBorder="1"/>
    <xf numFmtId="164" fontId="5" fillId="2" borderId="0" xfId="3" applyFont="1" applyFill="1" applyBorder="1"/>
    <xf numFmtId="43" fontId="5" fillId="0" borderId="0" xfId="0" applyNumberFormat="1" applyFont="1" applyFill="1" applyBorder="1"/>
    <xf numFmtId="172" fontId="5" fillId="2" borderId="0" xfId="3" applyNumberFormat="1" applyFont="1" applyFill="1" applyBorder="1"/>
    <xf numFmtId="173" fontId="11" fillId="2" borderId="19" xfId="1" applyNumberFormat="1" applyFont="1" applyFill="1" applyBorder="1"/>
    <xf numFmtId="173" fontId="11" fillId="2" borderId="0" xfId="1" applyNumberFormat="1" applyFont="1" applyFill="1" applyBorder="1"/>
    <xf numFmtId="37" fontId="29" fillId="2" borderId="17" xfId="1" applyNumberFormat="1" applyFont="1" applyFill="1" applyBorder="1"/>
    <xf numFmtId="37" fontId="29" fillId="2" borderId="16" xfId="1" applyNumberFormat="1" applyFont="1" applyFill="1" applyBorder="1"/>
    <xf numFmtId="37" fontId="4" fillId="2" borderId="0" xfId="0" applyNumberFormat="1" applyFont="1" applyFill="1" applyBorder="1"/>
    <xf numFmtId="37" fontId="4" fillId="2" borderId="18" xfId="1" applyNumberFormat="1" applyFont="1" applyFill="1" applyBorder="1"/>
    <xf numFmtId="37" fontId="4" fillId="2" borderId="0" xfId="1" applyNumberFormat="1" applyFont="1" applyFill="1" applyBorder="1"/>
    <xf numFmtId="37" fontId="4" fillId="2" borderId="19" xfId="1" applyNumberFormat="1" applyFont="1" applyFill="1" applyBorder="1"/>
    <xf numFmtId="37" fontId="4" fillId="2" borderId="19" xfId="3" applyNumberFormat="1" applyFont="1" applyFill="1" applyBorder="1"/>
    <xf numFmtId="37" fontId="4" fillId="2" borderId="0" xfId="3" applyNumberFormat="1" applyFont="1" applyFill="1" applyBorder="1"/>
    <xf numFmtId="37" fontId="4" fillId="0" borderId="0" xfId="1" applyNumberFormat="1" applyFont="1" applyFill="1" applyBorder="1"/>
    <xf numFmtId="37" fontId="11" fillId="2" borderId="16" xfId="1" applyNumberFormat="1" applyFont="1" applyFill="1" applyBorder="1"/>
    <xf numFmtId="37" fontId="5" fillId="2" borderId="18" xfId="0" applyNumberFormat="1" applyFont="1" applyFill="1" applyBorder="1"/>
    <xf numFmtId="37" fontId="5" fillId="2" borderId="19" xfId="0" applyNumberFormat="1" applyFont="1" applyFill="1" applyBorder="1"/>
    <xf numFmtId="37" fontId="34" fillId="2" borderId="18" xfId="0" applyNumberFormat="1" applyFont="1" applyFill="1" applyBorder="1" applyAlignment="1">
      <alignment horizontal="right"/>
    </xf>
    <xf numFmtId="37" fontId="34" fillId="2" borderId="0" xfId="0" applyNumberFormat="1" applyFont="1" applyFill="1" applyBorder="1" applyAlignment="1">
      <alignment horizontal="right"/>
    </xf>
    <xf numFmtId="37" fontId="34" fillId="2" borderId="19" xfId="0" applyNumberFormat="1" applyFont="1" applyFill="1" applyBorder="1" applyAlignment="1">
      <alignment horizontal="right"/>
    </xf>
    <xf numFmtId="37" fontId="5" fillId="2" borderId="0" xfId="0" applyNumberFormat="1" applyFont="1" applyFill="1" applyBorder="1" applyAlignment="1">
      <alignment horizontal="right"/>
    </xf>
    <xf numFmtId="37" fontId="5" fillId="2" borderId="19" xfId="0" applyNumberFormat="1" applyFont="1" applyFill="1" applyBorder="1" applyAlignment="1">
      <alignment horizontal="right"/>
    </xf>
    <xf numFmtId="164" fontId="11" fillId="2" borderId="19" xfId="1" applyNumberFormat="1" applyFont="1" applyFill="1" applyBorder="1"/>
    <xf numFmtId="164" fontId="11" fillId="2" borderId="0" xfId="1" applyNumberFormat="1" applyFont="1" applyFill="1" applyBorder="1"/>
    <xf numFmtId="37" fontId="11" fillId="2" borderId="0" xfId="0" applyNumberFormat="1" applyFont="1" applyFill="1" applyBorder="1" applyAlignment="1">
      <alignment horizontal="right"/>
    </xf>
    <xf numFmtId="37" fontId="11" fillId="2" borderId="19" xfId="0" applyNumberFormat="1" applyFont="1" applyFill="1" applyBorder="1" applyAlignment="1">
      <alignment horizontal="right"/>
    </xf>
    <xf numFmtId="164" fontId="5" fillId="0" borderId="0" xfId="0" applyNumberFormat="1" applyFont="1" applyFill="1"/>
    <xf numFmtId="164" fontId="5" fillId="2" borderId="19" xfId="3" applyNumberFormat="1" applyFont="1" applyFill="1" applyBorder="1"/>
    <xf numFmtId="176" fontId="5" fillId="2" borderId="0" xfId="0" applyNumberFormat="1" applyFont="1" applyFill="1" applyBorder="1"/>
    <xf numFmtId="172" fontId="5" fillId="2" borderId="0" xfId="1" applyNumberFormat="1" applyFont="1" applyFill="1" applyBorder="1"/>
    <xf numFmtId="7" fontId="34" fillId="2" borderId="18" xfId="2" applyNumberFormat="1" applyFont="1" applyFill="1" applyBorder="1" applyAlignment="1">
      <alignment horizontal="right"/>
    </xf>
    <xf numFmtId="7" fontId="34" fillId="2" borderId="0" xfId="2" applyNumberFormat="1" applyFont="1" applyFill="1" applyBorder="1" applyAlignment="1">
      <alignment horizontal="right"/>
    </xf>
    <xf numFmtId="7" fontId="34" fillId="2" borderId="19" xfId="2" applyNumberFormat="1" applyFont="1" applyFill="1" applyBorder="1" applyAlignment="1">
      <alignment horizontal="right"/>
    </xf>
    <xf numFmtId="7" fontId="5" fillId="2" borderId="0" xfId="2" applyNumberFormat="1" applyFont="1" applyFill="1" applyBorder="1" applyAlignment="1">
      <alignment horizontal="right"/>
    </xf>
    <xf numFmtId="7" fontId="5" fillId="2" borderId="19" xfId="2" applyNumberFormat="1" applyFont="1" applyFill="1" applyBorder="1" applyAlignment="1">
      <alignment horizontal="right"/>
    </xf>
    <xf numFmtId="0" fontId="4" fillId="0" borderId="0" xfId="0" applyFont="1" applyFill="1" applyAlignment="1">
      <alignment horizontal="right"/>
    </xf>
    <xf numFmtId="7" fontId="35" fillId="2" borderId="23" xfId="2" applyNumberFormat="1" applyFont="1" applyFill="1" applyBorder="1" applyAlignment="1">
      <alignment horizontal="right"/>
    </xf>
    <xf numFmtId="7" fontId="35" fillId="2" borderId="2" xfId="2" applyNumberFormat="1" applyFont="1" applyFill="1" applyBorder="1" applyAlignment="1">
      <alignment horizontal="right"/>
    </xf>
    <xf numFmtId="7" fontId="35" fillId="2" borderId="24" xfId="2" applyNumberFormat="1" applyFont="1" applyFill="1" applyBorder="1" applyAlignment="1">
      <alignment horizontal="right"/>
    </xf>
    <xf numFmtId="7" fontId="4" fillId="2" borderId="2" xfId="2" applyNumberFormat="1" applyFont="1" applyFill="1" applyBorder="1" applyAlignment="1">
      <alignment horizontal="right"/>
    </xf>
    <xf numFmtId="7" fontId="4" fillId="2" borderId="24" xfId="2" applyNumberFormat="1" applyFont="1" applyFill="1" applyBorder="1" applyAlignment="1">
      <alignment horizontal="right"/>
    </xf>
    <xf numFmtId="7" fontId="35" fillId="2" borderId="18" xfId="2" applyNumberFormat="1" applyFont="1" applyFill="1" applyBorder="1" applyAlignment="1">
      <alignment horizontal="right"/>
    </xf>
    <xf numFmtId="7" fontId="35" fillId="2" borderId="0" xfId="2" applyNumberFormat="1" applyFont="1" applyFill="1" applyBorder="1" applyAlignment="1">
      <alignment horizontal="right"/>
    </xf>
    <xf numFmtId="7" fontId="35" fillId="2" borderId="19" xfId="2" applyNumberFormat="1" applyFont="1" applyFill="1" applyBorder="1" applyAlignment="1">
      <alignment horizontal="right"/>
    </xf>
    <xf numFmtId="7" fontId="4" fillId="2" borderId="0" xfId="2" applyNumberFormat="1" applyFont="1" applyFill="1" applyBorder="1" applyAlignment="1">
      <alignment horizontal="right"/>
    </xf>
    <xf numFmtId="7" fontId="4" fillId="2" borderId="19" xfId="2" applyNumberFormat="1" applyFont="1" applyFill="1" applyBorder="1" applyAlignment="1">
      <alignment horizontal="right"/>
    </xf>
    <xf numFmtId="37" fontId="1" fillId="2" borderId="18" xfId="1" applyNumberFormat="1" applyFont="1" applyFill="1" applyBorder="1"/>
    <xf numFmtId="37" fontId="1" fillId="2" borderId="0" xfId="1" applyNumberFormat="1" applyFont="1" applyFill="1" applyBorder="1"/>
    <xf numFmtId="37" fontId="1" fillId="2" borderId="19" xfId="1" applyNumberFormat="1" applyFont="1" applyFill="1" applyBorder="1"/>
    <xf numFmtId="37" fontId="1" fillId="0" borderId="0" xfId="0" applyNumberFormat="1" applyFont="1" applyFill="1"/>
    <xf numFmtId="37" fontId="11" fillId="0" borderId="0" xfId="1" applyNumberFormat="1" applyFont="1" applyFill="1" applyBorder="1"/>
    <xf numFmtId="7" fontId="5" fillId="0" borderId="0" xfId="0" applyNumberFormat="1" applyFont="1" applyFill="1" applyAlignment="1">
      <alignment horizontal="right"/>
    </xf>
    <xf numFmtId="7" fontId="5" fillId="2" borderId="0" xfId="0" applyNumberFormat="1" applyFont="1" applyFill="1" applyBorder="1"/>
    <xf numFmtId="7" fontId="11" fillId="2" borderId="0" xfId="2" applyNumberFormat="1" applyFont="1" applyFill="1" applyBorder="1" applyAlignment="1">
      <alignment horizontal="right"/>
    </xf>
    <xf numFmtId="7" fontId="11" fillId="2" borderId="19" xfId="2" applyNumberFormat="1" applyFont="1" applyFill="1" applyBorder="1" applyAlignment="1">
      <alignment horizontal="right"/>
    </xf>
    <xf numFmtId="7" fontId="5" fillId="2" borderId="0" xfId="0" applyNumberFormat="1" applyFont="1" applyFill="1"/>
    <xf numFmtId="7" fontId="1" fillId="2" borderId="19" xfId="2" applyNumberFormat="1" applyFont="1" applyFill="1" applyBorder="1" applyAlignment="1">
      <alignment horizontal="right"/>
    </xf>
    <xf numFmtId="7" fontId="1" fillId="2" borderId="0" xfId="2" applyNumberFormat="1" applyFont="1" applyFill="1" applyBorder="1" applyAlignment="1">
      <alignment horizontal="right"/>
    </xf>
    <xf numFmtId="44" fontId="5" fillId="2" borderId="18" xfId="2" applyFont="1" applyFill="1" applyBorder="1"/>
    <xf numFmtId="44" fontId="5" fillId="2" borderId="0" xfId="2" applyFont="1" applyFill="1" applyBorder="1"/>
    <xf numFmtId="44" fontId="5" fillId="2" borderId="19" xfId="2" applyFont="1" applyFill="1" applyBorder="1"/>
    <xf numFmtId="37" fontId="11" fillId="0" borderId="0" xfId="0" applyNumberFormat="1" applyFont="1" applyFill="1"/>
    <xf numFmtId="37" fontId="11" fillId="2" borderId="18" xfId="2" applyNumberFormat="1" applyFont="1" applyFill="1" applyBorder="1"/>
    <xf numFmtId="37" fontId="11" fillId="2" borderId="0" xfId="2" applyNumberFormat="1" applyFont="1" applyFill="1" applyBorder="1"/>
    <xf numFmtId="37" fontId="11" fillId="2" borderId="19" xfId="2" applyNumberFormat="1" applyFont="1" applyFill="1" applyBorder="1"/>
    <xf numFmtId="37" fontId="11" fillId="2" borderId="19" xfId="0" applyNumberFormat="1" applyFont="1" applyFill="1" applyBorder="1"/>
    <xf numFmtId="37" fontId="11" fillId="2" borderId="19" xfId="3" applyNumberFormat="1" applyFont="1" applyFill="1" applyBorder="1"/>
    <xf numFmtId="37" fontId="11" fillId="2" borderId="0" xfId="3" applyNumberFormat="1" applyFont="1" applyFill="1" applyBorder="1"/>
    <xf numFmtId="37" fontId="11" fillId="2" borderId="0" xfId="0" applyNumberFormat="1" applyFont="1" applyFill="1"/>
    <xf numFmtId="49" fontId="4" fillId="0" borderId="0" xfId="0" applyNumberFormat="1" applyFont="1" applyFill="1"/>
    <xf numFmtId="49" fontId="3" fillId="3" borderId="18" xfId="0" applyNumberFormat="1" applyFont="1" applyFill="1" applyBorder="1" applyAlignment="1">
      <alignment horizontal="right"/>
    </xf>
    <xf numFmtId="49" fontId="3" fillId="3" borderId="0" xfId="0" applyNumberFormat="1" applyFont="1" applyFill="1" applyBorder="1" applyAlignment="1">
      <alignment horizontal="right"/>
    </xf>
    <xf numFmtId="49" fontId="3" fillId="3" borderId="19" xfId="0" applyNumberFormat="1" applyFont="1" applyFill="1" applyBorder="1" applyAlignment="1">
      <alignment horizontal="right"/>
    </xf>
    <xf numFmtId="49" fontId="4" fillId="2" borderId="0" xfId="0" applyNumberFormat="1" applyFont="1" applyFill="1"/>
    <xf numFmtId="37" fontId="34" fillId="2" borderId="18" xfId="1" applyNumberFormat="1" applyFont="1" applyFill="1" applyBorder="1"/>
    <xf numFmtId="37" fontId="34" fillId="2" borderId="0" xfId="1" applyNumberFormat="1" applyFont="1" applyFill="1" applyBorder="1"/>
    <xf numFmtId="37" fontId="37" fillId="2" borderId="18" xfId="1" applyNumberFormat="1" applyFont="1" applyFill="1" applyBorder="1"/>
    <xf numFmtId="37" fontId="33" fillId="2" borderId="18" xfId="1" applyNumberFormat="1" applyFont="1" applyFill="1" applyBorder="1"/>
    <xf numFmtId="37" fontId="33" fillId="2" borderId="0" xfId="1" applyNumberFormat="1" applyFont="1" applyFill="1" applyBorder="1"/>
    <xf numFmtId="37" fontId="33" fillId="2" borderId="19" xfId="1" applyNumberFormat="1" applyFont="1" applyFill="1" applyBorder="1"/>
    <xf numFmtId="37" fontId="5" fillId="2" borderId="19" xfId="2" applyNumberFormat="1" applyFont="1" applyFill="1" applyBorder="1"/>
    <xf numFmtId="37" fontId="5" fillId="2" borderId="0" xfId="2" applyNumberFormat="1" applyFont="1" applyFill="1" applyBorder="1"/>
    <xf numFmtId="37" fontId="4" fillId="2" borderId="15" xfId="1" applyNumberFormat="1" applyFont="1" applyFill="1" applyBorder="1"/>
    <xf numFmtId="37" fontId="4" fillId="2" borderId="16" xfId="1" applyNumberFormat="1" applyFont="1" applyFill="1" applyBorder="1"/>
    <xf numFmtId="37" fontId="4" fillId="2" borderId="17" xfId="1" applyNumberFormat="1" applyFont="1" applyFill="1" applyBorder="1"/>
    <xf numFmtId="37" fontId="11" fillId="2" borderId="0" xfId="0" applyNumberFormat="1" applyFont="1" applyFill="1" applyBorder="1"/>
    <xf numFmtId="37" fontId="4" fillId="0" borderId="0" xfId="0" applyNumberFormat="1" applyFont="1" applyFill="1"/>
    <xf numFmtId="37" fontId="4" fillId="0" borderId="0" xfId="0" applyNumberFormat="1" applyFont="1" applyFill="1" applyBorder="1"/>
    <xf numFmtId="37" fontId="38" fillId="2" borderId="18" xfId="1" applyNumberFormat="1" applyFont="1" applyFill="1" applyBorder="1"/>
    <xf numFmtId="37" fontId="38" fillId="2" borderId="0" xfId="1" applyNumberFormat="1" applyFont="1" applyFill="1" applyBorder="1"/>
    <xf numFmtId="37" fontId="9" fillId="2" borderId="19" xfId="1" applyNumberFormat="1" applyFont="1" applyFill="1" applyBorder="1"/>
    <xf numFmtId="37" fontId="9" fillId="2" borderId="0" xfId="1" applyNumberFormat="1" applyFont="1" applyFill="1" applyBorder="1"/>
    <xf numFmtId="37" fontId="38" fillId="2" borderId="19" xfId="1" applyNumberFormat="1" applyFont="1" applyFill="1" applyBorder="1"/>
    <xf numFmtId="37" fontId="4" fillId="2" borderId="25" xfId="1" applyNumberFormat="1" applyFont="1" applyFill="1" applyBorder="1"/>
    <xf numFmtId="37" fontId="4" fillId="2" borderId="7" xfId="1" applyNumberFormat="1" applyFont="1" applyFill="1" applyBorder="1"/>
    <xf numFmtId="37" fontId="4" fillId="2" borderId="26" xfId="1" applyNumberFormat="1" applyFont="1" applyFill="1" applyBorder="1"/>
    <xf numFmtId="37" fontId="10" fillId="2" borderId="18" xfId="1" applyNumberFormat="1" applyFont="1" applyFill="1" applyBorder="1"/>
    <xf numFmtId="37" fontId="10" fillId="2" borderId="0" xfId="1" applyNumberFormat="1" applyFont="1" applyFill="1" applyBorder="1"/>
    <xf numFmtId="37" fontId="10" fillId="2" borderId="19" xfId="1" applyNumberFormat="1" applyFont="1" applyFill="1" applyBorder="1"/>
    <xf numFmtId="37" fontId="10" fillId="2" borderId="0" xfId="3" applyNumberFormat="1" applyFont="1" applyFill="1" applyBorder="1" applyAlignment="1">
      <alignment horizontal="right"/>
    </xf>
    <xf numFmtId="37" fontId="10" fillId="2" borderId="19" xfId="3" applyNumberFormat="1" applyFont="1" applyFill="1" applyBorder="1" applyAlignment="1">
      <alignment horizontal="right"/>
    </xf>
    <xf numFmtId="37" fontId="10" fillId="2" borderId="0" xfId="3" applyNumberFormat="1" applyFont="1" applyFill="1" applyBorder="1"/>
    <xf numFmtId="37" fontId="10" fillId="2" borderId="0" xfId="0" applyNumberFormat="1" applyFont="1" applyFill="1"/>
    <xf numFmtId="37" fontId="5" fillId="2" borderId="18" xfId="2" applyNumberFormat="1" applyFont="1" applyFill="1" applyBorder="1"/>
    <xf numFmtId="37" fontId="5" fillId="2" borderId="0" xfId="3" applyNumberFormat="1" applyFont="1" applyFill="1" applyBorder="1"/>
    <xf numFmtId="37" fontId="5" fillId="2" borderId="19" xfId="3" applyNumberFormat="1" applyFont="1" applyFill="1" applyBorder="1"/>
    <xf numFmtId="170" fontId="5" fillId="0" borderId="0" xfId="0" applyNumberFormat="1" applyFont="1" applyFill="1" applyBorder="1"/>
    <xf numFmtId="170" fontId="5" fillId="2" borderId="18" xfId="2" applyNumberFormat="1" applyFont="1" applyFill="1" applyBorder="1"/>
    <xf numFmtId="170" fontId="5" fillId="2" borderId="0" xfId="2" applyNumberFormat="1" applyFont="1" applyFill="1" applyBorder="1"/>
    <xf numFmtId="170" fontId="5" fillId="2" borderId="19" xfId="2" applyNumberFormat="1" applyFont="1" applyFill="1" applyBorder="1"/>
    <xf numFmtId="170" fontId="5" fillId="2" borderId="0" xfId="0" applyNumberFormat="1" applyFont="1" applyFill="1" applyBorder="1"/>
    <xf numFmtId="170" fontId="39" fillId="2" borderId="19" xfId="2" applyNumberFormat="1" applyFont="1" applyFill="1" applyBorder="1"/>
    <xf numFmtId="170" fontId="39" fillId="2" borderId="0" xfId="2" applyNumberFormat="1" applyFont="1" applyFill="1" applyBorder="1"/>
    <xf numFmtId="170" fontId="39" fillId="2" borderId="0" xfId="3" applyNumberFormat="1" applyFont="1" applyFill="1" applyBorder="1"/>
    <xf numFmtId="170" fontId="5" fillId="2" borderId="0" xfId="0" applyNumberFormat="1" applyFont="1" applyFill="1"/>
    <xf numFmtId="170" fontId="29" fillId="2" borderId="18" xfId="1" applyNumberFormat="1" applyFont="1" applyFill="1" applyBorder="1"/>
    <xf numFmtId="170" fontId="29" fillId="2" borderId="0" xfId="1" applyNumberFormat="1" applyFont="1" applyFill="1" applyBorder="1"/>
    <xf numFmtId="170" fontId="29" fillId="2" borderId="19" xfId="1" applyNumberFormat="1" applyFont="1" applyFill="1" applyBorder="1"/>
    <xf numFmtId="170" fontId="11" fillId="2" borderId="19" xfId="1" applyNumberFormat="1" applyFont="1" applyFill="1" applyBorder="1"/>
    <xf numFmtId="170" fontId="11" fillId="2" borderId="0" xfId="1" applyNumberFormat="1" applyFont="1" applyFill="1" applyBorder="1"/>
    <xf numFmtId="164" fontId="29" fillId="2" borderId="0" xfId="1" applyNumberFormat="1" applyFont="1" applyFill="1" applyBorder="1"/>
    <xf numFmtId="37" fontId="29" fillId="2" borderId="19" xfId="0" applyNumberFormat="1" applyFont="1" applyFill="1" applyBorder="1"/>
    <xf numFmtId="37" fontId="29" fillId="2" borderId="0" xfId="0" applyNumberFormat="1" applyFont="1" applyFill="1" applyBorder="1"/>
    <xf numFmtId="170" fontId="5" fillId="2" borderId="19" xfId="0" applyNumberFormat="1" applyFont="1" applyFill="1" applyBorder="1"/>
    <xf numFmtId="170" fontId="39" fillId="2" borderId="19" xfId="3" applyNumberFormat="1" applyFont="1" applyFill="1" applyBorder="1"/>
    <xf numFmtId="9" fontId="5" fillId="0" borderId="0" xfId="0" applyNumberFormat="1" applyFont="1" applyFill="1"/>
    <xf numFmtId="9" fontId="5" fillId="2" borderId="18" xfId="0" applyNumberFormat="1" applyFont="1" applyFill="1" applyBorder="1"/>
    <xf numFmtId="9" fontId="5" fillId="2" borderId="0" xfId="0" applyNumberFormat="1" applyFont="1" applyFill="1" applyBorder="1"/>
    <xf numFmtId="9" fontId="5" fillId="2" borderId="19" xfId="0" applyNumberFormat="1" applyFont="1" applyFill="1" applyBorder="1"/>
    <xf numFmtId="9" fontId="5" fillId="2" borderId="0" xfId="0" applyNumberFormat="1" applyFont="1" applyFill="1"/>
    <xf numFmtId="166" fontId="5" fillId="0" borderId="0" xfId="0" applyNumberFormat="1" applyFont="1" applyFill="1"/>
    <xf numFmtId="166" fontId="5" fillId="2" borderId="18" xfId="0" applyNumberFormat="1" applyFont="1" applyFill="1" applyBorder="1"/>
    <xf numFmtId="166" fontId="5" fillId="2" borderId="0" xfId="0" applyNumberFormat="1" applyFont="1" applyFill="1" applyBorder="1"/>
    <xf numFmtId="166" fontId="5" fillId="2" borderId="19" xfId="0" applyNumberFormat="1" applyFont="1" applyFill="1" applyBorder="1"/>
    <xf numFmtId="166" fontId="5" fillId="2" borderId="0" xfId="0" applyNumberFormat="1" applyFont="1" applyFill="1"/>
    <xf numFmtId="164" fontId="5" fillId="2" borderId="0" xfId="0" applyNumberFormat="1" applyFont="1" applyFill="1" applyBorder="1"/>
    <xf numFmtId="164" fontId="5" fillId="2" borderId="18" xfId="2" applyNumberFormat="1" applyFont="1" applyFill="1" applyBorder="1"/>
    <xf numFmtId="164" fontId="5" fillId="2" borderId="0" xfId="2" applyNumberFormat="1" applyFont="1" applyFill="1" applyBorder="1"/>
    <xf numFmtId="164" fontId="5" fillId="2" borderId="19" xfId="2" applyNumberFormat="1" applyFont="1" applyFill="1" applyBorder="1"/>
    <xf numFmtId="164" fontId="5" fillId="2" borderId="0" xfId="0" applyNumberFormat="1" applyFont="1" applyFill="1"/>
    <xf numFmtId="0" fontId="5" fillId="0" borderId="0" xfId="0" applyFont="1" applyFill="1"/>
    <xf numFmtId="0" fontId="4" fillId="2" borderId="0" xfId="0" applyFont="1" applyFill="1" applyBorder="1"/>
    <xf numFmtId="172" fontId="5" fillId="2" borderId="0" xfId="0" applyNumberFormat="1" applyFont="1" applyFill="1" applyBorder="1"/>
    <xf numFmtId="172" fontId="5" fillId="2" borderId="19" xfId="0" applyNumberFormat="1" applyFont="1" applyFill="1" applyBorder="1"/>
    <xf numFmtId="37" fontId="5" fillId="0" borderId="0" xfId="1" applyNumberFormat="1" applyFont="1" applyFill="1"/>
    <xf numFmtId="37" fontId="40" fillId="2" borderId="19" xfId="1" applyNumberFormat="1" applyFont="1" applyFill="1" applyBorder="1"/>
    <xf numFmtId="37" fontId="40" fillId="2" borderId="0" xfId="1" applyNumberFormat="1" applyFont="1" applyFill="1" applyBorder="1"/>
    <xf numFmtId="37" fontId="41" fillId="2" borderId="19" xfId="1" applyNumberFormat="1" applyFont="1" applyFill="1" applyBorder="1"/>
    <xf numFmtId="37" fontId="5" fillId="2" borderId="21" xfId="1" applyNumberFormat="1" applyFont="1" applyFill="1" applyBorder="1"/>
    <xf numFmtId="37" fontId="29" fillId="2" borderId="14" xfId="1" applyNumberFormat="1" applyFont="1" applyFill="1" applyBorder="1"/>
    <xf numFmtId="37" fontId="11" fillId="0" borderId="14" xfId="1" applyNumberFormat="1" applyFont="1" applyFill="1" applyBorder="1"/>
    <xf numFmtId="37" fontId="29" fillId="2" borderId="18" xfId="1" applyNumberFormat="1" applyFont="1" applyFill="1" applyBorder="1"/>
    <xf numFmtId="37" fontId="34" fillId="2" borderId="19" xfId="1" applyNumberFormat="1" applyFont="1" applyFill="1" applyBorder="1"/>
    <xf numFmtId="37" fontId="41" fillId="2" borderId="0" xfId="1" applyNumberFormat="1" applyFont="1" applyFill="1" applyBorder="1"/>
    <xf numFmtId="37" fontId="36" fillId="2" borderId="18" xfId="1" applyNumberFormat="1" applyFont="1" applyFill="1" applyBorder="1"/>
    <xf numFmtId="37" fontId="36" fillId="2" borderId="0" xfId="1" applyNumberFormat="1" applyFont="1" applyFill="1" applyBorder="1"/>
    <xf numFmtId="37" fontId="36" fillId="2" borderId="19" xfId="1" applyNumberFormat="1" applyFont="1" applyFill="1" applyBorder="1"/>
    <xf numFmtId="164" fontId="36" fillId="2" borderId="19" xfId="3" applyFont="1" applyFill="1" applyBorder="1"/>
    <xf numFmtId="37" fontId="34" fillId="2" borderId="18" xfId="0" applyNumberFormat="1" applyFont="1" applyFill="1" applyBorder="1"/>
    <xf numFmtId="37" fontId="34" fillId="2" borderId="0" xfId="0" applyNumberFormat="1" applyFont="1" applyFill="1" applyBorder="1"/>
    <xf numFmtId="37" fontId="5" fillId="0" borderId="0" xfId="2" applyNumberFormat="1" applyFont="1" applyFill="1" applyBorder="1"/>
    <xf numFmtId="37" fontId="4" fillId="2" borderId="18" xfId="0" applyNumberFormat="1" applyFont="1" applyFill="1" applyBorder="1"/>
    <xf numFmtId="37" fontId="41" fillId="2" borderId="0" xfId="2" applyNumberFormat="1" applyFont="1" applyFill="1" applyBorder="1"/>
    <xf numFmtId="37" fontId="5" fillId="2" borderId="18" xfId="1" applyNumberFormat="1" applyFont="1" applyFill="1" applyBorder="1"/>
    <xf numFmtId="37" fontId="10" fillId="2" borderId="0" xfId="0" applyNumberFormat="1" applyFont="1" applyFill="1" applyBorder="1"/>
    <xf numFmtId="37" fontId="4" fillId="2" borderId="27" xfId="0" applyNumberFormat="1" applyFont="1" applyFill="1" applyBorder="1"/>
    <xf numFmtId="37" fontId="4" fillId="2" borderId="5" xfId="0" applyNumberFormat="1" applyFont="1" applyFill="1" applyBorder="1"/>
    <xf numFmtId="37" fontId="4" fillId="2" borderId="28" xfId="0" applyNumberFormat="1" applyFont="1" applyFill="1" applyBorder="1"/>
    <xf numFmtId="164" fontId="10" fillId="2" borderId="18" xfId="0" applyNumberFormat="1" applyFont="1" applyFill="1" applyBorder="1"/>
    <xf numFmtId="164" fontId="10" fillId="2" borderId="0" xfId="0" applyNumberFormat="1" applyFont="1" applyFill="1" applyBorder="1"/>
    <xf numFmtId="164" fontId="10" fillId="2" borderId="19" xfId="0" applyNumberFormat="1" applyFont="1" applyFill="1" applyBorder="1"/>
    <xf numFmtId="7" fontId="4" fillId="2" borderId="29" xfId="0" applyNumberFormat="1" applyFont="1" applyFill="1" applyBorder="1"/>
    <xf numFmtId="7" fontId="4" fillId="2" borderId="11" xfId="0" applyNumberFormat="1" applyFont="1" applyFill="1" applyBorder="1"/>
    <xf numFmtId="7" fontId="4" fillId="2" borderId="30" xfId="0" applyNumberFormat="1" applyFont="1" applyFill="1" applyBorder="1"/>
    <xf numFmtId="7" fontId="5" fillId="0" borderId="0" xfId="0" applyNumberFormat="1" applyFont="1" applyFill="1" applyBorder="1"/>
    <xf numFmtId="44" fontId="39" fillId="2" borderId="19" xfId="2" applyFont="1" applyFill="1" applyBorder="1"/>
    <xf numFmtId="44" fontId="39" fillId="2" borderId="0" xfId="2" applyFont="1" applyFill="1" applyBorder="1"/>
    <xf numFmtId="164" fontId="39" fillId="2" borderId="19" xfId="3" applyNumberFormat="1" applyFont="1" applyFill="1" applyBorder="1"/>
    <xf numFmtId="164" fontId="39" fillId="2" borderId="0" xfId="3" applyNumberFormat="1" applyFont="1" applyFill="1" applyBorder="1"/>
    <xf numFmtId="164" fontId="5" fillId="0" borderId="0" xfId="0" applyNumberFormat="1" applyFont="1" applyFill="1" applyBorder="1"/>
    <xf numFmtId="164" fontId="40" fillId="2" borderId="0" xfId="0" applyNumberFormat="1" applyFont="1" applyFill="1" applyBorder="1"/>
    <xf numFmtId="164" fontId="40" fillId="2" borderId="19" xfId="0" applyNumberFormat="1" applyFont="1" applyFill="1" applyBorder="1"/>
    <xf numFmtId="164" fontId="40" fillId="2" borderId="0" xfId="3" applyNumberFormat="1" applyFont="1" applyFill="1" applyBorder="1"/>
    <xf numFmtId="164" fontId="40" fillId="2" borderId="19" xfId="3" applyNumberFormat="1" applyFont="1" applyFill="1" applyBorder="1"/>
    <xf numFmtId="164" fontId="40" fillId="2" borderId="0" xfId="2" applyNumberFormat="1" applyFont="1" applyFill="1" applyBorder="1"/>
    <xf numFmtId="164" fontId="29" fillId="2" borderId="18" xfId="1" applyNumberFormat="1" applyFont="1" applyFill="1" applyBorder="1"/>
    <xf numFmtId="164" fontId="29" fillId="2" borderId="19" xfId="1" applyNumberFormat="1" applyFont="1" applyFill="1" applyBorder="1"/>
    <xf numFmtId="164" fontId="5" fillId="2" borderId="18" xfId="1" applyNumberFormat="1" applyFont="1" applyFill="1" applyBorder="1"/>
    <xf numFmtId="164" fontId="5" fillId="2" borderId="0" xfId="1" applyNumberFormat="1" applyFont="1" applyFill="1" applyBorder="1"/>
    <xf numFmtId="164" fontId="5" fillId="2" borderId="19" xfId="1" applyNumberFormat="1" applyFont="1" applyFill="1" applyBorder="1"/>
    <xf numFmtId="164" fontId="29" fillId="2" borderId="18" xfId="1" applyNumberFormat="1" applyFont="1" applyFill="1" applyBorder="1" applyAlignment="1">
      <alignment horizontal="right"/>
    </xf>
    <xf numFmtId="164" fontId="5" fillId="2" borderId="18" xfId="0" applyNumberFormat="1" applyFont="1" applyFill="1" applyBorder="1"/>
    <xf numFmtId="164" fontId="5" fillId="2" borderId="19" xfId="0" applyNumberFormat="1" applyFont="1" applyFill="1" applyBorder="1"/>
    <xf numFmtId="164" fontId="29" fillId="2" borderId="0" xfId="0" applyNumberFormat="1" applyFont="1" applyFill="1" applyBorder="1"/>
    <xf numFmtId="164" fontId="29" fillId="2" borderId="19" xfId="0" applyNumberFormat="1" applyFont="1" applyFill="1" applyBorder="1"/>
    <xf numFmtId="164" fontId="11" fillId="2" borderId="18" xfId="1" applyNumberFormat="1" applyFont="1" applyFill="1" applyBorder="1" applyAlignment="1">
      <alignment horizontal="right"/>
    </xf>
    <xf numFmtId="164" fontId="5" fillId="2" borderId="0" xfId="1" applyNumberFormat="1" applyFont="1" applyFill="1" applyBorder="1" applyAlignment="1">
      <alignment horizontal="right"/>
    </xf>
    <xf numFmtId="164" fontId="5" fillId="2" borderId="19" xfId="1" applyNumberFormat="1" applyFont="1" applyFill="1" applyBorder="1" applyAlignment="1">
      <alignment horizontal="right"/>
    </xf>
    <xf numFmtId="164" fontId="11" fillId="2" borderId="0" xfId="1" applyNumberFormat="1" applyFont="1" applyFill="1" applyBorder="1" applyAlignment="1">
      <alignment horizontal="right"/>
    </xf>
    <xf numFmtId="37" fontId="11" fillId="2" borderId="18" xfId="0" applyNumberFormat="1" applyFont="1" applyFill="1" applyBorder="1" applyAlignment="1">
      <alignment horizontal="right"/>
    </xf>
    <xf numFmtId="37" fontId="5" fillId="2" borderId="18" xfId="0" applyNumberFormat="1" applyFont="1" applyFill="1" applyBorder="1" applyAlignment="1">
      <alignment horizontal="right"/>
    </xf>
    <xf numFmtId="37" fontId="29" fillId="2" borderId="0" xfId="1" applyNumberFormat="1" applyFont="1" applyFill="1" applyBorder="1" applyAlignment="1">
      <alignment horizontal="right"/>
    </xf>
    <xf numFmtId="37" fontId="29" fillId="2" borderId="19" xfId="1" applyNumberFormat="1" applyFont="1" applyFill="1" applyBorder="1" applyAlignment="1">
      <alignment horizontal="right"/>
    </xf>
    <xf numFmtId="37" fontId="29" fillId="2" borderId="19" xfId="0" applyNumberFormat="1" applyFont="1" applyFill="1" applyBorder="1" applyAlignment="1">
      <alignment horizontal="right"/>
    </xf>
    <xf numFmtId="37" fontId="29" fillId="2" borderId="0" xfId="0" applyNumberFormat="1" applyFont="1" applyFill="1" applyBorder="1" applyAlignment="1">
      <alignment horizontal="right"/>
    </xf>
    <xf numFmtId="0" fontId="5" fillId="2" borderId="20" xfId="0" applyFont="1" applyFill="1" applyBorder="1"/>
    <xf numFmtId="0" fontId="5" fillId="2" borderId="14" xfId="0" applyFont="1" applyFill="1" applyBorder="1"/>
    <xf numFmtId="0" fontId="5" fillId="2" borderId="21" xfId="0" applyFont="1" applyFill="1" applyBorder="1"/>
    <xf numFmtId="0" fontId="38" fillId="2" borderId="0" xfId="0" applyFont="1" applyFill="1" applyBorder="1" applyAlignment="1">
      <alignment horizontal="right"/>
    </xf>
    <xf numFmtId="0" fontId="38" fillId="2" borderId="19" xfId="0" applyFont="1" applyFill="1" applyBorder="1" applyAlignment="1">
      <alignment horizontal="right"/>
    </xf>
    <xf numFmtId="164" fontId="38" fillId="2" borderId="0" xfId="3" applyFont="1" applyFill="1" applyBorder="1" applyAlignment="1">
      <alignment horizontal="right"/>
    </xf>
    <xf numFmtId="172" fontId="33" fillId="2" borderId="0" xfId="1" applyFont="1" applyFill="1" applyBorder="1" applyAlignment="1">
      <alignment horizontal="right"/>
    </xf>
    <xf numFmtId="170" fontId="9" fillId="0" borderId="0" xfId="0" applyNumberFormat="1" applyFont="1" applyFill="1"/>
    <xf numFmtId="170" fontId="27" fillId="2" borderId="0" xfId="0" applyNumberFormat="1" applyFont="1" applyFill="1" applyBorder="1" applyAlignment="1" applyProtection="1">
      <alignment horizontal="right"/>
      <protection locked="0"/>
    </xf>
    <xf numFmtId="170" fontId="27" fillId="2" borderId="19" xfId="0" applyNumberFormat="1" applyFont="1" applyFill="1" applyBorder="1" applyAlignment="1" applyProtection="1">
      <alignment horizontal="right"/>
      <protection locked="0"/>
    </xf>
    <xf numFmtId="170" fontId="27" fillId="2" borderId="19" xfId="54" applyNumberFormat="1" applyFont="1" applyFill="1" applyBorder="1" applyProtection="1">
      <protection locked="0"/>
    </xf>
    <xf numFmtId="170" fontId="27" fillId="2" borderId="0" xfId="54" applyNumberFormat="1" applyFont="1" applyFill="1" applyBorder="1" applyProtection="1">
      <protection locked="0"/>
    </xf>
    <xf numFmtId="170" fontId="5" fillId="0" borderId="0" xfId="3" applyNumberFormat="1" applyFont="1" applyFill="1" applyBorder="1"/>
    <xf numFmtId="170" fontId="9" fillId="2" borderId="0" xfId="0" applyNumberFormat="1" applyFont="1" applyFill="1"/>
    <xf numFmtId="164" fontId="25" fillId="2" borderId="0" xfId="40" applyNumberFormat="1" applyFont="1" applyFill="1" applyBorder="1" applyProtection="1">
      <protection locked="0"/>
    </xf>
    <xf numFmtId="164" fontId="25" fillId="2" borderId="19" xfId="40" applyNumberFormat="1" applyFont="1" applyFill="1" applyBorder="1" applyProtection="1">
      <protection locked="0"/>
    </xf>
    <xf numFmtId="164" fontId="10" fillId="0" borderId="0" xfId="1" applyNumberFormat="1" applyFont="1" applyFill="1" applyBorder="1"/>
    <xf numFmtId="170" fontId="57" fillId="2" borderId="0" xfId="0" applyNumberFormat="1" applyFont="1" applyFill="1" applyBorder="1" applyAlignment="1" applyProtection="1">
      <alignment horizontal="right"/>
      <protection locked="0"/>
    </xf>
    <xf numFmtId="170" fontId="17" fillId="6" borderId="0" xfId="0" applyNumberFormat="1" applyFont="1" applyFill="1" applyBorder="1" applyAlignment="1" applyProtection="1">
      <alignment horizontal="right"/>
      <protection locked="0"/>
    </xf>
    <xf numFmtId="170" fontId="17" fillId="6" borderId="19" xfId="0" applyNumberFormat="1" applyFont="1" applyFill="1" applyBorder="1" applyAlignment="1" applyProtection="1">
      <alignment horizontal="right"/>
      <protection locked="0"/>
    </xf>
    <xf numFmtId="170" fontId="17" fillId="6" borderId="19" xfId="54" applyNumberFormat="1" applyFont="1" applyFill="1" applyBorder="1" applyProtection="1">
      <protection locked="0"/>
    </xf>
    <xf numFmtId="170" fontId="17" fillId="6" borderId="0" xfId="54" applyNumberFormat="1" applyFont="1" applyFill="1" applyBorder="1" applyProtection="1">
      <protection locked="0"/>
    </xf>
    <xf numFmtId="170" fontId="10" fillId="0" borderId="0" xfId="0" applyNumberFormat="1" applyFont="1" applyFill="1" applyBorder="1"/>
    <xf numFmtId="170" fontId="10" fillId="0" borderId="19" xfId="0" applyNumberFormat="1" applyFont="1" applyFill="1" applyBorder="1"/>
    <xf numFmtId="170" fontId="9" fillId="0" borderId="0" xfId="0" applyNumberFormat="1" applyFont="1" applyFill="1" applyBorder="1"/>
    <xf numFmtId="170" fontId="9" fillId="0" borderId="19" xfId="0" applyNumberFormat="1" applyFont="1" applyFill="1" applyBorder="1"/>
    <xf numFmtId="170" fontId="9" fillId="0" borderId="0" xfId="3" applyNumberFormat="1" applyFont="1" applyFill="1" applyBorder="1"/>
    <xf numFmtId="164" fontId="38" fillId="2" borderId="19" xfId="3" applyFont="1" applyFill="1" applyBorder="1" applyAlignment="1">
      <alignment horizontal="right"/>
    </xf>
    <xf numFmtId="37" fontId="38" fillId="2" borderId="0" xfId="0" applyNumberFormat="1" applyFont="1" applyFill="1" applyBorder="1" applyAlignment="1">
      <alignment horizontal="right"/>
    </xf>
    <xf numFmtId="37" fontId="38" fillId="2" borderId="19" xfId="0" applyNumberFormat="1" applyFont="1" applyFill="1" applyBorder="1" applyAlignment="1">
      <alignment horizontal="right"/>
    </xf>
    <xf numFmtId="37" fontId="38" fillId="2" borderId="0" xfId="3" applyNumberFormat="1" applyFont="1" applyFill="1" applyBorder="1" applyAlignment="1">
      <alignment horizontal="right"/>
    </xf>
    <xf numFmtId="37" fontId="38" fillId="2" borderId="19" xfId="3" applyNumberFormat="1" applyFont="1" applyFill="1" applyBorder="1" applyAlignment="1">
      <alignment horizontal="right"/>
    </xf>
    <xf numFmtId="37" fontId="11" fillId="2" borderId="0" xfId="3" applyNumberFormat="1" applyFont="1" applyFill="1" applyBorder="1" applyAlignment="1">
      <alignment horizontal="right"/>
    </xf>
    <xf numFmtId="37" fontId="11" fillId="2" borderId="0" xfId="1" applyNumberFormat="1" applyFont="1" applyFill="1" applyBorder="1" applyAlignment="1">
      <alignment horizontal="right"/>
    </xf>
    <xf numFmtId="164" fontId="27" fillId="2" borderId="0" xfId="40" applyNumberFormat="1" applyFont="1" applyFill="1" applyBorder="1" applyProtection="1">
      <protection locked="0"/>
    </xf>
    <xf numFmtId="37" fontId="4" fillId="2" borderId="0" xfId="3" applyNumberFormat="1" applyFont="1" applyFill="1" applyBorder="1" applyAlignment="1">
      <alignment horizontal="right"/>
    </xf>
    <xf numFmtId="37" fontId="4" fillId="2" borderId="0" xfId="1" applyNumberFormat="1" applyFont="1" applyFill="1" applyBorder="1" applyAlignment="1">
      <alignment horizontal="right"/>
    </xf>
    <xf numFmtId="37" fontId="4" fillId="2" borderId="0" xfId="0" applyNumberFormat="1" applyFont="1" applyFill="1" applyBorder="1" applyAlignment="1">
      <alignment horizontal="right"/>
    </xf>
    <xf numFmtId="37" fontId="4" fillId="2" borderId="0" xfId="0" applyNumberFormat="1" applyFont="1" applyFill="1"/>
    <xf numFmtId="164" fontId="10" fillId="2" borderId="0" xfId="3" applyFont="1" applyFill="1" applyBorder="1" applyAlignment="1">
      <alignment horizontal="right"/>
    </xf>
    <xf numFmtId="164" fontId="10" fillId="2" borderId="19" xfId="3" applyFont="1" applyFill="1" applyBorder="1" applyAlignment="1">
      <alignment horizontal="right"/>
    </xf>
    <xf numFmtId="164" fontId="10" fillId="2" borderId="0" xfId="3" applyFont="1" applyFill="1" applyBorder="1"/>
    <xf numFmtId="164" fontId="10" fillId="2" borderId="19" xfId="3" applyFont="1" applyFill="1" applyBorder="1"/>
    <xf numFmtId="1" fontId="29" fillId="2" borderId="0" xfId="1" applyNumberFormat="1" applyFont="1" applyFill="1" applyBorder="1"/>
    <xf numFmtId="1" fontId="29" fillId="2" borderId="19" xfId="1" applyNumberFormat="1" applyFont="1" applyFill="1" applyBorder="1"/>
    <xf numFmtId="1" fontId="36" fillId="2" borderId="0" xfId="3" applyNumberFormat="1" applyFont="1" applyFill="1" applyBorder="1" applyAlignment="1">
      <alignment horizontal="right"/>
    </xf>
    <xf numFmtId="1" fontId="36" fillId="2" borderId="19" xfId="3" applyNumberFormat="1" applyFont="1" applyFill="1" applyBorder="1" applyAlignment="1">
      <alignment horizontal="right"/>
    </xf>
    <xf numFmtId="1" fontId="40" fillId="2" borderId="19" xfId="1" applyNumberFormat="1" applyFont="1" applyFill="1" applyBorder="1"/>
    <xf numFmtId="1" fontId="40" fillId="2" borderId="0" xfId="1" applyNumberFormat="1" applyFont="1" applyFill="1" applyBorder="1"/>
    <xf numFmtId="1" fontId="36" fillId="2" borderId="0" xfId="3" applyNumberFormat="1" applyFont="1" applyFill="1" applyBorder="1"/>
    <xf numFmtId="1" fontId="36" fillId="2" borderId="0" xfId="1" applyNumberFormat="1" applyFont="1" applyFill="1" applyBorder="1"/>
    <xf numFmtId="1" fontId="5" fillId="2" borderId="0" xfId="0" applyNumberFormat="1" applyFont="1" applyFill="1"/>
    <xf numFmtId="37" fontId="58" fillId="2" borderId="0" xfId="1" applyNumberFormat="1" applyFont="1" applyFill="1" applyBorder="1"/>
    <xf numFmtId="164" fontId="10" fillId="2" borderId="0" xfId="3" applyNumberFormat="1" applyFont="1" applyFill="1" applyBorder="1" applyAlignment="1">
      <alignment horizontal="right"/>
    </xf>
    <xf numFmtId="164" fontId="10" fillId="2" borderId="19" xfId="3" applyNumberFormat="1" applyFont="1" applyFill="1" applyBorder="1" applyAlignment="1">
      <alignment horizontal="right"/>
    </xf>
    <xf numFmtId="172" fontId="29" fillId="2" borderId="0" xfId="1" applyNumberFormat="1" applyFont="1" applyFill="1" applyBorder="1"/>
    <xf numFmtId="172" fontId="29" fillId="2" borderId="19" xfId="1" applyNumberFormat="1" applyFont="1" applyFill="1" applyBorder="1"/>
    <xf numFmtId="37" fontId="59" fillId="2" borderId="0" xfId="1" applyNumberFormat="1" applyFont="1" applyFill="1" applyBorder="1"/>
    <xf numFmtId="164" fontId="11" fillId="2" borderId="19" xfId="3" applyFont="1" applyFill="1" applyBorder="1" applyAlignment="1">
      <alignment horizontal="right"/>
    </xf>
    <xf numFmtId="164" fontId="11" fillId="2" borderId="0" xfId="3" applyFont="1" applyFill="1" applyBorder="1" applyAlignment="1">
      <alignment horizontal="right"/>
    </xf>
    <xf numFmtId="37" fontId="11" fillId="2" borderId="19" xfId="3" applyNumberFormat="1" applyFont="1" applyFill="1" applyBorder="1" applyAlignment="1">
      <alignment horizontal="right"/>
    </xf>
    <xf numFmtId="0" fontId="38" fillId="2" borderId="14" xfId="0" applyFont="1" applyFill="1" applyBorder="1" applyAlignment="1">
      <alignment horizontal="right"/>
    </xf>
    <xf numFmtId="0" fontId="38" fillId="2" borderId="21" xfId="0" applyFont="1" applyFill="1" applyBorder="1" applyAlignment="1">
      <alignment horizontal="right"/>
    </xf>
    <xf numFmtId="164" fontId="38" fillId="2" borderId="14" xfId="3" applyFont="1" applyFill="1" applyBorder="1" applyAlignment="1">
      <alignment horizontal="right"/>
    </xf>
    <xf numFmtId="0" fontId="4" fillId="0" borderId="0" xfId="4" applyFont="1" applyFill="1" applyBorder="1"/>
    <xf numFmtId="0" fontId="5" fillId="0" borderId="0" xfId="6" applyFont="1" applyFill="1"/>
    <xf numFmtId="0" fontId="5" fillId="0" borderId="4" xfId="6" applyFont="1" applyFill="1" applyBorder="1"/>
    <xf numFmtId="0" fontId="5" fillId="0" borderId="5" xfId="6" applyFont="1" applyFill="1" applyBorder="1"/>
    <xf numFmtId="0" fontId="5" fillId="0" borderId="6" xfId="6" applyFont="1" applyFill="1" applyBorder="1"/>
    <xf numFmtId="0" fontId="5" fillId="0" borderId="8" xfId="6" applyFont="1" applyFill="1" applyBorder="1"/>
    <xf numFmtId="0" fontId="5" fillId="0" borderId="9" xfId="6" applyFont="1" applyFill="1" applyBorder="1"/>
    <xf numFmtId="41" fontId="3" fillId="3" borderId="8" xfId="6" applyNumberFormat="1" applyFont="1" applyFill="1" applyBorder="1" applyAlignment="1">
      <alignment horizontal="center"/>
    </xf>
    <xf numFmtId="41" fontId="3" fillId="3" borderId="0" xfId="6" applyNumberFormat="1" applyFont="1" applyFill="1" applyBorder="1" applyAlignment="1">
      <alignment horizontal="center"/>
    </xf>
    <xf numFmtId="0" fontId="5" fillId="0" borderId="0" xfId="6" applyFont="1" applyFill="1" applyBorder="1"/>
    <xf numFmtId="37" fontId="5" fillId="0" borderId="0" xfId="6" applyNumberFormat="1" applyFont="1" applyFill="1" applyBorder="1"/>
    <xf numFmtId="37" fontId="11" fillId="0" borderId="0" xfId="6" applyNumberFormat="1" applyFont="1" applyFill="1" applyBorder="1" applyAlignment="1">
      <alignment horizontal="right"/>
    </xf>
    <xf numFmtId="37" fontId="5" fillId="0" borderId="0" xfId="6" applyNumberFormat="1" applyFont="1" applyFill="1" applyBorder="1" applyAlignment="1">
      <alignment horizontal="right"/>
    </xf>
    <xf numFmtId="37" fontId="11" fillId="0" borderId="9" xfId="6" applyNumberFormat="1" applyFont="1" applyFill="1" applyBorder="1" applyAlignment="1">
      <alignment horizontal="right"/>
    </xf>
    <xf numFmtId="38" fontId="5" fillId="0" borderId="8" xfId="57" applyNumberFormat="1" applyFont="1" applyFill="1" applyBorder="1" applyAlignment="1">
      <alignment horizontal="right"/>
    </xf>
    <xf numFmtId="38" fontId="5" fillId="0" borderId="0" xfId="57" applyNumberFormat="1" applyFont="1" applyFill="1" applyBorder="1" applyAlignment="1">
      <alignment horizontal="right"/>
    </xf>
    <xf numFmtId="164" fontId="5" fillId="0" borderId="8" xfId="57" applyNumberFormat="1" applyFont="1" applyFill="1" applyBorder="1" applyAlignment="1">
      <alignment horizontal="right"/>
    </xf>
    <xf numFmtId="164" fontId="5" fillId="0" borderId="0" xfId="57" applyNumberFormat="1" applyFont="1" applyFill="1" applyBorder="1" applyAlignment="1">
      <alignment horizontal="right"/>
    </xf>
    <xf numFmtId="37" fontId="5" fillId="0" borderId="9" xfId="6" applyNumberFormat="1" applyFont="1" applyFill="1" applyBorder="1"/>
    <xf numFmtId="37" fontId="5" fillId="0" borderId="0" xfId="6" applyNumberFormat="1" applyFont="1" applyFill="1" applyBorder="1" applyAlignment="1">
      <alignment horizontal="left" indent="1"/>
    </xf>
    <xf numFmtId="164" fontId="5" fillId="0" borderId="0" xfId="6" applyNumberFormat="1" applyFont="1" applyFill="1" applyBorder="1" applyAlignment="1">
      <alignment horizontal="right"/>
    </xf>
    <xf numFmtId="164" fontId="11" fillId="0" borderId="0" xfId="6" applyNumberFormat="1" applyFont="1" applyFill="1" applyBorder="1" applyAlignment="1">
      <alignment horizontal="right"/>
    </xf>
    <xf numFmtId="7" fontId="11" fillId="0" borderId="0" xfId="6" applyNumberFormat="1" applyFont="1" applyFill="1" applyBorder="1" applyAlignment="1">
      <alignment horizontal="right"/>
    </xf>
    <xf numFmtId="7" fontId="5" fillId="0" borderId="0" xfId="6" applyNumberFormat="1" applyFont="1" applyFill="1" applyBorder="1" applyAlignment="1">
      <alignment horizontal="right"/>
    </xf>
    <xf numFmtId="7" fontId="11" fillId="0" borderId="9" xfId="6" applyNumberFormat="1" applyFont="1" applyFill="1" applyBorder="1" applyAlignment="1">
      <alignment horizontal="right"/>
    </xf>
    <xf numFmtId="164" fontId="11" fillId="0" borderId="9" xfId="6" applyNumberFormat="1" applyFont="1" applyFill="1" applyBorder="1" applyAlignment="1">
      <alignment horizontal="right"/>
    </xf>
    <xf numFmtId="164" fontId="5" fillId="0" borderId="0" xfId="57" applyNumberFormat="1" applyFont="1" applyFill="1" applyBorder="1" applyAlignment="1">
      <alignment horizontal="left" indent="1"/>
    </xf>
    <xf numFmtId="164" fontId="5" fillId="0" borderId="9" xfId="57" applyNumberFormat="1" applyFont="1" applyFill="1" applyBorder="1" applyAlignment="1">
      <alignment horizontal="right"/>
    </xf>
    <xf numFmtId="0" fontId="5" fillId="0" borderId="10" xfId="6" applyFont="1" applyFill="1" applyBorder="1"/>
    <xf numFmtId="0" fontId="5" fillId="0" borderId="11" xfId="6" applyFont="1" applyFill="1" applyBorder="1"/>
    <xf numFmtId="0" fontId="5" fillId="0" borderId="12" xfId="6" applyFont="1" applyFill="1" applyBorder="1"/>
    <xf numFmtId="37" fontId="5" fillId="0" borderId="14" xfId="6" applyNumberFormat="1" applyFont="1" applyFill="1" applyBorder="1"/>
    <xf numFmtId="37" fontId="11" fillId="0" borderId="33" xfId="6" applyNumberFormat="1" applyFont="1" applyFill="1" applyBorder="1" applyAlignment="1">
      <alignment horizontal="right"/>
    </xf>
    <xf numFmtId="37" fontId="5" fillId="0" borderId="14" xfId="6" applyNumberFormat="1" applyFont="1" applyFill="1" applyBorder="1" applyAlignment="1">
      <alignment horizontal="right"/>
    </xf>
    <xf numFmtId="38" fontId="5" fillId="0" borderId="34" xfId="57" applyNumberFormat="1" applyFont="1" applyFill="1" applyBorder="1" applyAlignment="1">
      <alignment horizontal="right"/>
    </xf>
    <xf numFmtId="164" fontId="5" fillId="0" borderId="34" xfId="57" applyNumberFormat="1" applyFont="1" applyFill="1" applyBorder="1" applyAlignment="1">
      <alignment horizontal="right"/>
    </xf>
    <xf numFmtId="164" fontId="5" fillId="0" borderId="14" xfId="57" applyNumberFormat="1" applyFont="1" applyFill="1" applyBorder="1" applyAlignment="1">
      <alignment horizontal="right"/>
    </xf>
    <xf numFmtId="37" fontId="5" fillId="0" borderId="9" xfId="6" applyNumberFormat="1" applyFont="1" applyFill="1" applyBorder="1" applyAlignment="1">
      <alignment horizontal="right"/>
    </xf>
    <xf numFmtId="164" fontId="5" fillId="0" borderId="14" xfId="57" applyNumberFormat="1" applyFont="1" applyFill="1" applyBorder="1" applyAlignment="1">
      <alignment horizontal="left" indent="1"/>
    </xf>
    <xf numFmtId="164" fontId="5" fillId="0" borderId="33" xfId="57" applyNumberFormat="1" applyFont="1" applyFill="1" applyBorder="1" applyAlignment="1">
      <alignment horizontal="right"/>
    </xf>
    <xf numFmtId="164" fontId="11" fillId="0" borderId="14" xfId="57" applyNumberFormat="1" applyFont="1" applyFill="1" applyBorder="1" applyAlignment="1">
      <alignment horizontal="right"/>
    </xf>
    <xf numFmtId="0" fontId="4" fillId="0" borderId="8" xfId="6" applyFont="1" applyFill="1" applyBorder="1"/>
    <xf numFmtId="37" fontId="4" fillId="0" borderId="16" xfId="6" applyNumberFormat="1" applyFont="1" applyFill="1" applyBorder="1"/>
    <xf numFmtId="37" fontId="4" fillId="0" borderId="35" xfId="6" applyNumberFormat="1" applyFont="1" applyFill="1" applyBorder="1" applyAlignment="1">
      <alignment horizontal="right"/>
    </xf>
    <xf numFmtId="37" fontId="9" fillId="0" borderId="16" xfId="6" applyNumberFormat="1" applyFont="1" applyFill="1" applyBorder="1" applyAlignment="1">
      <alignment horizontal="right"/>
    </xf>
    <xf numFmtId="38" fontId="4" fillId="0" borderId="36" xfId="57" applyNumberFormat="1" applyFont="1" applyFill="1" applyBorder="1" applyAlignment="1">
      <alignment horizontal="right"/>
    </xf>
    <xf numFmtId="164" fontId="4" fillId="0" borderId="36" xfId="57" applyNumberFormat="1" applyFont="1" applyFill="1" applyBorder="1" applyAlignment="1">
      <alignment horizontal="right"/>
    </xf>
    <xf numFmtId="164" fontId="4" fillId="0" borderId="16" xfId="57" applyNumberFormat="1" applyFont="1" applyFill="1" applyBorder="1" applyAlignment="1">
      <alignment horizontal="right"/>
    </xf>
    <xf numFmtId="164" fontId="4" fillId="0" borderId="9" xfId="57" applyNumberFormat="1" applyFont="1" applyFill="1" applyBorder="1" applyAlignment="1">
      <alignment horizontal="right"/>
    </xf>
    <xf numFmtId="41" fontId="5" fillId="0" borderId="0" xfId="6" applyNumberFormat="1" applyFont="1" applyFill="1" applyBorder="1"/>
    <xf numFmtId="41" fontId="11" fillId="0" borderId="9" xfId="6" applyNumberFormat="1" applyFont="1" applyFill="1" applyBorder="1" applyAlignment="1">
      <alignment horizontal="right"/>
    </xf>
    <xf numFmtId="41" fontId="11" fillId="0" borderId="0" xfId="6" applyNumberFormat="1" applyFont="1" applyFill="1" applyBorder="1" applyAlignment="1">
      <alignment horizontal="right"/>
    </xf>
    <xf numFmtId="37" fontId="5" fillId="0" borderId="8" xfId="57" applyNumberFormat="1" applyFont="1" applyFill="1" applyBorder="1" applyAlignment="1">
      <alignment horizontal="right"/>
    </xf>
    <xf numFmtId="37" fontId="5" fillId="0" borderId="0" xfId="57" applyNumberFormat="1" applyFont="1" applyFill="1" applyBorder="1" applyAlignment="1">
      <alignment horizontal="right"/>
    </xf>
    <xf numFmtId="7" fontId="5" fillId="0" borderId="8" xfId="6" applyNumberFormat="1" applyFont="1" applyFill="1" applyBorder="1"/>
    <xf numFmtId="7" fontId="4" fillId="0" borderId="0" xfId="6" applyNumberFormat="1" applyFont="1" applyFill="1" applyBorder="1"/>
    <xf numFmtId="7" fontId="4" fillId="0" borderId="9" xfId="6" applyNumberFormat="1" applyFont="1" applyFill="1" applyBorder="1" applyAlignment="1">
      <alignment horizontal="right"/>
    </xf>
    <xf numFmtId="7" fontId="9" fillId="0" borderId="0" xfId="6" applyNumberFormat="1" applyFont="1" applyFill="1" applyBorder="1" applyAlignment="1">
      <alignment horizontal="right"/>
    </xf>
    <xf numFmtId="8" fontId="4" fillId="0" borderId="8" xfId="57" applyNumberFormat="1" applyFont="1" applyFill="1" applyBorder="1" applyAlignment="1">
      <alignment horizontal="right"/>
    </xf>
    <xf numFmtId="8" fontId="4" fillId="0" borderId="0" xfId="57" applyNumberFormat="1" applyFont="1" applyFill="1" applyBorder="1" applyAlignment="1">
      <alignment horizontal="right"/>
    </xf>
    <xf numFmtId="164" fontId="4" fillId="0" borderId="8" xfId="57" applyNumberFormat="1" applyFont="1" applyFill="1" applyBorder="1" applyAlignment="1">
      <alignment horizontal="right"/>
    </xf>
    <xf numFmtId="164" fontId="4" fillId="0" borderId="0" xfId="57" applyNumberFormat="1" applyFont="1" applyFill="1" applyBorder="1" applyAlignment="1">
      <alignment horizontal="right"/>
    </xf>
    <xf numFmtId="41" fontId="11" fillId="0" borderId="9" xfId="6" applyNumberFormat="1" applyFont="1" applyFill="1" applyBorder="1"/>
    <xf numFmtId="41" fontId="11" fillId="0" borderId="0" xfId="6" applyNumberFormat="1" applyFont="1" applyFill="1" applyBorder="1"/>
    <xf numFmtId="37" fontId="5" fillId="0" borderId="8" xfId="57" applyNumberFormat="1" applyFont="1" applyFill="1" applyBorder="1"/>
    <xf numFmtId="164" fontId="5" fillId="0" borderId="8" xfId="57" applyNumberFormat="1" applyFont="1" applyFill="1" applyBorder="1"/>
    <xf numFmtId="164" fontId="5" fillId="0" borderId="0" xfId="57" applyNumberFormat="1" applyFont="1" applyFill="1" applyBorder="1"/>
    <xf numFmtId="164" fontId="5" fillId="0" borderId="9" xfId="57" applyNumberFormat="1" applyFont="1" applyFill="1" applyBorder="1"/>
    <xf numFmtId="38" fontId="5" fillId="0" borderId="8" xfId="57" applyNumberFormat="1" applyFont="1" applyFill="1" applyBorder="1"/>
    <xf numFmtId="0" fontId="4" fillId="0" borderId="0" xfId="6" applyFont="1" applyFill="1" applyBorder="1"/>
    <xf numFmtId="0" fontId="11" fillId="0" borderId="11" xfId="6" applyFont="1" applyFill="1" applyBorder="1"/>
    <xf numFmtId="37" fontId="5" fillId="0" borderId="11" xfId="6" applyNumberFormat="1" applyFont="1" applyFill="1" applyBorder="1"/>
    <xf numFmtId="0" fontId="11" fillId="0" borderId="0" xfId="6" applyFont="1" applyFill="1"/>
    <xf numFmtId="37" fontId="5" fillId="0" borderId="0" xfId="6" applyNumberFormat="1" applyFont="1" applyFill="1"/>
    <xf numFmtId="41" fontId="11" fillId="0" borderId="0" xfId="6" applyNumberFormat="1" applyFont="1" applyFill="1"/>
    <xf numFmtId="0" fontId="3" fillId="3" borderId="0" xfId="6" applyFont="1" applyFill="1" applyBorder="1" applyAlignment="1">
      <alignment vertical="center"/>
    </xf>
    <xf numFmtId="41" fontId="7" fillId="3" borderId="0" xfId="6" applyNumberFormat="1" applyFont="1" applyFill="1" applyBorder="1" applyAlignment="1">
      <alignment horizontal="center"/>
    </xf>
    <xf numFmtId="41" fontId="3" fillId="3" borderId="38" xfId="6" applyNumberFormat="1" applyFont="1" applyFill="1" applyBorder="1" applyAlignment="1">
      <alignment horizontal="center"/>
    </xf>
    <xf numFmtId="0" fontId="5" fillId="0" borderId="38" xfId="6" applyFont="1" applyFill="1" applyBorder="1"/>
    <xf numFmtId="38" fontId="5" fillId="0" borderId="0" xfId="6" applyNumberFormat="1" applyFont="1" applyFill="1" applyBorder="1" applyAlignment="1">
      <alignment horizontal="right"/>
    </xf>
    <xf numFmtId="164" fontId="11" fillId="0" borderId="0" xfId="57" applyNumberFormat="1" applyFont="1" applyFill="1" applyBorder="1" applyAlignment="1">
      <alignment horizontal="right"/>
    </xf>
    <xf numFmtId="164" fontId="5" fillId="0" borderId="38" xfId="57" applyNumberFormat="1" applyFont="1" applyFill="1" applyBorder="1" applyAlignment="1">
      <alignment horizontal="right"/>
    </xf>
    <xf numFmtId="37" fontId="11" fillId="0" borderId="14" xfId="6" applyNumberFormat="1" applyFont="1" applyFill="1" applyBorder="1" applyAlignment="1">
      <alignment horizontal="right"/>
    </xf>
    <xf numFmtId="38" fontId="5" fillId="0" borderId="14" xfId="6" applyNumberFormat="1" applyFont="1" applyFill="1" applyBorder="1" applyAlignment="1">
      <alignment horizontal="right"/>
    </xf>
    <xf numFmtId="37" fontId="5" fillId="0" borderId="38" xfId="6" applyNumberFormat="1" applyFont="1" applyFill="1" applyBorder="1" applyAlignment="1">
      <alignment horizontal="right"/>
    </xf>
    <xf numFmtId="37" fontId="11" fillId="0" borderId="38" xfId="6" applyNumberFormat="1" applyFont="1" applyFill="1" applyBorder="1" applyAlignment="1">
      <alignment horizontal="right"/>
    </xf>
    <xf numFmtId="164" fontId="5" fillId="0" borderId="40" xfId="57" applyNumberFormat="1" applyFont="1" applyFill="1" applyBorder="1" applyAlignment="1">
      <alignment horizontal="right"/>
    </xf>
    <xf numFmtId="37" fontId="4" fillId="0" borderId="16" xfId="6" applyNumberFormat="1" applyFont="1" applyFill="1" applyBorder="1" applyAlignment="1">
      <alignment horizontal="right"/>
    </xf>
    <xf numFmtId="38" fontId="4" fillId="0" borderId="16" xfId="6" applyNumberFormat="1" applyFont="1" applyFill="1" applyBorder="1" applyAlignment="1">
      <alignment horizontal="right"/>
    </xf>
    <xf numFmtId="37" fontId="4" fillId="0" borderId="42" xfId="6" applyNumberFormat="1" applyFont="1" applyFill="1" applyBorder="1" applyAlignment="1">
      <alignment horizontal="right"/>
    </xf>
    <xf numFmtId="41" fontId="5" fillId="0" borderId="0" xfId="6" applyNumberFormat="1" applyFont="1" applyFill="1" applyBorder="1" applyAlignment="1">
      <alignment horizontal="right"/>
    </xf>
    <xf numFmtId="41" fontId="11" fillId="0" borderId="38" xfId="6" applyNumberFormat="1" applyFont="1" applyFill="1" applyBorder="1" applyAlignment="1">
      <alignment horizontal="right"/>
    </xf>
    <xf numFmtId="7" fontId="4" fillId="0" borderId="0" xfId="6" applyNumberFormat="1" applyFont="1" applyFill="1" applyBorder="1" applyAlignment="1">
      <alignment horizontal="right"/>
    </xf>
    <xf numFmtId="8" fontId="4" fillId="0" borderId="0" xfId="6" applyNumberFormat="1" applyFont="1" applyFill="1" applyBorder="1" applyAlignment="1">
      <alignment horizontal="right"/>
    </xf>
    <xf numFmtId="7" fontId="4" fillId="0" borderId="38" xfId="6" applyNumberFormat="1" applyFont="1" applyFill="1" applyBorder="1" applyAlignment="1">
      <alignment horizontal="right"/>
    </xf>
    <xf numFmtId="41" fontId="11" fillId="0" borderId="38" xfId="6" applyNumberFormat="1" applyFont="1" applyFill="1" applyBorder="1"/>
    <xf numFmtId="38" fontId="5" fillId="0" borderId="0" xfId="6" applyNumberFormat="1" applyFont="1" applyFill="1" applyBorder="1"/>
    <xf numFmtId="37" fontId="4" fillId="0" borderId="0" xfId="6" applyNumberFormat="1" applyFont="1" applyFill="1" applyBorder="1"/>
    <xf numFmtId="37" fontId="4" fillId="0" borderId="9" xfId="6" applyNumberFormat="1" applyFont="1" applyFill="1" applyBorder="1" applyAlignment="1">
      <alignment horizontal="right"/>
    </xf>
    <xf numFmtId="37" fontId="9" fillId="0" borderId="0" xfId="6" applyNumberFormat="1" applyFont="1" applyFill="1" applyBorder="1" applyAlignment="1">
      <alignment horizontal="right"/>
    </xf>
    <xf numFmtId="37" fontId="5" fillId="0" borderId="34" xfId="5" applyNumberFormat="1" applyFont="1" applyFill="1" applyBorder="1" applyAlignment="1">
      <alignment horizontal="right"/>
    </xf>
    <xf numFmtId="164" fontId="5" fillId="0" borderId="34" xfId="5" applyNumberFormat="1" applyFont="1" applyFill="1" applyBorder="1" applyAlignment="1">
      <alignment horizontal="right"/>
    </xf>
    <xf numFmtId="164" fontId="5" fillId="0" borderId="14" xfId="5" applyNumberFormat="1" applyFont="1" applyFill="1" applyBorder="1" applyAlignment="1">
      <alignment horizontal="right"/>
    </xf>
    <xf numFmtId="38" fontId="5" fillId="0" borderId="34" xfId="5" applyNumberFormat="1" applyFont="1" applyFill="1" applyBorder="1" applyAlignment="1">
      <alignment horizontal="right"/>
    </xf>
    <xf numFmtId="164" fontId="5" fillId="0" borderId="9" xfId="5" applyNumberFormat="1" applyFont="1" applyFill="1" applyBorder="1" applyAlignment="1">
      <alignment horizontal="right"/>
    </xf>
    <xf numFmtId="37" fontId="4" fillId="0" borderId="0" xfId="6" applyNumberFormat="1" applyFont="1" applyFill="1" applyBorder="1" applyAlignment="1">
      <alignment horizontal="left"/>
    </xf>
    <xf numFmtId="37" fontId="4" fillId="0" borderId="0" xfId="6" applyNumberFormat="1" applyFont="1" applyFill="1" applyBorder="1" applyAlignment="1">
      <alignment horizontal="right"/>
    </xf>
    <xf numFmtId="37" fontId="4" fillId="0" borderId="8" xfId="5" applyNumberFormat="1" applyFont="1" applyFill="1" applyBorder="1" applyAlignment="1">
      <alignment horizontal="right"/>
    </xf>
    <xf numFmtId="164" fontId="4" fillId="0" borderId="8" xfId="5" applyNumberFormat="1" applyFont="1" applyFill="1" applyBorder="1" applyAlignment="1">
      <alignment horizontal="right"/>
    </xf>
    <xf numFmtId="164" fontId="4" fillId="0" borderId="0" xfId="5" applyNumberFormat="1" applyFont="1" applyFill="1" applyBorder="1" applyAlignment="1">
      <alignment horizontal="right"/>
    </xf>
    <xf numFmtId="38" fontId="4" fillId="0" borderId="8" xfId="5" applyNumberFormat="1" applyFont="1" applyFill="1" applyBorder="1" applyAlignment="1">
      <alignment horizontal="right"/>
    </xf>
    <xf numFmtId="37" fontId="4" fillId="0" borderId="9" xfId="5" applyNumberFormat="1" applyFont="1" applyFill="1" applyBorder="1" applyAlignment="1">
      <alignment horizontal="right"/>
    </xf>
    <xf numFmtId="164" fontId="5" fillId="0" borderId="0" xfId="5" applyNumberFormat="1" applyFont="1" applyFill="1" applyBorder="1" applyAlignment="1">
      <alignment horizontal="left" indent="1"/>
    </xf>
    <xf numFmtId="164" fontId="11" fillId="0" borderId="0" xfId="5" applyNumberFormat="1" applyFont="1" applyFill="1" applyBorder="1" applyAlignment="1">
      <alignment horizontal="right"/>
    </xf>
    <xf numFmtId="164" fontId="5" fillId="0" borderId="8" xfId="5" applyNumberFormat="1" applyFont="1" applyFill="1" applyBorder="1" applyAlignment="1">
      <alignment horizontal="right"/>
    </xf>
    <xf numFmtId="164" fontId="5" fillId="0" borderId="0" xfId="5" applyNumberFormat="1" applyFont="1" applyFill="1" applyBorder="1" applyAlignment="1">
      <alignment horizontal="right"/>
    </xf>
    <xf numFmtId="37" fontId="5" fillId="0" borderId="8" xfId="5" applyNumberFormat="1" applyFont="1" applyFill="1" applyBorder="1" applyAlignment="1">
      <alignment horizontal="right"/>
    </xf>
    <xf numFmtId="38" fontId="5" fillId="0" borderId="8" xfId="5" applyNumberFormat="1" applyFont="1" applyFill="1" applyBorder="1" applyAlignment="1">
      <alignment horizontal="right"/>
    </xf>
    <xf numFmtId="37" fontId="4" fillId="0" borderId="0" xfId="6" applyNumberFormat="1" applyFont="1" applyFill="1" applyBorder="1" applyAlignment="1"/>
    <xf numFmtId="37" fontId="9" fillId="0" borderId="9" xfId="6" applyNumberFormat="1" applyFont="1" applyFill="1" applyBorder="1" applyAlignment="1">
      <alignment horizontal="right"/>
    </xf>
    <xf numFmtId="164" fontId="4" fillId="0" borderId="9" xfId="5" applyNumberFormat="1" applyFont="1" applyFill="1" applyBorder="1" applyAlignment="1">
      <alignment horizontal="right"/>
    </xf>
    <xf numFmtId="41" fontId="5" fillId="0" borderId="9" xfId="6" applyNumberFormat="1" applyFont="1" applyFill="1" applyBorder="1" applyAlignment="1">
      <alignment horizontal="right"/>
    </xf>
    <xf numFmtId="41" fontId="3" fillId="3" borderId="9" xfId="6" applyNumberFormat="1" applyFont="1" applyFill="1" applyBorder="1" applyAlignment="1">
      <alignment horizontal="center"/>
    </xf>
    <xf numFmtId="37" fontId="5" fillId="0" borderId="33" xfId="5" applyNumberFormat="1" applyFont="1" applyFill="1" applyBorder="1" applyAlignment="1">
      <alignment horizontal="right"/>
    </xf>
    <xf numFmtId="37" fontId="5" fillId="0" borderId="9" xfId="5" applyNumberFormat="1" applyFont="1" applyFill="1" applyBorder="1" applyAlignment="1">
      <alignment horizontal="right"/>
    </xf>
    <xf numFmtId="38" fontId="5" fillId="0" borderId="9" xfId="57" applyNumberFormat="1" applyFont="1" applyFill="1" applyBorder="1" applyAlignment="1">
      <alignment horizontal="right"/>
    </xf>
    <xf numFmtId="38" fontId="4" fillId="0" borderId="35" xfId="57" applyNumberFormat="1" applyFont="1" applyFill="1" applyBorder="1" applyAlignment="1">
      <alignment horizontal="right"/>
    </xf>
    <xf numFmtId="38" fontId="5" fillId="0" borderId="33" xfId="57" applyNumberFormat="1" applyFont="1" applyFill="1" applyBorder="1" applyAlignment="1">
      <alignment horizontal="right"/>
    </xf>
    <xf numFmtId="37" fontId="5" fillId="0" borderId="9" xfId="57" applyNumberFormat="1" applyFont="1" applyFill="1" applyBorder="1" applyAlignment="1">
      <alignment horizontal="right"/>
    </xf>
    <xf numFmtId="8" fontId="4" fillId="0" borderId="9" xfId="57" applyNumberFormat="1" applyFont="1" applyFill="1" applyBorder="1" applyAlignment="1">
      <alignment horizontal="right"/>
    </xf>
    <xf numFmtId="37" fontId="5" fillId="0" borderId="9" xfId="57" applyNumberFormat="1" applyFont="1" applyFill="1" applyBorder="1"/>
    <xf numFmtId="38" fontId="5" fillId="0" borderId="9" xfId="57" applyNumberFormat="1" applyFont="1" applyFill="1" applyBorder="1"/>
    <xf numFmtId="38" fontId="4" fillId="0" borderId="0" xfId="6" applyNumberFormat="1" applyFont="1" applyFill="1" applyBorder="1" applyAlignment="1">
      <alignment horizontal="right"/>
    </xf>
    <xf numFmtId="0" fontId="4" fillId="0" borderId="9" xfId="6" applyFont="1" applyFill="1" applyBorder="1"/>
    <xf numFmtId="0" fontId="4" fillId="0" borderId="0" xfId="6" applyFont="1" applyFill="1"/>
    <xf numFmtId="164" fontId="5" fillId="0" borderId="0" xfId="57" applyNumberFormat="1" applyFont="1" applyFill="1" applyBorder="1" applyAlignment="1">
      <alignment horizontal="left"/>
    </xf>
    <xf numFmtId="37" fontId="5" fillId="0" borderId="8" xfId="6" applyNumberFormat="1" applyFont="1" applyFill="1" applyBorder="1"/>
    <xf numFmtId="37" fontId="5" fillId="0" borderId="0" xfId="57" applyNumberFormat="1" applyFont="1" applyFill="1" applyBorder="1" applyAlignment="1">
      <alignment horizontal="left"/>
    </xf>
    <xf numFmtId="37" fontId="11" fillId="0" borderId="0" xfId="57" applyNumberFormat="1" applyFont="1" applyFill="1" applyBorder="1" applyAlignment="1">
      <alignment horizontal="right"/>
    </xf>
    <xf numFmtId="37" fontId="5" fillId="0" borderId="14" xfId="57" applyNumberFormat="1" applyFont="1" applyFill="1" applyBorder="1" applyAlignment="1">
      <alignment horizontal="left"/>
    </xf>
    <xf numFmtId="37" fontId="11" fillId="0" borderId="14" xfId="57" applyNumberFormat="1" applyFont="1" applyFill="1" applyBorder="1" applyAlignment="1">
      <alignment horizontal="right"/>
    </xf>
    <xf numFmtId="37" fontId="5" fillId="0" borderId="14" xfId="57" applyNumberFormat="1" applyFont="1" applyFill="1" applyBorder="1" applyAlignment="1">
      <alignment horizontal="right"/>
    </xf>
    <xf numFmtId="37" fontId="4" fillId="0" borderId="8" xfId="6" applyNumberFormat="1" applyFont="1" applyFill="1" applyBorder="1"/>
    <xf numFmtId="37" fontId="4" fillId="0" borderId="0" xfId="57" applyNumberFormat="1" applyFont="1" applyFill="1" applyBorder="1" applyAlignment="1">
      <alignment horizontal="left"/>
    </xf>
    <xf numFmtId="37" fontId="4" fillId="0" borderId="0" xfId="57" applyNumberFormat="1" applyFont="1" applyFill="1" applyBorder="1" applyAlignment="1">
      <alignment horizontal="right"/>
    </xf>
    <xf numFmtId="37" fontId="9" fillId="0" borderId="0" xfId="57" applyNumberFormat="1" applyFont="1" applyFill="1" applyBorder="1" applyAlignment="1">
      <alignment horizontal="right"/>
    </xf>
    <xf numFmtId="37" fontId="4" fillId="0" borderId="38" xfId="57" applyNumberFormat="1" applyFont="1" applyFill="1" applyBorder="1" applyAlignment="1">
      <alignment horizontal="right"/>
    </xf>
    <xf numFmtId="37" fontId="4" fillId="0" borderId="9" xfId="6" applyNumberFormat="1" applyFont="1" applyFill="1" applyBorder="1"/>
    <xf numFmtId="37" fontId="4" fillId="0" borderId="0" xfId="6" applyNumberFormat="1" applyFont="1" applyFill="1"/>
    <xf numFmtId="8" fontId="5" fillId="0" borderId="0" xfId="6" applyNumberFormat="1" applyFont="1" applyFill="1"/>
    <xf numFmtId="8" fontId="5" fillId="0" borderId="5" xfId="6" applyNumberFormat="1" applyFont="1" applyFill="1" applyBorder="1"/>
    <xf numFmtId="8" fontId="15" fillId="3" borderId="37" xfId="6" applyNumberFormat="1" applyFont="1" applyFill="1" applyBorder="1" applyAlignment="1">
      <alignment horizontal="center"/>
    </xf>
    <xf numFmtId="8" fontId="5" fillId="0" borderId="37" xfId="6" applyNumberFormat="1" applyFont="1" applyFill="1" applyBorder="1"/>
    <xf numFmtId="8" fontId="4" fillId="0" borderId="37" xfId="6" applyNumberFormat="1" applyFont="1" applyFill="1" applyBorder="1" applyAlignment="1">
      <alignment horizontal="right"/>
    </xf>
    <xf numFmtId="8" fontId="5" fillId="0" borderId="39" xfId="57" applyNumberFormat="1" applyFont="1" applyFill="1" applyBorder="1" applyAlignment="1">
      <alignment horizontal="right"/>
    </xf>
    <xf numFmtId="8" fontId="4" fillId="0" borderId="37" xfId="57" applyNumberFormat="1" applyFont="1" applyFill="1" applyBorder="1" applyAlignment="1">
      <alignment horizontal="right"/>
    </xf>
    <xf numFmtId="8" fontId="5" fillId="0" borderId="37" xfId="57" applyNumberFormat="1" applyFont="1" applyFill="1" applyBorder="1" applyAlignment="1">
      <alignment horizontal="right"/>
    </xf>
    <xf numFmtId="8" fontId="5" fillId="0" borderId="37" xfId="6" applyNumberFormat="1" applyFont="1" applyFill="1" applyBorder="1" applyAlignment="1">
      <alignment horizontal="right"/>
    </xf>
    <xf numFmtId="8" fontId="5" fillId="0" borderId="39" xfId="6" applyNumberFormat="1" applyFont="1" applyFill="1" applyBorder="1" applyAlignment="1">
      <alignment horizontal="right"/>
    </xf>
    <xf numFmtId="8" fontId="4" fillId="0" borderId="41" xfId="6" applyNumberFormat="1" applyFont="1" applyFill="1" applyBorder="1" applyAlignment="1">
      <alignment horizontal="right"/>
    </xf>
    <xf numFmtId="8" fontId="5" fillId="0" borderId="11" xfId="6" applyNumberFormat="1" applyFont="1" applyFill="1" applyBorder="1"/>
    <xf numFmtId="8" fontId="5" fillId="0" borderId="0" xfId="6" applyNumberFormat="1" applyFont="1" applyFill="1" applyBorder="1"/>
    <xf numFmtId="8" fontId="15" fillId="3" borderId="0" xfId="6" applyNumberFormat="1" applyFont="1" applyFill="1" applyBorder="1" applyAlignment="1">
      <alignment horizontal="center"/>
    </xf>
    <xf numFmtId="8" fontId="5" fillId="0" borderId="14" xfId="57" applyNumberFormat="1" applyFont="1" applyFill="1" applyBorder="1" applyAlignment="1">
      <alignment horizontal="right"/>
    </xf>
    <xf numFmtId="8" fontId="5" fillId="0" borderId="0" xfId="57" applyNumberFormat="1" applyFont="1" applyFill="1" applyBorder="1" applyAlignment="1">
      <alignment horizontal="right"/>
    </xf>
    <xf numFmtId="8" fontId="5" fillId="0" borderId="0" xfId="6" applyNumberFormat="1" applyFont="1" applyFill="1" applyBorder="1" applyAlignment="1">
      <alignment horizontal="right"/>
    </xf>
    <xf numFmtId="8" fontId="5" fillId="0" borderId="14" xfId="6" applyNumberFormat="1" applyFont="1" applyFill="1" applyBorder="1" applyAlignment="1">
      <alignment horizontal="right"/>
    </xf>
    <xf numFmtId="8" fontId="4" fillId="0" borderId="16" xfId="6" applyNumberFormat="1" applyFont="1" applyFill="1" applyBorder="1" applyAlignment="1">
      <alignment horizontal="right"/>
    </xf>
    <xf numFmtId="37" fontId="4" fillId="0" borderId="38" xfId="6" applyNumberFormat="1" applyFont="1" applyFill="1" applyBorder="1" applyAlignment="1">
      <alignment horizontal="right"/>
    </xf>
    <xf numFmtId="0" fontId="3" fillId="3" borderId="19" xfId="0" applyFont="1" applyFill="1" applyBorder="1"/>
    <xf numFmtId="170" fontId="16" fillId="2" borderId="19" xfId="0" applyNumberFormat="1" applyFont="1" applyFill="1" applyBorder="1" applyAlignment="1" applyProtection="1">
      <alignment horizontal="left"/>
      <protection locked="0"/>
    </xf>
    <xf numFmtId="164" fontId="25" fillId="2" borderId="19" xfId="54" applyNumberFormat="1" applyFont="1" applyFill="1" applyBorder="1" applyAlignment="1" applyProtection="1">
      <alignment horizontal="left" indent="1"/>
      <protection locked="0"/>
    </xf>
    <xf numFmtId="170" fontId="17" fillId="6" borderId="19" xfId="0" applyNumberFormat="1" applyFont="1" applyFill="1" applyBorder="1" applyAlignment="1" applyProtection="1">
      <alignment horizontal="left"/>
      <protection locked="0"/>
    </xf>
    <xf numFmtId="170" fontId="4" fillId="0" borderId="19" xfId="0" applyNumberFormat="1" applyFont="1" applyFill="1" applyBorder="1"/>
    <xf numFmtId="0" fontId="4" fillId="2" borderId="19" xfId="0" applyFont="1" applyFill="1" applyBorder="1"/>
    <xf numFmtId="49" fontId="3" fillId="3" borderId="19" xfId="0" applyNumberFormat="1" applyFont="1" applyFill="1" applyBorder="1"/>
    <xf numFmtId="37" fontId="4" fillId="2" borderId="19" xfId="0" applyNumberFormat="1" applyFont="1" applyFill="1" applyBorder="1"/>
    <xf numFmtId="37" fontId="10" fillId="2" borderId="19" xfId="0" applyNumberFormat="1" applyFont="1" applyFill="1" applyBorder="1" applyAlignment="1">
      <alignment horizontal="left" indent="1"/>
    </xf>
    <xf numFmtId="164" fontId="10" fillId="2" borderId="19" xfId="0" applyNumberFormat="1" applyFont="1" applyFill="1" applyBorder="1" applyAlignment="1">
      <alignment horizontal="left" indent="1"/>
    </xf>
    <xf numFmtId="164" fontId="10" fillId="2" borderId="19" xfId="0" applyNumberFormat="1" applyFont="1" applyFill="1" applyBorder="1" applyAlignment="1">
      <alignment horizontal="left" indent="2"/>
    </xf>
    <xf numFmtId="37" fontId="5" fillId="2" borderId="19" xfId="0" applyNumberFormat="1" applyFont="1" applyFill="1" applyBorder="1" applyAlignment="1">
      <alignment horizontal="left"/>
    </xf>
    <xf numFmtId="0" fontId="10" fillId="2" borderId="19" xfId="0" applyFont="1" applyFill="1" applyBorder="1" applyAlignment="1">
      <alignment horizontal="left" indent="1"/>
    </xf>
    <xf numFmtId="1" fontId="36" fillId="2" borderId="19" xfId="0" applyNumberFormat="1" applyFont="1" applyFill="1" applyBorder="1" applyAlignment="1">
      <alignment horizontal="left"/>
    </xf>
    <xf numFmtId="0" fontId="36" fillId="2" borderId="19" xfId="0" applyFont="1" applyFill="1" applyBorder="1"/>
    <xf numFmtId="0" fontId="3" fillId="2" borderId="19" xfId="0" applyFont="1" applyFill="1" applyBorder="1"/>
    <xf numFmtId="37" fontId="5" fillId="2" borderId="17" xfId="0" applyNumberFormat="1" applyFont="1" applyFill="1" applyBorder="1"/>
    <xf numFmtId="37" fontId="5" fillId="2" borderId="19" xfId="0" applyNumberFormat="1" applyFont="1" applyFill="1" applyBorder="1" applyAlignment="1">
      <alignment horizontal="left" indent="1"/>
    </xf>
    <xf numFmtId="38" fontId="5" fillId="2" borderId="19" xfId="0" applyNumberFormat="1" applyFont="1" applyFill="1" applyBorder="1"/>
    <xf numFmtId="38" fontId="4" fillId="2" borderId="43" xfId="0" applyNumberFormat="1" applyFont="1" applyFill="1" applyBorder="1"/>
    <xf numFmtId="38" fontId="4" fillId="2" borderId="19" xfId="0" applyNumberFormat="1" applyFont="1" applyFill="1" applyBorder="1"/>
    <xf numFmtId="7" fontId="5" fillId="2" borderId="19" xfId="0" applyNumberFormat="1" applyFont="1" applyFill="1" applyBorder="1"/>
    <xf numFmtId="38" fontId="5" fillId="2" borderId="19" xfId="0" applyNumberFormat="1" applyFont="1" applyFill="1" applyBorder="1" applyAlignment="1">
      <alignment horizontal="left" indent="1"/>
    </xf>
    <xf numFmtId="37" fontId="4" fillId="2" borderId="17" xfId="0" applyNumberFormat="1" applyFont="1" applyFill="1" applyBorder="1"/>
    <xf numFmtId="37" fontId="4" fillId="2" borderId="44" xfId="0" applyNumberFormat="1" applyFont="1" applyFill="1" applyBorder="1"/>
    <xf numFmtId="37" fontId="10" fillId="2" borderId="19" xfId="0" applyNumberFormat="1" applyFont="1" applyFill="1" applyBorder="1" applyAlignment="1">
      <alignment horizontal="left"/>
    </xf>
    <xf numFmtId="170" fontId="4" fillId="2" borderId="19" xfId="0" applyNumberFormat="1" applyFont="1" applyFill="1" applyBorder="1"/>
    <xf numFmtId="170" fontId="5" fillId="2" borderId="19" xfId="0" applyNumberFormat="1" applyFont="1" applyFill="1" applyBorder="1" applyAlignment="1">
      <alignment horizontal="left" indent="1"/>
    </xf>
    <xf numFmtId="9" fontId="5" fillId="2" borderId="19" xfId="0" applyNumberFormat="1" applyFont="1" applyFill="1" applyBorder="1" applyAlignment="1">
      <alignment horizontal="left" indent="1"/>
    </xf>
    <xf numFmtId="166" fontId="5" fillId="2" borderId="19" xfId="0" applyNumberFormat="1" applyFont="1" applyFill="1" applyBorder="1" applyAlignment="1">
      <alignment horizontal="left" indent="1"/>
    </xf>
    <xf numFmtId="37" fontId="5" fillId="2" borderId="21" xfId="0" applyNumberFormat="1" applyFont="1" applyFill="1" applyBorder="1" applyAlignment="1">
      <alignment horizontal="left" indent="1"/>
    </xf>
    <xf numFmtId="37" fontId="36" fillId="2" borderId="19" xfId="0" applyNumberFormat="1" applyFont="1" applyFill="1" applyBorder="1"/>
    <xf numFmtId="37" fontId="10" fillId="2" borderId="19" xfId="0" applyNumberFormat="1" applyFont="1" applyFill="1" applyBorder="1"/>
    <xf numFmtId="37" fontId="4" fillId="2" borderId="45" xfId="0" applyNumberFormat="1" applyFont="1" applyFill="1" applyBorder="1"/>
    <xf numFmtId="164" fontId="10" fillId="2" borderId="46" xfId="0" applyNumberFormat="1" applyFont="1" applyFill="1" applyBorder="1" applyAlignment="1">
      <alignment horizontal="left" indent="1"/>
    </xf>
    <xf numFmtId="7" fontId="4" fillId="2" borderId="47" xfId="0" applyNumberFormat="1" applyFont="1" applyFill="1" applyBorder="1" applyAlignment="1">
      <alignment horizontal="left" indent="1"/>
    </xf>
    <xf numFmtId="164" fontId="4" fillId="2" borderId="19" xfId="0" applyNumberFormat="1" applyFont="1" applyFill="1" applyBorder="1"/>
    <xf numFmtId="164" fontId="5" fillId="2" borderId="19" xfId="0" applyNumberFormat="1" applyFont="1" applyFill="1" applyBorder="1" applyAlignment="1">
      <alignment horizontal="left" indent="1"/>
    </xf>
    <xf numFmtId="49" fontId="0" fillId="0" borderId="0" xfId="0" applyNumberFormat="1"/>
    <xf numFmtId="164" fontId="36" fillId="2" borderId="0" xfId="3" applyFont="1" applyFill="1" applyBorder="1"/>
    <xf numFmtId="170" fontId="16" fillId="2" borderId="0" xfId="54" applyNumberFormat="1" applyFont="1" applyFill="1" applyBorder="1" applyProtection="1">
      <protection locked="0"/>
    </xf>
    <xf numFmtId="170" fontId="16" fillId="2" borderId="19" xfId="54" applyNumberFormat="1" applyFont="1" applyFill="1" applyBorder="1" applyProtection="1">
      <protection locked="0"/>
    </xf>
    <xf numFmtId="164" fontId="27" fillId="2" borderId="19" xfId="40" applyNumberFormat="1" applyFont="1" applyFill="1" applyBorder="1" applyProtection="1">
      <protection locked="0"/>
    </xf>
    <xf numFmtId="170" fontId="16" fillId="2" borderId="0" xfId="0" applyNumberFormat="1" applyFont="1" applyFill="1" applyBorder="1" applyAlignment="1" applyProtection="1">
      <alignment horizontal="right"/>
      <protection locked="0"/>
    </xf>
    <xf numFmtId="9" fontId="1" fillId="2" borderId="19" xfId="6" applyNumberFormat="1" applyFont="1" applyFill="1" applyBorder="1"/>
    <xf numFmtId="0" fontId="5" fillId="2" borderId="0" xfId="6" applyFont="1" applyFill="1"/>
    <xf numFmtId="0" fontId="4" fillId="2" borderId="0" xfId="6" applyFont="1" applyFill="1" applyBorder="1"/>
    <xf numFmtId="0" fontId="4" fillId="2" borderId="0" xfId="6" applyFont="1" applyFill="1" applyBorder="1" applyAlignment="1">
      <alignment horizontal="center"/>
    </xf>
    <xf numFmtId="185" fontId="5" fillId="2" borderId="0" xfId="6" applyNumberFormat="1" applyFont="1" applyFill="1" applyAlignment="1">
      <alignment horizontal="center"/>
    </xf>
    <xf numFmtId="37" fontId="5" fillId="2" borderId="0" xfId="6" applyNumberFormat="1" applyFont="1" applyFill="1" applyAlignment="1">
      <alignment horizontal="center"/>
    </xf>
    <xf numFmtId="0" fontId="5" fillId="2" borderId="0" xfId="6" applyFont="1" applyFill="1" applyAlignment="1">
      <alignment horizontal="center"/>
    </xf>
    <xf numFmtId="0" fontId="4" fillId="2" borderId="0" xfId="6" applyFont="1" applyFill="1"/>
    <xf numFmtId="0" fontId="4" fillId="2" borderId="11" xfId="6" applyFont="1" applyFill="1" applyBorder="1" applyAlignment="1">
      <alignment horizontal="center"/>
    </xf>
    <xf numFmtId="185" fontId="4" fillId="2" borderId="11" xfId="6" applyNumberFormat="1" applyFont="1" applyFill="1" applyBorder="1" applyAlignment="1">
      <alignment horizontal="center"/>
    </xf>
    <xf numFmtId="37" fontId="4" fillId="2" borderId="11" xfId="6" applyNumberFormat="1" applyFont="1" applyFill="1" applyBorder="1" applyAlignment="1">
      <alignment horizontal="center"/>
    </xf>
    <xf numFmtId="16" fontId="5" fillId="2" borderId="0" xfId="6" applyNumberFormat="1" applyFont="1" applyFill="1" applyAlignment="1">
      <alignment horizontal="center"/>
    </xf>
    <xf numFmtId="185" fontId="11" fillId="2" borderId="0" xfId="6" applyNumberFormat="1" applyFont="1" applyFill="1" applyAlignment="1">
      <alignment horizontal="center"/>
    </xf>
    <xf numFmtId="37" fontId="11" fillId="2" borderId="0" xfId="6" applyNumberFormat="1" applyFont="1" applyFill="1" applyAlignment="1">
      <alignment horizontal="center"/>
    </xf>
    <xf numFmtId="0" fontId="4" fillId="2" borderId="7" xfId="6" applyFont="1" applyFill="1" applyBorder="1"/>
    <xf numFmtId="0" fontId="4" fillId="2" borderId="7" xfId="6" applyFont="1" applyFill="1" applyBorder="1" applyAlignment="1">
      <alignment horizontal="center"/>
    </xf>
    <xf numFmtId="185" fontId="4" fillId="2" borderId="7" xfId="6" applyNumberFormat="1" applyFont="1" applyFill="1" applyBorder="1" applyAlignment="1">
      <alignment horizontal="center"/>
    </xf>
    <xf numFmtId="37" fontId="4" fillId="2" borderId="7" xfId="6" applyNumberFormat="1" applyFont="1" applyFill="1" applyBorder="1" applyAlignment="1">
      <alignment horizontal="center"/>
    </xf>
    <xf numFmtId="0" fontId="11" fillId="0" borderId="0" xfId="6" applyFont="1" applyFill="1" applyBorder="1"/>
    <xf numFmtId="166" fontId="1" fillId="2" borderId="19" xfId="6" applyNumberFormat="1" applyFont="1" applyFill="1" applyBorder="1"/>
    <xf numFmtId="164" fontId="25" fillId="2" borderId="19" xfId="54" applyNumberFormat="1" applyFont="1" applyFill="1" applyBorder="1" applyAlignment="1" applyProtection="1">
      <alignment horizontal="left" indent="2"/>
      <protection locked="0"/>
    </xf>
    <xf numFmtId="170" fontId="26" fillId="2" borderId="0" xfId="54" applyNumberFormat="1" applyFont="1" applyFill="1" applyBorder="1" applyProtection="1">
      <protection locked="0"/>
    </xf>
    <xf numFmtId="170" fontId="26" fillId="2" borderId="19" xfId="54" applyNumberFormat="1" applyFont="1" applyFill="1" applyBorder="1" applyProtection="1">
      <protection locked="0"/>
    </xf>
    <xf numFmtId="7" fontId="11" fillId="0" borderId="13" xfId="4" applyNumberFormat="1" applyFont="1" applyFill="1" applyBorder="1" applyAlignment="1">
      <alignment horizontal="center"/>
    </xf>
    <xf numFmtId="37" fontId="11" fillId="0" borderId="13" xfId="4" applyNumberFormat="1" applyFont="1" applyFill="1" applyBorder="1" applyAlignment="1">
      <alignment horizontal="center"/>
    </xf>
    <xf numFmtId="41" fontId="3" fillId="3" borderId="0" xfId="6" applyNumberFormat="1" applyFont="1" applyFill="1" applyBorder="1" applyAlignment="1">
      <alignment horizontal="center" vertical="center"/>
    </xf>
    <xf numFmtId="37" fontId="9" fillId="0" borderId="38" xfId="6" applyNumberFormat="1" applyFont="1" applyFill="1" applyBorder="1" applyAlignment="1">
      <alignment horizontal="right"/>
    </xf>
    <xf numFmtId="37" fontId="11" fillId="0" borderId="40" xfId="6" applyNumberFormat="1" applyFont="1" applyFill="1" applyBorder="1" applyAlignment="1">
      <alignment horizontal="right"/>
    </xf>
    <xf numFmtId="37" fontId="11" fillId="0" borderId="38" xfId="57" applyNumberFormat="1" applyFont="1" applyFill="1" applyBorder="1" applyAlignment="1">
      <alignment horizontal="right"/>
    </xf>
    <xf numFmtId="37" fontId="11" fillId="0" borderId="40" xfId="57" applyNumberFormat="1" applyFont="1" applyFill="1" applyBorder="1" applyAlignment="1">
      <alignment horizontal="right"/>
    </xf>
    <xf numFmtId="41" fontId="3" fillId="3" borderId="8" xfId="6" applyNumberFormat="1" applyFont="1" applyFill="1" applyBorder="1" applyAlignment="1">
      <alignment horizontal="center" vertical="center"/>
    </xf>
    <xf numFmtId="164" fontId="5" fillId="0" borderId="8" xfId="6" applyNumberFormat="1" applyFont="1" applyFill="1" applyBorder="1" applyAlignment="1">
      <alignment horizontal="right"/>
    </xf>
    <xf numFmtId="38" fontId="5" fillId="0" borderId="8" xfId="6" applyNumberFormat="1" applyFont="1" applyFill="1" applyBorder="1" applyAlignment="1">
      <alignment horizontal="right"/>
    </xf>
    <xf numFmtId="8" fontId="5" fillId="0" borderId="8" xfId="6" applyNumberFormat="1" applyFont="1" applyFill="1" applyBorder="1" applyAlignment="1">
      <alignment horizontal="right"/>
    </xf>
    <xf numFmtId="41" fontId="3" fillId="3" borderId="0" xfId="6" applyNumberFormat="1" applyFont="1" applyFill="1" applyBorder="1" applyAlignment="1">
      <alignment horizontal="center" vertical="center"/>
    </xf>
    <xf numFmtId="41" fontId="3" fillId="3" borderId="8" xfId="6" applyNumberFormat="1" applyFont="1" applyFill="1" applyBorder="1" applyAlignment="1">
      <alignment horizontal="center" vertical="center"/>
    </xf>
    <xf numFmtId="0" fontId="2" fillId="0" borderId="0" xfId="4"/>
    <xf numFmtId="41" fontId="3" fillId="3" borderId="0" xfId="6" applyNumberFormat="1" applyFont="1" applyFill="1" applyBorder="1" applyAlignment="1">
      <alignment horizontal="center" vertical="center"/>
    </xf>
    <xf numFmtId="41" fontId="3" fillId="3" borderId="9" xfId="6" applyNumberFormat="1" applyFont="1" applyFill="1" applyBorder="1" applyAlignment="1">
      <alignment horizontal="center" vertical="center"/>
    </xf>
    <xf numFmtId="0" fontId="5" fillId="0" borderId="48" xfId="6" applyFont="1" applyFill="1" applyBorder="1"/>
    <xf numFmtId="164" fontId="5" fillId="0" borderId="48" xfId="6" applyNumberFormat="1" applyFont="1" applyFill="1" applyBorder="1" applyAlignment="1">
      <alignment horizontal="right"/>
    </xf>
    <xf numFmtId="38" fontId="5" fillId="0" borderId="48" xfId="6" applyNumberFormat="1" applyFont="1" applyFill="1" applyBorder="1" applyAlignment="1">
      <alignment horizontal="right"/>
    </xf>
    <xf numFmtId="38" fontId="11" fillId="0" borderId="48" xfId="6" applyNumberFormat="1" applyFont="1" applyFill="1" applyBorder="1" applyAlignment="1">
      <alignment horizontal="right"/>
    </xf>
    <xf numFmtId="8" fontId="5" fillId="0" borderId="48" xfId="6" applyNumberFormat="1" applyFont="1" applyFill="1" applyBorder="1" applyAlignment="1">
      <alignment horizontal="right"/>
    </xf>
    <xf numFmtId="164" fontId="5" fillId="0" borderId="0" xfId="3" applyFont="1" applyFill="1" applyBorder="1"/>
    <xf numFmtId="164" fontId="29" fillId="2" borderId="19" xfId="3" applyFont="1" applyFill="1" applyBorder="1"/>
    <xf numFmtId="37" fontId="41" fillId="2" borderId="19" xfId="2" applyNumberFormat="1" applyFont="1" applyFill="1" applyBorder="1"/>
    <xf numFmtId="37" fontId="59" fillId="2" borderId="19" xfId="1" applyNumberFormat="1" applyFont="1" applyFill="1" applyBorder="1"/>
    <xf numFmtId="37" fontId="62" fillId="2" borderId="0" xfId="0" applyNumberFormat="1" applyFont="1" applyFill="1" applyBorder="1" applyAlignment="1">
      <alignment horizontal="right"/>
    </xf>
    <xf numFmtId="37" fontId="5" fillId="0" borderId="0" xfId="1" applyNumberFormat="1" applyFont="1" applyFill="1" applyBorder="1"/>
    <xf numFmtId="39" fontId="5" fillId="2" borderId="0" xfId="1" applyNumberFormat="1" applyFont="1" applyFill="1" applyBorder="1"/>
    <xf numFmtId="164" fontId="25" fillId="0" borderId="0" xfId="0" applyNumberFormat="1" applyFont="1" applyFill="1" applyBorder="1" applyAlignment="1">
      <alignment horizontal="left" indent="1"/>
    </xf>
    <xf numFmtId="173" fontId="1" fillId="2" borderId="0" xfId="1" applyNumberFormat="1" applyFont="1" applyFill="1" applyBorder="1"/>
    <xf numFmtId="7" fontId="11" fillId="0" borderId="0" xfId="0" applyNumberFormat="1" applyFont="1" applyFill="1"/>
    <xf numFmtId="7" fontId="11" fillId="2" borderId="0" xfId="3" applyNumberFormat="1" applyFont="1" applyFill="1" applyBorder="1" applyAlignment="1">
      <alignment horizontal="right"/>
    </xf>
    <xf numFmtId="7" fontId="11" fillId="2" borderId="19" xfId="3" applyNumberFormat="1" applyFont="1" applyFill="1" applyBorder="1" applyAlignment="1">
      <alignment horizontal="right"/>
    </xf>
    <xf numFmtId="7" fontId="11" fillId="2" borderId="0" xfId="1" applyNumberFormat="1" applyFont="1" applyFill="1" applyBorder="1"/>
    <xf numFmtId="7" fontId="11" fillId="2" borderId="19" xfId="1" applyNumberFormat="1" applyFont="1" applyFill="1" applyBorder="1"/>
    <xf numFmtId="7" fontId="11" fillId="2" borderId="0" xfId="3" applyNumberFormat="1" applyFont="1" applyFill="1" applyBorder="1"/>
    <xf numFmtId="7" fontId="11" fillId="2" borderId="0" xfId="0" applyNumberFormat="1" applyFont="1" applyFill="1"/>
    <xf numFmtId="7" fontId="5" fillId="2" borderId="19" xfId="0" applyNumberFormat="1" applyFont="1" applyFill="1" applyBorder="1" applyAlignment="1">
      <alignment horizontal="left"/>
    </xf>
    <xf numFmtId="164" fontId="10" fillId="2" borderId="0" xfId="3" applyNumberFormat="1" applyFont="1" applyFill="1" applyBorder="1"/>
    <xf numFmtId="37" fontId="5" fillId="2" borderId="21" xfId="0" applyNumberFormat="1" applyFont="1" applyFill="1" applyBorder="1"/>
    <xf numFmtId="37" fontId="29" fillId="2" borderId="21" xfId="1" applyNumberFormat="1" applyFont="1" applyFill="1" applyBorder="1"/>
    <xf numFmtId="44" fontId="5" fillId="2" borderId="0" xfId="2" applyFont="1" applyFill="1" applyBorder="1" applyAlignment="1">
      <alignment horizontal="right"/>
    </xf>
    <xf numFmtId="37" fontId="11" fillId="0" borderId="0" xfId="4" applyNumberFormat="1" applyFont="1" applyFill="1" applyAlignment="1">
      <alignment horizontal="center"/>
    </xf>
    <xf numFmtId="37" fontId="5" fillId="0" borderId="0" xfId="4" applyNumberFormat="1" applyFont="1" applyFill="1" applyAlignment="1">
      <alignment horizontal="center"/>
    </xf>
    <xf numFmtId="37" fontId="5" fillId="0" borderId="13" xfId="4" applyNumberFormat="1" applyFont="1" applyFill="1" applyBorder="1" applyAlignment="1">
      <alignment horizontal="center"/>
    </xf>
    <xf numFmtId="7" fontId="5" fillId="0" borderId="13" xfId="4" applyNumberFormat="1" applyFont="1" applyFill="1" applyBorder="1" applyAlignment="1">
      <alignment horizontal="center"/>
    </xf>
    <xf numFmtId="0" fontId="5" fillId="0" borderId="13" xfId="4" applyFont="1" applyFill="1" applyBorder="1" applyAlignment="1">
      <alignment horizontal="left"/>
    </xf>
    <xf numFmtId="170" fontId="24" fillId="2" borderId="0" xfId="0" applyNumberFormat="1" applyFont="1" applyFill="1" applyBorder="1" applyAlignment="1" applyProtection="1">
      <alignment horizontal="right"/>
      <protection locked="0"/>
    </xf>
    <xf numFmtId="41" fontId="3" fillId="3" borderId="0" xfId="6" applyNumberFormat="1" applyFont="1" applyFill="1" applyBorder="1" applyAlignment="1">
      <alignment horizontal="center"/>
    </xf>
    <xf numFmtId="39" fontId="11" fillId="2" borderId="19" xfId="4" applyNumberFormat="1" applyFont="1" applyFill="1" applyBorder="1"/>
    <xf numFmtId="41" fontId="3" fillId="3" borderId="0" xfId="6" applyNumberFormat="1" applyFont="1" applyFill="1" applyBorder="1" applyAlignment="1">
      <alignment horizontal="center" vertical="center"/>
    </xf>
    <xf numFmtId="41" fontId="3" fillId="3" borderId="8" xfId="6" applyNumberFormat="1" applyFont="1" applyFill="1" applyBorder="1" applyAlignment="1">
      <alignment horizontal="center" vertical="center"/>
    </xf>
    <xf numFmtId="0" fontId="3" fillId="3" borderId="0" xfId="6" applyFont="1" applyFill="1" applyBorder="1" applyAlignment="1">
      <alignment horizontal="center" vertical="center"/>
    </xf>
    <xf numFmtId="41" fontId="15" fillId="3" borderId="48" xfId="6" applyNumberFormat="1" applyFont="1" applyFill="1" applyBorder="1" applyAlignment="1">
      <alignment horizontal="center" vertical="center"/>
    </xf>
    <xf numFmtId="41" fontId="3" fillId="3" borderId="48" xfId="6" applyNumberFormat="1" applyFont="1" applyFill="1" applyBorder="1" applyAlignment="1">
      <alignment horizontal="center" vertical="center"/>
    </xf>
    <xf numFmtId="41" fontId="3" fillId="3" borderId="9" xfId="6" applyNumberFormat="1" applyFont="1" applyFill="1" applyBorder="1" applyAlignment="1">
      <alignment horizontal="center" vertical="center"/>
    </xf>
    <xf numFmtId="41" fontId="3" fillId="3" borderId="8" xfId="6" applyNumberFormat="1" applyFont="1" applyFill="1" applyBorder="1" applyAlignment="1">
      <alignment horizontal="center"/>
    </xf>
    <xf numFmtId="41" fontId="3" fillId="3" borderId="0" xfId="6" applyNumberFormat="1" applyFont="1" applyFill="1" applyBorder="1" applyAlignment="1">
      <alignment horizontal="center"/>
    </xf>
    <xf numFmtId="41" fontId="3" fillId="3" borderId="9" xfId="6" applyNumberFormat="1" applyFont="1" applyFill="1" applyBorder="1" applyAlignment="1">
      <alignment horizontal="center"/>
    </xf>
    <xf numFmtId="0" fontId="2" fillId="10" borderId="0" xfId="81" applyFont="1" applyFill="1" applyAlignment="1">
      <alignment vertical="top"/>
    </xf>
    <xf numFmtId="0" fontId="2" fillId="10" borderId="0" xfId="4" applyFill="1" applyAlignment="1">
      <alignment vertical="top"/>
    </xf>
    <xf numFmtId="0" fontId="2" fillId="10" borderId="0" xfId="4" applyFill="1"/>
    <xf numFmtId="0" fontId="30" fillId="10" borderId="0" xfId="81" applyFont="1" applyFill="1" applyAlignment="1">
      <alignment horizontal="left" vertical="top"/>
    </xf>
    <xf numFmtId="0" fontId="2" fillId="10" borderId="0" xfId="4" applyFont="1" applyFill="1" applyAlignment="1">
      <alignment vertical="top"/>
    </xf>
    <xf numFmtId="0" fontId="64" fillId="10" borderId="0" xfId="81" applyFont="1" applyFill="1" applyAlignment="1">
      <alignment vertical="top"/>
    </xf>
    <xf numFmtId="0" fontId="0" fillId="10" borderId="0" xfId="0" applyFill="1" applyAlignment="1">
      <alignment vertical="top"/>
    </xf>
    <xf numFmtId="0" fontId="65" fillId="10" borderId="0" xfId="0" applyFont="1" applyFill="1" applyAlignment="1">
      <alignment vertical="top"/>
    </xf>
    <xf numFmtId="0" fontId="66" fillId="10" borderId="0" xfId="0" applyFont="1" applyFill="1" applyAlignment="1">
      <alignment vertical="top"/>
    </xf>
    <xf numFmtId="0" fontId="66" fillId="10" borderId="0" xfId="0" applyFont="1" applyFill="1" applyAlignment="1">
      <alignment vertical="top"/>
    </xf>
    <xf numFmtId="0" fontId="65" fillId="10" borderId="0" xfId="0" applyFont="1" applyFill="1" applyAlignment="1">
      <alignment vertical="top"/>
    </xf>
    <xf numFmtId="0" fontId="0" fillId="10" borderId="0" xfId="0" applyFill="1" applyAlignment="1">
      <alignment vertical="top"/>
    </xf>
    <xf numFmtId="0" fontId="0" fillId="10" borderId="53" xfId="0" applyFill="1" applyBorder="1" applyAlignment="1">
      <alignment vertical="top"/>
    </xf>
    <xf numFmtId="0" fontId="65" fillId="10" borderId="49" xfId="0" applyFont="1" applyFill="1" applyBorder="1" applyAlignment="1">
      <alignment vertical="top"/>
    </xf>
    <xf numFmtId="0" fontId="65" fillId="10" borderId="50" xfId="0" applyFont="1" applyFill="1" applyBorder="1" applyAlignment="1">
      <alignment vertical="top"/>
    </xf>
    <xf numFmtId="0" fontId="65" fillId="10" borderId="51" xfId="0" applyFont="1" applyFill="1" applyBorder="1" applyAlignment="1">
      <alignment vertical="top"/>
    </xf>
    <xf numFmtId="0" fontId="65" fillId="10" borderId="52" xfId="0" applyFont="1" applyFill="1" applyBorder="1" applyAlignment="1">
      <alignment vertical="top"/>
    </xf>
    <xf numFmtId="9" fontId="65" fillId="10" borderId="49" xfId="0" applyNumberFormat="1" applyFont="1" applyFill="1" applyBorder="1" applyAlignment="1">
      <alignment vertical="top"/>
    </xf>
    <xf numFmtId="3" fontId="65" fillId="10" borderId="49" xfId="0" applyNumberFormat="1" applyFont="1" applyFill="1" applyBorder="1" applyAlignment="1">
      <alignment vertical="top"/>
    </xf>
    <xf numFmtId="0" fontId="0" fillId="10" borderId="54" xfId="0" applyFill="1" applyBorder="1" applyAlignment="1">
      <alignment vertical="top"/>
    </xf>
    <xf numFmtId="2" fontId="2" fillId="0" borderId="0" xfId="4" applyNumberFormat="1" applyAlignment="1">
      <alignment horizontal="left"/>
    </xf>
    <xf numFmtId="0" fontId="2" fillId="0" borderId="0" xfId="4" applyNumberFormat="1" applyAlignment="1">
      <alignment horizontal="left"/>
    </xf>
    <xf numFmtId="1" fontId="2" fillId="0" borderId="0" xfId="4" applyNumberFormat="1" applyAlignment="1">
      <alignment horizontal="left"/>
    </xf>
    <xf numFmtId="0" fontId="2" fillId="0" borderId="0" xfId="4" applyFont="1"/>
    <xf numFmtId="191" fontId="2" fillId="0" borderId="0" xfId="4" applyNumberFormat="1" applyAlignment="1">
      <alignment horizontal="left"/>
    </xf>
    <xf numFmtId="49" fontId="2" fillId="0" borderId="0" xfId="4" applyNumberFormat="1"/>
  </cellXfs>
  <cellStyles count="82">
    <cellStyle name="%" xfId="7"/>
    <cellStyle name="******************************************" xfId="8"/>
    <cellStyle name="_AN Model" xfId="9"/>
    <cellStyle name="_Copy of AXL Model" xfId="10"/>
    <cellStyle name="_DCF Valuation" xfId="11"/>
    <cellStyle name="_Earnings Variance" xfId="12"/>
    <cellStyle name="_GPI Model" xfId="13"/>
    <cellStyle name="_GT Model 3Q" xfId="14"/>
    <cellStyle name="_JCI Model wEst" xfId="15"/>
    <cellStyle name="_JCI_Model_Final" xfId="16"/>
    <cellStyle name="_PensionT(1)" xfId="17"/>
    <cellStyle name="_Qtr Model" xfId="18"/>
    <cellStyle name="_RRS1" xfId="19"/>
    <cellStyle name="_RRS12" xfId="20"/>
    <cellStyle name="_RRS15" xfId="21"/>
    <cellStyle name="_RRS2" xfId="22"/>
    <cellStyle name="_RRS22" xfId="23"/>
    <cellStyle name="_RRS31" xfId="24"/>
    <cellStyle name="_RRS4" xfId="25"/>
    <cellStyle name="_RRS54" xfId="26"/>
    <cellStyle name="_RRS6" xfId="27"/>
    <cellStyle name="_SAH Model" xfId="28"/>
    <cellStyle name="_SUMMARY " xfId="29"/>
    <cellStyle name="_TEN_Model" xfId="30"/>
    <cellStyle name="=C:\WINNT35\SYSTEM32\COMMAND.COM" xfId="31"/>
    <cellStyle name="0_Capex &amp; Depreciation " xfId="32"/>
    <cellStyle name="0_Capex &amp; Depreciation _LAD Model" xfId="33"/>
    <cellStyle name="0_Valuing BP " xfId="34"/>
    <cellStyle name="0_Valuing BP _LAD Model" xfId="35"/>
    <cellStyle name="AttributeFloatStyle" xfId="36"/>
    <cellStyle name="c_HardInc " xfId="37"/>
    <cellStyle name="c_HardInc _LAD Model" xfId="38"/>
    <cellStyle name="Comma" xfId="1" builtinId="3"/>
    <cellStyle name="Comma 2" xfId="39"/>
    <cellStyle name="Comma_BWA Model" xfId="40"/>
    <cellStyle name="Currency" xfId="2" builtinId="4"/>
    <cellStyle name="Currency 2" xfId="41"/>
    <cellStyle name="Currency 3" xfId="42"/>
    <cellStyle name="Currency 4" xfId="43"/>
    <cellStyle name="Currency 5" xfId="78"/>
    <cellStyle name="Currency 6" xfId="80"/>
    <cellStyle name="DataPercentStyle" xfId="44"/>
    <cellStyle name="DataStyle" xfId="45"/>
    <cellStyle name="Fail" xfId="46"/>
    <cellStyle name="FiscalPeriod" xfId="47"/>
    <cellStyle name="FooterStyle" xfId="48"/>
    <cellStyle name="HeaderStyle" xfId="49"/>
    <cellStyle name="Hidden" xfId="50"/>
    <cellStyle name="MetricLabel" xfId="51"/>
    <cellStyle name="MetricLabelBlue" xfId="52"/>
    <cellStyle name="MetricValue" xfId="53"/>
    <cellStyle name="Normal" xfId="0" builtinId="0"/>
    <cellStyle name="Normal 2" xfId="4"/>
    <cellStyle name="Normal 2 2" xfId="6"/>
    <cellStyle name="Normal 3" xfId="77"/>
    <cellStyle name="Normal 4" xfId="79"/>
    <cellStyle name="Normal_BWA Model" xfId="54"/>
    <cellStyle name="Normal_DisclaimerSheet Samples" xfId="81"/>
    <cellStyle name="p " xfId="55"/>
    <cellStyle name="Pass" xfId="56"/>
    <cellStyle name="Percent" xfId="3" builtinId="5"/>
    <cellStyle name="Percent 2" xfId="5"/>
    <cellStyle name="Percent 2 2" xfId="57"/>
    <cellStyle name="RRSInstruction" xfId="58"/>
    <cellStyle name="s_HardInc " xfId="59"/>
    <cellStyle name="s_HardInc _LAD Model" xfId="60"/>
    <cellStyle name="s_Valuation " xfId="61"/>
    <cellStyle name="s_Valuation _Financial Model" xfId="62"/>
    <cellStyle name="s_Valuation _IV1" xfId="63"/>
    <cellStyle name="s_Valuation _JCI_Model_Final" xfId="64"/>
    <cellStyle name="s_Valuation _LAD Model" xfId="65"/>
    <cellStyle name="s_Valuation _RRS1" xfId="66"/>
    <cellStyle name="s_Valuation _RRS24" xfId="67"/>
    <cellStyle name="s_Valuation _RRS41" xfId="68"/>
    <cellStyle name="s_Valuation _RRST13" xfId="69"/>
    <cellStyle name="s_Valuation _RRST31" xfId="70"/>
    <cellStyle name="s_Valuation _TEN_Model" xfId="71"/>
    <cellStyle name="ssp " xfId="72"/>
    <cellStyle name="Style 1" xfId="73"/>
    <cellStyle name="Style 2" xfId="74"/>
    <cellStyle name="콤마 [0]_#3이설 견적_준공내역총괄표 " xfId="75"/>
    <cellStyle name="콤마_#3이설 견적_준공내역총괄표 " xfId="76"/>
  </cellStyles>
  <dxfs count="21">
    <dxf>
      <font>
        <color rgb="FFFF0000"/>
      </font>
    </dxf>
    <dxf>
      <font>
        <color rgb="FFFF0000"/>
      </font>
      <fill>
        <patternFill patternType="none">
          <bgColor indexed="65"/>
        </patternFill>
      </fill>
    </dxf>
    <dxf>
      <font>
        <color rgb="FFFF0000"/>
      </font>
    </dxf>
    <dxf>
      <font>
        <color rgb="FFFF0000"/>
      </font>
      <fill>
        <patternFill patternType="none">
          <bgColor indexed="65"/>
        </patternFill>
      </fill>
    </dxf>
    <dxf>
      <font>
        <color rgb="FFFF0000"/>
      </font>
    </dxf>
    <dxf>
      <font>
        <color rgb="FFFF0000"/>
      </font>
      <fill>
        <patternFill patternType="none">
          <bgColor indexed="6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theme/theme1.xml" Type="http://schemas.openxmlformats.org/officeDocument/2006/relationships/theme"/>
<Relationship Id="rId13" Target="styles.xml" Type="http://schemas.openxmlformats.org/officeDocument/2006/relationships/styles"/>
<Relationship Id="rId14" Target="sharedStrings.xml" Type="http://schemas.openxmlformats.org/officeDocument/2006/relationships/sharedStrings"/>
<Relationship Id="rId15" Target="calcChain.xml" Type="http://schemas.openxmlformats.org/officeDocument/2006/relationships/calcChain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jpe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jpe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170</xdr:row>
      <xdr:rowOff>0</xdr:rowOff>
    </xdr:from>
    <xdr:to>
      <xdr:col>7</xdr:col>
      <xdr:colOff>390525</xdr:colOff>
      <xdr:row>193</xdr:row>
      <xdr:rowOff>104775</xdr:rowOff>
    </xdr:to>
    <xdr:pic>
      <xdr:nvPicPr>
        <xdr:cNvPr id="44033" name="Picture 1" descr="C:\Users\sinkevic\AppData\Local\Temp\MercuryPriceRatingHistoryChart\DLPH.N_2018_04_10_18_30_50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5565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89649</xdr:colOff>
      <xdr:row>0</xdr:row>
      <xdr:rowOff>1</xdr:rowOff>
    </xdr:from>
    <xdr:to>
      <xdr:col>1</xdr:col>
      <xdr:colOff>1017199</xdr:colOff>
      <xdr:row>2</xdr:row>
      <xdr:rowOff>123265</xdr:rowOff>
    </xdr:to>
    <xdr:pic>
      <xdr:nvPicPr>
        <xdr:cNvPr id="3" name="Picture 2" descr="Image result for delphi technologie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973" y="1"/>
          <a:ext cx="927550" cy="504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89649</xdr:colOff>
      <xdr:row>0</xdr:row>
      <xdr:rowOff>1</xdr:rowOff>
    </xdr:from>
    <xdr:to>
      <xdr:col>1</xdr:col>
      <xdr:colOff>1017199</xdr:colOff>
      <xdr:row>2</xdr:row>
      <xdr:rowOff>123265</xdr:rowOff>
    </xdr:to>
    <xdr:pic>
      <xdr:nvPicPr>
        <xdr:cNvPr id="5" name="Picture 4" descr="Image result for delphi technologie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774" y="1"/>
          <a:ext cx="927550" cy="504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drawing2.xml" Type="http://schemas.openxmlformats.org/officeDocument/2006/relationships/drawing"/>
<Relationship Id="rId3" Target="../drawings/vmlDrawing2.vml" Type="http://schemas.openxmlformats.org/officeDocument/2006/relationships/vmlDrawing"/>
<Relationship Id="rId4" Target="../comments2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3.xml" Type="http://schemas.openxmlformats.org/officeDocument/2006/relationships/drawing"/>
<Relationship Id="rId3" Target="../drawings/vmlDrawing3.vml" Type="http://schemas.openxmlformats.org/officeDocument/2006/relationships/vmlDrawing"/>
<Relationship Id="rId4" Target="../comments3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vmlDrawing4.vml" Type="http://schemas.openxmlformats.org/officeDocument/2006/relationships/vmlDrawing"/>
<Relationship Id="rId3" Target="../comments4.xml" Type="http://schemas.openxmlformats.org/officeDocument/2006/relationships/comment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87"/>
  <sheetViews>
    <sheetView showGridLines="0" tabSelected="1" workbookViewId="0">
      <selection activeCell="Z1" sqref="Z1"/>
    </sheetView>
  </sheetViews>
  <sheetFormatPr defaultRowHeight="12.75"/>
  <cols>
    <col min="1" max="1" width="25.7109375" style="776" customWidth="1"/>
    <col min="2" max="5" width="9.140625" style="776"/>
    <col min="6" max="6" width="18.7109375" style="776" customWidth="1"/>
    <col min="7" max="256" width="9.140625" style="776"/>
    <col min="257" max="257" width="100.7109375" style="776" customWidth="1"/>
    <col min="258" max="512" width="9.140625" style="776"/>
    <col min="513" max="513" width="100.7109375" style="776" customWidth="1"/>
    <col min="514" max="768" width="9.140625" style="776"/>
    <col min="769" max="769" width="100.7109375" style="776" customWidth="1"/>
    <col min="770" max="1024" width="9.140625" style="776"/>
    <col min="1025" max="1025" width="100.7109375" style="776" customWidth="1"/>
    <col min="1026" max="1280" width="9.140625" style="776"/>
    <col min="1281" max="1281" width="100.7109375" style="776" customWidth="1"/>
    <col min="1282" max="1536" width="9.140625" style="776"/>
    <col min="1537" max="1537" width="100.7109375" style="776" customWidth="1"/>
    <col min="1538" max="1792" width="9.140625" style="776"/>
    <col min="1793" max="1793" width="100.7109375" style="776" customWidth="1"/>
    <col min="1794" max="2048" width="9.140625" style="776"/>
    <col min="2049" max="2049" width="100.7109375" style="776" customWidth="1"/>
    <col min="2050" max="2304" width="9.140625" style="776"/>
    <col min="2305" max="2305" width="100.7109375" style="776" customWidth="1"/>
    <col min="2306" max="2560" width="9.140625" style="776"/>
    <col min="2561" max="2561" width="100.7109375" style="776" customWidth="1"/>
    <col min="2562" max="2816" width="9.140625" style="776"/>
    <col min="2817" max="2817" width="100.7109375" style="776" customWidth="1"/>
    <col min="2818" max="3072" width="9.140625" style="776"/>
    <col min="3073" max="3073" width="100.7109375" style="776" customWidth="1"/>
    <col min="3074" max="3328" width="9.140625" style="776"/>
    <col min="3329" max="3329" width="100.7109375" style="776" customWidth="1"/>
    <col min="3330" max="3584" width="9.140625" style="776"/>
    <col min="3585" max="3585" width="100.7109375" style="776" customWidth="1"/>
    <col min="3586" max="3840" width="9.140625" style="776"/>
    <col min="3841" max="3841" width="100.7109375" style="776" customWidth="1"/>
    <col min="3842" max="4096" width="9.140625" style="776"/>
    <col min="4097" max="4097" width="100.7109375" style="776" customWidth="1"/>
    <col min="4098" max="4352" width="9.140625" style="776"/>
    <col min="4353" max="4353" width="100.7109375" style="776" customWidth="1"/>
    <col min="4354" max="4608" width="9.140625" style="776"/>
    <col min="4609" max="4609" width="100.7109375" style="776" customWidth="1"/>
    <col min="4610" max="4864" width="9.140625" style="776"/>
    <col min="4865" max="4865" width="100.7109375" style="776" customWidth="1"/>
    <col min="4866" max="5120" width="9.140625" style="776"/>
    <col min="5121" max="5121" width="100.7109375" style="776" customWidth="1"/>
    <col min="5122" max="5376" width="9.140625" style="776"/>
    <col min="5377" max="5377" width="100.7109375" style="776" customWidth="1"/>
    <col min="5378" max="5632" width="9.140625" style="776"/>
    <col min="5633" max="5633" width="100.7109375" style="776" customWidth="1"/>
    <col min="5634" max="5888" width="9.140625" style="776"/>
    <col min="5889" max="5889" width="100.7109375" style="776" customWidth="1"/>
    <col min="5890" max="6144" width="9.140625" style="776"/>
    <col min="6145" max="6145" width="100.7109375" style="776" customWidth="1"/>
    <col min="6146" max="6400" width="9.140625" style="776"/>
    <col min="6401" max="6401" width="100.7109375" style="776" customWidth="1"/>
    <col min="6402" max="6656" width="9.140625" style="776"/>
    <col min="6657" max="6657" width="100.7109375" style="776" customWidth="1"/>
    <col min="6658" max="6912" width="9.140625" style="776"/>
    <col min="6913" max="6913" width="100.7109375" style="776" customWidth="1"/>
    <col min="6914" max="7168" width="9.140625" style="776"/>
    <col min="7169" max="7169" width="100.7109375" style="776" customWidth="1"/>
    <col min="7170" max="7424" width="9.140625" style="776"/>
    <col min="7425" max="7425" width="100.7109375" style="776" customWidth="1"/>
    <col min="7426" max="7680" width="9.140625" style="776"/>
    <col min="7681" max="7681" width="100.7109375" style="776" customWidth="1"/>
    <col min="7682" max="7936" width="9.140625" style="776"/>
    <col min="7937" max="7937" width="100.7109375" style="776" customWidth="1"/>
    <col min="7938" max="8192" width="9.140625" style="776"/>
    <col min="8193" max="8193" width="100.7109375" style="776" customWidth="1"/>
    <col min="8194" max="8448" width="9.140625" style="776"/>
    <col min="8449" max="8449" width="100.7109375" style="776" customWidth="1"/>
    <col min="8450" max="8704" width="9.140625" style="776"/>
    <col min="8705" max="8705" width="100.7109375" style="776" customWidth="1"/>
    <col min="8706" max="8960" width="9.140625" style="776"/>
    <col min="8961" max="8961" width="100.7109375" style="776" customWidth="1"/>
    <col min="8962" max="9216" width="9.140625" style="776"/>
    <col min="9217" max="9217" width="100.7109375" style="776" customWidth="1"/>
    <col min="9218" max="9472" width="9.140625" style="776"/>
    <col min="9473" max="9473" width="100.7109375" style="776" customWidth="1"/>
    <col min="9474" max="9728" width="9.140625" style="776"/>
    <col min="9729" max="9729" width="100.7109375" style="776" customWidth="1"/>
    <col min="9730" max="9984" width="9.140625" style="776"/>
    <col min="9985" max="9985" width="100.7109375" style="776" customWidth="1"/>
    <col min="9986" max="10240" width="9.140625" style="776"/>
    <col min="10241" max="10241" width="100.7109375" style="776" customWidth="1"/>
    <col min="10242" max="10496" width="9.140625" style="776"/>
    <col min="10497" max="10497" width="100.7109375" style="776" customWidth="1"/>
    <col min="10498" max="10752" width="9.140625" style="776"/>
    <col min="10753" max="10753" width="100.7109375" style="776" customWidth="1"/>
    <col min="10754" max="11008" width="9.140625" style="776"/>
    <col min="11009" max="11009" width="100.7109375" style="776" customWidth="1"/>
    <col min="11010" max="11264" width="9.140625" style="776"/>
    <col min="11265" max="11265" width="100.7109375" style="776" customWidth="1"/>
    <col min="11266" max="11520" width="9.140625" style="776"/>
    <col min="11521" max="11521" width="100.7109375" style="776" customWidth="1"/>
    <col min="11522" max="11776" width="9.140625" style="776"/>
    <col min="11777" max="11777" width="100.7109375" style="776" customWidth="1"/>
    <col min="11778" max="12032" width="9.140625" style="776"/>
    <col min="12033" max="12033" width="100.7109375" style="776" customWidth="1"/>
    <col min="12034" max="12288" width="9.140625" style="776"/>
    <col min="12289" max="12289" width="100.7109375" style="776" customWidth="1"/>
    <col min="12290" max="12544" width="9.140625" style="776"/>
    <col min="12545" max="12545" width="100.7109375" style="776" customWidth="1"/>
    <col min="12546" max="12800" width="9.140625" style="776"/>
    <col min="12801" max="12801" width="100.7109375" style="776" customWidth="1"/>
    <col min="12802" max="13056" width="9.140625" style="776"/>
    <col min="13057" max="13057" width="100.7109375" style="776" customWidth="1"/>
    <col min="13058" max="13312" width="9.140625" style="776"/>
    <col min="13313" max="13313" width="100.7109375" style="776" customWidth="1"/>
    <col min="13314" max="13568" width="9.140625" style="776"/>
    <col min="13569" max="13569" width="100.7109375" style="776" customWidth="1"/>
    <col min="13570" max="13824" width="9.140625" style="776"/>
    <col min="13825" max="13825" width="100.7109375" style="776" customWidth="1"/>
    <col min="13826" max="14080" width="9.140625" style="776"/>
    <col min="14081" max="14081" width="100.7109375" style="776" customWidth="1"/>
    <col min="14082" max="14336" width="9.140625" style="776"/>
    <col min="14337" max="14337" width="100.7109375" style="776" customWidth="1"/>
    <col min="14338" max="14592" width="9.140625" style="776"/>
    <col min="14593" max="14593" width="100.7109375" style="776" customWidth="1"/>
    <col min="14594" max="14848" width="9.140625" style="776"/>
    <col min="14849" max="14849" width="100.7109375" style="776" customWidth="1"/>
    <col min="14850" max="15104" width="9.140625" style="776"/>
    <col min="15105" max="15105" width="100.7109375" style="776" customWidth="1"/>
    <col min="15106" max="15360" width="9.140625" style="776"/>
    <col min="15361" max="15361" width="100.7109375" style="776" customWidth="1"/>
    <col min="15362" max="15616" width="9.140625" style="776"/>
    <col min="15617" max="15617" width="100.7109375" style="776" customWidth="1"/>
    <col min="15618" max="15872" width="9.140625" style="776"/>
    <col min="15873" max="15873" width="100.7109375" style="776" customWidth="1"/>
    <col min="15874" max="16128" width="9.140625" style="776"/>
    <col min="16129" max="16129" width="100.7109375" style="776" customWidth="1"/>
    <col min="16130" max="16384" width="9.140625" style="776"/>
  </cols>
  <sheetData>
    <row r="1" spans="1:8" ht="30" customHeight="1">
      <c r="A1" s="774"/>
      <c r="B1" s="775"/>
      <c r="C1" s="775"/>
      <c r="D1" s="775"/>
      <c r="E1" s="775"/>
      <c r="F1" s="775"/>
      <c r="G1" s="775"/>
      <c r="H1" s="775"/>
    </row>
    <row r="2" spans="1:8" ht="14.25">
      <c r="A2" s="777" t="s">
        <v>308</v>
      </c>
      <c r="B2" s="775"/>
      <c r="C2" s="775"/>
      <c r="D2" s="775"/>
      <c r="E2" s="775"/>
      <c r="F2" s="775"/>
      <c r="G2" s="775"/>
      <c r="H2" s="775"/>
    </row>
    <row r="3" spans="1:8" ht="14.25">
      <c r="A3" s="777" t="s">
        <v>309</v>
      </c>
      <c r="B3" s="775"/>
      <c r="C3" s="775"/>
      <c r="D3" s="775"/>
      <c r="E3" s="775"/>
      <c r="F3" s="775"/>
      <c r="G3" s="775"/>
      <c r="H3" s="775"/>
    </row>
    <row r="4" spans="1:8" ht="14.25">
      <c r="A4" s="777" t="s">
        <v>204</v>
      </c>
      <c r="B4" s="775"/>
      <c r="C4" s="775"/>
      <c r="D4" s="775"/>
      <c r="E4" s="775"/>
      <c r="F4" s="775"/>
      <c r="G4" s="775"/>
      <c r="H4" s="775"/>
    </row>
    <row r="5" spans="1:8" ht="14.25">
      <c r="A5" s="777" t="s">
        <v>310</v>
      </c>
      <c r="B5" s="775"/>
      <c r="C5" s="775"/>
      <c r="D5" s="775"/>
      <c r="E5" s="775"/>
      <c r="F5" s="775"/>
      <c r="G5" s="775"/>
      <c r="H5" s="775"/>
    </row>
    <row r="6" spans="1:8" ht="14.25">
      <c r="A6" s="777"/>
      <c r="B6" s="775"/>
      <c r="C6" s="775"/>
      <c r="D6" s="775"/>
      <c r="E6" s="775"/>
      <c r="F6" s="775"/>
      <c r="G6" s="775"/>
      <c r="H6" s="775"/>
    </row>
    <row r="7" spans="1:8">
      <c r="A7" s="774" t="s">
        <v>311</v>
      </c>
      <c r="B7" s="775"/>
      <c r="C7" s="775"/>
      <c r="D7" s="775"/>
      <c r="E7" s="775"/>
      <c r="F7" s="775"/>
      <c r="G7" s="775"/>
      <c r="H7" s="775"/>
    </row>
    <row r="8" spans="1:8">
      <c r="A8" s="774" t="s">
        <v>312</v>
      </c>
      <c r="B8" s="775"/>
      <c r="C8" s="775"/>
      <c r="D8" s="775"/>
      <c r="E8" s="775"/>
      <c r="F8" s="775"/>
      <c r="G8" s="775"/>
      <c r="H8" s="775"/>
    </row>
    <row r="9" spans="1:8">
      <c r="A9" s="774"/>
      <c r="B9" s="775"/>
      <c r="C9" s="775"/>
      <c r="D9" s="775"/>
      <c r="E9" s="775"/>
      <c r="F9" s="775"/>
      <c r="G9" s="775"/>
      <c r="H9" s="775"/>
    </row>
    <row r="10" spans="1:8">
      <c r="A10" s="778" t="s">
        <v>313</v>
      </c>
      <c r="B10" s="775"/>
      <c r="C10" s="775"/>
      <c r="D10" s="775"/>
      <c r="E10" s="775"/>
      <c r="F10" s="775"/>
      <c r="G10" s="775"/>
      <c r="H10" s="775"/>
    </row>
    <row r="11" spans="1:8">
      <c r="A11" s="778" t="s">
        <v>314</v>
      </c>
      <c r="B11" s="775"/>
      <c r="C11" s="775"/>
      <c r="D11" s="775"/>
      <c r="E11" s="775"/>
      <c r="F11" s="775"/>
      <c r="G11" s="775"/>
      <c r="H11" s="775"/>
    </row>
    <row r="12" spans="1:8">
      <c r="A12" s="778" t="s">
        <v>315</v>
      </c>
      <c r="B12" s="775"/>
      <c r="C12" s="775"/>
      <c r="D12" s="775"/>
      <c r="E12" s="775"/>
      <c r="F12" s="775"/>
      <c r="G12" s="775"/>
      <c r="H12" s="775"/>
    </row>
    <row r="13" spans="1:8">
      <c r="A13" s="778" t="s">
        <v>316</v>
      </c>
      <c r="B13" s="775"/>
      <c r="C13" s="775"/>
      <c r="D13" s="775"/>
      <c r="E13" s="775"/>
      <c r="F13" s="775"/>
      <c r="G13" s="775"/>
      <c r="H13" s="775"/>
    </row>
    <row r="14" spans="1:8">
      <c r="A14" s="778" t="s">
        <v>317</v>
      </c>
      <c r="B14" s="775"/>
      <c r="C14" s="775"/>
      <c r="D14" s="775"/>
      <c r="E14" s="775"/>
      <c r="F14" s="775"/>
      <c r="G14" s="775"/>
      <c r="H14" s="775"/>
    </row>
    <row r="15" spans="1:8">
      <c r="A15" s="778" t="s">
        <v>318</v>
      </c>
      <c r="B15" s="775"/>
      <c r="C15" s="775"/>
      <c r="D15" s="775"/>
      <c r="E15" s="775"/>
      <c r="F15" s="775"/>
      <c r="G15" s="775"/>
      <c r="H15" s="775"/>
    </row>
    <row r="16" spans="1:8">
      <c r="A16" s="778"/>
      <c r="B16" s="775"/>
      <c r="C16" s="775"/>
      <c r="D16" s="775"/>
      <c r="E16" s="775"/>
      <c r="F16" s="775"/>
      <c r="G16" s="775"/>
      <c r="H16" s="775"/>
    </row>
    <row r="17" spans="1:8">
      <c r="A17" s="778" t="s">
        <v>305</v>
      </c>
      <c r="B17" s="775"/>
      <c r="C17" s="775"/>
      <c r="D17" s="775"/>
      <c r="E17" s="775"/>
      <c r="F17" s="775"/>
      <c r="G17" s="775"/>
      <c r="H17" s="775"/>
    </row>
    <row r="18" spans="1:8">
      <c r="A18" s="778"/>
      <c r="B18" s="775"/>
      <c r="C18" s="775"/>
      <c r="D18" s="775"/>
      <c r="E18" s="775"/>
      <c r="F18" s="775"/>
      <c r="G18" s="775"/>
      <c r="H18" s="775"/>
    </row>
    <row r="19" spans="1:8">
      <c r="A19" s="778" t="s">
        <v>306</v>
      </c>
      <c r="B19" s="775"/>
      <c r="C19" s="775"/>
      <c r="D19" s="775"/>
      <c r="E19" s="775"/>
      <c r="F19" s="775"/>
      <c r="G19" s="775"/>
      <c r="H19" s="775"/>
    </row>
    <row r="20" spans="1:8">
      <c r="A20" s="774"/>
      <c r="B20" s="775"/>
      <c r="C20" s="775"/>
      <c r="D20" s="775"/>
      <c r="E20" s="775"/>
      <c r="F20" s="775"/>
      <c r="G20" s="775"/>
      <c r="H20" s="775"/>
    </row>
    <row r="21" spans="1:8">
      <c r="A21" s="779" t="s">
        <v>307</v>
      </c>
      <c r="B21" s="775"/>
      <c r="C21" s="775"/>
      <c r="D21" s="775"/>
      <c r="E21" s="775"/>
      <c r="F21" s="775"/>
      <c r="G21" s="775"/>
      <c r="H21" s="775"/>
    </row>
    <row r="22" spans="1:8">
      <c r="A22" s="780"/>
      <c r="B22" s="780"/>
      <c r="C22" s="780"/>
      <c r="D22" s="780"/>
      <c r="E22" s="780"/>
      <c r="F22" s="780"/>
      <c r="G22" s="780"/>
      <c r="H22" s="780"/>
    </row>
    <row r="23" spans="1:8">
      <c r="A23" s="781" t="s">
        <v>594</v>
      </c>
      <c r="B23" s="780"/>
      <c r="C23" s="780"/>
      <c r="D23" s="780"/>
      <c r="E23" s="780"/>
      <c r="F23" s="780"/>
      <c r="G23" s="780"/>
      <c r="H23" s="780"/>
    </row>
    <row r="24" spans="1:8">
      <c r="A24" s="781" t="s">
        <v>595</v>
      </c>
      <c r="B24" s="780"/>
      <c r="C24" s="780"/>
      <c r="D24" s="780"/>
      <c r="E24" s="780"/>
      <c r="F24" s="780"/>
      <c r="G24" s="780"/>
      <c r="H24" s="780"/>
    </row>
    <row r="25" spans="1:8">
      <c r="A25" s="781" t="s">
        <v>596</v>
      </c>
      <c r="B25" s="780"/>
      <c r="C25" s="780"/>
      <c r="D25" s="780"/>
      <c r="E25" s="780"/>
      <c r="F25" s="780"/>
      <c r="G25" s="780"/>
      <c r="H25" s="780"/>
    </row>
    <row r="26" spans="1:8">
      <c r="A26" s="781" t="s">
        <v>597</v>
      </c>
      <c r="B26" s="780"/>
      <c r="C26" s="780"/>
      <c r="D26" s="780"/>
      <c r="E26" s="780"/>
      <c r="F26" s="780"/>
      <c r="G26" s="780"/>
      <c r="H26" s="780"/>
    </row>
    <row r="27" spans="1:8">
      <c r="A27" s="780"/>
      <c r="B27" s="780"/>
      <c r="C27" s="780"/>
      <c r="D27" s="780"/>
      <c r="E27" s="780"/>
      <c r="F27" s="780"/>
      <c r="G27" s="780"/>
      <c r="H27" s="780"/>
    </row>
    <row r="28" spans="1:8">
      <c r="A28" s="780"/>
      <c r="B28" s="780"/>
      <c r="C28" s="780"/>
      <c r="D28" s="780"/>
      <c r="E28" s="780"/>
      <c r="F28" s="780"/>
      <c r="G28" s="780"/>
      <c r="H28" s="780"/>
    </row>
    <row r="29" spans="1:8">
      <c r="A29" s="781" t="s">
        <v>589</v>
      </c>
      <c r="B29" s="780"/>
      <c r="C29" s="780"/>
      <c r="D29" s="780"/>
      <c r="E29" s="780"/>
      <c r="F29" s="780"/>
      <c r="G29" s="780"/>
      <c r="H29" s="780"/>
    </row>
    <row r="30" spans="1:8">
      <c r="A30" s="781" t="s">
        <v>590</v>
      </c>
      <c r="B30" s="780"/>
      <c r="C30" s="780"/>
      <c r="D30" s="780"/>
      <c r="E30" s="780"/>
      <c r="F30" s="780"/>
      <c r="G30" s="780"/>
      <c r="H30" s="780"/>
    </row>
    <row r="31" spans="1:8">
      <c r="A31" s="781" t="s">
        <v>591</v>
      </c>
      <c r="B31" s="780"/>
      <c r="C31" s="780"/>
      <c r="D31" s="780"/>
      <c r="E31" s="780"/>
      <c r="F31" s="780"/>
      <c r="G31" s="780"/>
      <c r="H31" s="780"/>
    </row>
    <row r="32" spans="1:8">
      <c r="A32" s="781" t="s">
        <v>592</v>
      </c>
      <c r="B32" s="780"/>
      <c r="C32" s="780"/>
      <c r="D32" s="780"/>
      <c r="E32" s="780"/>
      <c r="F32" s="780"/>
      <c r="G32" s="780"/>
      <c r="H32" s="780"/>
    </row>
    <row r="33" spans="1:8">
      <c r="A33" s="781" t="s">
        <v>593</v>
      </c>
      <c r="B33" s="780"/>
      <c r="C33" s="780"/>
      <c r="D33" s="780"/>
      <c r="E33" s="780"/>
      <c r="F33" s="780"/>
      <c r="G33" s="780"/>
      <c r="H33" s="780"/>
    </row>
    <row r="34" spans="1:8">
      <c r="A34" s="780"/>
      <c r="B34" s="780"/>
      <c r="C34" s="780"/>
      <c r="D34" s="780"/>
      <c r="E34" s="780"/>
      <c r="F34" s="780"/>
      <c r="G34" s="780"/>
      <c r="H34" s="780"/>
    </row>
    <row r="35" spans="1:8">
      <c r="A35" s="781" t="s">
        <v>585</v>
      </c>
      <c r="B35" s="780"/>
      <c r="C35" s="780"/>
      <c r="D35" s="780"/>
      <c r="E35" s="780"/>
      <c r="F35" s="780"/>
      <c r="G35" s="780"/>
      <c r="H35" s="780"/>
    </row>
    <row r="36" spans="1:8">
      <c r="A36" s="781" t="s">
        <v>586</v>
      </c>
      <c r="B36" s="780"/>
      <c r="C36" s="780"/>
      <c r="D36" s="780"/>
      <c r="E36" s="780"/>
      <c r="F36" s="780"/>
      <c r="G36" s="780"/>
      <c r="H36" s="780"/>
    </row>
    <row r="37" spans="1:8">
      <c r="A37" s="781" t="s">
        <v>587</v>
      </c>
      <c r="B37" s="780"/>
      <c r="C37" s="780"/>
      <c r="D37" s="780"/>
      <c r="E37" s="780"/>
      <c r="F37" s="780"/>
      <c r="G37" s="780"/>
      <c r="H37" s="780"/>
    </row>
    <row r="38" spans="1:8">
      <c r="A38" s="781" t="s">
        <v>588</v>
      </c>
      <c r="B38" s="780"/>
      <c r="C38" s="780"/>
      <c r="D38" s="780"/>
      <c r="E38" s="780"/>
      <c r="F38" s="780"/>
      <c r="G38" s="780"/>
      <c r="H38" s="780"/>
    </row>
    <row r="39" spans="1:8">
      <c r="A39" s="780"/>
      <c r="B39" s="780"/>
      <c r="C39" s="780"/>
      <c r="D39" s="780"/>
      <c r="E39" s="780"/>
      <c r="F39" s="780"/>
      <c r="G39" s="780"/>
      <c r="H39" s="780"/>
    </row>
    <row r="40" spans="1:8">
      <c r="A40" s="781" t="s">
        <v>579</v>
      </c>
      <c r="B40" s="780"/>
      <c r="C40" s="780"/>
      <c r="D40" s="780"/>
      <c r="E40" s="780"/>
      <c r="F40" s="780"/>
      <c r="G40" s="780"/>
      <c r="H40" s="780"/>
    </row>
    <row r="41" spans="1:8">
      <c r="A41" s="781" t="s">
        <v>580</v>
      </c>
      <c r="B41" s="780"/>
      <c r="C41" s="780"/>
      <c r="D41" s="780"/>
      <c r="E41" s="780"/>
      <c r="F41" s="780"/>
      <c r="G41" s="780"/>
      <c r="H41" s="780"/>
    </row>
    <row r="42" spans="1:8">
      <c r="A42" s="781" t="s">
        <v>581</v>
      </c>
      <c r="B42" s="780"/>
      <c r="C42" s="780"/>
      <c r="D42" s="780"/>
      <c r="E42" s="780"/>
      <c r="F42" s="780"/>
      <c r="G42" s="780"/>
      <c r="H42" s="780"/>
    </row>
    <row r="43" spans="1:8">
      <c r="A43" s="781" t="s">
        <v>582</v>
      </c>
      <c r="B43" s="780"/>
      <c r="C43" s="780"/>
      <c r="D43" s="780"/>
      <c r="E43" s="780"/>
      <c r="F43" s="780"/>
      <c r="G43" s="780"/>
      <c r="H43" s="780"/>
    </row>
    <row r="44" spans="1:8">
      <c r="A44" s="781" t="s">
        <v>583</v>
      </c>
      <c r="B44" s="780"/>
      <c r="C44" s="780"/>
      <c r="D44" s="780"/>
      <c r="E44" s="780"/>
      <c r="F44" s="780"/>
      <c r="G44" s="780"/>
      <c r="H44" s="780"/>
    </row>
    <row r="45" spans="1:8">
      <c r="A45" s="781" t="s">
        <v>584</v>
      </c>
      <c r="B45" s="780"/>
      <c r="C45" s="780"/>
      <c r="D45" s="780"/>
      <c r="E45" s="780"/>
      <c r="F45" s="780"/>
      <c r="G45" s="780"/>
      <c r="H45" s="780"/>
    </row>
    <row r="46" spans="1:8">
      <c r="A46" s="780"/>
      <c r="B46" s="780"/>
      <c r="C46" s="780"/>
      <c r="D46" s="780"/>
      <c r="E46" s="780"/>
      <c r="F46" s="780"/>
      <c r="G46" s="780"/>
      <c r="H46" s="780"/>
    </row>
    <row r="47" spans="1:8" ht="15.75">
      <c r="A47" s="782" t="s">
        <v>319</v>
      </c>
      <c r="B47" s="780"/>
      <c r="C47" s="780"/>
      <c r="D47" s="780"/>
      <c r="E47" s="780"/>
      <c r="F47" s="780"/>
      <c r="G47" s="780"/>
      <c r="H47" s="780"/>
    </row>
    <row r="48" spans="1:8">
      <c r="A48" s="780"/>
      <c r="B48" s="780"/>
      <c r="C48" s="780"/>
      <c r="D48" s="780"/>
      <c r="E48" s="780"/>
      <c r="F48" s="780"/>
      <c r="G48" s="780"/>
      <c r="H48" s="780"/>
    </row>
    <row r="49" spans="1:8">
      <c r="A49" s="781" t="s">
        <v>575</v>
      </c>
      <c r="B49" s="780"/>
      <c r="C49" s="780"/>
      <c r="D49" s="780"/>
      <c r="E49" s="780"/>
      <c r="F49" s="780"/>
      <c r="G49" s="780"/>
      <c r="H49" s="780"/>
    </row>
    <row r="50" spans="1:8">
      <c r="A50" s="781" t="s">
        <v>576</v>
      </c>
      <c r="B50" s="780"/>
      <c r="C50" s="780"/>
      <c r="D50" s="780"/>
      <c r="E50" s="780"/>
      <c r="F50" s="780"/>
      <c r="G50" s="780"/>
      <c r="H50" s="780"/>
    </row>
    <row r="51" spans="1:8">
      <c r="A51" s="781" t="s">
        <v>577</v>
      </c>
      <c r="B51" s="780"/>
      <c r="C51" s="780"/>
      <c r="D51" s="780"/>
      <c r="E51" s="780"/>
      <c r="F51" s="780"/>
      <c r="G51" s="780"/>
      <c r="H51" s="780"/>
    </row>
    <row r="52" spans="1:8">
      <c r="A52" s="781" t="s">
        <v>578</v>
      </c>
      <c r="B52" s="780"/>
      <c r="C52" s="780"/>
      <c r="D52" s="780"/>
      <c r="E52" s="780"/>
      <c r="F52" s="780"/>
      <c r="G52" s="780"/>
      <c r="H52" s="780"/>
    </row>
    <row r="53" spans="1:8">
      <c r="A53" s="780"/>
      <c r="B53" s="780"/>
      <c r="C53" s="780"/>
      <c r="D53" s="780"/>
      <c r="E53" s="780"/>
      <c r="F53" s="780"/>
      <c r="G53" s="780"/>
      <c r="H53" s="780"/>
    </row>
    <row r="54" spans="1:8">
      <c r="A54" s="781" t="s">
        <v>320</v>
      </c>
      <c r="B54" s="780"/>
      <c r="C54" s="780"/>
      <c r="D54" s="780"/>
      <c r="E54" s="780"/>
      <c r="F54" s="780"/>
      <c r="G54" s="780"/>
      <c r="H54" s="780"/>
    </row>
    <row r="55" spans="1:8">
      <c r="A55" s="780"/>
      <c r="B55" s="780"/>
      <c r="C55" s="780"/>
      <c r="D55" s="780"/>
      <c r="E55" s="780"/>
      <c r="F55" s="780"/>
      <c r="G55" s="780"/>
      <c r="H55" s="780"/>
    </row>
    <row r="56" spans="1:8" ht="15.75">
      <c r="A56" s="782" t="s">
        <v>321</v>
      </c>
      <c r="B56" s="780"/>
      <c r="C56" s="780"/>
      <c r="D56" s="780"/>
      <c r="E56" s="780"/>
      <c r="F56" s="780"/>
      <c r="G56" s="780"/>
      <c r="H56" s="780"/>
    </row>
    <row r="57" spans="1:8">
      <c r="A57" s="780"/>
      <c r="B57" s="780"/>
      <c r="C57" s="780"/>
      <c r="D57" s="780"/>
      <c r="E57" s="780"/>
      <c r="F57" s="780"/>
      <c r="G57" s="780"/>
      <c r="H57" s="780"/>
    </row>
    <row r="58" spans="1:8">
      <c r="A58" s="781" t="s">
        <v>573</v>
      </c>
      <c r="B58" s="780"/>
      <c r="C58" s="780"/>
      <c r="D58" s="780"/>
      <c r="E58" s="780"/>
      <c r="F58" s="780"/>
      <c r="G58" s="780"/>
      <c r="H58" s="780"/>
    </row>
    <row r="59" spans="1:8">
      <c r="A59" s="781" t="s">
        <v>574</v>
      </c>
      <c r="B59" s="780"/>
      <c r="C59" s="780"/>
      <c r="D59" s="780"/>
      <c r="E59" s="780"/>
      <c r="F59" s="780"/>
      <c r="G59" s="780"/>
      <c r="H59" s="780"/>
    </row>
    <row r="60" spans="1:8">
      <c r="A60" s="780"/>
      <c r="B60" s="780"/>
      <c r="C60" s="780"/>
      <c r="D60" s="780"/>
      <c r="E60" s="780"/>
      <c r="F60" s="780"/>
      <c r="G60" s="780"/>
      <c r="H60" s="780"/>
    </row>
    <row r="61" spans="1:8" ht="15.75">
      <c r="A61" s="782" t="s">
        <v>322</v>
      </c>
      <c r="B61" s="780"/>
      <c r="C61" s="780"/>
      <c r="D61" s="780"/>
      <c r="E61" s="780"/>
      <c r="F61" s="780"/>
      <c r="G61" s="780"/>
      <c r="H61" s="780"/>
    </row>
    <row r="62" spans="1:8">
      <c r="A62" s="780"/>
      <c r="B62" s="780"/>
      <c r="C62" s="780"/>
      <c r="D62" s="780"/>
      <c r="E62" s="780"/>
      <c r="F62" s="780"/>
      <c r="G62" s="780"/>
      <c r="H62" s="780"/>
    </row>
    <row r="63" spans="1:8">
      <c r="A63" s="781" t="s">
        <v>571</v>
      </c>
      <c r="B63" s="780"/>
      <c r="C63" s="780"/>
      <c r="D63" s="780"/>
      <c r="E63" s="780"/>
      <c r="F63" s="780"/>
      <c r="G63" s="780"/>
      <c r="H63" s="780"/>
    </row>
    <row r="64" spans="1:8">
      <c r="A64" s="781" t="s">
        <v>572</v>
      </c>
      <c r="B64" s="780"/>
      <c r="C64" s="780"/>
      <c r="D64" s="780"/>
      <c r="E64" s="780"/>
      <c r="F64" s="780"/>
      <c r="G64" s="780"/>
      <c r="H64" s="780"/>
    </row>
    <row r="65" spans="1:8">
      <c r="A65" s="780"/>
      <c r="B65" s="780"/>
      <c r="C65" s="780"/>
      <c r="D65" s="780"/>
      <c r="E65" s="780"/>
      <c r="F65" s="780"/>
      <c r="G65" s="780"/>
      <c r="H65" s="780"/>
    </row>
    <row r="66" spans="1:8">
      <c r="A66" s="781" t="s">
        <v>569</v>
      </c>
      <c r="B66" s="780"/>
      <c r="C66" s="780"/>
      <c r="D66" s="780"/>
      <c r="E66" s="780"/>
      <c r="F66" s="780"/>
      <c r="G66" s="780"/>
      <c r="H66" s="780"/>
    </row>
    <row r="67" spans="1:8">
      <c r="A67" s="781" t="s">
        <v>570</v>
      </c>
      <c r="B67" s="780"/>
      <c r="C67" s="780"/>
      <c r="D67" s="780"/>
      <c r="E67" s="780"/>
      <c r="F67" s="780"/>
      <c r="G67" s="780"/>
      <c r="H67" s="780"/>
    </row>
    <row r="68" spans="1:8">
      <c r="A68" s="780"/>
      <c r="B68" s="780"/>
      <c r="C68" s="780"/>
      <c r="D68" s="780"/>
      <c r="E68" s="780"/>
      <c r="F68" s="780"/>
      <c r="G68" s="780"/>
      <c r="H68" s="780"/>
    </row>
    <row r="69" spans="1:8">
      <c r="A69" s="781" t="s">
        <v>567</v>
      </c>
      <c r="B69" s="780"/>
      <c r="C69" s="780"/>
      <c r="D69" s="780"/>
      <c r="E69" s="780"/>
      <c r="F69" s="780"/>
      <c r="G69" s="780"/>
      <c r="H69" s="780"/>
    </row>
    <row r="70" spans="1:8">
      <c r="A70" s="781" t="s">
        <v>568</v>
      </c>
      <c r="B70" s="780"/>
      <c r="C70" s="780"/>
      <c r="D70" s="780"/>
      <c r="E70" s="780"/>
      <c r="F70" s="780"/>
      <c r="G70" s="780"/>
      <c r="H70" s="780"/>
    </row>
    <row r="71" spans="1:8">
      <c r="A71" s="780"/>
      <c r="B71" s="780"/>
      <c r="C71" s="780"/>
      <c r="D71" s="780"/>
      <c r="E71" s="780"/>
      <c r="F71" s="780"/>
      <c r="G71" s="780"/>
      <c r="H71" s="780"/>
    </row>
    <row r="72" spans="1:8">
      <c r="A72" s="781" t="s">
        <v>323</v>
      </c>
      <c r="B72" s="780"/>
      <c r="C72" s="780"/>
      <c r="D72" s="780"/>
      <c r="E72" s="780"/>
      <c r="F72" s="780"/>
      <c r="G72" s="780"/>
      <c r="H72" s="780"/>
    </row>
    <row r="73" spans="1:8">
      <c r="A73" s="780"/>
      <c r="B73" s="780"/>
      <c r="C73" s="780"/>
      <c r="D73" s="780"/>
      <c r="E73" s="780"/>
      <c r="F73" s="780"/>
      <c r="G73" s="780"/>
      <c r="H73" s="780"/>
    </row>
    <row r="74" spans="1:8">
      <c r="A74" s="781" t="s">
        <v>562</v>
      </c>
      <c r="B74" s="780"/>
      <c r="C74" s="780"/>
      <c r="D74" s="780"/>
      <c r="E74" s="780"/>
      <c r="F74" s="780"/>
      <c r="G74" s="780"/>
      <c r="H74" s="780"/>
    </row>
    <row r="75" spans="1:8">
      <c r="A75" s="781" t="s">
        <v>563</v>
      </c>
      <c r="B75" s="780"/>
      <c r="C75" s="780"/>
      <c r="D75" s="780"/>
      <c r="E75" s="780"/>
      <c r="F75" s="780"/>
      <c r="G75" s="780"/>
      <c r="H75" s="780"/>
    </row>
    <row r="76" spans="1:8">
      <c r="A76" s="781" t="s">
        <v>564</v>
      </c>
      <c r="B76" s="780"/>
      <c r="C76" s="780"/>
      <c r="D76" s="780"/>
      <c r="E76" s="780"/>
      <c r="F76" s="780"/>
      <c r="G76" s="780"/>
      <c r="H76" s="780"/>
    </row>
    <row r="77" spans="1:8">
      <c r="A77" s="781" t="s">
        <v>565</v>
      </c>
      <c r="B77" s="780"/>
      <c r="C77" s="780"/>
      <c r="D77" s="780"/>
      <c r="E77" s="780"/>
      <c r="F77" s="780"/>
      <c r="G77" s="780"/>
      <c r="H77" s="780"/>
    </row>
    <row r="78" spans="1:8">
      <c r="A78" s="781" t="s">
        <v>566</v>
      </c>
      <c r="B78" s="780"/>
      <c r="C78" s="780"/>
      <c r="D78" s="780"/>
      <c r="E78" s="780"/>
      <c r="F78" s="780"/>
      <c r="G78" s="780"/>
      <c r="H78" s="780"/>
    </row>
    <row r="79" spans="1:8">
      <c r="A79" s="781" t="s">
        <v>449</v>
      </c>
      <c r="B79" s="780"/>
      <c r="C79" s="780"/>
      <c r="D79" s="780"/>
      <c r="E79" s="780"/>
      <c r="F79" s="780"/>
      <c r="G79" s="780"/>
      <c r="H79" s="780"/>
    </row>
    <row r="80" spans="1:8">
      <c r="A80" s="780"/>
      <c r="B80" s="780"/>
      <c r="C80" s="780"/>
      <c r="D80" s="780"/>
      <c r="E80" s="780"/>
      <c r="F80" s="780"/>
      <c r="G80" s="780"/>
      <c r="H80" s="780"/>
    </row>
    <row r="81" spans="1:8">
      <c r="A81" s="781" t="s">
        <v>555</v>
      </c>
      <c r="B81" s="780"/>
      <c r="C81" s="780"/>
      <c r="D81" s="780"/>
      <c r="E81" s="780"/>
      <c r="F81" s="780"/>
      <c r="G81" s="780"/>
      <c r="H81" s="780"/>
    </row>
    <row r="82" spans="1:8">
      <c r="A82" s="781" t="s">
        <v>556</v>
      </c>
      <c r="B82" s="780"/>
      <c r="C82" s="780"/>
      <c r="D82" s="780"/>
      <c r="E82" s="780"/>
      <c r="F82" s="780"/>
      <c r="G82" s="780"/>
      <c r="H82" s="780"/>
    </row>
    <row r="83" spans="1:8">
      <c r="A83" s="781" t="s">
        <v>557</v>
      </c>
      <c r="B83" s="780"/>
      <c r="C83" s="780"/>
      <c r="D83" s="780"/>
      <c r="E83" s="780"/>
      <c r="F83" s="780"/>
      <c r="G83" s="780"/>
      <c r="H83" s="780"/>
    </row>
    <row r="84" spans="1:8">
      <c r="A84" s="781" t="s">
        <v>558</v>
      </c>
      <c r="B84" s="780"/>
      <c r="C84" s="780"/>
      <c r="D84" s="780"/>
      <c r="E84" s="780"/>
      <c r="F84" s="780"/>
      <c r="G84" s="780"/>
      <c r="H84" s="780"/>
    </row>
    <row r="85" spans="1:8">
      <c r="A85" s="781" t="s">
        <v>559</v>
      </c>
      <c r="B85" s="780"/>
      <c r="C85" s="780"/>
      <c r="D85" s="780"/>
      <c r="E85" s="780"/>
      <c r="F85" s="780"/>
      <c r="G85" s="780"/>
      <c r="H85" s="780"/>
    </row>
    <row r="86" spans="1:8">
      <c r="A86" s="781" t="s">
        <v>560</v>
      </c>
      <c r="B86" s="780"/>
      <c r="C86" s="780"/>
      <c r="D86" s="780"/>
      <c r="E86" s="780"/>
      <c r="F86" s="780"/>
      <c r="G86" s="780"/>
      <c r="H86" s="780"/>
    </row>
    <row r="87" spans="1:8">
      <c r="A87" s="781" t="s">
        <v>561</v>
      </c>
      <c r="B87" s="780"/>
      <c r="C87" s="780"/>
      <c r="D87" s="780"/>
      <c r="E87" s="780"/>
      <c r="F87" s="780"/>
      <c r="G87" s="780"/>
      <c r="H87" s="780"/>
    </row>
    <row r="88" spans="1:8">
      <c r="A88" s="780"/>
      <c r="B88" s="780"/>
      <c r="C88" s="780"/>
      <c r="D88" s="780"/>
      <c r="E88" s="780"/>
      <c r="F88" s="780"/>
      <c r="G88" s="780"/>
      <c r="H88" s="780"/>
    </row>
    <row r="89" spans="1:8">
      <c r="A89" s="781" t="s">
        <v>553</v>
      </c>
      <c r="B89" s="780"/>
      <c r="C89" s="780"/>
      <c r="D89" s="780"/>
      <c r="E89" s="780"/>
      <c r="F89" s="780"/>
      <c r="G89" s="780"/>
      <c r="H89" s="780"/>
    </row>
    <row r="90" spans="1:8">
      <c r="A90" s="781" t="s">
        <v>554</v>
      </c>
      <c r="B90" s="780"/>
      <c r="C90" s="780"/>
      <c r="D90" s="780"/>
      <c r="E90" s="780"/>
      <c r="F90" s="780"/>
      <c r="G90" s="780"/>
      <c r="H90" s="780"/>
    </row>
    <row r="91" spans="1:8">
      <c r="A91" s="780"/>
      <c r="B91" s="780"/>
      <c r="C91" s="780"/>
      <c r="D91" s="780"/>
      <c r="E91" s="780"/>
      <c r="F91" s="780"/>
      <c r="G91" s="780"/>
      <c r="H91" s="780"/>
    </row>
    <row r="92" spans="1:8" ht="15.75">
      <c r="A92" s="782" t="s">
        <v>324</v>
      </c>
      <c r="B92" s="780"/>
      <c r="C92" s="780"/>
      <c r="D92" s="780"/>
      <c r="E92" s="780"/>
      <c r="F92" s="780"/>
      <c r="G92" s="780"/>
      <c r="H92" s="780"/>
    </row>
    <row r="93" spans="1:8">
      <c r="A93" s="780"/>
      <c r="B93" s="780"/>
      <c r="C93" s="780"/>
      <c r="D93" s="780"/>
      <c r="E93" s="780"/>
      <c r="F93" s="780"/>
      <c r="G93" s="780"/>
      <c r="H93" s="780"/>
    </row>
    <row r="94" spans="1:8">
      <c r="A94" s="781" t="s">
        <v>544</v>
      </c>
      <c r="B94" s="780"/>
      <c r="C94" s="780"/>
      <c r="D94" s="780"/>
      <c r="E94" s="780"/>
      <c r="F94" s="780"/>
      <c r="G94" s="780"/>
      <c r="H94" s="780"/>
    </row>
    <row r="95" spans="1:8">
      <c r="A95" s="781" t="s">
        <v>545</v>
      </c>
      <c r="B95" s="780"/>
      <c r="C95" s="780"/>
      <c r="D95" s="780"/>
      <c r="E95" s="780"/>
      <c r="F95" s="780"/>
      <c r="G95" s="780"/>
      <c r="H95" s="780"/>
    </row>
    <row r="96" spans="1:8">
      <c r="A96" s="781" t="s">
        <v>546</v>
      </c>
      <c r="B96" s="780"/>
      <c r="C96" s="780"/>
      <c r="D96" s="780"/>
      <c r="E96" s="780"/>
      <c r="F96" s="780"/>
      <c r="G96" s="780"/>
      <c r="H96" s="780"/>
    </row>
    <row r="97" spans="1:8">
      <c r="A97" s="781" t="s">
        <v>547</v>
      </c>
      <c r="B97" s="780"/>
      <c r="C97" s="780"/>
      <c r="D97" s="780"/>
      <c r="E97" s="780"/>
      <c r="F97" s="780"/>
      <c r="G97" s="780"/>
      <c r="H97" s="780"/>
    </row>
    <row r="98" spans="1:8">
      <c r="A98" s="781" t="s">
        <v>548</v>
      </c>
      <c r="B98" s="780"/>
      <c r="C98" s="780"/>
      <c r="D98" s="780"/>
      <c r="E98" s="780"/>
      <c r="F98" s="780"/>
      <c r="G98" s="780"/>
      <c r="H98" s="780"/>
    </row>
    <row r="99" spans="1:8">
      <c r="A99" s="781" t="s">
        <v>549</v>
      </c>
      <c r="B99" s="780"/>
      <c r="C99" s="780"/>
      <c r="D99" s="780"/>
      <c r="E99" s="780"/>
      <c r="F99" s="780"/>
      <c r="G99" s="780"/>
      <c r="H99" s="780"/>
    </row>
    <row r="100" spans="1:8">
      <c r="A100" s="781" t="s">
        <v>550</v>
      </c>
      <c r="B100" s="780"/>
      <c r="C100" s="780"/>
      <c r="D100" s="780"/>
      <c r="E100" s="780"/>
      <c r="F100" s="780"/>
      <c r="G100" s="780"/>
      <c r="H100" s="780"/>
    </row>
    <row r="101" spans="1:8">
      <c r="A101" s="781" t="s">
        <v>551</v>
      </c>
      <c r="B101" s="780"/>
      <c r="C101" s="780"/>
      <c r="D101" s="780"/>
      <c r="E101" s="780"/>
      <c r="F101" s="780"/>
      <c r="G101" s="780"/>
      <c r="H101" s="780"/>
    </row>
    <row r="102" spans="1:8">
      <c r="A102" s="781" t="s">
        <v>552</v>
      </c>
      <c r="B102" s="780"/>
      <c r="C102" s="780"/>
      <c r="D102" s="780"/>
      <c r="E102" s="780"/>
      <c r="F102" s="780"/>
      <c r="G102" s="780"/>
      <c r="H102" s="780"/>
    </row>
    <row r="103" spans="1:8">
      <c r="A103" s="780"/>
      <c r="B103" s="780"/>
      <c r="C103" s="780"/>
      <c r="D103" s="780"/>
      <c r="E103" s="780"/>
      <c r="F103" s="780"/>
      <c r="G103" s="780"/>
      <c r="H103" s="780"/>
    </row>
    <row r="104" spans="1:8" ht="15.75">
      <c r="A104" s="783" t="s">
        <v>325</v>
      </c>
      <c r="B104" s="783"/>
      <c r="C104" s="783"/>
      <c r="D104" s="783"/>
      <c r="E104" s="783"/>
      <c r="F104" s="783"/>
      <c r="G104" s="783"/>
      <c r="H104" s="783"/>
    </row>
    <row r="105" spans="1:8">
      <c r="A105" s="784" t="s">
        <v>326</v>
      </c>
      <c r="B105" s="784"/>
      <c r="C105" s="784"/>
      <c r="D105" s="784"/>
      <c r="E105" s="784"/>
      <c r="F105" s="784"/>
      <c r="G105" s="784"/>
      <c r="H105" s="784"/>
    </row>
    <row r="106" spans="1:8">
      <c r="A106" s="785"/>
      <c r="B106" s="785"/>
      <c r="C106" s="785"/>
      <c r="D106" s="785"/>
      <c r="E106" s="785"/>
      <c r="F106" s="785"/>
      <c r="G106" s="785"/>
      <c r="H106" s="785"/>
    </row>
    <row r="107" spans="1:8">
      <c r="A107" s="784" t="s">
        <v>542</v>
      </c>
      <c r="B107" s="784"/>
      <c r="C107" s="784"/>
      <c r="D107" s="784"/>
      <c r="E107" s="784"/>
      <c r="F107" s="784"/>
      <c r="G107" s="784"/>
      <c r="H107" s="784"/>
    </row>
    <row r="108" spans="1:8">
      <c r="A108" s="781" t="s">
        <v>543</v>
      </c>
      <c r="B108" s="781"/>
      <c r="C108" s="781"/>
      <c r="D108" s="781"/>
      <c r="E108" s="781"/>
      <c r="F108" s="781"/>
      <c r="G108" s="781"/>
      <c r="H108" s="781"/>
    </row>
    <row r="109" spans="1:8">
      <c r="A109" s="785"/>
      <c r="B109" s="785"/>
      <c r="C109" s="785"/>
      <c r="D109" s="785"/>
      <c r="E109" s="785"/>
      <c r="F109" s="785"/>
      <c r="G109" s="785"/>
      <c r="H109" s="785"/>
    </row>
    <row r="110" spans="1:8">
      <c r="A110" s="784" t="s">
        <v>535</v>
      </c>
      <c r="B110" s="784"/>
      <c r="C110" s="784"/>
      <c r="D110" s="784"/>
      <c r="E110" s="784"/>
      <c r="F110" s="784"/>
      <c r="G110" s="784"/>
      <c r="H110" s="784"/>
    </row>
    <row r="111" spans="1:8">
      <c r="A111" s="781" t="s">
        <v>536</v>
      </c>
      <c r="B111" s="781"/>
      <c r="C111" s="781"/>
      <c r="D111" s="781"/>
      <c r="E111" s="781"/>
      <c r="F111" s="781"/>
      <c r="G111" s="781"/>
      <c r="H111" s="781"/>
    </row>
    <row r="112" spans="1:8">
      <c r="A112" s="781" t="s">
        <v>537</v>
      </c>
      <c r="B112" s="781"/>
      <c r="C112" s="781"/>
      <c r="D112" s="781"/>
      <c r="E112" s="781"/>
      <c r="F112" s="781"/>
      <c r="G112" s="781"/>
      <c r="H112" s="781"/>
    </row>
    <row r="113" spans="1:8">
      <c r="A113" s="781" t="s">
        <v>538</v>
      </c>
      <c r="B113" s="781"/>
      <c r="C113" s="781"/>
      <c r="D113" s="781"/>
      <c r="E113" s="781"/>
      <c r="F113" s="781"/>
      <c r="G113" s="781"/>
      <c r="H113" s="781"/>
    </row>
    <row r="114" spans="1:8">
      <c r="A114" s="781" t="s">
        <v>539</v>
      </c>
      <c r="B114" s="781"/>
      <c r="C114" s="781"/>
      <c r="D114" s="781"/>
      <c r="E114" s="781"/>
      <c r="F114" s="781"/>
      <c r="G114" s="781"/>
      <c r="H114" s="781"/>
    </row>
    <row r="115" spans="1:8">
      <c r="A115" s="781" t="s">
        <v>540</v>
      </c>
      <c r="B115" s="781"/>
      <c r="C115" s="781"/>
      <c r="D115" s="781"/>
      <c r="E115" s="781"/>
      <c r="F115" s="781"/>
      <c r="G115" s="781"/>
      <c r="H115" s="781"/>
    </row>
    <row r="116" spans="1:8">
      <c r="A116" s="781" t="s">
        <v>541</v>
      </c>
      <c r="B116" s="781"/>
      <c r="C116" s="781"/>
      <c r="D116" s="781"/>
      <c r="E116" s="781"/>
      <c r="F116" s="781"/>
      <c r="G116" s="781"/>
      <c r="H116" s="781"/>
    </row>
    <row r="117" spans="1:8">
      <c r="A117" s="786"/>
      <c r="B117" s="786"/>
      <c r="C117" s="786"/>
      <c r="D117" s="786"/>
      <c r="E117" s="786"/>
      <c r="F117" s="786"/>
      <c r="G117" s="786"/>
      <c r="H117" s="786"/>
    </row>
    <row r="118" spans="1:8">
      <c r="A118" s="787"/>
      <c r="B118" s="788" t="s">
        <v>327</v>
      </c>
      <c r="C118" s="789"/>
      <c r="D118" s="788" t="s">
        <v>328</v>
      </c>
      <c r="E118" s="790"/>
      <c r="F118" s="789"/>
      <c r="G118" s="788" t="s">
        <v>329</v>
      </c>
      <c r="H118" s="789"/>
    </row>
    <row r="119" spans="1:8">
      <c r="A119" s="787" t="s">
        <v>330</v>
      </c>
      <c r="B119" s="787" t="s">
        <v>248</v>
      </c>
      <c r="C119" s="787" t="s">
        <v>331</v>
      </c>
      <c r="D119" s="787" t="s">
        <v>248</v>
      </c>
      <c r="E119" s="787" t="s">
        <v>332</v>
      </c>
      <c r="F119" s="787" t="s">
        <v>333</v>
      </c>
      <c r="G119" s="787" t="s">
        <v>248</v>
      </c>
      <c r="H119" s="787" t="s">
        <v>334</v>
      </c>
    </row>
    <row r="120" spans="1:8">
      <c r="A120" s="787" t="s">
        <v>335</v>
      </c>
      <c r="B120" s="787">
        <v>1189</v>
      </c>
      <c r="C120" s="791">
        <v>0.38</v>
      </c>
      <c r="D120" s="787">
        <v>315</v>
      </c>
      <c r="E120" s="791">
        <v>0.41</v>
      </c>
      <c r="F120" s="791">
        <v>0.26</v>
      </c>
      <c r="G120" s="787">
        <v>555</v>
      </c>
      <c r="H120" s="791">
        <v>0.39</v>
      </c>
    </row>
    <row r="121" spans="1:8">
      <c r="A121" s="787" t="s">
        <v>336</v>
      </c>
      <c r="B121" s="787">
        <v>1355</v>
      </c>
      <c r="C121" s="791">
        <v>0.43</v>
      </c>
      <c r="D121" s="787">
        <v>364</v>
      </c>
      <c r="E121" s="791">
        <v>0.47</v>
      </c>
      <c r="F121" s="791">
        <v>0.27</v>
      </c>
      <c r="G121" s="787">
        <v>644</v>
      </c>
      <c r="H121" s="791">
        <v>0.45</v>
      </c>
    </row>
    <row r="122" spans="1:8">
      <c r="A122" s="787" t="s">
        <v>337</v>
      </c>
      <c r="B122" s="787">
        <v>53</v>
      </c>
      <c r="C122" s="791">
        <v>0.02</v>
      </c>
      <c r="D122" s="787">
        <v>4</v>
      </c>
      <c r="E122" s="791">
        <v>0.01</v>
      </c>
      <c r="F122" s="791">
        <v>0.08</v>
      </c>
      <c r="G122" s="787">
        <v>7</v>
      </c>
      <c r="H122" s="791">
        <v>0</v>
      </c>
    </row>
    <row r="123" spans="1:8">
      <c r="A123" s="787" t="s">
        <v>338</v>
      </c>
      <c r="B123" s="787">
        <v>545</v>
      </c>
      <c r="C123" s="791">
        <v>0.17</v>
      </c>
      <c r="D123" s="787">
        <v>84</v>
      </c>
      <c r="E123" s="791">
        <v>0.11</v>
      </c>
      <c r="F123" s="791">
        <v>0.15</v>
      </c>
      <c r="G123" s="787">
        <v>214</v>
      </c>
      <c r="H123" s="791">
        <v>0.15</v>
      </c>
    </row>
    <row r="124" spans="1:8">
      <c r="A124" s="787" t="s">
        <v>270</v>
      </c>
      <c r="B124" s="792">
        <v>3142</v>
      </c>
      <c r="C124" s="787"/>
      <c r="D124" s="787">
        <v>767</v>
      </c>
      <c r="E124" s="787"/>
      <c r="F124" s="787"/>
      <c r="G124" s="787">
        <v>1420</v>
      </c>
      <c r="H124" s="787"/>
    </row>
    <row r="125" spans="1:8">
      <c r="A125" s="793"/>
      <c r="B125" s="793"/>
      <c r="C125" s="793"/>
      <c r="D125" s="793"/>
      <c r="E125" s="793"/>
      <c r="F125" s="793"/>
      <c r="G125" s="793"/>
      <c r="H125" s="793"/>
    </row>
    <row r="126" spans="1:8">
      <c r="A126" s="784" t="s">
        <v>531</v>
      </c>
      <c r="B126" s="784"/>
      <c r="C126" s="784"/>
      <c r="D126" s="784"/>
      <c r="E126" s="784"/>
      <c r="F126" s="784"/>
      <c r="G126" s="784"/>
      <c r="H126" s="784"/>
    </row>
    <row r="127" spans="1:8">
      <c r="A127" s="781" t="s">
        <v>532</v>
      </c>
      <c r="B127" s="781"/>
      <c r="C127" s="781"/>
      <c r="D127" s="781"/>
      <c r="E127" s="781"/>
      <c r="F127" s="781"/>
      <c r="G127" s="781"/>
      <c r="H127" s="781"/>
    </row>
    <row r="128" spans="1:8">
      <c r="A128" s="781" t="s">
        <v>533</v>
      </c>
      <c r="B128" s="781"/>
      <c r="C128" s="781"/>
      <c r="D128" s="781"/>
      <c r="E128" s="781"/>
      <c r="F128" s="781"/>
      <c r="G128" s="781"/>
      <c r="H128" s="781"/>
    </row>
    <row r="129" spans="1:8">
      <c r="A129" s="781" t="s">
        <v>534</v>
      </c>
      <c r="B129" s="781"/>
      <c r="C129" s="781"/>
      <c r="D129" s="781"/>
      <c r="E129" s="781"/>
      <c r="F129" s="781"/>
      <c r="G129" s="781"/>
      <c r="H129" s="781"/>
    </row>
    <row r="130" spans="1:8">
      <c r="A130" s="780"/>
      <c r="B130" s="780"/>
      <c r="C130" s="780"/>
      <c r="D130" s="780"/>
      <c r="E130" s="780"/>
      <c r="F130" s="780"/>
      <c r="G130" s="780"/>
      <c r="H130" s="780"/>
    </row>
    <row r="131" spans="1:8" ht="15.75">
      <c r="A131" s="782" t="s">
        <v>339</v>
      </c>
      <c r="B131" s="780"/>
      <c r="C131" s="780"/>
      <c r="D131" s="780"/>
      <c r="E131" s="780"/>
      <c r="F131" s="780"/>
      <c r="G131" s="780"/>
      <c r="H131" s="780"/>
    </row>
    <row r="132" spans="1:8">
      <c r="A132" s="780"/>
      <c r="B132" s="780"/>
      <c r="C132" s="780"/>
      <c r="D132" s="780"/>
      <c r="E132" s="780"/>
      <c r="F132" s="780"/>
      <c r="G132" s="780"/>
      <c r="H132" s="780"/>
    </row>
    <row r="133" spans="1:8">
      <c r="A133" s="781" t="s">
        <v>529</v>
      </c>
      <c r="B133" s="780"/>
      <c r="C133" s="780"/>
      <c r="D133" s="780"/>
      <c r="E133" s="780"/>
      <c r="F133" s="780"/>
      <c r="G133" s="780"/>
      <c r="H133" s="780"/>
    </row>
    <row r="134" spans="1:8">
      <c r="A134" s="781" t="s">
        <v>530</v>
      </c>
      <c r="B134" s="780"/>
      <c r="C134" s="780"/>
      <c r="D134" s="780"/>
      <c r="E134" s="780"/>
      <c r="F134" s="780"/>
      <c r="G134" s="780"/>
      <c r="H134" s="780"/>
    </row>
    <row r="135" spans="1:8">
      <c r="A135" s="780"/>
      <c r="B135" s="780"/>
      <c r="C135" s="780"/>
      <c r="D135" s="780"/>
      <c r="E135" s="780"/>
      <c r="F135" s="780"/>
      <c r="G135" s="780"/>
      <c r="H135" s="780"/>
    </row>
    <row r="136" spans="1:8">
      <c r="A136" s="781" t="s">
        <v>526</v>
      </c>
      <c r="B136" s="780"/>
      <c r="C136" s="780"/>
      <c r="D136" s="780"/>
      <c r="E136" s="780"/>
      <c r="F136" s="780"/>
      <c r="G136" s="780"/>
      <c r="H136" s="780"/>
    </row>
    <row r="137" spans="1:8">
      <c r="A137" s="781" t="s">
        <v>527</v>
      </c>
      <c r="B137" s="780"/>
      <c r="C137" s="780"/>
      <c r="D137" s="780"/>
      <c r="E137" s="780"/>
      <c r="F137" s="780"/>
      <c r="G137" s="780"/>
      <c r="H137" s="780"/>
    </row>
    <row r="138" spans="1:8">
      <c r="A138" s="781" t="s">
        <v>528</v>
      </c>
      <c r="B138" s="780"/>
      <c r="C138" s="780"/>
      <c r="D138" s="780"/>
      <c r="E138" s="780"/>
      <c r="F138" s="780"/>
      <c r="G138" s="780"/>
      <c r="H138" s="780"/>
    </row>
    <row r="139" spans="1:8">
      <c r="A139" s="780"/>
      <c r="B139" s="780"/>
      <c r="C139" s="780"/>
      <c r="D139" s="780"/>
      <c r="E139" s="780"/>
      <c r="F139" s="780"/>
      <c r="G139" s="780"/>
      <c r="H139" s="780"/>
    </row>
    <row r="140" spans="1:8">
      <c r="A140" s="781" t="s">
        <v>523</v>
      </c>
      <c r="B140" s="780"/>
      <c r="C140" s="780"/>
      <c r="D140" s="780"/>
      <c r="E140" s="780"/>
      <c r="F140" s="780"/>
      <c r="G140" s="780"/>
      <c r="H140" s="780"/>
    </row>
    <row r="141" spans="1:8">
      <c r="A141" s="781" t="s">
        <v>524</v>
      </c>
      <c r="B141" s="780"/>
      <c r="C141" s="780"/>
      <c r="D141" s="780"/>
      <c r="E141" s="780"/>
      <c r="F141" s="780"/>
      <c r="G141" s="780"/>
      <c r="H141" s="780"/>
    </row>
    <row r="142" spans="1:8">
      <c r="A142" s="781" t="s">
        <v>525</v>
      </c>
      <c r="B142" s="780"/>
      <c r="C142" s="780"/>
      <c r="D142" s="780"/>
      <c r="E142" s="780"/>
      <c r="F142" s="780"/>
      <c r="G142" s="780"/>
      <c r="H142" s="780"/>
    </row>
    <row r="143" spans="1:8">
      <c r="A143" s="780"/>
      <c r="B143" s="780"/>
      <c r="C143" s="780"/>
      <c r="D143" s="780"/>
      <c r="E143" s="780"/>
      <c r="F143" s="780"/>
      <c r="G143" s="780"/>
      <c r="H143" s="780"/>
    </row>
    <row r="144" spans="1:8">
      <c r="A144" s="781" t="s">
        <v>520</v>
      </c>
      <c r="B144" s="780"/>
      <c r="C144" s="780"/>
      <c r="D144" s="780"/>
      <c r="E144" s="780"/>
      <c r="F144" s="780"/>
      <c r="G144" s="780"/>
      <c r="H144" s="780"/>
    </row>
    <row r="145" spans="1:8">
      <c r="A145" s="781" t="s">
        <v>521</v>
      </c>
      <c r="B145" s="780"/>
      <c r="C145" s="780"/>
      <c r="D145" s="780"/>
      <c r="E145" s="780"/>
      <c r="F145" s="780"/>
      <c r="G145" s="780"/>
      <c r="H145" s="780"/>
    </row>
    <row r="146" spans="1:8">
      <c r="A146" s="781" t="s">
        <v>522</v>
      </c>
      <c r="B146" s="780"/>
      <c r="C146" s="780"/>
      <c r="D146" s="780"/>
      <c r="E146" s="780"/>
      <c r="F146" s="780"/>
      <c r="G146" s="780"/>
      <c r="H146" s="780"/>
    </row>
    <row r="147" spans="1:8">
      <c r="A147" s="780"/>
      <c r="B147" s="780"/>
      <c r="C147" s="780"/>
      <c r="D147" s="780"/>
      <c r="E147" s="780"/>
      <c r="F147" s="780"/>
      <c r="G147" s="780"/>
      <c r="H147" s="780"/>
    </row>
    <row r="148" spans="1:8">
      <c r="A148" s="781" t="s">
        <v>518</v>
      </c>
      <c r="B148" s="780"/>
      <c r="C148" s="780"/>
      <c r="D148" s="780"/>
      <c r="E148" s="780"/>
      <c r="F148" s="780"/>
      <c r="G148" s="780"/>
      <c r="H148" s="780"/>
    </row>
    <row r="149" spans="1:8">
      <c r="A149" s="781" t="s">
        <v>519</v>
      </c>
      <c r="B149" s="780"/>
      <c r="C149" s="780"/>
      <c r="D149" s="780"/>
      <c r="E149" s="780"/>
      <c r="F149" s="780"/>
      <c r="G149" s="780"/>
      <c r="H149" s="780"/>
    </row>
    <row r="150" spans="1:8">
      <c r="A150" s="780"/>
      <c r="B150" s="780"/>
      <c r="C150" s="780"/>
      <c r="D150" s="780"/>
      <c r="E150" s="780"/>
      <c r="F150" s="780"/>
      <c r="G150" s="780"/>
      <c r="H150" s="780"/>
    </row>
    <row r="151" spans="1:8" ht="15.75">
      <c r="A151" s="782" t="s">
        <v>340</v>
      </c>
      <c r="B151" s="780"/>
      <c r="C151" s="780"/>
      <c r="D151" s="780"/>
      <c r="E151" s="780"/>
      <c r="F151" s="780"/>
      <c r="G151" s="780"/>
      <c r="H151" s="780"/>
    </row>
    <row r="152" spans="1:8">
      <c r="A152" s="780"/>
      <c r="B152" s="780"/>
      <c r="C152" s="780"/>
      <c r="D152" s="780"/>
      <c r="E152" s="780"/>
      <c r="F152" s="780"/>
      <c r="G152" s="780"/>
      <c r="H152" s="780"/>
    </row>
    <row r="153" spans="1:8">
      <c r="A153" s="781" t="s">
        <v>516</v>
      </c>
      <c r="B153" s="780"/>
      <c r="C153" s="780"/>
      <c r="D153" s="780"/>
      <c r="E153" s="780"/>
      <c r="F153" s="780"/>
      <c r="G153" s="780"/>
      <c r="H153" s="780"/>
    </row>
    <row r="154" spans="1:8">
      <c r="A154" s="781" t="s">
        <v>517</v>
      </c>
      <c r="B154" s="780"/>
      <c r="C154" s="780"/>
      <c r="D154" s="780"/>
      <c r="E154" s="780"/>
      <c r="F154" s="780"/>
      <c r="G154" s="780"/>
      <c r="H154" s="780"/>
    </row>
    <row r="155" spans="1:8">
      <c r="A155" s="780"/>
      <c r="B155" s="780"/>
      <c r="C155" s="780"/>
      <c r="D155" s="780"/>
      <c r="E155" s="780"/>
      <c r="F155" s="780"/>
      <c r="G155" s="780"/>
      <c r="H155" s="780"/>
    </row>
    <row r="156" spans="1:8">
      <c r="A156" s="781" t="s">
        <v>514</v>
      </c>
      <c r="B156" s="780"/>
      <c r="C156" s="780"/>
      <c r="D156" s="780"/>
      <c r="E156" s="780"/>
      <c r="F156" s="780"/>
      <c r="G156" s="780"/>
      <c r="H156" s="780"/>
    </row>
    <row r="157" spans="1:8">
      <c r="A157" s="781" t="s">
        <v>515</v>
      </c>
      <c r="B157" s="780"/>
      <c r="C157" s="780"/>
      <c r="D157" s="780"/>
      <c r="E157" s="780"/>
      <c r="F157" s="780"/>
      <c r="G157" s="780"/>
      <c r="H157" s="780"/>
    </row>
    <row r="158" spans="1:8">
      <c r="A158" s="780"/>
      <c r="B158" s="780"/>
      <c r="C158" s="780"/>
      <c r="D158" s="780"/>
      <c r="E158" s="780"/>
      <c r="F158" s="780"/>
      <c r="G158" s="780"/>
      <c r="H158" s="780"/>
    </row>
    <row r="159" spans="1:8">
      <c r="A159" s="781" t="s">
        <v>512</v>
      </c>
      <c r="B159" s="780"/>
      <c r="C159" s="780"/>
      <c r="D159" s="780"/>
      <c r="E159" s="780"/>
      <c r="F159" s="780"/>
      <c r="G159" s="780"/>
      <c r="H159" s="780"/>
    </row>
    <row r="160" spans="1:8">
      <c r="A160" s="781" t="s">
        <v>513</v>
      </c>
      <c r="B160" s="780"/>
      <c r="C160" s="780"/>
      <c r="D160" s="780"/>
      <c r="E160" s="780"/>
      <c r="F160" s="780"/>
      <c r="G160" s="780"/>
      <c r="H160" s="780"/>
    </row>
    <row r="161" spans="1:8">
      <c r="A161" s="780"/>
      <c r="B161" s="780"/>
      <c r="C161" s="780"/>
      <c r="D161" s="780"/>
      <c r="E161" s="780"/>
      <c r="F161" s="780"/>
      <c r="G161" s="780"/>
      <c r="H161" s="780"/>
    </row>
    <row r="162" spans="1:8">
      <c r="A162" s="781" t="s">
        <v>509</v>
      </c>
      <c r="B162" s="780"/>
      <c r="C162" s="780"/>
      <c r="D162" s="780"/>
      <c r="E162" s="780"/>
      <c r="F162" s="780"/>
      <c r="G162" s="780"/>
      <c r="H162" s="780"/>
    </row>
    <row r="163" spans="1:8">
      <c r="A163" s="781" t="s">
        <v>510</v>
      </c>
      <c r="B163" s="780"/>
      <c r="C163" s="780"/>
      <c r="D163" s="780"/>
      <c r="E163" s="780"/>
      <c r="F163" s="780"/>
      <c r="G163" s="780"/>
      <c r="H163" s="780"/>
    </row>
    <row r="164" spans="1:8">
      <c r="A164" s="781" t="s">
        <v>511</v>
      </c>
      <c r="B164" s="780"/>
      <c r="C164" s="780"/>
      <c r="D164" s="780"/>
      <c r="E164" s="780"/>
      <c r="F164" s="780"/>
      <c r="G164" s="780"/>
      <c r="H164" s="780"/>
    </row>
    <row r="165" spans="1:8">
      <c r="A165" s="780"/>
      <c r="B165" s="780"/>
      <c r="C165" s="780"/>
      <c r="D165" s="780"/>
      <c r="E165" s="780"/>
      <c r="F165" s="780"/>
      <c r="G165" s="780"/>
      <c r="H165" s="780"/>
    </row>
    <row r="166" spans="1:8">
      <c r="A166" s="780"/>
      <c r="B166" s="780"/>
      <c r="C166" s="780"/>
      <c r="D166" s="780"/>
      <c r="E166" s="780"/>
      <c r="F166" s="780"/>
      <c r="G166" s="780"/>
      <c r="H166" s="780"/>
    </row>
    <row r="167" spans="1:8">
      <c r="A167" s="781" t="s">
        <v>341</v>
      </c>
      <c r="B167" s="780"/>
      <c r="C167" s="780"/>
      <c r="D167" s="780"/>
      <c r="E167" s="780"/>
      <c r="F167" s="780"/>
      <c r="G167" s="780"/>
      <c r="H167" s="780"/>
    </row>
    <row r="168" spans="1:8">
      <c r="A168" s="780"/>
      <c r="B168" s="780"/>
      <c r="C168" s="780"/>
      <c r="D168" s="780"/>
      <c r="E168" s="780"/>
      <c r="F168" s="780"/>
      <c r="G168" s="780"/>
      <c r="H168" s="780"/>
    </row>
    <row r="169" spans="1:8" ht="15.75">
      <c r="A169" s="782" t="s">
        <v>342</v>
      </c>
      <c r="B169" s="780"/>
      <c r="C169" s="780"/>
      <c r="D169" s="780"/>
      <c r="E169" s="780"/>
      <c r="F169" s="780"/>
      <c r="G169" s="780"/>
      <c r="H169" s="780"/>
    </row>
    <row r="170" spans="1:8">
      <c r="A170" s="780"/>
      <c r="B170" s="780"/>
      <c r="C170" s="780"/>
      <c r="D170" s="780"/>
      <c r="E170" s="780"/>
      <c r="F170" s="780"/>
      <c r="G170" s="780"/>
      <c r="H170" s="780"/>
    </row>
    <row r="171" spans="1:8">
      <c r="A171" s="780"/>
      <c r="B171" s="780"/>
      <c r="C171" s="780"/>
      <c r="D171" s="780"/>
      <c r="E171" s="780"/>
      <c r="F171" s="780"/>
      <c r="G171" s="780"/>
      <c r="H171" s="780"/>
    </row>
    <row r="172" spans="1:8">
      <c r="A172" s="780"/>
      <c r="B172" s="780"/>
      <c r="C172" s="780"/>
      <c r="D172" s="780"/>
      <c r="E172" s="780"/>
      <c r="F172" s="780"/>
      <c r="G172" s="780"/>
      <c r="H172" s="780"/>
    </row>
    <row r="173" spans="1:8">
      <c r="A173" s="780"/>
      <c r="B173" s="780"/>
      <c r="C173" s="780"/>
      <c r="D173" s="780"/>
      <c r="E173" s="780"/>
      <c r="F173" s="780"/>
      <c r="G173" s="780"/>
      <c r="H173" s="780"/>
    </row>
    <row r="174" spans="1:8">
      <c r="A174" s="780"/>
      <c r="B174" s="780"/>
      <c r="C174" s="780"/>
      <c r="D174" s="780"/>
      <c r="E174" s="780"/>
      <c r="F174" s="780"/>
      <c r="G174" s="780"/>
      <c r="H174" s="780"/>
    </row>
    <row r="175" spans="1:8">
      <c r="A175" s="780"/>
      <c r="B175" s="780"/>
      <c r="C175" s="780"/>
      <c r="D175" s="780"/>
      <c r="E175" s="780"/>
      <c r="F175" s="780"/>
      <c r="G175" s="780"/>
      <c r="H175" s="780"/>
    </row>
    <row r="176" spans="1:8">
      <c r="A176" s="780"/>
      <c r="B176" s="780"/>
      <c r="C176" s="780"/>
      <c r="D176" s="780"/>
      <c r="E176" s="780"/>
      <c r="F176" s="780"/>
      <c r="G176" s="780"/>
      <c r="H176" s="780"/>
    </row>
    <row r="177" spans="1:8">
      <c r="A177" s="780"/>
      <c r="B177" s="780"/>
      <c r="C177" s="780"/>
      <c r="D177" s="780"/>
      <c r="E177" s="780"/>
      <c r="F177" s="780"/>
      <c r="G177" s="780"/>
      <c r="H177" s="780"/>
    </row>
    <row r="178" spans="1:8">
      <c r="A178" s="780"/>
      <c r="B178" s="780"/>
      <c r="C178" s="780"/>
      <c r="D178" s="780"/>
      <c r="E178" s="780"/>
      <c r="F178" s="780"/>
      <c r="G178" s="780"/>
      <c r="H178" s="780"/>
    </row>
    <row r="179" spans="1:8">
      <c r="A179" s="780"/>
      <c r="B179" s="780"/>
      <c r="C179" s="780"/>
      <c r="D179" s="780"/>
      <c r="E179" s="780"/>
      <c r="F179" s="780"/>
      <c r="G179" s="780"/>
      <c r="H179" s="780"/>
    </row>
    <row r="180" spans="1:8">
      <c r="A180" s="780"/>
      <c r="B180" s="780"/>
      <c r="C180" s="780"/>
      <c r="D180" s="780"/>
      <c r="E180" s="780"/>
      <c r="F180" s="780"/>
      <c r="G180" s="780"/>
      <c r="H180" s="780"/>
    </row>
    <row r="181" spans="1:8">
      <c r="A181" s="780"/>
      <c r="B181" s="780"/>
      <c r="C181" s="780"/>
      <c r="D181" s="780"/>
      <c r="E181" s="780"/>
      <c r="F181" s="780"/>
      <c r="G181" s="780"/>
      <c r="H181" s="780"/>
    </row>
    <row r="182" spans="1:8">
      <c r="A182" s="780"/>
      <c r="B182" s="780"/>
      <c r="C182" s="780"/>
      <c r="D182" s="780"/>
      <c r="E182" s="780"/>
      <c r="F182" s="780"/>
      <c r="G182" s="780"/>
      <c r="H182" s="780"/>
    </row>
    <row r="183" spans="1:8">
      <c r="A183" s="780"/>
      <c r="B183" s="780"/>
      <c r="C183" s="780"/>
      <c r="D183" s="780"/>
      <c r="E183" s="780"/>
      <c r="F183" s="780"/>
      <c r="G183" s="780"/>
      <c r="H183" s="780"/>
    </row>
    <row r="184" spans="1:8">
      <c r="A184" s="780"/>
      <c r="B184" s="780"/>
      <c r="C184" s="780"/>
      <c r="D184" s="780"/>
      <c r="E184" s="780"/>
      <c r="F184" s="780"/>
      <c r="G184" s="780"/>
      <c r="H184" s="780"/>
    </row>
    <row r="185" spans="1:8">
      <c r="A185" s="780"/>
      <c r="B185" s="780"/>
      <c r="C185" s="780"/>
      <c r="D185" s="780"/>
      <c r="E185" s="780"/>
      <c r="F185" s="780"/>
      <c r="G185" s="780"/>
      <c r="H185" s="780"/>
    </row>
    <row r="186" spans="1:8">
      <c r="A186" s="780"/>
      <c r="B186" s="780"/>
      <c r="C186" s="780"/>
      <c r="D186" s="780"/>
      <c r="E186" s="780"/>
      <c r="F186" s="780"/>
      <c r="G186" s="780"/>
      <c r="H186" s="780"/>
    </row>
    <row r="187" spans="1:8">
      <c r="A187" s="780"/>
      <c r="B187" s="780"/>
      <c r="C187" s="780"/>
      <c r="D187" s="780"/>
      <c r="E187" s="780"/>
      <c r="F187" s="780"/>
      <c r="G187" s="780"/>
      <c r="H187" s="780"/>
    </row>
    <row r="188" spans="1:8">
      <c r="A188" s="780"/>
      <c r="B188" s="780"/>
      <c r="C188" s="780"/>
      <c r="D188" s="780"/>
      <c r="E188" s="780"/>
      <c r="F188" s="780"/>
      <c r="G188" s="780"/>
      <c r="H188" s="780"/>
    </row>
    <row r="189" spans="1:8">
      <c r="A189" s="780"/>
      <c r="B189" s="780"/>
      <c r="C189" s="780"/>
      <c r="D189" s="780"/>
      <c r="E189" s="780"/>
      <c r="F189" s="780"/>
      <c r="G189" s="780"/>
      <c r="H189" s="780"/>
    </row>
    <row r="190" spans="1:8">
      <c r="A190" s="780"/>
      <c r="B190" s="780"/>
      <c r="C190" s="780"/>
      <c r="D190" s="780"/>
      <c r="E190" s="780"/>
      <c r="F190" s="780"/>
      <c r="G190" s="780"/>
      <c r="H190" s="780"/>
    </row>
    <row r="191" spans="1:8">
      <c r="A191" s="780"/>
      <c r="B191" s="780"/>
      <c r="C191" s="780"/>
      <c r="D191" s="780"/>
      <c r="E191" s="780"/>
      <c r="F191" s="780"/>
      <c r="G191" s="780"/>
      <c r="H191" s="780"/>
    </row>
    <row r="192" spans="1:8">
      <c r="A192" s="780"/>
      <c r="B192" s="780"/>
      <c r="C192" s="780"/>
      <c r="D192" s="780"/>
      <c r="E192" s="780"/>
      <c r="F192" s="780"/>
      <c r="G192" s="780"/>
      <c r="H192" s="780"/>
    </row>
    <row r="193" spans="1:8">
      <c r="A193" s="780"/>
      <c r="B193" s="780"/>
      <c r="C193" s="780"/>
      <c r="D193" s="780"/>
      <c r="E193" s="780"/>
      <c r="F193" s="780"/>
      <c r="G193" s="780"/>
      <c r="H193" s="780"/>
    </row>
    <row r="194" spans="1:8">
      <c r="A194" s="780"/>
      <c r="B194" s="780"/>
      <c r="C194" s="780"/>
      <c r="D194" s="780"/>
      <c r="E194" s="780"/>
      <c r="F194" s="780"/>
      <c r="G194" s="780"/>
      <c r="H194" s="780"/>
    </row>
    <row r="195" spans="1:8">
      <c r="A195" s="780"/>
      <c r="B195" s="780"/>
      <c r="C195" s="780"/>
      <c r="D195" s="780"/>
      <c r="E195" s="780"/>
      <c r="F195" s="780"/>
      <c r="G195" s="780"/>
      <c r="H195" s="780"/>
    </row>
    <row r="196" spans="1:8" ht="15.75">
      <c r="A196" s="782" t="s">
        <v>343</v>
      </c>
      <c r="B196" s="780"/>
      <c r="C196" s="780"/>
      <c r="D196" s="780"/>
      <c r="E196" s="780"/>
      <c r="F196" s="780"/>
      <c r="G196" s="780"/>
      <c r="H196" s="780"/>
    </row>
    <row r="197" spans="1:8">
      <c r="A197" s="780"/>
      <c r="B197" s="780"/>
      <c r="C197" s="780"/>
      <c r="D197" s="780"/>
      <c r="E197" s="780"/>
      <c r="F197" s="780"/>
      <c r="G197" s="780"/>
      <c r="H197" s="780"/>
    </row>
    <row r="198" spans="1:8">
      <c r="A198" s="781" t="s">
        <v>504</v>
      </c>
      <c r="B198" s="780"/>
      <c r="C198" s="780"/>
      <c r="D198" s="780"/>
      <c r="E198" s="780"/>
      <c r="F198" s="780"/>
      <c r="G198" s="780"/>
      <c r="H198" s="780"/>
    </row>
    <row r="199" spans="1:8">
      <c r="A199" s="781" t="s">
        <v>505</v>
      </c>
      <c r="B199" s="780"/>
      <c r="C199" s="780"/>
      <c r="D199" s="780"/>
      <c r="E199" s="780"/>
      <c r="F199" s="780"/>
      <c r="G199" s="780"/>
      <c r="H199" s="780"/>
    </row>
    <row r="200" spans="1:8">
      <c r="A200" s="781" t="s">
        <v>506</v>
      </c>
      <c r="B200" s="780"/>
      <c r="C200" s="780"/>
      <c r="D200" s="780"/>
      <c r="E200" s="780"/>
      <c r="F200" s="780"/>
      <c r="G200" s="780"/>
      <c r="H200" s="780"/>
    </row>
    <row r="201" spans="1:8">
      <c r="A201" s="781" t="s">
        <v>507</v>
      </c>
      <c r="B201" s="780"/>
      <c r="C201" s="780"/>
      <c r="D201" s="780"/>
      <c r="E201" s="780"/>
      <c r="F201" s="780"/>
      <c r="G201" s="780"/>
      <c r="H201" s="780"/>
    </row>
    <row r="202" spans="1:8">
      <c r="A202" s="781" t="s">
        <v>508</v>
      </c>
      <c r="B202" s="780"/>
      <c r="C202" s="780"/>
      <c r="D202" s="780"/>
      <c r="E202" s="780"/>
      <c r="F202" s="780"/>
      <c r="G202" s="780"/>
      <c r="H202" s="780"/>
    </row>
    <row r="203" spans="1:8">
      <c r="A203" s="780"/>
      <c r="B203" s="780"/>
      <c r="C203" s="780"/>
      <c r="D203" s="780"/>
      <c r="E203" s="780"/>
      <c r="F203" s="780"/>
      <c r="G203" s="780"/>
      <c r="H203" s="780"/>
    </row>
    <row r="204" spans="1:8">
      <c r="A204" s="781" t="s">
        <v>501</v>
      </c>
      <c r="B204" s="780"/>
      <c r="C204" s="780"/>
      <c r="D204" s="780"/>
      <c r="E204" s="780"/>
      <c r="F204" s="780"/>
      <c r="G204" s="780"/>
      <c r="H204" s="780"/>
    </row>
    <row r="205" spans="1:8">
      <c r="A205" s="781" t="s">
        <v>502</v>
      </c>
      <c r="B205" s="780"/>
      <c r="C205" s="780"/>
      <c r="D205" s="780"/>
      <c r="E205" s="780"/>
      <c r="F205" s="780"/>
      <c r="G205" s="780"/>
      <c r="H205" s="780"/>
    </row>
    <row r="206" spans="1:8">
      <c r="A206" s="781" t="s">
        <v>503</v>
      </c>
      <c r="B206" s="780"/>
      <c r="C206" s="780"/>
      <c r="D206" s="780"/>
      <c r="E206" s="780"/>
      <c r="F206" s="780"/>
      <c r="G206" s="780"/>
      <c r="H206" s="780"/>
    </row>
    <row r="207" spans="1:8" ht="15.75">
      <c r="A207" s="782" t="s">
        <v>344</v>
      </c>
      <c r="B207" s="780"/>
      <c r="C207" s="780"/>
      <c r="D207" s="780"/>
      <c r="E207" s="780"/>
      <c r="F207" s="780"/>
      <c r="G207" s="780"/>
      <c r="H207" s="780"/>
    </row>
    <row r="208" spans="1:8">
      <c r="A208" s="780"/>
      <c r="B208" s="780"/>
      <c r="C208" s="780"/>
      <c r="D208" s="780"/>
      <c r="E208" s="780"/>
      <c r="F208" s="780"/>
      <c r="G208" s="780"/>
      <c r="H208" s="780"/>
    </row>
    <row r="209" spans="1:8">
      <c r="A209" s="781" t="s">
        <v>499</v>
      </c>
      <c r="B209" s="780"/>
      <c r="C209" s="780"/>
      <c r="D209" s="780"/>
      <c r="E209" s="780"/>
      <c r="F209" s="780"/>
      <c r="G209" s="780"/>
      <c r="H209" s="780"/>
    </row>
    <row r="210" spans="1:8">
      <c r="A210" s="781" t="s">
        <v>500</v>
      </c>
      <c r="B210" s="780"/>
      <c r="C210" s="780"/>
      <c r="D210" s="780"/>
      <c r="E210" s="780"/>
      <c r="F210" s="780"/>
      <c r="G210" s="780"/>
      <c r="H210" s="780"/>
    </row>
    <row r="211" spans="1:8">
      <c r="A211" s="780"/>
      <c r="B211" s="780"/>
      <c r="C211" s="780"/>
      <c r="D211" s="780"/>
      <c r="E211" s="780"/>
      <c r="F211" s="780"/>
      <c r="G211" s="780"/>
      <c r="H211" s="780"/>
    </row>
    <row r="212" spans="1:8">
      <c r="A212" s="781" t="s">
        <v>492</v>
      </c>
      <c r="B212" s="780"/>
      <c r="C212" s="780"/>
      <c r="D212" s="780"/>
      <c r="E212" s="780"/>
      <c r="F212" s="780"/>
      <c r="G212" s="780"/>
      <c r="H212" s="780"/>
    </row>
    <row r="213" spans="1:8">
      <c r="A213" s="781" t="s">
        <v>493</v>
      </c>
      <c r="B213" s="780"/>
      <c r="C213" s="780"/>
      <c r="D213" s="780"/>
      <c r="E213" s="780"/>
      <c r="F213" s="780"/>
      <c r="G213" s="780"/>
      <c r="H213" s="780"/>
    </row>
    <row r="214" spans="1:8">
      <c r="A214" s="781" t="s">
        <v>494</v>
      </c>
      <c r="B214" s="780"/>
      <c r="C214" s="780"/>
      <c r="D214" s="780"/>
      <c r="E214" s="780"/>
      <c r="F214" s="780"/>
      <c r="G214" s="780"/>
      <c r="H214" s="780"/>
    </row>
    <row r="215" spans="1:8">
      <c r="A215" s="781" t="s">
        <v>495</v>
      </c>
      <c r="B215" s="780"/>
      <c r="C215" s="780"/>
      <c r="D215" s="780"/>
      <c r="E215" s="780"/>
      <c r="F215" s="780"/>
      <c r="G215" s="780"/>
      <c r="H215" s="780"/>
    </row>
    <row r="216" spans="1:8">
      <c r="A216" s="781" t="s">
        <v>496</v>
      </c>
      <c r="B216" s="780"/>
      <c r="C216" s="780"/>
      <c r="D216" s="780"/>
      <c r="E216" s="780"/>
      <c r="F216" s="780"/>
      <c r="G216" s="780"/>
      <c r="H216" s="780"/>
    </row>
    <row r="217" spans="1:8">
      <c r="A217" s="781" t="s">
        <v>497</v>
      </c>
      <c r="B217" s="780"/>
      <c r="C217" s="780"/>
      <c r="D217" s="780"/>
      <c r="E217" s="780"/>
      <c r="F217" s="780"/>
      <c r="G217" s="780"/>
      <c r="H217" s="780"/>
    </row>
    <row r="218" spans="1:8">
      <c r="A218" s="781" t="s">
        <v>498</v>
      </c>
      <c r="B218" s="780"/>
      <c r="C218" s="780"/>
      <c r="D218" s="780"/>
      <c r="E218" s="780"/>
      <c r="F218" s="780"/>
      <c r="G218" s="780"/>
      <c r="H218" s="780"/>
    </row>
    <row r="219" spans="1:8">
      <c r="A219" s="780"/>
      <c r="B219" s="780"/>
      <c r="C219" s="780"/>
      <c r="D219" s="780"/>
      <c r="E219" s="780"/>
      <c r="F219" s="780"/>
      <c r="G219" s="780"/>
      <c r="H219" s="780"/>
    </row>
    <row r="220" spans="1:8">
      <c r="A220" s="781" t="s">
        <v>489</v>
      </c>
      <c r="B220" s="780"/>
      <c r="C220" s="780"/>
      <c r="D220" s="780"/>
      <c r="E220" s="780"/>
      <c r="F220" s="780"/>
      <c r="G220" s="780"/>
      <c r="H220" s="780"/>
    </row>
    <row r="221" spans="1:8">
      <c r="A221" s="781" t="s">
        <v>490</v>
      </c>
      <c r="B221" s="780"/>
      <c r="C221" s="780"/>
      <c r="D221" s="780"/>
      <c r="E221" s="780"/>
      <c r="F221" s="780"/>
      <c r="G221" s="780"/>
      <c r="H221" s="780"/>
    </row>
    <row r="222" spans="1:8">
      <c r="A222" s="781" t="s">
        <v>491</v>
      </c>
      <c r="B222" s="780"/>
      <c r="C222" s="780"/>
      <c r="D222" s="780"/>
      <c r="E222" s="780"/>
      <c r="F222" s="780"/>
      <c r="G222" s="780"/>
      <c r="H222" s="780"/>
    </row>
    <row r="223" spans="1:8">
      <c r="A223" s="780"/>
      <c r="B223" s="780"/>
      <c r="C223" s="780"/>
      <c r="D223" s="780"/>
      <c r="E223" s="780"/>
      <c r="F223" s="780"/>
      <c r="G223" s="780"/>
      <c r="H223" s="780"/>
    </row>
    <row r="224" spans="1:8">
      <c r="A224" s="781" t="s">
        <v>484</v>
      </c>
      <c r="B224" s="780"/>
      <c r="C224" s="780"/>
      <c r="D224" s="780"/>
      <c r="E224" s="780"/>
      <c r="F224" s="780"/>
      <c r="G224" s="780"/>
      <c r="H224" s="780"/>
    </row>
    <row r="225" spans="1:8">
      <c r="A225" s="781" t="s">
        <v>485</v>
      </c>
      <c r="B225" s="780"/>
      <c r="C225" s="780"/>
      <c r="D225" s="780"/>
      <c r="E225" s="780"/>
      <c r="F225" s="780"/>
      <c r="G225" s="780"/>
      <c r="H225" s="780"/>
    </row>
    <row r="226" spans="1:8">
      <c r="A226" s="781" t="s">
        <v>486</v>
      </c>
      <c r="B226" s="780"/>
      <c r="C226" s="780"/>
      <c r="D226" s="780"/>
      <c r="E226" s="780"/>
      <c r="F226" s="780"/>
      <c r="G226" s="780"/>
      <c r="H226" s="780"/>
    </row>
    <row r="227" spans="1:8">
      <c r="A227" s="781" t="s">
        <v>487</v>
      </c>
      <c r="B227" s="780"/>
      <c r="C227" s="780"/>
      <c r="D227" s="780"/>
      <c r="E227" s="780"/>
      <c r="F227" s="780"/>
      <c r="G227" s="780"/>
      <c r="H227" s="780"/>
    </row>
    <row r="228" spans="1:8">
      <c r="A228" s="781" t="s">
        <v>488</v>
      </c>
      <c r="B228" s="780"/>
      <c r="C228" s="780"/>
      <c r="D228" s="780"/>
      <c r="E228" s="780"/>
      <c r="F228" s="780"/>
      <c r="G228" s="780"/>
      <c r="H228" s="780"/>
    </row>
    <row r="229" spans="1:8">
      <c r="A229" s="780"/>
      <c r="B229" s="780"/>
      <c r="C229" s="780"/>
      <c r="D229" s="780"/>
      <c r="E229" s="780"/>
      <c r="F229" s="780"/>
      <c r="G229" s="780"/>
      <c r="H229" s="780"/>
    </row>
    <row r="230" spans="1:8">
      <c r="A230" s="781" t="s">
        <v>478</v>
      </c>
      <c r="B230" s="780"/>
      <c r="C230" s="780"/>
      <c r="D230" s="780"/>
      <c r="E230" s="780"/>
      <c r="F230" s="780"/>
      <c r="G230" s="780"/>
      <c r="H230" s="780"/>
    </row>
    <row r="231" spans="1:8">
      <c r="A231" s="781" t="s">
        <v>479</v>
      </c>
      <c r="B231" s="780"/>
      <c r="C231" s="780"/>
      <c r="D231" s="780"/>
      <c r="E231" s="780"/>
      <c r="F231" s="780"/>
      <c r="G231" s="780"/>
      <c r="H231" s="780"/>
    </row>
    <row r="232" spans="1:8">
      <c r="A232" s="781" t="s">
        <v>480</v>
      </c>
      <c r="B232" s="780"/>
      <c r="C232" s="780"/>
      <c r="D232" s="780"/>
      <c r="E232" s="780"/>
      <c r="F232" s="780"/>
      <c r="G232" s="780"/>
      <c r="H232" s="780"/>
    </row>
    <row r="233" spans="1:8">
      <c r="A233" s="781" t="s">
        <v>481</v>
      </c>
      <c r="B233" s="780"/>
      <c r="C233" s="780"/>
      <c r="D233" s="780"/>
      <c r="E233" s="780"/>
      <c r="F233" s="780"/>
      <c r="G233" s="780"/>
      <c r="H233" s="780"/>
    </row>
    <row r="234" spans="1:8">
      <c r="A234" s="781" t="s">
        <v>482</v>
      </c>
      <c r="B234" s="780"/>
      <c r="C234" s="780"/>
      <c r="D234" s="780"/>
      <c r="E234" s="780"/>
      <c r="F234" s="780"/>
      <c r="G234" s="780"/>
      <c r="H234" s="780"/>
    </row>
    <row r="235" spans="1:8">
      <c r="A235" s="781" t="s">
        <v>483</v>
      </c>
      <c r="B235" s="780"/>
      <c r="C235" s="780"/>
      <c r="D235" s="780"/>
      <c r="E235" s="780"/>
      <c r="F235" s="780"/>
      <c r="G235" s="780"/>
      <c r="H235" s="780"/>
    </row>
    <row r="236" spans="1:8">
      <c r="A236" s="780"/>
      <c r="B236" s="780"/>
      <c r="C236" s="780"/>
      <c r="D236" s="780"/>
      <c r="E236" s="780"/>
      <c r="F236" s="780"/>
      <c r="G236" s="780"/>
      <c r="H236" s="780"/>
    </row>
    <row r="237" spans="1:8">
      <c r="A237" s="781" t="s">
        <v>468</v>
      </c>
      <c r="B237" s="780"/>
      <c r="C237" s="780"/>
      <c r="D237" s="780"/>
      <c r="E237" s="780"/>
      <c r="F237" s="780"/>
      <c r="G237" s="780"/>
      <c r="H237" s="780"/>
    </row>
    <row r="238" spans="1:8">
      <c r="A238" s="781" t="s">
        <v>469</v>
      </c>
      <c r="B238" s="780"/>
      <c r="C238" s="780"/>
      <c r="D238" s="780"/>
      <c r="E238" s="780"/>
      <c r="F238" s="780"/>
      <c r="G238" s="780"/>
      <c r="H238" s="780"/>
    </row>
    <row r="239" spans="1:8">
      <c r="A239" s="781" t="s">
        <v>470</v>
      </c>
      <c r="B239" s="780"/>
      <c r="C239" s="780"/>
      <c r="D239" s="780"/>
      <c r="E239" s="780"/>
      <c r="F239" s="780"/>
      <c r="G239" s="780"/>
      <c r="H239" s="780"/>
    </row>
    <row r="240" spans="1:8">
      <c r="A240" s="781" t="s">
        <v>471</v>
      </c>
      <c r="B240" s="780"/>
      <c r="C240" s="780"/>
      <c r="D240" s="780"/>
      <c r="E240" s="780"/>
      <c r="F240" s="780"/>
      <c r="G240" s="780"/>
      <c r="H240" s="780"/>
    </row>
    <row r="241" spans="1:8">
      <c r="A241" s="781" t="s">
        <v>472</v>
      </c>
      <c r="B241" s="780"/>
      <c r="C241" s="780"/>
      <c r="D241" s="780"/>
      <c r="E241" s="780"/>
      <c r="F241" s="780"/>
      <c r="G241" s="780"/>
      <c r="H241" s="780"/>
    </row>
    <row r="242" spans="1:8">
      <c r="A242" s="781" t="s">
        <v>473</v>
      </c>
      <c r="B242" s="780"/>
      <c r="C242" s="780"/>
      <c r="D242" s="780"/>
      <c r="E242" s="780"/>
      <c r="F242" s="780"/>
      <c r="G242" s="780"/>
      <c r="H242" s="780"/>
    </row>
    <row r="243" spans="1:8">
      <c r="A243" s="781" t="s">
        <v>474</v>
      </c>
      <c r="B243" s="780"/>
      <c r="C243" s="780"/>
      <c r="D243" s="780"/>
      <c r="E243" s="780"/>
      <c r="F243" s="780"/>
      <c r="G243" s="780"/>
      <c r="H243" s="780"/>
    </row>
    <row r="244" spans="1:8">
      <c r="A244" s="781" t="s">
        <v>475</v>
      </c>
      <c r="B244" s="780"/>
      <c r="C244" s="780"/>
      <c r="D244" s="780"/>
      <c r="E244" s="780"/>
      <c r="F244" s="780"/>
      <c r="G244" s="780"/>
      <c r="H244" s="780"/>
    </row>
    <row r="245" spans="1:8">
      <c r="A245" s="781" t="s">
        <v>476</v>
      </c>
      <c r="B245" s="780"/>
      <c r="C245" s="780"/>
      <c r="D245" s="780"/>
      <c r="E245" s="780"/>
      <c r="F245" s="780"/>
      <c r="G245" s="780"/>
      <c r="H245" s="780"/>
    </row>
    <row r="246" spans="1:8">
      <c r="A246" s="781" t="s">
        <v>477</v>
      </c>
      <c r="B246" s="780"/>
      <c r="C246" s="780"/>
      <c r="D246" s="780"/>
      <c r="E246" s="780"/>
      <c r="F246" s="780"/>
      <c r="G246" s="780"/>
      <c r="H246" s="780"/>
    </row>
    <row r="247" spans="1:8">
      <c r="A247" s="780"/>
      <c r="B247" s="780"/>
      <c r="C247" s="780"/>
      <c r="D247" s="780"/>
      <c r="E247" s="780"/>
      <c r="F247" s="780"/>
      <c r="G247" s="780"/>
      <c r="H247" s="780"/>
    </row>
    <row r="248" spans="1:8">
      <c r="A248" s="781" t="s">
        <v>466</v>
      </c>
      <c r="B248" s="780"/>
      <c r="C248" s="780"/>
      <c r="D248" s="780"/>
      <c r="E248" s="780"/>
      <c r="F248" s="780"/>
      <c r="G248" s="780"/>
      <c r="H248" s="780"/>
    </row>
    <row r="249" spans="1:8">
      <c r="A249" s="781" t="s">
        <v>467</v>
      </c>
      <c r="B249" s="780"/>
      <c r="C249" s="780"/>
      <c r="D249" s="780"/>
      <c r="E249" s="780"/>
      <c r="F249" s="780"/>
      <c r="G249" s="780"/>
      <c r="H249" s="780"/>
    </row>
    <row r="250" spans="1:8">
      <c r="A250" s="780"/>
      <c r="B250" s="780"/>
      <c r="C250" s="780"/>
      <c r="D250" s="780"/>
      <c r="E250" s="780"/>
      <c r="F250" s="780"/>
      <c r="G250" s="780"/>
      <c r="H250" s="780"/>
    </row>
    <row r="251" spans="1:8">
      <c r="A251" s="781" t="s">
        <v>450</v>
      </c>
      <c r="B251" s="780"/>
      <c r="C251" s="780"/>
      <c r="D251" s="780"/>
      <c r="E251" s="780"/>
      <c r="F251" s="780"/>
      <c r="G251" s="780"/>
      <c r="H251" s="780"/>
    </row>
    <row r="252" spans="1:8">
      <c r="A252" s="781" t="s">
        <v>451</v>
      </c>
      <c r="B252" s="780"/>
      <c r="C252" s="780"/>
      <c r="D252" s="780"/>
      <c r="E252" s="780"/>
      <c r="F252" s="780"/>
      <c r="G252" s="780"/>
      <c r="H252" s="780"/>
    </row>
    <row r="253" spans="1:8">
      <c r="A253" s="781" t="s">
        <v>452</v>
      </c>
      <c r="B253" s="780"/>
      <c r="C253" s="780"/>
      <c r="D253" s="780"/>
      <c r="E253" s="780"/>
      <c r="F253" s="780"/>
      <c r="G253" s="780"/>
      <c r="H253" s="780"/>
    </row>
    <row r="254" spans="1:8">
      <c r="A254" s="781" t="s">
        <v>453</v>
      </c>
      <c r="B254" s="780"/>
      <c r="C254" s="780"/>
      <c r="D254" s="780"/>
      <c r="E254" s="780"/>
      <c r="F254" s="780"/>
      <c r="G254" s="780"/>
      <c r="H254" s="780"/>
    </row>
    <row r="255" spans="1:8">
      <c r="A255" s="781" t="s">
        <v>454</v>
      </c>
      <c r="B255" s="780"/>
      <c r="C255" s="780"/>
      <c r="D255" s="780"/>
      <c r="E255" s="780"/>
      <c r="F255" s="780"/>
      <c r="G255" s="780"/>
      <c r="H255" s="780"/>
    </row>
    <row r="256" spans="1:8">
      <c r="A256" s="781" t="s">
        <v>455</v>
      </c>
      <c r="B256" s="780"/>
      <c r="C256" s="780"/>
      <c r="D256" s="780"/>
      <c r="E256" s="780"/>
      <c r="F256" s="780"/>
      <c r="G256" s="780"/>
      <c r="H256" s="780"/>
    </row>
    <row r="257" spans="1:8">
      <c r="A257" s="781" t="s">
        <v>456</v>
      </c>
      <c r="B257" s="780"/>
      <c r="C257" s="780"/>
      <c r="D257" s="780"/>
      <c r="E257" s="780"/>
      <c r="F257" s="780"/>
      <c r="G257" s="780"/>
      <c r="H257" s="780"/>
    </row>
    <row r="258" spans="1:8">
      <c r="A258" s="781" t="s">
        <v>457</v>
      </c>
      <c r="B258" s="780"/>
      <c r="C258" s="780"/>
      <c r="D258" s="780"/>
      <c r="E258" s="780"/>
      <c r="F258" s="780"/>
      <c r="G258" s="780"/>
      <c r="H258" s="780"/>
    </row>
    <row r="259" spans="1:8">
      <c r="A259" s="781" t="s">
        <v>458</v>
      </c>
      <c r="B259" s="780"/>
      <c r="C259" s="780"/>
      <c r="D259" s="780"/>
      <c r="E259" s="780"/>
      <c r="F259" s="780"/>
      <c r="G259" s="780"/>
      <c r="H259" s="780"/>
    </row>
    <row r="260" spans="1:8">
      <c r="A260" s="781" t="s">
        <v>459</v>
      </c>
      <c r="B260" s="780"/>
      <c r="C260" s="780"/>
      <c r="D260" s="780"/>
      <c r="E260" s="780"/>
      <c r="F260" s="780"/>
      <c r="G260" s="780"/>
      <c r="H260" s="780"/>
    </row>
    <row r="261" spans="1:8">
      <c r="A261" s="781" t="s">
        <v>460</v>
      </c>
      <c r="B261" s="780"/>
      <c r="C261" s="780"/>
      <c r="D261" s="780"/>
      <c r="E261" s="780"/>
      <c r="F261" s="780"/>
      <c r="G261" s="780"/>
      <c r="H261" s="780"/>
    </row>
    <row r="262" spans="1:8">
      <c r="A262" s="781" t="s">
        <v>461</v>
      </c>
      <c r="B262" s="780"/>
      <c r="C262" s="780"/>
      <c r="D262" s="780"/>
      <c r="E262" s="780"/>
      <c r="F262" s="780"/>
      <c r="G262" s="780"/>
      <c r="H262" s="780"/>
    </row>
    <row r="263" spans="1:8">
      <c r="A263" s="781" t="s">
        <v>462</v>
      </c>
      <c r="B263" s="780"/>
      <c r="C263" s="780"/>
      <c r="D263" s="780"/>
      <c r="E263" s="780"/>
      <c r="F263" s="780"/>
      <c r="G263" s="780"/>
      <c r="H263" s="780"/>
    </row>
    <row r="264" spans="1:8">
      <c r="A264" s="781" t="s">
        <v>463</v>
      </c>
      <c r="B264" s="780"/>
      <c r="C264" s="780"/>
      <c r="D264" s="780"/>
      <c r="E264" s="780"/>
      <c r="F264" s="780"/>
      <c r="G264" s="780"/>
      <c r="H264" s="780"/>
    </row>
    <row r="265" spans="1:8">
      <c r="A265" s="781" t="s">
        <v>464</v>
      </c>
      <c r="B265" s="780"/>
      <c r="C265" s="780"/>
      <c r="D265" s="780"/>
      <c r="E265" s="780"/>
      <c r="F265" s="780"/>
      <c r="G265" s="780"/>
      <c r="H265" s="780"/>
    </row>
    <row r="266" spans="1:8">
      <c r="A266" s="781" t="s">
        <v>465</v>
      </c>
      <c r="B266" s="780"/>
      <c r="C266" s="780"/>
      <c r="D266" s="780"/>
      <c r="E266" s="780"/>
      <c r="F266" s="780"/>
      <c r="G266" s="780"/>
      <c r="H266" s="780"/>
    </row>
    <row r="267" spans="1:8">
      <c r="A267" s="780"/>
      <c r="B267" s="780"/>
      <c r="C267" s="780"/>
      <c r="D267" s="780"/>
      <c r="E267" s="780"/>
      <c r="F267" s="780"/>
      <c r="G267" s="780"/>
      <c r="H267" s="780"/>
    </row>
    <row r="268" spans="1:8">
      <c r="A268" s="781" t="s">
        <v>443</v>
      </c>
      <c r="B268" s="780"/>
      <c r="C268" s="780"/>
      <c r="D268" s="780"/>
      <c r="E268" s="780"/>
      <c r="F268" s="780"/>
      <c r="G268" s="780"/>
      <c r="H268" s="780"/>
    </row>
    <row r="269" spans="1:8">
      <c r="A269" s="781" t="s">
        <v>444</v>
      </c>
      <c r="B269" s="780"/>
      <c r="C269" s="780"/>
      <c r="D269" s="780"/>
      <c r="E269" s="780"/>
      <c r="F269" s="780"/>
      <c r="G269" s="780"/>
      <c r="H269" s="780"/>
    </row>
    <row r="270" spans="1:8">
      <c r="A270" s="781" t="s">
        <v>445</v>
      </c>
      <c r="B270" s="780"/>
      <c r="C270" s="780"/>
      <c r="D270" s="780"/>
      <c r="E270" s="780"/>
      <c r="F270" s="780"/>
      <c r="G270" s="780"/>
      <c r="H270" s="780"/>
    </row>
    <row r="271" spans="1:8">
      <c r="A271" s="781" t="s">
        <v>446</v>
      </c>
      <c r="B271" s="780"/>
      <c r="C271" s="780"/>
      <c r="D271" s="780"/>
      <c r="E271" s="780"/>
      <c r="F271" s="780"/>
      <c r="G271" s="780"/>
      <c r="H271" s="780"/>
    </row>
    <row r="272" spans="1:8">
      <c r="A272" s="781" t="s">
        <v>447</v>
      </c>
      <c r="B272" s="780"/>
      <c r="C272" s="780"/>
      <c r="D272" s="780"/>
      <c r="E272" s="780"/>
      <c r="F272" s="780"/>
      <c r="G272" s="780"/>
      <c r="H272" s="780"/>
    </row>
    <row r="273" spans="1:8">
      <c r="A273" s="781" t="s">
        <v>448</v>
      </c>
      <c r="B273" s="780"/>
      <c r="C273" s="780"/>
      <c r="D273" s="780"/>
      <c r="E273" s="780"/>
      <c r="F273" s="780"/>
      <c r="G273" s="780"/>
      <c r="H273" s="780"/>
    </row>
    <row r="274" spans="1:8">
      <c r="A274" s="781" t="s">
        <v>449</v>
      </c>
      <c r="B274" s="780"/>
      <c r="C274" s="780"/>
      <c r="D274" s="780"/>
      <c r="E274" s="780"/>
      <c r="F274" s="780"/>
      <c r="G274" s="780"/>
      <c r="H274" s="780"/>
    </row>
    <row r="275" spans="1:8">
      <c r="A275" s="780"/>
      <c r="B275" s="780"/>
      <c r="C275" s="780"/>
      <c r="D275" s="780"/>
      <c r="E275" s="780"/>
      <c r="F275" s="780"/>
      <c r="G275" s="780"/>
      <c r="H275" s="780"/>
    </row>
    <row r="276" spans="1:8">
      <c r="A276" s="781" t="s">
        <v>434</v>
      </c>
      <c r="B276" s="780"/>
      <c r="C276" s="780"/>
      <c r="D276" s="780"/>
      <c r="E276" s="780"/>
      <c r="F276" s="780"/>
      <c r="G276" s="780"/>
      <c r="H276" s="780"/>
    </row>
    <row r="277" spans="1:8">
      <c r="A277" s="781" t="s">
        <v>435</v>
      </c>
      <c r="B277" s="780"/>
      <c r="C277" s="780"/>
      <c r="D277" s="780"/>
      <c r="E277" s="780"/>
      <c r="F277" s="780"/>
      <c r="G277" s="780"/>
      <c r="H277" s="780"/>
    </row>
    <row r="278" spans="1:8">
      <c r="A278" s="781" t="s">
        <v>436</v>
      </c>
      <c r="B278" s="780"/>
      <c r="C278" s="780"/>
      <c r="D278" s="780"/>
      <c r="E278" s="780"/>
      <c r="F278" s="780"/>
      <c r="G278" s="780"/>
      <c r="H278" s="780"/>
    </row>
    <row r="279" spans="1:8">
      <c r="A279" s="781" t="s">
        <v>437</v>
      </c>
      <c r="B279" s="780"/>
      <c r="C279" s="780"/>
      <c r="D279" s="780"/>
      <c r="E279" s="780"/>
      <c r="F279" s="780"/>
      <c r="G279" s="780"/>
      <c r="H279" s="780"/>
    </row>
    <row r="280" spans="1:8">
      <c r="A280" s="781" t="s">
        <v>438</v>
      </c>
      <c r="B280" s="780"/>
      <c r="C280" s="780"/>
      <c r="D280" s="780"/>
      <c r="E280" s="780"/>
      <c r="F280" s="780"/>
      <c r="G280" s="780"/>
      <c r="H280" s="780"/>
    </row>
    <row r="281" spans="1:8">
      <c r="A281" s="781" t="s">
        <v>439</v>
      </c>
      <c r="B281" s="780"/>
      <c r="C281" s="780"/>
      <c r="D281" s="780"/>
      <c r="E281" s="780"/>
      <c r="F281" s="780"/>
      <c r="G281" s="780"/>
      <c r="H281" s="780"/>
    </row>
    <row r="282" spans="1:8">
      <c r="A282" s="781" t="s">
        <v>440</v>
      </c>
      <c r="B282" s="780"/>
      <c r="C282" s="780"/>
      <c r="D282" s="780"/>
      <c r="E282" s="780"/>
      <c r="F282" s="780"/>
      <c r="G282" s="780"/>
      <c r="H282" s="780"/>
    </row>
    <row r="283" spans="1:8">
      <c r="A283" s="781" t="s">
        <v>441</v>
      </c>
      <c r="B283" s="780"/>
      <c r="C283" s="780"/>
      <c r="D283" s="780"/>
      <c r="E283" s="780"/>
      <c r="F283" s="780"/>
      <c r="G283" s="780"/>
      <c r="H283" s="780"/>
    </row>
    <row r="284" spans="1:8">
      <c r="A284" s="781" t="s">
        <v>442</v>
      </c>
      <c r="B284" s="780"/>
      <c r="C284" s="780"/>
      <c r="D284" s="780"/>
      <c r="E284" s="780"/>
      <c r="F284" s="780"/>
      <c r="G284" s="780"/>
      <c r="H284" s="780"/>
    </row>
    <row r="285" spans="1:8">
      <c r="A285" s="780"/>
      <c r="B285" s="780"/>
      <c r="C285" s="780"/>
      <c r="D285" s="780"/>
      <c r="E285" s="780"/>
      <c r="F285" s="780"/>
      <c r="G285" s="780"/>
      <c r="H285" s="780"/>
    </row>
    <row r="286" spans="1:8">
      <c r="A286" s="781" t="s">
        <v>427</v>
      </c>
      <c r="B286" s="780"/>
      <c r="C286" s="780"/>
      <c r="D286" s="780"/>
      <c r="E286" s="780"/>
      <c r="F286" s="780"/>
      <c r="G286" s="780"/>
      <c r="H286" s="780"/>
    </row>
    <row r="287" spans="1:8">
      <c r="A287" s="781" t="s">
        <v>428</v>
      </c>
      <c r="B287" s="780"/>
      <c r="C287" s="780"/>
      <c r="D287" s="780"/>
      <c r="E287" s="780"/>
      <c r="F287" s="780"/>
      <c r="G287" s="780"/>
      <c r="H287" s="780"/>
    </row>
    <row r="288" spans="1:8">
      <c r="A288" s="781" t="s">
        <v>429</v>
      </c>
      <c r="B288" s="780"/>
      <c r="C288" s="780"/>
      <c r="D288" s="780"/>
      <c r="E288" s="780"/>
      <c r="F288" s="780"/>
      <c r="G288" s="780"/>
      <c r="H288" s="780"/>
    </row>
    <row r="289" spans="1:8">
      <c r="A289" s="781" t="s">
        <v>430</v>
      </c>
      <c r="B289" s="780"/>
      <c r="C289" s="780"/>
      <c r="D289" s="780"/>
      <c r="E289" s="780"/>
      <c r="F289" s="780"/>
      <c r="G289" s="780"/>
      <c r="H289" s="780"/>
    </row>
    <row r="290" spans="1:8">
      <c r="A290" s="781" t="s">
        <v>431</v>
      </c>
      <c r="B290" s="780"/>
      <c r="C290" s="780"/>
      <c r="D290" s="780"/>
      <c r="E290" s="780"/>
      <c r="F290" s="780"/>
      <c r="G290" s="780"/>
      <c r="H290" s="780"/>
    </row>
    <row r="291" spans="1:8">
      <c r="A291" s="781" t="s">
        <v>432</v>
      </c>
      <c r="B291" s="780"/>
      <c r="C291" s="780"/>
      <c r="D291" s="780"/>
      <c r="E291" s="780"/>
      <c r="F291" s="780"/>
      <c r="G291" s="780"/>
      <c r="H291" s="780"/>
    </row>
    <row r="292" spans="1:8">
      <c r="A292" s="781" t="s">
        <v>433</v>
      </c>
      <c r="B292" s="780"/>
      <c r="C292" s="780"/>
      <c r="D292" s="780"/>
      <c r="E292" s="780"/>
      <c r="F292" s="780"/>
      <c r="G292" s="780"/>
      <c r="H292" s="780"/>
    </row>
    <row r="293" spans="1:8">
      <c r="A293" s="780"/>
      <c r="B293" s="780"/>
      <c r="C293" s="780"/>
      <c r="D293" s="780"/>
      <c r="E293" s="780"/>
      <c r="F293" s="780"/>
      <c r="G293" s="780"/>
      <c r="H293" s="780"/>
    </row>
    <row r="294" spans="1:8">
      <c r="A294" s="781" t="s">
        <v>424</v>
      </c>
      <c r="B294" s="780"/>
      <c r="C294" s="780"/>
      <c r="D294" s="780"/>
      <c r="E294" s="780"/>
      <c r="F294" s="780"/>
      <c r="G294" s="780"/>
      <c r="H294" s="780"/>
    </row>
    <row r="295" spans="1:8">
      <c r="A295" s="781" t="s">
        <v>425</v>
      </c>
      <c r="B295" s="780"/>
      <c r="C295" s="780"/>
      <c r="D295" s="780"/>
      <c r="E295" s="780"/>
      <c r="F295" s="780"/>
      <c r="G295" s="780"/>
      <c r="H295" s="780"/>
    </row>
    <row r="296" spans="1:8">
      <c r="A296" s="781" t="s">
        <v>426</v>
      </c>
      <c r="B296" s="780"/>
      <c r="C296" s="780"/>
      <c r="D296" s="780"/>
      <c r="E296" s="780"/>
      <c r="F296" s="780"/>
      <c r="G296" s="780"/>
      <c r="H296" s="780"/>
    </row>
    <row r="297" spans="1:8">
      <c r="A297" s="780"/>
      <c r="B297" s="780"/>
      <c r="C297" s="780"/>
      <c r="D297" s="780"/>
      <c r="E297" s="780"/>
      <c r="F297" s="780"/>
      <c r="G297" s="780"/>
      <c r="H297" s="780"/>
    </row>
    <row r="298" spans="1:8">
      <c r="A298" s="781" t="s">
        <v>422</v>
      </c>
      <c r="B298" s="780"/>
      <c r="C298" s="780"/>
      <c r="D298" s="780"/>
      <c r="E298" s="780"/>
      <c r="F298" s="780"/>
      <c r="G298" s="780"/>
      <c r="H298" s="780"/>
    </row>
    <row r="299" spans="1:8">
      <c r="A299" s="781" t="s">
        <v>423</v>
      </c>
      <c r="B299" s="780"/>
      <c r="C299" s="780"/>
      <c r="D299" s="780"/>
      <c r="E299" s="780"/>
      <c r="F299" s="780"/>
      <c r="G299" s="780"/>
      <c r="H299" s="780"/>
    </row>
    <row r="300" spans="1:8">
      <c r="A300" s="780"/>
      <c r="B300" s="780"/>
      <c r="C300" s="780"/>
      <c r="D300" s="780"/>
      <c r="E300" s="780"/>
      <c r="F300" s="780"/>
      <c r="G300" s="780"/>
      <c r="H300" s="780"/>
    </row>
    <row r="301" spans="1:8">
      <c r="A301" s="781" t="s">
        <v>409</v>
      </c>
      <c r="B301" s="780"/>
      <c r="C301" s="780"/>
      <c r="D301" s="780"/>
      <c r="E301" s="780"/>
      <c r="F301" s="780"/>
      <c r="G301" s="780"/>
      <c r="H301" s="780"/>
    </row>
    <row r="302" spans="1:8">
      <c r="A302" s="781" t="s">
        <v>410</v>
      </c>
      <c r="B302" s="780"/>
      <c r="C302" s="780"/>
      <c r="D302" s="780"/>
      <c r="E302" s="780"/>
      <c r="F302" s="780"/>
      <c r="G302" s="780"/>
      <c r="H302" s="780"/>
    </row>
    <row r="303" spans="1:8">
      <c r="A303" s="781" t="s">
        <v>411</v>
      </c>
      <c r="B303" s="780"/>
      <c r="C303" s="780"/>
      <c r="D303" s="780"/>
      <c r="E303" s="780"/>
      <c r="F303" s="780"/>
      <c r="G303" s="780"/>
      <c r="H303" s="780"/>
    </row>
    <row r="304" spans="1:8">
      <c r="A304" s="781" t="s">
        <v>412</v>
      </c>
      <c r="B304" s="780"/>
      <c r="C304" s="780"/>
      <c r="D304" s="780"/>
      <c r="E304" s="780"/>
      <c r="F304" s="780"/>
      <c r="G304" s="780"/>
      <c r="H304" s="780"/>
    </row>
    <row r="305" spans="1:8">
      <c r="A305" s="781" t="s">
        <v>413</v>
      </c>
      <c r="B305" s="780"/>
      <c r="C305" s="780"/>
      <c r="D305" s="780"/>
      <c r="E305" s="780"/>
      <c r="F305" s="780"/>
      <c r="G305" s="780"/>
      <c r="H305" s="780"/>
    </row>
    <row r="306" spans="1:8">
      <c r="A306" s="781" t="s">
        <v>414</v>
      </c>
      <c r="B306" s="780"/>
      <c r="C306" s="780"/>
      <c r="D306" s="780"/>
      <c r="E306" s="780"/>
      <c r="F306" s="780"/>
      <c r="G306" s="780"/>
      <c r="H306" s="780"/>
    </row>
    <row r="307" spans="1:8">
      <c r="A307" s="781" t="s">
        <v>415</v>
      </c>
      <c r="B307" s="780"/>
      <c r="C307" s="780"/>
      <c r="D307" s="780"/>
      <c r="E307" s="780"/>
      <c r="F307" s="780"/>
      <c r="G307" s="780"/>
      <c r="H307" s="780"/>
    </row>
    <row r="308" spans="1:8">
      <c r="A308" s="781" t="s">
        <v>416</v>
      </c>
      <c r="B308" s="780"/>
      <c r="C308" s="780"/>
      <c r="D308" s="780"/>
      <c r="E308" s="780"/>
      <c r="F308" s="780"/>
      <c r="G308" s="780"/>
      <c r="H308" s="780"/>
    </row>
    <row r="309" spans="1:8">
      <c r="A309" s="781" t="s">
        <v>417</v>
      </c>
      <c r="B309" s="780"/>
      <c r="C309" s="780"/>
      <c r="D309" s="780"/>
      <c r="E309" s="780"/>
      <c r="F309" s="780"/>
      <c r="G309" s="780"/>
      <c r="H309" s="780"/>
    </row>
    <row r="310" spans="1:8">
      <c r="A310" s="781" t="s">
        <v>418</v>
      </c>
      <c r="B310" s="780"/>
      <c r="C310" s="780"/>
      <c r="D310" s="780"/>
      <c r="E310" s="780"/>
      <c r="F310" s="780"/>
      <c r="G310" s="780"/>
      <c r="H310" s="780"/>
    </row>
    <row r="311" spans="1:8">
      <c r="A311" s="781" t="s">
        <v>419</v>
      </c>
      <c r="B311" s="780"/>
      <c r="C311" s="780"/>
      <c r="D311" s="780"/>
      <c r="E311" s="780"/>
      <c r="F311" s="780"/>
      <c r="G311" s="780"/>
      <c r="H311" s="780"/>
    </row>
    <row r="312" spans="1:8">
      <c r="A312" s="781" t="s">
        <v>420</v>
      </c>
      <c r="B312" s="780"/>
      <c r="C312" s="780"/>
      <c r="D312" s="780"/>
      <c r="E312" s="780"/>
      <c r="F312" s="780"/>
      <c r="G312" s="780"/>
      <c r="H312" s="780"/>
    </row>
    <row r="313" spans="1:8">
      <c r="A313" s="781" t="s">
        <v>421</v>
      </c>
      <c r="B313" s="780"/>
      <c r="C313" s="780"/>
      <c r="D313" s="780"/>
      <c r="E313" s="780"/>
      <c r="F313" s="780"/>
      <c r="G313" s="780"/>
      <c r="H313" s="780"/>
    </row>
    <row r="314" spans="1:8">
      <c r="A314" s="780"/>
      <c r="B314" s="780"/>
      <c r="C314" s="780"/>
      <c r="D314" s="780"/>
      <c r="E314" s="780"/>
      <c r="F314" s="780"/>
      <c r="G314" s="780"/>
      <c r="H314" s="780"/>
    </row>
    <row r="315" spans="1:8">
      <c r="A315" s="781" t="s">
        <v>401</v>
      </c>
      <c r="B315" s="780"/>
      <c r="C315" s="780"/>
      <c r="D315" s="780"/>
      <c r="E315" s="780"/>
      <c r="F315" s="780"/>
      <c r="G315" s="780"/>
      <c r="H315" s="780"/>
    </row>
    <row r="316" spans="1:8">
      <c r="A316" s="781" t="s">
        <v>402</v>
      </c>
      <c r="B316" s="780"/>
      <c r="C316" s="780"/>
      <c r="D316" s="780"/>
      <c r="E316" s="780"/>
      <c r="F316" s="780"/>
      <c r="G316" s="780"/>
      <c r="H316" s="780"/>
    </row>
    <row r="317" spans="1:8">
      <c r="A317" s="781" t="s">
        <v>403</v>
      </c>
      <c r="B317" s="780"/>
      <c r="C317" s="780"/>
      <c r="D317" s="780"/>
      <c r="E317" s="780"/>
      <c r="F317" s="780"/>
      <c r="G317" s="780"/>
      <c r="H317" s="780"/>
    </row>
    <row r="318" spans="1:8">
      <c r="A318" s="781" t="s">
        <v>404</v>
      </c>
      <c r="B318" s="780"/>
      <c r="C318" s="780"/>
      <c r="D318" s="780"/>
      <c r="E318" s="780"/>
      <c r="F318" s="780"/>
      <c r="G318" s="780"/>
      <c r="H318" s="780"/>
    </row>
    <row r="319" spans="1:8">
      <c r="A319" s="781" t="s">
        <v>405</v>
      </c>
      <c r="B319" s="780"/>
      <c r="C319" s="780"/>
      <c r="D319" s="780"/>
      <c r="E319" s="780"/>
      <c r="F319" s="780"/>
      <c r="G319" s="780"/>
      <c r="H319" s="780"/>
    </row>
    <row r="320" spans="1:8">
      <c r="A320" s="781" t="s">
        <v>406</v>
      </c>
      <c r="B320" s="780"/>
      <c r="C320" s="780"/>
      <c r="D320" s="780"/>
      <c r="E320" s="780"/>
      <c r="F320" s="780"/>
      <c r="G320" s="780"/>
      <c r="H320" s="780"/>
    </row>
    <row r="321" spans="1:8">
      <c r="A321" s="781" t="s">
        <v>407</v>
      </c>
      <c r="B321" s="780"/>
      <c r="C321" s="780"/>
      <c r="D321" s="780"/>
      <c r="E321" s="780"/>
      <c r="F321" s="780"/>
      <c r="G321" s="780"/>
      <c r="H321" s="780"/>
    </row>
    <row r="322" spans="1:8">
      <c r="A322" s="781" t="s">
        <v>408</v>
      </c>
      <c r="B322" s="780"/>
      <c r="C322" s="780"/>
      <c r="D322" s="780"/>
      <c r="E322" s="780"/>
      <c r="F322" s="780"/>
      <c r="G322" s="780"/>
      <c r="H322" s="780"/>
    </row>
    <row r="323" spans="1:8">
      <c r="A323" s="780"/>
      <c r="B323" s="780"/>
      <c r="C323" s="780"/>
      <c r="D323" s="780"/>
      <c r="E323" s="780"/>
      <c r="F323" s="780"/>
      <c r="G323" s="780"/>
      <c r="H323" s="780"/>
    </row>
    <row r="324" spans="1:8">
      <c r="A324" s="781" t="s">
        <v>366</v>
      </c>
      <c r="B324" s="780"/>
      <c r="C324" s="780"/>
      <c r="D324" s="780"/>
      <c r="E324" s="780"/>
      <c r="F324" s="780"/>
      <c r="G324" s="780"/>
      <c r="H324" s="780"/>
    </row>
    <row r="325" spans="1:8">
      <c r="A325" s="781" t="s">
        <v>367</v>
      </c>
      <c r="B325" s="780"/>
      <c r="C325" s="780"/>
      <c r="D325" s="780"/>
      <c r="E325" s="780"/>
      <c r="F325" s="780"/>
      <c r="G325" s="780"/>
      <c r="H325" s="780"/>
    </row>
    <row r="326" spans="1:8">
      <c r="A326" s="781" t="s">
        <v>368</v>
      </c>
      <c r="B326" s="780"/>
      <c r="C326" s="780"/>
      <c r="D326" s="780"/>
      <c r="E326" s="780"/>
      <c r="F326" s="780"/>
      <c r="G326" s="780"/>
      <c r="H326" s="780"/>
    </row>
    <row r="327" spans="1:8">
      <c r="A327" s="781" t="s">
        <v>369</v>
      </c>
      <c r="B327" s="780"/>
      <c r="C327" s="780"/>
      <c r="D327" s="780"/>
      <c r="E327" s="780"/>
      <c r="F327" s="780"/>
      <c r="G327" s="780"/>
      <c r="H327" s="780"/>
    </row>
    <row r="328" spans="1:8">
      <c r="A328" s="781" t="s">
        <v>370</v>
      </c>
      <c r="B328" s="780"/>
      <c r="C328" s="780"/>
      <c r="D328" s="780"/>
      <c r="E328" s="780"/>
      <c r="F328" s="780"/>
      <c r="G328" s="780"/>
      <c r="H328" s="780"/>
    </row>
    <row r="329" spans="1:8">
      <c r="A329" s="781" t="s">
        <v>371</v>
      </c>
      <c r="B329" s="780"/>
      <c r="C329" s="780"/>
      <c r="D329" s="780"/>
      <c r="E329" s="780"/>
      <c r="F329" s="780"/>
      <c r="G329" s="780"/>
      <c r="H329" s="780"/>
    </row>
    <row r="330" spans="1:8">
      <c r="A330" s="781" t="s">
        <v>372</v>
      </c>
      <c r="B330" s="780"/>
      <c r="C330" s="780"/>
      <c r="D330" s="780"/>
      <c r="E330" s="780"/>
      <c r="F330" s="780"/>
      <c r="G330" s="780"/>
      <c r="H330" s="780"/>
    </row>
    <row r="331" spans="1:8">
      <c r="A331" s="781" t="s">
        <v>373</v>
      </c>
      <c r="B331" s="780"/>
      <c r="C331" s="780"/>
      <c r="D331" s="780"/>
      <c r="E331" s="780"/>
      <c r="F331" s="780"/>
      <c r="G331" s="780"/>
      <c r="H331" s="780"/>
    </row>
    <row r="332" spans="1:8">
      <c r="A332" s="781" t="s">
        <v>374</v>
      </c>
      <c r="B332" s="780"/>
      <c r="C332" s="780"/>
      <c r="D332" s="780"/>
      <c r="E332" s="780"/>
      <c r="F332" s="780"/>
      <c r="G332" s="780"/>
      <c r="H332" s="780"/>
    </row>
    <row r="333" spans="1:8">
      <c r="A333" s="781" t="s">
        <v>375</v>
      </c>
      <c r="B333" s="780"/>
      <c r="C333" s="780"/>
      <c r="D333" s="780"/>
      <c r="E333" s="780"/>
      <c r="F333" s="780"/>
      <c r="G333" s="780"/>
      <c r="H333" s="780"/>
    </row>
    <row r="334" spans="1:8">
      <c r="A334" s="781" t="s">
        <v>376</v>
      </c>
      <c r="B334" s="780"/>
      <c r="C334" s="780"/>
      <c r="D334" s="780"/>
      <c r="E334" s="780"/>
      <c r="F334" s="780"/>
      <c r="G334" s="780"/>
      <c r="H334" s="780"/>
    </row>
    <row r="335" spans="1:8">
      <c r="A335" s="781" t="s">
        <v>377</v>
      </c>
      <c r="B335" s="780"/>
      <c r="C335" s="780"/>
      <c r="D335" s="780"/>
      <c r="E335" s="780"/>
      <c r="F335" s="780"/>
      <c r="G335" s="780"/>
      <c r="H335" s="780"/>
    </row>
    <row r="336" spans="1:8">
      <c r="A336" s="781" t="s">
        <v>378</v>
      </c>
      <c r="B336" s="780"/>
      <c r="C336" s="780"/>
      <c r="D336" s="780"/>
      <c r="E336" s="780"/>
      <c r="F336" s="780"/>
      <c r="G336" s="780"/>
      <c r="H336" s="780"/>
    </row>
    <row r="337" spans="1:8">
      <c r="A337" s="781" t="s">
        <v>379</v>
      </c>
      <c r="B337" s="780"/>
      <c r="C337" s="780"/>
      <c r="D337" s="780"/>
      <c r="E337" s="780"/>
      <c r="F337" s="780"/>
      <c r="G337" s="780"/>
      <c r="H337" s="780"/>
    </row>
    <row r="338" spans="1:8">
      <c r="A338" s="781" t="s">
        <v>380</v>
      </c>
      <c r="B338" s="780"/>
      <c r="C338" s="780"/>
      <c r="D338" s="780"/>
      <c r="E338" s="780"/>
      <c r="F338" s="780"/>
      <c r="G338" s="780"/>
      <c r="H338" s="780"/>
    </row>
    <row r="339" spans="1:8">
      <c r="A339" s="781" t="s">
        <v>381</v>
      </c>
      <c r="B339" s="780"/>
      <c r="C339" s="780"/>
      <c r="D339" s="780"/>
      <c r="E339" s="780"/>
      <c r="F339" s="780"/>
      <c r="G339" s="780"/>
      <c r="H339" s="780"/>
    </row>
    <row r="340" spans="1:8">
      <c r="A340" s="781" t="s">
        <v>382</v>
      </c>
      <c r="B340" s="780"/>
      <c r="C340" s="780"/>
      <c r="D340" s="780"/>
      <c r="E340" s="780"/>
      <c r="F340" s="780"/>
      <c r="G340" s="780"/>
      <c r="H340" s="780"/>
    </row>
    <row r="341" spans="1:8">
      <c r="A341" s="781" t="s">
        <v>383</v>
      </c>
      <c r="B341" s="780"/>
      <c r="C341" s="780"/>
      <c r="D341" s="780"/>
      <c r="E341" s="780"/>
      <c r="F341" s="780"/>
      <c r="G341" s="780"/>
      <c r="H341" s="780"/>
    </row>
    <row r="342" spans="1:8">
      <c r="A342" s="781" t="s">
        <v>384</v>
      </c>
      <c r="B342" s="780"/>
      <c r="C342" s="780"/>
      <c r="D342" s="780"/>
      <c r="E342" s="780"/>
      <c r="F342" s="780"/>
      <c r="G342" s="780"/>
      <c r="H342" s="780"/>
    </row>
    <row r="343" spans="1:8">
      <c r="A343" s="781" t="s">
        <v>385</v>
      </c>
      <c r="B343" s="780"/>
      <c r="C343" s="780"/>
      <c r="D343" s="780"/>
      <c r="E343" s="780"/>
      <c r="F343" s="780"/>
      <c r="G343" s="780"/>
      <c r="H343" s="780"/>
    </row>
    <row r="344" spans="1:8">
      <c r="A344" s="781" t="s">
        <v>386</v>
      </c>
      <c r="B344" s="780"/>
      <c r="C344" s="780"/>
      <c r="D344" s="780"/>
      <c r="E344" s="780"/>
      <c r="F344" s="780"/>
      <c r="G344" s="780"/>
      <c r="H344" s="780"/>
    </row>
    <row r="345" spans="1:8">
      <c r="A345" s="781" t="s">
        <v>387</v>
      </c>
      <c r="B345" s="780"/>
      <c r="C345" s="780"/>
      <c r="D345" s="780"/>
      <c r="E345" s="780"/>
      <c r="F345" s="780"/>
      <c r="G345" s="780"/>
      <c r="H345" s="780"/>
    </row>
    <row r="346" spans="1:8">
      <c r="A346" s="781" t="s">
        <v>388</v>
      </c>
      <c r="B346" s="780"/>
      <c r="C346" s="780"/>
      <c r="D346" s="780"/>
      <c r="E346" s="780"/>
      <c r="F346" s="780"/>
      <c r="G346" s="780"/>
      <c r="H346" s="780"/>
    </row>
    <row r="347" spans="1:8">
      <c r="A347" s="781" t="s">
        <v>389</v>
      </c>
      <c r="B347" s="780"/>
      <c r="C347" s="780"/>
      <c r="D347" s="780"/>
      <c r="E347" s="780"/>
      <c r="F347" s="780"/>
      <c r="G347" s="780"/>
      <c r="H347" s="780"/>
    </row>
    <row r="348" spans="1:8">
      <c r="A348" s="781" t="s">
        <v>390</v>
      </c>
      <c r="B348" s="780"/>
      <c r="C348" s="780"/>
      <c r="D348" s="780"/>
      <c r="E348" s="780"/>
      <c r="F348" s="780"/>
      <c r="G348" s="780"/>
      <c r="H348" s="780"/>
    </row>
    <row r="349" spans="1:8">
      <c r="A349" s="781" t="s">
        <v>391</v>
      </c>
      <c r="B349" s="780"/>
      <c r="C349" s="780"/>
      <c r="D349" s="780"/>
      <c r="E349" s="780"/>
      <c r="F349" s="780"/>
      <c r="G349" s="780"/>
      <c r="H349" s="780"/>
    </row>
    <row r="350" spans="1:8">
      <c r="A350" s="781" t="s">
        <v>392</v>
      </c>
      <c r="B350" s="780"/>
      <c r="C350" s="780"/>
      <c r="D350" s="780"/>
      <c r="E350" s="780"/>
      <c r="F350" s="780"/>
      <c r="G350" s="780"/>
      <c r="H350" s="780"/>
    </row>
    <row r="351" spans="1:8">
      <c r="A351" s="781" t="s">
        <v>393</v>
      </c>
      <c r="B351" s="780"/>
      <c r="C351" s="780"/>
      <c r="D351" s="780"/>
      <c r="E351" s="780"/>
      <c r="F351" s="780"/>
      <c r="G351" s="780"/>
      <c r="H351" s="780"/>
    </row>
    <row r="352" spans="1:8">
      <c r="A352" s="781" t="s">
        <v>394</v>
      </c>
      <c r="B352" s="780"/>
      <c r="C352" s="780"/>
      <c r="D352" s="780"/>
      <c r="E352" s="780"/>
      <c r="F352" s="780"/>
      <c r="G352" s="780"/>
      <c r="H352" s="780"/>
    </row>
    <row r="353" spans="1:8">
      <c r="A353" s="781" t="s">
        <v>395</v>
      </c>
      <c r="B353" s="780"/>
      <c r="C353" s="780"/>
      <c r="D353" s="780"/>
      <c r="E353" s="780"/>
      <c r="F353" s="780"/>
      <c r="G353" s="780"/>
      <c r="H353" s="780"/>
    </row>
    <row r="354" spans="1:8">
      <c r="A354" s="781" t="s">
        <v>396</v>
      </c>
      <c r="B354" s="780"/>
      <c r="C354" s="780"/>
      <c r="D354" s="780"/>
      <c r="E354" s="780"/>
      <c r="F354" s="780"/>
      <c r="G354" s="780"/>
      <c r="H354" s="780"/>
    </row>
    <row r="355" spans="1:8">
      <c r="A355" s="781" t="s">
        <v>397</v>
      </c>
      <c r="B355" s="780"/>
      <c r="C355" s="780"/>
      <c r="D355" s="780"/>
      <c r="E355" s="780"/>
      <c r="F355" s="780"/>
      <c r="G355" s="780"/>
      <c r="H355" s="780"/>
    </row>
    <row r="356" spans="1:8">
      <c r="A356" s="781" t="s">
        <v>398</v>
      </c>
      <c r="B356" s="780"/>
      <c r="C356" s="780"/>
      <c r="D356" s="780"/>
      <c r="E356" s="780"/>
      <c r="F356" s="780"/>
      <c r="G356" s="780"/>
      <c r="H356" s="780"/>
    </row>
    <row r="357" spans="1:8">
      <c r="A357" s="781" t="s">
        <v>399</v>
      </c>
      <c r="B357" s="780"/>
      <c r="C357" s="780"/>
      <c r="D357" s="780"/>
      <c r="E357" s="780"/>
      <c r="F357" s="780"/>
      <c r="G357" s="780"/>
      <c r="H357" s="780"/>
    </row>
    <row r="358" spans="1:8">
      <c r="A358" s="781" t="s">
        <v>400</v>
      </c>
      <c r="B358" s="780"/>
      <c r="C358" s="780"/>
      <c r="D358" s="780"/>
      <c r="E358" s="780"/>
      <c r="F358" s="780"/>
      <c r="G358" s="780"/>
      <c r="H358" s="780"/>
    </row>
    <row r="359" spans="1:8">
      <c r="A359" s="780"/>
      <c r="B359" s="780"/>
      <c r="C359" s="780"/>
      <c r="D359" s="780"/>
      <c r="E359" s="780"/>
      <c r="F359" s="780"/>
      <c r="G359" s="780"/>
      <c r="H359" s="780"/>
    </row>
    <row r="360" spans="1:8">
      <c r="A360" s="781" t="s">
        <v>358</v>
      </c>
      <c r="B360" s="780"/>
      <c r="C360" s="780"/>
      <c r="D360" s="780"/>
      <c r="E360" s="780"/>
      <c r="F360" s="780"/>
      <c r="G360" s="780"/>
      <c r="H360" s="780"/>
    </row>
    <row r="361" spans="1:8">
      <c r="A361" s="781" t="s">
        <v>362</v>
      </c>
      <c r="B361" s="780"/>
      <c r="C361" s="780"/>
      <c r="D361" s="780"/>
      <c r="E361" s="780"/>
      <c r="F361" s="780"/>
      <c r="G361" s="780"/>
      <c r="H361" s="780"/>
    </row>
    <row r="362" spans="1:8">
      <c r="A362" s="781" t="s">
        <v>363</v>
      </c>
      <c r="B362" s="780"/>
      <c r="C362" s="780"/>
      <c r="D362" s="780"/>
      <c r="E362" s="780"/>
      <c r="F362" s="780"/>
      <c r="G362" s="780"/>
      <c r="H362" s="780"/>
    </row>
    <row r="363" spans="1:8">
      <c r="A363" s="781" t="s">
        <v>364</v>
      </c>
      <c r="B363" s="780"/>
      <c r="C363" s="780"/>
      <c r="D363" s="780"/>
      <c r="E363" s="780"/>
      <c r="F363" s="780"/>
      <c r="G363" s="780"/>
      <c r="H363" s="780"/>
    </row>
    <row r="364" spans="1:8">
      <c r="A364" s="781" t="s">
        <v>365</v>
      </c>
      <c r="B364" s="780"/>
      <c r="C364" s="780"/>
      <c r="D364" s="780"/>
      <c r="E364" s="780"/>
      <c r="F364" s="780"/>
      <c r="G364" s="780"/>
      <c r="H364" s="780"/>
    </row>
    <row r="365" spans="1:8">
      <c r="A365" s="780"/>
      <c r="B365" s="780"/>
      <c r="C365" s="780"/>
      <c r="D365" s="780"/>
      <c r="E365" s="780"/>
      <c r="F365" s="780"/>
      <c r="G365" s="780"/>
      <c r="H365" s="780"/>
    </row>
    <row r="366" spans="1:8">
      <c r="A366" s="781" t="s">
        <v>358</v>
      </c>
      <c r="B366" s="780"/>
      <c r="C366" s="780"/>
      <c r="D366" s="780"/>
      <c r="E366" s="780"/>
      <c r="F366" s="780"/>
      <c r="G366" s="780"/>
      <c r="H366" s="780"/>
    </row>
    <row r="367" spans="1:8">
      <c r="A367" s="781" t="s">
        <v>359</v>
      </c>
      <c r="B367" s="780"/>
      <c r="C367" s="780"/>
      <c r="D367" s="780"/>
      <c r="E367" s="780"/>
      <c r="F367" s="780"/>
      <c r="G367" s="780"/>
      <c r="H367" s="780"/>
    </row>
    <row r="368" spans="1:8">
      <c r="A368" s="781" t="s">
        <v>360</v>
      </c>
      <c r="B368" s="780"/>
      <c r="C368" s="780"/>
      <c r="D368" s="780"/>
      <c r="E368" s="780"/>
      <c r="F368" s="780"/>
      <c r="G368" s="780"/>
      <c r="H368" s="780"/>
    </row>
    <row r="369" spans="1:8">
      <c r="A369" s="781" t="s">
        <v>361</v>
      </c>
      <c r="B369" s="780"/>
      <c r="C369" s="780"/>
      <c r="D369" s="780"/>
      <c r="E369" s="780"/>
      <c r="F369" s="780"/>
      <c r="G369" s="780"/>
      <c r="H369" s="780"/>
    </row>
    <row r="370" spans="1:8">
      <c r="A370" s="780"/>
      <c r="B370" s="780"/>
      <c r="C370" s="780"/>
      <c r="D370" s="780"/>
      <c r="E370" s="780"/>
      <c r="F370" s="780"/>
      <c r="G370" s="780"/>
      <c r="H370" s="780"/>
    </row>
    <row r="371" spans="1:8">
      <c r="A371" s="781" t="s">
        <v>352</v>
      </c>
      <c r="B371" s="780"/>
      <c r="C371" s="780"/>
      <c r="D371" s="780"/>
      <c r="E371" s="780"/>
      <c r="F371" s="780"/>
      <c r="G371" s="780"/>
      <c r="H371" s="780"/>
    </row>
    <row r="372" spans="1:8">
      <c r="A372" s="781" t="s">
        <v>353</v>
      </c>
      <c r="B372" s="780"/>
      <c r="C372" s="780"/>
      <c r="D372" s="780"/>
      <c r="E372" s="780"/>
      <c r="F372" s="780"/>
      <c r="G372" s="780"/>
      <c r="H372" s="780"/>
    </row>
    <row r="373" spans="1:8">
      <c r="A373" s="781" t="s">
        <v>354</v>
      </c>
      <c r="B373" s="780"/>
      <c r="C373" s="780"/>
      <c r="D373" s="780"/>
      <c r="E373" s="780"/>
      <c r="F373" s="780"/>
      <c r="G373" s="780"/>
      <c r="H373" s="780"/>
    </row>
    <row r="374" spans="1:8">
      <c r="A374" s="781" t="s">
        <v>355</v>
      </c>
      <c r="B374" s="780"/>
      <c r="C374" s="780"/>
      <c r="D374" s="780"/>
      <c r="E374" s="780"/>
      <c r="F374" s="780"/>
      <c r="G374" s="780"/>
      <c r="H374" s="780"/>
    </row>
    <row r="375" spans="1:8">
      <c r="A375" s="781" t="s">
        <v>356</v>
      </c>
      <c r="B375" s="780"/>
      <c r="C375" s="780"/>
      <c r="D375" s="780"/>
      <c r="E375" s="780"/>
      <c r="F375" s="780"/>
      <c r="G375" s="780"/>
      <c r="H375" s="780"/>
    </row>
    <row r="376" spans="1:8">
      <c r="A376" s="781" t="s">
        <v>357</v>
      </c>
      <c r="B376" s="780"/>
      <c r="C376" s="780"/>
      <c r="D376" s="780"/>
      <c r="E376" s="780"/>
      <c r="F376" s="780"/>
      <c r="G376" s="780"/>
      <c r="H376" s="780"/>
    </row>
    <row r="377" spans="1:8">
      <c r="A377" s="780"/>
      <c r="B377" s="780"/>
      <c r="C377" s="780"/>
      <c r="D377" s="780"/>
      <c r="E377" s="780"/>
      <c r="F377" s="780"/>
      <c r="G377" s="780"/>
      <c r="H377" s="780"/>
    </row>
    <row r="378" spans="1:8">
      <c r="A378" s="781" t="s">
        <v>347</v>
      </c>
      <c r="B378" s="780"/>
      <c r="C378" s="780"/>
      <c r="D378" s="780"/>
      <c r="E378" s="780"/>
      <c r="F378" s="780"/>
      <c r="G378" s="780"/>
      <c r="H378" s="780"/>
    </row>
    <row r="379" spans="1:8">
      <c r="A379" s="781" t="s">
        <v>348</v>
      </c>
      <c r="B379" s="780"/>
      <c r="C379" s="780"/>
      <c r="D379" s="780"/>
      <c r="E379" s="780"/>
      <c r="F379" s="780"/>
      <c r="G379" s="780"/>
      <c r="H379" s="780"/>
    </row>
    <row r="380" spans="1:8">
      <c r="A380" s="781" t="s">
        <v>349</v>
      </c>
      <c r="B380" s="780"/>
      <c r="C380" s="780"/>
      <c r="D380" s="780"/>
      <c r="E380" s="780"/>
      <c r="F380" s="780"/>
      <c r="G380" s="780"/>
      <c r="H380" s="780"/>
    </row>
    <row r="381" spans="1:8">
      <c r="A381" s="781" t="s">
        <v>350</v>
      </c>
      <c r="B381" s="780"/>
      <c r="C381" s="780"/>
      <c r="D381" s="780"/>
      <c r="E381" s="780"/>
      <c r="F381" s="780"/>
      <c r="G381" s="780"/>
      <c r="H381" s="780"/>
    </row>
    <row r="382" spans="1:8">
      <c r="A382" s="781" t="s">
        <v>351</v>
      </c>
      <c r="B382" s="780"/>
      <c r="C382" s="780"/>
      <c r="D382" s="780"/>
      <c r="E382" s="780"/>
      <c r="F382" s="780"/>
      <c r="G382" s="780"/>
      <c r="H382" s="780"/>
    </row>
    <row r="383" spans="1:8">
      <c r="A383" s="780"/>
      <c r="B383" s="780"/>
      <c r="C383" s="780"/>
      <c r="D383" s="780"/>
      <c r="E383" s="780"/>
      <c r="F383" s="780"/>
      <c r="G383" s="780"/>
      <c r="H383" s="780"/>
    </row>
    <row r="384" spans="1:8">
      <c r="A384" s="781" t="s">
        <v>345</v>
      </c>
      <c r="B384" s="780"/>
      <c r="C384" s="780"/>
      <c r="D384" s="780"/>
      <c r="E384" s="780"/>
      <c r="F384" s="780"/>
      <c r="G384" s="780"/>
      <c r="H384" s="780"/>
    </row>
    <row r="385" spans="1:8">
      <c r="A385" s="781" t="s">
        <v>346</v>
      </c>
      <c r="B385" s="780"/>
      <c r="C385" s="780"/>
      <c r="D385" s="780"/>
      <c r="E385" s="780"/>
      <c r="F385" s="780"/>
      <c r="G385" s="780"/>
      <c r="H385" s="780"/>
    </row>
    <row r="387" spans="1:8">
      <c r="A387" s="776" t="s">
        <v>598</v>
      </c>
    </row>
  </sheetData>
  <mergeCells count="12">
    <mergeCell ref="A125:H125"/>
    <mergeCell ref="A126:H126"/>
    <mergeCell ref="B118:C118"/>
    <mergeCell ref="D118:F118"/>
    <mergeCell ref="G118:H118"/>
    <mergeCell ref="A104:H104"/>
    <mergeCell ref="A105:H105"/>
    <mergeCell ref="A106:H106"/>
    <mergeCell ref="A107:H107"/>
    <mergeCell ref="A109:H109"/>
    <mergeCell ref="A110:H110"/>
    <mergeCell ref="A117:H117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2:V61"/>
  <sheetViews>
    <sheetView showGridLines="0" zoomScale="85" zoomScaleNormal="85" workbookViewId="0">
      <selection activeCell="E13" sqref="E13"/>
    </sheetView>
  </sheetViews>
  <sheetFormatPr defaultRowHeight="15"/>
  <cols>
    <col min="1" max="1" width="3.5703125" style="5" customWidth="1"/>
    <col min="2" max="15" width="10.5703125" style="5" customWidth="1"/>
    <col min="16" max="16" width="3.5703125" style="5" customWidth="1"/>
    <col min="17" max="21" width="9.140625" style="5"/>
    <col min="22" max="22" width="9.140625" style="6"/>
    <col min="23" max="16384" width="9.140625" style="5"/>
  </cols>
  <sheetData>
    <row r="2" spans="1:22">
      <c r="A2" s="1"/>
      <c r="B2" s="2" t="s">
        <v>240</v>
      </c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2">
      <c r="A3" s="1"/>
      <c r="B3" s="2" t="s">
        <v>0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2" ht="15.75" thickBot="1">
      <c r="A4" s="7"/>
      <c r="B4" s="7"/>
      <c r="C4" s="7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</row>
    <row r="5" spans="1:22" ht="15.75" thickBot="1">
      <c r="A5" s="7"/>
      <c r="B5" s="9" t="s">
        <v>1</v>
      </c>
      <c r="C5" s="10"/>
      <c r="D5" s="11"/>
      <c r="E5" s="12">
        <v>31</v>
      </c>
      <c r="F5" s="8"/>
      <c r="G5" s="9" t="s">
        <v>2</v>
      </c>
      <c r="H5" s="10"/>
      <c r="I5" s="11"/>
      <c r="J5" s="12">
        <v>51</v>
      </c>
      <c r="K5" s="8"/>
      <c r="L5" s="9" t="s">
        <v>3</v>
      </c>
      <c r="M5" s="10"/>
      <c r="N5" s="11"/>
      <c r="O5" s="12">
        <v>68</v>
      </c>
      <c r="Q5" s="56"/>
    </row>
    <row r="6" spans="1:22" s="14" customFormat="1">
      <c r="A6" s="13"/>
      <c r="B6" s="14" t="s">
        <v>4</v>
      </c>
      <c r="C6" s="13"/>
      <c r="D6" s="15"/>
      <c r="E6" s="15">
        <f>E5/$E$12-1</f>
        <v>-0.37449556093623892</v>
      </c>
      <c r="F6" s="15"/>
      <c r="G6" s="14" t="s">
        <v>4</v>
      </c>
      <c r="H6" s="13"/>
      <c r="I6" s="15"/>
      <c r="J6" s="15">
        <f>J5/$E$12-1</f>
        <v>2.9055690072639084E-2</v>
      </c>
      <c r="K6" s="15"/>
      <c r="L6" s="14" t="s">
        <v>4</v>
      </c>
      <c r="M6" s="13"/>
      <c r="N6" s="15"/>
      <c r="O6" s="15">
        <f>O5/$E$12-1</f>
        <v>0.37207425343018552</v>
      </c>
      <c r="Q6" s="56"/>
      <c r="V6" s="6"/>
    </row>
    <row r="7" spans="1:22">
      <c r="A7" s="7"/>
      <c r="B7" s="7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Q7" s="56"/>
    </row>
    <row r="8" spans="1:22">
      <c r="A8" s="7"/>
      <c r="B8" s="16" t="s">
        <v>5</v>
      </c>
      <c r="C8" s="17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</row>
    <row r="10" spans="1:22">
      <c r="E10" s="19" t="s">
        <v>220</v>
      </c>
      <c r="F10" s="19">
        <v>2017</v>
      </c>
      <c r="G10" s="19" t="s">
        <v>7</v>
      </c>
      <c r="K10" s="20" t="s">
        <v>8</v>
      </c>
      <c r="L10" s="19"/>
      <c r="M10" s="19">
        <v>2017</v>
      </c>
      <c r="N10" s="19" t="s">
        <v>7</v>
      </c>
      <c r="O10" s="19" t="s">
        <v>9</v>
      </c>
    </row>
    <row r="12" spans="1:22" s="21" customFormat="1" ht="15.75" thickBot="1">
      <c r="B12" s="5" t="s">
        <v>10</v>
      </c>
      <c r="C12" s="5"/>
      <c r="D12" s="5"/>
      <c r="E12" s="22">
        <v>49.56</v>
      </c>
      <c r="F12" s="23">
        <f>E12</f>
        <v>49.56</v>
      </c>
      <c r="G12" s="23">
        <f>F12</f>
        <v>49.56</v>
      </c>
      <c r="H12" s="5"/>
      <c r="I12" s="5"/>
      <c r="J12" s="5"/>
      <c r="K12" s="21" t="s">
        <v>11</v>
      </c>
      <c r="V12" s="24"/>
    </row>
    <row r="13" spans="1:22" s="25" customFormat="1">
      <c r="B13" s="5" t="s">
        <v>12</v>
      </c>
      <c r="C13" s="5"/>
      <c r="D13" s="5"/>
      <c r="E13" s="26">
        <f>Financials!AH35</f>
        <v>88.79</v>
      </c>
      <c r="F13" s="26">
        <f>Financials!AU35</f>
        <v>88.66</v>
      </c>
      <c r="G13" s="26">
        <f>Financials!AV35</f>
        <v>87.87373946786073</v>
      </c>
      <c r="H13" s="5"/>
      <c r="I13" s="5"/>
      <c r="J13" s="5"/>
      <c r="K13" s="27" t="s">
        <v>15</v>
      </c>
      <c r="L13" s="28"/>
      <c r="M13" s="29">
        <f>E$19/C25</f>
        <v>7.9845333333333341</v>
      </c>
      <c r="N13" s="29">
        <f>F$19/C26</f>
        <v>7.1830511241057833</v>
      </c>
      <c r="O13" s="30">
        <f>G$19/C27</f>
        <v>7.0868030640108959</v>
      </c>
      <c r="V13" s="31"/>
    </row>
    <row r="14" spans="1:22" ht="15.75" thickBot="1">
      <c r="B14" s="32" t="s">
        <v>14</v>
      </c>
      <c r="C14" s="32"/>
      <c r="D14" s="32"/>
      <c r="E14" s="33">
        <f>E12*E13</f>
        <v>4400.4324000000006</v>
      </c>
      <c r="F14" s="33">
        <f>F12*F13</f>
        <v>4393.9895999999999</v>
      </c>
      <c r="G14" s="33">
        <f>G12*G13</f>
        <v>4355.0225280271779</v>
      </c>
      <c r="K14" s="34" t="s">
        <v>17</v>
      </c>
      <c r="L14" s="35"/>
      <c r="M14" s="36">
        <f>E$12/C39</f>
        <v>9.6148568927789935</v>
      </c>
      <c r="N14" s="36">
        <f>F$12/C40</f>
        <v>9.8583566822815989</v>
      </c>
      <c r="O14" s="37">
        <f>G$12/C41</f>
        <v>9.7680466363287142</v>
      </c>
    </row>
    <row r="15" spans="1:22" s="21" customFormat="1" ht="15.75" thickBot="1">
      <c r="B15" s="38" t="s">
        <v>16</v>
      </c>
      <c r="C15" s="5"/>
      <c r="D15" s="5"/>
      <c r="E15" s="26">
        <f>Financials!AH103</f>
        <v>1535</v>
      </c>
      <c r="F15" s="26">
        <f>Financials!AU103</f>
        <v>1535</v>
      </c>
      <c r="G15" s="26">
        <f>Financials!AV103</f>
        <v>1535</v>
      </c>
      <c r="H15" s="5"/>
      <c r="I15" s="5"/>
      <c r="J15" s="5"/>
      <c r="K15" s="39" t="s">
        <v>13</v>
      </c>
      <c r="L15" s="40"/>
      <c r="M15" s="41">
        <f>E12/C53</f>
        <v>22.885362500000003</v>
      </c>
      <c r="N15" s="41">
        <f>F12/C54</f>
        <v>25.878283544211559</v>
      </c>
      <c r="O15" s="42">
        <f>G12/C55</f>
        <v>16.332004369537952</v>
      </c>
      <c r="V15" s="24"/>
    </row>
    <row r="16" spans="1:22" s="21" customFormat="1">
      <c r="B16" s="38" t="s">
        <v>18</v>
      </c>
      <c r="C16" s="5"/>
      <c r="D16" s="5"/>
      <c r="E16" s="26">
        <f>Financials!AH59</f>
        <v>338</v>
      </c>
      <c r="F16" s="26">
        <f>Financials!AU59</f>
        <v>338</v>
      </c>
      <c r="G16" s="26">
        <f>Financials!AV59</f>
        <v>346.53455067535123</v>
      </c>
      <c r="H16" s="5"/>
      <c r="I16" s="5"/>
      <c r="J16" s="5"/>
      <c r="V16" s="24"/>
    </row>
    <row r="17" spans="2:22" s="21" customFormat="1" ht="15.75" thickBot="1">
      <c r="B17" s="38" t="s">
        <v>19</v>
      </c>
      <c r="C17" s="5"/>
      <c r="D17" s="5"/>
      <c r="E17" s="26">
        <f>Financials!AH82</f>
        <v>164</v>
      </c>
      <c r="F17" s="26">
        <f>Financials!AU82</f>
        <v>164</v>
      </c>
      <c r="G17" s="26">
        <f>Financials!AV82</f>
        <v>164</v>
      </c>
      <c r="H17" s="5"/>
      <c r="I17" s="5"/>
      <c r="J17" s="5"/>
      <c r="K17" s="21" t="s">
        <v>282</v>
      </c>
      <c r="V17" s="24"/>
    </row>
    <row r="18" spans="2:22" s="21" customFormat="1">
      <c r="B18" s="38" t="s">
        <v>20</v>
      </c>
      <c r="C18" s="5"/>
      <c r="D18" s="5"/>
      <c r="E18" s="757">
        <f>530*(1-AVERAGE(0.16,0.17))</f>
        <v>442.54999999999995</v>
      </c>
      <c r="F18" s="758">
        <f>E18</f>
        <v>442.54999999999995</v>
      </c>
      <c r="G18" s="758">
        <f>F18</f>
        <v>442.54999999999995</v>
      </c>
      <c r="H18" s="5"/>
      <c r="I18" s="5"/>
      <c r="J18" s="5"/>
      <c r="K18" s="27" t="s">
        <v>15</v>
      </c>
      <c r="L18" s="28"/>
      <c r="M18" s="29">
        <f>E$19/C31</f>
        <v>7.9845333333333341</v>
      </c>
      <c r="N18" s="29">
        <f>F$19/C32</f>
        <v>7.4586208349028729</v>
      </c>
      <c r="O18" s="30">
        <f>G$19/C33</f>
        <v>6.8981801001091672</v>
      </c>
      <c r="V18" s="24"/>
    </row>
    <row r="19" spans="2:22" s="25" customFormat="1" ht="15.75" thickBot="1">
      <c r="B19" s="32" t="s">
        <v>21</v>
      </c>
      <c r="C19" s="32"/>
      <c r="D19" s="32"/>
      <c r="E19" s="33">
        <f>E14+E15-E16+E17+E18</f>
        <v>6203.9824000000008</v>
      </c>
      <c r="F19" s="33">
        <f>F14+F15-F16+F17+F18</f>
        <v>6197.5396000000001</v>
      </c>
      <c r="G19" s="33">
        <f>G14+G15-G16+G17+G18</f>
        <v>6150.0379773518271</v>
      </c>
      <c r="H19" s="5"/>
      <c r="I19" s="5"/>
      <c r="J19" s="5"/>
      <c r="K19" s="39" t="s">
        <v>17</v>
      </c>
      <c r="L19" s="40"/>
      <c r="M19" s="41">
        <f>E$12/C45</f>
        <v>9.6148568927789935</v>
      </c>
      <c r="N19" s="41">
        <f>F$12/C46</f>
        <v>10.337922403003754</v>
      </c>
      <c r="O19" s="42">
        <f>G$12/C47</f>
        <v>9.4652406417112314</v>
      </c>
      <c r="Q19" s="21"/>
      <c r="R19" s="21"/>
      <c r="T19" s="21"/>
      <c r="V19" s="24"/>
    </row>
    <row r="20" spans="2:22">
      <c r="Q20" s="21"/>
      <c r="R20" s="21"/>
      <c r="T20" s="21"/>
      <c r="V20" s="24"/>
    </row>
    <row r="21" spans="2:22">
      <c r="B21" s="44" t="s">
        <v>15</v>
      </c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6" t="s">
        <v>22</v>
      </c>
      <c r="O21" s="47">
        <f>(Financials!AX51/Financials!AU51)^(1/3)-1</f>
        <v>4.2348179011485243E-2</v>
      </c>
    </row>
    <row r="23" spans="2:22">
      <c r="B23" s="43" t="s">
        <v>11</v>
      </c>
    </row>
    <row r="24" spans="2:22">
      <c r="B24" s="50"/>
      <c r="C24" s="51"/>
      <c r="D24" s="52">
        <v>5.5</v>
      </c>
      <c r="E24" s="51">
        <f t="shared" ref="E24:J24" si="0">D24+0.5</f>
        <v>6</v>
      </c>
      <c r="F24" s="51">
        <f t="shared" si="0"/>
        <v>6.5</v>
      </c>
      <c r="G24" s="51">
        <f t="shared" si="0"/>
        <v>7</v>
      </c>
      <c r="H24" s="51">
        <f t="shared" si="0"/>
        <v>7.5</v>
      </c>
      <c r="I24" s="51">
        <f t="shared" si="0"/>
        <v>8</v>
      </c>
      <c r="J24" s="51">
        <f t="shared" si="0"/>
        <v>8.5</v>
      </c>
      <c r="K24" s="52">
        <v>9</v>
      </c>
    </row>
    <row r="25" spans="2:22">
      <c r="B25" s="761">
        <v>2017</v>
      </c>
      <c r="C25" s="58">
        <f>Financials!$AU$51</f>
        <v>777</v>
      </c>
      <c r="D25" s="55">
        <f t="shared" ref="D25:K25" si="1">($C25*D$24-$E$15+$E$16-$E$17-$E$18)/$E$13</f>
        <v>27.817884896947849</v>
      </c>
      <c r="E25" s="55">
        <f t="shared" si="1"/>
        <v>32.193377632616283</v>
      </c>
      <c r="F25" s="55">
        <f t="shared" si="1"/>
        <v>36.568870368284713</v>
      </c>
      <c r="G25" s="55">
        <f t="shared" si="1"/>
        <v>40.944363103953144</v>
      </c>
      <c r="H25" s="55">
        <f t="shared" si="1"/>
        <v>45.319855839621574</v>
      </c>
      <c r="I25" s="55">
        <f t="shared" si="1"/>
        <v>49.695348575290005</v>
      </c>
      <c r="J25" s="55">
        <f t="shared" si="1"/>
        <v>54.070841310958436</v>
      </c>
      <c r="K25" s="55">
        <f t="shared" si="1"/>
        <v>58.446334046626866</v>
      </c>
    </row>
    <row r="26" spans="2:22">
      <c r="B26" s="53" t="s">
        <v>7</v>
      </c>
      <c r="C26" s="58">
        <f>Financials!$AV$51</f>
        <v>862.80043019623236</v>
      </c>
      <c r="D26" s="55">
        <f t="shared" ref="D26:K26" si="2">($C26*D$24-$F$15+$F$16-$F$17-$F$18)/$F$13</f>
        <v>33.181280916752513</v>
      </c>
      <c r="E26" s="55">
        <f t="shared" si="2"/>
        <v>38.047062724761943</v>
      </c>
      <c r="F26" s="55">
        <f t="shared" si="2"/>
        <v>42.912844532771373</v>
      </c>
      <c r="G26" s="55">
        <f t="shared" si="2"/>
        <v>47.778626340780811</v>
      </c>
      <c r="H26" s="55">
        <f t="shared" si="2"/>
        <v>52.644408148790241</v>
      </c>
      <c r="I26" s="55">
        <f t="shared" si="2"/>
        <v>57.510189956799671</v>
      </c>
      <c r="J26" s="55">
        <f t="shared" si="2"/>
        <v>62.375971764809101</v>
      </c>
      <c r="K26" s="55">
        <f t="shared" si="2"/>
        <v>67.241753572818524</v>
      </c>
    </row>
    <row r="27" spans="2:22">
      <c r="B27" s="53" t="s">
        <v>9</v>
      </c>
      <c r="C27" s="58">
        <f>Financials!$AW$51</f>
        <v>867.81556109322855</v>
      </c>
      <c r="D27" s="55">
        <f t="shared" ref="D27:K27" si="3">($C27*D$24-$G$15+$G$16-$G$17-$G$18)/$G$13</f>
        <v>33.889193230217337</v>
      </c>
      <c r="E27" s="55">
        <f t="shared" si="3"/>
        <v>38.827048193193086</v>
      </c>
      <c r="F27" s="55">
        <f t="shared" si="3"/>
        <v>43.764903156168835</v>
      </c>
      <c r="G27" s="55">
        <f t="shared" si="3"/>
        <v>48.702758119144598</v>
      </c>
      <c r="H27" s="57">
        <f t="shared" si="3"/>
        <v>53.640613082120346</v>
      </c>
      <c r="I27" s="57">
        <f t="shared" si="3"/>
        <v>58.578468045096095</v>
      </c>
      <c r="J27" s="55">
        <f t="shared" si="3"/>
        <v>63.516323008071844</v>
      </c>
      <c r="K27" s="55">
        <f t="shared" si="3"/>
        <v>68.454177971047599</v>
      </c>
    </row>
    <row r="29" spans="2:22">
      <c r="B29" s="43" t="s">
        <v>282</v>
      </c>
    </row>
    <row r="30" spans="2:22">
      <c r="B30" s="50"/>
      <c r="C30" s="51"/>
      <c r="D30" s="51">
        <f>D24</f>
        <v>5.5</v>
      </c>
      <c r="E30" s="51">
        <f t="shared" ref="E30:J30" si="4">E24</f>
        <v>6</v>
      </c>
      <c r="F30" s="51">
        <f t="shared" si="4"/>
        <v>6.5</v>
      </c>
      <c r="G30" s="51">
        <f t="shared" si="4"/>
        <v>7</v>
      </c>
      <c r="H30" s="51">
        <f t="shared" si="4"/>
        <v>7.5</v>
      </c>
      <c r="I30" s="51">
        <f t="shared" si="4"/>
        <v>8</v>
      </c>
      <c r="J30" s="51">
        <f t="shared" si="4"/>
        <v>8.5</v>
      </c>
      <c r="K30" s="51">
        <f t="shared" ref="K30" si="5">K24</f>
        <v>9</v>
      </c>
    </row>
    <row r="31" spans="2:22">
      <c r="B31" s="761">
        <v>2017</v>
      </c>
      <c r="C31" s="759">
        <f>C25</f>
        <v>777</v>
      </c>
      <c r="D31" s="55">
        <f t="shared" ref="D31:K31" si="6">($C31*D$30-$E$15+$E$16-$E$17-$E$18)/$E$13</f>
        <v>27.817884896947849</v>
      </c>
      <c r="E31" s="55">
        <f t="shared" si="6"/>
        <v>32.193377632616283</v>
      </c>
      <c r="F31" s="55">
        <f t="shared" si="6"/>
        <v>36.568870368284713</v>
      </c>
      <c r="G31" s="55">
        <f t="shared" si="6"/>
        <v>40.944363103953144</v>
      </c>
      <c r="H31" s="55">
        <f t="shared" si="6"/>
        <v>45.319855839621574</v>
      </c>
      <c r="I31" s="55">
        <f t="shared" si="6"/>
        <v>49.695348575290005</v>
      </c>
      <c r="J31" s="55">
        <f t="shared" si="6"/>
        <v>54.070841310958436</v>
      </c>
      <c r="K31" s="55">
        <f t="shared" si="6"/>
        <v>58.446334046626866</v>
      </c>
    </row>
    <row r="32" spans="2:22">
      <c r="B32" s="53" t="s">
        <v>7</v>
      </c>
      <c r="C32" s="716">
        <v>830.923</v>
      </c>
      <c r="D32" s="55">
        <f t="shared" ref="D32:K32" si="7">($C32*D$30-$F$15+$F$16-$F$17-$F$18)/$F$13</f>
        <v>31.203772840063163</v>
      </c>
      <c r="E32" s="55">
        <f t="shared" si="7"/>
        <v>35.889781186555382</v>
      </c>
      <c r="F32" s="55">
        <f t="shared" si="7"/>
        <v>40.575789533047598</v>
      </c>
      <c r="G32" s="55">
        <f t="shared" si="7"/>
        <v>45.26179787953982</v>
      </c>
      <c r="H32" s="55">
        <f t="shared" si="7"/>
        <v>49.947806226032029</v>
      </c>
      <c r="I32" s="55">
        <f t="shared" si="7"/>
        <v>54.633814572524251</v>
      </c>
      <c r="J32" s="55">
        <f t="shared" si="7"/>
        <v>59.319822919016474</v>
      </c>
      <c r="K32" s="55">
        <f t="shared" si="7"/>
        <v>64.005831265508689</v>
      </c>
    </row>
    <row r="33" spans="2:22">
      <c r="B33" s="53" t="s">
        <v>9</v>
      </c>
      <c r="C33" s="716">
        <v>891.54499999999996</v>
      </c>
      <c r="D33" s="55">
        <f t="shared" ref="D33:K33" si="8">($C33*D$30-$G$15+$G$16-$G$17-$G$18)/$G$13</f>
        <v>35.374414125305982</v>
      </c>
      <c r="E33" s="55">
        <f t="shared" si="8"/>
        <v>40.44728916965343</v>
      </c>
      <c r="F33" s="55">
        <f t="shared" si="8"/>
        <v>45.520164214000879</v>
      </c>
      <c r="G33" s="55">
        <f t="shared" si="8"/>
        <v>50.593039258348327</v>
      </c>
      <c r="H33" s="57">
        <f t="shared" si="8"/>
        <v>55.665914302695768</v>
      </c>
      <c r="I33" s="57">
        <f t="shared" si="8"/>
        <v>60.738789347043216</v>
      </c>
      <c r="J33" s="55">
        <f t="shared" si="8"/>
        <v>65.811664391390664</v>
      </c>
      <c r="K33" s="55">
        <f t="shared" si="8"/>
        <v>70.88453943573812</v>
      </c>
    </row>
    <row r="35" spans="2:22">
      <c r="B35" s="44" t="s">
        <v>17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6" t="s">
        <v>22</v>
      </c>
      <c r="O35" s="47">
        <f>(Financials!AX38/Financials!AU38)^(1/3)-1</f>
        <v>3.2663592909920602E-4</v>
      </c>
    </row>
    <row r="37" spans="2:22">
      <c r="B37" s="43" t="s">
        <v>11</v>
      </c>
    </row>
    <row r="38" spans="2:22">
      <c r="B38" s="59"/>
      <c r="C38" s="51"/>
      <c r="D38" s="52">
        <v>10</v>
      </c>
      <c r="E38" s="51">
        <f>D38+1</f>
        <v>11</v>
      </c>
      <c r="F38" s="51">
        <f t="shared" ref="F38:K38" si="9">E38+1</f>
        <v>12</v>
      </c>
      <c r="G38" s="51">
        <f t="shared" si="9"/>
        <v>13</v>
      </c>
      <c r="H38" s="51">
        <f t="shared" si="9"/>
        <v>14</v>
      </c>
      <c r="I38" s="51">
        <f t="shared" si="9"/>
        <v>15</v>
      </c>
      <c r="J38" s="51">
        <f t="shared" si="9"/>
        <v>16</v>
      </c>
      <c r="K38" s="51">
        <f t="shared" si="9"/>
        <v>17</v>
      </c>
      <c r="L38" s="52">
        <v>18</v>
      </c>
    </row>
    <row r="39" spans="2:22">
      <c r="B39" s="761">
        <v>2017</v>
      </c>
      <c r="C39" s="54">
        <f>Financials!$AU$38</f>
        <v>5.1545228964583805</v>
      </c>
      <c r="D39" s="55">
        <f t="shared" ref="D39:L41" si="10">$C39*D$38</f>
        <v>51.545228964583806</v>
      </c>
      <c r="E39" s="55">
        <f t="shared" si="10"/>
        <v>56.699751861042188</v>
      </c>
      <c r="F39" s="55">
        <f t="shared" si="10"/>
        <v>61.854274757500562</v>
      </c>
      <c r="G39" s="55">
        <f t="shared" si="10"/>
        <v>67.00879765395895</v>
      </c>
      <c r="H39" s="55">
        <f t="shared" si="10"/>
        <v>72.163320550417325</v>
      </c>
      <c r="I39" s="55">
        <f t="shared" si="10"/>
        <v>77.317843446875713</v>
      </c>
      <c r="J39" s="55">
        <f t="shared" si="10"/>
        <v>82.472366343334087</v>
      </c>
      <c r="K39" s="55">
        <f t="shared" si="10"/>
        <v>87.626889239792462</v>
      </c>
      <c r="L39" s="55">
        <f t="shared" si="10"/>
        <v>92.78141213625085</v>
      </c>
    </row>
    <row r="40" spans="2:22">
      <c r="B40" s="53" t="s">
        <v>7</v>
      </c>
      <c r="C40" s="54">
        <f>Financials!$AV$38</f>
        <v>5.0272070282336276</v>
      </c>
      <c r="D40" s="55">
        <f t="shared" si="10"/>
        <v>50.272070282336273</v>
      </c>
      <c r="E40" s="55">
        <f t="shared" si="10"/>
        <v>55.299277310569906</v>
      </c>
      <c r="F40" s="55">
        <f t="shared" si="10"/>
        <v>60.326484338803532</v>
      </c>
      <c r="G40" s="55">
        <f t="shared" si="10"/>
        <v>65.353691367037158</v>
      </c>
      <c r="H40" s="55">
        <f t="shared" si="10"/>
        <v>70.380898395270791</v>
      </c>
      <c r="I40" s="55">
        <f t="shared" si="10"/>
        <v>75.408105423504409</v>
      </c>
      <c r="J40" s="55">
        <f t="shared" si="10"/>
        <v>80.435312451738042</v>
      </c>
      <c r="K40" s="55">
        <f t="shared" si="10"/>
        <v>85.462519479971675</v>
      </c>
      <c r="L40" s="55">
        <f t="shared" si="10"/>
        <v>90.489726508205294</v>
      </c>
    </row>
    <row r="41" spans="2:22">
      <c r="B41" s="53" t="s">
        <v>9</v>
      </c>
      <c r="C41" s="54">
        <f>Financials!$AW$38</f>
        <v>5.0736858499097988</v>
      </c>
      <c r="D41" s="55">
        <f t="shared" si="10"/>
        <v>50.736858499097991</v>
      </c>
      <c r="E41" s="55">
        <f t="shared" si="10"/>
        <v>55.810544349007785</v>
      </c>
      <c r="F41" s="55">
        <f t="shared" si="10"/>
        <v>60.884230198917585</v>
      </c>
      <c r="G41" s="57">
        <f t="shared" si="10"/>
        <v>65.957916048827386</v>
      </c>
      <c r="H41" s="57">
        <f t="shared" si="10"/>
        <v>71.031601898737179</v>
      </c>
      <c r="I41" s="55">
        <f t="shared" si="10"/>
        <v>76.105287748646987</v>
      </c>
      <c r="J41" s="55">
        <f t="shared" si="10"/>
        <v>81.17897359855678</v>
      </c>
      <c r="K41" s="55">
        <f t="shared" si="10"/>
        <v>86.252659448466574</v>
      </c>
      <c r="L41" s="55">
        <f t="shared" si="10"/>
        <v>91.326345298376381</v>
      </c>
    </row>
    <row r="43" spans="2:22">
      <c r="B43" s="43" t="s">
        <v>282</v>
      </c>
    </row>
    <row r="44" spans="2:22">
      <c r="B44" s="59"/>
      <c r="C44" s="51"/>
      <c r="D44" s="51">
        <f>D38</f>
        <v>10</v>
      </c>
      <c r="E44" s="51">
        <f t="shared" ref="E44:L44" si="11">E38</f>
        <v>11</v>
      </c>
      <c r="F44" s="51">
        <f t="shared" si="11"/>
        <v>12</v>
      </c>
      <c r="G44" s="51">
        <f t="shared" si="11"/>
        <v>13</v>
      </c>
      <c r="H44" s="51">
        <f t="shared" si="11"/>
        <v>14</v>
      </c>
      <c r="I44" s="51">
        <f t="shared" si="11"/>
        <v>15</v>
      </c>
      <c r="J44" s="51">
        <f t="shared" si="11"/>
        <v>16</v>
      </c>
      <c r="K44" s="51">
        <f t="shared" si="11"/>
        <v>17</v>
      </c>
      <c r="L44" s="51">
        <f t="shared" si="11"/>
        <v>18</v>
      </c>
    </row>
    <row r="45" spans="2:22">
      <c r="B45" s="761">
        <v>2017</v>
      </c>
      <c r="C45" s="760">
        <f>C39</f>
        <v>5.1545228964583805</v>
      </c>
      <c r="D45" s="55">
        <f>$C45*D$44</f>
        <v>51.545228964583806</v>
      </c>
      <c r="E45" s="55">
        <f t="shared" ref="E45:L47" si="12">$C45*E$44</f>
        <v>56.699751861042188</v>
      </c>
      <c r="F45" s="55">
        <f t="shared" si="12"/>
        <v>61.854274757500562</v>
      </c>
      <c r="G45" s="55">
        <f t="shared" si="12"/>
        <v>67.00879765395895</v>
      </c>
      <c r="H45" s="55">
        <f t="shared" si="12"/>
        <v>72.163320550417325</v>
      </c>
      <c r="I45" s="55">
        <f t="shared" si="12"/>
        <v>77.317843446875713</v>
      </c>
      <c r="J45" s="55">
        <f t="shared" si="12"/>
        <v>82.472366343334087</v>
      </c>
      <c r="K45" s="55">
        <f t="shared" si="12"/>
        <v>87.626889239792462</v>
      </c>
      <c r="L45" s="55">
        <f t="shared" si="12"/>
        <v>92.78141213625085</v>
      </c>
    </row>
    <row r="46" spans="2:22">
      <c r="B46" s="53" t="s">
        <v>7</v>
      </c>
      <c r="C46" s="715">
        <v>4.7940000000000005</v>
      </c>
      <c r="D46" s="55">
        <f>$C46*D$44</f>
        <v>47.940000000000005</v>
      </c>
      <c r="E46" s="55">
        <f t="shared" si="12"/>
        <v>52.734000000000009</v>
      </c>
      <c r="F46" s="55">
        <f t="shared" si="12"/>
        <v>57.528000000000006</v>
      </c>
      <c r="G46" s="55">
        <f t="shared" si="12"/>
        <v>62.322000000000003</v>
      </c>
      <c r="H46" s="55">
        <f t="shared" si="12"/>
        <v>67.116000000000014</v>
      </c>
      <c r="I46" s="55">
        <f t="shared" si="12"/>
        <v>71.910000000000011</v>
      </c>
      <c r="J46" s="55">
        <f t="shared" si="12"/>
        <v>76.704000000000008</v>
      </c>
      <c r="K46" s="55">
        <f t="shared" si="12"/>
        <v>81.498000000000005</v>
      </c>
      <c r="L46" s="55">
        <f t="shared" si="12"/>
        <v>86.292000000000002</v>
      </c>
    </row>
    <row r="47" spans="2:22">
      <c r="B47" s="53" t="s">
        <v>9</v>
      </c>
      <c r="C47" s="715">
        <v>5.2359999999999998</v>
      </c>
      <c r="D47" s="55">
        <f>$C47*D$44</f>
        <v>52.36</v>
      </c>
      <c r="E47" s="55">
        <f t="shared" si="12"/>
        <v>57.595999999999997</v>
      </c>
      <c r="F47" s="55">
        <f t="shared" si="12"/>
        <v>62.831999999999994</v>
      </c>
      <c r="G47" s="57">
        <f t="shared" si="12"/>
        <v>68.067999999999998</v>
      </c>
      <c r="H47" s="57">
        <f t="shared" si="12"/>
        <v>73.304000000000002</v>
      </c>
      <c r="I47" s="55">
        <f t="shared" si="12"/>
        <v>78.539999999999992</v>
      </c>
      <c r="J47" s="55">
        <f t="shared" si="12"/>
        <v>83.775999999999996</v>
      </c>
      <c r="K47" s="55">
        <f t="shared" si="12"/>
        <v>89.012</v>
      </c>
      <c r="L47" s="55">
        <f t="shared" si="12"/>
        <v>94.24799999999999</v>
      </c>
    </row>
    <row r="48" spans="2:22" s="25" customFormat="1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Q48" s="48"/>
      <c r="R48" s="43"/>
      <c r="T48" s="21"/>
      <c r="V48" s="24"/>
    </row>
    <row r="49" spans="2:22" s="43" customFormat="1">
      <c r="B49" s="44" t="s">
        <v>13</v>
      </c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6" t="s">
        <v>22</v>
      </c>
      <c r="O49" s="47">
        <f>(Financials!AX153/Financials!AU153)^(1/3)-1</f>
        <v>0.21445185393060506</v>
      </c>
      <c r="Q49" s="48"/>
      <c r="T49" s="21"/>
      <c r="V49" s="24"/>
    </row>
    <row r="50" spans="2:22" s="25" customFormat="1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Q50" s="48"/>
      <c r="R50" s="43"/>
      <c r="T50" s="21"/>
      <c r="V50" s="24"/>
    </row>
    <row r="51" spans="2:22">
      <c r="B51" s="43" t="s">
        <v>11</v>
      </c>
      <c r="Q51" s="49"/>
      <c r="T51" s="21"/>
    </row>
    <row r="52" spans="2:22">
      <c r="B52" s="50"/>
      <c r="C52" s="51"/>
      <c r="D52" s="52">
        <v>15</v>
      </c>
      <c r="E52" s="51">
        <f>D52+1</f>
        <v>16</v>
      </c>
      <c r="F52" s="51">
        <f t="shared" ref="F52:M52" si="13">E52+1</f>
        <v>17</v>
      </c>
      <c r="G52" s="51">
        <f t="shared" si="13"/>
        <v>18</v>
      </c>
      <c r="H52" s="51">
        <f t="shared" si="13"/>
        <v>19</v>
      </c>
      <c r="I52" s="51">
        <f t="shared" si="13"/>
        <v>20</v>
      </c>
      <c r="J52" s="51">
        <f t="shared" si="13"/>
        <v>21</v>
      </c>
      <c r="K52" s="51">
        <f t="shared" si="13"/>
        <v>22</v>
      </c>
      <c r="L52" s="51">
        <f t="shared" si="13"/>
        <v>23</v>
      </c>
      <c r="M52" s="51">
        <f t="shared" si="13"/>
        <v>24</v>
      </c>
      <c r="N52" s="52">
        <v>25</v>
      </c>
    </row>
    <row r="53" spans="2:22">
      <c r="B53" s="761">
        <v>2017</v>
      </c>
      <c r="C53" s="54">
        <f>Financials!$AU$153</f>
        <v>2.1655763591247461</v>
      </c>
      <c r="D53" s="55">
        <f t="shared" ref="D53:N55" si="14">$C53*D$52</f>
        <v>32.483645386871189</v>
      </c>
      <c r="E53" s="55">
        <f t="shared" si="14"/>
        <v>34.649221745995938</v>
      </c>
      <c r="F53" s="55">
        <f t="shared" si="14"/>
        <v>36.814798105120687</v>
      </c>
      <c r="G53" s="55">
        <f t="shared" si="14"/>
        <v>38.980374464245429</v>
      </c>
      <c r="H53" s="55">
        <f t="shared" si="14"/>
        <v>41.145950823370178</v>
      </c>
      <c r="I53" s="55">
        <f t="shared" si="14"/>
        <v>43.31152718249492</v>
      </c>
      <c r="J53" s="55">
        <f t="shared" si="14"/>
        <v>45.47710354161967</v>
      </c>
      <c r="K53" s="55">
        <f t="shared" si="14"/>
        <v>47.642679900744412</v>
      </c>
      <c r="L53" s="55">
        <f t="shared" si="14"/>
        <v>49.808256259869161</v>
      </c>
      <c r="M53" s="55">
        <f t="shared" si="14"/>
        <v>51.97383261899391</v>
      </c>
      <c r="N53" s="55">
        <f t="shared" si="14"/>
        <v>54.139408978118652</v>
      </c>
      <c r="Q53" s="56"/>
      <c r="T53" s="56"/>
      <c r="V53" s="24"/>
    </row>
    <row r="54" spans="2:22" s="25" customFormat="1">
      <c r="B54" s="53" t="s">
        <v>7</v>
      </c>
      <c r="C54" s="54">
        <f>Financials!$AV$153</f>
        <v>1.915119289705965</v>
      </c>
      <c r="D54" s="55">
        <f t="shared" si="14"/>
        <v>28.726789345589474</v>
      </c>
      <c r="E54" s="55">
        <f t="shared" si="14"/>
        <v>30.64190863529544</v>
      </c>
      <c r="F54" s="55">
        <f t="shared" si="14"/>
        <v>32.557027925001407</v>
      </c>
      <c r="G54" s="55">
        <f t="shared" si="14"/>
        <v>34.47214721470737</v>
      </c>
      <c r="H54" s="55">
        <f t="shared" si="14"/>
        <v>36.387266504413333</v>
      </c>
      <c r="I54" s="55">
        <f t="shared" si="14"/>
        <v>38.302385794119303</v>
      </c>
      <c r="J54" s="55">
        <f t="shared" si="14"/>
        <v>40.217505083825266</v>
      </c>
      <c r="K54" s="55">
        <f t="shared" si="14"/>
        <v>42.132624373531229</v>
      </c>
      <c r="L54" s="55">
        <f t="shared" si="14"/>
        <v>44.047743663237192</v>
      </c>
      <c r="M54" s="55">
        <f t="shared" si="14"/>
        <v>45.962862952943162</v>
      </c>
      <c r="N54" s="55">
        <f t="shared" si="14"/>
        <v>47.877982242649125</v>
      </c>
      <c r="O54" s="5"/>
      <c r="V54" s="31"/>
    </row>
    <row r="55" spans="2:22">
      <c r="B55" s="53" t="s">
        <v>9</v>
      </c>
      <c r="C55" s="54">
        <f>Financials!$AW$153</f>
        <v>3.0345326194277833</v>
      </c>
      <c r="D55" s="55">
        <f t="shared" si="14"/>
        <v>45.517989291416747</v>
      </c>
      <c r="E55" s="55">
        <f t="shared" si="14"/>
        <v>48.552521910844533</v>
      </c>
      <c r="F55" s="55">
        <f t="shared" si="14"/>
        <v>51.587054530272319</v>
      </c>
      <c r="G55" s="55">
        <f t="shared" si="14"/>
        <v>54.621587149700098</v>
      </c>
      <c r="H55" s="55">
        <f t="shared" si="14"/>
        <v>57.656119769127884</v>
      </c>
      <c r="I55" s="57">
        <f t="shared" si="14"/>
        <v>60.690652388555662</v>
      </c>
      <c r="J55" s="57">
        <f t="shared" si="14"/>
        <v>63.725185007983448</v>
      </c>
      <c r="K55" s="55">
        <f t="shared" si="14"/>
        <v>66.759717627411234</v>
      </c>
      <c r="L55" s="55">
        <f t="shared" si="14"/>
        <v>69.794250246839013</v>
      </c>
      <c r="M55" s="55">
        <f t="shared" si="14"/>
        <v>72.828782866266806</v>
      </c>
      <c r="N55" s="55">
        <f t="shared" si="14"/>
        <v>75.863315485694585</v>
      </c>
      <c r="Q55" s="56"/>
      <c r="T55" s="56"/>
      <c r="V55" s="24"/>
    </row>
    <row r="56" spans="2:22">
      <c r="Q56" s="56"/>
      <c r="T56" s="56"/>
      <c r="V56" s="24"/>
    </row>
    <row r="57" spans="2:22">
      <c r="V57" s="5"/>
    </row>
    <row r="58" spans="2:22">
      <c r="V58" s="5"/>
    </row>
    <row r="59" spans="2:22">
      <c r="V59" s="5"/>
    </row>
    <row r="60" spans="2:22">
      <c r="V60" s="5"/>
    </row>
    <row r="61" spans="2:22">
      <c r="V61" s="5"/>
    </row>
  </sheetData>
  <pageMargins left="0" right="0" top="0" bottom="0" header="0" footer="0"/>
  <pageSetup scale="77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IV46"/>
  <sheetViews>
    <sheetView zoomScale="85" zoomScaleNormal="85" workbookViewId="0">
      <selection activeCell="E32" sqref="E32"/>
    </sheetView>
  </sheetViews>
  <sheetFormatPr defaultRowHeight="15"/>
  <cols>
    <col min="1" max="1" width="3.5703125" style="61" customWidth="1"/>
    <col min="2" max="16" width="10.5703125" style="61" customWidth="1"/>
    <col min="17" max="17" width="3.5703125" style="61" customWidth="1"/>
    <col min="18" max="30" width="10.5703125" style="61" customWidth="1"/>
    <col min="31" max="31" width="3.5703125" style="61" customWidth="1"/>
    <col min="32" max="16384" width="9.140625" style="61"/>
  </cols>
  <sheetData>
    <row r="2" spans="1:256">
      <c r="A2" s="60"/>
      <c r="B2" s="2" t="s">
        <v>240</v>
      </c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</row>
    <row r="3" spans="1:256">
      <c r="A3" s="60"/>
      <c r="B3" s="63" t="s">
        <v>23</v>
      </c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</row>
    <row r="4" spans="1:256">
      <c r="A4" s="64"/>
    </row>
    <row r="5" spans="1:256">
      <c r="A5" s="64"/>
      <c r="B5" s="65" t="s">
        <v>24</v>
      </c>
      <c r="C5" s="66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</row>
    <row r="6" spans="1:256">
      <c r="B6" s="68"/>
      <c r="C6" s="69"/>
      <c r="D6" s="62"/>
    </row>
    <row r="7" spans="1:256">
      <c r="B7" s="68"/>
      <c r="C7" s="70"/>
      <c r="D7" s="62"/>
      <c r="E7" s="71">
        <v>2018</v>
      </c>
      <c r="F7" s="71">
        <f t="shared" ref="F7:M7" si="0">E7+1</f>
        <v>2019</v>
      </c>
      <c r="G7" s="71">
        <f t="shared" si="0"/>
        <v>2020</v>
      </c>
      <c r="H7" s="71">
        <f t="shared" si="0"/>
        <v>2021</v>
      </c>
      <c r="I7" s="71">
        <f t="shared" si="0"/>
        <v>2022</v>
      </c>
      <c r="J7" s="71">
        <f t="shared" si="0"/>
        <v>2023</v>
      </c>
      <c r="K7" s="71">
        <f t="shared" si="0"/>
        <v>2024</v>
      </c>
      <c r="L7" s="71">
        <f t="shared" si="0"/>
        <v>2025</v>
      </c>
      <c r="M7" s="71">
        <f t="shared" si="0"/>
        <v>2026</v>
      </c>
      <c r="N7" s="71">
        <f t="shared" ref="N7" si="1">M7+1</f>
        <v>2027</v>
      </c>
      <c r="O7" s="71">
        <f t="shared" ref="O7:P7" si="2">N7+1</f>
        <v>2028</v>
      </c>
      <c r="P7" s="71">
        <f t="shared" si="2"/>
        <v>2029</v>
      </c>
    </row>
    <row r="8" spans="1:256">
      <c r="B8" s="68"/>
      <c r="C8" s="70"/>
      <c r="D8" s="6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</row>
    <row r="9" spans="1:256">
      <c r="A9" s="73"/>
      <c r="B9" s="74" t="s">
        <v>25</v>
      </c>
      <c r="C9" s="75"/>
      <c r="D9" s="76"/>
      <c r="E9" s="77">
        <f>Financials!AV6</f>
        <v>5119.9350000000004</v>
      </c>
      <c r="F9" s="77">
        <f>Financials!AW6</f>
        <v>5243.0331195852295</v>
      </c>
      <c r="G9" s="77">
        <f>Financials!AX6</f>
        <v>5414.500408810025</v>
      </c>
      <c r="H9" s="77">
        <f>Financials!AY6</f>
        <v>5634.5666352634353</v>
      </c>
      <c r="I9" s="77">
        <f>Financials!AZ6</f>
        <v>5831.5857541977848</v>
      </c>
      <c r="J9" s="77">
        <f>Financials!BA6</f>
        <v>6003.1180336768775</v>
      </c>
      <c r="K9" s="78">
        <f t="shared" ref="K9:M9" si="3">J9*(1+K10)</f>
        <v>6149.6802327585974</v>
      </c>
      <c r="L9" s="78">
        <f t="shared" si="3"/>
        <v>6269.0722508746221</v>
      </c>
      <c r="M9" s="78">
        <f t="shared" si="3"/>
        <v>6359.4368256523776</v>
      </c>
      <c r="N9" s="78">
        <f t="shared" ref="N9" si="4">M9*(1+N10)</f>
        <v>6419.3067625237018</v>
      </c>
      <c r="O9" s="78">
        <f t="shared" ref="O9:P9" si="5">N9*(1+O10)</f>
        <v>6447.6438018664448</v>
      </c>
      <c r="P9" s="78">
        <f t="shared" si="5"/>
        <v>6443.86771168824</v>
      </c>
      <c r="Q9" s="73"/>
      <c r="R9" s="73"/>
      <c r="S9" s="73"/>
      <c r="T9" s="73"/>
      <c r="U9" s="73"/>
      <c r="V9" s="6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</row>
    <row r="10" spans="1:256">
      <c r="A10" s="79"/>
      <c r="B10" s="80" t="s">
        <v>26</v>
      </c>
      <c r="C10" s="81"/>
      <c r="D10" s="82"/>
      <c r="E10" s="83">
        <f>Financials!AV7</f>
        <v>5.5874407094246292E-2</v>
      </c>
      <c r="F10" s="84">
        <f>F9/E9-1</f>
        <v>2.4042906713704237E-2</v>
      </c>
      <c r="G10" s="84">
        <f>G9/F9-1</f>
        <v>3.2703834844049151E-2</v>
      </c>
      <c r="H10" s="84">
        <f t="shared" ref="H10:J10" si="6">H9/G9-1</f>
        <v>4.0643865516260202E-2</v>
      </c>
      <c r="I10" s="84">
        <f t="shared" si="6"/>
        <v>3.4966152978176401E-2</v>
      </c>
      <c r="J10" s="84">
        <f t="shared" si="6"/>
        <v>2.9414345721593405E-2</v>
      </c>
      <c r="K10" s="85">
        <f>J10-0.005</f>
        <v>2.4414345721593404E-2</v>
      </c>
      <c r="L10" s="85">
        <f t="shared" ref="L10:P10" si="7">K10-0.005</f>
        <v>1.9414345721593403E-2</v>
      </c>
      <c r="M10" s="85">
        <f t="shared" si="7"/>
        <v>1.4414345721593402E-2</v>
      </c>
      <c r="N10" s="85">
        <f t="shared" si="7"/>
        <v>9.4143457215934007E-3</v>
      </c>
      <c r="O10" s="85">
        <f t="shared" si="7"/>
        <v>4.4143457215934006E-3</v>
      </c>
      <c r="P10" s="85">
        <f t="shared" si="7"/>
        <v>-5.8565427840659955E-4</v>
      </c>
      <c r="Q10" s="79"/>
      <c r="R10" s="79"/>
      <c r="S10" s="79"/>
      <c r="T10" s="79"/>
      <c r="U10" s="79"/>
      <c r="V10" s="86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</row>
    <row r="11" spans="1:256">
      <c r="B11" s="68"/>
      <c r="C11" s="87"/>
      <c r="D11" s="6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</row>
    <row r="12" spans="1:256">
      <c r="A12" s="73"/>
      <c r="B12" s="74" t="s">
        <v>27</v>
      </c>
      <c r="C12" s="74"/>
      <c r="D12" s="76"/>
      <c r="E12" s="77">
        <f>Financials!AV51</f>
        <v>862.80043019623236</v>
      </c>
      <c r="F12" s="77">
        <f>Financials!AW51</f>
        <v>867.81556109322855</v>
      </c>
      <c r="G12" s="77">
        <f>Financials!AX51</f>
        <v>879.95295665188723</v>
      </c>
      <c r="H12" s="77">
        <f>Financials!AY51</f>
        <v>898.81394637689175</v>
      </c>
      <c r="I12" s="77">
        <f>Financials!AZ51</f>
        <v>912.74725506223103</v>
      </c>
      <c r="J12" s="77">
        <f>Financials!BA51</f>
        <v>921.58576427803644</v>
      </c>
      <c r="K12" s="78">
        <f t="shared" ref="K12:P12" si="8">K$9*K13</f>
        <v>935.40657497131076</v>
      </c>
      <c r="L12" s="78">
        <f t="shared" si="8"/>
        <v>944.71927973845754</v>
      </c>
      <c r="M12" s="78">
        <f t="shared" si="8"/>
        <v>949.36165578470934</v>
      </c>
      <c r="N12" s="78">
        <f t="shared" si="8"/>
        <v>949.23964534849972</v>
      </c>
      <c r="O12" s="78">
        <f t="shared" si="8"/>
        <v>944.33029570137455</v>
      </c>
      <c r="P12" s="78">
        <f t="shared" si="8"/>
        <v>934.68295224146209</v>
      </c>
      <c r="Q12" s="73"/>
      <c r="R12" s="73"/>
      <c r="S12" s="73"/>
      <c r="T12" s="73"/>
      <c r="U12" s="73"/>
      <c r="V12" s="6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73"/>
      <c r="EA12" s="73"/>
      <c r="EB12" s="73"/>
      <c r="EC12" s="73"/>
      <c r="ED12" s="73"/>
      <c r="EE12" s="73"/>
      <c r="EF12" s="73"/>
      <c r="EG12" s="73"/>
      <c r="EH12" s="73"/>
      <c r="EI12" s="73"/>
      <c r="EJ12" s="73"/>
      <c r="EK12" s="73"/>
      <c r="EL12" s="73"/>
      <c r="EM12" s="73"/>
      <c r="EN12" s="73"/>
      <c r="EO12" s="73"/>
      <c r="EP12" s="73"/>
      <c r="EQ12" s="73"/>
      <c r="ER12" s="73"/>
      <c r="ES12" s="73"/>
      <c r="ET12" s="73"/>
      <c r="EU12" s="73"/>
      <c r="EV12" s="73"/>
      <c r="EW12" s="73"/>
      <c r="EX12" s="73"/>
      <c r="EY12" s="73"/>
      <c r="EZ12" s="73"/>
      <c r="FA12" s="73"/>
      <c r="FB12" s="73"/>
      <c r="FC12" s="73"/>
      <c r="FD12" s="73"/>
      <c r="FE12" s="73"/>
      <c r="FF12" s="73"/>
      <c r="FG12" s="73"/>
      <c r="FH12" s="73"/>
      <c r="FI12" s="73"/>
      <c r="FJ12" s="73"/>
      <c r="FK12" s="73"/>
      <c r="FL12" s="73"/>
      <c r="FM12" s="73"/>
      <c r="FN12" s="73"/>
      <c r="FO12" s="73"/>
      <c r="FP12" s="73"/>
      <c r="FQ12" s="73"/>
      <c r="FR12" s="73"/>
      <c r="FS12" s="73"/>
      <c r="FT12" s="73"/>
      <c r="FU12" s="73"/>
      <c r="FV12" s="73"/>
      <c r="FW12" s="73"/>
      <c r="FX12" s="73"/>
      <c r="FY12" s="73"/>
      <c r="FZ12" s="73"/>
      <c r="GA12" s="73"/>
      <c r="GB12" s="73"/>
      <c r="GC12" s="73"/>
      <c r="GD12" s="73"/>
      <c r="GE12" s="73"/>
      <c r="GF12" s="73"/>
      <c r="GG12" s="73"/>
      <c r="GH12" s="73"/>
      <c r="GI12" s="73"/>
      <c r="GJ12" s="73"/>
      <c r="GK12" s="73"/>
      <c r="GL12" s="73"/>
      <c r="GM12" s="73"/>
      <c r="GN12" s="73"/>
      <c r="GO12" s="73"/>
      <c r="GP12" s="73"/>
      <c r="GQ12" s="73"/>
      <c r="GR12" s="73"/>
      <c r="GS12" s="73"/>
      <c r="GT12" s="73"/>
      <c r="GU12" s="73"/>
      <c r="GV12" s="73"/>
      <c r="GW12" s="73"/>
      <c r="GX12" s="73"/>
      <c r="GY12" s="73"/>
      <c r="GZ12" s="73"/>
      <c r="HA12" s="73"/>
      <c r="HB12" s="73"/>
      <c r="HC12" s="73"/>
      <c r="HD12" s="73"/>
      <c r="HE12" s="73"/>
      <c r="HF12" s="73"/>
      <c r="HG12" s="73"/>
      <c r="HH12" s="73"/>
      <c r="HI12" s="73"/>
      <c r="HJ12" s="73"/>
      <c r="HK12" s="73"/>
      <c r="HL12" s="73"/>
      <c r="HM12" s="73"/>
      <c r="HN12" s="73"/>
      <c r="HO12" s="73"/>
      <c r="HP12" s="73"/>
      <c r="HQ12" s="73"/>
      <c r="HR12" s="73"/>
      <c r="HS12" s="73"/>
      <c r="HT12" s="73"/>
      <c r="HU12" s="73"/>
      <c r="HV12" s="73"/>
      <c r="HW12" s="73"/>
      <c r="HX12" s="73"/>
      <c r="HY12" s="73"/>
      <c r="HZ12" s="73"/>
      <c r="IA12" s="73"/>
      <c r="IB12" s="73"/>
      <c r="IC12" s="73"/>
      <c r="ID12" s="73"/>
      <c r="IE12" s="73"/>
      <c r="IF12" s="73"/>
      <c r="IG12" s="73"/>
      <c r="IH12" s="73"/>
      <c r="II12" s="73"/>
      <c r="IJ12" s="73"/>
      <c r="IK12" s="73"/>
      <c r="IL12" s="73"/>
      <c r="IM12" s="73"/>
      <c r="IN12" s="73"/>
      <c r="IO12" s="73"/>
      <c r="IP12" s="73"/>
      <c r="IQ12" s="73"/>
      <c r="IR12" s="73"/>
      <c r="IS12" s="73"/>
      <c r="IT12" s="73"/>
      <c r="IU12" s="73"/>
      <c r="IV12" s="73"/>
    </row>
    <row r="13" spans="1:256">
      <c r="A13" s="79"/>
      <c r="B13" s="80" t="s">
        <v>28</v>
      </c>
      <c r="C13" s="81"/>
      <c r="D13" s="82"/>
      <c r="E13" s="84">
        <f>E12/E$9</f>
        <v>0.168517848409449</v>
      </c>
      <c r="F13" s="84">
        <f>F12/F$9</f>
        <v>0.165517848409449</v>
      </c>
      <c r="G13" s="84">
        <f>G12/G$9</f>
        <v>0.162517848409449</v>
      </c>
      <c r="H13" s="84">
        <f t="shared" ref="H13:J13" si="9">H12/H$9</f>
        <v>0.15951784840944899</v>
      </c>
      <c r="I13" s="84">
        <f t="shared" si="9"/>
        <v>0.15651784840944896</v>
      </c>
      <c r="J13" s="84">
        <f t="shared" si="9"/>
        <v>0.15351784840944899</v>
      </c>
      <c r="K13" s="85">
        <f>K16*J13/J16</f>
        <v>0.15210653880644295</v>
      </c>
      <c r="L13" s="85">
        <f t="shared" ref="L13:P13" si="10">L16*K13/K16</f>
        <v>0.15069522920343695</v>
      </c>
      <c r="M13" s="85">
        <f t="shared" si="10"/>
        <v>0.14928391960043094</v>
      </c>
      <c r="N13" s="85">
        <f t="shared" si="10"/>
        <v>0.14787260999742491</v>
      </c>
      <c r="O13" s="85">
        <f t="shared" si="10"/>
        <v>0.1464613003944189</v>
      </c>
      <c r="P13" s="85">
        <f t="shared" si="10"/>
        <v>0.1450499907914129</v>
      </c>
      <c r="Q13" s="73"/>
      <c r="R13" s="73"/>
      <c r="S13" s="79"/>
      <c r="T13" s="73"/>
      <c r="U13" s="79"/>
      <c r="V13" s="63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</row>
    <row r="14" spans="1:256">
      <c r="B14" s="68"/>
      <c r="C14" s="87"/>
      <c r="D14" s="88"/>
      <c r="E14" s="89"/>
      <c r="F14" s="89"/>
      <c r="G14" s="89"/>
      <c r="H14" s="89"/>
      <c r="I14" s="89"/>
      <c r="J14" s="89"/>
      <c r="K14" s="72"/>
      <c r="L14" s="72"/>
      <c r="M14" s="72"/>
      <c r="N14" s="72"/>
      <c r="O14" s="72"/>
      <c r="P14" s="72"/>
      <c r="Q14" s="73"/>
      <c r="R14" s="73"/>
      <c r="T14" s="73"/>
      <c r="V14" s="63"/>
    </row>
    <row r="15" spans="1:256">
      <c r="A15" s="63"/>
      <c r="B15" s="90" t="s">
        <v>29</v>
      </c>
      <c r="C15" s="91"/>
      <c r="D15" s="92"/>
      <c r="E15" s="77">
        <f>Financials!AV16</f>
        <v>633.72955500000012</v>
      </c>
      <c r="F15" s="77">
        <f>Financials!AW16</f>
        <v>633.23715621382655</v>
      </c>
      <c r="G15" s="77">
        <f>Financials!AX16</f>
        <v>637.70293836132885</v>
      </c>
      <c r="H15" s="77">
        <f>Financials!AY16</f>
        <v>646.71795092162029</v>
      </c>
      <c r="I15" s="77">
        <f>Financials!AZ16</f>
        <v>651.836432464685</v>
      </c>
      <c r="J15" s="77">
        <f>Financials!BA16</f>
        <v>653.00042054210076</v>
      </c>
      <c r="K15" s="78">
        <f t="shared" ref="K15:P15" si="11">K$9*K16</f>
        <v>662.79331833280298</v>
      </c>
      <c r="L15" s="78">
        <f t="shared" si="11"/>
        <v>669.39194470600353</v>
      </c>
      <c r="M15" s="78">
        <f t="shared" si="11"/>
        <v>672.68135479459329</v>
      </c>
      <c r="N15" s="78">
        <f t="shared" si="11"/>
        <v>672.59490286657581</v>
      </c>
      <c r="O15" s="78">
        <f t="shared" si="11"/>
        <v>669.11632549654405</v>
      </c>
      <c r="P15" s="78">
        <f t="shared" si="11"/>
        <v>662.28058694607705</v>
      </c>
      <c r="Q15" s="93"/>
      <c r="R15" s="63"/>
      <c r="S15" s="63"/>
      <c r="T15" s="7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  <c r="DY15" s="63"/>
      <c r="DZ15" s="63"/>
      <c r="EA15" s="63"/>
      <c r="EB15" s="63"/>
      <c r="EC15" s="63"/>
      <c r="ED15" s="63"/>
      <c r="EE15" s="63"/>
      <c r="EF15" s="63"/>
      <c r="EG15" s="63"/>
      <c r="EH15" s="63"/>
      <c r="EI15" s="63"/>
      <c r="EJ15" s="63"/>
      <c r="EK15" s="63"/>
      <c r="EL15" s="63"/>
      <c r="EM15" s="63"/>
      <c r="EN15" s="63"/>
      <c r="EO15" s="63"/>
      <c r="EP15" s="63"/>
      <c r="EQ15" s="63"/>
      <c r="ER15" s="63"/>
      <c r="ES15" s="63"/>
      <c r="ET15" s="63"/>
      <c r="EU15" s="63"/>
      <c r="EV15" s="63"/>
      <c r="EW15" s="63"/>
      <c r="EX15" s="63"/>
      <c r="EY15" s="63"/>
      <c r="EZ15" s="63"/>
      <c r="FA15" s="63"/>
      <c r="FB15" s="63"/>
      <c r="FC15" s="63"/>
      <c r="FD15" s="63"/>
      <c r="FE15" s="63"/>
      <c r="FF15" s="63"/>
      <c r="FG15" s="63"/>
      <c r="FH15" s="63"/>
      <c r="FI15" s="63"/>
      <c r="FJ15" s="63"/>
      <c r="FK15" s="63"/>
      <c r="FL15" s="63"/>
      <c r="FM15" s="63"/>
      <c r="FN15" s="63"/>
      <c r="FO15" s="63"/>
      <c r="FP15" s="63"/>
      <c r="FQ15" s="63"/>
      <c r="FR15" s="63"/>
      <c r="FS15" s="63"/>
      <c r="FT15" s="63"/>
      <c r="FU15" s="63"/>
      <c r="FV15" s="63"/>
      <c r="FW15" s="63"/>
      <c r="FX15" s="63"/>
      <c r="FY15" s="63"/>
      <c r="FZ15" s="63"/>
      <c r="GA15" s="63"/>
      <c r="GB15" s="63"/>
      <c r="GC15" s="63"/>
      <c r="GD15" s="63"/>
      <c r="GE15" s="63"/>
      <c r="GF15" s="63"/>
      <c r="GG15" s="63"/>
      <c r="GH15" s="63"/>
      <c r="GI15" s="63"/>
      <c r="GJ15" s="63"/>
      <c r="GK15" s="63"/>
      <c r="GL15" s="63"/>
      <c r="GM15" s="63"/>
      <c r="GN15" s="63"/>
      <c r="GO15" s="63"/>
      <c r="GP15" s="63"/>
      <c r="GQ15" s="63"/>
      <c r="GR15" s="63"/>
      <c r="GS15" s="63"/>
      <c r="GT15" s="63"/>
      <c r="GU15" s="63"/>
      <c r="GV15" s="63"/>
      <c r="GW15" s="63"/>
      <c r="GX15" s="63"/>
      <c r="GY15" s="63"/>
      <c r="GZ15" s="63"/>
      <c r="HA15" s="63"/>
      <c r="HB15" s="63"/>
      <c r="HC15" s="63"/>
      <c r="HD15" s="63"/>
      <c r="HE15" s="63"/>
      <c r="HF15" s="63"/>
      <c r="HG15" s="63"/>
      <c r="HH15" s="63"/>
      <c r="HI15" s="63"/>
      <c r="HJ15" s="63"/>
      <c r="HK15" s="63"/>
      <c r="HL15" s="63"/>
      <c r="HM15" s="63"/>
      <c r="HN15" s="63"/>
      <c r="HO15" s="63"/>
      <c r="HP15" s="63"/>
      <c r="HQ15" s="63"/>
      <c r="HR15" s="63"/>
      <c r="HS15" s="63"/>
      <c r="HT15" s="63"/>
      <c r="HU15" s="63"/>
      <c r="HV15" s="63"/>
      <c r="HW15" s="63"/>
      <c r="HX15" s="63"/>
      <c r="HY15" s="63"/>
      <c r="HZ15" s="63"/>
      <c r="IA15" s="63"/>
      <c r="IB15" s="63"/>
      <c r="IC15" s="63"/>
      <c r="ID15" s="63"/>
      <c r="IE15" s="63"/>
      <c r="IF15" s="63"/>
      <c r="IG15" s="63"/>
      <c r="IH15" s="63"/>
      <c r="II15" s="63"/>
      <c r="IJ15" s="63"/>
      <c r="IK15" s="63"/>
      <c r="IL15" s="63"/>
      <c r="IM15" s="63"/>
      <c r="IN15" s="63"/>
      <c r="IO15" s="63"/>
      <c r="IP15" s="63"/>
      <c r="IQ15" s="63"/>
      <c r="IR15" s="63"/>
      <c r="IS15" s="63"/>
      <c r="IT15" s="63"/>
      <c r="IU15" s="63"/>
      <c r="IV15" s="63"/>
    </row>
    <row r="16" spans="1:256">
      <c r="A16" s="79"/>
      <c r="B16" s="80" t="s">
        <v>28</v>
      </c>
      <c r="C16" s="81"/>
      <c r="D16" s="82"/>
      <c r="E16" s="84">
        <f>E15/E$9</f>
        <v>0.12377687509704714</v>
      </c>
      <c r="F16" s="84">
        <f>F15/F$9</f>
        <v>0.12077687509704711</v>
      </c>
      <c r="G16" s="84">
        <f>G15/G$9</f>
        <v>0.11777687509704711</v>
      </c>
      <c r="H16" s="84">
        <f t="shared" ref="H16:J16" si="12">H15/H$9</f>
        <v>0.11477687509704711</v>
      </c>
      <c r="I16" s="84">
        <f t="shared" si="12"/>
        <v>0.1117768750970471</v>
      </c>
      <c r="J16" s="84">
        <f t="shared" si="12"/>
        <v>0.10877687509704712</v>
      </c>
      <c r="K16" s="85">
        <f>J16-0.001</f>
        <v>0.10777687509704711</v>
      </c>
      <c r="L16" s="85">
        <f t="shared" ref="L16:P16" si="13">K16-0.001</f>
        <v>0.10677687509704711</v>
      </c>
      <c r="M16" s="85">
        <f t="shared" si="13"/>
        <v>0.10577687509704711</v>
      </c>
      <c r="N16" s="85">
        <f t="shared" si="13"/>
        <v>0.10477687509704711</v>
      </c>
      <c r="O16" s="85">
        <f t="shared" si="13"/>
        <v>0.10377687509704711</v>
      </c>
      <c r="P16" s="85">
        <f t="shared" si="13"/>
        <v>0.10277687509704711</v>
      </c>
      <c r="Q16" s="93"/>
      <c r="R16" s="63"/>
      <c r="S16" s="79"/>
      <c r="T16" s="73"/>
      <c r="U16" s="79"/>
      <c r="V16" s="63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</row>
    <row r="17" spans="1:256">
      <c r="C17" s="94"/>
      <c r="D17" s="94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95"/>
      <c r="T17" s="73"/>
    </row>
    <row r="18" spans="1:256">
      <c r="B18" s="61" t="s">
        <v>31</v>
      </c>
      <c r="C18" s="94"/>
      <c r="D18" s="94"/>
      <c r="E18" s="98">
        <f>-E15*E19</f>
        <v>-104.56537657500003</v>
      </c>
      <c r="F18" s="98">
        <f>-F15*F19</f>
        <v>-104.48413077528139</v>
      </c>
      <c r="G18" s="98">
        <f>-G15*G19</f>
        <v>-105.22098482961927</v>
      </c>
      <c r="H18" s="98">
        <f t="shared" ref="H18:J18" si="14">-H15*H19</f>
        <v>-106.70846190206736</v>
      </c>
      <c r="I18" s="98">
        <f t="shared" si="14"/>
        <v>-107.55301135667303</v>
      </c>
      <c r="J18" s="98">
        <f t="shared" si="14"/>
        <v>-107.74506938944663</v>
      </c>
      <c r="K18" s="98">
        <f t="shared" ref="K18:M18" si="15">-K15*K19</f>
        <v>-109.3608975249125</v>
      </c>
      <c r="L18" s="98">
        <f t="shared" si="15"/>
        <v>-110.44967087649059</v>
      </c>
      <c r="M18" s="98">
        <f t="shared" si="15"/>
        <v>-110.9924235411079</v>
      </c>
      <c r="N18" s="98">
        <f t="shared" ref="N18:O18" si="16">-N15*N19</f>
        <v>-110.97815897298501</v>
      </c>
      <c r="O18" s="98">
        <f t="shared" si="16"/>
        <v>-110.40419370692977</v>
      </c>
      <c r="P18" s="98">
        <f t="shared" ref="P18" si="17">-P15*P19</f>
        <v>-109.27629684610272</v>
      </c>
      <c r="Q18" s="99"/>
      <c r="T18" s="99"/>
      <c r="V18" s="63"/>
    </row>
    <row r="19" spans="1:256">
      <c r="A19" s="79"/>
      <c r="B19" s="80" t="s">
        <v>32</v>
      </c>
      <c r="C19" s="81"/>
      <c r="D19" s="82"/>
      <c r="E19" s="89">
        <f>$E$38</f>
        <v>0.16500000000000001</v>
      </c>
      <c r="F19" s="89">
        <f t="shared" ref="F19:P19" si="18">$E$38</f>
        <v>0.16500000000000001</v>
      </c>
      <c r="G19" s="89">
        <f t="shared" si="18"/>
        <v>0.16500000000000001</v>
      </c>
      <c r="H19" s="89">
        <f t="shared" si="18"/>
        <v>0.16500000000000001</v>
      </c>
      <c r="I19" s="89">
        <f t="shared" si="18"/>
        <v>0.16500000000000001</v>
      </c>
      <c r="J19" s="89">
        <f t="shared" si="18"/>
        <v>0.16500000000000001</v>
      </c>
      <c r="K19" s="89">
        <f t="shared" si="18"/>
        <v>0.16500000000000001</v>
      </c>
      <c r="L19" s="89">
        <f t="shared" si="18"/>
        <v>0.16500000000000001</v>
      </c>
      <c r="M19" s="89">
        <f t="shared" si="18"/>
        <v>0.16500000000000001</v>
      </c>
      <c r="N19" s="89">
        <f t="shared" si="18"/>
        <v>0.16500000000000001</v>
      </c>
      <c r="O19" s="89">
        <f t="shared" si="18"/>
        <v>0.16500000000000001</v>
      </c>
      <c r="P19" s="89">
        <f t="shared" si="18"/>
        <v>0.16500000000000001</v>
      </c>
      <c r="Q19" s="79"/>
      <c r="R19" s="79"/>
      <c r="S19" s="79"/>
      <c r="T19" s="79"/>
      <c r="U19" s="79"/>
      <c r="V19" s="86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</row>
    <row r="20" spans="1:256">
      <c r="B20" s="61" t="s">
        <v>33</v>
      </c>
      <c r="C20" s="94"/>
      <c r="D20" s="94"/>
      <c r="E20" s="96">
        <f>Financials!AV125</f>
        <v>-36.926662332735873</v>
      </c>
      <c r="F20" s="96">
        <f>Financials!AW125</f>
        <v>-16.684014008617964</v>
      </c>
      <c r="G20" s="96">
        <f>Financials!AX125</f>
        <v>-23.23969419748596</v>
      </c>
      <c r="H20" s="96">
        <f>Financials!AY125</f>
        <v>-29.826515769238313</v>
      </c>
      <c r="I20" s="96">
        <f>Financials!AZ125</f>
        <v>-26.702842832545571</v>
      </c>
      <c r="J20" s="96">
        <f>Financials!BA125</f>
        <v>-23.248502604281271</v>
      </c>
      <c r="K20" s="97">
        <f>J20/J9*K9</f>
        <v>-23.81609958437156</v>
      </c>
      <c r="L20" s="97">
        <f>K20/K9*L9</f>
        <v>-24.278473575442447</v>
      </c>
      <c r="M20" s="97">
        <f>L20/L9*M9</f>
        <v>-24.62843188715145</v>
      </c>
      <c r="N20" s="97">
        <f t="shared" ref="N20:P20" si="19">M20/M9*N9</f>
        <v>-24.860292459517812</v>
      </c>
      <c r="O20" s="97">
        <f t="shared" si="19"/>
        <v>-24.970034385174049</v>
      </c>
      <c r="P20" s="97">
        <f t="shared" si="19"/>
        <v>-24.955410577704409</v>
      </c>
      <c r="Q20" s="99"/>
      <c r="T20" s="99"/>
      <c r="V20" s="63"/>
    </row>
    <row r="21" spans="1:256">
      <c r="B21" s="61" t="s">
        <v>34</v>
      </c>
      <c r="C21" s="94"/>
      <c r="D21" s="94"/>
      <c r="E21" s="96">
        <f>Financials!AV130</f>
        <v>-290</v>
      </c>
      <c r="F21" s="96">
        <f>Financials!AW130</f>
        <v>-297.77665597926148</v>
      </c>
      <c r="G21" s="96">
        <f>Financials!AX130</f>
        <v>-270.72502044050128</v>
      </c>
      <c r="H21" s="96">
        <f>Financials!AY130</f>
        <v>-281.72833176317175</v>
      </c>
      <c r="I21" s="96">
        <f>Financials!AZ130</f>
        <v>-291.57928770988923</v>
      </c>
      <c r="J21" s="96">
        <f>Financials!BA130</f>
        <v>-300.15590168384387</v>
      </c>
      <c r="K21" s="98">
        <f>-K9*K22</f>
        <v>-307.48401163792983</v>
      </c>
      <c r="L21" s="98">
        <f>-L9*L22</f>
        <v>-313.45361254373108</v>
      </c>
      <c r="M21" s="98">
        <f>-M9*M22</f>
        <v>-317.97184128261887</v>
      </c>
      <c r="N21" s="98">
        <f t="shared" ref="N21:O21" si="20">-N9*N22</f>
        <v>-320.96533812618509</v>
      </c>
      <c r="O21" s="98">
        <f t="shared" si="20"/>
        <v>-322.38219009332221</v>
      </c>
      <c r="P21" s="98">
        <f t="shared" ref="P21" si="21">-P9*P22</f>
        <v>-322.193385584412</v>
      </c>
      <c r="Q21" s="99"/>
      <c r="T21" s="99"/>
      <c r="V21" s="63"/>
    </row>
    <row r="22" spans="1:256">
      <c r="A22" s="79"/>
      <c r="B22" s="80" t="s">
        <v>35</v>
      </c>
      <c r="C22" s="81"/>
      <c r="D22" s="82"/>
      <c r="E22" s="84">
        <f>-E21/E9</f>
        <v>5.6641344079563505E-2</v>
      </c>
      <c r="F22" s="84">
        <f>-F21/F9</f>
        <v>5.679473106262168E-2</v>
      </c>
      <c r="G22" s="84">
        <f>-G21/G9</f>
        <v>5.000000000000001E-2</v>
      </c>
      <c r="H22" s="84">
        <f t="shared" ref="H22:J22" si="22">-H21/H9</f>
        <v>4.9999999999999996E-2</v>
      </c>
      <c r="I22" s="84">
        <f t="shared" si="22"/>
        <v>4.9999999999999996E-2</v>
      </c>
      <c r="J22" s="84">
        <f t="shared" si="22"/>
        <v>4.9999999999999996E-2</v>
      </c>
      <c r="K22" s="85">
        <f t="shared" ref="K22:M22" si="23">J22</f>
        <v>4.9999999999999996E-2</v>
      </c>
      <c r="L22" s="85">
        <f t="shared" si="23"/>
        <v>4.9999999999999996E-2</v>
      </c>
      <c r="M22" s="85">
        <f t="shared" si="23"/>
        <v>4.9999999999999996E-2</v>
      </c>
      <c r="N22" s="85">
        <f t="shared" ref="N22" si="24">M22</f>
        <v>4.9999999999999996E-2</v>
      </c>
      <c r="O22" s="85">
        <f t="shared" ref="O22:P22" si="25">N22</f>
        <v>4.9999999999999996E-2</v>
      </c>
      <c r="P22" s="85">
        <f t="shared" si="25"/>
        <v>4.9999999999999996E-2</v>
      </c>
      <c r="Q22" s="79"/>
      <c r="R22" s="79"/>
      <c r="S22" s="79"/>
      <c r="T22" s="79"/>
      <c r="U22" s="79"/>
      <c r="V22" s="86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  <c r="HW22" s="79"/>
      <c r="HX22" s="79"/>
      <c r="HY22" s="79"/>
      <c r="HZ22" s="79"/>
      <c r="IA22" s="79"/>
      <c r="IB22" s="79"/>
      <c r="IC22" s="79"/>
      <c r="ID22" s="79"/>
      <c r="IE22" s="79"/>
      <c r="IF22" s="79"/>
      <c r="IG22" s="79"/>
      <c r="IH22" s="79"/>
      <c r="II22" s="79"/>
      <c r="IJ22" s="79"/>
      <c r="IK22" s="79"/>
      <c r="IL22" s="79"/>
      <c r="IM22" s="79"/>
      <c r="IN22" s="79"/>
      <c r="IO22" s="79"/>
      <c r="IP22" s="79"/>
      <c r="IQ22" s="79"/>
      <c r="IR22" s="79"/>
      <c r="IS22" s="79"/>
      <c r="IT22" s="79"/>
      <c r="IU22" s="79"/>
      <c r="IV22" s="79"/>
    </row>
    <row r="23" spans="1:256">
      <c r="C23" s="94"/>
      <c r="D23" s="94"/>
      <c r="E23" s="96"/>
      <c r="F23" s="96"/>
      <c r="G23" s="98"/>
      <c r="H23" s="98"/>
      <c r="I23" s="98"/>
      <c r="J23" s="98"/>
      <c r="K23" s="98"/>
      <c r="L23" s="98"/>
      <c r="M23" s="98"/>
      <c r="N23" s="98"/>
      <c r="O23" s="98"/>
      <c r="P23" s="98"/>
    </row>
    <row r="24" spans="1:256">
      <c r="A24" s="63"/>
      <c r="B24" s="63" t="s">
        <v>36</v>
      </c>
      <c r="C24" s="92"/>
      <c r="D24" s="92"/>
      <c r="E24" s="78">
        <f t="shared" ref="E24:M24" si="26">E12+E18+E20+E21</f>
        <v>431.30839128849641</v>
      </c>
      <c r="F24" s="78">
        <f t="shared" si="26"/>
        <v>448.8707603300677</v>
      </c>
      <c r="G24" s="78">
        <f t="shared" si="26"/>
        <v>480.76725718428071</v>
      </c>
      <c r="H24" s="78">
        <f t="shared" si="26"/>
        <v>480.55063694241431</v>
      </c>
      <c r="I24" s="78">
        <f t="shared" si="26"/>
        <v>486.91211316312325</v>
      </c>
      <c r="J24" s="78">
        <f t="shared" si="26"/>
        <v>490.4362906004647</v>
      </c>
      <c r="K24" s="78">
        <f t="shared" si="26"/>
        <v>494.74556622409682</v>
      </c>
      <c r="L24" s="78">
        <f t="shared" si="26"/>
        <v>496.53752274279339</v>
      </c>
      <c r="M24" s="78">
        <f t="shared" si="26"/>
        <v>495.76895907383113</v>
      </c>
      <c r="N24" s="78">
        <f t="shared" ref="N24:O24" si="27">N12+N18+N20+N21</f>
        <v>492.43585578981174</v>
      </c>
      <c r="O24" s="78">
        <f t="shared" si="27"/>
        <v>486.5738775159486</v>
      </c>
      <c r="P24" s="78">
        <f t="shared" ref="P24" si="28">P12+P18+P20+P21</f>
        <v>478.25785923324304</v>
      </c>
      <c r="Q24" s="63"/>
      <c r="R24" s="63"/>
      <c r="S24" s="63"/>
      <c r="T24" s="7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  <c r="DY24" s="63"/>
      <c r="DZ24" s="63"/>
      <c r="EA24" s="63"/>
      <c r="EB24" s="63"/>
      <c r="EC24" s="63"/>
      <c r="ED24" s="63"/>
      <c r="EE24" s="63"/>
      <c r="EF24" s="63"/>
      <c r="EG24" s="63"/>
      <c r="EH24" s="63"/>
      <c r="EI24" s="63"/>
      <c r="EJ24" s="63"/>
      <c r="EK24" s="63"/>
      <c r="EL24" s="63"/>
      <c r="EM24" s="63"/>
      <c r="EN24" s="63"/>
      <c r="EO24" s="63"/>
      <c r="EP24" s="63"/>
      <c r="EQ24" s="63"/>
      <c r="ER24" s="63"/>
      <c r="ES24" s="63"/>
      <c r="ET24" s="63"/>
      <c r="EU24" s="63"/>
      <c r="EV24" s="63"/>
      <c r="EW24" s="63"/>
      <c r="EX24" s="63"/>
      <c r="EY24" s="63"/>
      <c r="EZ24" s="63"/>
      <c r="FA24" s="63"/>
      <c r="FB24" s="63"/>
      <c r="FC24" s="63"/>
      <c r="FD24" s="63"/>
      <c r="FE24" s="63"/>
      <c r="FF24" s="63"/>
      <c r="FG24" s="63"/>
      <c r="FH24" s="63"/>
      <c r="FI24" s="63"/>
      <c r="FJ24" s="63"/>
      <c r="FK24" s="63"/>
      <c r="FL24" s="63"/>
      <c r="FM24" s="63"/>
      <c r="FN24" s="63"/>
      <c r="FO24" s="63"/>
      <c r="FP24" s="63"/>
      <c r="FQ24" s="63"/>
      <c r="FR24" s="63"/>
      <c r="FS24" s="63"/>
      <c r="FT24" s="63"/>
      <c r="FU24" s="63"/>
      <c r="FV24" s="63"/>
      <c r="FW24" s="63"/>
      <c r="FX24" s="63"/>
      <c r="FY24" s="63"/>
      <c r="FZ24" s="63"/>
      <c r="GA24" s="63"/>
      <c r="GB24" s="63"/>
      <c r="GC24" s="63"/>
      <c r="GD24" s="63"/>
      <c r="GE24" s="63"/>
      <c r="GF24" s="63"/>
      <c r="GG24" s="63"/>
      <c r="GH24" s="63"/>
      <c r="GI24" s="63"/>
      <c r="GJ24" s="63"/>
      <c r="GK24" s="63"/>
      <c r="GL24" s="63"/>
      <c r="GM24" s="63"/>
      <c r="GN24" s="63"/>
      <c r="GO24" s="63"/>
      <c r="GP24" s="63"/>
      <c r="GQ24" s="63"/>
      <c r="GR24" s="63"/>
      <c r="GS24" s="63"/>
      <c r="GT24" s="63"/>
      <c r="GU24" s="63"/>
      <c r="GV24" s="63"/>
      <c r="GW24" s="63"/>
      <c r="GX24" s="63"/>
      <c r="GY24" s="63"/>
      <c r="GZ24" s="63"/>
      <c r="HA24" s="63"/>
      <c r="HB24" s="63"/>
      <c r="HC24" s="63"/>
      <c r="HD24" s="63"/>
      <c r="HE24" s="63"/>
      <c r="HF24" s="63"/>
      <c r="HG24" s="63"/>
      <c r="HH24" s="63"/>
      <c r="HI24" s="63"/>
      <c r="HJ24" s="63"/>
      <c r="HK24" s="63"/>
      <c r="HL24" s="63"/>
      <c r="HM24" s="63"/>
      <c r="HN24" s="63"/>
      <c r="HO24" s="63"/>
      <c r="HP24" s="63"/>
      <c r="HQ24" s="63"/>
      <c r="HR24" s="63"/>
      <c r="HS24" s="63"/>
      <c r="HT24" s="63"/>
      <c r="HU24" s="63"/>
      <c r="HV24" s="63"/>
      <c r="HW24" s="63"/>
      <c r="HX24" s="63"/>
      <c r="HY24" s="63"/>
      <c r="HZ24" s="63"/>
      <c r="IA24" s="63"/>
      <c r="IB24" s="63"/>
      <c r="IC24" s="63"/>
      <c r="ID24" s="63"/>
      <c r="IE24" s="63"/>
      <c r="IF24" s="63"/>
      <c r="IG24" s="63"/>
      <c r="IH24" s="63"/>
      <c r="II24" s="63"/>
      <c r="IJ24" s="63"/>
      <c r="IK24" s="63"/>
      <c r="IL24" s="63"/>
      <c r="IM24" s="63"/>
      <c r="IN24" s="63"/>
      <c r="IO24" s="63"/>
      <c r="IP24" s="63"/>
      <c r="IQ24" s="63"/>
      <c r="IR24" s="63"/>
      <c r="IS24" s="63"/>
      <c r="IT24" s="63"/>
      <c r="IU24" s="63"/>
      <c r="IV24" s="63"/>
    </row>
    <row r="25" spans="1:256">
      <c r="A25" s="79"/>
      <c r="B25" s="80" t="s">
        <v>26</v>
      </c>
      <c r="C25" s="81"/>
      <c r="D25" s="82"/>
      <c r="E25" s="84"/>
      <c r="F25" s="84">
        <f t="shared" ref="F25:M25" si="29">F24/E24-1</f>
        <v>4.0718820677486001E-2</v>
      </c>
      <c r="G25" s="84">
        <f t="shared" si="29"/>
        <v>7.105942216142247E-2</v>
      </c>
      <c r="H25" s="84">
        <f t="shared" si="29"/>
        <v>-4.5057195270548078E-4</v>
      </c>
      <c r="I25" s="84">
        <f t="shared" si="29"/>
        <v>1.3237889478588283E-2</v>
      </c>
      <c r="J25" s="84">
        <f t="shared" si="29"/>
        <v>7.237810155199087E-3</v>
      </c>
      <c r="K25" s="84">
        <f>K24/J24-1</f>
        <v>8.7866165416838893E-3</v>
      </c>
      <c r="L25" s="84">
        <f t="shared" si="29"/>
        <v>3.6219759024276321E-3</v>
      </c>
      <c r="M25" s="84">
        <f t="shared" si="29"/>
        <v>-1.5478461017746081E-3</v>
      </c>
      <c r="N25" s="84">
        <f t="shared" ref="N25" si="30">N24/M24-1</f>
        <v>-6.7230979733908791E-3</v>
      </c>
      <c r="O25" s="84">
        <f t="shared" ref="O25:P25" si="31">O24/N24-1</f>
        <v>-1.1904044364237421E-2</v>
      </c>
      <c r="P25" s="84">
        <f t="shared" si="31"/>
        <v>-1.7090967409019941E-2</v>
      </c>
      <c r="Q25" s="79"/>
      <c r="R25" s="79"/>
      <c r="S25" s="79"/>
      <c r="T25" s="79"/>
      <c r="U25" s="79"/>
      <c r="V25" s="86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79"/>
      <c r="CK25" s="79"/>
      <c r="CL25" s="79"/>
      <c r="CM25" s="79"/>
      <c r="CN25" s="79"/>
      <c r="CO25" s="79"/>
      <c r="CP25" s="79"/>
      <c r="CQ25" s="79"/>
      <c r="CR25" s="79"/>
      <c r="CS25" s="79"/>
      <c r="CT25" s="79"/>
      <c r="CU25" s="79"/>
      <c r="CV25" s="79"/>
      <c r="CW25" s="79"/>
      <c r="CX25" s="79"/>
      <c r="CY25" s="79"/>
      <c r="CZ25" s="79"/>
      <c r="DA25" s="79"/>
      <c r="DB25" s="79"/>
      <c r="DC25" s="79"/>
      <c r="DD25" s="79"/>
      <c r="DE25" s="79"/>
      <c r="DF25" s="79"/>
      <c r="DG25" s="79"/>
      <c r="DH25" s="79"/>
      <c r="DI25" s="79"/>
      <c r="DJ25" s="79"/>
      <c r="DK25" s="79"/>
      <c r="DL25" s="79"/>
      <c r="DM25" s="79"/>
      <c r="DN25" s="79"/>
      <c r="DO25" s="79"/>
      <c r="DP25" s="79"/>
      <c r="DQ25" s="79"/>
      <c r="DR25" s="79"/>
      <c r="DS25" s="79"/>
      <c r="DT25" s="79"/>
      <c r="DU25" s="79"/>
      <c r="DV25" s="79"/>
      <c r="DW25" s="79"/>
      <c r="DX25" s="79"/>
      <c r="DY25" s="79"/>
      <c r="DZ25" s="79"/>
      <c r="EA25" s="79"/>
      <c r="EB25" s="79"/>
      <c r="EC25" s="79"/>
      <c r="ED25" s="79"/>
      <c r="EE25" s="79"/>
      <c r="EF25" s="79"/>
      <c r="EG25" s="79"/>
      <c r="EH25" s="79"/>
      <c r="EI25" s="79"/>
      <c r="EJ25" s="79"/>
      <c r="EK25" s="79"/>
      <c r="EL25" s="79"/>
      <c r="EM25" s="79"/>
      <c r="EN25" s="79"/>
      <c r="EO25" s="79"/>
      <c r="EP25" s="79"/>
      <c r="EQ25" s="79"/>
      <c r="ER25" s="79"/>
      <c r="ES25" s="79"/>
      <c r="ET25" s="79"/>
      <c r="EU25" s="79"/>
      <c r="EV25" s="79"/>
      <c r="EW25" s="79"/>
      <c r="EX25" s="79"/>
      <c r="EY25" s="79"/>
      <c r="EZ25" s="79"/>
      <c r="FA25" s="79"/>
      <c r="FB25" s="79"/>
      <c r="FC25" s="79"/>
      <c r="FD25" s="79"/>
      <c r="FE25" s="79"/>
      <c r="FF25" s="79"/>
      <c r="FG25" s="79"/>
      <c r="FH25" s="79"/>
      <c r="FI25" s="79"/>
      <c r="FJ25" s="79"/>
      <c r="FK25" s="79"/>
      <c r="FL25" s="79"/>
      <c r="FM25" s="79"/>
      <c r="FN25" s="79"/>
      <c r="FO25" s="79"/>
      <c r="FP25" s="79"/>
      <c r="FQ25" s="79"/>
      <c r="FR25" s="79"/>
      <c r="FS25" s="79"/>
      <c r="FT25" s="79"/>
      <c r="FU25" s="79"/>
      <c r="FV25" s="79"/>
      <c r="FW25" s="79"/>
      <c r="FX25" s="79"/>
      <c r="FY25" s="79"/>
      <c r="FZ25" s="79"/>
      <c r="GA25" s="79"/>
      <c r="GB25" s="79"/>
      <c r="GC25" s="79"/>
      <c r="GD25" s="79"/>
      <c r="GE25" s="79"/>
      <c r="GF25" s="79"/>
      <c r="GG25" s="79"/>
      <c r="GH25" s="79"/>
      <c r="GI25" s="79"/>
      <c r="GJ25" s="79"/>
      <c r="GK25" s="79"/>
      <c r="GL25" s="79"/>
      <c r="GM25" s="79"/>
      <c r="GN25" s="79"/>
      <c r="GO25" s="79"/>
      <c r="GP25" s="79"/>
      <c r="GQ25" s="79"/>
      <c r="GR25" s="79"/>
      <c r="GS25" s="79"/>
      <c r="GT25" s="79"/>
      <c r="GU25" s="79"/>
      <c r="GV25" s="79"/>
      <c r="GW25" s="79"/>
      <c r="GX25" s="79"/>
      <c r="GY25" s="79"/>
      <c r="GZ25" s="79"/>
      <c r="HA25" s="79"/>
      <c r="HB25" s="79"/>
      <c r="HC25" s="79"/>
      <c r="HD25" s="79"/>
      <c r="HE25" s="79"/>
      <c r="HF25" s="79"/>
      <c r="HG25" s="79"/>
      <c r="HH25" s="79"/>
      <c r="HI25" s="79"/>
      <c r="HJ25" s="79"/>
      <c r="HK25" s="79"/>
      <c r="HL25" s="79"/>
      <c r="HM25" s="79"/>
      <c r="HN25" s="79"/>
      <c r="HO25" s="79"/>
      <c r="HP25" s="79"/>
      <c r="HQ25" s="79"/>
      <c r="HR25" s="79"/>
      <c r="HS25" s="79"/>
      <c r="HT25" s="79"/>
      <c r="HU25" s="79"/>
      <c r="HV25" s="79"/>
      <c r="HW25" s="79"/>
      <c r="HX25" s="79"/>
      <c r="HY25" s="79"/>
      <c r="HZ25" s="79"/>
      <c r="IA25" s="79"/>
      <c r="IB25" s="79"/>
      <c r="IC25" s="79"/>
      <c r="ID25" s="79"/>
      <c r="IE25" s="79"/>
      <c r="IF25" s="79"/>
      <c r="IG25" s="79"/>
      <c r="IH25" s="79"/>
      <c r="II25" s="79"/>
      <c r="IJ25" s="79"/>
      <c r="IK25" s="79"/>
      <c r="IL25" s="79"/>
      <c r="IM25" s="79"/>
      <c r="IN25" s="79"/>
      <c r="IO25" s="79"/>
      <c r="IP25" s="79"/>
      <c r="IQ25" s="79"/>
      <c r="IR25" s="79"/>
      <c r="IS25" s="79"/>
      <c r="IT25" s="79"/>
      <c r="IU25" s="79"/>
      <c r="IV25" s="79"/>
    </row>
    <row r="26" spans="1:256">
      <c r="B26" s="61" t="s">
        <v>37</v>
      </c>
      <c r="C26" s="94"/>
      <c r="D26" s="94"/>
      <c r="E26" s="100"/>
      <c r="F26" s="100">
        <v>0</v>
      </c>
      <c r="G26" s="101">
        <f t="shared" ref="G26:M26" si="32">F26+1</f>
        <v>1</v>
      </c>
      <c r="H26" s="101">
        <f t="shared" si="32"/>
        <v>2</v>
      </c>
      <c r="I26" s="101">
        <f t="shared" si="32"/>
        <v>3</v>
      </c>
      <c r="J26" s="101">
        <f t="shared" si="32"/>
        <v>4</v>
      </c>
      <c r="K26" s="101">
        <f t="shared" si="32"/>
        <v>5</v>
      </c>
      <c r="L26" s="101">
        <f t="shared" si="32"/>
        <v>6</v>
      </c>
      <c r="M26" s="101">
        <f t="shared" si="32"/>
        <v>7</v>
      </c>
      <c r="N26" s="101">
        <f t="shared" ref="N26" si="33">M26+1</f>
        <v>8</v>
      </c>
      <c r="O26" s="101">
        <f t="shared" ref="O26:P26" si="34">N26+1</f>
        <v>9</v>
      </c>
      <c r="P26" s="101">
        <f t="shared" si="34"/>
        <v>10</v>
      </c>
    </row>
    <row r="27" spans="1:256">
      <c r="B27" s="102" t="s">
        <v>38</v>
      </c>
      <c r="C27" s="103"/>
      <c r="D27" s="103"/>
      <c r="E27" s="104"/>
      <c r="F27" s="104">
        <f t="shared" ref="F27" si="35">1/((1+$E$43)^F26)</f>
        <v>1</v>
      </c>
      <c r="G27" s="104">
        <f t="shared" ref="G27:M27" si="36">1/((1+$E$43)^G26)</f>
        <v>0.92827713635570175</v>
      </c>
      <c r="H27" s="104">
        <f t="shared" si="36"/>
        <v>0.86169844188074207</v>
      </c>
      <c r="I27" s="104">
        <f t="shared" si="36"/>
        <v>0.79989496203122534</v>
      </c>
      <c r="J27" s="104">
        <f t="shared" si="36"/>
        <v>0.74252420473969849</v>
      </c>
      <c r="K27" s="104">
        <f t="shared" si="36"/>
        <v>0.68926824245056206</v>
      </c>
      <c r="L27" s="104">
        <f t="shared" si="36"/>
        <v>0.63983195028293527</v>
      </c>
      <c r="M27" s="104">
        <f t="shared" si="36"/>
        <v>0.59394137055752694</v>
      </c>
      <c r="N27" s="104">
        <f t="shared" ref="N27:O27" si="37">1/((1+$E$43)^N26)</f>
        <v>0.55134219462432177</v>
      </c>
      <c r="O27" s="104">
        <f t="shared" si="37"/>
        <v>0.51179835357793335</v>
      </c>
      <c r="P27" s="104">
        <f t="shared" ref="P27" si="38">1/((1+$E$43)^P26)</f>
        <v>0.47509071005088682</v>
      </c>
    </row>
    <row r="28" spans="1:256">
      <c r="B28" s="61" t="s">
        <v>39</v>
      </c>
      <c r="C28" s="94"/>
      <c r="D28" s="94"/>
      <c r="E28" s="98"/>
      <c r="F28" s="98">
        <f t="shared" ref="F28" si="39">F24*F27</f>
        <v>448.8707603300677</v>
      </c>
      <c r="G28" s="98">
        <f t="shared" ref="G28:M28" si="40">G24*G27</f>
        <v>446.28525275260927</v>
      </c>
      <c r="H28" s="98">
        <f t="shared" si="40"/>
        <v>414.08973509807657</v>
      </c>
      <c r="I28" s="98">
        <f t="shared" si="40"/>
        <v>389.47854627116016</v>
      </c>
      <c r="J28" s="98">
        <f t="shared" si="40"/>
        <v>364.16081665359769</v>
      </c>
      <c r="K28" s="98">
        <f t="shared" si="40"/>
        <v>341.01240689149137</v>
      </c>
      <c r="L28" s="98">
        <f t="shared" si="40"/>
        <v>317.70057156517879</v>
      </c>
      <c r="M28" s="98">
        <f t="shared" si="40"/>
        <v>294.45769503218975</v>
      </c>
      <c r="N28" s="98">
        <f t="shared" ref="N28:O28" si="41">N24*N27</f>
        <v>271.50066544286085</v>
      </c>
      <c r="O28" s="98">
        <f t="shared" si="41"/>
        <v>249.0277094066935</v>
      </c>
      <c r="P28" s="98">
        <f t="shared" ref="P28" si="42">P24*P27</f>
        <v>227.21586593053851</v>
      </c>
    </row>
    <row r="29" spans="1:256">
      <c r="B29" s="61" t="s">
        <v>40</v>
      </c>
      <c r="C29" s="94"/>
      <c r="D29" s="94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>
        <f t="shared" ref="P29" si="43">P24*(1+$E45)/($E43-$E45)*P27</f>
        <v>2940.7539331755111</v>
      </c>
    </row>
    <row r="31" spans="1:256">
      <c r="B31" s="105"/>
      <c r="C31" s="106"/>
      <c r="D31" s="106"/>
      <c r="E31" s="107"/>
      <c r="M31" s="108"/>
      <c r="N31" s="109"/>
      <c r="O31" s="109"/>
      <c r="P31" s="110"/>
    </row>
    <row r="32" spans="1:256">
      <c r="B32" s="111" t="s">
        <v>41</v>
      </c>
      <c r="C32" s="112"/>
      <c r="D32" s="112"/>
      <c r="E32" s="764">
        <v>1.3914484763252961</v>
      </c>
      <c r="M32" s="113" t="s">
        <v>21</v>
      </c>
      <c r="N32" s="114"/>
      <c r="O32" s="114"/>
      <c r="P32" s="115">
        <f>SUM(F28:P29)</f>
        <v>6704.5539585499755</v>
      </c>
    </row>
    <row r="33" spans="2:16">
      <c r="B33" s="111" t="s">
        <v>42</v>
      </c>
      <c r="C33" s="112"/>
      <c r="D33" s="112"/>
      <c r="E33" s="116">
        <f>0.085-E34</f>
        <v>6.5500000000000003E-2</v>
      </c>
      <c r="M33" s="117" t="s">
        <v>43</v>
      </c>
      <c r="N33" s="114"/>
      <c r="O33" s="114"/>
      <c r="P33" s="118">
        <f>Valuation!G15</f>
        <v>1535</v>
      </c>
    </row>
    <row r="34" spans="2:16">
      <c r="B34" s="111" t="s">
        <v>44</v>
      </c>
      <c r="C34" s="112"/>
      <c r="D34" s="112"/>
      <c r="E34" s="116">
        <v>1.95E-2</v>
      </c>
      <c r="M34" s="117" t="s">
        <v>45</v>
      </c>
      <c r="N34" s="114"/>
      <c r="O34" s="114"/>
      <c r="P34" s="118">
        <f>Valuation!G16</f>
        <v>346.53455067535123</v>
      </c>
    </row>
    <row r="35" spans="2:16">
      <c r="B35" s="119" t="s">
        <v>46</v>
      </c>
      <c r="C35" s="112"/>
      <c r="D35" s="112"/>
      <c r="E35" s="120">
        <f>E34+E32*E33</f>
        <v>0.1106398751993069</v>
      </c>
      <c r="M35" s="117" t="s">
        <v>47</v>
      </c>
      <c r="N35" s="114"/>
      <c r="O35" s="114"/>
      <c r="P35" s="118">
        <f>Valuation!G17</f>
        <v>164</v>
      </c>
    </row>
    <row r="36" spans="2:16">
      <c r="B36" s="119"/>
      <c r="C36" s="112"/>
      <c r="D36" s="112"/>
      <c r="E36" s="120"/>
      <c r="M36" s="117" t="s">
        <v>48</v>
      </c>
      <c r="N36" s="114"/>
      <c r="O36" s="114"/>
      <c r="P36" s="118">
        <f>Valuation!G18</f>
        <v>442.54999999999995</v>
      </c>
    </row>
    <row r="37" spans="2:16">
      <c r="B37" s="111" t="s">
        <v>49</v>
      </c>
      <c r="C37" s="112"/>
      <c r="D37" s="112"/>
      <c r="E37" s="121">
        <f>Debt!E11</f>
        <v>4.1000000000000002E-2</v>
      </c>
      <c r="M37" s="113" t="s">
        <v>14</v>
      </c>
      <c r="N37" s="114"/>
      <c r="O37" s="114"/>
      <c r="P37" s="115">
        <f>P32-P33+P34-P35-P36</f>
        <v>4909.5385092253264</v>
      </c>
    </row>
    <row r="38" spans="2:16">
      <c r="B38" s="111" t="s">
        <v>50</v>
      </c>
      <c r="C38" s="112"/>
      <c r="D38" s="112"/>
      <c r="E38" s="116">
        <f>AVERAGE(0.16,0.17)</f>
        <v>0.16500000000000001</v>
      </c>
      <c r="F38" s="62"/>
      <c r="G38" s="62"/>
      <c r="M38" s="113" t="s">
        <v>51</v>
      </c>
      <c r="N38" s="114"/>
      <c r="O38" s="114"/>
      <c r="P38" s="118">
        <f>Valuation!G13</f>
        <v>87.87373946786073</v>
      </c>
    </row>
    <row r="39" spans="2:16">
      <c r="B39" s="119" t="s">
        <v>52</v>
      </c>
      <c r="C39" s="112"/>
      <c r="D39" s="112"/>
      <c r="E39" s="120">
        <f>E37*(1-E38)</f>
        <v>3.4235000000000002E-2</v>
      </c>
      <c r="F39" s="62"/>
      <c r="G39" s="62"/>
      <c r="M39" s="122"/>
      <c r="N39" s="123"/>
      <c r="O39" s="123"/>
      <c r="P39" s="124"/>
    </row>
    <row r="40" spans="2:16">
      <c r="B40" s="119"/>
      <c r="C40" s="112"/>
      <c r="D40" s="112"/>
      <c r="E40" s="120"/>
      <c r="F40" s="62"/>
      <c r="G40" s="62"/>
      <c r="M40" s="125" t="s">
        <v>53</v>
      </c>
      <c r="N40" s="126"/>
      <c r="O40" s="126"/>
      <c r="P40" s="127">
        <f>P37/P38</f>
        <v>55.870371955901106</v>
      </c>
    </row>
    <row r="41" spans="2:16">
      <c r="B41" s="111" t="s">
        <v>54</v>
      </c>
      <c r="C41" s="112"/>
      <c r="D41" s="112"/>
      <c r="E41" s="121">
        <f>Financials!BA104</f>
        <v>0.43682265913537066</v>
      </c>
      <c r="F41" s="62"/>
      <c r="G41" s="62"/>
      <c r="M41" s="122" t="s">
        <v>4</v>
      </c>
      <c r="N41" s="123"/>
      <c r="O41" s="123"/>
      <c r="P41" s="692">
        <f>P40/Valuation!E12-1</f>
        <v>0.12732792485676159</v>
      </c>
    </row>
    <row r="42" spans="2:16">
      <c r="B42" s="111" t="s">
        <v>55</v>
      </c>
      <c r="C42" s="112"/>
      <c r="D42" s="112"/>
      <c r="E42" s="128">
        <f>1-E41</f>
        <v>0.56317734086462934</v>
      </c>
      <c r="F42" s="62"/>
      <c r="G42" s="62"/>
      <c r="M42" s="122"/>
      <c r="N42" s="123"/>
      <c r="O42" s="123"/>
      <c r="P42" s="124"/>
    </row>
    <row r="43" spans="2:16">
      <c r="B43" s="119" t="s">
        <v>56</v>
      </c>
      <c r="C43" s="112"/>
      <c r="D43" s="112"/>
      <c r="E43" s="120">
        <f>E41*E39+E42*E35</f>
        <v>7.7264494443839524E-2</v>
      </c>
      <c r="F43" s="62"/>
      <c r="G43" s="62"/>
      <c r="M43" s="122" t="s">
        <v>9</v>
      </c>
      <c r="N43" s="123" t="s">
        <v>15</v>
      </c>
      <c r="O43" s="123"/>
      <c r="P43" s="711">
        <f>P32/Valuation!C27</f>
        <v>7.7257821352084655</v>
      </c>
    </row>
    <row r="44" spans="2:16">
      <c r="B44" s="119"/>
      <c r="C44" s="112"/>
      <c r="D44" s="112"/>
      <c r="E44" s="120"/>
      <c r="F44" s="62"/>
      <c r="G44" s="62"/>
      <c r="M44" s="122" t="s">
        <v>9</v>
      </c>
      <c r="N44" s="123" t="s">
        <v>17</v>
      </c>
      <c r="O44" s="123"/>
      <c r="P44" s="711">
        <f>P40/Valuation!C41</f>
        <v>11.011791744436518</v>
      </c>
    </row>
    <row r="45" spans="2:16">
      <c r="B45" s="119" t="s">
        <v>57</v>
      </c>
      <c r="C45" s="112"/>
      <c r="D45" s="112"/>
      <c r="E45" s="129">
        <v>0</v>
      </c>
      <c r="F45" s="62"/>
      <c r="G45" s="62"/>
      <c r="M45" s="122" t="s">
        <v>9</v>
      </c>
      <c r="N45" s="123" t="s">
        <v>13</v>
      </c>
      <c r="O45" s="123"/>
      <c r="P45" s="711">
        <f>P40/Valuation!C55</f>
        <v>18.411524594662783</v>
      </c>
    </row>
    <row r="46" spans="2:16">
      <c r="B46" s="130"/>
      <c r="C46" s="131"/>
      <c r="D46" s="131"/>
      <c r="E46" s="132"/>
      <c r="M46" s="133"/>
      <c r="N46" s="134"/>
      <c r="O46" s="134"/>
      <c r="P46" s="135"/>
    </row>
  </sheetData>
  <pageMargins left="0.7" right="0.7" top="0.75" bottom="0.75" header="0.3" footer="0.3"/>
  <pageSetup scale="7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BI177"/>
  <sheetViews>
    <sheetView showGridLines="0" zoomScale="85" zoomScaleNormal="85" workbookViewId="0">
      <pane xSplit="2" ySplit="4" topLeftCell="AE5" activePane="bottomRight" state="frozen"/>
      <selection activeCell="P13" sqref="P13"/>
      <selection pane="topRight" activeCell="P13" sqref="P13"/>
      <selection pane="bottomLeft" activeCell="P13" sqref="P13"/>
      <selection pane="bottomRight" activeCell="AW3" sqref="AW3"/>
    </sheetView>
  </sheetViews>
  <sheetFormatPr defaultColWidth="10.42578125" defaultRowHeight="15" outlineLevelRow="1" outlineLevelCol="1"/>
  <cols>
    <col min="1" max="1" width="3.5703125" style="136" customWidth="1"/>
    <col min="2" max="2" width="42.5703125" style="138" customWidth="1"/>
    <col min="3" max="14" width="10.5703125" style="138" hidden="1" customWidth="1" outlineLevel="1"/>
    <col min="15" max="15" width="10.5703125" style="138" hidden="1" customWidth="1" outlineLevel="1" collapsed="1"/>
    <col min="16" max="26" width="10.5703125" style="138" hidden="1" customWidth="1" outlineLevel="1"/>
    <col min="27" max="27" width="10.5703125" style="138" hidden="1" customWidth="1" outlineLevel="1" collapsed="1"/>
    <col min="28" max="30" width="10.5703125" style="138" hidden="1" customWidth="1" outlineLevel="1"/>
    <col min="31" max="31" width="10.5703125" style="138" customWidth="1" collapsed="1"/>
    <col min="32" max="38" width="10.5703125" style="138" customWidth="1"/>
    <col min="39" max="39" width="3.5703125" style="136" customWidth="1"/>
    <col min="40" max="44" width="10.5703125" style="138" hidden="1" customWidth="1" outlineLevel="1"/>
    <col min="45" max="45" width="10.5703125" style="138" hidden="1" customWidth="1" outlineLevel="1" collapsed="1"/>
    <col min="46" max="46" width="10.5703125" style="138" customWidth="1" collapsed="1"/>
    <col min="47" max="53" width="10.5703125" style="138" customWidth="1"/>
    <col min="54" max="54" width="3.5703125" style="136" customWidth="1"/>
    <col min="55" max="55" width="33.28515625" customWidth="1"/>
    <col min="56" max="56" width="9.140625" customWidth="1"/>
    <col min="57" max="57" width="12.85546875" customWidth="1"/>
    <col min="58" max="60" width="9.140625" customWidth="1"/>
    <col min="61" max="61" width="3.5703125" style="136" customWidth="1"/>
    <col min="62" max="16384" width="10.42578125" style="138"/>
  </cols>
  <sheetData>
    <row r="1" spans="1:61">
      <c r="B1" s="137"/>
      <c r="O1" s="139"/>
      <c r="S1" s="139"/>
      <c r="AE1" s="139"/>
      <c r="AF1" s="139"/>
      <c r="AG1" s="139"/>
      <c r="AH1" s="139"/>
      <c r="AN1" s="139"/>
      <c r="AO1" s="139"/>
      <c r="AP1" s="139"/>
      <c r="AQ1" s="139"/>
      <c r="AT1" s="139"/>
    </row>
    <row r="2" spans="1:61">
      <c r="B2" s="137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1"/>
      <c r="AF2" s="141"/>
      <c r="AG2" s="141"/>
      <c r="AH2" s="141"/>
      <c r="AI2" s="140"/>
      <c r="AJ2" s="140"/>
      <c r="AK2" s="140"/>
      <c r="AL2" s="140"/>
      <c r="AN2" s="140"/>
      <c r="AO2" s="140"/>
      <c r="AP2" s="140"/>
      <c r="AQ2" s="140"/>
      <c r="AR2" s="140"/>
      <c r="AS2" s="140"/>
      <c r="AT2" s="141"/>
      <c r="AV2" s="756"/>
      <c r="AW2" s="269"/>
      <c r="AX2" s="756"/>
      <c r="AY2" s="142"/>
      <c r="AZ2" s="142"/>
      <c r="BA2" s="142"/>
    </row>
    <row r="3" spans="1:61">
      <c r="B3" s="137"/>
      <c r="C3" s="140"/>
      <c r="D3" s="140"/>
      <c r="E3" s="140"/>
      <c r="F3" s="140"/>
      <c r="G3" s="140"/>
      <c r="H3" s="140"/>
      <c r="I3" s="140"/>
      <c r="J3" s="140"/>
      <c r="K3" s="143"/>
      <c r="L3" s="143"/>
      <c r="M3" s="143"/>
      <c r="N3" s="143"/>
      <c r="O3" s="140"/>
      <c r="P3" s="143"/>
      <c r="Q3" s="143"/>
      <c r="R3" s="143"/>
      <c r="S3" s="140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39"/>
      <c r="AF3" s="139"/>
      <c r="AG3" s="139"/>
      <c r="AH3" s="139"/>
      <c r="AN3" s="140"/>
      <c r="AO3" s="140"/>
      <c r="AP3" s="140"/>
      <c r="AQ3" s="140"/>
      <c r="AT3" s="139"/>
      <c r="AV3" s="756"/>
      <c r="AW3" s="756"/>
      <c r="AX3" s="210"/>
    </row>
    <row r="4" spans="1:61" s="149" customFormat="1">
      <c r="A4" s="144"/>
      <c r="B4" s="648" t="s">
        <v>58</v>
      </c>
      <c r="C4" s="145" t="s">
        <v>59</v>
      </c>
      <c r="D4" s="146" t="s">
        <v>60</v>
      </c>
      <c r="E4" s="146" t="s">
        <v>61</v>
      </c>
      <c r="F4" s="147" t="s">
        <v>62</v>
      </c>
      <c r="G4" s="146" t="s">
        <v>63</v>
      </c>
      <c r="H4" s="146" t="s">
        <v>64</v>
      </c>
      <c r="I4" s="146" t="s">
        <v>65</v>
      </c>
      <c r="J4" s="147" t="s">
        <v>66</v>
      </c>
      <c r="K4" s="146" t="s">
        <v>67</v>
      </c>
      <c r="L4" s="146" t="s">
        <v>68</v>
      </c>
      <c r="M4" s="146" t="s">
        <v>69</v>
      </c>
      <c r="N4" s="147" t="s">
        <v>70</v>
      </c>
      <c r="O4" s="146" t="s">
        <v>71</v>
      </c>
      <c r="P4" s="146" t="s">
        <v>72</v>
      </c>
      <c r="Q4" s="146" t="s">
        <v>73</v>
      </c>
      <c r="R4" s="147" t="s">
        <v>74</v>
      </c>
      <c r="S4" s="146" t="s">
        <v>75</v>
      </c>
      <c r="T4" s="146" t="s">
        <v>76</v>
      </c>
      <c r="U4" s="146" t="s">
        <v>77</v>
      </c>
      <c r="V4" s="147" t="s">
        <v>78</v>
      </c>
      <c r="W4" s="146" t="s">
        <v>79</v>
      </c>
      <c r="X4" s="146" t="s">
        <v>80</v>
      </c>
      <c r="Y4" s="146" t="s">
        <v>81</v>
      </c>
      <c r="Z4" s="147" t="s">
        <v>82</v>
      </c>
      <c r="AA4" s="146" t="s">
        <v>83</v>
      </c>
      <c r="AB4" s="146" t="s">
        <v>84</v>
      </c>
      <c r="AC4" s="146" t="s">
        <v>85</v>
      </c>
      <c r="AD4" s="147" t="s">
        <v>86</v>
      </c>
      <c r="AE4" s="146" t="s">
        <v>87</v>
      </c>
      <c r="AF4" s="146" t="s">
        <v>88</v>
      </c>
      <c r="AG4" s="146" t="s">
        <v>6</v>
      </c>
      <c r="AH4" s="147" t="s">
        <v>220</v>
      </c>
      <c r="AI4" s="146" t="s">
        <v>253</v>
      </c>
      <c r="AJ4" s="146" t="s">
        <v>254</v>
      </c>
      <c r="AK4" s="146" t="s">
        <v>255</v>
      </c>
      <c r="AL4" s="147" t="s">
        <v>256</v>
      </c>
      <c r="AM4" s="144"/>
      <c r="AN4" s="148">
        <v>2010</v>
      </c>
      <c r="AO4" s="148">
        <v>2011</v>
      </c>
      <c r="AP4" s="148">
        <v>2012</v>
      </c>
      <c r="AQ4" s="148">
        <v>2013</v>
      </c>
      <c r="AR4" s="148">
        <v>2014</v>
      </c>
      <c r="AS4" s="148">
        <v>2015</v>
      </c>
      <c r="AT4" s="148">
        <v>2016</v>
      </c>
      <c r="AU4" s="148">
        <v>2017</v>
      </c>
      <c r="AV4" s="148" t="s">
        <v>7</v>
      </c>
      <c r="AW4" s="148" t="s">
        <v>9</v>
      </c>
      <c r="AX4" s="148" t="s">
        <v>89</v>
      </c>
      <c r="AY4" s="148" t="s">
        <v>258</v>
      </c>
      <c r="AZ4" s="148" t="s">
        <v>259</v>
      </c>
      <c r="BA4" s="148" t="s">
        <v>260</v>
      </c>
      <c r="BB4" s="144"/>
      <c r="BC4"/>
      <c r="BD4"/>
      <c r="BE4"/>
      <c r="BF4"/>
      <c r="BG4"/>
      <c r="BH4"/>
      <c r="BI4" s="144"/>
    </row>
    <row r="5" spans="1:61" s="160" customFormat="1">
      <c r="A5" s="150"/>
      <c r="B5" s="663"/>
      <c r="C5" s="151"/>
      <c r="D5" s="152"/>
      <c r="E5" s="153"/>
      <c r="F5" s="154"/>
      <c r="G5" s="155"/>
      <c r="H5" s="152"/>
      <c r="I5" s="153"/>
      <c r="J5" s="154"/>
      <c r="K5" s="153"/>
      <c r="L5" s="153"/>
      <c r="M5" s="153"/>
      <c r="N5" s="154"/>
      <c r="O5" s="156"/>
      <c r="P5" s="153"/>
      <c r="Q5" s="153"/>
      <c r="R5" s="154"/>
      <c r="S5" s="156"/>
      <c r="T5" s="153"/>
      <c r="U5" s="153"/>
      <c r="V5" s="154"/>
      <c r="W5" s="153"/>
      <c r="X5" s="153"/>
      <c r="Y5" s="153"/>
      <c r="Z5" s="154"/>
      <c r="AA5" s="153"/>
      <c r="AB5" s="153"/>
      <c r="AC5" s="153"/>
      <c r="AD5" s="154"/>
      <c r="AE5" s="156"/>
      <c r="AF5" s="156"/>
      <c r="AG5" s="156"/>
      <c r="AH5" s="157"/>
      <c r="AI5" s="156"/>
      <c r="AJ5" s="156"/>
      <c r="AK5" s="156"/>
      <c r="AL5" s="157"/>
      <c r="AM5" s="150"/>
      <c r="AN5" s="156"/>
      <c r="AO5" s="156"/>
      <c r="AP5" s="156"/>
      <c r="AQ5" s="156"/>
      <c r="AR5" s="158"/>
      <c r="AS5" s="159"/>
      <c r="AT5" s="159"/>
      <c r="AU5" s="159"/>
      <c r="AV5" s="156"/>
      <c r="AW5" s="156"/>
      <c r="AX5" s="156"/>
      <c r="AY5" s="156"/>
      <c r="AZ5" s="156"/>
      <c r="BA5" s="156"/>
      <c r="BB5" s="150"/>
      <c r="BC5"/>
      <c r="BD5"/>
      <c r="BE5"/>
      <c r="BF5"/>
      <c r="BG5"/>
      <c r="BH5"/>
      <c r="BI5" s="150"/>
    </row>
    <row r="6" spans="1:61" s="168" customFormat="1">
      <c r="A6" s="161"/>
      <c r="B6" s="226" t="s">
        <v>25</v>
      </c>
      <c r="C6" s="163">
        <f>Segments!C58</f>
        <v>970</v>
      </c>
      <c r="D6" s="164">
        <f>Segments!D58</f>
        <v>1016</v>
      </c>
      <c r="E6" s="164">
        <f>Segments!E58</f>
        <v>978</v>
      </c>
      <c r="F6" s="165">
        <f>Segments!F58</f>
        <v>1122</v>
      </c>
      <c r="G6" s="164">
        <f>Segments!G58</f>
        <v>1237</v>
      </c>
      <c r="H6" s="164">
        <f>Segments!H58</f>
        <v>1309</v>
      </c>
      <c r="I6" s="164">
        <f>Segments!I58</f>
        <v>1183</v>
      </c>
      <c r="J6" s="165">
        <f>Segments!J58</f>
        <v>1241</v>
      </c>
      <c r="K6" s="164">
        <f>Segments!K58</f>
        <v>1264</v>
      </c>
      <c r="L6" s="164">
        <f>Segments!L58</f>
        <v>1246</v>
      </c>
      <c r="M6" s="164">
        <f>Segments!M58</f>
        <v>1087</v>
      </c>
      <c r="N6" s="165">
        <f>Segments!N58</f>
        <v>1059</v>
      </c>
      <c r="O6" s="164">
        <f>Segments!O58</f>
        <v>1107</v>
      </c>
      <c r="P6" s="164">
        <f>Segments!P58</f>
        <v>1161</v>
      </c>
      <c r="Q6" s="164">
        <f>Segments!Q58</f>
        <v>1048</v>
      </c>
      <c r="R6" s="165">
        <f>Segments!R58</f>
        <v>1108</v>
      </c>
      <c r="S6" s="164">
        <f>Segments!S58</f>
        <v>1097</v>
      </c>
      <c r="T6" s="164">
        <f>Segments!T58</f>
        <v>1188</v>
      </c>
      <c r="U6" s="164">
        <f>Segments!U58</f>
        <v>1117</v>
      </c>
      <c r="V6" s="165">
        <f>Segments!V58</f>
        <v>1133</v>
      </c>
      <c r="W6" s="164">
        <f>Segments!W58</f>
        <v>1081</v>
      </c>
      <c r="X6" s="164">
        <f>Segments!X58</f>
        <v>1143</v>
      </c>
      <c r="Y6" s="164">
        <f>Segments!Y58</f>
        <v>1064</v>
      </c>
      <c r="Z6" s="165">
        <f>Segments!Z58</f>
        <v>1114</v>
      </c>
      <c r="AA6" s="295">
        <v>1117</v>
      </c>
      <c r="AB6" s="295">
        <v>1146</v>
      </c>
      <c r="AC6" s="295">
        <v>1077</v>
      </c>
      <c r="AD6" s="275">
        <v>1146</v>
      </c>
      <c r="AE6" s="295">
        <v>1168</v>
      </c>
      <c r="AF6" s="295">
        <v>1187</v>
      </c>
      <c r="AG6" s="295">
        <v>1205</v>
      </c>
      <c r="AH6" s="275">
        <v>1289</v>
      </c>
      <c r="AI6" s="164">
        <f>Segments!AI58</f>
        <v>1302.98</v>
      </c>
      <c r="AJ6" s="164">
        <f>Segments!AJ58</f>
        <v>1311.75</v>
      </c>
      <c r="AK6" s="164">
        <f>Segments!AK58</f>
        <v>1333.125</v>
      </c>
      <c r="AL6" s="165">
        <f>Segments!AL58</f>
        <v>1172.0800000000002</v>
      </c>
      <c r="AM6" s="161"/>
      <c r="AN6" s="257">
        <f>Segments!AN58</f>
        <v>4086</v>
      </c>
      <c r="AO6" s="257">
        <f>Segments!AO58</f>
        <v>4970</v>
      </c>
      <c r="AP6" s="167">
        <v>4655</v>
      </c>
      <c r="AQ6" s="167">
        <v>4398</v>
      </c>
      <c r="AR6" s="167">
        <v>4540</v>
      </c>
      <c r="AS6" s="167">
        <v>4407</v>
      </c>
      <c r="AT6" s="741">
        <f>SUM(AA6:AD6)</f>
        <v>4486</v>
      </c>
      <c r="AU6" s="166">
        <f>SUM(AE6:AH6)</f>
        <v>4849</v>
      </c>
      <c r="AV6" s="166">
        <f>SUM(AI6:AL6)</f>
        <v>5119.9350000000004</v>
      </c>
      <c r="AW6" s="164">
        <f>Segments!AW58</f>
        <v>5243.0331195852295</v>
      </c>
      <c r="AX6" s="164">
        <f>Segments!AX58</f>
        <v>5414.500408810025</v>
      </c>
      <c r="AY6" s="164">
        <f>Segments!AY58</f>
        <v>5634.5666352634353</v>
      </c>
      <c r="AZ6" s="164">
        <f>Segments!AZ58</f>
        <v>5831.5857541977848</v>
      </c>
      <c r="BA6" s="164">
        <f>Segments!BA58</f>
        <v>6003.1180336768775</v>
      </c>
      <c r="BB6" s="161"/>
      <c r="BC6"/>
      <c r="BD6"/>
      <c r="BE6"/>
      <c r="BF6"/>
      <c r="BG6"/>
      <c r="BH6"/>
      <c r="BI6" s="161"/>
    </row>
    <row r="7" spans="1:61" s="173" customFormat="1">
      <c r="A7" s="169"/>
      <c r="B7" s="657" t="s">
        <v>26</v>
      </c>
      <c r="C7" s="170"/>
      <c r="D7" s="171"/>
      <c r="E7" s="171"/>
      <c r="F7" s="172"/>
      <c r="G7" s="171"/>
      <c r="H7" s="171"/>
      <c r="I7" s="171"/>
      <c r="J7" s="172"/>
      <c r="K7" s="171"/>
      <c r="L7" s="171"/>
      <c r="M7" s="171"/>
      <c r="N7" s="172"/>
      <c r="O7" s="171"/>
      <c r="P7" s="171"/>
      <c r="Q7" s="171"/>
      <c r="R7" s="172"/>
      <c r="S7" s="171"/>
      <c r="T7" s="171"/>
      <c r="U7" s="171"/>
      <c r="V7" s="172"/>
      <c r="W7" s="171"/>
      <c r="X7" s="171"/>
      <c r="Y7" s="171"/>
      <c r="Z7" s="172"/>
      <c r="AA7" s="171">
        <f t="shared" ref="AA7:AL7" si="0">AA6/W6-1</f>
        <v>3.3302497687326627E-2</v>
      </c>
      <c r="AB7" s="171">
        <f t="shared" si="0"/>
        <v>2.624671916010568E-3</v>
      </c>
      <c r="AC7" s="171">
        <f t="shared" si="0"/>
        <v>1.2218045112782017E-2</v>
      </c>
      <c r="AD7" s="172">
        <f t="shared" si="0"/>
        <v>2.8725314183123851E-2</v>
      </c>
      <c r="AE7" s="171">
        <f t="shared" si="0"/>
        <v>4.5658012533572156E-2</v>
      </c>
      <c r="AF7" s="171">
        <f t="shared" si="0"/>
        <v>3.5776614310645716E-2</v>
      </c>
      <c r="AG7" s="171">
        <f t="shared" si="0"/>
        <v>0.11884865366759523</v>
      </c>
      <c r="AH7" s="172">
        <f t="shared" si="0"/>
        <v>0.12478184991273999</v>
      </c>
      <c r="AI7" s="171">
        <f t="shared" si="0"/>
        <v>0.11556506849315062</v>
      </c>
      <c r="AJ7" s="171">
        <f t="shared" si="0"/>
        <v>0.10509688289806229</v>
      </c>
      <c r="AK7" s="171">
        <f t="shared" si="0"/>
        <v>0.10632780082987559</v>
      </c>
      <c r="AL7" s="172">
        <f t="shared" si="0"/>
        <v>-9.0705973622963398E-2</v>
      </c>
      <c r="AM7" s="169"/>
      <c r="AN7" s="171"/>
      <c r="AO7" s="171">
        <f t="shared" ref="AO7:BA7" si="1">AO6/AN6-1</f>
        <v>0.21634850709740583</v>
      </c>
      <c r="AP7" s="171">
        <f t="shared" si="1"/>
        <v>-6.3380281690140872E-2</v>
      </c>
      <c r="AQ7" s="171">
        <f t="shared" si="1"/>
        <v>-5.5209452201933407E-2</v>
      </c>
      <c r="AR7" s="171">
        <f t="shared" si="1"/>
        <v>3.228740336516589E-2</v>
      </c>
      <c r="AS7" s="171">
        <f t="shared" si="1"/>
        <v>-2.9295154185022043E-2</v>
      </c>
      <c r="AT7" s="171">
        <f t="shared" si="1"/>
        <v>1.7926026775584303E-2</v>
      </c>
      <c r="AU7" s="171">
        <f>AU6/AT6-1</f>
        <v>8.0918412839946496E-2</v>
      </c>
      <c r="AV7" s="171">
        <f>AV6/AU6-1</f>
        <v>5.5874407094246292E-2</v>
      </c>
      <c r="AW7" s="171">
        <f t="shared" si="1"/>
        <v>2.4042906713704237E-2</v>
      </c>
      <c r="AX7" s="171">
        <f t="shared" si="1"/>
        <v>3.2703834844049151E-2</v>
      </c>
      <c r="AY7" s="171">
        <f t="shared" si="1"/>
        <v>4.0643865516260202E-2</v>
      </c>
      <c r="AZ7" s="171">
        <f t="shared" si="1"/>
        <v>3.4966152978176401E-2</v>
      </c>
      <c r="BA7" s="171">
        <f t="shared" si="1"/>
        <v>2.9414345721593405E-2</v>
      </c>
      <c r="BB7" s="169"/>
      <c r="BC7"/>
      <c r="BD7"/>
      <c r="BE7"/>
      <c r="BF7"/>
      <c r="BG7"/>
      <c r="BH7"/>
      <c r="BI7" s="169"/>
    </row>
    <row r="8" spans="1:61" s="168" customFormat="1">
      <c r="A8" s="150"/>
      <c r="B8" s="226" t="s">
        <v>90</v>
      </c>
      <c r="C8" s="174"/>
      <c r="D8" s="167"/>
      <c r="E8" s="167"/>
      <c r="F8" s="175"/>
      <c r="G8" s="167"/>
      <c r="H8" s="167"/>
      <c r="I8" s="167"/>
      <c r="J8" s="175"/>
      <c r="K8" s="167"/>
      <c r="L8" s="167"/>
      <c r="M8" s="167"/>
      <c r="N8" s="175"/>
      <c r="O8" s="167"/>
      <c r="P8" s="167"/>
      <c r="Q8" s="167"/>
      <c r="R8" s="175"/>
      <c r="S8" s="167"/>
      <c r="T8" s="167"/>
      <c r="U8" s="167"/>
      <c r="V8" s="175"/>
      <c r="W8" s="167"/>
      <c r="X8" s="167"/>
      <c r="Y8" s="167"/>
      <c r="Z8" s="175"/>
      <c r="AA8" s="167">
        <f>916-2</f>
        <v>914</v>
      </c>
      <c r="AB8" s="167">
        <f>953-22</f>
        <v>931</v>
      </c>
      <c r="AC8" s="167">
        <f>882</f>
        <v>882</v>
      </c>
      <c r="AD8" s="175">
        <f>938-7</f>
        <v>931</v>
      </c>
      <c r="AE8" s="167">
        <f>926-4</f>
        <v>922</v>
      </c>
      <c r="AF8" s="167">
        <f>947-4</f>
        <v>943</v>
      </c>
      <c r="AG8" s="167">
        <f>976</f>
        <v>976</v>
      </c>
      <c r="AH8" s="175">
        <f>1032-4</f>
        <v>1028</v>
      </c>
      <c r="AI8" s="166">
        <f>AI6-AI9</f>
        <v>1039.149294026377</v>
      </c>
      <c r="AJ8" s="166">
        <f>AJ6-AJ9</f>
        <v>1046.1435221101628</v>
      </c>
      <c r="AK8" s="166">
        <f>AK6-AK9</f>
        <v>1063.1904577191622</v>
      </c>
      <c r="AL8" s="176">
        <f>AL6-AL9</f>
        <v>934.75425911559364</v>
      </c>
      <c r="AM8" s="150"/>
      <c r="AN8" s="167"/>
      <c r="AO8" s="166"/>
      <c r="AP8" s="166"/>
      <c r="AQ8" s="166"/>
      <c r="AR8" s="167">
        <v>3671</v>
      </c>
      <c r="AS8" s="167">
        <f>3557-2-9</f>
        <v>3546</v>
      </c>
      <c r="AT8" s="741">
        <f>SUM(AA8:AD8)</f>
        <v>3658</v>
      </c>
      <c r="AU8" s="166">
        <f>SUM(AE8:AH8)</f>
        <v>3869</v>
      </c>
      <c r="AV8" s="166">
        <f>SUM(AI8:AL8)</f>
        <v>4083.2375329712959</v>
      </c>
      <c r="AW8" s="166">
        <f>AW6-AW9</f>
        <v>4181.410432066421</v>
      </c>
      <c r="AX8" s="166">
        <f>AX6-AX9</f>
        <v>4318.1585882519048</v>
      </c>
      <c r="AY8" s="166">
        <f>AY6-AY9</f>
        <v>4493.6652451906994</v>
      </c>
      <c r="AZ8" s="166">
        <f>AZ6-AZ9</f>
        <v>4650.7914315867511</v>
      </c>
      <c r="BA8" s="166">
        <f>BA6-BA9</f>
        <v>4787.5914186344689</v>
      </c>
      <c r="BB8" s="150"/>
      <c r="BC8"/>
      <c r="BD8"/>
      <c r="BE8"/>
      <c r="BF8"/>
      <c r="BG8"/>
      <c r="BH8"/>
      <c r="BI8" s="150"/>
    </row>
    <row r="9" spans="1:61" s="162" customFormat="1">
      <c r="A9" s="161"/>
      <c r="B9" s="664" t="s">
        <v>91</v>
      </c>
      <c r="C9" s="177"/>
      <c r="D9" s="178"/>
      <c r="E9" s="178"/>
      <c r="F9" s="179"/>
      <c r="G9" s="178"/>
      <c r="H9" s="178"/>
      <c r="I9" s="178"/>
      <c r="J9" s="179"/>
      <c r="K9" s="178"/>
      <c r="L9" s="178"/>
      <c r="M9" s="178"/>
      <c r="N9" s="179"/>
      <c r="O9" s="178"/>
      <c r="P9" s="178"/>
      <c r="Q9" s="178"/>
      <c r="R9" s="179"/>
      <c r="S9" s="178"/>
      <c r="T9" s="178"/>
      <c r="U9" s="178"/>
      <c r="V9" s="179"/>
      <c r="W9" s="178"/>
      <c r="X9" s="178"/>
      <c r="Y9" s="178"/>
      <c r="Z9" s="179"/>
      <c r="AA9" s="178">
        <f t="shared" ref="AA9:AD9" si="2">AA6-AA8</f>
        <v>203</v>
      </c>
      <c r="AB9" s="178">
        <f t="shared" si="2"/>
        <v>215</v>
      </c>
      <c r="AC9" s="178">
        <f t="shared" si="2"/>
        <v>195</v>
      </c>
      <c r="AD9" s="179">
        <f t="shared" si="2"/>
        <v>215</v>
      </c>
      <c r="AE9" s="178">
        <f>AE6-AE8</f>
        <v>246</v>
      </c>
      <c r="AF9" s="178">
        <f>AF6-AF8</f>
        <v>244</v>
      </c>
      <c r="AG9" s="178">
        <f>AG6-AG8</f>
        <v>229</v>
      </c>
      <c r="AH9" s="179">
        <f>AH6-AH8</f>
        <v>261</v>
      </c>
      <c r="AI9" s="178">
        <f>AI6*AI10</f>
        <v>263.83070597362297</v>
      </c>
      <c r="AJ9" s="178">
        <f>AJ6*AJ10</f>
        <v>265.60647788983709</v>
      </c>
      <c r="AK9" s="178">
        <f>AK6*AK10</f>
        <v>269.93454228083789</v>
      </c>
      <c r="AL9" s="179">
        <f>AL6*AL10</f>
        <v>237.32574088440654</v>
      </c>
      <c r="AM9" s="161"/>
      <c r="AN9" s="178"/>
      <c r="AO9" s="178"/>
      <c r="AP9" s="178"/>
      <c r="AQ9" s="178"/>
      <c r="AR9" s="180">
        <f t="shared" ref="AR9:AT9" si="3">AR6-AR8</f>
        <v>869</v>
      </c>
      <c r="AS9" s="180">
        <f t="shared" si="3"/>
        <v>861</v>
      </c>
      <c r="AT9" s="180">
        <f t="shared" si="3"/>
        <v>828</v>
      </c>
      <c r="AU9" s="178">
        <f>AU6-AU8</f>
        <v>980</v>
      </c>
      <c r="AV9" s="178">
        <f>AV6-AV8</f>
        <v>1036.6974670287045</v>
      </c>
      <c r="AW9" s="178">
        <f>AW6*AW10</f>
        <v>1061.622687518809</v>
      </c>
      <c r="AX9" s="178">
        <f>AX6*AX10</f>
        <v>1096.3418205581199</v>
      </c>
      <c r="AY9" s="178">
        <f>AY6*AY10</f>
        <v>1140.9013900727359</v>
      </c>
      <c r="AZ9" s="178">
        <f>AZ6*AZ10</f>
        <v>1180.7943226110333</v>
      </c>
      <c r="BA9" s="178">
        <f>BA6*BA10</f>
        <v>1215.5266150424088</v>
      </c>
      <c r="BB9" s="161"/>
      <c r="BC9"/>
      <c r="BD9"/>
      <c r="BE9"/>
      <c r="BF9"/>
      <c r="BG9"/>
      <c r="BH9"/>
      <c r="BI9" s="161"/>
    </row>
    <row r="10" spans="1:61" s="188" customFormat="1">
      <c r="A10" s="181"/>
      <c r="B10" s="660" t="s">
        <v>92</v>
      </c>
      <c r="C10" s="182"/>
      <c r="D10" s="183"/>
      <c r="E10" s="183"/>
      <c r="F10" s="184"/>
      <c r="G10" s="183"/>
      <c r="H10" s="183"/>
      <c r="I10" s="183"/>
      <c r="J10" s="184"/>
      <c r="K10" s="183"/>
      <c r="L10" s="183"/>
      <c r="M10" s="183"/>
      <c r="N10" s="184"/>
      <c r="O10" s="183"/>
      <c r="P10" s="183"/>
      <c r="Q10" s="183"/>
      <c r="R10" s="184"/>
      <c r="S10" s="183"/>
      <c r="T10" s="183"/>
      <c r="U10" s="183"/>
      <c r="V10" s="184"/>
      <c r="W10" s="183"/>
      <c r="X10" s="183"/>
      <c r="Y10" s="183"/>
      <c r="Z10" s="184"/>
      <c r="AA10" s="183">
        <f t="shared" ref="AA10:AE10" si="4">AA9/AA$6</f>
        <v>0.18173679498657117</v>
      </c>
      <c r="AB10" s="183">
        <f t="shared" si="4"/>
        <v>0.18760907504363003</v>
      </c>
      <c r="AC10" s="183">
        <f t="shared" si="4"/>
        <v>0.18105849582172701</v>
      </c>
      <c r="AD10" s="184">
        <f t="shared" si="4"/>
        <v>0.18760907504363003</v>
      </c>
      <c r="AE10" s="183">
        <f t="shared" si="4"/>
        <v>0.21061643835616439</v>
      </c>
      <c r="AF10" s="183">
        <f>AF9/AF$6</f>
        <v>0.2055602358887953</v>
      </c>
      <c r="AG10" s="183">
        <f>AG9/AG$6</f>
        <v>0.1900414937759336</v>
      </c>
      <c r="AH10" s="184">
        <f>AH9/AH$6</f>
        <v>0.20248254460822343</v>
      </c>
      <c r="AI10" s="187">
        <f>AH10</f>
        <v>0.20248254460822343</v>
      </c>
      <c r="AJ10" s="187">
        <f>AI10</f>
        <v>0.20248254460822343</v>
      </c>
      <c r="AK10" s="187">
        <f>AJ10</f>
        <v>0.20248254460822343</v>
      </c>
      <c r="AL10" s="185">
        <f>AK10</f>
        <v>0.20248254460822343</v>
      </c>
      <c r="AM10" s="181"/>
      <c r="AN10" s="183"/>
      <c r="AO10" s="183"/>
      <c r="AP10" s="183"/>
      <c r="AQ10" s="183"/>
      <c r="AR10" s="186">
        <f t="shared" ref="AR10:AU10" si="5">AR9/AR$6</f>
        <v>0.19140969162995594</v>
      </c>
      <c r="AS10" s="186">
        <f t="shared" si="5"/>
        <v>0.19537100068073521</v>
      </c>
      <c r="AT10" s="186">
        <f t="shared" si="5"/>
        <v>0.18457423094070441</v>
      </c>
      <c r="AU10" s="183">
        <f t="shared" si="5"/>
        <v>0.20210352650030936</v>
      </c>
      <c r="AV10" s="183">
        <f t="shared" ref="AV10" si="6">AV9/AV$6</f>
        <v>0.20248254460822343</v>
      </c>
      <c r="AW10" s="187">
        <f>AV10</f>
        <v>0.20248254460822343</v>
      </c>
      <c r="AX10" s="187">
        <f>AW10</f>
        <v>0.20248254460822343</v>
      </c>
      <c r="AY10" s="187">
        <f>AX10</f>
        <v>0.20248254460822343</v>
      </c>
      <c r="AZ10" s="187">
        <f>AY10</f>
        <v>0.20248254460822343</v>
      </c>
      <c r="BA10" s="187">
        <f>AZ10</f>
        <v>0.20248254460822343</v>
      </c>
      <c r="BB10" s="181"/>
      <c r="BC10"/>
      <c r="BD10"/>
      <c r="BE10"/>
      <c r="BF10"/>
      <c r="BG10"/>
      <c r="BH10"/>
      <c r="BI10" s="181"/>
    </row>
    <row r="11" spans="1:61" s="160" customFormat="1">
      <c r="A11" s="150"/>
      <c r="B11" s="194"/>
      <c r="C11" s="189"/>
      <c r="D11" s="190"/>
      <c r="E11" s="190"/>
      <c r="F11" s="191"/>
      <c r="G11" s="138"/>
      <c r="H11" s="190"/>
      <c r="I11" s="190"/>
      <c r="J11" s="191"/>
      <c r="K11" s="190"/>
      <c r="L11" s="190"/>
      <c r="M11" s="190"/>
      <c r="N11" s="191"/>
      <c r="O11" s="190"/>
      <c r="P11" s="190"/>
      <c r="Q11" s="190"/>
      <c r="R11" s="191"/>
      <c r="S11" s="190"/>
      <c r="T11" s="190"/>
      <c r="U11" s="190"/>
      <c r="V11" s="191"/>
      <c r="W11" s="190"/>
      <c r="X11" s="190"/>
      <c r="Y11" s="190"/>
      <c r="Z11" s="191"/>
      <c r="AA11" s="190"/>
      <c r="AB11" s="190"/>
      <c r="AC11" s="190"/>
      <c r="AD11" s="192"/>
      <c r="AE11" s="193"/>
      <c r="AF11" s="193"/>
      <c r="AG11" s="193"/>
      <c r="AH11" s="192"/>
      <c r="AI11" s="138"/>
      <c r="AJ11" s="138"/>
      <c r="AK11" s="138"/>
      <c r="AL11" s="194"/>
      <c r="AM11" s="150"/>
      <c r="AN11" s="195"/>
      <c r="AO11" s="193"/>
      <c r="AP11" s="193"/>
      <c r="AQ11" s="193"/>
      <c r="AR11" s="138"/>
      <c r="AS11" s="138"/>
      <c r="AT11" s="136"/>
      <c r="AU11" s="138"/>
      <c r="AV11" s="138"/>
      <c r="AW11" s="138"/>
      <c r="AX11" s="138"/>
      <c r="AY11" s="138"/>
      <c r="AZ11" s="138"/>
      <c r="BA11" s="138"/>
      <c r="BB11" s="150"/>
      <c r="BC11"/>
      <c r="BD11"/>
      <c r="BE11"/>
      <c r="BF11"/>
      <c r="BG11"/>
      <c r="BH11"/>
      <c r="BI11" s="150"/>
    </row>
    <row r="12" spans="1:61" s="168" customFormat="1">
      <c r="A12" s="196"/>
      <c r="B12" s="226" t="s">
        <v>241</v>
      </c>
      <c r="C12" s="174"/>
      <c r="D12" s="167"/>
      <c r="E12" s="167"/>
      <c r="F12" s="175"/>
      <c r="G12" s="167"/>
      <c r="H12" s="167"/>
      <c r="I12" s="167"/>
      <c r="J12" s="175"/>
      <c r="K12" s="167"/>
      <c r="L12" s="167"/>
      <c r="M12" s="167"/>
      <c r="N12" s="175"/>
      <c r="O12" s="167"/>
      <c r="P12" s="167"/>
      <c r="Q12" s="167"/>
      <c r="R12" s="175"/>
      <c r="S12" s="167"/>
      <c r="T12" s="167"/>
      <c r="U12" s="167"/>
      <c r="V12" s="175"/>
      <c r="W12" s="167"/>
      <c r="X12" s="167"/>
      <c r="Y12" s="167"/>
      <c r="Z12" s="175"/>
      <c r="AA12" s="167">
        <f>75</f>
        <v>75</v>
      </c>
      <c r="AB12" s="167">
        <v>73</v>
      </c>
      <c r="AC12" s="167">
        <f>73</f>
        <v>73</v>
      </c>
      <c r="AD12" s="175">
        <f>78</f>
        <v>78</v>
      </c>
      <c r="AE12" s="167">
        <f>80</f>
        <v>80</v>
      </c>
      <c r="AF12" s="167">
        <f>76</f>
        <v>76</v>
      </c>
      <c r="AG12" s="167">
        <v>77</v>
      </c>
      <c r="AH12" s="175">
        <f>129-35</f>
        <v>94</v>
      </c>
      <c r="AI12" s="198">
        <f>AI9-AI16-AI14</f>
        <v>114.39694597362296</v>
      </c>
      <c r="AJ12" s="198">
        <f>AJ9-AJ16-AJ14</f>
        <v>88.955477889837084</v>
      </c>
      <c r="AK12" s="198">
        <f>AK9-AK16-AK14</f>
        <v>97.127667280837898</v>
      </c>
      <c r="AL12" s="197">
        <f>AL9-AL16-AL14</f>
        <v>88.487820884406517</v>
      </c>
      <c r="AM12" s="196"/>
      <c r="AN12" s="167"/>
      <c r="AO12" s="198"/>
      <c r="AP12" s="198"/>
      <c r="AQ12" s="198"/>
      <c r="AR12" s="167">
        <v>343</v>
      </c>
      <c r="AS12" s="167">
        <v>312</v>
      </c>
      <c r="AT12" s="199">
        <f>SUM(AA12:AD12)</f>
        <v>299</v>
      </c>
      <c r="AU12" s="198">
        <f>SUM(AE12:AH12)</f>
        <v>327</v>
      </c>
      <c r="AV12" s="198">
        <f>SUM(AI12:AL12)</f>
        <v>388.96791202870446</v>
      </c>
      <c r="AW12" s="198">
        <f>AW9-AW16-AW14</f>
        <v>415.38553130498246</v>
      </c>
      <c r="AX12" s="198">
        <f>AX9-AX16-AX14</f>
        <v>446.63888219679109</v>
      </c>
      <c r="AY12" s="198">
        <f>AY9-AY16-AY14</f>
        <v>485.18343915111564</v>
      </c>
      <c r="AZ12" s="198">
        <f>AZ9-AZ16-AZ14</f>
        <v>519.95789014634829</v>
      </c>
      <c r="BA12" s="198">
        <f>BA9-BA16-BA14</f>
        <v>553.52619450030807</v>
      </c>
      <c r="BB12" s="196"/>
      <c r="BC12"/>
      <c r="BD12"/>
      <c r="BE12"/>
      <c r="BF12"/>
      <c r="BG12"/>
      <c r="BH12"/>
      <c r="BI12" s="196"/>
    </row>
    <row r="13" spans="1:61" s="200" customFormat="1">
      <c r="A13" s="196"/>
      <c r="B13" s="660" t="s">
        <v>93</v>
      </c>
      <c r="C13" s="182"/>
      <c r="D13" s="183"/>
      <c r="E13" s="183"/>
      <c r="F13" s="184"/>
      <c r="G13" s="183"/>
      <c r="H13" s="183"/>
      <c r="I13" s="183"/>
      <c r="J13" s="184"/>
      <c r="K13" s="183"/>
      <c r="L13" s="183"/>
      <c r="M13" s="183"/>
      <c r="N13" s="184"/>
      <c r="O13" s="183"/>
      <c r="P13" s="183"/>
      <c r="Q13" s="183"/>
      <c r="R13" s="184"/>
      <c r="S13" s="183"/>
      <c r="T13" s="183"/>
      <c r="U13" s="183"/>
      <c r="V13" s="184"/>
      <c r="W13" s="183"/>
      <c r="X13" s="183"/>
      <c r="Y13" s="183"/>
      <c r="Z13" s="184"/>
      <c r="AA13" s="183">
        <f t="shared" ref="AA13:AE13" si="7">AA12/AA6</f>
        <v>6.714413607878246E-2</v>
      </c>
      <c r="AB13" s="183">
        <f t="shared" si="7"/>
        <v>6.3699825479930194E-2</v>
      </c>
      <c r="AC13" s="183">
        <f t="shared" si="7"/>
        <v>6.778087279480037E-2</v>
      </c>
      <c r="AD13" s="184">
        <f>AD12/AD6</f>
        <v>6.8062827225130892E-2</v>
      </c>
      <c r="AE13" s="183">
        <f t="shared" si="7"/>
        <v>6.8493150684931503E-2</v>
      </c>
      <c r="AF13" s="183">
        <f>AF12/AF6</f>
        <v>6.4026958719460819E-2</v>
      </c>
      <c r="AG13" s="183">
        <f>AG12/AG6</f>
        <v>6.3900414937759331E-2</v>
      </c>
      <c r="AH13" s="184">
        <f>AH12/AH6</f>
        <v>7.2924747866563222E-2</v>
      </c>
      <c r="AI13" s="183">
        <f>AI12/AI6</f>
        <v>8.7796394398703709E-2</v>
      </c>
      <c r="AJ13" s="183">
        <f t="shared" ref="AJ13:AL13" si="8">AJ12/AJ6</f>
        <v>6.7814353260786803E-2</v>
      </c>
      <c r="AK13" s="183">
        <f t="shared" si="8"/>
        <v>7.2857134387876527E-2</v>
      </c>
      <c r="AL13" s="184">
        <f t="shared" si="8"/>
        <v>7.5496400317731305E-2</v>
      </c>
      <c r="AM13" s="196"/>
      <c r="AN13" s="183"/>
      <c r="AO13" s="183"/>
      <c r="AP13" s="183"/>
      <c r="AQ13" s="183"/>
      <c r="AR13" s="186">
        <f t="shared" ref="AR13:AX13" si="9">AR12/AR6</f>
        <v>7.5550660792951543E-2</v>
      </c>
      <c r="AS13" s="186">
        <f t="shared" si="9"/>
        <v>7.0796460176991149E-2</v>
      </c>
      <c r="AT13" s="186">
        <f t="shared" si="9"/>
        <v>6.6651805617476592E-2</v>
      </c>
      <c r="AU13" s="183">
        <f t="shared" si="9"/>
        <v>6.743658486285832E-2</v>
      </c>
      <c r="AV13" s="183">
        <f>AV12/AV6</f>
        <v>7.5971259796990473E-2</v>
      </c>
      <c r="AW13" s="183">
        <f t="shared" si="9"/>
        <v>7.9226188702359965E-2</v>
      </c>
      <c r="AX13" s="183">
        <f t="shared" si="9"/>
        <v>8.2489398554676893E-2</v>
      </c>
      <c r="AY13" s="183">
        <f t="shared" ref="AY13:BA13" si="10">AY12/AY6</f>
        <v>8.6108386067286546E-2</v>
      </c>
      <c r="AZ13" s="183">
        <f t="shared" si="10"/>
        <v>8.9162350012955555E-2</v>
      </c>
      <c r="BA13" s="183">
        <f t="shared" si="10"/>
        <v>9.220644861471701E-2</v>
      </c>
      <c r="BB13" s="196"/>
      <c r="BC13"/>
      <c r="BD13"/>
      <c r="BE13"/>
      <c r="BF13"/>
      <c r="BG13"/>
      <c r="BH13"/>
      <c r="BI13" s="196"/>
    </row>
    <row r="14" spans="1:61" s="168" customFormat="1">
      <c r="A14" s="196"/>
      <c r="B14" s="226" t="s">
        <v>94</v>
      </c>
      <c r="C14" s="174"/>
      <c r="D14" s="167"/>
      <c r="E14" s="167"/>
      <c r="F14" s="175"/>
      <c r="G14" s="167"/>
      <c r="H14" s="167"/>
      <c r="I14" s="167"/>
      <c r="J14" s="175"/>
      <c r="K14" s="167"/>
      <c r="L14" s="167"/>
      <c r="M14" s="167"/>
      <c r="N14" s="175"/>
      <c r="O14" s="167"/>
      <c r="P14" s="167"/>
      <c r="Q14" s="167"/>
      <c r="R14" s="175"/>
      <c r="S14" s="167"/>
      <c r="T14" s="167"/>
      <c r="U14" s="167"/>
      <c r="V14" s="175"/>
      <c r="W14" s="167"/>
      <c r="X14" s="167"/>
      <c r="Y14" s="167"/>
      <c r="Z14" s="175"/>
      <c r="AA14" s="167">
        <v>4</v>
      </c>
      <c r="AB14" s="167">
        <v>5</v>
      </c>
      <c r="AC14" s="167">
        <f>4</f>
        <v>4</v>
      </c>
      <c r="AD14" s="175">
        <f>4</f>
        <v>4</v>
      </c>
      <c r="AE14" s="167">
        <v>4</v>
      </c>
      <c r="AF14" s="167">
        <v>4</v>
      </c>
      <c r="AG14" s="167">
        <f>5</f>
        <v>5</v>
      </c>
      <c r="AH14" s="175">
        <f>3</f>
        <v>3</v>
      </c>
      <c r="AI14" s="167">
        <f>$AV$14/4</f>
        <v>3.5</v>
      </c>
      <c r="AJ14" s="167">
        <f t="shared" ref="AJ14:AL14" si="11">$AV$14/4</f>
        <v>3.5</v>
      </c>
      <c r="AK14" s="167">
        <f t="shared" si="11"/>
        <v>3.5</v>
      </c>
      <c r="AL14" s="175">
        <f t="shared" si="11"/>
        <v>3.5</v>
      </c>
      <c r="AM14" s="196"/>
      <c r="AN14" s="167"/>
      <c r="AO14" s="198"/>
      <c r="AP14" s="198"/>
      <c r="AQ14" s="198"/>
      <c r="AR14" s="167">
        <v>32</v>
      </c>
      <c r="AS14" s="167">
        <v>23</v>
      </c>
      <c r="AT14" s="199">
        <f>SUM(AA14:AD14)</f>
        <v>17</v>
      </c>
      <c r="AU14" s="198">
        <f>SUM(AE14:AH14)</f>
        <v>16</v>
      </c>
      <c r="AV14" s="167">
        <v>14</v>
      </c>
      <c r="AW14" s="167">
        <v>13</v>
      </c>
      <c r="AX14" s="167">
        <v>12</v>
      </c>
      <c r="AY14" s="167">
        <v>9</v>
      </c>
      <c r="AZ14" s="167">
        <f t="shared" ref="AW14:BA15" si="12">AY14</f>
        <v>9</v>
      </c>
      <c r="BA14" s="167">
        <f t="shared" si="12"/>
        <v>9</v>
      </c>
      <c r="BB14" s="196"/>
      <c r="BC14"/>
      <c r="BD14"/>
      <c r="BE14"/>
      <c r="BF14"/>
      <c r="BG14"/>
      <c r="BH14"/>
      <c r="BI14" s="196"/>
    </row>
    <row r="15" spans="1:61" s="168" customFormat="1">
      <c r="A15" s="196"/>
      <c r="B15" s="226" t="s">
        <v>95</v>
      </c>
      <c r="C15" s="201"/>
      <c r="D15" s="202"/>
      <c r="E15" s="202"/>
      <c r="F15" s="203"/>
      <c r="G15" s="202"/>
      <c r="H15" s="202"/>
      <c r="I15" s="202"/>
      <c r="J15" s="203"/>
      <c r="K15" s="202"/>
      <c r="L15" s="202"/>
      <c r="M15" s="202"/>
      <c r="N15" s="203"/>
      <c r="O15" s="202"/>
      <c r="P15" s="202"/>
      <c r="Q15" s="202"/>
      <c r="R15" s="203"/>
      <c r="S15" s="202"/>
      <c r="T15" s="202"/>
      <c r="U15" s="202"/>
      <c r="V15" s="203"/>
      <c r="W15" s="202"/>
      <c r="X15" s="202"/>
      <c r="Y15" s="202"/>
      <c r="Z15" s="203"/>
      <c r="AA15" s="202">
        <f>6-6</f>
        <v>0</v>
      </c>
      <c r="AB15" s="202">
        <f>124-124</f>
        <v>0</v>
      </c>
      <c r="AC15" s="202">
        <f>17-17</f>
        <v>0</v>
      </c>
      <c r="AD15" s="203">
        <f>14-14</f>
        <v>0</v>
      </c>
      <c r="AE15" s="202">
        <f>10-10</f>
        <v>0</v>
      </c>
      <c r="AF15" s="202">
        <f>66+15-66-15</f>
        <v>0</v>
      </c>
      <c r="AG15" s="202">
        <f>3+31-3-31</f>
        <v>0</v>
      </c>
      <c r="AH15" s="203">
        <f>19-19</f>
        <v>0</v>
      </c>
      <c r="AI15" s="202">
        <f t="shared" ref="AI15:AL15" si="13">AH15</f>
        <v>0</v>
      </c>
      <c r="AJ15" s="202">
        <f t="shared" si="13"/>
        <v>0</v>
      </c>
      <c r="AK15" s="202">
        <f t="shared" si="13"/>
        <v>0</v>
      </c>
      <c r="AL15" s="203">
        <f t="shared" si="13"/>
        <v>0</v>
      </c>
      <c r="AM15" s="196"/>
      <c r="AN15" s="202"/>
      <c r="AO15" s="202"/>
      <c r="AP15" s="204"/>
      <c r="AQ15" s="204"/>
      <c r="AR15" s="202">
        <f>52-52</f>
        <v>0</v>
      </c>
      <c r="AS15" s="202">
        <f>112-112</f>
        <v>0</v>
      </c>
      <c r="AT15" s="205">
        <f>SUM(AA15:AD15)</f>
        <v>0</v>
      </c>
      <c r="AU15" s="205">
        <f>SUM(AE15:AH15)</f>
        <v>0</v>
      </c>
      <c r="AV15" s="205">
        <f>SUM(AI15:AL15)</f>
        <v>0</v>
      </c>
      <c r="AW15" s="202">
        <f t="shared" si="12"/>
        <v>0</v>
      </c>
      <c r="AX15" s="202">
        <f t="shared" si="12"/>
        <v>0</v>
      </c>
      <c r="AY15" s="202">
        <f t="shared" si="12"/>
        <v>0</v>
      </c>
      <c r="AZ15" s="202">
        <f t="shared" si="12"/>
        <v>0</v>
      </c>
      <c r="BA15" s="202">
        <f t="shared" si="12"/>
        <v>0</v>
      </c>
      <c r="BB15" s="196"/>
      <c r="BC15"/>
      <c r="BD15"/>
      <c r="BE15"/>
      <c r="BF15"/>
      <c r="BG15"/>
      <c r="BH15"/>
      <c r="BI15" s="196"/>
    </row>
    <row r="16" spans="1:61" s="168" customFormat="1">
      <c r="A16" s="196"/>
      <c r="B16" s="664" t="s">
        <v>96</v>
      </c>
      <c r="C16" s="163">
        <f>Segments!C77</f>
        <v>86</v>
      </c>
      <c r="D16" s="164">
        <f>Segments!D77</f>
        <v>75</v>
      </c>
      <c r="E16" s="164">
        <f>Segments!E77</f>
        <v>70</v>
      </c>
      <c r="F16" s="165">
        <f>Segments!F77</f>
        <v>22</v>
      </c>
      <c r="G16" s="164">
        <f>Segments!G77</f>
        <v>85</v>
      </c>
      <c r="H16" s="164">
        <f>Segments!H77</f>
        <v>142</v>
      </c>
      <c r="I16" s="164">
        <f>Segments!I77</f>
        <v>116</v>
      </c>
      <c r="J16" s="165">
        <f>Segments!J77</f>
        <v>176</v>
      </c>
      <c r="K16" s="164">
        <f>Segments!K77</f>
        <v>158</v>
      </c>
      <c r="L16" s="164">
        <f>Segments!L77</f>
        <v>158</v>
      </c>
      <c r="M16" s="164">
        <f>Segments!M77</f>
        <v>125</v>
      </c>
      <c r="N16" s="165">
        <f>Segments!N77</f>
        <v>100</v>
      </c>
      <c r="O16" s="164">
        <f>Segments!O77</f>
        <v>114</v>
      </c>
      <c r="P16" s="164">
        <f>Segments!P77</f>
        <v>146</v>
      </c>
      <c r="Q16" s="164">
        <f>Segments!Q77</f>
        <v>94</v>
      </c>
      <c r="R16" s="165">
        <f>Segments!R77</f>
        <v>129</v>
      </c>
      <c r="S16" s="164">
        <f>Segments!S77</f>
        <v>113</v>
      </c>
      <c r="T16" s="164">
        <f>Segments!T77</f>
        <v>138</v>
      </c>
      <c r="U16" s="164">
        <f>Segments!U77</f>
        <v>114</v>
      </c>
      <c r="V16" s="165">
        <f>Segments!V77</f>
        <v>153</v>
      </c>
      <c r="W16" s="164">
        <f>Segments!W77</f>
        <v>129</v>
      </c>
      <c r="X16" s="164">
        <f>Segments!X77</f>
        <v>146</v>
      </c>
      <c r="Y16" s="164">
        <f>Segments!Y77</f>
        <v>115</v>
      </c>
      <c r="Z16" s="165">
        <f>Segments!Z77</f>
        <v>147</v>
      </c>
      <c r="AA16" s="166">
        <f>AA9-AA12-AA14-AA15</f>
        <v>124</v>
      </c>
      <c r="AB16" s="166">
        <f>AB9-AB12-AB14-AB15</f>
        <v>137</v>
      </c>
      <c r="AC16" s="166">
        <f t="shared" ref="AC16:AG16" si="14">AC9-AC12-AC14-AC15</f>
        <v>118</v>
      </c>
      <c r="AD16" s="179">
        <f t="shared" si="14"/>
        <v>133</v>
      </c>
      <c r="AE16" s="166">
        <f t="shared" si="14"/>
        <v>162</v>
      </c>
      <c r="AF16" s="166">
        <f t="shared" si="14"/>
        <v>164</v>
      </c>
      <c r="AG16" s="166">
        <f t="shared" si="14"/>
        <v>147</v>
      </c>
      <c r="AH16" s="176">
        <f t="shared" ref="AH16" si="15">AH9-AH12-AH14-AH15</f>
        <v>164</v>
      </c>
      <c r="AI16" s="164">
        <f>Segments!AI77</f>
        <v>145.93376000000001</v>
      </c>
      <c r="AJ16" s="164">
        <f>Segments!AJ77</f>
        <v>173.15100000000001</v>
      </c>
      <c r="AK16" s="164">
        <f>Segments!AK77</f>
        <v>169.30687499999999</v>
      </c>
      <c r="AL16" s="165">
        <f>Segments!AL77</f>
        <v>145.33792000000003</v>
      </c>
      <c r="AM16" s="196"/>
      <c r="AN16" s="257">
        <f>Segments!AN77</f>
        <v>191</v>
      </c>
      <c r="AO16" s="257">
        <f>Segments!AO77</f>
        <v>519</v>
      </c>
      <c r="AP16" s="167">
        <v>491</v>
      </c>
      <c r="AQ16" s="167">
        <v>378</v>
      </c>
      <c r="AR16" s="166">
        <f>AR9-AR12-AR14-AR15</f>
        <v>494</v>
      </c>
      <c r="AS16" s="166">
        <f>AS9-AS12-AS14-AS15</f>
        <v>526</v>
      </c>
      <c r="AT16" s="166">
        <f>AT9-AT12-AT14-AT15</f>
        <v>512</v>
      </c>
      <c r="AU16" s="166">
        <f>AU9-AU12-AU14-AU15</f>
        <v>637</v>
      </c>
      <c r="AV16" s="166">
        <f>AV9-AV12-AV14-AV15</f>
        <v>633.72955500000012</v>
      </c>
      <c r="AW16" s="164">
        <f>Segments!AW77</f>
        <v>633.23715621382655</v>
      </c>
      <c r="AX16" s="164">
        <f>Segments!AX77</f>
        <v>637.70293836132885</v>
      </c>
      <c r="AY16" s="164">
        <f>Segments!AY77</f>
        <v>646.71795092162029</v>
      </c>
      <c r="AZ16" s="164">
        <f>Segments!AZ77</f>
        <v>651.836432464685</v>
      </c>
      <c r="BA16" s="164">
        <f>Segments!BA77</f>
        <v>653.00042054210076</v>
      </c>
      <c r="BB16" s="196"/>
      <c r="BC16"/>
      <c r="BD16"/>
      <c r="BE16"/>
      <c r="BF16"/>
      <c r="BG16"/>
      <c r="BH16"/>
      <c r="BI16" s="196"/>
    </row>
    <row r="17" spans="1:61" s="162" customFormat="1">
      <c r="A17" s="206"/>
      <c r="B17" s="660" t="s">
        <v>28</v>
      </c>
      <c r="C17" s="182">
        <f t="shared" ref="C17:AA17" si="16">C16/C6</f>
        <v>8.8659793814432994E-2</v>
      </c>
      <c r="D17" s="183">
        <f t="shared" si="16"/>
        <v>7.3818897637795269E-2</v>
      </c>
      <c r="E17" s="183">
        <f t="shared" si="16"/>
        <v>7.1574642126789365E-2</v>
      </c>
      <c r="F17" s="184">
        <f t="shared" si="16"/>
        <v>1.9607843137254902E-2</v>
      </c>
      <c r="G17" s="183">
        <f t="shared" si="16"/>
        <v>6.8714632174616E-2</v>
      </c>
      <c r="H17" s="183">
        <f t="shared" si="16"/>
        <v>0.10847975553857907</v>
      </c>
      <c r="I17" s="183">
        <f t="shared" si="16"/>
        <v>9.8055790363482664E-2</v>
      </c>
      <c r="J17" s="184">
        <f t="shared" si="16"/>
        <v>0.14182111200644643</v>
      </c>
      <c r="K17" s="183">
        <f t="shared" si="16"/>
        <v>0.125</v>
      </c>
      <c r="L17" s="183">
        <f t="shared" si="16"/>
        <v>0.12680577849117175</v>
      </c>
      <c r="M17" s="183">
        <f t="shared" si="16"/>
        <v>0.11499540018399264</v>
      </c>
      <c r="N17" s="184">
        <f t="shared" si="16"/>
        <v>9.442870632672333E-2</v>
      </c>
      <c r="O17" s="183">
        <f t="shared" si="16"/>
        <v>0.10298102981029811</v>
      </c>
      <c r="P17" s="183">
        <f t="shared" si="16"/>
        <v>0.12575366063738158</v>
      </c>
      <c r="Q17" s="183">
        <f t="shared" si="16"/>
        <v>8.9694656488549615E-2</v>
      </c>
      <c r="R17" s="184">
        <f t="shared" si="16"/>
        <v>0.1164259927797834</v>
      </c>
      <c r="S17" s="183">
        <f t="shared" si="16"/>
        <v>0.10300820419325434</v>
      </c>
      <c r="T17" s="183">
        <f t="shared" si="16"/>
        <v>0.11616161616161616</v>
      </c>
      <c r="U17" s="183">
        <f t="shared" si="16"/>
        <v>0.10205908683974933</v>
      </c>
      <c r="V17" s="184">
        <f t="shared" si="16"/>
        <v>0.13503971756398941</v>
      </c>
      <c r="W17" s="183">
        <f t="shared" si="16"/>
        <v>0.11933395004625347</v>
      </c>
      <c r="X17" s="183">
        <f t="shared" si="16"/>
        <v>0.12773403324584426</v>
      </c>
      <c r="Y17" s="183">
        <f t="shared" si="16"/>
        <v>0.10808270676691729</v>
      </c>
      <c r="Z17" s="184">
        <f t="shared" si="16"/>
        <v>0.13195691202872531</v>
      </c>
      <c r="AA17" s="183">
        <f t="shared" si="16"/>
        <v>0.11101163831692032</v>
      </c>
      <c r="AB17" s="183">
        <f t="shared" ref="AB17:AG17" si="17">AB16/AB6</f>
        <v>0.11954624781849912</v>
      </c>
      <c r="AC17" s="183">
        <f t="shared" si="17"/>
        <v>0.10956360259981431</v>
      </c>
      <c r="AD17" s="184">
        <f t="shared" si="17"/>
        <v>0.11605584642233857</v>
      </c>
      <c r="AE17" s="183">
        <f t="shared" si="17"/>
        <v>0.1386986301369863</v>
      </c>
      <c r="AF17" s="183">
        <f t="shared" si="17"/>
        <v>0.13816343723673125</v>
      </c>
      <c r="AG17" s="183">
        <f t="shared" si="17"/>
        <v>0.12199170124481327</v>
      </c>
      <c r="AH17" s="184">
        <f t="shared" ref="AH17" si="18">AH16/AH6</f>
        <v>0.12723041117145073</v>
      </c>
      <c r="AI17" s="183">
        <f>AI16/AI6</f>
        <v>0.112</v>
      </c>
      <c r="AJ17" s="183">
        <f>AJ16/AJ6</f>
        <v>0.13200000000000001</v>
      </c>
      <c r="AK17" s="183">
        <f>AK16/AK6</f>
        <v>0.127</v>
      </c>
      <c r="AL17" s="184">
        <f>AL16/AL6</f>
        <v>0.124</v>
      </c>
      <c r="AM17" s="206"/>
      <c r="AN17" s="183">
        <f t="shared" ref="AN17:BA17" si="19">AN16/AN6</f>
        <v>4.6744982868330884E-2</v>
      </c>
      <c r="AO17" s="183">
        <f t="shared" si="19"/>
        <v>0.10442655935613682</v>
      </c>
      <c r="AP17" s="183">
        <f t="shared" si="19"/>
        <v>0.10547798066595059</v>
      </c>
      <c r="AQ17" s="183">
        <f t="shared" si="19"/>
        <v>8.5948158253751711E-2</v>
      </c>
      <c r="AR17" s="183">
        <f t="shared" si="19"/>
        <v>0.10881057268722467</v>
      </c>
      <c r="AS17" s="183">
        <f t="shared" si="19"/>
        <v>0.11935557068300431</v>
      </c>
      <c r="AT17" s="183">
        <f t="shared" si="19"/>
        <v>0.11413285777975925</v>
      </c>
      <c r="AU17" s="183">
        <f>AU16/AU6</f>
        <v>0.13136729222520108</v>
      </c>
      <c r="AV17" s="183">
        <f t="shared" si="19"/>
        <v>0.12377687509704714</v>
      </c>
      <c r="AW17" s="183">
        <f t="shared" si="19"/>
        <v>0.12077687509704711</v>
      </c>
      <c r="AX17" s="183">
        <f t="shared" si="19"/>
        <v>0.11777687509704711</v>
      </c>
      <c r="AY17" s="183">
        <f t="shared" si="19"/>
        <v>0.11477687509704711</v>
      </c>
      <c r="AZ17" s="183">
        <f t="shared" si="19"/>
        <v>0.1117768750970471</v>
      </c>
      <c r="BA17" s="183">
        <f t="shared" si="19"/>
        <v>0.10877687509704712</v>
      </c>
      <c r="BB17" s="206"/>
      <c r="BC17"/>
      <c r="BD17"/>
      <c r="BE17"/>
      <c r="BF17"/>
      <c r="BG17"/>
      <c r="BH17"/>
      <c r="BI17" s="206"/>
    </row>
    <row r="18" spans="1:61">
      <c r="A18" s="181"/>
      <c r="B18" s="194"/>
      <c r="C18" s="189"/>
      <c r="D18" s="190"/>
      <c r="E18" s="190"/>
      <c r="F18" s="191"/>
      <c r="H18" s="190"/>
      <c r="I18" s="190"/>
      <c r="J18" s="191"/>
      <c r="K18" s="190"/>
      <c r="L18" s="190"/>
      <c r="M18" s="190"/>
      <c r="N18" s="191"/>
      <c r="O18" s="190"/>
      <c r="P18" s="190"/>
      <c r="Q18" s="190"/>
      <c r="R18" s="191"/>
      <c r="S18" s="190"/>
      <c r="T18" s="190"/>
      <c r="U18" s="190"/>
      <c r="V18" s="191"/>
      <c r="W18" s="190"/>
      <c r="X18" s="190"/>
      <c r="Y18" s="190"/>
      <c r="Z18" s="191"/>
      <c r="AA18" s="190"/>
      <c r="AB18" s="190"/>
      <c r="AC18" s="190"/>
      <c r="AD18" s="207"/>
      <c r="AE18" s="208"/>
      <c r="AF18" s="208"/>
      <c r="AG18" s="208"/>
      <c r="AH18" s="207"/>
      <c r="AI18" s="212"/>
      <c r="AJ18" s="212"/>
      <c r="AK18" s="212"/>
      <c r="AL18" s="209"/>
      <c r="AM18" s="181"/>
      <c r="AN18" s="210"/>
      <c r="AO18" s="208"/>
      <c r="AP18" s="208"/>
      <c r="AQ18" s="208"/>
      <c r="AT18" s="211"/>
      <c r="AU18" s="212"/>
      <c r="AV18" s="210"/>
      <c r="BB18" s="181"/>
      <c r="BI18" s="181"/>
    </row>
    <row r="19" spans="1:61" s="168" customFormat="1">
      <c r="A19" s="150"/>
      <c r="B19" s="226" t="s">
        <v>30</v>
      </c>
      <c r="C19" s="174"/>
      <c r="D19" s="167"/>
      <c r="E19" s="167"/>
      <c r="F19" s="175"/>
      <c r="G19" s="167"/>
      <c r="H19" s="167"/>
      <c r="I19" s="167"/>
      <c r="J19" s="175"/>
      <c r="K19" s="167"/>
      <c r="L19" s="167"/>
      <c r="M19" s="167"/>
      <c r="N19" s="175"/>
      <c r="O19" s="167"/>
      <c r="P19" s="167"/>
      <c r="Q19" s="167"/>
      <c r="R19" s="175"/>
      <c r="S19" s="167"/>
      <c r="T19" s="167"/>
      <c r="U19" s="167"/>
      <c r="V19" s="175"/>
      <c r="W19" s="167"/>
      <c r="X19" s="167"/>
      <c r="Y19" s="167"/>
      <c r="Z19" s="175"/>
      <c r="AA19" s="167">
        <v>0</v>
      </c>
      <c r="AB19" s="167">
        <v>1</v>
      </c>
      <c r="AC19" s="167">
        <f>0</f>
        <v>0</v>
      </c>
      <c r="AD19" s="175">
        <f>0</f>
        <v>0</v>
      </c>
      <c r="AE19" s="167">
        <v>1</v>
      </c>
      <c r="AF19" s="167">
        <v>0</v>
      </c>
      <c r="AG19" s="167">
        <f>1</f>
        <v>1</v>
      </c>
      <c r="AH19" s="175">
        <f>13</f>
        <v>13</v>
      </c>
      <c r="AI19" s="198">
        <f>AI20*AH103/4</f>
        <v>15.733750000000001</v>
      </c>
      <c r="AJ19" s="198">
        <f>AJ20*AI103/4</f>
        <v>15.733750000000001</v>
      </c>
      <c r="AK19" s="198">
        <f>AK20*AJ103/4</f>
        <v>15.733750000000001</v>
      </c>
      <c r="AL19" s="197">
        <f>AL20*AK103/4</f>
        <v>15.733750000000001</v>
      </c>
      <c r="AM19" s="150"/>
      <c r="AN19" s="167"/>
      <c r="AO19" s="198"/>
      <c r="AP19" s="167">
        <v>7</v>
      </c>
      <c r="AQ19" s="167">
        <v>5</v>
      </c>
      <c r="AR19" s="167">
        <v>4</v>
      </c>
      <c r="AS19" s="167">
        <v>3</v>
      </c>
      <c r="AT19" s="199">
        <f>SUM(AA19:AD19)</f>
        <v>1</v>
      </c>
      <c r="AU19" s="198">
        <f>SUM(AE19:AH19)</f>
        <v>15</v>
      </c>
      <c r="AV19" s="198">
        <f>SUM(AI19:AL19)</f>
        <v>62.935000000000002</v>
      </c>
      <c r="AW19" s="198">
        <f>AW20*AV103</f>
        <v>62.935000000000002</v>
      </c>
      <c r="AX19" s="198">
        <f>AX20*AW103</f>
        <v>62.935000000000002</v>
      </c>
      <c r="AY19" s="198">
        <f>AY20*AX103</f>
        <v>62.935000000000002</v>
      </c>
      <c r="AZ19" s="198">
        <f>AZ20*AY103</f>
        <v>62.935000000000002</v>
      </c>
      <c r="BA19" s="198">
        <f>BA20*AZ103</f>
        <v>62.935000000000002</v>
      </c>
      <c r="BB19" s="150"/>
      <c r="BC19"/>
      <c r="BD19"/>
      <c r="BE19"/>
      <c r="BF19"/>
      <c r="BG19"/>
      <c r="BH19"/>
      <c r="BI19" s="150"/>
    </row>
    <row r="20" spans="1:61" s="200" customFormat="1">
      <c r="A20" s="169"/>
      <c r="B20" s="660" t="s">
        <v>97</v>
      </c>
      <c r="C20" s="182"/>
      <c r="D20" s="183"/>
      <c r="E20" s="183"/>
      <c r="F20" s="184"/>
      <c r="G20" s="183"/>
      <c r="H20" s="183"/>
      <c r="I20" s="183"/>
      <c r="J20" s="184"/>
      <c r="K20" s="183"/>
      <c r="L20" s="183"/>
      <c r="M20" s="183"/>
      <c r="N20" s="184"/>
      <c r="O20" s="183"/>
      <c r="P20" s="183"/>
      <c r="Q20" s="183"/>
      <c r="R20" s="184"/>
      <c r="S20" s="183"/>
      <c r="T20" s="183"/>
      <c r="U20" s="183"/>
      <c r="V20" s="184"/>
      <c r="W20" s="183"/>
      <c r="X20" s="183"/>
      <c r="Y20" s="183"/>
      <c r="Z20" s="184"/>
      <c r="AA20" s="183">
        <f>AA19*4/AS103</f>
        <v>0</v>
      </c>
      <c r="AB20" s="183"/>
      <c r="AC20" s="183"/>
      <c r="AD20" s="184"/>
      <c r="AE20" s="183">
        <f>AE19*4/AD103</f>
        <v>0.5</v>
      </c>
      <c r="AF20" s="183">
        <f>AF19*4/AE103</f>
        <v>0</v>
      </c>
      <c r="AG20" s="183">
        <f>AG19*4/AF103</f>
        <v>0.5714285714285714</v>
      </c>
      <c r="AH20" s="184">
        <f>AH19*4/AG103</f>
        <v>6.5906210392902412E-2</v>
      </c>
      <c r="AI20" s="744">
        <f>Debt!E11</f>
        <v>4.1000000000000002E-2</v>
      </c>
      <c r="AJ20" s="214">
        <f>AI20</f>
        <v>4.1000000000000002E-2</v>
      </c>
      <c r="AK20" s="214">
        <f t="shared" ref="AK20:AL21" si="20">AJ20</f>
        <v>4.1000000000000002E-2</v>
      </c>
      <c r="AL20" s="213">
        <f t="shared" si="20"/>
        <v>4.1000000000000002E-2</v>
      </c>
      <c r="AM20" s="169"/>
      <c r="AN20" s="183"/>
      <c r="AO20" s="183"/>
      <c r="AP20" s="183"/>
      <c r="AQ20" s="183"/>
      <c r="AR20" s="186"/>
      <c r="AS20" s="186">
        <f>AS19/AVERAGE(AR103:AS103)</f>
        <v>9.375E-2</v>
      </c>
      <c r="AT20" s="186">
        <f>AT19/AVERAGE(AA103:AD103)</f>
        <v>0.125</v>
      </c>
      <c r="AU20" s="183">
        <f>AU19/AVERAGE(AE103:AH103)</f>
        <v>2.5662959794696322E-2</v>
      </c>
      <c r="AV20" s="183">
        <f>AV19/AVERAGE(AI103:AL103)</f>
        <v>4.1000000000000002E-2</v>
      </c>
      <c r="AW20" s="214">
        <f t="shared" ref="AW20:BA21" si="21">AV20</f>
        <v>4.1000000000000002E-2</v>
      </c>
      <c r="AX20" s="214">
        <f t="shared" si="21"/>
        <v>4.1000000000000002E-2</v>
      </c>
      <c r="AY20" s="214">
        <f t="shared" si="21"/>
        <v>4.1000000000000002E-2</v>
      </c>
      <c r="AZ20" s="214">
        <f t="shared" si="21"/>
        <v>4.1000000000000002E-2</v>
      </c>
      <c r="BA20" s="214">
        <f t="shared" si="21"/>
        <v>4.1000000000000002E-2</v>
      </c>
      <c r="BB20" s="169"/>
      <c r="BC20"/>
      <c r="BD20"/>
      <c r="BE20"/>
      <c r="BF20"/>
      <c r="BG20"/>
      <c r="BH20"/>
      <c r="BI20" s="169"/>
    </row>
    <row r="21" spans="1:61" s="168" customFormat="1">
      <c r="A21" s="150"/>
      <c r="B21" s="226" t="s">
        <v>98</v>
      </c>
      <c r="C21" s="174"/>
      <c r="D21" s="167"/>
      <c r="E21" s="167"/>
      <c r="F21" s="175"/>
      <c r="G21" s="167"/>
      <c r="H21" s="167"/>
      <c r="I21" s="167"/>
      <c r="J21" s="175"/>
      <c r="K21" s="167"/>
      <c r="L21" s="167"/>
      <c r="M21" s="167"/>
      <c r="N21" s="175"/>
      <c r="O21" s="167"/>
      <c r="P21" s="167"/>
      <c r="Q21" s="167"/>
      <c r="R21" s="175"/>
      <c r="S21" s="167"/>
      <c r="T21" s="167"/>
      <c r="U21" s="167"/>
      <c r="V21" s="175"/>
      <c r="W21" s="167"/>
      <c r="X21" s="167"/>
      <c r="Y21" s="167"/>
      <c r="Z21" s="175"/>
      <c r="AA21" s="167">
        <v>0</v>
      </c>
      <c r="AB21" s="167">
        <v>3</v>
      </c>
      <c r="AC21" s="167">
        <f>-3</f>
        <v>-3</v>
      </c>
      <c r="AD21" s="175">
        <f>-1</f>
        <v>-1</v>
      </c>
      <c r="AE21" s="167">
        <v>-6</v>
      </c>
      <c r="AF21" s="167">
        <v>0</v>
      </c>
      <c r="AG21" s="167">
        <f>-1</f>
        <v>-1</v>
      </c>
      <c r="AH21" s="175">
        <f>-4</f>
        <v>-4</v>
      </c>
      <c r="AI21" s="167">
        <v>0</v>
      </c>
      <c r="AJ21" s="167">
        <f t="shared" ref="AJ21" si="22">AI21</f>
        <v>0</v>
      </c>
      <c r="AK21" s="167">
        <f t="shared" si="20"/>
        <v>0</v>
      </c>
      <c r="AL21" s="175">
        <f t="shared" si="20"/>
        <v>0</v>
      </c>
      <c r="AM21" s="150"/>
      <c r="AN21" s="167"/>
      <c r="AO21" s="198"/>
      <c r="AP21" s="167">
        <v>0</v>
      </c>
      <c r="AQ21" s="167">
        <v>1</v>
      </c>
      <c r="AR21" s="167">
        <v>2</v>
      </c>
      <c r="AS21" s="167">
        <v>-2</v>
      </c>
      <c r="AT21" s="199">
        <f>SUM(AA21:AD21)</f>
        <v>-1</v>
      </c>
      <c r="AU21" s="198">
        <f>SUM(AE21:AH21)</f>
        <v>-11</v>
      </c>
      <c r="AV21" s="166">
        <f>SUM(AI21:AL21)</f>
        <v>0</v>
      </c>
      <c r="AW21" s="167">
        <f t="shared" si="21"/>
        <v>0</v>
      </c>
      <c r="AX21" s="167">
        <f t="shared" si="21"/>
        <v>0</v>
      </c>
      <c r="AY21" s="167">
        <f t="shared" si="21"/>
        <v>0</v>
      </c>
      <c r="AZ21" s="167">
        <f t="shared" si="21"/>
        <v>0</v>
      </c>
      <c r="BA21" s="167">
        <f t="shared" si="21"/>
        <v>0</v>
      </c>
      <c r="BB21" s="150"/>
      <c r="BC21"/>
      <c r="BD21"/>
      <c r="BE21"/>
      <c r="BF21"/>
      <c r="BG21"/>
      <c r="BH21"/>
      <c r="BI21" s="150"/>
    </row>
    <row r="22" spans="1:61" s="162" customFormat="1">
      <c r="A22" s="206"/>
      <c r="B22" s="664" t="s">
        <v>99</v>
      </c>
      <c r="C22" s="177"/>
      <c r="D22" s="178"/>
      <c r="E22" s="178"/>
      <c r="F22" s="179"/>
      <c r="G22" s="178"/>
      <c r="H22" s="178"/>
      <c r="I22" s="178"/>
      <c r="J22" s="179"/>
      <c r="K22" s="178"/>
      <c r="L22" s="178"/>
      <c r="M22" s="178"/>
      <c r="N22" s="179"/>
      <c r="O22" s="178"/>
      <c r="P22" s="178"/>
      <c r="Q22" s="178"/>
      <c r="R22" s="179"/>
      <c r="S22" s="178"/>
      <c r="T22" s="178"/>
      <c r="U22" s="178"/>
      <c r="V22" s="179"/>
      <c r="W22" s="178"/>
      <c r="X22" s="178"/>
      <c r="Y22" s="178"/>
      <c r="Z22" s="179"/>
      <c r="AA22" s="178">
        <f t="shared" ref="AA22:AL22" si="23">AA16-AA19+AA21</f>
        <v>124</v>
      </c>
      <c r="AB22" s="178">
        <f t="shared" si="23"/>
        <v>139</v>
      </c>
      <c r="AC22" s="178">
        <f t="shared" si="23"/>
        <v>115</v>
      </c>
      <c r="AD22" s="215">
        <f t="shared" si="23"/>
        <v>132</v>
      </c>
      <c r="AE22" s="216">
        <f t="shared" si="23"/>
        <v>155</v>
      </c>
      <c r="AF22" s="216">
        <f t="shared" si="23"/>
        <v>164</v>
      </c>
      <c r="AG22" s="216">
        <f t="shared" si="23"/>
        <v>145</v>
      </c>
      <c r="AH22" s="215">
        <f t="shared" ref="AH22" si="24">AH16-AH19+AH21</f>
        <v>147</v>
      </c>
      <c r="AI22" s="178">
        <f t="shared" si="23"/>
        <v>130.20001000000002</v>
      </c>
      <c r="AJ22" s="178">
        <f t="shared" si="23"/>
        <v>157.41725000000002</v>
      </c>
      <c r="AK22" s="178">
        <f t="shared" si="23"/>
        <v>153.573125</v>
      </c>
      <c r="AL22" s="179">
        <f t="shared" si="23"/>
        <v>129.60417000000001</v>
      </c>
      <c r="AM22" s="206"/>
      <c r="AN22" s="178"/>
      <c r="AO22" s="178"/>
      <c r="AP22" s="178">
        <f>AP26+AP24</f>
        <v>484</v>
      </c>
      <c r="AQ22" s="178">
        <f>AQ26+AQ24</f>
        <v>374</v>
      </c>
      <c r="AR22" s="180">
        <f>AR16-AR19+AR21</f>
        <v>492</v>
      </c>
      <c r="AS22" s="180">
        <f>AS16-AS19+AS21</f>
        <v>521</v>
      </c>
      <c r="AT22" s="180">
        <f>AT16-AT19+AT21</f>
        <v>510</v>
      </c>
      <c r="AU22" s="178">
        <f>AU16-AU19+AU21</f>
        <v>611</v>
      </c>
      <c r="AV22" s="178">
        <f>AV16-AV19+AV21</f>
        <v>570.79455500000017</v>
      </c>
      <c r="AW22" s="178">
        <f t="shared" ref="AW22:BA22" si="25">AW16-AW19+AW21</f>
        <v>570.30215621382649</v>
      </c>
      <c r="AX22" s="178">
        <f t="shared" si="25"/>
        <v>574.76793836132879</v>
      </c>
      <c r="AY22" s="178">
        <f t="shared" si="25"/>
        <v>583.78295092162034</v>
      </c>
      <c r="AZ22" s="178">
        <f t="shared" si="25"/>
        <v>588.90143246468506</v>
      </c>
      <c r="BA22" s="178">
        <f t="shared" si="25"/>
        <v>590.06542054210081</v>
      </c>
      <c r="BB22" s="206"/>
      <c r="BC22"/>
      <c r="BD22"/>
      <c r="BE22"/>
      <c r="BF22"/>
      <c r="BG22"/>
      <c r="BH22"/>
      <c r="BI22" s="206"/>
    </row>
    <row r="23" spans="1:61" s="162" customFormat="1">
      <c r="A23" s="161"/>
      <c r="B23" s="655"/>
      <c r="C23" s="218"/>
      <c r="D23" s="219"/>
      <c r="E23" s="219"/>
      <c r="F23" s="220"/>
      <c r="G23" s="219"/>
      <c r="H23" s="219"/>
      <c r="I23" s="219"/>
      <c r="J23" s="220"/>
      <c r="K23" s="219"/>
      <c r="L23" s="219"/>
      <c r="M23" s="219"/>
      <c r="N23" s="220"/>
      <c r="O23" s="219"/>
      <c r="P23" s="219"/>
      <c r="Q23" s="219"/>
      <c r="R23" s="220"/>
      <c r="S23" s="219"/>
      <c r="T23" s="219"/>
      <c r="U23" s="219"/>
      <c r="V23" s="220"/>
      <c r="W23" s="219"/>
      <c r="X23" s="219"/>
      <c r="Y23" s="219"/>
      <c r="Z23" s="220"/>
      <c r="AA23" s="219"/>
      <c r="AB23" s="219"/>
      <c r="AC23" s="219"/>
      <c r="AD23" s="221"/>
      <c r="AE23" s="222"/>
      <c r="AF23" s="222"/>
      <c r="AG23" s="222"/>
      <c r="AH23" s="221"/>
      <c r="AI23" s="219"/>
      <c r="AJ23" s="219"/>
      <c r="AK23" s="219"/>
      <c r="AL23" s="220"/>
      <c r="AM23" s="161"/>
      <c r="AN23" s="219"/>
      <c r="AO23" s="219"/>
      <c r="AP23" s="219"/>
      <c r="AQ23" s="219"/>
      <c r="AR23" s="219"/>
      <c r="AS23" s="219"/>
      <c r="AT23" s="223"/>
      <c r="AU23" s="219"/>
      <c r="AV23" s="219"/>
      <c r="AW23" s="219"/>
      <c r="AX23" s="219"/>
      <c r="AY23" s="219"/>
      <c r="AZ23" s="219"/>
      <c r="BA23" s="219"/>
      <c r="BB23" s="161"/>
      <c r="BC23"/>
      <c r="BD23"/>
      <c r="BE23"/>
      <c r="BF23"/>
      <c r="BG23"/>
      <c r="BH23"/>
      <c r="BI23" s="161"/>
    </row>
    <row r="24" spans="1:61" s="168" customFormat="1">
      <c r="A24" s="150"/>
      <c r="B24" s="226" t="s">
        <v>100</v>
      </c>
      <c r="C24" s="174"/>
      <c r="D24" s="167"/>
      <c r="E24" s="167"/>
      <c r="F24" s="175"/>
      <c r="G24" s="167"/>
      <c r="H24" s="167"/>
      <c r="I24" s="167"/>
      <c r="J24" s="175"/>
      <c r="K24" s="167"/>
      <c r="L24" s="167"/>
      <c r="M24" s="167"/>
      <c r="N24" s="175"/>
      <c r="O24" s="167"/>
      <c r="P24" s="167"/>
      <c r="Q24" s="167"/>
      <c r="R24" s="175"/>
      <c r="S24" s="167"/>
      <c r="T24" s="167"/>
      <c r="U24" s="167"/>
      <c r="V24" s="175"/>
      <c r="W24" s="167"/>
      <c r="X24" s="167"/>
      <c r="Y24" s="167"/>
      <c r="Z24" s="175"/>
      <c r="AA24" s="167">
        <f>15+2</f>
        <v>17</v>
      </c>
      <c r="AB24" s="167">
        <f>-2+1</f>
        <v>-1</v>
      </c>
      <c r="AC24" s="167">
        <f>14+2</f>
        <v>16</v>
      </c>
      <c r="AD24" s="175">
        <f>23+2</f>
        <v>25</v>
      </c>
      <c r="AE24" s="167">
        <f>31+1</f>
        <v>32</v>
      </c>
      <c r="AF24" s="167">
        <f>22+13</f>
        <v>35</v>
      </c>
      <c r="AG24" s="167">
        <f>26+1</f>
        <v>27</v>
      </c>
      <c r="AH24" s="175">
        <f>27+4</f>
        <v>31</v>
      </c>
      <c r="AI24" s="198">
        <f>AI22*AI25</f>
        <v>22.134001700000006</v>
      </c>
      <c r="AJ24" s="198">
        <f>AJ22*AJ25</f>
        <v>26.760932500000006</v>
      </c>
      <c r="AK24" s="198">
        <f>AK22*AK25</f>
        <v>26.107431250000001</v>
      </c>
      <c r="AL24" s="197">
        <f>AL22*AL25</f>
        <v>22.032708900000003</v>
      </c>
      <c r="AM24" s="150"/>
      <c r="AN24" s="167"/>
      <c r="AO24" s="167"/>
      <c r="AP24" s="167">
        <v>94</v>
      </c>
      <c r="AQ24" s="167">
        <v>96</v>
      </c>
      <c r="AR24" s="167">
        <v>97</v>
      </c>
      <c r="AS24" s="167">
        <v>92</v>
      </c>
      <c r="AT24" s="741">
        <f>SUM(AA24:AD24)</f>
        <v>57</v>
      </c>
      <c r="AU24" s="198">
        <f>SUM(AE24:AH24)</f>
        <v>125</v>
      </c>
      <c r="AV24" s="198">
        <f>SUM(AI24:AL24)</f>
        <v>97.035074350000016</v>
      </c>
      <c r="AW24" s="198">
        <f>AW22*AW25</f>
        <v>96.951366556350493</v>
      </c>
      <c r="AX24" s="198">
        <f>AX22*AX25</f>
        <v>97.710549521425889</v>
      </c>
      <c r="AY24" s="198">
        <f>AY22*AY25</f>
        <v>99.243101656675449</v>
      </c>
      <c r="AZ24" s="198">
        <f>AZ22*AZ25</f>
        <v>100.11324351899646</v>
      </c>
      <c r="BA24" s="198">
        <f>BA22*BA25</f>
        <v>100.31112149215713</v>
      </c>
      <c r="BB24" s="150"/>
      <c r="BC24"/>
      <c r="BD24"/>
      <c r="BE24"/>
      <c r="BF24"/>
      <c r="BG24"/>
      <c r="BH24"/>
      <c r="BI24" s="150"/>
    </row>
    <row r="25" spans="1:61" s="200" customFormat="1">
      <c r="A25" s="196"/>
      <c r="B25" s="660" t="s">
        <v>32</v>
      </c>
      <c r="C25" s="182"/>
      <c r="D25" s="183"/>
      <c r="E25" s="183"/>
      <c r="F25" s="184"/>
      <c r="G25" s="183"/>
      <c r="H25" s="183"/>
      <c r="I25" s="183"/>
      <c r="J25" s="184"/>
      <c r="K25" s="183"/>
      <c r="L25" s="183"/>
      <c r="M25" s="183"/>
      <c r="N25" s="184"/>
      <c r="O25" s="183"/>
      <c r="P25" s="183"/>
      <c r="Q25" s="183"/>
      <c r="R25" s="184"/>
      <c r="S25" s="183"/>
      <c r="T25" s="183"/>
      <c r="U25" s="183"/>
      <c r="V25" s="184"/>
      <c r="W25" s="183"/>
      <c r="X25" s="183"/>
      <c r="Y25" s="183"/>
      <c r="Z25" s="184"/>
      <c r="AA25" s="183">
        <f t="shared" ref="AA25:AG25" si="26">AA24/AA22</f>
        <v>0.13709677419354838</v>
      </c>
      <c r="AB25" s="183">
        <f t="shared" si="26"/>
        <v>-7.1942446043165471E-3</v>
      </c>
      <c r="AC25" s="183">
        <f t="shared" si="26"/>
        <v>0.1391304347826087</v>
      </c>
      <c r="AD25" s="184">
        <f t="shared" si="26"/>
        <v>0.18939393939393939</v>
      </c>
      <c r="AE25" s="183">
        <f>AE24/AE22</f>
        <v>0.20645161290322581</v>
      </c>
      <c r="AF25" s="183">
        <f t="shared" si="26"/>
        <v>0.21341463414634146</v>
      </c>
      <c r="AG25" s="183">
        <f t="shared" si="26"/>
        <v>0.18620689655172415</v>
      </c>
      <c r="AH25" s="184">
        <f t="shared" ref="AH25" si="27">AH24/AH22</f>
        <v>0.21088435374149661</v>
      </c>
      <c r="AI25" s="214">
        <v>0.17</v>
      </c>
      <c r="AJ25" s="214">
        <f t="shared" ref="AJ25:AL25" si="28">AI25</f>
        <v>0.17</v>
      </c>
      <c r="AK25" s="214">
        <f t="shared" si="28"/>
        <v>0.17</v>
      </c>
      <c r="AL25" s="213">
        <f t="shared" si="28"/>
        <v>0.17</v>
      </c>
      <c r="AM25" s="196"/>
      <c r="AN25" s="183"/>
      <c r="AO25" s="183"/>
      <c r="AP25" s="186">
        <f t="shared" ref="AP25:AU25" si="29">AP24/AP22</f>
        <v>0.19421487603305784</v>
      </c>
      <c r="AQ25" s="186">
        <f t="shared" si="29"/>
        <v>0.25668449197860965</v>
      </c>
      <c r="AR25" s="186">
        <f t="shared" si="29"/>
        <v>0.19715447154471544</v>
      </c>
      <c r="AS25" s="186">
        <f t="shared" si="29"/>
        <v>0.1765834932821497</v>
      </c>
      <c r="AT25" s="186">
        <f t="shared" si="29"/>
        <v>0.11176470588235295</v>
      </c>
      <c r="AU25" s="183">
        <f t="shared" si="29"/>
        <v>0.20458265139116202</v>
      </c>
      <c r="AV25" s="183">
        <f>AV24/AV22</f>
        <v>0.16999999999999998</v>
      </c>
      <c r="AW25" s="214">
        <f>AV25</f>
        <v>0.16999999999999998</v>
      </c>
      <c r="AX25" s="214">
        <f>AW25</f>
        <v>0.16999999999999998</v>
      </c>
      <c r="AY25" s="214">
        <f>AX25</f>
        <v>0.16999999999999998</v>
      </c>
      <c r="AZ25" s="214">
        <f>AY25</f>
        <v>0.16999999999999998</v>
      </c>
      <c r="BA25" s="214">
        <f>AZ25</f>
        <v>0.16999999999999998</v>
      </c>
      <c r="BB25" s="196"/>
      <c r="BC25"/>
      <c r="BD25"/>
      <c r="BE25"/>
      <c r="BF25"/>
      <c r="BG25"/>
      <c r="BH25"/>
      <c r="BI25" s="196"/>
    </row>
    <row r="26" spans="1:61" s="162" customFormat="1">
      <c r="A26" s="161"/>
      <c r="B26" s="664" t="s">
        <v>101</v>
      </c>
      <c r="C26" s="177"/>
      <c r="D26" s="178"/>
      <c r="E26" s="178"/>
      <c r="F26" s="179"/>
      <c r="G26" s="178"/>
      <c r="H26" s="178"/>
      <c r="I26" s="178"/>
      <c r="J26" s="179"/>
      <c r="K26" s="178"/>
      <c r="L26" s="178"/>
      <c r="M26" s="178"/>
      <c r="N26" s="179"/>
      <c r="O26" s="178"/>
      <c r="P26" s="178"/>
      <c r="Q26" s="178"/>
      <c r="R26" s="179"/>
      <c r="S26" s="178"/>
      <c r="T26" s="178"/>
      <c r="U26" s="178"/>
      <c r="V26" s="179"/>
      <c r="W26" s="178"/>
      <c r="X26" s="178"/>
      <c r="Y26" s="178"/>
      <c r="Z26" s="179"/>
      <c r="AA26" s="178">
        <f>AA22-AA24</f>
        <v>107</v>
      </c>
      <c r="AB26" s="178">
        <f t="shared" ref="AB26:AE26" si="30">AB22-AB24</f>
        <v>140</v>
      </c>
      <c r="AC26" s="178">
        <f>AC22-AC24</f>
        <v>99</v>
      </c>
      <c r="AD26" s="215">
        <f>AD22-AD24</f>
        <v>107</v>
      </c>
      <c r="AE26" s="216">
        <f t="shared" si="30"/>
        <v>123</v>
      </c>
      <c r="AF26" s="216">
        <f t="shared" ref="AF26:AL26" si="31">AF22-AF24</f>
        <v>129</v>
      </c>
      <c r="AG26" s="216">
        <f t="shared" si="31"/>
        <v>118</v>
      </c>
      <c r="AH26" s="215">
        <f t="shared" ref="AH26" si="32">AH22-AH24</f>
        <v>116</v>
      </c>
      <c r="AI26" s="178">
        <f t="shared" si="31"/>
        <v>108.06600830000002</v>
      </c>
      <c r="AJ26" s="178">
        <f t="shared" si="31"/>
        <v>130.65631750000003</v>
      </c>
      <c r="AK26" s="178">
        <f t="shared" si="31"/>
        <v>127.46569375</v>
      </c>
      <c r="AL26" s="179">
        <f t="shared" si="31"/>
        <v>107.57146110000001</v>
      </c>
      <c r="AM26" s="161"/>
      <c r="AN26" s="178"/>
      <c r="AO26" s="178"/>
      <c r="AP26" s="178">
        <f>AP29+AP28-AP27</f>
        <v>390</v>
      </c>
      <c r="AQ26" s="178">
        <f>AQ29+AQ28-AQ27</f>
        <v>278</v>
      </c>
      <c r="AR26" s="180">
        <f>AR22-AR24</f>
        <v>395</v>
      </c>
      <c r="AS26" s="180">
        <f>AS22-AS24</f>
        <v>429</v>
      </c>
      <c r="AT26" s="180">
        <f t="shared" ref="AT26:AX26" si="33">AT22-AT24</f>
        <v>453</v>
      </c>
      <c r="AU26" s="178">
        <f t="shared" si="33"/>
        <v>486</v>
      </c>
      <c r="AV26" s="178">
        <f>AV22-AV24</f>
        <v>473.75948065000017</v>
      </c>
      <c r="AW26" s="178">
        <f t="shared" si="33"/>
        <v>473.35078965747601</v>
      </c>
      <c r="AX26" s="178">
        <f t="shared" si="33"/>
        <v>477.0573888399029</v>
      </c>
      <c r="AY26" s="178">
        <f t="shared" ref="AY26:BA26" si="34">AY22-AY24</f>
        <v>484.53984926494491</v>
      </c>
      <c r="AZ26" s="178">
        <f t="shared" si="34"/>
        <v>488.7881889456886</v>
      </c>
      <c r="BA26" s="178">
        <f t="shared" si="34"/>
        <v>489.75429904994371</v>
      </c>
      <c r="BB26" s="161"/>
      <c r="BC26"/>
      <c r="BD26"/>
      <c r="BE26"/>
      <c r="BF26"/>
      <c r="BG26"/>
      <c r="BH26"/>
      <c r="BI26" s="161"/>
    </row>
    <row r="27" spans="1:61" s="162" customFormat="1">
      <c r="A27" s="161"/>
      <c r="B27" s="665" t="s">
        <v>102</v>
      </c>
      <c r="C27" s="174"/>
      <c r="D27" s="167"/>
      <c r="E27" s="167"/>
      <c r="F27" s="175"/>
      <c r="G27" s="167"/>
      <c r="H27" s="167"/>
      <c r="I27" s="167"/>
      <c r="J27" s="175"/>
      <c r="K27" s="167"/>
      <c r="L27" s="167"/>
      <c r="M27" s="167"/>
      <c r="N27" s="175"/>
      <c r="O27" s="167"/>
      <c r="P27" s="167"/>
      <c r="Q27" s="167"/>
      <c r="R27" s="175"/>
      <c r="S27" s="167"/>
      <c r="T27" s="167"/>
      <c r="U27" s="167"/>
      <c r="V27" s="175"/>
      <c r="W27" s="167"/>
      <c r="X27" s="167"/>
      <c r="Y27" s="167"/>
      <c r="Z27" s="175"/>
      <c r="AA27" s="167">
        <v>0</v>
      </c>
      <c r="AB27" s="167">
        <v>0</v>
      </c>
      <c r="AC27" s="167">
        <f>0</f>
        <v>0</v>
      </c>
      <c r="AD27" s="175">
        <f>0</f>
        <v>0</v>
      </c>
      <c r="AE27" s="167">
        <v>1</v>
      </c>
      <c r="AF27" s="167">
        <v>-1</v>
      </c>
      <c r="AG27" s="167">
        <f>2</f>
        <v>2</v>
      </c>
      <c r="AH27" s="175">
        <f>3</f>
        <v>3</v>
      </c>
      <c r="AI27" s="167">
        <v>1</v>
      </c>
      <c r="AJ27" s="167">
        <f t="shared" ref="AI27:AL28" si="35">AI27</f>
        <v>1</v>
      </c>
      <c r="AK27" s="167">
        <f t="shared" si="35"/>
        <v>1</v>
      </c>
      <c r="AL27" s="175">
        <f t="shared" si="35"/>
        <v>1</v>
      </c>
      <c r="AM27" s="161"/>
      <c r="AN27" s="167"/>
      <c r="AO27" s="198"/>
      <c r="AP27" s="167">
        <v>-3</v>
      </c>
      <c r="AQ27" s="167">
        <v>0</v>
      </c>
      <c r="AR27" s="167">
        <v>-1</v>
      </c>
      <c r="AS27" s="167">
        <v>0</v>
      </c>
      <c r="AT27" s="199">
        <f>SUM(AA27:AD27)</f>
        <v>0</v>
      </c>
      <c r="AU27" s="166">
        <f>SUM(AE27:AH27)</f>
        <v>5</v>
      </c>
      <c r="AV27" s="166">
        <f>SUM(AI27:AL27)</f>
        <v>4</v>
      </c>
      <c r="AW27" s="167">
        <f t="shared" ref="AW27:BA28" si="36">AV27</f>
        <v>4</v>
      </c>
      <c r="AX27" s="167">
        <f t="shared" si="36"/>
        <v>4</v>
      </c>
      <c r="AY27" s="167">
        <f t="shared" si="36"/>
        <v>4</v>
      </c>
      <c r="AZ27" s="167">
        <f t="shared" si="36"/>
        <v>4</v>
      </c>
      <c r="BA27" s="167">
        <f t="shared" si="36"/>
        <v>4</v>
      </c>
      <c r="BB27" s="161"/>
      <c r="BC27"/>
      <c r="BD27"/>
      <c r="BE27"/>
      <c r="BF27"/>
      <c r="BG27"/>
      <c r="BH27"/>
      <c r="BI27" s="161"/>
    </row>
    <row r="28" spans="1:61" s="162" customFormat="1">
      <c r="A28" s="161"/>
      <c r="B28" s="665" t="s">
        <v>103</v>
      </c>
      <c r="C28" s="174"/>
      <c r="D28" s="167"/>
      <c r="E28" s="167"/>
      <c r="F28" s="175"/>
      <c r="G28" s="167"/>
      <c r="H28" s="167"/>
      <c r="I28" s="167"/>
      <c r="J28" s="175"/>
      <c r="K28" s="167"/>
      <c r="L28" s="167"/>
      <c r="M28" s="167"/>
      <c r="N28" s="175"/>
      <c r="O28" s="167"/>
      <c r="P28" s="167"/>
      <c r="Q28" s="167"/>
      <c r="R28" s="175"/>
      <c r="S28" s="167"/>
      <c r="T28" s="167"/>
      <c r="U28" s="167"/>
      <c r="V28" s="175"/>
      <c r="W28" s="167"/>
      <c r="X28" s="167"/>
      <c r="Y28" s="167"/>
      <c r="Z28" s="175"/>
      <c r="AA28" s="167">
        <v>8</v>
      </c>
      <c r="AB28" s="167">
        <v>7</v>
      </c>
      <c r="AC28" s="167">
        <f>7</f>
        <v>7</v>
      </c>
      <c r="AD28" s="175">
        <f>10</f>
        <v>10</v>
      </c>
      <c r="AE28" s="167">
        <v>8</v>
      </c>
      <c r="AF28" s="167">
        <v>8</v>
      </c>
      <c r="AG28" s="167">
        <f>9</f>
        <v>9</v>
      </c>
      <c r="AH28" s="175">
        <f>9</f>
        <v>9</v>
      </c>
      <c r="AI28" s="167">
        <f t="shared" si="35"/>
        <v>9</v>
      </c>
      <c r="AJ28" s="167">
        <f t="shared" si="35"/>
        <v>9</v>
      </c>
      <c r="AK28" s="167">
        <f t="shared" si="35"/>
        <v>9</v>
      </c>
      <c r="AL28" s="175">
        <f t="shared" si="35"/>
        <v>9</v>
      </c>
      <c r="AM28" s="161"/>
      <c r="AN28" s="167"/>
      <c r="AO28" s="198"/>
      <c r="AP28" s="167">
        <v>31</v>
      </c>
      <c r="AQ28" s="167">
        <v>31</v>
      </c>
      <c r="AR28" s="167">
        <v>36</v>
      </c>
      <c r="AS28" s="167">
        <v>34</v>
      </c>
      <c r="AT28" s="199">
        <f>SUM(AA28:AD28)</f>
        <v>32</v>
      </c>
      <c r="AU28" s="166">
        <f>SUM(AE28:AH28)</f>
        <v>34</v>
      </c>
      <c r="AV28" s="166">
        <f>SUM(AI28:AL28)</f>
        <v>36</v>
      </c>
      <c r="AW28" s="167">
        <f t="shared" si="36"/>
        <v>36</v>
      </c>
      <c r="AX28" s="167">
        <f t="shared" si="36"/>
        <v>36</v>
      </c>
      <c r="AY28" s="167">
        <f t="shared" si="36"/>
        <v>36</v>
      </c>
      <c r="AZ28" s="167">
        <f t="shared" si="36"/>
        <v>36</v>
      </c>
      <c r="BA28" s="167">
        <f t="shared" si="36"/>
        <v>36</v>
      </c>
      <c r="BB28" s="161"/>
      <c r="BC28"/>
      <c r="BD28"/>
      <c r="BE28"/>
      <c r="BF28"/>
      <c r="BG28"/>
      <c r="BH28"/>
      <c r="BI28" s="161"/>
    </row>
    <row r="29" spans="1:61" s="162" customFormat="1">
      <c r="A29" s="161"/>
      <c r="B29" s="664" t="s">
        <v>104</v>
      </c>
      <c r="C29" s="177"/>
      <c r="D29" s="178"/>
      <c r="E29" s="178"/>
      <c r="F29" s="179"/>
      <c r="G29" s="178"/>
      <c r="H29" s="178"/>
      <c r="I29" s="178"/>
      <c r="J29" s="179"/>
      <c r="K29" s="178"/>
      <c r="L29" s="178"/>
      <c r="M29" s="178"/>
      <c r="N29" s="179"/>
      <c r="O29" s="178"/>
      <c r="P29" s="178"/>
      <c r="Q29" s="178"/>
      <c r="R29" s="179"/>
      <c r="S29" s="178"/>
      <c r="T29" s="178"/>
      <c r="U29" s="178"/>
      <c r="V29" s="179"/>
      <c r="W29" s="178"/>
      <c r="X29" s="178"/>
      <c r="Y29" s="178"/>
      <c r="Z29" s="179"/>
      <c r="AA29" s="178">
        <f t="shared" ref="AA29:AE29" si="37">AA26+AA27-AA28</f>
        <v>99</v>
      </c>
      <c r="AB29" s="178">
        <f t="shared" si="37"/>
        <v>133</v>
      </c>
      <c r="AC29" s="178">
        <f>AC26+AC27-AC28</f>
        <v>92</v>
      </c>
      <c r="AD29" s="179">
        <f>AD26+AD27-AD28</f>
        <v>97</v>
      </c>
      <c r="AE29" s="178">
        <f t="shared" si="37"/>
        <v>116</v>
      </c>
      <c r="AF29" s="178">
        <f>AF26+AF27-AF28</f>
        <v>120</v>
      </c>
      <c r="AG29" s="178">
        <f>AG26+AG27-AG28</f>
        <v>111</v>
      </c>
      <c r="AH29" s="179">
        <f>AH26+AH27-AH28</f>
        <v>110</v>
      </c>
      <c r="AI29" s="178">
        <f t="shared" ref="AI29:AL29" si="38">AI26+AI27-AI28</f>
        <v>100.06600830000002</v>
      </c>
      <c r="AJ29" s="178">
        <f t="shared" si="38"/>
        <v>122.65631750000003</v>
      </c>
      <c r="AK29" s="178">
        <f t="shared" si="38"/>
        <v>119.46569375000001</v>
      </c>
      <c r="AL29" s="179">
        <f t="shared" si="38"/>
        <v>99.571461100000008</v>
      </c>
      <c r="AM29" s="161"/>
      <c r="AN29" s="178"/>
      <c r="AO29" s="178"/>
      <c r="AP29" s="224">
        <v>356</v>
      </c>
      <c r="AQ29" s="224">
        <v>247</v>
      </c>
      <c r="AR29" s="180">
        <f>AR26+AR27-AR28</f>
        <v>358</v>
      </c>
      <c r="AS29" s="180">
        <f>AS26+AS27-AS28</f>
        <v>395</v>
      </c>
      <c r="AT29" s="180">
        <f>AT26+AT27-AT28</f>
        <v>421</v>
      </c>
      <c r="AU29" s="178">
        <f>AU26+AU27-AU28</f>
        <v>457</v>
      </c>
      <c r="AV29" s="178">
        <f>AV26+AV27-AV28</f>
        <v>441.75948065000017</v>
      </c>
      <c r="AW29" s="178">
        <f t="shared" ref="AW29:AX29" si="39">AW26+AW27-AW28</f>
        <v>441.35078965747601</v>
      </c>
      <c r="AX29" s="178">
        <f t="shared" si="39"/>
        <v>445.0573888399029</v>
      </c>
      <c r="AY29" s="178">
        <f t="shared" ref="AY29:BA29" si="40">AY26+AY27-AY28</f>
        <v>452.53984926494491</v>
      </c>
      <c r="AZ29" s="178">
        <f t="shared" si="40"/>
        <v>456.7881889456886</v>
      </c>
      <c r="BA29" s="178">
        <f t="shared" si="40"/>
        <v>457.75429904994371</v>
      </c>
      <c r="BB29" s="161"/>
      <c r="BC29"/>
      <c r="BD29"/>
      <c r="BE29"/>
      <c r="BF29"/>
      <c r="BG29"/>
      <c r="BH29"/>
      <c r="BI29" s="161"/>
    </row>
    <row r="30" spans="1:61" s="162" customFormat="1">
      <c r="A30" s="161"/>
      <c r="B30" s="226"/>
      <c r="C30" s="225"/>
      <c r="F30" s="226"/>
      <c r="J30" s="226"/>
      <c r="N30" s="226"/>
      <c r="R30" s="226"/>
      <c r="V30" s="226"/>
      <c r="Z30" s="226"/>
      <c r="AD30" s="226"/>
      <c r="AH30" s="226"/>
      <c r="AL30" s="226"/>
      <c r="AM30" s="161"/>
      <c r="AO30" s="166"/>
      <c r="AP30" s="166"/>
      <c r="AQ30" s="166"/>
      <c r="BB30" s="161"/>
      <c r="BC30"/>
      <c r="BD30"/>
      <c r="BE30"/>
      <c r="BF30"/>
      <c r="BG30"/>
      <c r="BH30"/>
      <c r="BI30" s="161"/>
    </row>
    <row r="31" spans="1:61" s="168" customFormat="1">
      <c r="A31" s="150"/>
      <c r="B31" s="226" t="s">
        <v>105</v>
      </c>
      <c r="C31" s="227"/>
      <c r="D31" s="228"/>
      <c r="E31" s="228"/>
      <c r="F31" s="229"/>
      <c r="G31" s="230"/>
      <c r="H31" s="230"/>
      <c r="I31" s="230"/>
      <c r="J31" s="231"/>
      <c r="K31" s="230"/>
      <c r="L31" s="230"/>
      <c r="M31" s="230"/>
      <c r="N31" s="231"/>
      <c r="O31" s="230"/>
      <c r="P31" s="230"/>
      <c r="Q31" s="230"/>
      <c r="R31" s="231"/>
      <c r="S31" s="230"/>
      <c r="T31" s="230"/>
      <c r="U31" s="230"/>
      <c r="V31" s="231"/>
      <c r="W31" s="230"/>
      <c r="X31" s="230"/>
      <c r="Y31" s="230"/>
      <c r="Z31" s="231"/>
      <c r="AA31" s="230">
        <f t="shared" ref="AA31:AB31" si="41">AA33</f>
        <v>88.61</v>
      </c>
      <c r="AB31" s="230">
        <f t="shared" si="41"/>
        <v>88.61</v>
      </c>
      <c r="AC31" s="230">
        <f>AC33</f>
        <v>88.61</v>
      </c>
      <c r="AD31" s="231">
        <f>AD33</f>
        <v>88.61</v>
      </c>
      <c r="AE31" s="230">
        <f t="shared" ref="AE31:AF31" si="42">AE33</f>
        <v>88.61666666666666</v>
      </c>
      <c r="AF31" s="230">
        <f t="shared" si="42"/>
        <v>88.61666666666666</v>
      </c>
      <c r="AG31" s="230">
        <f>AG33</f>
        <v>88.61666666666666</v>
      </c>
      <c r="AH31" s="231">
        <f>AH33</f>
        <v>88.61</v>
      </c>
      <c r="AI31" s="230">
        <f>AH31*(1+AI32)-AI48</f>
        <v>88.141900850135627</v>
      </c>
      <c r="AJ31" s="230">
        <f>AI31*(1+AJ32)-AJ48</f>
        <v>87.686400816976743</v>
      </c>
      <c r="AK31" s="230">
        <f>AJ31*(1+AK32)-AK48</f>
        <v>87.243160789158154</v>
      </c>
      <c r="AL31" s="231">
        <f>AK31*(1+AL32)-AL48</f>
        <v>86.81185078266229</v>
      </c>
      <c r="AM31" s="150"/>
      <c r="AN31" s="228"/>
      <c r="AO31" s="230"/>
      <c r="AP31" s="230">
        <f>AP33</f>
        <v>107.64666666666666</v>
      </c>
      <c r="AQ31" s="230">
        <f>AQ33</f>
        <v>103.60666666666667</v>
      </c>
      <c r="AR31" s="230">
        <f>AR33</f>
        <v>100.08999999999999</v>
      </c>
      <c r="AS31" s="230">
        <f>AS33</f>
        <v>95.066666666666663</v>
      </c>
      <c r="AT31" s="230">
        <f>AD31</f>
        <v>88.61</v>
      </c>
      <c r="AU31" s="230">
        <f>AH31</f>
        <v>88.61</v>
      </c>
      <c r="AV31" s="230">
        <f>AL31</f>
        <v>86.81185078266229</v>
      </c>
      <c r="AW31" s="230">
        <f>AV31*(1+AW32)-AW48</f>
        <v>86.81185078266229</v>
      </c>
      <c r="AX31" s="230">
        <f>AW31*(1+AX32)-AX48</f>
        <v>85.355469405250332</v>
      </c>
      <c r="AY31" s="230">
        <f>AX31*(1+AY32)-AY48</f>
        <v>84.044170027357382</v>
      </c>
      <c r="AZ31" s="230">
        <f>AY31*(1+AZ32)-AZ48</f>
        <v>82.863499850485127</v>
      </c>
      <c r="BA31" s="230">
        <f>AZ31*(1+BA32)-BA48</f>
        <v>81.800445836995479</v>
      </c>
      <c r="BB31" s="150"/>
      <c r="BC31"/>
      <c r="BD31"/>
      <c r="BE31"/>
      <c r="BF31"/>
      <c r="BG31"/>
      <c r="BH31"/>
      <c r="BI31" s="150"/>
    </row>
    <row r="32" spans="1:61" s="173" customFormat="1">
      <c r="A32" s="169"/>
      <c r="B32" s="657" t="s">
        <v>106</v>
      </c>
      <c r="C32" s="170"/>
      <c r="D32" s="171"/>
      <c r="E32" s="171"/>
      <c r="F32" s="172"/>
      <c r="G32" s="171"/>
      <c r="H32" s="171"/>
      <c r="I32" s="171"/>
      <c r="J32" s="172"/>
      <c r="K32" s="171"/>
      <c r="L32" s="171"/>
      <c r="M32" s="171"/>
      <c r="N32" s="172"/>
      <c r="O32" s="171"/>
      <c r="P32" s="171"/>
      <c r="Q32" s="171"/>
      <c r="R32" s="172"/>
      <c r="S32" s="171"/>
      <c r="T32" s="171"/>
      <c r="U32" s="171"/>
      <c r="V32" s="172"/>
      <c r="W32" s="171"/>
      <c r="X32" s="171"/>
      <c r="Y32" s="171"/>
      <c r="Z32" s="172"/>
      <c r="AA32" s="171"/>
      <c r="AB32" s="171">
        <f>(AB31+AB48)/AA31-1</f>
        <v>0</v>
      </c>
      <c r="AC32" s="171">
        <f>(AC31+AC48)/AB31-1</f>
        <v>0</v>
      </c>
      <c r="AD32" s="172">
        <f>(AD31+AD48)/AB31-1</f>
        <v>0</v>
      </c>
      <c r="AE32" s="171">
        <f>(AE31+AE48)/AD31-1</f>
        <v>7.5236053116656265E-5</v>
      </c>
      <c r="AF32" s="171">
        <f>(AF31+AF48)/AE31-1</f>
        <v>0</v>
      </c>
      <c r="AG32" s="171">
        <f>(AG31+AG48)/AF31-1</f>
        <v>0</v>
      </c>
      <c r="AH32" s="172">
        <f>(AH31+AH48)/AF31-1</f>
        <v>-7.5230393078773439E-5</v>
      </c>
      <c r="AI32" s="233">
        <v>0</v>
      </c>
      <c r="AJ32" s="233">
        <v>0</v>
      </c>
      <c r="AK32" s="233">
        <v>0</v>
      </c>
      <c r="AL32" s="232">
        <v>0</v>
      </c>
      <c r="AM32" s="169"/>
      <c r="AN32" s="171"/>
      <c r="AO32" s="171"/>
      <c r="AP32" s="171"/>
      <c r="AQ32" s="171">
        <f t="shared" ref="AQ32:AV32" si="43">(AQ31+AQ48)/AP31-1</f>
        <v>-3.7530191366817345E-2</v>
      </c>
      <c r="AR32" s="171">
        <f t="shared" si="43"/>
        <v>-3.3942474744225071E-2</v>
      </c>
      <c r="AS32" s="171">
        <f t="shared" si="43"/>
        <v>-5.0188163985746104E-2</v>
      </c>
      <c r="AT32" s="171">
        <f t="shared" si="43"/>
        <v>-6.791725105189339E-2</v>
      </c>
      <c r="AU32" s="171">
        <f t="shared" si="43"/>
        <v>0</v>
      </c>
      <c r="AV32" s="171">
        <f t="shared" si="43"/>
        <v>0</v>
      </c>
      <c r="AW32" s="233">
        <f>AV32</f>
        <v>0</v>
      </c>
      <c r="AX32" s="233">
        <f>AW32</f>
        <v>0</v>
      </c>
      <c r="AY32" s="233">
        <f>AX32</f>
        <v>0</v>
      </c>
      <c r="AZ32" s="233">
        <f>AY32</f>
        <v>0</v>
      </c>
      <c r="BA32" s="233">
        <f>AZ32</f>
        <v>0</v>
      </c>
      <c r="BB32" s="169"/>
      <c r="BC32"/>
      <c r="BD32"/>
      <c r="BE32"/>
      <c r="BF32"/>
      <c r="BG32"/>
      <c r="BH32"/>
      <c r="BI32" s="169"/>
    </row>
    <row r="33" spans="1:61" s="168" customFormat="1">
      <c r="A33" s="150"/>
      <c r="B33" s="226" t="s">
        <v>107</v>
      </c>
      <c r="C33" s="227"/>
      <c r="D33" s="228"/>
      <c r="E33" s="228"/>
      <c r="F33" s="229"/>
      <c r="G33" s="234"/>
      <c r="H33" s="234"/>
      <c r="I33" s="234"/>
      <c r="J33" s="235"/>
      <c r="K33" s="234"/>
      <c r="L33" s="234"/>
      <c r="M33" s="234"/>
      <c r="N33" s="235"/>
      <c r="O33" s="234"/>
      <c r="P33" s="234"/>
      <c r="Q33" s="234"/>
      <c r="R33" s="235"/>
      <c r="S33" s="234"/>
      <c r="T33" s="234"/>
      <c r="U33" s="234"/>
      <c r="V33" s="235"/>
      <c r="W33" s="234"/>
      <c r="X33" s="234"/>
      <c r="Y33" s="234"/>
      <c r="Z33" s="235"/>
      <c r="AA33" s="230">
        <f t="shared" ref="AA33:AB33" si="44">AA35</f>
        <v>88.61</v>
      </c>
      <c r="AB33" s="230">
        <f t="shared" si="44"/>
        <v>88.61</v>
      </c>
      <c r="AC33" s="230">
        <f>AC35</f>
        <v>88.61</v>
      </c>
      <c r="AD33" s="235">
        <v>88.61</v>
      </c>
      <c r="AE33" s="230">
        <f t="shared" ref="AE33:AF33" si="45">AE35</f>
        <v>88.61666666666666</v>
      </c>
      <c r="AF33" s="230">
        <f t="shared" si="45"/>
        <v>88.61666666666666</v>
      </c>
      <c r="AG33" s="230">
        <f>AG35</f>
        <v>88.61666666666666</v>
      </c>
      <c r="AH33" s="235">
        <v>88.61</v>
      </c>
      <c r="AI33" s="230">
        <f>AVERAGE(AH31:AI31)</f>
        <v>88.375950425067813</v>
      </c>
      <c r="AJ33" s="230">
        <f>AVERAGE(AI31:AJ31)</f>
        <v>87.914150833556192</v>
      </c>
      <c r="AK33" s="230">
        <f>AVERAGE(AJ31:AK31)</f>
        <v>87.464780803067441</v>
      </c>
      <c r="AL33" s="231">
        <f>AVERAGE(AK31:AL31)</f>
        <v>87.027505785910222</v>
      </c>
      <c r="AM33" s="150"/>
      <c r="AN33" s="228"/>
      <c r="AO33" s="234"/>
      <c r="AP33" s="234">
        <f>322.94/3</f>
        <v>107.64666666666666</v>
      </c>
      <c r="AQ33" s="234">
        <f>310.82/3</f>
        <v>103.60666666666667</v>
      </c>
      <c r="AR33" s="234">
        <f>300.27/3</f>
        <v>100.08999999999999</v>
      </c>
      <c r="AS33" s="234">
        <f>285.2/3</f>
        <v>95.066666666666663</v>
      </c>
      <c r="AT33" s="230">
        <f>AVERAGE(AA33:AD33)</f>
        <v>88.61</v>
      </c>
      <c r="AU33" s="230">
        <f>AVERAGE(AE33:AH33)</f>
        <v>88.614999999999995</v>
      </c>
      <c r="AV33" s="230">
        <f>AVERAGE(AI33:AL33)</f>
        <v>87.695596961900407</v>
      </c>
      <c r="AW33" s="230">
        <f t="shared" ref="AW33:AX33" si="46">AVERAGE(AV31:AW31)</f>
        <v>86.81185078266229</v>
      </c>
      <c r="AX33" s="230">
        <f t="shared" si="46"/>
        <v>86.083660093956311</v>
      </c>
      <c r="AY33" s="230">
        <f t="shared" ref="AY33:BA33" si="47">AVERAGE(AX31:AY31)</f>
        <v>84.699819716303864</v>
      </c>
      <c r="AZ33" s="230">
        <f t="shared" si="47"/>
        <v>83.453834938921261</v>
      </c>
      <c r="BA33" s="230">
        <f t="shared" si="47"/>
        <v>82.331972843740303</v>
      </c>
      <c r="BB33" s="150"/>
      <c r="BC33"/>
      <c r="BD33"/>
      <c r="BE33"/>
      <c r="BF33"/>
      <c r="BG33"/>
      <c r="BH33"/>
      <c r="BI33" s="150"/>
    </row>
    <row r="34" spans="1:61" s="173" customFormat="1">
      <c r="A34" s="169"/>
      <c r="B34" s="657" t="s">
        <v>108</v>
      </c>
      <c r="C34" s="170"/>
      <c r="D34" s="171"/>
      <c r="E34" s="171"/>
      <c r="F34" s="172"/>
      <c r="G34" s="171"/>
      <c r="H34" s="171"/>
      <c r="I34" s="171"/>
      <c r="J34" s="172"/>
      <c r="K34" s="171"/>
      <c r="L34" s="171"/>
      <c r="M34" s="171"/>
      <c r="N34" s="172"/>
      <c r="O34" s="171"/>
      <c r="P34" s="171"/>
      <c r="Q34" s="171"/>
      <c r="R34" s="172"/>
      <c r="S34" s="171"/>
      <c r="T34" s="171"/>
      <c r="U34" s="171"/>
      <c r="V34" s="172"/>
      <c r="W34" s="171"/>
      <c r="X34" s="171"/>
      <c r="Y34" s="171"/>
      <c r="Z34" s="172"/>
      <c r="AA34" s="171">
        <f t="shared" ref="AA34:AE34" si="48">AA35/AA33-1</f>
        <v>0</v>
      </c>
      <c r="AB34" s="171">
        <f>AB35/AB33-1</f>
        <v>0</v>
      </c>
      <c r="AC34" s="171">
        <f t="shared" si="48"/>
        <v>0</v>
      </c>
      <c r="AD34" s="172">
        <f>AD35/AD33-1</f>
        <v>0</v>
      </c>
      <c r="AE34" s="171">
        <f t="shared" si="48"/>
        <v>0</v>
      </c>
      <c r="AF34" s="171">
        <f>AF35/AF33-1</f>
        <v>0</v>
      </c>
      <c r="AG34" s="171">
        <f>AG35/AG33-1</f>
        <v>0</v>
      </c>
      <c r="AH34" s="172">
        <f>AH35/AH33-1</f>
        <v>2.0313734341497192E-3</v>
      </c>
      <c r="AI34" s="233">
        <f>AH34</f>
        <v>2.0313734341497192E-3</v>
      </c>
      <c r="AJ34" s="233">
        <f>AI34</f>
        <v>2.0313734341497192E-3</v>
      </c>
      <c r="AK34" s="233">
        <f>AJ34</f>
        <v>2.0313734341497192E-3</v>
      </c>
      <c r="AL34" s="232">
        <f>AK34</f>
        <v>2.0313734341497192E-3</v>
      </c>
      <c r="AM34" s="169"/>
      <c r="AN34" s="171"/>
      <c r="AO34" s="171"/>
      <c r="AP34" s="171">
        <f t="shared" ref="AP34:AU34" si="49">AP35/AP33-1</f>
        <v>1.083792654982485E-3</v>
      </c>
      <c r="AQ34" s="171">
        <f t="shared" si="49"/>
        <v>3.1529502606009174E-3</v>
      </c>
      <c r="AR34" s="171">
        <f t="shared" si="49"/>
        <v>5.3951443700670509E-3</v>
      </c>
      <c r="AS34" s="171">
        <f t="shared" si="49"/>
        <v>5.0490883590463831E-3</v>
      </c>
      <c r="AT34" s="171">
        <f t="shared" si="49"/>
        <v>0</v>
      </c>
      <c r="AU34" s="171">
        <f t="shared" si="49"/>
        <v>5.078147040569192E-4</v>
      </c>
      <c r="AV34" s="171">
        <f>AV35/AV33-1</f>
        <v>2.0313734341499412E-3</v>
      </c>
      <c r="AW34" s="233">
        <f>AV34</f>
        <v>2.0313734341499412E-3</v>
      </c>
      <c r="AX34" s="233">
        <f>AW34</f>
        <v>2.0313734341499412E-3</v>
      </c>
      <c r="AY34" s="233">
        <f>AX34</f>
        <v>2.0313734341499412E-3</v>
      </c>
      <c r="AZ34" s="233">
        <f>AY34</f>
        <v>2.0313734341499412E-3</v>
      </c>
      <c r="BA34" s="233">
        <f>AZ34</f>
        <v>2.0313734341499412E-3</v>
      </c>
      <c r="BB34" s="169"/>
      <c r="BC34"/>
      <c r="BD34"/>
      <c r="BE34"/>
      <c r="BF34"/>
      <c r="BG34"/>
      <c r="BH34"/>
      <c r="BI34" s="169"/>
    </row>
    <row r="35" spans="1:61" s="168" customFormat="1">
      <c r="A35" s="196"/>
      <c r="B35" s="226" t="s">
        <v>109</v>
      </c>
      <c r="C35" s="227"/>
      <c r="D35" s="228"/>
      <c r="E35" s="228"/>
      <c r="F35" s="229"/>
      <c r="G35" s="234"/>
      <c r="H35" s="234"/>
      <c r="I35" s="234"/>
      <c r="J35" s="235"/>
      <c r="K35" s="234"/>
      <c r="L35" s="234"/>
      <c r="M35" s="234"/>
      <c r="N35" s="235"/>
      <c r="O35" s="234"/>
      <c r="P35" s="234"/>
      <c r="Q35" s="234"/>
      <c r="R35" s="235"/>
      <c r="S35" s="234"/>
      <c r="T35" s="234"/>
      <c r="U35" s="234"/>
      <c r="V35" s="235"/>
      <c r="W35" s="234"/>
      <c r="X35" s="234"/>
      <c r="Y35" s="234"/>
      <c r="Z35" s="235"/>
      <c r="AA35" s="740">
        <f t="shared" ref="AA35:AB35" si="50">($AT$35*4-$AD$35)/3</f>
        <v>88.61</v>
      </c>
      <c r="AB35" s="740">
        <f t="shared" si="50"/>
        <v>88.61</v>
      </c>
      <c r="AC35" s="740">
        <f>($AT$35*4-$AD$35)/3</f>
        <v>88.61</v>
      </c>
      <c r="AD35" s="235">
        <v>88.61</v>
      </c>
      <c r="AE35" s="740">
        <f t="shared" ref="AE35:AF35" si="51">($AU$35*4-$AH$35)/3</f>
        <v>88.61666666666666</v>
      </c>
      <c r="AF35" s="740">
        <f t="shared" si="51"/>
        <v>88.61666666666666</v>
      </c>
      <c r="AG35" s="740">
        <f>($AU$35*4-$AH$35)/3</f>
        <v>88.61666666666666</v>
      </c>
      <c r="AH35" s="235">
        <v>88.79</v>
      </c>
      <c r="AI35" s="230">
        <f>AI33*(1+AI34)</f>
        <v>88.555474982979035</v>
      </c>
      <c r="AJ35" s="230">
        <f>AJ33*(1+AJ34)</f>
        <v>88.092737304045315</v>
      </c>
      <c r="AK35" s="230">
        <f>AK33*(1+AK34)</f>
        <v>87.642454435214518</v>
      </c>
      <c r="AL35" s="231">
        <f>AL33*(1+AL34)</f>
        <v>87.204291149204025</v>
      </c>
      <c r="AM35" s="196"/>
      <c r="AN35" s="228"/>
      <c r="AO35" s="234"/>
      <c r="AP35" s="234">
        <f>323.29/3</f>
        <v>107.76333333333334</v>
      </c>
      <c r="AQ35" s="234">
        <f>311.8/3</f>
        <v>103.93333333333334</v>
      </c>
      <c r="AR35" s="234">
        <f>301.89/3</f>
        <v>100.63</v>
      </c>
      <c r="AS35" s="234">
        <f>286.64/3</f>
        <v>95.546666666666667</v>
      </c>
      <c r="AT35" s="234">
        <v>88.61</v>
      </c>
      <c r="AU35" s="234">
        <v>88.66</v>
      </c>
      <c r="AV35" s="230">
        <f>AVERAGE(AI35:AL35)</f>
        <v>87.87373946786073</v>
      </c>
      <c r="AW35" s="230">
        <f t="shared" ref="AW35:BA35" si="52">AW33*(1+AW34)</f>
        <v>86.988198070111579</v>
      </c>
      <c r="AX35" s="230">
        <f t="shared" si="52"/>
        <v>86.258528154185569</v>
      </c>
      <c r="AY35" s="230">
        <f t="shared" si="52"/>
        <v>84.871876679952848</v>
      </c>
      <c r="AZ35" s="230">
        <f t="shared" si="52"/>
        <v>83.623360842194117</v>
      </c>
      <c r="BA35" s="230">
        <f t="shared" si="52"/>
        <v>82.499219826156235</v>
      </c>
      <c r="BB35" s="196"/>
      <c r="BC35"/>
      <c r="BD35"/>
      <c r="BE35"/>
      <c r="BF35"/>
      <c r="BG35"/>
      <c r="BH35"/>
      <c r="BI35" s="196"/>
    </row>
    <row r="36" spans="1:61" s="160" customFormat="1">
      <c r="A36" s="236"/>
      <c r="B36" s="666"/>
      <c r="C36" s="189"/>
      <c r="D36" s="138"/>
      <c r="E36" s="138"/>
      <c r="F36" s="194"/>
      <c r="G36" s="138"/>
      <c r="H36" s="138"/>
      <c r="I36" s="138"/>
      <c r="J36" s="194"/>
      <c r="K36" s="138"/>
      <c r="L36" s="138"/>
      <c r="M36" s="138"/>
      <c r="N36" s="194"/>
      <c r="O36" s="138"/>
      <c r="P36" s="138"/>
      <c r="Q36" s="138"/>
      <c r="R36" s="194"/>
      <c r="S36" s="138"/>
      <c r="T36" s="138"/>
      <c r="U36" s="138"/>
      <c r="V36" s="194"/>
      <c r="W36" s="138"/>
      <c r="X36" s="138"/>
      <c r="Y36" s="138"/>
      <c r="Z36" s="194"/>
      <c r="AA36" s="138"/>
      <c r="AB36" s="138"/>
      <c r="AC36" s="138"/>
      <c r="AD36" s="237"/>
      <c r="AE36" s="139"/>
      <c r="AF36" s="139"/>
      <c r="AG36" s="139"/>
      <c r="AH36" s="237"/>
      <c r="AI36" s="139"/>
      <c r="AJ36" s="139"/>
      <c r="AK36" s="139"/>
      <c r="AL36" s="237"/>
      <c r="AM36" s="236"/>
      <c r="AN36" s="238"/>
      <c r="AO36" s="238"/>
      <c r="AP36" s="238"/>
      <c r="AQ36" s="239"/>
      <c r="AR36" s="139"/>
      <c r="AS36" s="139"/>
      <c r="AT36" s="139"/>
      <c r="AU36" s="139"/>
      <c r="AV36" s="139"/>
      <c r="AW36" s="139"/>
      <c r="AX36" s="139"/>
      <c r="AY36" s="139"/>
      <c r="AZ36" s="139"/>
      <c r="BA36" s="139"/>
      <c r="BB36" s="236"/>
      <c r="BC36"/>
      <c r="BD36"/>
      <c r="BE36"/>
      <c r="BF36"/>
      <c r="BG36"/>
      <c r="BH36"/>
      <c r="BI36" s="236"/>
    </row>
    <row r="37" spans="1:61" s="160" customFormat="1" ht="15.75" thickBot="1">
      <c r="A37" s="236"/>
      <c r="B37" s="666" t="s">
        <v>110</v>
      </c>
      <c r="C37" s="240"/>
      <c r="D37" s="241"/>
      <c r="E37" s="241"/>
      <c r="F37" s="242"/>
      <c r="G37" s="243"/>
      <c r="H37" s="243"/>
      <c r="I37" s="243"/>
      <c r="J37" s="244"/>
      <c r="K37" s="243"/>
      <c r="L37" s="243"/>
      <c r="M37" s="243"/>
      <c r="N37" s="244"/>
      <c r="O37" s="243"/>
      <c r="P37" s="243"/>
      <c r="Q37" s="243"/>
      <c r="R37" s="244"/>
      <c r="S37" s="243"/>
      <c r="T37" s="243"/>
      <c r="U37" s="243"/>
      <c r="V37" s="244"/>
      <c r="W37" s="243"/>
      <c r="X37" s="243"/>
      <c r="Y37" s="243"/>
      <c r="Z37" s="244"/>
      <c r="AA37" s="243">
        <f t="shared" ref="AA37:AL37" si="53">AA$29/AA33</f>
        <v>1.1172553887823045</v>
      </c>
      <c r="AB37" s="243">
        <f t="shared" si="53"/>
        <v>1.5009592596772374</v>
      </c>
      <c r="AC37" s="243">
        <f t="shared" si="53"/>
        <v>1.0382575330098183</v>
      </c>
      <c r="AD37" s="244">
        <f t="shared" si="53"/>
        <v>1.0946845728473085</v>
      </c>
      <c r="AE37" s="243">
        <f t="shared" si="53"/>
        <v>1.309008839571187</v>
      </c>
      <c r="AF37" s="243">
        <f t="shared" si="53"/>
        <v>1.3541470754184692</v>
      </c>
      <c r="AG37" s="243">
        <f t="shared" si="53"/>
        <v>1.252586044762084</v>
      </c>
      <c r="AH37" s="244">
        <f t="shared" ref="AH37" si="54">AH$29/AH33</f>
        <v>1.2413948764247829</v>
      </c>
      <c r="AI37" s="243">
        <f t="shared" si="53"/>
        <v>1.1322764600403814</v>
      </c>
      <c r="AJ37" s="243">
        <f t="shared" si="53"/>
        <v>1.3951828725755377</v>
      </c>
      <c r="AK37" s="243">
        <f t="shared" si="53"/>
        <v>1.3658719847361727</v>
      </c>
      <c r="AL37" s="244">
        <f t="shared" si="53"/>
        <v>1.1441378240225364</v>
      </c>
      <c r="AM37" s="236"/>
      <c r="AN37" s="241"/>
      <c r="AO37" s="243"/>
      <c r="AP37" s="243">
        <f t="shared" ref="AP37:BA37" si="55">AP$29/AP33</f>
        <v>3.3071158729175698</v>
      </c>
      <c r="AQ37" s="243">
        <f t="shared" si="55"/>
        <v>2.3840164725564637</v>
      </c>
      <c r="AR37" s="243">
        <f t="shared" si="55"/>
        <v>3.5767808971925272</v>
      </c>
      <c r="AS37" s="243">
        <f t="shared" si="55"/>
        <v>4.1549789621318372</v>
      </c>
      <c r="AT37" s="243">
        <f t="shared" si="55"/>
        <v>4.7511567543166686</v>
      </c>
      <c r="AU37" s="243">
        <f t="shared" si="55"/>
        <v>5.1571404389776001</v>
      </c>
      <c r="AV37" s="243">
        <f t="shared" si="55"/>
        <v>5.037419163038753</v>
      </c>
      <c r="AW37" s="243">
        <f t="shared" si="55"/>
        <v>5.083992400558528</v>
      </c>
      <c r="AX37" s="243">
        <f t="shared" si="55"/>
        <v>5.1700565281976099</v>
      </c>
      <c r="AY37" s="243">
        <f t="shared" si="55"/>
        <v>5.3428667354983226</v>
      </c>
      <c r="AZ37" s="243">
        <f t="shared" si="55"/>
        <v>5.473543418106618</v>
      </c>
      <c r="BA37" s="243">
        <f t="shared" si="55"/>
        <v>5.5598606864276876</v>
      </c>
      <c r="BB37" s="236"/>
      <c r="BC37"/>
      <c r="BD37"/>
      <c r="BE37"/>
      <c r="BF37"/>
      <c r="BG37"/>
      <c r="BH37"/>
      <c r="BI37" s="236"/>
    </row>
    <row r="38" spans="1:61" s="149" customFormat="1" ht="15.75" thickBot="1">
      <c r="A38" s="245"/>
      <c r="B38" s="667" t="s">
        <v>111</v>
      </c>
      <c r="C38" s="246"/>
      <c r="D38" s="247"/>
      <c r="E38" s="247"/>
      <c r="F38" s="248"/>
      <c r="G38" s="249"/>
      <c r="H38" s="249"/>
      <c r="I38" s="249"/>
      <c r="J38" s="250"/>
      <c r="K38" s="249"/>
      <c r="L38" s="249"/>
      <c r="M38" s="249"/>
      <c r="N38" s="250"/>
      <c r="O38" s="249"/>
      <c r="P38" s="249"/>
      <c r="Q38" s="249"/>
      <c r="R38" s="250"/>
      <c r="S38" s="249"/>
      <c r="T38" s="249"/>
      <c r="U38" s="249"/>
      <c r="V38" s="250"/>
      <c r="W38" s="249"/>
      <c r="X38" s="249"/>
      <c r="Y38" s="249"/>
      <c r="Z38" s="250"/>
      <c r="AA38" s="249">
        <f t="shared" ref="AA38:AL38" si="56">AA$29/AA35</f>
        <v>1.1172553887823045</v>
      </c>
      <c r="AB38" s="249">
        <f t="shared" si="56"/>
        <v>1.5009592596772374</v>
      </c>
      <c r="AC38" s="249">
        <f t="shared" si="56"/>
        <v>1.0382575330098183</v>
      </c>
      <c r="AD38" s="250">
        <f t="shared" si="56"/>
        <v>1.0946845728473085</v>
      </c>
      <c r="AE38" s="249">
        <f t="shared" si="56"/>
        <v>1.309008839571187</v>
      </c>
      <c r="AF38" s="249">
        <f t="shared" si="56"/>
        <v>1.3541470754184692</v>
      </c>
      <c r="AG38" s="249">
        <f t="shared" si="56"/>
        <v>1.252586044762084</v>
      </c>
      <c r="AH38" s="250">
        <f t="shared" ref="AH38" si="57">AH$29/AH35</f>
        <v>1.2388782520554116</v>
      </c>
      <c r="AI38" s="249">
        <f t="shared" si="56"/>
        <v>1.129981046561304</v>
      </c>
      <c r="AJ38" s="249">
        <f t="shared" si="56"/>
        <v>1.3923544806725801</v>
      </c>
      <c r="AK38" s="249">
        <f t="shared" si="56"/>
        <v>1.3631030134865667</v>
      </c>
      <c r="AL38" s="250">
        <f t="shared" si="56"/>
        <v>1.1418183645302054</v>
      </c>
      <c r="AM38" s="245"/>
      <c r="AN38" s="247"/>
      <c r="AO38" s="249"/>
      <c r="AP38" s="249">
        <f t="shared" ref="AP38:BA38" si="58">AP$29/AP35</f>
        <v>3.3035355253796901</v>
      </c>
      <c r="AQ38" s="249">
        <f t="shared" si="58"/>
        <v>2.3765234124438743</v>
      </c>
      <c r="AR38" s="249">
        <f t="shared" si="58"/>
        <v>3.5575872006359934</v>
      </c>
      <c r="AS38" s="249">
        <f t="shared" si="58"/>
        <v>4.1341054981858774</v>
      </c>
      <c r="AT38" s="249">
        <f t="shared" si="58"/>
        <v>4.7511567543166686</v>
      </c>
      <c r="AU38" s="249">
        <f t="shared" si="58"/>
        <v>5.1545228964583805</v>
      </c>
      <c r="AV38" s="249">
        <f>AV$29/AV35</f>
        <v>5.0272070282336276</v>
      </c>
      <c r="AW38" s="249">
        <f t="shared" si="58"/>
        <v>5.0736858499097988</v>
      </c>
      <c r="AX38" s="249">
        <f t="shared" si="58"/>
        <v>5.1595755035881297</v>
      </c>
      <c r="AY38" s="249">
        <f t="shared" si="58"/>
        <v>5.3320353804764755</v>
      </c>
      <c r="AZ38" s="249">
        <f t="shared" si="58"/>
        <v>5.4624471480845518</v>
      </c>
      <c r="BA38" s="249">
        <f t="shared" si="58"/>
        <v>5.5485894292640756</v>
      </c>
      <c r="BB38" s="245"/>
      <c r="BC38"/>
      <c r="BD38"/>
      <c r="BE38"/>
      <c r="BF38"/>
      <c r="BG38"/>
      <c r="BH38"/>
      <c r="BI38" s="245"/>
    </row>
    <row r="39" spans="1:61" s="173" customFormat="1">
      <c r="A39" s="169"/>
      <c r="B39" s="657" t="s">
        <v>26</v>
      </c>
      <c r="C39" s="170"/>
      <c r="D39" s="171"/>
      <c r="E39" s="171"/>
      <c r="F39" s="172"/>
      <c r="G39" s="171"/>
      <c r="H39" s="171"/>
      <c r="I39" s="171"/>
      <c r="J39" s="172"/>
      <c r="K39" s="171"/>
      <c r="L39" s="171"/>
      <c r="M39" s="171"/>
      <c r="N39" s="172"/>
      <c r="O39" s="171"/>
      <c r="P39" s="171"/>
      <c r="Q39" s="171"/>
      <c r="R39" s="172"/>
      <c r="S39" s="171"/>
      <c r="T39" s="171"/>
      <c r="U39" s="171"/>
      <c r="V39" s="172"/>
      <c r="W39" s="171"/>
      <c r="X39" s="171"/>
      <c r="Y39" s="171"/>
      <c r="Z39" s="172"/>
      <c r="AA39" s="171"/>
      <c r="AB39" s="171"/>
      <c r="AC39" s="171"/>
      <c r="AD39" s="172"/>
      <c r="AE39" s="171">
        <f t="shared" ref="AE39:AL39" si="59">AE38/AA38-1</f>
        <v>0.17162902297376648</v>
      </c>
      <c r="AF39" s="171">
        <f t="shared" si="59"/>
        <v>-9.7812237948642466E-2</v>
      </c>
      <c r="AG39" s="171">
        <f t="shared" si="59"/>
        <v>0.20643097202574201</v>
      </c>
      <c r="AH39" s="172">
        <f t="shared" si="59"/>
        <v>0.13172166922298989</v>
      </c>
      <c r="AI39" s="171">
        <f t="shared" si="59"/>
        <v>-0.13676591601056709</v>
      </c>
      <c r="AJ39" s="171">
        <f t="shared" si="59"/>
        <v>2.8215107463348321E-2</v>
      </c>
      <c r="AK39" s="171">
        <f t="shared" si="59"/>
        <v>8.8231039445656911E-2</v>
      </c>
      <c r="AL39" s="172">
        <f t="shared" si="59"/>
        <v>-7.8344976485118734E-2</v>
      </c>
      <c r="AM39" s="169"/>
      <c r="AN39" s="171"/>
      <c r="AO39" s="171"/>
      <c r="AP39" s="171"/>
      <c r="AQ39" s="171">
        <f t="shared" ref="AQ39:BA39" si="60">AQ38/AP38-1</f>
        <v>-0.28061212171443806</v>
      </c>
      <c r="AR39" s="171">
        <f t="shared" si="60"/>
        <v>0.49697124042955831</v>
      </c>
      <c r="AS39" s="171">
        <f t="shared" si="60"/>
        <v>0.16205317397330954</v>
      </c>
      <c r="AT39" s="171">
        <f t="shared" si="60"/>
        <v>0.14925871059690299</v>
      </c>
      <c r="AU39" s="171">
        <f t="shared" si="60"/>
        <v>8.4898512720135599E-2</v>
      </c>
      <c r="AV39" s="171">
        <f t="shared" si="60"/>
        <v>-2.4699835616644572E-2</v>
      </c>
      <c r="AW39" s="171">
        <f t="shared" si="60"/>
        <v>9.2454560584314116E-3</v>
      </c>
      <c r="AX39" s="171">
        <f t="shared" si="60"/>
        <v>1.6928453242696984E-2</v>
      </c>
      <c r="AY39" s="171">
        <f t="shared" si="60"/>
        <v>3.3425206544300368E-2</v>
      </c>
      <c r="AZ39" s="171">
        <f t="shared" si="60"/>
        <v>2.4458158714697475E-2</v>
      </c>
      <c r="BA39" s="171">
        <f t="shared" si="60"/>
        <v>1.5769906571952985E-2</v>
      </c>
      <c r="BB39" s="169"/>
      <c r="BC39"/>
      <c r="BD39"/>
      <c r="BE39"/>
      <c r="BF39"/>
      <c r="BG39"/>
      <c r="BH39"/>
      <c r="BI39" s="169"/>
    </row>
    <row r="40" spans="1:61" s="149" customFormat="1">
      <c r="A40" s="245"/>
      <c r="B40" s="668"/>
      <c r="C40" s="251"/>
      <c r="D40" s="252"/>
      <c r="E40" s="252"/>
      <c r="F40" s="253"/>
      <c r="G40" s="254"/>
      <c r="H40" s="254"/>
      <c r="I40" s="254"/>
      <c r="J40" s="255"/>
      <c r="K40" s="254"/>
      <c r="L40" s="254"/>
      <c r="M40" s="254"/>
      <c r="N40" s="255"/>
      <c r="O40" s="254"/>
      <c r="P40" s="254"/>
      <c r="Q40" s="254"/>
      <c r="R40" s="255"/>
      <c r="S40" s="254"/>
      <c r="T40" s="254"/>
      <c r="U40" s="254"/>
      <c r="V40" s="255"/>
      <c r="W40" s="254"/>
      <c r="X40" s="254"/>
      <c r="Y40" s="254"/>
      <c r="Z40" s="255"/>
      <c r="AA40" s="254"/>
      <c r="AB40" s="254"/>
      <c r="AC40" s="254"/>
      <c r="AD40" s="255"/>
      <c r="AE40" s="254"/>
      <c r="AF40" s="254"/>
      <c r="AG40" s="254"/>
      <c r="AH40" s="255"/>
      <c r="AI40" s="254"/>
      <c r="AJ40" s="254"/>
      <c r="AK40" s="254"/>
      <c r="AL40" s="255"/>
      <c r="AM40" s="245"/>
      <c r="AN40" s="252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45"/>
      <c r="BC40"/>
      <c r="BD40"/>
      <c r="BE40"/>
      <c r="BF40"/>
      <c r="BG40"/>
      <c r="BH40"/>
      <c r="BI40" s="245"/>
    </row>
    <row r="41" spans="1:61" s="168" customFormat="1">
      <c r="A41" s="150"/>
      <c r="B41" s="226" t="s">
        <v>112</v>
      </c>
      <c r="C41" s="256"/>
      <c r="D41" s="257"/>
      <c r="E41" s="257"/>
      <c r="F41" s="258"/>
      <c r="G41" s="257"/>
      <c r="H41" s="257"/>
      <c r="I41" s="257"/>
      <c r="J41" s="258"/>
      <c r="K41" s="257"/>
      <c r="L41" s="257"/>
      <c r="M41" s="257"/>
      <c r="N41" s="258"/>
      <c r="O41" s="257"/>
      <c r="P41" s="257"/>
      <c r="Q41" s="257"/>
      <c r="R41" s="258"/>
      <c r="S41" s="257"/>
      <c r="T41" s="257"/>
      <c r="U41" s="257"/>
      <c r="V41" s="258"/>
      <c r="W41" s="257"/>
      <c r="X41" s="257"/>
      <c r="Y41" s="257"/>
      <c r="Z41" s="258"/>
      <c r="AA41" s="257"/>
      <c r="AB41" s="257"/>
      <c r="AC41" s="257"/>
      <c r="AD41" s="258"/>
      <c r="AE41" s="257"/>
      <c r="AF41" s="257"/>
      <c r="AG41" s="257"/>
      <c r="AH41" s="258"/>
      <c r="AI41" s="257"/>
      <c r="AJ41" s="257"/>
      <c r="AK41" s="257"/>
      <c r="AL41" s="258"/>
      <c r="AM41" s="259"/>
      <c r="AN41" s="257"/>
      <c r="AO41" s="257"/>
      <c r="AP41" s="257"/>
      <c r="AQ41" s="257"/>
      <c r="AR41" s="167">
        <v>461</v>
      </c>
      <c r="AS41" s="167">
        <v>443</v>
      </c>
      <c r="AT41" s="260">
        <v>424</v>
      </c>
      <c r="AU41" s="166">
        <f>AU6*AU42</f>
        <v>458.30940704413734</v>
      </c>
      <c r="AV41" s="166">
        <f t="shared" ref="AV41:BA41" si="61">AV6*AV42</f>
        <v>483.91717342844407</v>
      </c>
      <c r="AW41" s="166">
        <f t="shared" si="61"/>
        <v>495.55194888634361</v>
      </c>
      <c r="AX41" s="166">
        <f t="shared" si="61"/>
        <v>511.75839797936931</v>
      </c>
      <c r="AY41" s="166">
        <f t="shared" si="61"/>
        <v>532.55823748365947</v>
      </c>
      <c r="AZ41" s="166">
        <f t="shared" si="61"/>
        <v>551.17975028530111</v>
      </c>
      <c r="BA41" s="166">
        <f t="shared" si="61"/>
        <v>567.39234201493446</v>
      </c>
      <c r="BB41" s="150"/>
      <c r="BC41"/>
      <c r="BD41"/>
      <c r="BE41"/>
      <c r="BF41"/>
      <c r="BG41"/>
      <c r="BH41"/>
      <c r="BI41" s="150"/>
    </row>
    <row r="42" spans="1:61" s="188" customFormat="1">
      <c r="A42" s="206"/>
      <c r="B42" s="660" t="s">
        <v>93</v>
      </c>
      <c r="C42" s="182"/>
      <c r="D42" s="183"/>
      <c r="E42" s="183"/>
      <c r="F42" s="184"/>
      <c r="G42" s="183"/>
      <c r="H42" s="183"/>
      <c r="I42" s="183"/>
      <c r="J42" s="184"/>
      <c r="K42" s="183"/>
      <c r="L42" s="183"/>
      <c r="M42" s="183"/>
      <c r="N42" s="184"/>
      <c r="O42" s="183"/>
      <c r="P42" s="183"/>
      <c r="Q42" s="183"/>
      <c r="R42" s="184"/>
      <c r="S42" s="183"/>
      <c r="T42" s="183"/>
      <c r="U42" s="183"/>
      <c r="V42" s="184"/>
      <c r="W42" s="183"/>
      <c r="X42" s="183"/>
      <c r="Y42" s="183"/>
      <c r="Z42" s="184"/>
      <c r="AA42" s="183"/>
      <c r="AB42" s="183"/>
      <c r="AC42" s="183"/>
      <c r="AD42" s="184"/>
      <c r="AE42" s="183"/>
      <c r="AF42" s="183"/>
      <c r="AG42" s="183"/>
      <c r="AH42" s="184"/>
      <c r="AI42" s="183"/>
      <c r="AJ42" s="183"/>
      <c r="AK42" s="183"/>
      <c r="AL42" s="184"/>
      <c r="AM42" s="206"/>
      <c r="AN42" s="183"/>
      <c r="AO42" s="183"/>
      <c r="AP42" s="183"/>
      <c r="AQ42" s="183"/>
      <c r="AR42" s="183">
        <f>AR41/AR6</f>
        <v>0.10154185022026432</v>
      </c>
      <c r="AS42" s="183">
        <f>AS41/AS6</f>
        <v>0.10052189698207398</v>
      </c>
      <c r="AT42" s="183">
        <f>AT41/AT6</f>
        <v>9.4516272848863131E-2</v>
      </c>
      <c r="AU42" s="214">
        <f>AT42</f>
        <v>9.4516272848863131E-2</v>
      </c>
      <c r="AV42" s="214">
        <f t="shared" ref="AV42:BA42" si="62">AU42</f>
        <v>9.4516272848863131E-2</v>
      </c>
      <c r="AW42" s="214">
        <f t="shared" si="62"/>
        <v>9.4516272848863131E-2</v>
      </c>
      <c r="AX42" s="214">
        <f t="shared" si="62"/>
        <v>9.4516272848863131E-2</v>
      </c>
      <c r="AY42" s="214">
        <f t="shared" si="62"/>
        <v>9.4516272848863131E-2</v>
      </c>
      <c r="AZ42" s="214">
        <f t="shared" si="62"/>
        <v>9.4516272848863131E-2</v>
      </c>
      <c r="BA42" s="214">
        <f t="shared" si="62"/>
        <v>9.4516272848863131E-2</v>
      </c>
      <c r="BB42" s="206"/>
      <c r="BC42"/>
      <c r="BD42"/>
      <c r="BE42"/>
      <c r="BF42"/>
      <c r="BG42"/>
      <c r="BH42"/>
      <c r="BI42" s="206"/>
    </row>
    <row r="43" spans="1:61" s="149" customFormat="1">
      <c r="A43" s="245"/>
      <c r="B43" s="668"/>
      <c r="C43" s="251"/>
      <c r="D43" s="252"/>
      <c r="E43" s="252"/>
      <c r="F43" s="253"/>
      <c r="G43" s="254"/>
      <c r="H43" s="254"/>
      <c r="I43" s="254"/>
      <c r="J43" s="255"/>
      <c r="K43" s="254"/>
      <c r="L43" s="254"/>
      <c r="M43" s="254"/>
      <c r="N43" s="255"/>
      <c r="O43" s="254"/>
      <c r="P43" s="254"/>
      <c r="Q43" s="254"/>
      <c r="R43" s="255"/>
      <c r="S43" s="254"/>
      <c r="T43" s="254"/>
      <c r="U43" s="254"/>
      <c r="V43" s="255"/>
      <c r="W43" s="254"/>
      <c r="X43" s="254"/>
      <c r="Y43" s="254"/>
      <c r="Z43" s="255"/>
      <c r="AA43" s="254"/>
      <c r="AB43" s="254"/>
      <c r="AC43" s="254"/>
      <c r="AD43" s="255"/>
      <c r="AE43" s="254"/>
      <c r="AF43" s="254"/>
      <c r="AG43" s="254"/>
      <c r="AH43" s="255"/>
      <c r="AI43" s="254"/>
      <c r="AJ43" s="254"/>
      <c r="AK43" s="254"/>
      <c r="AL43" s="255"/>
      <c r="AM43" s="245"/>
      <c r="AN43" s="252"/>
      <c r="AO43" s="254"/>
      <c r="AP43" s="254"/>
      <c r="AQ43" s="254"/>
      <c r="AR43" s="254"/>
      <c r="AS43" s="254"/>
      <c r="AT43" s="254"/>
      <c r="AU43" s="254"/>
      <c r="AV43" s="254"/>
      <c r="AW43" s="254"/>
      <c r="AX43" s="254"/>
      <c r="AY43" s="254"/>
      <c r="AZ43" s="254"/>
      <c r="BA43" s="254"/>
      <c r="BB43" s="245"/>
      <c r="BC43"/>
      <c r="BD43"/>
      <c r="BE43"/>
      <c r="BF43"/>
      <c r="BG43"/>
      <c r="BH43"/>
      <c r="BI43" s="245"/>
    </row>
    <row r="44" spans="1:61" s="265" customFormat="1">
      <c r="A44" s="261"/>
      <c r="B44" s="669" t="s">
        <v>113</v>
      </c>
      <c r="C44" s="240"/>
      <c r="D44" s="241"/>
      <c r="E44" s="241"/>
      <c r="F44" s="242"/>
      <c r="G44" s="243"/>
      <c r="H44" s="243"/>
      <c r="I44" s="243"/>
      <c r="J44" s="244"/>
      <c r="K44" s="243"/>
      <c r="L44" s="243"/>
      <c r="M44" s="243"/>
      <c r="N44" s="244"/>
      <c r="O44" s="263"/>
      <c r="P44" s="263"/>
      <c r="Q44" s="263"/>
      <c r="R44" s="264"/>
      <c r="S44" s="263"/>
      <c r="T44" s="263"/>
      <c r="U44" s="263"/>
      <c r="V44" s="264"/>
      <c r="W44" s="263"/>
      <c r="X44" s="263"/>
      <c r="Y44" s="263"/>
      <c r="Z44" s="264"/>
      <c r="AA44" s="263"/>
      <c r="AB44" s="263"/>
      <c r="AC44" s="263"/>
      <c r="AD44" s="264"/>
      <c r="AE44" s="263"/>
      <c r="AF44" s="263"/>
      <c r="AG44" s="263"/>
      <c r="AH44" s="264"/>
      <c r="AI44" s="263">
        <v>0.17</v>
      </c>
      <c r="AJ44" s="263">
        <f>AI44</f>
        <v>0.17</v>
      </c>
      <c r="AK44" s="263">
        <f t="shared" ref="AK44:AL44" si="63">AJ44</f>
        <v>0.17</v>
      </c>
      <c r="AL44" s="264">
        <f t="shared" si="63"/>
        <v>0.17</v>
      </c>
      <c r="AM44" s="261"/>
      <c r="AN44" s="241"/>
      <c r="AO44" s="243"/>
      <c r="AP44" s="243"/>
      <c r="AQ44" s="243"/>
      <c r="AR44" s="243"/>
      <c r="AS44" s="243"/>
      <c r="AT44" s="243"/>
      <c r="AU44" s="243"/>
      <c r="AV44" s="243">
        <f>SUM(AI44:AL44)</f>
        <v>0.68</v>
      </c>
      <c r="AW44" s="263">
        <f t="shared" ref="AW44:BA44" si="64">AV44</f>
        <v>0.68</v>
      </c>
      <c r="AX44" s="263">
        <f t="shared" si="64"/>
        <v>0.68</v>
      </c>
      <c r="AY44" s="263">
        <f t="shared" si="64"/>
        <v>0.68</v>
      </c>
      <c r="AZ44" s="263">
        <f t="shared" si="64"/>
        <v>0.68</v>
      </c>
      <c r="BA44" s="263">
        <f t="shared" si="64"/>
        <v>0.68</v>
      </c>
      <c r="BB44" s="261"/>
      <c r="BC44"/>
      <c r="BD44"/>
      <c r="BE44"/>
      <c r="BF44"/>
      <c r="BG44"/>
      <c r="BH44"/>
      <c r="BI44" s="261"/>
    </row>
    <row r="45" spans="1:61" s="173" customFormat="1">
      <c r="A45" s="169"/>
      <c r="B45" s="657" t="s">
        <v>114</v>
      </c>
      <c r="C45" s="170"/>
      <c r="D45" s="171"/>
      <c r="E45" s="171"/>
      <c r="F45" s="172"/>
      <c r="G45" s="171"/>
      <c r="H45" s="171"/>
      <c r="I45" s="171"/>
      <c r="J45" s="172"/>
      <c r="K45" s="171"/>
      <c r="L45" s="171"/>
      <c r="M45" s="171"/>
      <c r="N45" s="172"/>
      <c r="O45" s="171"/>
      <c r="P45" s="171"/>
      <c r="Q45" s="171"/>
      <c r="R45" s="172"/>
      <c r="S45" s="171"/>
      <c r="T45" s="171"/>
      <c r="U45" s="171"/>
      <c r="V45" s="172"/>
      <c r="W45" s="171"/>
      <c r="X45" s="171"/>
      <c r="Y45" s="171"/>
      <c r="Z45" s="172"/>
      <c r="AA45" s="171"/>
      <c r="AB45" s="171"/>
      <c r="AC45" s="171"/>
      <c r="AD45" s="172"/>
      <c r="AE45" s="171"/>
      <c r="AF45" s="171"/>
      <c r="AG45" s="171"/>
      <c r="AH45" s="172"/>
      <c r="AI45" s="171">
        <f t="shared" ref="AI45:AL45" si="65">-AI139/AI127</f>
        <v>0.17258778211753797</v>
      </c>
      <c r="AJ45" s="171">
        <f t="shared" si="65"/>
        <v>0.11436902853425249</v>
      </c>
      <c r="AK45" s="171">
        <f t="shared" si="65"/>
        <v>0.14034132035475627</v>
      </c>
      <c r="AL45" s="172">
        <f t="shared" si="65"/>
        <v>0.11066998852893767</v>
      </c>
      <c r="AM45" s="169"/>
      <c r="AN45" s="171"/>
      <c r="AO45" s="171"/>
      <c r="AP45" s="171"/>
      <c r="AQ45" s="171"/>
      <c r="AR45" s="171"/>
      <c r="AS45" s="171"/>
      <c r="AT45" s="171"/>
      <c r="AU45" s="171"/>
      <c r="AV45" s="171">
        <f t="shared" ref="AV45:BA45" si="66">-AV139/AV127</f>
        <v>0.13038537429330133</v>
      </c>
      <c r="AW45" s="171">
        <f t="shared" si="66"/>
        <v>0.10530036881144207</v>
      </c>
      <c r="AX45" s="171">
        <f t="shared" si="66"/>
        <v>9.6900847095054254E-2</v>
      </c>
      <c r="AY45" s="171">
        <f t="shared" si="66"/>
        <v>8.8136918016769095E-2</v>
      </c>
      <c r="AZ45" s="171">
        <f t="shared" si="66"/>
        <v>8.4745469533686391E-2</v>
      </c>
      <c r="BA45" s="171">
        <f t="shared" si="66"/>
        <v>8.2125892405620043E-2</v>
      </c>
      <c r="BB45" s="169"/>
      <c r="BC45"/>
      <c r="BD45"/>
      <c r="BE45"/>
      <c r="BF45"/>
      <c r="BG45"/>
      <c r="BH45"/>
      <c r="BI45" s="169"/>
    </row>
    <row r="46" spans="1:61" s="149" customFormat="1">
      <c r="A46" s="245"/>
      <c r="B46" s="668"/>
      <c r="C46" s="251"/>
      <c r="D46" s="252"/>
      <c r="E46" s="252"/>
      <c r="F46" s="253"/>
      <c r="G46" s="254"/>
      <c r="H46" s="254"/>
      <c r="I46" s="254"/>
      <c r="J46" s="255"/>
      <c r="K46" s="254"/>
      <c r="L46" s="254"/>
      <c r="M46" s="254"/>
      <c r="N46" s="255"/>
      <c r="O46" s="254"/>
      <c r="P46" s="254"/>
      <c r="Q46" s="254"/>
      <c r="R46" s="255"/>
      <c r="S46" s="254"/>
      <c r="T46" s="254"/>
      <c r="U46" s="254"/>
      <c r="V46" s="255"/>
      <c r="W46" s="254"/>
      <c r="X46" s="254"/>
      <c r="Y46" s="254"/>
      <c r="Z46" s="255"/>
      <c r="AA46" s="254"/>
      <c r="AB46" s="254"/>
      <c r="AC46" s="254"/>
      <c r="AD46" s="255"/>
      <c r="AE46" s="254"/>
      <c r="AF46" s="254"/>
      <c r="AG46" s="254"/>
      <c r="AH46" s="255"/>
      <c r="AI46" s="254"/>
      <c r="AJ46" s="254"/>
      <c r="AK46" s="254"/>
      <c r="AL46" s="255"/>
      <c r="AM46" s="245"/>
      <c r="AN46" s="252"/>
      <c r="AO46" s="254"/>
      <c r="AP46" s="254"/>
      <c r="AQ46" s="254"/>
      <c r="AR46" s="254"/>
      <c r="AS46" s="254"/>
      <c r="AT46" s="254"/>
      <c r="AU46" s="254"/>
      <c r="AV46" s="254"/>
      <c r="AW46" s="254"/>
      <c r="AX46" s="254"/>
      <c r="AY46" s="254"/>
      <c r="AZ46" s="254"/>
      <c r="BA46" s="254"/>
      <c r="BB46" s="245"/>
      <c r="BC46"/>
      <c r="BD46"/>
      <c r="BE46"/>
      <c r="BF46"/>
      <c r="BG46"/>
      <c r="BH46"/>
      <c r="BI46" s="245"/>
    </row>
    <row r="47" spans="1:61" s="168" customFormat="1">
      <c r="A47" s="150"/>
      <c r="B47" s="226" t="s">
        <v>115</v>
      </c>
      <c r="C47" s="227"/>
      <c r="D47" s="228"/>
      <c r="E47" s="228"/>
      <c r="F47" s="229"/>
      <c r="G47" s="230"/>
      <c r="H47" s="230"/>
      <c r="I47" s="230"/>
      <c r="J47" s="231"/>
      <c r="K47" s="230"/>
      <c r="L47" s="234"/>
      <c r="M47" s="234"/>
      <c r="N47" s="231"/>
      <c r="O47" s="234"/>
      <c r="P47" s="234"/>
      <c r="Q47" s="234"/>
      <c r="R47" s="231"/>
      <c r="S47" s="234"/>
      <c r="T47" s="234"/>
      <c r="U47" s="234"/>
      <c r="V47" s="231"/>
      <c r="W47" s="234"/>
      <c r="X47" s="234"/>
      <c r="Y47" s="234"/>
      <c r="Z47" s="231"/>
      <c r="AA47" s="234"/>
      <c r="AB47" s="234"/>
      <c r="AC47" s="234"/>
      <c r="AD47" s="231"/>
      <c r="AE47" s="234"/>
      <c r="AF47" s="234"/>
      <c r="AG47" s="234"/>
      <c r="AH47" s="235"/>
      <c r="AI47" s="230">
        <f>-AI138</f>
        <v>25</v>
      </c>
      <c r="AJ47" s="230">
        <f>-AJ138</f>
        <v>25</v>
      </c>
      <c r="AK47" s="230">
        <f>-AK138</f>
        <v>25</v>
      </c>
      <c r="AL47" s="231">
        <f>-AL138</f>
        <v>25</v>
      </c>
      <c r="AM47" s="150"/>
      <c r="AN47" s="228"/>
      <c r="AO47" s="230"/>
      <c r="AP47" s="234"/>
      <c r="AQ47" s="234"/>
      <c r="AR47" s="234"/>
      <c r="AS47" s="234"/>
      <c r="AT47" s="234"/>
      <c r="AU47" s="230"/>
      <c r="AV47" s="230">
        <f t="shared" ref="AV47:BA47" si="67">-AV138</f>
        <v>100</v>
      </c>
      <c r="AW47" s="230">
        <f t="shared" si="67"/>
        <v>100</v>
      </c>
      <c r="AX47" s="230">
        <f t="shared" si="67"/>
        <v>100</v>
      </c>
      <c r="AY47" s="230">
        <f t="shared" si="67"/>
        <v>100</v>
      </c>
      <c r="AZ47" s="230">
        <f t="shared" si="67"/>
        <v>100</v>
      </c>
      <c r="BA47" s="230">
        <f t="shared" si="67"/>
        <v>100</v>
      </c>
      <c r="BB47" s="150"/>
      <c r="BC47"/>
      <c r="BD47"/>
      <c r="BE47"/>
      <c r="BF47"/>
      <c r="BG47"/>
      <c r="BH47"/>
      <c r="BI47" s="150"/>
    </row>
    <row r="48" spans="1:61" s="168" customFormat="1">
      <c r="A48" s="150"/>
      <c r="B48" s="665" t="s">
        <v>116</v>
      </c>
      <c r="C48" s="227"/>
      <c r="D48" s="228"/>
      <c r="E48" s="228"/>
      <c r="F48" s="229"/>
      <c r="G48" s="230"/>
      <c r="H48" s="230"/>
      <c r="I48" s="230"/>
      <c r="J48" s="231"/>
      <c r="K48" s="230"/>
      <c r="L48" s="234"/>
      <c r="M48" s="234"/>
      <c r="N48" s="231"/>
      <c r="O48" s="234"/>
      <c r="P48" s="234"/>
      <c r="Q48" s="234"/>
      <c r="R48" s="231"/>
      <c r="S48" s="234"/>
      <c r="T48" s="234"/>
      <c r="U48" s="234"/>
      <c r="V48" s="231"/>
      <c r="W48" s="234"/>
      <c r="X48" s="234"/>
      <c r="Y48" s="234"/>
      <c r="Z48" s="231"/>
      <c r="AA48" s="234"/>
      <c r="AB48" s="234"/>
      <c r="AC48" s="234"/>
      <c r="AD48" s="231"/>
      <c r="AE48" s="234"/>
      <c r="AF48" s="234"/>
      <c r="AG48" s="234"/>
      <c r="AH48" s="235"/>
      <c r="AI48" s="230">
        <f>AI47/AI49</f>
        <v>0.46809914986437867</v>
      </c>
      <c r="AJ48" s="230">
        <f t="shared" ref="AJ48:AL48" si="68">AJ47/AJ49</f>
        <v>0.45550003315888393</v>
      </c>
      <c r="AK48" s="230">
        <f t="shared" si="68"/>
        <v>0.44324002781858751</v>
      </c>
      <c r="AL48" s="231">
        <f t="shared" si="68"/>
        <v>0.43131000649585899</v>
      </c>
      <c r="AM48" s="150"/>
      <c r="AN48" s="228"/>
      <c r="AO48" s="230"/>
      <c r="AP48" s="234"/>
      <c r="AQ48" s="234"/>
      <c r="AR48" s="234"/>
      <c r="AS48" s="234"/>
      <c r="AT48" s="234"/>
      <c r="AU48" s="230"/>
      <c r="AV48" s="230">
        <f>SUM(AI48:AL48)</f>
        <v>1.7981492173377092</v>
      </c>
      <c r="AW48"/>
      <c r="AX48" s="230">
        <f t="shared" ref="AX48:BA48" si="69">AX47/AX49</f>
        <v>1.4563813774119527</v>
      </c>
      <c r="AY48" s="230">
        <f t="shared" si="69"/>
        <v>1.311299377892948</v>
      </c>
      <c r="AZ48" s="230">
        <f t="shared" si="69"/>
        <v>1.1806701768722578</v>
      </c>
      <c r="BA48" s="230">
        <f t="shared" si="69"/>
        <v>1.0630540134896416</v>
      </c>
      <c r="BB48" s="150"/>
      <c r="BC48"/>
      <c r="BD48"/>
      <c r="BE48"/>
      <c r="BF48"/>
      <c r="BG48"/>
      <c r="BH48"/>
      <c r="BI48" s="150"/>
    </row>
    <row r="49" spans="1:61" s="160" customFormat="1">
      <c r="A49" s="236"/>
      <c r="B49" s="670" t="s">
        <v>117</v>
      </c>
      <c r="C49" s="240"/>
      <c r="D49" s="241"/>
      <c r="E49" s="241"/>
      <c r="F49" s="242"/>
      <c r="G49" s="243"/>
      <c r="H49" s="243"/>
      <c r="I49" s="243"/>
      <c r="J49" s="244"/>
      <c r="K49" s="243"/>
      <c r="L49" s="263"/>
      <c r="M49" s="263"/>
      <c r="N49" s="244"/>
      <c r="O49" s="263"/>
      <c r="P49" s="263"/>
      <c r="Q49" s="263"/>
      <c r="R49" s="244"/>
      <c r="S49" s="263"/>
      <c r="T49" s="263"/>
      <c r="U49" s="263"/>
      <c r="V49" s="244"/>
      <c r="W49" s="263"/>
      <c r="X49" s="263"/>
      <c r="Y49" s="263"/>
      <c r="Z49" s="244"/>
      <c r="AA49" s="263"/>
      <c r="AB49" s="263"/>
      <c r="AC49" s="263"/>
      <c r="AD49" s="244"/>
      <c r="AE49" s="263"/>
      <c r="AF49" s="243"/>
      <c r="AG49" s="243"/>
      <c r="AH49" s="264">
        <v>51.97</v>
      </c>
      <c r="AI49" s="267">
        <f>AH49*(1+DCF!$E$35/4)</f>
        <v>53.407488578526994</v>
      </c>
      <c r="AJ49" s="267">
        <f>AI49*(1+DCF!$E$35/4)</f>
        <v>54.884738046286152</v>
      </c>
      <c r="AK49" s="267">
        <f>AJ49*(1+DCF!$E$35/4)</f>
        <v>56.402848188233087</v>
      </c>
      <c r="AL49" s="266">
        <f>AK49*(1+DCF!$E$35/4)</f>
        <v>57.962949209340977</v>
      </c>
      <c r="AM49" s="236"/>
      <c r="AN49" s="241"/>
      <c r="AO49" s="243"/>
      <c r="AP49" s="263"/>
      <c r="AQ49" s="263"/>
      <c r="AR49" s="263"/>
      <c r="AS49" s="263"/>
      <c r="AT49" s="263"/>
      <c r="AU49" s="243"/>
      <c r="AV49" s="243">
        <f>AVERAGE(AI49:AL49)</f>
        <v>55.664506005596806</v>
      </c>
      <c r="AW49" s="267">
        <f>AV49*(1+DCF!$E$35)</f>
        <v>61.823220003087108</v>
      </c>
      <c r="AX49" s="267">
        <f>AW49*(1+DCF!$E$35)</f>
        <v>68.663333348647967</v>
      </c>
      <c r="AY49" s="267">
        <f>AX49*(1+DCF!$E$35)</f>
        <v>76.260235981110796</v>
      </c>
      <c r="AZ49" s="267">
        <f>AY49*(1+DCF!$E$35)</f>
        <v>84.697658972730594</v>
      </c>
      <c r="BA49" s="267">
        <f>AZ49*(1+DCF!$E$35)</f>
        <v>94.068597391146966</v>
      </c>
      <c r="BB49" s="236"/>
      <c r="BC49"/>
      <c r="BD49"/>
      <c r="BE49"/>
      <c r="BF49"/>
      <c r="BG49"/>
      <c r="BH49"/>
      <c r="BI49" s="236"/>
    </row>
    <row r="50" spans="1:61" s="160" customFormat="1">
      <c r="A50" s="150"/>
      <c r="B50" s="662"/>
      <c r="C50" s="268"/>
      <c r="D50" s="269"/>
      <c r="E50" s="269"/>
      <c r="F50" s="270"/>
      <c r="G50" s="269"/>
      <c r="H50" s="269"/>
      <c r="I50" s="269"/>
      <c r="J50" s="194"/>
      <c r="K50" s="269"/>
      <c r="L50" s="269"/>
      <c r="M50" s="269"/>
      <c r="N50" s="270"/>
      <c r="O50" s="269"/>
      <c r="P50" s="269"/>
      <c r="Q50" s="269"/>
      <c r="R50" s="270"/>
      <c r="S50" s="269"/>
      <c r="T50" s="269"/>
      <c r="U50" s="269"/>
      <c r="V50" s="270"/>
      <c r="W50" s="269"/>
      <c r="X50" s="269"/>
      <c r="Y50" s="269"/>
      <c r="Z50" s="270"/>
      <c r="AA50" s="269"/>
      <c r="AB50" s="269"/>
      <c r="AC50" s="269"/>
      <c r="AD50" s="237"/>
      <c r="AE50" s="139"/>
      <c r="AF50" s="139"/>
      <c r="AG50" s="139"/>
      <c r="AH50" s="237"/>
      <c r="AI50" s="139"/>
      <c r="AJ50" s="139"/>
      <c r="AK50" s="139"/>
      <c r="AL50" s="237"/>
      <c r="AM50" s="150"/>
      <c r="AN50" s="269"/>
      <c r="AO50" s="269"/>
      <c r="AP50" s="269"/>
      <c r="AQ50" s="269"/>
      <c r="AR50" s="139"/>
      <c r="AS50" s="139"/>
      <c r="AT50" s="139"/>
      <c r="AU50" s="139"/>
      <c r="AV50" s="139"/>
      <c r="AW50" s="139"/>
      <c r="AX50" s="139"/>
      <c r="AY50" s="139"/>
      <c r="AZ50" s="139"/>
      <c r="BA50" s="139"/>
      <c r="BB50" s="150"/>
      <c r="BC50"/>
      <c r="BD50"/>
      <c r="BE50"/>
      <c r="BF50"/>
      <c r="BG50"/>
      <c r="BH50"/>
      <c r="BI50" s="150"/>
    </row>
    <row r="51" spans="1:61" s="168" customFormat="1">
      <c r="A51" s="150"/>
      <c r="B51" s="226" t="s">
        <v>118</v>
      </c>
      <c r="C51" s="256">
        <f>Segments!C68</f>
        <v>128</v>
      </c>
      <c r="D51" s="257">
        <f>Segments!D68</f>
        <v>117</v>
      </c>
      <c r="E51" s="257">
        <f>Segments!E68</f>
        <v>112</v>
      </c>
      <c r="F51" s="258">
        <f>Segments!F68</f>
        <v>66</v>
      </c>
      <c r="G51" s="257">
        <f>Segments!G68</f>
        <v>132</v>
      </c>
      <c r="H51" s="257">
        <f>Segments!H68</f>
        <v>188</v>
      </c>
      <c r="I51" s="257">
        <f>Segments!I68</f>
        <v>167</v>
      </c>
      <c r="J51" s="258">
        <f>Segments!J68</f>
        <v>227</v>
      </c>
      <c r="K51" s="257">
        <f>Segments!K68</f>
        <v>202</v>
      </c>
      <c r="L51" s="257">
        <f>Segments!L68</f>
        <v>204</v>
      </c>
      <c r="M51" s="257">
        <f>Segments!M68</f>
        <v>169</v>
      </c>
      <c r="N51" s="258">
        <f>Segments!N68</f>
        <v>148</v>
      </c>
      <c r="O51" s="257">
        <f>Segments!O68</f>
        <v>162</v>
      </c>
      <c r="P51" s="257">
        <f>Segments!P68</f>
        <v>190</v>
      </c>
      <c r="Q51" s="257">
        <f>Segments!Q68</f>
        <v>142</v>
      </c>
      <c r="R51" s="258">
        <f>Segments!R68</f>
        <v>177</v>
      </c>
      <c r="S51" s="257">
        <f>Segments!S68</f>
        <v>164</v>
      </c>
      <c r="T51" s="257">
        <f>Segments!T68</f>
        <v>186</v>
      </c>
      <c r="U51" s="257">
        <f>Segments!U68</f>
        <v>164</v>
      </c>
      <c r="V51" s="258">
        <f>Segments!V68</f>
        <v>198</v>
      </c>
      <c r="W51" s="257">
        <f>Segments!W68</f>
        <v>173</v>
      </c>
      <c r="X51" s="257">
        <f>Segments!X68</f>
        <v>191</v>
      </c>
      <c r="Y51" s="257">
        <f>Segments!Y68</f>
        <v>163</v>
      </c>
      <c r="Z51" s="258">
        <f>Segments!Z68</f>
        <v>200</v>
      </c>
      <c r="AA51" s="257">
        <f>Segments!AA68</f>
        <v>171</v>
      </c>
      <c r="AB51" s="257">
        <f>Segments!AB68</f>
        <v>204</v>
      </c>
      <c r="AC51" s="257">
        <f>Segments!AC68</f>
        <v>169</v>
      </c>
      <c r="AD51" s="258">
        <f>Segments!AD68</f>
        <v>187</v>
      </c>
      <c r="AE51" s="257">
        <f>Segments!AE68</f>
        <v>194.22222222222223</v>
      </c>
      <c r="AF51" s="257">
        <f>Segments!AF68</f>
        <v>197.33333333333334</v>
      </c>
      <c r="AG51" s="257">
        <f>Segments!AG68</f>
        <v>178.22222222222223</v>
      </c>
      <c r="AH51" s="258">
        <f>Segments!AH68</f>
        <v>207.22222222222223</v>
      </c>
      <c r="AI51" s="257">
        <f>Segments!AI68</f>
        <v>204.23035340659342</v>
      </c>
      <c r="AJ51" s="257">
        <f>Segments!AJ68</f>
        <v>231.83997174254318</v>
      </c>
      <c r="AK51" s="257">
        <f>Segments!AK68</f>
        <v>228.95218504709575</v>
      </c>
      <c r="AL51" s="258">
        <f>Segments!AL68</f>
        <v>197.77792000000005</v>
      </c>
      <c r="AM51" s="259"/>
      <c r="AN51" s="257">
        <f>Segments!AN68</f>
        <v>423</v>
      </c>
      <c r="AO51" s="257">
        <f>Segments!AO68</f>
        <v>714</v>
      </c>
      <c r="AP51" s="257">
        <f>Segments!AP68</f>
        <v>723</v>
      </c>
      <c r="AQ51" s="257">
        <f>Segments!AQ68</f>
        <v>671</v>
      </c>
      <c r="AR51" s="167">
        <v>688</v>
      </c>
      <c r="AS51" s="167">
        <v>706</v>
      </c>
      <c r="AT51" s="260">
        <v>693</v>
      </c>
      <c r="AU51" s="257">
        <f>Segments!AU68</f>
        <v>777</v>
      </c>
      <c r="AV51" s="257">
        <f>Segments!AV68</f>
        <v>862.80043019623236</v>
      </c>
      <c r="AW51" s="257">
        <f>Segments!AW68</f>
        <v>867.81556109322855</v>
      </c>
      <c r="AX51" s="257">
        <f>Segments!AX68</f>
        <v>879.95295665188723</v>
      </c>
      <c r="AY51" s="257">
        <f>Segments!AY68</f>
        <v>898.81394637689175</v>
      </c>
      <c r="AZ51" s="257">
        <f>Segments!AZ68</f>
        <v>912.74725506223103</v>
      </c>
      <c r="BA51" s="257">
        <f>Segments!BA68</f>
        <v>921.58576427803644</v>
      </c>
      <c r="BB51" s="150"/>
      <c r="BC51"/>
      <c r="BD51"/>
      <c r="BE51"/>
      <c r="BF51"/>
      <c r="BG51"/>
      <c r="BH51"/>
      <c r="BI51" s="150"/>
    </row>
    <row r="52" spans="1:61" s="188" customFormat="1">
      <c r="A52" s="206"/>
      <c r="B52" s="660" t="s">
        <v>28</v>
      </c>
      <c r="C52" s="182">
        <f t="shared" ref="C52:AL52" si="70">C51/C6</f>
        <v>0.13195876288659794</v>
      </c>
      <c r="D52" s="183">
        <f t="shared" si="70"/>
        <v>0.11515748031496063</v>
      </c>
      <c r="E52" s="183">
        <f t="shared" si="70"/>
        <v>0.11451942740286299</v>
      </c>
      <c r="F52" s="184">
        <f t="shared" si="70"/>
        <v>5.8823529411764705E-2</v>
      </c>
      <c r="G52" s="183">
        <f t="shared" si="70"/>
        <v>0.10670978172999192</v>
      </c>
      <c r="H52" s="183">
        <f t="shared" si="70"/>
        <v>0.14362108479755539</v>
      </c>
      <c r="I52" s="183">
        <f t="shared" si="70"/>
        <v>0.14116652578191038</v>
      </c>
      <c r="J52" s="184">
        <f t="shared" si="70"/>
        <v>0.18291700241740533</v>
      </c>
      <c r="K52" s="183">
        <f t="shared" si="70"/>
        <v>0.15981012658227847</v>
      </c>
      <c r="L52" s="183">
        <f t="shared" si="70"/>
        <v>0.1637239165329053</v>
      </c>
      <c r="M52" s="183">
        <f t="shared" si="70"/>
        <v>0.15547378104875806</v>
      </c>
      <c r="N52" s="184">
        <f t="shared" si="70"/>
        <v>0.13975448536355051</v>
      </c>
      <c r="O52" s="183">
        <f t="shared" si="70"/>
        <v>0.14634146341463414</v>
      </c>
      <c r="P52" s="183">
        <f t="shared" si="70"/>
        <v>0.16365202411714039</v>
      </c>
      <c r="Q52" s="183">
        <f t="shared" si="70"/>
        <v>0.13549618320610687</v>
      </c>
      <c r="R52" s="184">
        <f t="shared" si="70"/>
        <v>0.15974729241877256</v>
      </c>
      <c r="S52" s="183">
        <f t="shared" si="70"/>
        <v>0.14949863263445762</v>
      </c>
      <c r="T52" s="183">
        <f t="shared" si="70"/>
        <v>0.15656565656565657</v>
      </c>
      <c r="U52" s="183">
        <f t="shared" si="70"/>
        <v>0.14682184422560429</v>
      </c>
      <c r="V52" s="184">
        <f t="shared" si="70"/>
        <v>0.17475728155339806</v>
      </c>
      <c r="W52" s="183">
        <f t="shared" si="70"/>
        <v>0.16003700277520813</v>
      </c>
      <c r="X52" s="183">
        <f t="shared" si="70"/>
        <v>0.16710411198600175</v>
      </c>
      <c r="Y52" s="183">
        <f t="shared" si="70"/>
        <v>0.15319548872180452</v>
      </c>
      <c r="Z52" s="184">
        <f t="shared" si="70"/>
        <v>0.17953321364452424</v>
      </c>
      <c r="AA52" s="183">
        <f t="shared" si="70"/>
        <v>0.15308863025962399</v>
      </c>
      <c r="AB52" s="183">
        <f t="shared" si="70"/>
        <v>0.17801047120418848</v>
      </c>
      <c r="AC52" s="183">
        <f t="shared" si="70"/>
        <v>0.15691736304549675</v>
      </c>
      <c r="AD52" s="184">
        <f t="shared" si="70"/>
        <v>0.1631762652705061</v>
      </c>
      <c r="AE52" s="183">
        <f t="shared" si="70"/>
        <v>0.1662861491628615</v>
      </c>
      <c r="AF52" s="183">
        <f t="shared" si="70"/>
        <v>0.16624543667509128</v>
      </c>
      <c r="AG52" s="183">
        <f t="shared" si="70"/>
        <v>0.14790225910557861</v>
      </c>
      <c r="AH52" s="184">
        <f t="shared" ref="AH52" si="71">AH51/AH6</f>
        <v>0.16076200327557968</v>
      </c>
      <c r="AI52" s="183">
        <f t="shared" si="70"/>
        <v>0.15674097331240189</v>
      </c>
      <c r="AJ52" s="183">
        <f t="shared" si="70"/>
        <v>0.17674097331240191</v>
      </c>
      <c r="AK52" s="183">
        <f t="shared" si="70"/>
        <v>0.17174097331240187</v>
      </c>
      <c r="AL52" s="184">
        <f t="shared" si="70"/>
        <v>0.1687409733124019</v>
      </c>
      <c r="AM52" s="206"/>
      <c r="AN52" s="183">
        <f t="shared" ref="AN52:BA52" si="72">AN51/AN6</f>
        <v>0.10352422907488987</v>
      </c>
      <c r="AO52" s="183">
        <f t="shared" si="72"/>
        <v>0.14366197183098592</v>
      </c>
      <c r="AP52" s="183">
        <f t="shared" si="72"/>
        <v>0.15531686358754027</v>
      </c>
      <c r="AQ52" s="183">
        <f t="shared" si="72"/>
        <v>0.15256934970441111</v>
      </c>
      <c r="AR52" s="183">
        <f t="shared" si="72"/>
        <v>0.15154185022026431</v>
      </c>
      <c r="AS52" s="183">
        <f t="shared" si="72"/>
        <v>0.16019968232357612</v>
      </c>
      <c r="AT52" s="186">
        <f t="shared" si="72"/>
        <v>0.15448060633080696</v>
      </c>
      <c r="AU52" s="183">
        <f t="shared" si="72"/>
        <v>0.16023922458238812</v>
      </c>
      <c r="AV52" s="183">
        <f t="shared" si="72"/>
        <v>0.168517848409449</v>
      </c>
      <c r="AW52" s="183">
        <f t="shared" si="72"/>
        <v>0.165517848409449</v>
      </c>
      <c r="AX52" s="183">
        <f t="shared" si="72"/>
        <v>0.162517848409449</v>
      </c>
      <c r="AY52" s="183">
        <f t="shared" si="72"/>
        <v>0.15951784840944899</v>
      </c>
      <c r="AZ52" s="183">
        <f t="shared" si="72"/>
        <v>0.15651784840944896</v>
      </c>
      <c r="BA52" s="183">
        <f t="shared" si="72"/>
        <v>0.15351784840944899</v>
      </c>
      <c r="BB52" s="206"/>
      <c r="BC52"/>
      <c r="BD52"/>
      <c r="BE52"/>
      <c r="BF52"/>
      <c r="BG52"/>
      <c r="BH52"/>
      <c r="BI52" s="206"/>
    </row>
    <row r="53" spans="1:61" s="173" customFormat="1">
      <c r="A53" s="169"/>
      <c r="B53" s="657" t="s">
        <v>26</v>
      </c>
      <c r="C53" s="170"/>
      <c r="D53" s="171"/>
      <c r="E53" s="171"/>
      <c r="F53" s="172"/>
      <c r="G53" s="171">
        <f t="shared" ref="G53:AL53" si="73">G51/C51-1</f>
        <v>3.125E-2</v>
      </c>
      <c r="H53" s="171">
        <f t="shared" si="73"/>
        <v>0.6068376068376069</v>
      </c>
      <c r="I53" s="171">
        <f t="shared" si="73"/>
        <v>0.4910714285714286</v>
      </c>
      <c r="J53" s="172">
        <f t="shared" si="73"/>
        <v>2.4393939393939394</v>
      </c>
      <c r="K53" s="171">
        <f t="shared" si="73"/>
        <v>0.53030303030303028</v>
      </c>
      <c r="L53" s="171">
        <f t="shared" si="73"/>
        <v>8.5106382978723305E-2</v>
      </c>
      <c r="M53" s="171">
        <f t="shared" si="73"/>
        <v>1.1976047904191711E-2</v>
      </c>
      <c r="N53" s="172">
        <f t="shared" si="73"/>
        <v>-0.34801762114537449</v>
      </c>
      <c r="O53" s="171">
        <f t="shared" si="73"/>
        <v>-0.19801980198019797</v>
      </c>
      <c r="P53" s="171">
        <f t="shared" si="73"/>
        <v>-6.8627450980392135E-2</v>
      </c>
      <c r="Q53" s="171">
        <f t="shared" si="73"/>
        <v>-0.15976331360946749</v>
      </c>
      <c r="R53" s="172">
        <f t="shared" si="73"/>
        <v>0.19594594594594605</v>
      </c>
      <c r="S53" s="171">
        <f t="shared" si="73"/>
        <v>1.2345679012345734E-2</v>
      </c>
      <c r="T53" s="171">
        <f t="shared" si="73"/>
        <v>-2.1052631578947323E-2</v>
      </c>
      <c r="U53" s="171">
        <f t="shared" si="73"/>
        <v>0.15492957746478875</v>
      </c>
      <c r="V53" s="172">
        <f t="shared" si="73"/>
        <v>0.11864406779661008</v>
      </c>
      <c r="W53" s="171">
        <f t="shared" si="73"/>
        <v>5.4878048780487854E-2</v>
      </c>
      <c r="X53" s="171">
        <f t="shared" si="73"/>
        <v>2.6881720430107503E-2</v>
      </c>
      <c r="Y53" s="171">
        <f t="shared" si="73"/>
        <v>-6.0975609756097615E-3</v>
      </c>
      <c r="Z53" s="172">
        <f t="shared" si="73"/>
        <v>1.0101010101010166E-2</v>
      </c>
      <c r="AA53" s="171">
        <f t="shared" si="73"/>
        <v>-1.1560693641618491E-2</v>
      </c>
      <c r="AB53" s="171">
        <f t="shared" si="73"/>
        <v>6.8062827225130906E-2</v>
      </c>
      <c r="AC53" s="171">
        <f t="shared" si="73"/>
        <v>3.6809815950920255E-2</v>
      </c>
      <c r="AD53" s="172">
        <f t="shared" si="73"/>
        <v>-6.4999999999999947E-2</v>
      </c>
      <c r="AE53" s="171">
        <f t="shared" si="73"/>
        <v>0.13580246913580241</v>
      </c>
      <c r="AF53" s="171">
        <f t="shared" si="73"/>
        <v>-3.2679738562091498E-2</v>
      </c>
      <c r="AG53" s="171">
        <f t="shared" si="73"/>
        <v>5.4569362261670085E-2</v>
      </c>
      <c r="AH53" s="172">
        <f t="shared" si="73"/>
        <v>0.10814022578728455</v>
      </c>
      <c r="AI53" s="171">
        <f t="shared" si="73"/>
        <v>5.1529279553398588E-2</v>
      </c>
      <c r="AJ53" s="171">
        <f t="shared" si="73"/>
        <v>0.17486472166829303</v>
      </c>
      <c r="AK53" s="171">
        <f t="shared" si="73"/>
        <v>0.28464442981537519</v>
      </c>
      <c r="AL53" s="172">
        <f t="shared" si="73"/>
        <v>-4.5575721179624495E-2</v>
      </c>
      <c r="AM53" s="169"/>
      <c r="AN53" s="171"/>
      <c r="AO53" s="171">
        <f t="shared" ref="AO53:BA53" si="74">AO51/AN51-1</f>
        <v>0.68794326241134751</v>
      </c>
      <c r="AP53" s="171">
        <f t="shared" si="74"/>
        <v>1.2605042016806678E-2</v>
      </c>
      <c r="AQ53" s="171">
        <f t="shared" si="74"/>
        <v>-7.1922544951590561E-2</v>
      </c>
      <c r="AR53" s="171">
        <f t="shared" si="74"/>
        <v>2.5335320417287699E-2</v>
      </c>
      <c r="AS53" s="171">
        <f t="shared" si="74"/>
        <v>2.6162790697674465E-2</v>
      </c>
      <c r="AT53" s="171">
        <f t="shared" si="74"/>
        <v>-1.8413597733711096E-2</v>
      </c>
      <c r="AU53" s="171">
        <f t="shared" si="74"/>
        <v>0.1212121212121211</v>
      </c>
      <c r="AV53" s="171">
        <f t="shared" si="74"/>
        <v>0.11042526408781517</v>
      </c>
      <c r="AW53" s="171">
        <f t="shared" si="74"/>
        <v>5.8126198382348893E-3</v>
      </c>
      <c r="AX53" s="171">
        <f t="shared" si="74"/>
        <v>1.3986146484131545E-2</v>
      </c>
      <c r="AY53" s="171">
        <f t="shared" si="74"/>
        <v>2.1434088700341691E-2</v>
      </c>
      <c r="AZ53" s="171">
        <f t="shared" si="74"/>
        <v>1.5501883055446974E-2</v>
      </c>
      <c r="BA53" s="171">
        <f t="shared" si="74"/>
        <v>9.6834136359060796E-3</v>
      </c>
      <c r="BB53" s="169"/>
      <c r="BC53"/>
      <c r="BD53"/>
      <c r="BE53"/>
      <c r="BF53"/>
      <c r="BG53"/>
      <c r="BH53"/>
      <c r="BI53" s="169"/>
    </row>
    <row r="54" spans="1:61" s="160" customFormat="1">
      <c r="A54" s="150"/>
      <c r="B54" s="662"/>
      <c r="C54" s="268"/>
      <c r="D54" s="269"/>
      <c r="E54" s="269"/>
      <c r="F54" s="270"/>
      <c r="G54" s="269"/>
      <c r="H54" s="269"/>
      <c r="I54" s="269"/>
      <c r="J54" s="194"/>
      <c r="K54" s="269"/>
      <c r="L54" s="269"/>
      <c r="M54" s="269"/>
      <c r="N54" s="270"/>
      <c r="O54" s="269"/>
      <c r="P54" s="269"/>
      <c r="Q54" s="269"/>
      <c r="R54" s="270"/>
      <c r="S54" s="269"/>
      <c r="T54" s="269"/>
      <c r="U54" s="269"/>
      <c r="V54" s="270"/>
      <c r="W54" s="269"/>
      <c r="X54" s="269"/>
      <c r="Y54" s="269"/>
      <c r="Z54" s="270"/>
      <c r="AA54" s="269"/>
      <c r="AB54" s="269"/>
      <c r="AC54" s="269"/>
      <c r="AD54" s="237"/>
      <c r="AE54" s="139"/>
      <c r="AF54" s="139"/>
      <c r="AG54" s="139"/>
      <c r="AH54" s="237"/>
      <c r="AI54" s="139"/>
      <c r="AJ54" s="139"/>
      <c r="AK54" s="139"/>
      <c r="AL54" s="237"/>
      <c r="AM54" s="150"/>
      <c r="AN54" s="269"/>
      <c r="AO54" s="269"/>
      <c r="AP54" s="269"/>
      <c r="AQ54" s="269"/>
      <c r="AR54" s="139"/>
      <c r="AS54" s="139"/>
      <c r="AT54" s="139"/>
      <c r="AU54" s="139"/>
      <c r="AV54" s="139"/>
      <c r="AW54" s="139"/>
      <c r="AX54" s="139"/>
      <c r="AY54" s="139"/>
      <c r="AZ54" s="139"/>
      <c r="BA54" s="139"/>
      <c r="BB54" s="150"/>
      <c r="BC54"/>
      <c r="BD54"/>
      <c r="BE54"/>
      <c r="BF54"/>
      <c r="BG54"/>
      <c r="BH54"/>
      <c r="BI54" s="150"/>
    </row>
    <row r="55" spans="1:61" s="278" customFormat="1">
      <c r="A55" s="271"/>
      <c r="B55" s="226" t="s">
        <v>119</v>
      </c>
      <c r="C55" s="272"/>
      <c r="D55" s="273"/>
      <c r="E55" s="273"/>
      <c r="F55" s="274"/>
      <c r="G55" s="273"/>
      <c r="H55" s="273"/>
      <c r="I55" s="273"/>
      <c r="J55" s="275"/>
      <c r="K55" s="273"/>
      <c r="L55" s="273"/>
      <c r="M55" s="273"/>
      <c r="N55" s="274"/>
      <c r="O55" s="273"/>
      <c r="P55" s="273"/>
      <c r="Q55" s="273"/>
      <c r="R55" s="274"/>
      <c r="S55" s="273"/>
      <c r="T55" s="273"/>
      <c r="U55" s="273"/>
      <c r="V55" s="274"/>
      <c r="W55" s="273"/>
      <c r="X55" s="273"/>
      <c r="Y55" s="273"/>
      <c r="Z55" s="274"/>
      <c r="AA55" s="273"/>
      <c r="AB55" s="273"/>
      <c r="AC55" s="273"/>
      <c r="AD55" s="276"/>
      <c r="AE55" s="277"/>
      <c r="AF55" s="277"/>
      <c r="AG55" s="277"/>
      <c r="AH55" s="276"/>
      <c r="AI55" s="277"/>
      <c r="AJ55" s="277"/>
      <c r="AK55" s="277"/>
      <c r="AL55" s="276"/>
      <c r="AM55" s="271"/>
      <c r="AN55" s="273"/>
      <c r="AO55" s="273"/>
      <c r="AP55" s="273"/>
      <c r="AQ55" s="273"/>
      <c r="AR55" s="277"/>
      <c r="AS55" s="277"/>
      <c r="AT55" s="277"/>
      <c r="AU55" s="277">
        <v>20000</v>
      </c>
      <c r="AV55" s="277"/>
      <c r="AW55" s="277"/>
      <c r="AX55" s="277"/>
      <c r="AY55" s="277"/>
      <c r="AZ55" s="277"/>
      <c r="BA55" s="277"/>
      <c r="BB55" s="271"/>
      <c r="BC55"/>
      <c r="BD55"/>
      <c r="BE55"/>
      <c r="BF55"/>
      <c r="BG55"/>
      <c r="BH55"/>
      <c r="BI55" s="271"/>
    </row>
    <row r="56" spans="1:61" s="160" customFormat="1">
      <c r="A56" s="150"/>
      <c r="B56" s="662"/>
      <c r="C56" s="268"/>
      <c r="D56" s="269"/>
      <c r="E56" s="269"/>
      <c r="F56" s="270"/>
      <c r="G56" s="269"/>
      <c r="H56" s="269"/>
      <c r="I56" s="269"/>
      <c r="J56" s="194"/>
      <c r="K56" s="269"/>
      <c r="L56" s="269"/>
      <c r="M56" s="269"/>
      <c r="N56" s="270"/>
      <c r="O56" s="269"/>
      <c r="P56" s="269"/>
      <c r="Q56" s="269"/>
      <c r="R56" s="270"/>
      <c r="S56" s="269"/>
      <c r="T56" s="269"/>
      <c r="U56" s="269"/>
      <c r="V56" s="270"/>
      <c r="W56" s="269"/>
      <c r="X56" s="269"/>
      <c r="Y56" s="269"/>
      <c r="Z56" s="270"/>
      <c r="AA56" s="269"/>
      <c r="AB56" s="269"/>
      <c r="AC56" s="269"/>
      <c r="AD56" s="237"/>
      <c r="AE56" s="139"/>
      <c r="AF56" s="139"/>
      <c r="AG56" s="139"/>
      <c r="AH56" s="237"/>
      <c r="AI56" s="139"/>
      <c r="AJ56" s="139"/>
      <c r="AK56" s="139"/>
      <c r="AL56" s="237"/>
      <c r="AM56" s="150"/>
      <c r="AN56" s="269"/>
      <c r="AO56" s="269"/>
      <c r="AP56" s="269"/>
      <c r="AQ56" s="269"/>
      <c r="AR56" s="139"/>
      <c r="AS56" s="139"/>
      <c r="AT56" s="139"/>
      <c r="AU56" s="139"/>
      <c r="AV56" s="139"/>
      <c r="AW56" s="139"/>
      <c r="AX56" s="139"/>
      <c r="AY56" s="139"/>
      <c r="AZ56" s="139"/>
      <c r="BA56" s="139"/>
      <c r="BB56" s="150"/>
      <c r="BC56"/>
      <c r="BD56"/>
      <c r="BE56"/>
      <c r="BF56"/>
      <c r="BG56"/>
      <c r="BH56"/>
      <c r="BI56" s="150"/>
    </row>
    <row r="57" spans="1:61" s="283" customFormat="1">
      <c r="A57" s="279"/>
      <c r="B57" s="654" t="s">
        <v>120</v>
      </c>
      <c r="C57" s="280" t="str">
        <f>C$4</f>
        <v>1Q10</v>
      </c>
      <c r="D57" s="281" t="str">
        <f t="shared" ref="D57:AL57" si="75">D$4</f>
        <v>2Q10</v>
      </c>
      <c r="E57" s="281" t="str">
        <f t="shared" si="75"/>
        <v>3Q10</v>
      </c>
      <c r="F57" s="282" t="str">
        <f t="shared" si="75"/>
        <v>4Q10</v>
      </c>
      <c r="G57" s="281" t="str">
        <f t="shared" si="75"/>
        <v>1Q11</v>
      </c>
      <c r="H57" s="281" t="str">
        <f t="shared" si="75"/>
        <v>2Q11</v>
      </c>
      <c r="I57" s="281" t="str">
        <f t="shared" si="75"/>
        <v>3Q11</v>
      </c>
      <c r="J57" s="282" t="str">
        <f t="shared" si="75"/>
        <v>4Q11</v>
      </c>
      <c r="K57" s="281" t="str">
        <f t="shared" si="75"/>
        <v>1Q12</v>
      </c>
      <c r="L57" s="281" t="str">
        <f t="shared" si="75"/>
        <v>2Q12</v>
      </c>
      <c r="M57" s="281" t="str">
        <f t="shared" si="75"/>
        <v>3Q12</v>
      </c>
      <c r="N57" s="282" t="str">
        <f t="shared" si="75"/>
        <v>4Q12</v>
      </c>
      <c r="O57" s="281" t="str">
        <f t="shared" si="75"/>
        <v>1Q13</v>
      </c>
      <c r="P57" s="281" t="str">
        <f t="shared" si="75"/>
        <v>2Q13</v>
      </c>
      <c r="Q57" s="281" t="str">
        <f t="shared" si="75"/>
        <v>3Q13</v>
      </c>
      <c r="R57" s="282" t="str">
        <f t="shared" si="75"/>
        <v>4Q13</v>
      </c>
      <c r="S57" s="281" t="str">
        <f t="shared" si="75"/>
        <v>1Q14</v>
      </c>
      <c r="T57" s="281" t="str">
        <f t="shared" si="75"/>
        <v>2Q14</v>
      </c>
      <c r="U57" s="281" t="str">
        <f t="shared" si="75"/>
        <v>3Q14</v>
      </c>
      <c r="V57" s="282" t="str">
        <f t="shared" si="75"/>
        <v>4Q14</v>
      </c>
      <c r="W57" s="281" t="str">
        <f t="shared" si="75"/>
        <v>1Q15</v>
      </c>
      <c r="X57" s="281" t="str">
        <f t="shared" si="75"/>
        <v>2Q15</v>
      </c>
      <c r="Y57" s="281" t="str">
        <f t="shared" si="75"/>
        <v>3Q15</v>
      </c>
      <c r="Z57" s="282" t="str">
        <f t="shared" si="75"/>
        <v>4Q15</v>
      </c>
      <c r="AA57" s="281" t="str">
        <f t="shared" si="75"/>
        <v>1Q16</v>
      </c>
      <c r="AB57" s="281" t="str">
        <f t="shared" si="75"/>
        <v>2Q16</v>
      </c>
      <c r="AC57" s="281" t="str">
        <f t="shared" si="75"/>
        <v>3Q16</v>
      </c>
      <c r="AD57" s="282" t="str">
        <f t="shared" si="75"/>
        <v>4Q16</v>
      </c>
      <c r="AE57" s="281" t="str">
        <f t="shared" si="75"/>
        <v>1Q17</v>
      </c>
      <c r="AF57" s="281" t="str">
        <f t="shared" si="75"/>
        <v>2Q17</v>
      </c>
      <c r="AG57" s="281" t="str">
        <f t="shared" si="75"/>
        <v>3Q17</v>
      </c>
      <c r="AH57" s="282" t="str">
        <f t="shared" si="75"/>
        <v>4Q17</v>
      </c>
      <c r="AI57" s="281" t="str">
        <f t="shared" si="75"/>
        <v>1Q18e</v>
      </c>
      <c r="AJ57" s="281" t="str">
        <f t="shared" si="75"/>
        <v>2Q18e</v>
      </c>
      <c r="AK57" s="281" t="str">
        <f t="shared" si="75"/>
        <v>3Q18e</v>
      </c>
      <c r="AL57" s="282" t="str">
        <f t="shared" si="75"/>
        <v>4Q18e</v>
      </c>
      <c r="AM57" s="279"/>
      <c r="AN57" s="281">
        <f t="shared" ref="AN57:BA57" si="76">AN$4</f>
        <v>2010</v>
      </c>
      <c r="AO57" s="281">
        <f t="shared" si="76"/>
        <v>2011</v>
      </c>
      <c r="AP57" s="281">
        <f t="shared" si="76"/>
        <v>2012</v>
      </c>
      <c r="AQ57" s="281">
        <f t="shared" si="76"/>
        <v>2013</v>
      </c>
      <c r="AR57" s="281">
        <f t="shared" si="76"/>
        <v>2014</v>
      </c>
      <c r="AS57" s="281">
        <f t="shared" si="76"/>
        <v>2015</v>
      </c>
      <c r="AT57" s="281">
        <f t="shared" si="76"/>
        <v>2016</v>
      </c>
      <c r="AU57" s="281">
        <f t="shared" si="76"/>
        <v>2017</v>
      </c>
      <c r="AV57" s="281" t="str">
        <f t="shared" si="76"/>
        <v>2018e</v>
      </c>
      <c r="AW57" s="281" t="str">
        <f t="shared" si="76"/>
        <v>2019e</v>
      </c>
      <c r="AX57" s="281" t="str">
        <f t="shared" si="76"/>
        <v>2020e</v>
      </c>
      <c r="AY57" s="281" t="str">
        <f t="shared" si="76"/>
        <v>2021e</v>
      </c>
      <c r="AZ57" s="281" t="str">
        <f t="shared" si="76"/>
        <v>2022e</v>
      </c>
      <c r="BA57" s="281" t="str">
        <f t="shared" si="76"/>
        <v>2023e</v>
      </c>
      <c r="BB57" s="279"/>
      <c r="BC57"/>
      <c r="BD57"/>
      <c r="BE57"/>
      <c r="BF57"/>
      <c r="BG57"/>
      <c r="BH57"/>
      <c r="BI57" s="279"/>
    </row>
    <row r="58" spans="1:61" s="160" customFormat="1">
      <c r="A58" s="150"/>
      <c r="B58" s="194"/>
      <c r="C58" s="189"/>
      <c r="D58" s="138"/>
      <c r="E58" s="138"/>
      <c r="F58" s="194"/>
      <c r="G58" s="138"/>
      <c r="H58" s="138"/>
      <c r="I58" s="138"/>
      <c r="J58" s="194"/>
      <c r="K58" s="138"/>
      <c r="L58" s="138"/>
      <c r="M58" s="138"/>
      <c r="N58" s="194"/>
      <c r="O58" s="138"/>
      <c r="P58" s="138"/>
      <c r="Q58" s="138"/>
      <c r="R58" s="194"/>
      <c r="S58" s="138"/>
      <c r="T58" s="138"/>
      <c r="U58" s="138"/>
      <c r="V58" s="194"/>
      <c r="W58" s="138"/>
      <c r="X58" s="138"/>
      <c r="Y58" s="138"/>
      <c r="Z58" s="194"/>
      <c r="AA58" s="138"/>
      <c r="AB58" s="138"/>
      <c r="AC58" s="138"/>
      <c r="AD58" s="237"/>
      <c r="AE58" s="139"/>
      <c r="AF58" s="139"/>
      <c r="AG58" s="139"/>
      <c r="AH58" s="237"/>
      <c r="AI58" s="139"/>
      <c r="AJ58" s="139"/>
      <c r="AK58" s="139"/>
      <c r="AL58" s="237"/>
      <c r="AM58" s="168"/>
      <c r="AN58" s="269"/>
      <c r="AO58" s="269"/>
      <c r="AP58" s="269"/>
      <c r="AQ58" s="269"/>
      <c r="AR58" s="139"/>
      <c r="AS58" s="139"/>
      <c r="AT58" s="139"/>
      <c r="AU58" s="139"/>
      <c r="AV58" s="139"/>
      <c r="AW58" s="139"/>
      <c r="AX58" s="139"/>
      <c r="AY58" s="139"/>
      <c r="AZ58" s="139"/>
      <c r="BA58" s="139"/>
      <c r="BB58" s="150"/>
      <c r="BC58"/>
      <c r="BD58"/>
      <c r="BE58"/>
      <c r="BF58"/>
      <c r="BG58"/>
      <c r="BH58"/>
      <c r="BI58" s="150"/>
    </row>
    <row r="59" spans="1:61" s="168" customFormat="1">
      <c r="A59" s="150"/>
      <c r="B59" s="226" t="s">
        <v>121</v>
      </c>
      <c r="C59" s="284"/>
      <c r="D59" s="285"/>
      <c r="E59" s="285"/>
      <c r="F59" s="175"/>
      <c r="G59" s="167"/>
      <c r="H59" s="167"/>
      <c r="I59" s="167"/>
      <c r="J59" s="175"/>
      <c r="K59" s="167"/>
      <c r="L59" s="167"/>
      <c r="M59" s="167"/>
      <c r="N59" s="175"/>
      <c r="O59" s="167"/>
      <c r="P59" s="167"/>
      <c r="Q59" s="167"/>
      <c r="R59" s="175"/>
      <c r="S59" s="167"/>
      <c r="T59" s="167"/>
      <c r="U59" s="167"/>
      <c r="V59" s="175"/>
      <c r="W59" s="167"/>
      <c r="X59" s="167"/>
      <c r="Y59" s="167"/>
      <c r="Z59" s="175"/>
      <c r="AA59" s="167"/>
      <c r="AB59" s="167"/>
      <c r="AC59" s="167"/>
      <c r="AD59" s="175">
        <v>101</v>
      </c>
      <c r="AE59" s="167">
        <v>61</v>
      </c>
      <c r="AF59" s="167">
        <v>78</v>
      </c>
      <c r="AG59" s="167">
        <v>95</v>
      </c>
      <c r="AH59" s="175">
        <v>338</v>
      </c>
      <c r="AI59" s="198">
        <f>AI147</f>
        <v>312.67324297578705</v>
      </c>
      <c r="AJ59" s="198">
        <f>AJ147</f>
        <v>331.13996734146446</v>
      </c>
      <c r="AK59" s="198">
        <f>AK147</f>
        <v>324.9049020017116</v>
      </c>
      <c r="AL59" s="197">
        <f>AL147</f>
        <v>346.53455067535123</v>
      </c>
      <c r="AM59" s="150"/>
      <c r="AN59" s="198"/>
      <c r="AO59" s="198"/>
      <c r="AP59" s="198"/>
      <c r="AQ59" s="198"/>
      <c r="AR59" s="198"/>
      <c r="AS59" s="167">
        <v>108</v>
      </c>
      <c r="AT59" s="198">
        <f>AD59</f>
        <v>101</v>
      </c>
      <c r="AU59" s="198">
        <f>AH59</f>
        <v>338</v>
      </c>
      <c r="AV59" s="166">
        <f>AL59</f>
        <v>346.53455067535123</v>
      </c>
      <c r="AW59" s="198">
        <f>AW147</f>
        <v>451.35110053667387</v>
      </c>
      <c r="AX59" s="198">
        <f>AX147</f>
        <v>627.28799388430184</v>
      </c>
      <c r="AY59" s="198">
        <f>AY147</f>
        <v>842.65611492974017</v>
      </c>
      <c r="AZ59" s="198">
        <f>AZ147</f>
        <v>1065.2091105578481</v>
      </c>
      <c r="BA59" s="198">
        <f>BA147</f>
        <v>1292.0448795738162</v>
      </c>
      <c r="BB59" s="150"/>
      <c r="BC59"/>
      <c r="BD59"/>
      <c r="BE59"/>
      <c r="BF59"/>
      <c r="BG59"/>
      <c r="BH59"/>
      <c r="BI59" s="150"/>
    </row>
    <row r="60" spans="1:61" s="168" customFormat="1">
      <c r="A60" s="150"/>
      <c r="B60" s="226" t="s">
        <v>122</v>
      </c>
      <c r="C60" s="284"/>
      <c r="D60" s="285"/>
      <c r="E60" s="285"/>
      <c r="F60" s="175"/>
      <c r="G60" s="167"/>
      <c r="H60" s="167"/>
      <c r="I60" s="167"/>
      <c r="J60" s="175"/>
      <c r="K60" s="167"/>
      <c r="L60" s="167"/>
      <c r="M60" s="167"/>
      <c r="N60" s="175"/>
      <c r="O60" s="167"/>
      <c r="P60" s="167"/>
      <c r="Q60" s="167"/>
      <c r="R60" s="175"/>
      <c r="S60" s="167"/>
      <c r="T60" s="167"/>
      <c r="U60" s="167"/>
      <c r="V60" s="175"/>
      <c r="W60" s="167"/>
      <c r="X60" s="167"/>
      <c r="Y60" s="167"/>
      <c r="Z60" s="175"/>
      <c r="AA60" s="167"/>
      <c r="AB60" s="167"/>
      <c r="AC60" s="167"/>
      <c r="AD60" s="175"/>
      <c r="AE60" s="167"/>
      <c r="AF60" s="167"/>
      <c r="AG60" s="167">
        <v>796</v>
      </c>
      <c r="AH60" s="175">
        <v>1</v>
      </c>
      <c r="AI60" s="167">
        <f>AH60</f>
        <v>1</v>
      </c>
      <c r="AJ60" s="167">
        <f>AI60</f>
        <v>1</v>
      </c>
      <c r="AK60" s="167">
        <f>AJ60</f>
        <v>1</v>
      </c>
      <c r="AL60" s="175">
        <f>AK60</f>
        <v>1</v>
      </c>
      <c r="AM60" s="150"/>
      <c r="AN60" s="198"/>
      <c r="AO60" s="198"/>
      <c r="AP60" s="198"/>
      <c r="AQ60" s="198"/>
      <c r="AR60" s="198"/>
      <c r="AS60" s="167"/>
      <c r="AT60" s="198">
        <f>AD60</f>
        <v>0</v>
      </c>
      <c r="AU60" s="198">
        <f>AH60</f>
        <v>1</v>
      </c>
      <c r="AV60" s="166">
        <f t="shared" ref="AV60:AV63" si="77">AL60</f>
        <v>1</v>
      </c>
      <c r="AW60" s="167">
        <f>AV60</f>
        <v>1</v>
      </c>
      <c r="AX60" s="167">
        <f>AW60</f>
        <v>1</v>
      </c>
      <c r="AY60" s="167">
        <f>AX60</f>
        <v>1</v>
      </c>
      <c r="AZ60" s="167">
        <f>AY60</f>
        <v>1</v>
      </c>
      <c r="BA60" s="167">
        <f>AZ60</f>
        <v>1</v>
      </c>
      <c r="BB60" s="150"/>
      <c r="BC60"/>
      <c r="BD60"/>
      <c r="BE60"/>
      <c r="BF60"/>
      <c r="BG60"/>
      <c r="BH60"/>
      <c r="BI60" s="150"/>
    </row>
    <row r="61" spans="1:61" s="168" customFormat="1">
      <c r="A61" s="150"/>
      <c r="B61" s="226" t="s">
        <v>123</v>
      </c>
      <c r="C61" s="284"/>
      <c r="D61" s="285"/>
      <c r="E61" s="285"/>
      <c r="F61" s="175"/>
      <c r="G61" s="167"/>
      <c r="H61" s="167"/>
      <c r="I61" s="167"/>
      <c r="J61" s="175"/>
      <c r="K61" s="167"/>
      <c r="L61" s="167"/>
      <c r="M61" s="167"/>
      <c r="N61" s="175"/>
      <c r="O61" s="167"/>
      <c r="P61" s="167"/>
      <c r="Q61" s="167"/>
      <c r="R61" s="175"/>
      <c r="S61" s="167"/>
      <c r="T61" s="167"/>
      <c r="U61" s="167"/>
      <c r="V61" s="175"/>
      <c r="W61" s="167"/>
      <c r="X61" s="167"/>
      <c r="Y61" s="167"/>
      <c r="Z61" s="175"/>
      <c r="AA61" s="167"/>
      <c r="AB61" s="167"/>
      <c r="AC61" s="167"/>
      <c r="AD61" s="175">
        <f>803+16</f>
        <v>819</v>
      </c>
      <c r="AE61" s="167">
        <f>894+21</f>
        <v>915</v>
      </c>
      <c r="AF61" s="167">
        <f>920+25</f>
        <v>945</v>
      </c>
      <c r="AG61" s="167">
        <f>951+9</f>
        <v>960</v>
      </c>
      <c r="AH61" s="175">
        <v>1090</v>
      </c>
      <c r="AI61" s="198">
        <f>AI91*AI97/365</f>
        <v>1120.3419674159618</v>
      </c>
      <c r="AJ61" s="198">
        <f>AJ91*AJ97/365</f>
        <v>1148.3843472881003</v>
      </c>
      <c r="AK61" s="198">
        <f>AK91*AK97/365</f>
        <v>1177.1853887399461</v>
      </c>
      <c r="AL61" s="197">
        <f>AL91*AL97/365</f>
        <v>1150.9031037327284</v>
      </c>
      <c r="AM61" s="150"/>
      <c r="AN61" s="198"/>
      <c r="AO61" s="198"/>
      <c r="AP61" s="198"/>
      <c r="AQ61" s="198"/>
      <c r="AR61" s="198"/>
      <c r="AS61" s="167">
        <f>801+26</f>
        <v>827</v>
      </c>
      <c r="AT61" s="198">
        <f>AD61</f>
        <v>819</v>
      </c>
      <c r="AU61" s="198">
        <f>AH61</f>
        <v>1090</v>
      </c>
      <c r="AV61" s="166">
        <f t="shared" si="77"/>
        <v>1150.9031037327284</v>
      </c>
      <c r="AW61" s="198">
        <f>AW91*AW97/365</f>
        <v>1178.5741596922869</v>
      </c>
      <c r="AX61" s="198">
        <f>AX91*AX97/365</f>
        <v>1217.1180543623277</v>
      </c>
      <c r="AY61" s="198">
        <f>AY91*AY97/365</f>
        <v>1266.5864368812424</v>
      </c>
      <c r="AZ61" s="198">
        <f>AZ91*AZ97/365</f>
        <v>1310.874091993315</v>
      </c>
      <c r="BA61" s="198">
        <f>BA91*BA97/365</f>
        <v>1349.4325957326862</v>
      </c>
      <c r="BB61" s="150"/>
      <c r="BC61"/>
      <c r="BD61"/>
      <c r="BE61"/>
      <c r="BF61"/>
      <c r="BG61"/>
      <c r="BH61"/>
      <c r="BI61" s="150"/>
    </row>
    <row r="62" spans="1:61" s="168" customFormat="1">
      <c r="A62" s="150"/>
      <c r="B62" s="226" t="s">
        <v>303</v>
      </c>
      <c r="C62" s="284"/>
      <c r="D62" s="285"/>
      <c r="E62" s="285"/>
      <c r="F62" s="175"/>
      <c r="G62" s="167"/>
      <c r="H62" s="167"/>
      <c r="I62" s="167"/>
      <c r="J62" s="175"/>
      <c r="K62" s="167"/>
      <c r="L62" s="167"/>
      <c r="M62" s="167"/>
      <c r="N62" s="175"/>
      <c r="O62" s="167"/>
      <c r="P62" s="167"/>
      <c r="Q62" s="167"/>
      <c r="R62" s="175"/>
      <c r="S62" s="167"/>
      <c r="T62" s="167"/>
      <c r="U62" s="167"/>
      <c r="V62" s="175"/>
      <c r="W62" s="167"/>
      <c r="X62" s="167"/>
      <c r="Y62" s="167"/>
      <c r="Z62" s="175"/>
      <c r="AA62" s="167"/>
      <c r="AB62" s="167"/>
      <c r="AC62" s="167"/>
      <c r="AD62" s="175">
        <v>374</v>
      </c>
      <c r="AE62" s="167">
        <v>406</v>
      </c>
      <c r="AF62" s="167">
        <v>452</v>
      </c>
      <c r="AG62" s="167">
        <v>518</v>
      </c>
      <c r="AH62" s="175">
        <v>498</v>
      </c>
      <c r="AI62" s="198">
        <f>AI98*AI93/365</f>
        <v>513.07892179507257</v>
      </c>
      <c r="AJ62" s="198">
        <f>AJ98*AJ93/365</f>
        <v>526.3550846306531</v>
      </c>
      <c r="AK62" s="198">
        <f>AK98*AK93/365</f>
        <v>537.57784191784424</v>
      </c>
      <c r="AL62" s="197">
        <f>AL98*AL93/365</f>
        <v>525.57567625218542</v>
      </c>
      <c r="AM62" s="150"/>
      <c r="AN62" s="198"/>
      <c r="AO62" s="198"/>
      <c r="AP62" s="198"/>
      <c r="AQ62" s="198"/>
      <c r="AR62" s="198"/>
      <c r="AS62" s="167">
        <v>366</v>
      </c>
      <c r="AT62" s="198">
        <f>AD62</f>
        <v>374</v>
      </c>
      <c r="AU62" s="198">
        <f>AH62</f>
        <v>498</v>
      </c>
      <c r="AV62" s="166">
        <f t="shared" si="77"/>
        <v>525.57567625218542</v>
      </c>
      <c r="AW62" s="198">
        <f>AW98*AW93/365</f>
        <v>538.21204320730874</v>
      </c>
      <c r="AX62" s="198">
        <f>AX98*AX93/365</f>
        <v>555.81364097943879</v>
      </c>
      <c r="AY62" s="198">
        <f>AY98*AY93/365</f>
        <v>578.40405585551002</v>
      </c>
      <c r="AZ62" s="198">
        <f>AZ98*AZ93/365</f>
        <v>598.62862055575135</v>
      </c>
      <c r="BA62" s="198">
        <f>BA98*BA93/365</f>
        <v>616.23688975961886</v>
      </c>
      <c r="BB62" s="150"/>
      <c r="BC62"/>
      <c r="BD62"/>
      <c r="BE62"/>
      <c r="BF62"/>
      <c r="BG62"/>
      <c r="BH62"/>
      <c r="BI62" s="150"/>
    </row>
    <row r="63" spans="1:61" s="168" customFormat="1">
      <c r="A63" s="150"/>
      <c r="B63" s="226" t="s">
        <v>125</v>
      </c>
      <c r="C63" s="286"/>
      <c r="D63" s="285"/>
      <c r="E63" s="285"/>
      <c r="F63" s="175"/>
      <c r="G63" s="167"/>
      <c r="H63" s="167"/>
      <c r="I63" s="167"/>
      <c r="J63" s="175"/>
      <c r="K63" s="167"/>
      <c r="L63" s="167"/>
      <c r="M63" s="167"/>
      <c r="N63" s="175"/>
      <c r="O63" s="167"/>
      <c r="P63" s="167"/>
      <c r="Q63" s="167"/>
      <c r="R63" s="175"/>
      <c r="S63" s="167"/>
      <c r="T63" s="167"/>
      <c r="U63" s="167"/>
      <c r="V63" s="175"/>
      <c r="W63" s="167"/>
      <c r="X63" s="167"/>
      <c r="Y63" s="167"/>
      <c r="Z63" s="175"/>
      <c r="AA63" s="167"/>
      <c r="AB63" s="167"/>
      <c r="AC63" s="167"/>
      <c r="AD63" s="175">
        <v>108</v>
      </c>
      <c r="AE63" s="167">
        <v>99</v>
      </c>
      <c r="AF63" s="167">
        <v>100</v>
      </c>
      <c r="AG63" s="167">
        <v>93</v>
      </c>
      <c r="AH63" s="175">
        <v>131</v>
      </c>
      <c r="AI63" s="167">
        <f>AH63</f>
        <v>131</v>
      </c>
      <c r="AJ63" s="167">
        <f>AI63</f>
        <v>131</v>
      </c>
      <c r="AK63" s="167">
        <f>AJ63</f>
        <v>131</v>
      </c>
      <c r="AL63" s="175">
        <f>AK63</f>
        <v>131</v>
      </c>
      <c r="AM63" s="150"/>
      <c r="AN63" s="198"/>
      <c r="AO63" s="198"/>
      <c r="AP63" s="198"/>
      <c r="AQ63" s="198"/>
      <c r="AR63" s="198"/>
      <c r="AS63" s="167">
        <v>114</v>
      </c>
      <c r="AT63" s="198">
        <f>AD63</f>
        <v>108</v>
      </c>
      <c r="AU63" s="198">
        <f>AH63</f>
        <v>131</v>
      </c>
      <c r="AV63" s="166">
        <f t="shared" si="77"/>
        <v>131</v>
      </c>
      <c r="AW63" s="167">
        <f>AV63</f>
        <v>131</v>
      </c>
      <c r="AX63" s="167">
        <f>AW63</f>
        <v>131</v>
      </c>
      <c r="AY63" s="167">
        <f>AX63</f>
        <v>131</v>
      </c>
      <c r="AZ63" s="167">
        <f>AY63</f>
        <v>131</v>
      </c>
      <c r="BA63" s="167">
        <f>AZ63</f>
        <v>131</v>
      </c>
      <c r="BB63" s="150"/>
      <c r="BC63"/>
      <c r="BD63"/>
      <c r="BE63"/>
      <c r="BF63"/>
      <c r="BG63"/>
      <c r="BH63"/>
      <c r="BI63" s="150"/>
    </row>
    <row r="64" spans="1:61" s="162" customFormat="1">
      <c r="A64" s="161"/>
      <c r="B64" s="664" t="s">
        <v>126</v>
      </c>
      <c r="C64" s="177"/>
      <c r="D64" s="178"/>
      <c r="E64" s="178"/>
      <c r="F64" s="179"/>
      <c r="G64" s="178"/>
      <c r="H64" s="178"/>
      <c r="I64" s="178"/>
      <c r="J64" s="179"/>
      <c r="K64" s="178"/>
      <c r="L64" s="178"/>
      <c r="M64" s="178"/>
      <c r="N64" s="179"/>
      <c r="O64" s="178"/>
      <c r="P64" s="178"/>
      <c r="Q64" s="178"/>
      <c r="R64" s="179"/>
      <c r="S64" s="178"/>
      <c r="T64" s="178"/>
      <c r="U64" s="178"/>
      <c r="V64" s="179"/>
      <c r="W64" s="178"/>
      <c r="X64" s="178"/>
      <c r="Y64" s="178"/>
      <c r="Z64" s="179"/>
      <c r="AA64" s="178"/>
      <c r="AB64" s="178"/>
      <c r="AC64" s="178"/>
      <c r="AD64" s="179">
        <f t="shared" ref="AD64:AE64" si="78">SUM(AD59:AD63)</f>
        <v>1402</v>
      </c>
      <c r="AE64" s="178">
        <f t="shared" si="78"/>
        <v>1481</v>
      </c>
      <c r="AF64" s="178">
        <f>SUM(AF59:AF63)</f>
        <v>1575</v>
      </c>
      <c r="AG64" s="178">
        <f>SUM(AG59:AG63)</f>
        <v>2462</v>
      </c>
      <c r="AH64" s="179">
        <f>SUM(AH59:AH63)</f>
        <v>2058</v>
      </c>
      <c r="AI64" s="178">
        <f t="shared" ref="AI64:AL64" si="79">SUM(AI59:AI63)</f>
        <v>2078.0941321868213</v>
      </c>
      <c r="AJ64" s="178">
        <f t="shared" si="79"/>
        <v>2137.8793992602177</v>
      </c>
      <c r="AK64" s="178">
        <f t="shared" si="79"/>
        <v>2171.6681326595021</v>
      </c>
      <c r="AL64" s="179">
        <f t="shared" si="79"/>
        <v>2155.0133306602652</v>
      </c>
      <c r="AM64" s="161"/>
      <c r="AN64" s="178"/>
      <c r="AO64" s="178"/>
      <c r="AP64" s="178"/>
      <c r="AQ64" s="178"/>
      <c r="AR64" s="178"/>
      <c r="AS64" s="178">
        <f t="shared" ref="AS64:AX64" si="80">SUM(AS59:AS63)</f>
        <v>1415</v>
      </c>
      <c r="AT64" s="178">
        <f t="shared" si="80"/>
        <v>1402</v>
      </c>
      <c r="AU64" s="178">
        <f t="shared" si="80"/>
        <v>2058</v>
      </c>
      <c r="AV64" s="178">
        <f t="shared" si="80"/>
        <v>2155.0133306602652</v>
      </c>
      <c r="AW64" s="178">
        <f t="shared" si="80"/>
        <v>2300.1373034362696</v>
      </c>
      <c r="AX64" s="178">
        <f t="shared" si="80"/>
        <v>2532.2196892260681</v>
      </c>
      <c r="AY64" s="178">
        <f t="shared" ref="AY64:BA64" si="81">SUM(AY59:AY63)</f>
        <v>2819.6466076664929</v>
      </c>
      <c r="AZ64" s="178">
        <f t="shared" si="81"/>
        <v>3106.7118231069144</v>
      </c>
      <c r="BA64" s="178">
        <f t="shared" si="81"/>
        <v>3389.714365066121</v>
      </c>
      <c r="BB64" s="161"/>
      <c r="BC64"/>
      <c r="BD64"/>
      <c r="BE64"/>
      <c r="BF64"/>
      <c r="BG64"/>
      <c r="BH64"/>
      <c r="BI64" s="161"/>
    </row>
    <row r="65" spans="1:61" s="162" customFormat="1">
      <c r="A65" s="161"/>
      <c r="B65" s="226"/>
      <c r="C65" s="287"/>
      <c r="D65" s="288"/>
      <c r="E65" s="288"/>
      <c r="F65" s="289"/>
      <c r="G65" s="288"/>
      <c r="H65" s="288"/>
      <c r="I65" s="288"/>
      <c r="J65" s="289"/>
      <c r="K65" s="288"/>
      <c r="L65" s="288"/>
      <c r="M65" s="288"/>
      <c r="N65" s="289"/>
      <c r="O65" s="288"/>
      <c r="P65" s="288"/>
      <c r="Q65" s="288"/>
      <c r="R65" s="289"/>
      <c r="S65" s="288"/>
      <c r="T65" s="288"/>
      <c r="U65" s="288"/>
      <c r="V65" s="289"/>
      <c r="W65" s="288"/>
      <c r="X65" s="288"/>
      <c r="Y65" s="288"/>
      <c r="Z65" s="289"/>
      <c r="AA65" s="288"/>
      <c r="AB65" s="288"/>
      <c r="AC65" s="288"/>
      <c r="AD65" s="290"/>
      <c r="AE65" s="291"/>
      <c r="AF65" s="291"/>
      <c r="AG65" s="291"/>
      <c r="AH65" s="290"/>
      <c r="AI65" s="291"/>
      <c r="AJ65" s="291"/>
      <c r="AK65" s="291"/>
      <c r="AL65" s="290"/>
      <c r="AM65" s="161"/>
      <c r="AN65" s="291"/>
      <c r="AO65" s="291"/>
      <c r="AP65" s="291"/>
      <c r="AQ65" s="291"/>
      <c r="AR65" s="291"/>
      <c r="AS65" s="291"/>
      <c r="AT65" s="291"/>
      <c r="AU65" s="291"/>
      <c r="AV65" s="291"/>
      <c r="AW65" s="291"/>
      <c r="AX65" s="291"/>
      <c r="AY65" s="291"/>
      <c r="AZ65" s="291"/>
      <c r="BA65" s="291"/>
      <c r="BB65" s="161"/>
      <c r="BC65"/>
      <c r="BD65"/>
      <c r="BE65"/>
      <c r="BF65"/>
      <c r="BG65"/>
      <c r="BH65"/>
      <c r="BI65" s="161"/>
    </row>
    <row r="66" spans="1:61" s="168" customFormat="1">
      <c r="A66" s="150"/>
      <c r="B66" s="226" t="s">
        <v>127</v>
      </c>
      <c r="C66" s="284"/>
      <c r="D66" s="285"/>
      <c r="E66" s="285"/>
      <c r="F66" s="175"/>
      <c r="G66" s="167"/>
      <c r="H66" s="167"/>
      <c r="I66" s="167"/>
      <c r="J66" s="175"/>
      <c r="K66" s="167"/>
      <c r="L66" s="167"/>
      <c r="M66" s="167"/>
      <c r="N66" s="175"/>
      <c r="O66" s="167"/>
      <c r="P66" s="167"/>
      <c r="Q66" s="167"/>
      <c r="R66" s="175"/>
      <c r="S66" s="167"/>
      <c r="T66" s="167"/>
      <c r="U66" s="167"/>
      <c r="V66" s="175"/>
      <c r="W66" s="167"/>
      <c r="X66" s="167"/>
      <c r="Y66" s="167"/>
      <c r="Z66" s="175"/>
      <c r="AA66" s="167"/>
      <c r="AB66" s="167"/>
      <c r="AC66" s="167"/>
      <c r="AD66" s="175">
        <v>1142</v>
      </c>
      <c r="AE66" s="167">
        <v>1142</v>
      </c>
      <c r="AF66" s="167">
        <v>1151</v>
      </c>
      <c r="AG66" s="167">
        <v>1179</v>
      </c>
      <c r="AH66" s="175">
        <v>1316</v>
      </c>
      <c r="AI66" s="198">
        <f>AH66-AI114-AI130-AI131-AI133</f>
        <v>1330.2034065934065</v>
      </c>
      <c r="AJ66" s="198">
        <f>AI66-AJ114-AJ130-AJ131-AJ133</f>
        <v>1344.0144348508634</v>
      </c>
      <c r="AK66" s="198">
        <f>AJ66-AK114-AK130-AK131-AK133</f>
        <v>1356.8691248037676</v>
      </c>
      <c r="AL66" s="197">
        <f>AK66-AL114-AL130-AL131-AL133</f>
        <v>1376.9291248037675</v>
      </c>
      <c r="AM66" s="150"/>
      <c r="AN66" s="198"/>
      <c r="AO66" s="198"/>
      <c r="AP66" s="198"/>
      <c r="AQ66" s="198"/>
      <c r="AR66" s="198"/>
      <c r="AS66" s="167">
        <v>1202</v>
      </c>
      <c r="AT66" s="198">
        <f>AD66</f>
        <v>1142</v>
      </c>
      <c r="AU66" s="198">
        <f>AH66</f>
        <v>1316</v>
      </c>
      <c r="AV66" s="166">
        <f t="shared" ref="AV66:AV69" si="82">AL66</f>
        <v>1376.9291248037675</v>
      </c>
      <c r="AW66" s="198">
        <f t="shared" ref="AW66:AX66" si="83">AV66-AW114-AW130-AW131-AW133</f>
        <v>1440.1273759036271</v>
      </c>
      <c r="AX66" s="198">
        <f t="shared" si="83"/>
        <v>1468.60237805357</v>
      </c>
      <c r="AY66" s="198">
        <f t="shared" ref="AY66:BA66" si="84">AX66-AY114-AY130-AY131-AY133</f>
        <v>1498.2347143614704</v>
      </c>
      <c r="AZ66" s="198">
        <f t="shared" si="84"/>
        <v>1528.9031794738137</v>
      </c>
      <c r="BA66" s="198">
        <f t="shared" si="84"/>
        <v>1560.4737374217218</v>
      </c>
      <c r="BB66" s="150"/>
      <c r="BC66"/>
      <c r="BD66"/>
      <c r="BE66"/>
      <c r="BF66"/>
      <c r="BG66"/>
      <c r="BH66"/>
      <c r="BI66" s="150"/>
    </row>
    <row r="67" spans="1:61" s="168" customFormat="1">
      <c r="A67" s="150"/>
      <c r="B67" s="226" t="s">
        <v>128</v>
      </c>
      <c r="C67" s="284"/>
      <c r="D67" s="285"/>
      <c r="E67" s="285"/>
      <c r="F67" s="175"/>
      <c r="G67" s="167"/>
      <c r="H67" s="167"/>
      <c r="I67" s="167"/>
      <c r="J67" s="175"/>
      <c r="K67" s="167"/>
      <c r="L67" s="167"/>
      <c r="M67" s="167"/>
      <c r="N67" s="175"/>
      <c r="O67" s="167"/>
      <c r="P67" s="167"/>
      <c r="Q67" s="167"/>
      <c r="R67" s="175"/>
      <c r="S67" s="167"/>
      <c r="T67" s="167"/>
      <c r="U67" s="167"/>
      <c r="V67" s="175"/>
      <c r="W67" s="167"/>
      <c r="X67" s="167"/>
      <c r="Y67" s="167"/>
      <c r="Z67" s="175"/>
      <c r="AA67" s="167"/>
      <c r="AB67" s="167"/>
      <c r="AC67" s="167"/>
      <c r="AD67" s="175">
        <v>34</v>
      </c>
      <c r="AE67" s="167">
        <v>34</v>
      </c>
      <c r="AF67" s="167">
        <v>34</v>
      </c>
      <c r="AG67" s="167">
        <v>35</v>
      </c>
      <c r="AH67" s="175">
        <v>37</v>
      </c>
      <c r="AI67" s="198">
        <f>+AH67-AI117</f>
        <v>47.153750000000002</v>
      </c>
      <c r="AJ67" s="198">
        <f>+AI67-AJ117</f>
        <v>37.307500000000005</v>
      </c>
      <c r="AK67" s="198">
        <f>+AJ67-AK117</f>
        <v>47.461250000000007</v>
      </c>
      <c r="AL67" s="197">
        <f>+AK67-AL117</f>
        <v>37.615000000000009</v>
      </c>
      <c r="AM67" s="150"/>
      <c r="AN67" s="198"/>
      <c r="AO67" s="198"/>
      <c r="AP67" s="198"/>
      <c r="AQ67" s="198"/>
      <c r="AR67" s="198"/>
      <c r="AS67" s="167">
        <v>34</v>
      </c>
      <c r="AT67" s="198">
        <f>AD67</f>
        <v>34</v>
      </c>
      <c r="AU67" s="198">
        <f>AH67</f>
        <v>37</v>
      </c>
      <c r="AV67" s="166">
        <f t="shared" si="82"/>
        <v>37.615000000000009</v>
      </c>
      <c r="AW67" s="198">
        <f>+AV67-AW117</f>
        <v>37.615000000000009</v>
      </c>
      <c r="AX67" s="198">
        <f>+AW67-AX117</f>
        <v>37.615000000000009</v>
      </c>
      <c r="AY67" s="198">
        <f>+AX67-AY117</f>
        <v>37.615000000000009</v>
      </c>
      <c r="AZ67" s="198">
        <f>+AY67-AZ117</f>
        <v>37.615000000000009</v>
      </c>
      <c r="BA67" s="198">
        <f>+AZ67-BA117</f>
        <v>37.615000000000009</v>
      </c>
      <c r="BB67" s="150"/>
      <c r="BC67"/>
      <c r="BD67"/>
      <c r="BE67"/>
      <c r="BF67"/>
      <c r="BG67"/>
      <c r="BH67"/>
      <c r="BI67" s="150"/>
    </row>
    <row r="68" spans="1:61" s="168" customFormat="1">
      <c r="A68" s="150"/>
      <c r="B68" s="226" t="s">
        <v>129</v>
      </c>
      <c r="C68" s="284"/>
      <c r="D68" s="285"/>
      <c r="E68" s="285"/>
      <c r="F68" s="175"/>
      <c r="G68" s="167"/>
      <c r="H68" s="167"/>
      <c r="I68" s="167"/>
      <c r="J68" s="175"/>
      <c r="K68" s="167"/>
      <c r="L68" s="167"/>
      <c r="M68" s="167"/>
      <c r="N68" s="175"/>
      <c r="O68" s="167"/>
      <c r="P68" s="167"/>
      <c r="Q68" s="167"/>
      <c r="R68" s="175"/>
      <c r="S68" s="167"/>
      <c r="T68" s="167"/>
      <c r="U68" s="167"/>
      <c r="V68" s="175"/>
      <c r="W68" s="167"/>
      <c r="X68" s="167"/>
      <c r="Y68" s="167"/>
      <c r="Z68" s="175"/>
      <c r="AA68" s="167"/>
      <c r="AB68" s="167"/>
      <c r="AC68" s="167"/>
      <c r="AD68" s="175">
        <f>92+6</f>
        <v>98</v>
      </c>
      <c r="AE68" s="167">
        <f>87+6</f>
        <v>93</v>
      </c>
      <c r="AF68" s="167">
        <f>83+7</f>
        <v>90</v>
      </c>
      <c r="AG68" s="167">
        <f>78+7</f>
        <v>85</v>
      </c>
      <c r="AH68" s="175">
        <v>82</v>
      </c>
      <c r="AI68" s="167">
        <f>AH68</f>
        <v>82</v>
      </c>
      <c r="AJ68" s="167">
        <f>AI68</f>
        <v>82</v>
      </c>
      <c r="AK68" s="167">
        <f>AJ68</f>
        <v>82</v>
      </c>
      <c r="AL68" s="175">
        <f>AK68</f>
        <v>82</v>
      </c>
      <c r="AM68" s="150"/>
      <c r="AN68" s="198"/>
      <c r="AO68" s="198"/>
      <c r="AP68" s="198"/>
      <c r="AQ68" s="198"/>
      <c r="AR68" s="198"/>
      <c r="AS68" s="167">
        <f>112+8</f>
        <v>120</v>
      </c>
      <c r="AT68" s="198">
        <f>AD68</f>
        <v>98</v>
      </c>
      <c r="AU68" s="198">
        <f>AH68</f>
        <v>82</v>
      </c>
      <c r="AV68" s="166">
        <f t="shared" si="82"/>
        <v>82</v>
      </c>
      <c r="AW68" s="167">
        <f>AV68</f>
        <v>82</v>
      </c>
      <c r="AX68" s="167">
        <f>AW68</f>
        <v>82</v>
      </c>
      <c r="AY68" s="167">
        <f>AX68</f>
        <v>82</v>
      </c>
      <c r="AZ68" s="167">
        <f>AY68</f>
        <v>82</v>
      </c>
      <c r="BA68" s="167">
        <f>AZ68</f>
        <v>82</v>
      </c>
      <c r="BB68" s="150"/>
      <c r="BC68"/>
      <c r="BD68"/>
      <c r="BE68"/>
      <c r="BF68"/>
      <c r="BG68"/>
      <c r="BH68"/>
      <c r="BI68" s="150"/>
    </row>
    <row r="69" spans="1:61" s="168" customFormat="1">
      <c r="A69" s="150"/>
      <c r="B69" s="226" t="s">
        <v>98</v>
      </c>
      <c r="C69" s="284"/>
      <c r="D69" s="285"/>
      <c r="E69" s="285"/>
      <c r="F69" s="175"/>
      <c r="G69" s="167"/>
      <c r="H69" s="167"/>
      <c r="I69" s="167"/>
      <c r="J69" s="175"/>
      <c r="K69" s="167"/>
      <c r="L69" s="167"/>
      <c r="M69" s="167"/>
      <c r="N69" s="175"/>
      <c r="O69" s="167"/>
      <c r="P69" s="167"/>
      <c r="Q69" s="167"/>
      <c r="R69" s="175"/>
      <c r="S69" s="167"/>
      <c r="T69" s="167"/>
      <c r="U69" s="167"/>
      <c r="V69" s="175"/>
      <c r="W69" s="167"/>
      <c r="X69" s="167"/>
      <c r="Y69" s="167"/>
      <c r="Z69" s="175"/>
      <c r="AA69" s="167"/>
      <c r="AB69" s="167"/>
      <c r="AC69" s="167"/>
      <c r="AD69" s="175">
        <f>146+77</f>
        <v>223</v>
      </c>
      <c r="AE69" s="167">
        <v>233</v>
      </c>
      <c r="AF69" s="167">
        <v>242</v>
      </c>
      <c r="AG69" s="167">
        <v>268</v>
      </c>
      <c r="AH69" s="175">
        <f>178+122</f>
        <v>300</v>
      </c>
      <c r="AI69" s="198">
        <f>AH69-AI115-AI118-AI132</f>
        <v>338.75</v>
      </c>
      <c r="AJ69" s="198">
        <f t="shared" ref="AJ69:AL69" si="85">AI69-AJ115-AJ118-AJ132</f>
        <v>377.5</v>
      </c>
      <c r="AK69" s="198">
        <f t="shared" si="85"/>
        <v>416.25</v>
      </c>
      <c r="AL69" s="197">
        <f t="shared" si="85"/>
        <v>455</v>
      </c>
      <c r="AM69" s="150"/>
      <c r="AN69" s="198"/>
      <c r="AO69" s="198"/>
      <c r="AP69" s="198"/>
      <c r="AQ69" s="198"/>
      <c r="AR69" s="198"/>
      <c r="AS69" s="167">
        <v>230</v>
      </c>
      <c r="AT69" s="198">
        <f>AD69</f>
        <v>223</v>
      </c>
      <c r="AU69" s="198">
        <f>AH69</f>
        <v>300</v>
      </c>
      <c r="AV69" s="166">
        <f t="shared" si="82"/>
        <v>455</v>
      </c>
      <c r="AW69" s="198">
        <f t="shared" ref="AW69:BA69" si="86">AV69-AW115-AW118-AW132</f>
        <v>532.5</v>
      </c>
      <c r="AX69" s="198">
        <f t="shared" si="86"/>
        <v>571.25</v>
      </c>
      <c r="AY69" s="198">
        <f t="shared" si="86"/>
        <v>571.25</v>
      </c>
      <c r="AZ69" s="198">
        <f t="shared" si="86"/>
        <v>571.25</v>
      </c>
      <c r="BA69" s="198">
        <f t="shared" si="86"/>
        <v>571.25</v>
      </c>
      <c r="BB69" s="150"/>
      <c r="BC69"/>
      <c r="BD69"/>
      <c r="BE69"/>
      <c r="BF69"/>
      <c r="BG69"/>
      <c r="BH69"/>
      <c r="BI69" s="150"/>
    </row>
    <row r="70" spans="1:61" s="162" customFormat="1">
      <c r="A70" s="161"/>
      <c r="B70" s="671" t="s">
        <v>130</v>
      </c>
      <c r="C70" s="292"/>
      <c r="D70" s="293"/>
      <c r="E70" s="293"/>
      <c r="F70" s="294"/>
      <c r="G70" s="293"/>
      <c r="H70" s="293"/>
      <c r="I70" s="293"/>
      <c r="J70" s="294"/>
      <c r="K70" s="293"/>
      <c r="L70" s="293"/>
      <c r="M70" s="293"/>
      <c r="N70" s="294"/>
      <c r="O70" s="293"/>
      <c r="P70" s="293"/>
      <c r="Q70" s="293"/>
      <c r="R70" s="294"/>
      <c r="S70" s="293"/>
      <c r="T70" s="293"/>
      <c r="U70" s="293"/>
      <c r="V70" s="294"/>
      <c r="W70" s="293"/>
      <c r="X70" s="293"/>
      <c r="Y70" s="293"/>
      <c r="Z70" s="294"/>
      <c r="AA70" s="293"/>
      <c r="AB70" s="293"/>
      <c r="AC70" s="293"/>
      <c r="AD70" s="294">
        <f t="shared" ref="AD70:AE70" si="87">SUM(AD66:AD69)+AD64</f>
        <v>2899</v>
      </c>
      <c r="AE70" s="293">
        <f t="shared" si="87"/>
        <v>2983</v>
      </c>
      <c r="AF70" s="293">
        <f>SUM(AF66:AF69)+AF64</f>
        <v>3092</v>
      </c>
      <c r="AG70" s="293">
        <f>SUM(AG66:AG69)+AG64</f>
        <v>4029</v>
      </c>
      <c r="AH70" s="294">
        <f>SUM(AH66:AH69)+AH64</f>
        <v>3793</v>
      </c>
      <c r="AI70" s="293">
        <f t="shared" ref="AI70:AL70" si="88">SUM(AI66:AI69)+AI64</f>
        <v>3876.2012887802275</v>
      </c>
      <c r="AJ70" s="293">
        <f t="shared" si="88"/>
        <v>3978.701334111081</v>
      </c>
      <c r="AK70" s="293">
        <f t="shared" si="88"/>
        <v>4074.2485074632696</v>
      </c>
      <c r="AL70" s="294">
        <f t="shared" si="88"/>
        <v>4106.5574554640325</v>
      </c>
      <c r="AM70" s="161"/>
      <c r="AN70" s="293"/>
      <c r="AO70" s="293"/>
      <c r="AP70" s="293"/>
      <c r="AQ70" s="293"/>
      <c r="AR70" s="293"/>
      <c r="AS70" s="293">
        <f t="shared" ref="AS70:AX70" si="89">SUM(AS66:AS69)+AS64</f>
        <v>3001</v>
      </c>
      <c r="AT70" s="293">
        <f t="shared" si="89"/>
        <v>2899</v>
      </c>
      <c r="AU70" s="293">
        <f t="shared" si="89"/>
        <v>3793</v>
      </c>
      <c r="AV70" s="293">
        <f t="shared" si="89"/>
        <v>4106.5574554640325</v>
      </c>
      <c r="AW70" s="293">
        <f t="shared" si="89"/>
        <v>4392.3796793398969</v>
      </c>
      <c r="AX70" s="293">
        <f t="shared" si="89"/>
        <v>4691.6870672796376</v>
      </c>
      <c r="AY70" s="293">
        <f t="shared" ref="AY70:BA70" si="90">SUM(AY66:AY69)+AY64</f>
        <v>5008.7463220279633</v>
      </c>
      <c r="AZ70" s="293">
        <f t="shared" si="90"/>
        <v>5326.4800025807281</v>
      </c>
      <c r="BA70" s="293">
        <f t="shared" si="90"/>
        <v>5641.0531024878428</v>
      </c>
      <c r="BB70" s="161"/>
      <c r="BC70"/>
      <c r="BD70"/>
      <c r="BE70"/>
      <c r="BF70"/>
      <c r="BG70"/>
      <c r="BH70"/>
      <c r="BI70" s="161"/>
    </row>
    <row r="71" spans="1:61" s="162" customFormat="1">
      <c r="A71" s="161"/>
      <c r="B71" s="226"/>
      <c r="C71" s="225"/>
      <c r="F71" s="226"/>
      <c r="J71" s="226"/>
      <c r="N71" s="226"/>
      <c r="R71" s="226"/>
      <c r="T71" s="295"/>
      <c r="V71" s="226"/>
      <c r="Z71" s="226"/>
      <c r="AD71" s="290"/>
      <c r="AE71" s="291"/>
      <c r="AF71" s="291"/>
      <c r="AG71" s="291"/>
      <c r="AH71" s="290"/>
      <c r="AI71" s="291"/>
      <c r="AJ71" s="291"/>
      <c r="AK71" s="291"/>
      <c r="AL71" s="290"/>
      <c r="AM71" s="161"/>
      <c r="AV71" s="291"/>
      <c r="AW71" s="291"/>
      <c r="AX71" s="291"/>
      <c r="AY71" s="291"/>
      <c r="AZ71" s="291"/>
      <c r="BA71" s="291"/>
      <c r="BB71" s="161"/>
      <c r="BC71"/>
      <c r="BD71"/>
      <c r="BE71"/>
      <c r="BF71"/>
      <c r="BG71"/>
      <c r="BH71"/>
      <c r="BI71" s="161"/>
    </row>
    <row r="72" spans="1:61" s="168" customFormat="1">
      <c r="A72" s="150"/>
      <c r="B72" s="226" t="s">
        <v>131</v>
      </c>
      <c r="C72" s="284"/>
      <c r="D72" s="285"/>
      <c r="E72" s="285"/>
      <c r="F72" s="175"/>
      <c r="G72" s="167"/>
      <c r="H72" s="167"/>
      <c r="I72" s="167"/>
      <c r="J72" s="175"/>
      <c r="K72" s="167"/>
      <c r="L72" s="167"/>
      <c r="M72" s="167"/>
      <c r="N72" s="175"/>
      <c r="O72" s="167"/>
      <c r="P72" s="167"/>
      <c r="Q72" s="167"/>
      <c r="R72" s="175"/>
      <c r="S72" s="167"/>
      <c r="T72" s="167"/>
      <c r="U72" s="167"/>
      <c r="V72" s="175"/>
      <c r="W72" s="167"/>
      <c r="X72" s="167"/>
      <c r="Y72" s="167"/>
      <c r="Z72" s="175"/>
      <c r="AA72" s="167"/>
      <c r="AB72" s="167"/>
      <c r="AC72" s="167"/>
      <c r="AD72" s="175">
        <v>2</v>
      </c>
      <c r="AE72" s="167">
        <v>1</v>
      </c>
      <c r="AF72" s="167">
        <v>1</v>
      </c>
      <c r="AG72" s="167">
        <v>1</v>
      </c>
      <c r="AH72" s="175">
        <v>20</v>
      </c>
      <c r="AI72" s="167">
        <f>AH72</f>
        <v>20</v>
      </c>
      <c r="AJ72" s="167">
        <f>AI72</f>
        <v>20</v>
      </c>
      <c r="AK72" s="167">
        <f>AJ72</f>
        <v>20</v>
      </c>
      <c r="AL72" s="175">
        <f>AK72</f>
        <v>20</v>
      </c>
      <c r="AM72" s="150"/>
      <c r="AN72" s="198"/>
      <c r="AO72" s="198"/>
      <c r="AP72" s="198"/>
      <c r="AQ72" s="198"/>
      <c r="AR72" s="198"/>
      <c r="AS72" s="167">
        <v>23</v>
      </c>
      <c r="AT72" s="198">
        <f>AD72</f>
        <v>2</v>
      </c>
      <c r="AU72" s="198">
        <f>AH72</f>
        <v>20</v>
      </c>
      <c r="AV72" s="166">
        <f t="shared" ref="AV72:AV74" si="91">AL72</f>
        <v>20</v>
      </c>
      <c r="AW72" s="167">
        <f>AV72</f>
        <v>20</v>
      </c>
      <c r="AX72" s="167">
        <f>AW72</f>
        <v>20</v>
      </c>
      <c r="AY72" s="167">
        <f>AX72</f>
        <v>20</v>
      </c>
      <c r="AZ72" s="167">
        <f>AY72</f>
        <v>20</v>
      </c>
      <c r="BA72" s="167">
        <f>AZ72</f>
        <v>20</v>
      </c>
      <c r="BB72" s="150"/>
      <c r="BC72"/>
      <c r="BD72"/>
      <c r="BE72"/>
      <c r="BF72"/>
      <c r="BG72"/>
      <c r="BH72"/>
      <c r="BI72" s="150"/>
    </row>
    <row r="73" spans="1:61" s="168" customFormat="1">
      <c r="A73" s="296"/>
      <c r="B73" s="226" t="s">
        <v>132</v>
      </c>
      <c r="C73" s="284"/>
      <c r="D73" s="285"/>
      <c r="E73" s="285"/>
      <c r="F73" s="175"/>
      <c r="G73" s="167"/>
      <c r="H73" s="167"/>
      <c r="I73" s="167"/>
      <c r="J73" s="175"/>
      <c r="K73" s="167"/>
      <c r="L73" s="167"/>
      <c r="M73" s="167"/>
      <c r="N73" s="175"/>
      <c r="O73" s="167"/>
      <c r="P73" s="167"/>
      <c r="Q73" s="167"/>
      <c r="R73" s="175"/>
      <c r="S73" s="167"/>
      <c r="T73" s="167"/>
      <c r="U73" s="167"/>
      <c r="V73" s="175"/>
      <c r="W73" s="167"/>
      <c r="X73" s="167"/>
      <c r="Y73" s="167"/>
      <c r="Z73" s="175"/>
      <c r="AA73" s="167"/>
      <c r="AB73" s="167"/>
      <c r="AC73" s="167"/>
      <c r="AD73" s="175">
        <f>671+78</f>
        <v>749</v>
      </c>
      <c r="AE73" s="167">
        <f>646+70</f>
        <v>716</v>
      </c>
      <c r="AF73" s="167">
        <f>680+74</f>
        <v>754</v>
      </c>
      <c r="AG73" s="167">
        <f>724+68</f>
        <v>792</v>
      </c>
      <c r="AH73" s="175">
        <v>931</v>
      </c>
      <c r="AI73" s="198">
        <f>AI92*AI98/365</f>
        <v>959.18971122733444</v>
      </c>
      <c r="AJ73" s="198">
        <f>AJ92*AJ98/365</f>
        <v>984.00920439987544</v>
      </c>
      <c r="AK73" s="198">
        <f>AK92*AK98/365</f>
        <v>1004.9899012560502</v>
      </c>
      <c r="AL73" s="197">
        <f>AL92*AL98/365</f>
        <v>982.55211765217791</v>
      </c>
      <c r="AM73" s="296"/>
      <c r="AN73" s="198"/>
      <c r="AO73" s="198"/>
      <c r="AP73" s="198"/>
      <c r="AQ73" s="198"/>
      <c r="AR73" s="198"/>
      <c r="AS73" s="167">
        <f>661+79</f>
        <v>740</v>
      </c>
      <c r="AT73" s="198">
        <f>AD73</f>
        <v>749</v>
      </c>
      <c r="AU73" s="198">
        <f>AH73</f>
        <v>931</v>
      </c>
      <c r="AV73" s="166">
        <f t="shared" si="91"/>
        <v>982.55211765217791</v>
      </c>
      <c r="AW73" s="198">
        <f>AW92*AW98/365</f>
        <v>1006.1755265582418</v>
      </c>
      <c r="AX73" s="198">
        <f>AX92*AX98/365</f>
        <v>1039.0813248029267</v>
      </c>
      <c r="AY73" s="198">
        <f>AY92*AY98/365</f>
        <v>1081.3136064286743</v>
      </c>
      <c r="AZ73" s="198">
        <f>AZ92*AZ98/365</f>
        <v>1119.1229834084427</v>
      </c>
      <c r="BA73" s="198">
        <f>BA92*BA98/365</f>
        <v>1152.0412537474001</v>
      </c>
      <c r="BB73" s="296"/>
      <c r="BC73"/>
      <c r="BD73"/>
      <c r="BE73"/>
      <c r="BF73"/>
      <c r="BG73"/>
      <c r="BH73"/>
      <c r="BI73" s="296"/>
    </row>
    <row r="74" spans="1:61" s="168" customFormat="1">
      <c r="A74" s="150"/>
      <c r="B74" s="226" t="s">
        <v>133</v>
      </c>
      <c r="C74" s="284"/>
      <c r="D74" s="285"/>
      <c r="E74" s="285"/>
      <c r="F74" s="175"/>
      <c r="G74" s="167"/>
      <c r="H74" s="167"/>
      <c r="I74" s="167"/>
      <c r="J74" s="175"/>
      <c r="K74" s="167"/>
      <c r="L74" s="167"/>
      <c r="M74" s="167"/>
      <c r="N74" s="175"/>
      <c r="O74" s="167"/>
      <c r="P74" s="167"/>
      <c r="Q74" s="167"/>
      <c r="R74" s="175"/>
      <c r="S74" s="167"/>
      <c r="T74" s="167"/>
      <c r="U74" s="167"/>
      <c r="V74" s="175"/>
      <c r="W74" s="167"/>
      <c r="X74" s="167"/>
      <c r="Y74" s="167"/>
      <c r="Z74" s="175"/>
      <c r="AA74" s="167"/>
      <c r="AB74" s="167"/>
      <c r="AC74" s="167"/>
      <c r="AD74" s="175">
        <v>331</v>
      </c>
      <c r="AE74" s="167">
        <v>317</v>
      </c>
      <c r="AF74" s="167">
        <v>357</v>
      </c>
      <c r="AG74" s="167">
        <v>411</v>
      </c>
      <c r="AH74" s="175">
        <v>445</v>
      </c>
      <c r="AI74" s="167">
        <f>AH74</f>
        <v>445</v>
      </c>
      <c r="AJ74" s="167">
        <f>AI74</f>
        <v>445</v>
      </c>
      <c r="AK74" s="167">
        <f>AJ74</f>
        <v>445</v>
      </c>
      <c r="AL74" s="175">
        <f>AK74</f>
        <v>445</v>
      </c>
      <c r="AM74" s="150"/>
      <c r="AN74" s="198"/>
      <c r="AO74" s="198"/>
      <c r="AP74" s="198"/>
      <c r="AQ74" s="198"/>
      <c r="AR74" s="198"/>
      <c r="AS74" s="167">
        <v>353</v>
      </c>
      <c r="AT74" s="198">
        <f>AD74</f>
        <v>331</v>
      </c>
      <c r="AU74" s="198">
        <f>AH74</f>
        <v>445</v>
      </c>
      <c r="AV74" s="166">
        <f t="shared" si="91"/>
        <v>445</v>
      </c>
      <c r="AW74" s="167">
        <f>AV74</f>
        <v>445</v>
      </c>
      <c r="AX74" s="167">
        <f>AW74</f>
        <v>445</v>
      </c>
      <c r="AY74" s="167">
        <f>AX74</f>
        <v>445</v>
      </c>
      <c r="AZ74" s="167">
        <f>AY74</f>
        <v>445</v>
      </c>
      <c r="BA74" s="167">
        <f>AZ74</f>
        <v>445</v>
      </c>
      <c r="BB74" s="150"/>
      <c r="BC74"/>
      <c r="BD74"/>
      <c r="BE74"/>
      <c r="BF74"/>
      <c r="BG74"/>
      <c r="BH74"/>
      <c r="BI74" s="150"/>
    </row>
    <row r="75" spans="1:61" s="162" customFormat="1">
      <c r="A75" s="161"/>
      <c r="B75" s="664" t="s">
        <v>134</v>
      </c>
      <c r="C75" s="177"/>
      <c r="D75" s="178"/>
      <c r="E75" s="178"/>
      <c r="F75" s="179"/>
      <c r="G75" s="178"/>
      <c r="H75" s="178"/>
      <c r="I75" s="178"/>
      <c r="J75" s="179"/>
      <c r="K75" s="178"/>
      <c r="L75" s="178"/>
      <c r="M75" s="178"/>
      <c r="N75" s="179"/>
      <c r="O75" s="178"/>
      <c r="P75" s="178"/>
      <c r="Q75" s="178"/>
      <c r="R75" s="179"/>
      <c r="S75" s="178"/>
      <c r="T75" s="178"/>
      <c r="U75" s="178"/>
      <c r="V75" s="179"/>
      <c r="W75" s="178"/>
      <c r="X75" s="178"/>
      <c r="Y75" s="178"/>
      <c r="Z75" s="179"/>
      <c r="AA75" s="178"/>
      <c r="AB75" s="178"/>
      <c r="AC75" s="178"/>
      <c r="AD75" s="179">
        <f t="shared" ref="AD75:AE75" si="92">SUM(AD72:AD74)</f>
        <v>1082</v>
      </c>
      <c r="AE75" s="178">
        <f t="shared" si="92"/>
        <v>1034</v>
      </c>
      <c r="AF75" s="178">
        <f>SUM(AF72:AF74)</f>
        <v>1112</v>
      </c>
      <c r="AG75" s="178">
        <f>SUM(AG72:AG74)</f>
        <v>1204</v>
      </c>
      <c r="AH75" s="179">
        <f>SUM(AH72:AH74)</f>
        <v>1396</v>
      </c>
      <c r="AI75" s="178">
        <f t="shared" ref="AI75:AL75" si="93">SUM(AI72:AI74)</f>
        <v>1424.1897112273346</v>
      </c>
      <c r="AJ75" s="178">
        <f t="shared" si="93"/>
        <v>1449.0092043998754</v>
      </c>
      <c r="AK75" s="178">
        <f t="shared" si="93"/>
        <v>1469.9899012560502</v>
      </c>
      <c r="AL75" s="179">
        <f t="shared" si="93"/>
        <v>1447.5521176521779</v>
      </c>
      <c r="AM75" s="161"/>
      <c r="AN75" s="178"/>
      <c r="AO75" s="178"/>
      <c r="AP75" s="178"/>
      <c r="AQ75" s="178"/>
      <c r="AR75" s="178"/>
      <c r="AS75" s="178">
        <f t="shared" ref="AS75:AX75" si="94">SUM(AS72:AS74)</f>
        <v>1116</v>
      </c>
      <c r="AT75" s="178">
        <f t="shared" si="94"/>
        <v>1082</v>
      </c>
      <c r="AU75" s="178">
        <f t="shared" si="94"/>
        <v>1396</v>
      </c>
      <c r="AV75" s="178">
        <f t="shared" si="94"/>
        <v>1447.5521176521779</v>
      </c>
      <c r="AW75" s="178">
        <f t="shared" si="94"/>
        <v>1471.1755265582419</v>
      </c>
      <c r="AX75" s="178">
        <f t="shared" si="94"/>
        <v>1504.0813248029267</v>
      </c>
      <c r="AY75" s="178">
        <f t="shared" ref="AY75:BA75" si="95">SUM(AY72:AY74)</f>
        <v>1546.3136064286743</v>
      </c>
      <c r="AZ75" s="178">
        <f t="shared" si="95"/>
        <v>1584.1229834084427</v>
      </c>
      <c r="BA75" s="178">
        <f t="shared" si="95"/>
        <v>1617.0412537474001</v>
      </c>
      <c r="BB75" s="161"/>
      <c r="BC75"/>
      <c r="BD75"/>
      <c r="BE75"/>
      <c r="BF75"/>
      <c r="BG75"/>
      <c r="BH75"/>
      <c r="BI75" s="161"/>
    </row>
    <row r="76" spans="1:61" s="162" customFormat="1">
      <c r="A76" s="161"/>
      <c r="B76" s="226"/>
      <c r="C76" s="225"/>
      <c r="F76" s="226"/>
      <c r="J76" s="226"/>
      <c r="N76" s="226"/>
      <c r="R76" s="226"/>
      <c r="V76" s="226"/>
      <c r="Z76" s="226"/>
      <c r="AD76" s="290"/>
      <c r="AE76" s="291"/>
      <c r="AF76" s="291"/>
      <c r="AG76" s="291"/>
      <c r="AH76" s="290"/>
      <c r="AI76" s="291"/>
      <c r="AJ76" s="291"/>
      <c r="AK76" s="291"/>
      <c r="AL76" s="290"/>
      <c r="AM76" s="161"/>
      <c r="AN76" s="291"/>
      <c r="AO76" s="291"/>
      <c r="AP76" s="291"/>
      <c r="AQ76" s="291"/>
      <c r="AR76" s="291"/>
      <c r="AS76" s="291"/>
      <c r="AT76" s="291"/>
      <c r="AU76" s="291"/>
      <c r="AV76" s="291"/>
      <c r="AW76" s="291"/>
      <c r="AX76" s="291"/>
      <c r="AY76" s="291"/>
      <c r="AZ76" s="291"/>
      <c r="BA76" s="291"/>
      <c r="BB76" s="161"/>
      <c r="BC76"/>
      <c r="BD76"/>
      <c r="BE76"/>
      <c r="BF76"/>
      <c r="BG76"/>
      <c r="BH76"/>
      <c r="BI76" s="161"/>
    </row>
    <row r="77" spans="1:61" s="168" customFormat="1">
      <c r="A77" s="150"/>
      <c r="B77" s="226" t="s">
        <v>135</v>
      </c>
      <c r="C77" s="284"/>
      <c r="D77" s="285"/>
      <c r="E77" s="285"/>
      <c r="F77" s="175"/>
      <c r="G77" s="167"/>
      <c r="H77" s="167"/>
      <c r="I77" s="167"/>
      <c r="J77" s="175"/>
      <c r="K77" s="167"/>
      <c r="L77" s="167"/>
      <c r="M77" s="167"/>
      <c r="N77" s="175"/>
      <c r="O77" s="167"/>
      <c r="P77" s="167"/>
      <c r="Q77" s="167"/>
      <c r="R77" s="175"/>
      <c r="S77" s="167"/>
      <c r="T77" s="167"/>
      <c r="U77" s="167"/>
      <c r="V77" s="175"/>
      <c r="W77" s="167"/>
      <c r="X77" s="167"/>
      <c r="Y77" s="167"/>
      <c r="Z77" s="175"/>
      <c r="AA77" s="167"/>
      <c r="AB77" s="167"/>
      <c r="AC77" s="167"/>
      <c r="AD77" s="175">
        <v>6</v>
      </c>
      <c r="AE77" s="167">
        <v>6</v>
      </c>
      <c r="AF77" s="167">
        <v>6</v>
      </c>
      <c r="AG77" s="167">
        <v>788</v>
      </c>
      <c r="AH77" s="175">
        <v>1515</v>
      </c>
      <c r="AI77" s="198">
        <f>AH77+AI136</f>
        <v>1515</v>
      </c>
      <c r="AJ77" s="198">
        <f>AI77+AJ136</f>
        <v>1515</v>
      </c>
      <c r="AK77" s="198">
        <f>AJ77+AK136</f>
        <v>1515</v>
      </c>
      <c r="AL77" s="197">
        <f>AK77+AL136</f>
        <v>1515</v>
      </c>
      <c r="AM77" s="150"/>
      <c r="AN77" s="198"/>
      <c r="AO77" s="198"/>
      <c r="AP77" s="198"/>
      <c r="AQ77" s="198"/>
      <c r="AR77" s="198"/>
      <c r="AS77" s="167">
        <v>9</v>
      </c>
      <c r="AT77" s="198">
        <f>AD77</f>
        <v>6</v>
      </c>
      <c r="AU77" s="198">
        <f>AH77</f>
        <v>1515</v>
      </c>
      <c r="AV77" s="166">
        <f t="shared" ref="AV77:AV79" si="96">AL77</f>
        <v>1515</v>
      </c>
      <c r="AW77" s="198">
        <f>AV77+AW136</f>
        <v>1515</v>
      </c>
      <c r="AX77" s="198">
        <f>AW77+AX136</f>
        <v>1515</v>
      </c>
      <c r="AY77" s="198">
        <f>AX77+AY136</f>
        <v>1515</v>
      </c>
      <c r="AZ77" s="198">
        <f>AY77+AZ136</f>
        <v>1515</v>
      </c>
      <c r="BA77" s="198">
        <f>AZ77+BA136</f>
        <v>1515</v>
      </c>
      <c r="BB77" s="150"/>
      <c r="BC77"/>
      <c r="BD77"/>
      <c r="BE77"/>
      <c r="BF77"/>
      <c r="BG77"/>
      <c r="BH77"/>
      <c r="BI77" s="150"/>
    </row>
    <row r="78" spans="1:61" s="168" customFormat="1">
      <c r="A78" s="150"/>
      <c r="B78" s="226" t="s">
        <v>136</v>
      </c>
      <c r="C78" s="284"/>
      <c r="D78" s="285"/>
      <c r="E78" s="285"/>
      <c r="F78" s="175"/>
      <c r="G78" s="167"/>
      <c r="H78" s="167"/>
      <c r="I78" s="167"/>
      <c r="J78" s="175"/>
      <c r="K78" s="167"/>
      <c r="L78" s="167"/>
      <c r="M78" s="167"/>
      <c r="N78" s="175"/>
      <c r="O78" s="167"/>
      <c r="P78" s="167"/>
      <c r="Q78" s="167"/>
      <c r="R78" s="175"/>
      <c r="S78" s="167"/>
      <c r="T78" s="167"/>
      <c r="U78" s="167"/>
      <c r="V78" s="175"/>
      <c r="W78" s="167"/>
      <c r="X78" s="167"/>
      <c r="Y78" s="167"/>
      <c r="Z78" s="175"/>
      <c r="AA78" s="167"/>
      <c r="AB78" s="167"/>
      <c r="AC78" s="167"/>
      <c r="AD78" s="175">
        <v>526</v>
      </c>
      <c r="AE78" s="167">
        <v>526</v>
      </c>
      <c r="AF78" s="167">
        <v>529</v>
      </c>
      <c r="AG78" s="167">
        <v>542</v>
      </c>
      <c r="AH78" s="175">
        <v>531</v>
      </c>
      <c r="AI78" s="198">
        <f>AH78+AI116+AI119</f>
        <v>526</v>
      </c>
      <c r="AJ78" s="198">
        <f t="shared" ref="AJ78:AL78" si="97">AI78+AJ116+AJ119</f>
        <v>521</v>
      </c>
      <c r="AK78" s="198">
        <f t="shared" si="97"/>
        <v>516</v>
      </c>
      <c r="AL78" s="197">
        <f t="shared" si="97"/>
        <v>511</v>
      </c>
      <c r="AM78" s="150"/>
      <c r="AN78" s="198"/>
      <c r="AO78" s="198"/>
      <c r="AP78" s="198"/>
      <c r="AQ78" s="198"/>
      <c r="AR78" s="198"/>
      <c r="AS78" s="167">
        <v>414</v>
      </c>
      <c r="AT78" s="198">
        <f>AD78</f>
        <v>526</v>
      </c>
      <c r="AU78" s="198">
        <f>AH78</f>
        <v>531</v>
      </c>
      <c r="AV78" s="166">
        <f t="shared" si="96"/>
        <v>511</v>
      </c>
      <c r="AW78" s="198">
        <f t="shared" ref="AW78:BA78" si="98">AV78+AW116+AW119</f>
        <v>491</v>
      </c>
      <c r="AX78" s="198">
        <f t="shared" si="98"/>
        <v>471</v>
      </c>
      <c r="AY78" s="198">
        <f t="shared" si="98"/>
        <v>451</v>
      </c>
      <c r="AZ78" s="198">
        <f t="shared" si="98"/>
        <v>431</v>
      </c>
      <c r="BA78" s="198">
        <f t="shared" si="98"/>
        <v>411</v>
      </c>
      <c r="BB78" s="150"/>
      <c r="BC78"/>
      <c r="BD78"/>
      <c r="BE78"/>
      <c r="BF78"/>
      <c r="BG78"/>
      <c r="BH78"/>
      <c r="BI78" s="150"/>
    </row>
    <row r="79" spans="1:61" s="168" customFormat="1">
      <c r="A79" s="150"/>
      <c r="B79" s="226" t="s">
        <v>98</v>
      </c>
      <c r="C79" s="284"/>
      <c r="D79" s="285"/>
      <c r="E79" s="285"/>
      <c r="F79" s="175"/>
      <c r="G79" s="167"/>
      <c r="H79" s="167"/>
      <c r="I79" s="167"/>
      <c r="J79" s="175"/>
      <c r="K79" s="167"/>
      <c r="L79" s="167"/>
      <c r="M79" s="167"/>
      <c r="N79" s="175"/>
      <c r="O79" s="167"/>
      <c r="P79" s="167"/>
      <c r="Q79" s="167"/>
      <c r="R79" s="175"/>
      <c r="S79" s="167"/>
      <c r="T79" s="167"/>
      <c r="U79" s="167"/>
      <c r="V79" s="175"/>
      <c r="W79" s="167"/>
      <c r="X79" s="167"/>
      <c r="Y79" s="167"/>
      <c r="Z79" s="175"/>
      <c r="AA79" s="167"/>
      <c r="AB79" s="167"/>
      <c r="AC79" s="167"/>
      <c r="AD79" s="175">
        <v>103</v>
      </c>
      <c r="AE79" s="167">
        <v>94</v>
      </c>
      <c r="AF79" s="167">
        <v>124</v>
      </c>
      <c r="AG79" s="167">
        <v>122</v>
      </c>
      <c r="AH79" s="175">
        <v>119</v>
      </c>
      <c r="AI79" s="167">
        <f>AH79</f>
        <v>119</v>
      </c>
      <c r="AJ79" s="167">
        <f>AI79</f>
        <v>119</v>
      </c>
      <c r="AK79" s="167">
        <f>AJ79</f>
        <v>119</v>
      </c>
      <c r="AL79" s="175">
        <f>AK79</f>
        <v>119</v>
      </c>
      <c r="AM79" s="150"/>
      <c r="AN79" s="198"/>
      <c r="AO79" s="198"/>
      <c r="AP79" s="198"/>
      <c r="AQ79" s="198"/>
      <c r="AR79" s="198"/>
      <c r="AS79" s="167">
        <v>120</v>
      </c>
      <c r="AT79" s="198">
        <f>AD79</f>
        <v>103</v>
      </c>
      <c r="AU79" s="198">
        <f>AH79</f>
        <v>119</v>
      </c>
      <c r="AV79" s="166">
        <f t="shared" si="96"/>
        <v>119</v>
      </c>
      <c r="AW79" s="167">
        <f>AV79</f>
        <v>119</v>
      </c>
      <c r="AX79" s="167">
        <f>AW79</f>
        <v>119</v>
      </c>
      <c r="AY79" s="167">
        <f>AX79</f>
        <v>119</v>
      </c>
      <c r="AZ79" s="167">
        <f>AY79</f>
        <v>119</v>
      </c>
      <c r="BA79" s="167">
        <f>AZ79</f>
        <v>119</v>
      </c>
      <c r="BB79" s="150"/>
      <c r="BC79"/>
      <c r="BD79"/>
      <c r="BE79"/>
      <c r="BF79"/>
      <c r="BG79"/>
      <c r="BH79"/>
      <c r="BI79" s="150"/>
    </row>
    <row r="80" spans="1:61" s="162" customFormat="1">
      <c r="A80" s="161"/>
      <c r="B80" s="671" t="s">
        <v>137</v>
      </c>
      <c r="C80" s="292"/>
      <c r="D80" s="293"/>
      <c r="E80" s="293"/>
      <c r="F80" s="294"/>
      <c r="G80" s="293"/>
      <c r="H80" s="293"/>
      <c r="I80" s="293"/>
      <c r="J80" s="294"/>
      <c r="K80" s="293"/>
      <c r="L80" s="293"/>
      <c r="M80" s="293"/>
      <c r="N80" s="294"/>
      <c r="O80" s="293"/>
      <c r="P80" s="293"/>
      <c r="Q80" s="293"/>
      <c r="R80" s="294"/>
      <c r="S80" s="293"/>
      <c r="T80" s="293"/>
      <c r="U80" s="293"/>
      <c r="V80" s="294"/>
      <c r="W80" s="293"/>
      <c r="X80" s="293"/>
      <c r="Y80" s="293"/>
      <c r="Z80" s="294"/>
      <c r="AA80" s="293"/>
      <c r="AB80" s="293"/>
      <c r="AC80" s="293"/>
      <c r="AD80" s="294">
        <f t="shared" ref="AD80:AE80" si="99">AD75+AD77+SUM(AD78:AD79)</f>
        <v>1717</v>
      </c>
      <c r="AE80" s="293">
        <f t="shared" si="99"/>
        <v>1660</v>
      </c>
      <c r="AF80" s="293">
        <f>AF75+AF77+SUM(AF78:AF79)</f>
        <v>1771</v>
      </c>
      <c r="AG80" s="293">
        <f>AG75+AG77+SUM(AG78:AG79)</f>
        <v>2656</v>
      </c>
      <c r="AH80" s="294">
        <f>AH75+AH77+SUM(AH78:AH79)</f>
        <v>3561</v>
      </c>
      <c r="AI80" s="293">
        <f t="shared" ref="AI80:AL80" si="100">AI75+AI77+SUM(AI78:AI79)</f>
        <v>3584.1897112273346</v>
      </c>
      <c r="AJ80" s="293">
        <f t="shared" si="100"/>
        <v>3604.0092043998757</v>
      </c>
      <c r="AK80" s="293">
        <f t="shared" si="100"/>
        <v>3619.98990125605</v>
      </c>
      <c r="AL80" s="294">
        <f t="shared" si="100"/>
        <v>3592.5521176521779</v>
      </c>
      <c r="AM80" s="161"/>
      <c r="AN80" s="293"/>
      <c r="AO80" s="293"/>
      <c r="AP80" s="293"/>
      <c r="AQ80" s="293"/>
      <c r="AR80" s="293"/>
      <c r="AS80" s="293">
        <f>SUM(AS75:AS79)</f>
        <v>1659</v>
      </c>
      <c r="AT80" s="293">
        <f>SUM(AT75:AT79)</f>
        <v>1717</v>
      </c>
      <c r="AU80" s="293">
        <f>SUM(AU75:AU79)</f>
        <v>3561</v>
      </c>
      <c r="AV80" s="293">
        <f t="shared" ref="AV80:BA80" si="101">AV75+AV77+SUM(AV78:AV79)</f>
        <v>3592.5521176521779</v>
      </c>
      <c r="AW80" s="293">
        <f t="shared" si="101"/>
        <v>3596.1755265582419</v>
      </c>
      <c r="AX80" s="293">
        <f t="shared" si="101"/>
        <v>3609.0813248029267</v>
      </c>
      <c r="AY80" s="293">
        <f t="shared" si="101"/>
        <v>3631.3136064286746</v>
      </c>
      <c r="AZ80" s="293">
        <f t="shared" si="101"/>
        <v>3649.1229834084425</v>
      </c>
      <c r="BA80" s="293">
        <f t="shared" si="101"/>
        <v>3662.0412537474003</v>
      </c>
      <c r="BB80" s="161"/>
      <c r="BC80"/>
      <c r="BD80"/>
      <c r="BE80"/>
      <c r="BF80"/>
      <c r="BG80"/>
      <c r="BH80"/>
      <c r="BI80" s="161"/>
    </row>
    <row r="81" spans="1:61" s="162" customFormat="1">
      <c r="A81" s="161"/>
      <c r="B81" s="226"/>
      <c r="C81" s="225"/>
      <c r="F81" s="226"/>
      <c r="J81" s="226"/>
      <c r="N81" s="226"/>
      <c r="R81" s="226"/>
      <c r="V81" s="226"/>
      <c r="Z81" s="226"/>
      <c r="AD81" s="290"/>
      <c r="AE81" s="291"/>
      <c r="AF81" s="291"/>
      <c r="AG81" s="291"/>
      <c r="AH81" s="290"/>
      <c r="AI81" s="291"/>
      <c r="AJ81" s="291"/>
      <c r="AK81" s="291"/>
      <c r="AL81" s="290"/>
      <c r="AM81" s="161"/>
      <c r="AV81" s="291"/>
      <c r="AW81" s="291"/>
      <c r="AX81" s="291"/>
      <c r="AY81" s="291"/>
      <c r="AZ81" s="291"/>
      <c r="BA81" s="291"/>
      <c r="BB81" s="161"/>
      <c r="BC81"/>
      <c r="BD81"/>
      <c r="BE81"/>
      <c r="BF81"/>
      <c r="BG81"/>
      <c r="BH81"/>
      <c r="BI81" s="161"/>
    </row>
    <row r="82" spans="1:61" s="168" customFormat="1">
      <c r="A82" s="150"/>
      <c r="B82" s="226" t="s">
        <v>138</v>
      </c>
      <c r="C82" s="286"/>
      <c r="D82" s="285"/>
      <c r="E82" s="285"/>
      <c r="F82" s="175"/>
      <c r="G82" s="167"/>
      <c r="H82" s="167"/>
      <c r="I82" s="167"/>
      <c r="J82" s="175"/>
      <c r="K82" s="167"/>
      <c r="L82" s="167"/>
      <c r="M82" s="167"/>
      <c r="N82" s="175"/>
      <c r="O82" s="167"/>
      <c r="P82" s="167"/>
      <c r="Q82" s="167"/>
      <c r="R82" s="175"/>
      <c r="S82" s="167"/>
      <c r="T82" s="167"/>
      <c r="U82" s="167"/>
      <c r="V82" s="175"/>
      <c r="W82" s="167"/>
      <c r="X82" s="167"/>
      <c r="Y82" s="167"/>
      <c r="Z82" s="175"/>
      <c r="AA82" s="167"/>
      <c r="AB82" s="167"/>
      <c r="AC82" s="167"/>
      <c r="AD82" s="175">
        <v>156</v>
      </c>
      <c r="AE82" s="167">
        <v>155</v>
      </c>
      <c r="AF82" s="167">
        <v>164</v>
      </c>
      <c r="AG82" s="167">
        <v>174</v>
      </c>
      <c r="AH82" s="175">
        <v>164</v>
      </c>
      <c r="AI82" s="167">
        <f>AH82</f>
        <v>164</v>
      </c>
      <c r="AJ82" s="167">
        <f>AI82</f>
        <v>164</v>
      </c>
      <c r="AK82" s="167">
        <f>AJ82</f>
        <v>164</v>
      </c>
      <c r="AL82" s="175">
        <f>AK82</f>
        <v>164</v>
      </c>
      <c r="AM82" s="150"/>
      <c r="AN82" s="198"/>
      <c r="AO82" s="198"/>
      <c r="AP82" s="198"/>
      <c r="AQ82" s="198"/>
      <c r="AR82" s="198"/>
      <c r="AS82" s="167">
        <v>161</v>
      </c>
      <c r="AT82" s="198">
        <f>AD82</f>
        <v>156</v>
      </c>
      <c r="AU82" s="198">
        <f>AH82</f>
        <v>164</v>
      </c>
      <c r="AV82" s="166">
        <f t="shared" ref="AV82:AV84" si="102">AL82</f>
        <v>164</v>
      </c>
      <c r="AW82" s="167">
        <f>AV82</f>
        <v>164</v>
      </c>
      <c r="AX82" s="167">
        <f>AW82</f>
        <v>164</v>
      </c>
      <c r="AY82" s="167">
        <f>AX82</f>
        <v>164</v>
      </c>
      <c r="AZ82" s="167">
        <f>AY82</f>
        <v>164</v>
      </c>
      <c r="BA82" s="167">
        <f>AZ82</f>
        <v>164</v>
      </c>
      <c r="BB82" s="150"/>
      <c r="BC82"/>
      <c r="BD82"/>
      <c r="BE82"/>
      <c r="BF82"/>
      <c r="BG82"/>
      <c r="BH82"/>
      <c r="BI82" s="150"/>
    </row>
    <row r="83" spans="1:61" s="162" customFormat="1">
      <c r="A83" s="161"/>
      <c r="B83" s="226"/>
      <c r="C83" s="225"/>
      <c r="F83" s="226"/>
      <c r="J83" s="226"/>
      <c r="N83" s="226"/>
      <c r="R83" s="226"/>
      <c r="V83" s="226"/>
      <c r="Z83" s="226"/>
      <c r="AD83" s="290"/>
      <c r="AE83" s="291"/>
      <c r="AF83" s="291"/>
      <c r="AG83" s="291"/>
      <c r="AH83" s="290"/>
      <c r="AI83" s="291"/>
      <c r="AJ83" s="291"/>
      <c r="AK83" s="291"/>
      <c r="AL83" s="290"/>
      <c r="AM83" s="161"/>
      <c r="AV83" s="291"/>
      <c r="AW83" s="291"/>
      <c r="AX83" s="291"/>
      <c r="AY83" s="291"/>
      <c r="AZ83" s="291"/>
      <c r="BA83" s="291"/>
      <c r="BB83" s="161"/>
      <c r="BC83"/>
      <c r="BD83"/>
      <c r="BE83"/>
      <c r="BF83"/>
      <c r="BG83"/>
      <c r="BH83"/>
      <c r="BI83" s="161"/>
    </row>
    <row r="84" spans="1:61" s="217" customFormat="1">
      <c r="A84" s="297"/>
      <c r="B84" s="655" t="s">
        <v>139</v>
      </c>
      <c r="C84" s="298"/>
      <c r="D84" s="299"/>
      <c r="E84" s="299"/>
      <c r="F84" s="300"/>
      <c r="G84" s="301"/>
      <c r="H84" s="301"/>
      <c r="I84" s="301"/>
      <c r="J84" s="300"/>
      <c r="K84" s="301"/>
      <c r="L84" s="301"/>
      <c r="M84" s="301"/>
      <c r="N84" s="300"/>
      <c r="O84" s="301"/>
      <c r="P84" s="301"/>
      <c r="Q84" s="301"/>
      <c r="R84" s="300"/>
      <c r="S84" s="301"/>
      <c r="T84" s="301"/>
      <c r="U84" s="301"/>
      <c r="V84" s="300"/>
      <c r="W84" s="301"/>
      <c r="X84" s="301"/>
      <c r="Y84" s="301"/>
      <c r="Z84" s="300"/>
      <c r="AA84" s="301"/>
      <c r="AB84" s="301"/>
      <c r="AC84" s="301"/>
      <c r="AD84" s="300">
        <v>1026</v>
      </c>
      <c r="AE84" s="301">
        <v>1168</v>
      </c>
      <c r="AF84" s="301">
        <v>1157</v>
      </c>
      <c r="AG84" s="301">
        <v>1199</v>
      </c>
      <c r="AH84" s="300">
        <v>68</v>
      </c>
      <c r="AI84" s="299">
        <f>AH84+AI137+AI138+AI139+AI140+AI113+AI143</f>
        <v>128.01157755289358</v>
      </c>
      <c r="AJ84" s="299">
        <f t="shared" ref="AJ84:AL84" si="103">AI84+AJ137+AJ138+AJ139+AJ140+AJ113+AJ143</f>
        <v>210.69212971120589</v>
      </c>
      <c r="AK84" s="299">
        <f t="shared" si="103"/>
        <v>290.25860620721943</v>
      </c>
      <c r="AL84" s="302">
        <f t="shared" si="103"/>
        <v>350.00533781185476</v>
      </c>
      <c r="AM84" s="297"/>
      <c r="AN84" s="299"/>
      <c r="AO84" s="299"/>
      <c r="AP84" s="299"/>
      <c r="AQ84" s="299"/>
      <c r="AR84" s="299"/>
      <c r="AS84" s="301">
        <v>1181</v>
      </c>
      <c r="AT84" s="299">
        <f>AD84</f>
        <v>1026</v>
      </c>
      <c r="AU84" s="299">
        <f>AH84</f>
        <v>68</v>
      </c>
      <c r="AV84" s="219">
        <f t="shared" si="102"/>
        <v>350.00533781185476</v>
      </c>
      <c r="AW84" s="299">
        <f t="shared" ref="AW84:BA84" si="104">AV84+AW137+AW138+AW139+AW140+AW113+AW143</f>
        <v>632.2041527816549</v>
      </c>
      <c r="AX84" s="299">
        <f t="shared" si="104"/>
        <v>918.60574247671161</v>
      </c>
      <c r="AY84" s="299">
        <f t="shared" si="104"/>
        <v>1213.4327155992887</v>
      </c>
      <c r="AZ84" s="299">
        <f t="shared" si="104"/>
        <v>1513.3570191722852</v>
      </c>
      <c r="BA84" s="299">
        <f t="shared" si="104"/>
        <v>1815.0118487404427</v>
      </c>
      <c r="BB84" s="297"/>
      <c r="BC84"/>
      <c r="BD84"/>
      <c r="BE84"/>
      <c r="BF84"/>
      <c r="BG84"/>
      <c r="BH84"/>
      <c r="BI84" s="297"/>
    </row>
    <row r="85" spans="1:61" s="162" customFormat="1">
      <c r="A85" s="161"/>
      <c r="B85" s="226"/>
      <c r="C85" s="225"/>
      <c r="F85" s="226"/>
      <c r="J85" s="226"/>
      <c r="N85" s="226"/>
      <c r="R85" s="226"/>
      <c r="V85" s="226"/>
      <c r="Z85" s="226"/>
      <c r="AD85" s="226"/>
      <c r="AE85" s="291"/>
      <c r="AF85" s="291"/>
      <c r="AG85" s="291"/>
      <c r="AH85" s="290"/>
      <c r="AI85" s="291"/>
      <c r="AJ85" s="291"/>
      <c r="AK85" s="291"/>
      <c r="AL85" s="290"/>
      <c r="AM85" s="161"/>
      <c r="AV85" s="291"/>
      <c r="AW85" s="291"/>
      <c r="AX85" s="291"/>
      <c r="AY85" s="291"/>
      <c r="AZ85" s="291"/>
      <c r="BA85" s="291"/>
      <c r="BB85" s="161"/>
      <c r="BC85"/>
      <c r="BD85"/>
      <c r="BE85"/>
      <c r="BF85"/>
      <c r="BG85"/>
      <c r="BH85"/>
      <c r="BI85" s="161"/>
    </row>
    <row r="86" spans="1:61" s="168" customFormat="1" ht="15.75" thickBot="1">
      <c r="A86" s="150"/>
      <c r="B86" s="672" t="s">
        <v>140</v>
      </c>
      <c r="C86" s="303"/>
      <c r="D86" s="304"/>
      <c r="E86" s="304"/>
      <c r="F86" s="305"/>
      <c r="G86" s="304"/>
      <c r="H86" s="304"/>
      <c r="I86" s="304"/>
      <c r="J86" s="305"/>
      <c r="K86" s="304"/>
      <c r="L86" s="304"/>
      <c r="M86" s="304"/>
      <c r="N86" s="305"/>
      <c r="O86" s="304"/>
      <c r="P86" s="304"/>
      <c r="Q86" s="304"/>
      <c r="R86" s="305"/>
      <c r="S86" s="304"/>
      <c r="T86" s="304"/>
      <c r="U86" s="304"/>
      <c r="V86" s="305"/>
      <c r="W86" s="304"/>
      <c r="X86" s="304"/>
      <c r="Y86" s="304"/>
      <c r="Z86" s="305"/>
      <c r="AA86" s="304"/>
      <c r="AB86" s="304"/>
      <c r="AC86" s="304"/>
      <c r="AD86" s="305">
        <f t="shared" ref="AD86:AE86" si="105">AD80+AD84+AD82</f>
        <v>2899</v>
      </c>
      <c r="AE86" s="304">
        <f t="shared" si="105"/>
        <v>2983</v>
      </c>
      <c r="AF86" s="304">
        <f>AF80+AF84+AF82</f>
        <v>3092</v>
      </c>
      <c r="AG86" s="304">
        <f>AG80+AG84+AG82</f>
        <v>4029</v>
      </c>
      <c r="AH86" s="305">
        <f>AH80+AH84+AH82</f>
        <v>3793</v>
      </c>
      <c r="AI86" s="304">
        <f>AI80+AI84+AI82</f>
        <v>3876.201288780228</v>
      </c>
      <c r="AJ86" s="304">
        <f t="shared" ref="AJ86:AL86" si="106">AJ80+AJ84+AJ82</f>
        <v>3978.7013341110815</v>
      </c>
      <c r="AK86" s="304">
        <f t="shared" si="106"/>
        <v>4074.2485074632696</v>
      </c>
      <c r="AL86" s="305">
        <f t="shared" si="106"/>
        <v>4106.5574554640325</v>
      </c>
      <c r="AM86" s="150"/>
      <c r="AN86" s="304"/>
      <c r="AO86" s="304"/>
      <c r="AP86" s="304"/>
      <c r="AQ86" s="304"/>
      <c r="AR86" s="304"/>
      <c r="AS86" s="304">
        <f t="shared" ref="AS86:AX86" si="107">AS80+AS84+AS82</f>
        <v>3001</v>
      </c>
      <c r="AT86" s="304">
        <f t="shared" si="107"/>
        <v>2899</v>
      </c>
      <c r="AU86" s="304">
        <f t="shared" si="107"/>
        <v>3793</v>
      </c>
      <c r="AV86" s="304">
        <f t="shared" si="107"/>
        <v>4106.5574554640325</v>
      </c>
      <c r="AW86" s="304">
        <f t="shared" si="107"/>
        <v>4392.3796793398969</v>
      </c>
      <c r="AX86" s="304">
        <f t="shared" si="107"/>
        <v>4691.6870672796385</v>
      </c>
      <c r="AY86" s="304">
        <f t="shared" ref="AY86:BA86" si="108">AY80+AY84+AY82</f>
        <v>5008.7463220279633</v>
      </c>
      <c r="AZ86" s="304">
        <f t="shared" si="108"/>
        <v>5326.4800025807272</v>
      </c>
      <c r="BA86" s="304">
        <f t="shared" si="108"/>
        <v>5641.0531024878428</v>
      </c>
      <c r="BB86" s="150"/>
      <c r="BC86"/>
      <c r="BD86"/>
      <c r="BE86"/>
      <c r="BF86"/>
      <c r="BG86"/>
      <c r="BH86"/>
      <c r="BI86" s="150"/>
    </row>
    <row r="87" spans="1:61" s="168" customFormat="1">
      <c r="A87" s="150"/>
      <c r="B87" s="655"/>
      <c r="C87" s="218"/>
      <c r="D87" s="219"/>
      <c r="E87" s="219"/>
      <c r="F87" s="220"/>
      <c r="G87" s="219"/>
      <c r="H87" s="219"/>
      <c r="I87" s="219"/>
      <c r="J87" s="220"/>
      <c r="K87" s="219"/>
      <c r="L87" s="219"/>
      <c r="M87" s="219"/>
      <c r="N87" s="220"/>
      <c r="O87" s="219"/>
      <c r="P87" s="219"/>
      <c r="Q87" s="219"/>
      <c r="R87" s="220"/>
      <c r="S87" s="219"/>
      <c r="T87" s="219"/>
      <c r="U87" s="219"/>
      <c r="V87" s="220"/>
      <c r="W87" s="219"/>
      <c r="X87" s="219"/>
      <c r="Y87" s="219"/>
      <c r="Z87" s="220"/>
      <c r="AA87" s="219"/>
      <c r="AB87" s="219"/>
      <c r="AC87" s="219"/>
      <c r="AD87" s="220"/>
      <c r="AE87" s="219"/>
      <c r="AF87" s="219"/>
      <c r="AG87" s="219"/>
      <c r="AH87" s="220"/>
      <c r="AI87" s="219"/>
      <c r="AJ87" s="219"/>
      <c r="AK87" s="219"/>
      <c r="AL87" s="220"/>
      <c r="AM87" s="150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150"/>
      <c r="BC87"/>
      <c r="BD87"/>
      <c r="BE87"/>
      <c r="BF87"/>
      <c r="BG87"/>
      <c r="BH87"/>
      <c r="BI87" s="150"/>
    </row>
    <row r="88" spans="1:61" s="312" customFormat="1">
      <c r="A88" s="196"/>
      <c r="B88" s="673" t="s">
        <v>141</v>
      </c>
      <c r="C88" s="306"/>
      <c r="D88" s="307"/>
      <c r="E88" s="307"/>
      <c r="F88" s="308"/>
      <c r="G88" s="309"/>
      <c r="H88" s="309"/>
      <c r="I88" s="309"/>
      <c r="J88" s="310"/>
      <c r="K88" s="309"/>
      <c r="L88" s="309"/>
      <c r="M88" s="309"/>
      <c r="N88" s="310"/>
      <c r="O88" s="309"/>
      <c r="P88" s="309"/>
      <c r="Q88" s="309"/>
      <c r="R88" s="310"/>
      <c r="S88" s="309"/>
      <c r="T88" s="309"/>
      <c r="U88" s="309"/>
      <c r="V88" s="310"/>
      <c r="W88" s="309"/>
      <c r="X88" s="309"/>
      <c r="Y88" s="309"/>
      <c r="Z88" s="310"/>
      <c r="AA88" s="309"/>
      <c r="AB88" s="309"/>
      <c r="AC88" s="309"/>
      <c r="AD88" s="310">
        <f t="shared" ref="AD88:AE88" si="109">ROUND(AD70-AD86,4)</f>
        <v>0</v>
      </c>
      <c r="AE88" s="309">
        <f t="shared" si="109"/>
        <v>0</v>
      </c>
      <c r="AF88" s="309">
        <f>ROUND(AF70-AF86,4)</f>
        <v>0</v>
      </c>
      <c r="AG88" s="309">
        <f>ROUND(AG70-AG86,4)</f>
        <v>0</v>
      </c>
      <c r="AH88" s="310">
        <f>ROUND(AH70-AH86,4)</f>
        <v>0</v>
      </c>
      <c r="AI88" s="307">
        <f t="shared" ref="AI88:AL88" si="110">ROUND(AI70-AI86,4)</f>
        <v>0</v>
      </c>
      <c r="AJ88" s="307">
        <f t="shared" si="110"/>
        <v>0</v>
      </c>
      <c r="AK88" s="307">
        <f t="shared" si="110"/>
        <v>0</v>
      </c>
      <c r="AL88" s="308">
        <f t="shared" si="110"/>
        <v>0</v>
      </c>
      <c r="AM88" s="196"/>
      <c r="AN88" s="311"/>
      <c r="AO88" s="311"/>
      <c r="AP88" s="311"/>
      <c r="AQ88" s="311"/>
      <c r="AR88" s="311"/>
      <c r="AS88" s="307">
        <f t="shared" ref="AS88:AX88" si="111">ROUND(AS70-AS86,4)</f>
        <v>0</v>
      </c>
      <c r="AT88" s="307">
        <f t="shared" si="111"/>
        <v>0</v>
      </c>
      <c r="AU88" s="307">
        <f t="shared" si="111"/>
        <v>0</v>
      </c>
      <c r="AV88" s="307">
        <f t="shared" si="111"/>
        <v>0</v>
      </c>
      <c r="AW88" s="307">
        <f t="shared" si="111"/>
        <v>0</v>
      </c>
      <c r="AX88" s="307">
        <f t="shared" si="111"/>
        <v>0</v>
      </c>
      <c r="AY88" s="307">
        <f t="shared" ref="AY88:BA88" si="112">ROUND(AY70-AY86,4)</f>
        <v>0</v>
      </c>
      <c r="AZ88" s="307">
        <f t="shared" si="112"/>
        <v>0</v>
      </c>
      <c r="BA88" s="307">
        <f t="shared" si="112"/>
        <v>0</v>
      </c>
      <c r="BB88" s="196"/>
      <c r="BC88"/>
      <c r="BD88"/>
      <c r="BE88"/>
      <c r="BF88"/>
      <c r="BG88"/>
      <c r="BH88"/>
      <c r="BI88" s="196"/>
    </row>
    <row r="89" spans="1:61" s="168" customFormat="1">
      <c r="A89" s="150"/>
      <c r="B89" s="226"/>
      <c r="C89" s="313"/>
      <c r="D89" s="291"/>
      <c r="E89" s="291"/>
      <c r="F89" s="290"/>
      <c r="G89" s="291"/>
      <c r="H89" s="291"/>
      <c r="I89" s="291"/>
      <c r="J89" s="290"/>
      <c r="K89" s="291"/>
      <c r="L89" s="291"/>
      <c r="M89" s="291"/>
      <c r="N89" s="290"/>
      <c r="O89" s="291"/>
      <c r="P89" s="291"/>
      <c r="Q89" s="291"/>
      <c r="R89" s="290"/>
      <c r="S89" s="291"/>
      <c r="T89" s="291"/>
      <c r="U89" s="291"/>
      <c r="V89" s="290"/>
      <c r="W89" s="291"/>
      <c r="X89" s="291"/>
      <c r="Y89" s="291"/>
      <c r="Z89" s="290"/>
      <c r="AA89" s="291"/>
      <c r="AB89" s="291"/>
      <c r="AC89" s="291"/>
      <c r="AD89" s="290"/>
      <c r="AE89" s="314"/>
      <c r="AF89" s="314"/>
      <c r="AG89" s="314"/>
      <c r="AH89" s="315"/>
      <c r="AI89" s="314"/>
      <c r="AJ89" s="314"/>
      <c r="AK89" s="314"/>
      <c r="AL89" s="315"/>
      <c r="AM89" s="150"/>
      <c r="AN89" s="291"/>
      <c r="AO89" s="291"/>
      <c r="AP89" s="291"/>
      <c r="AQ89" s="291"/>
      <c r="AR89" s="314"/>
      <c r="AS89" s="314"/>
      <c r="AT89" s="314"/>
      <c r="AU89" s="314"/>
      <c r="AV89" s="314"/>
      <c r="AW89" s="314"/>
      <c r="AX89" s="314"/>
      <c r="AY89" s="314"/>
      <c r="AZ89" s="314"/>
      <c r="BA89" s="314"/>
      <c r="BB89" s="150"/>
      <c r="BC89"/>
      <c r="BD89"/>
      <c r="BE89"/>
      <c r="BF89"/>
      <c r="BG89"/>
      <c r="BH89"/>
      <c r="BI89" s="150"/>
    </row>
    <row r="90" spans="1:61" s="324" customFormat="1">
      <c r="A90" s="316"/>
      <c r="B90" s="674" t="s">
        <v>33</v>
      </c>
      <c r="C90" s="317"/>
      <c r="D90" s="318"/>
      <c r="E90" s="318"/>
      <c r="F90" s="319"/>
      <c r="G90" s="318"/>
      <c r="H90" s="320"/>
      <c r="I90" s="320"/>
      <c r="J90" s="321"/>
      <c r="K90" s="320"/>
      <c r="L90" s="320"/>
      <c r="M90" s="320"/>
      <c r="N90" s="321"/>
      <c r="O90" s="320"/>
      <c r="P90" s="320"/>
      <c r="Q90" s="320"/>
      <c r="R90" s="321"/>
      <c r="S90" s="320"/>
      <c r="T90" s="320"/>
      <c r="U90" s="320"/>
      <c r="V90" s="321"/>
      <c r="W90" s="320"/>
      <c r="X90" s="320"/>
      <c r="Y90" s="320"/>
      <c r="Z90" s="321"/>
      <c r="AA90" s="320"/>
      <c r="AB90" s="320"/>
      <c r="AC90" s="320"/>
      <c r="AD90" s="321"/>
      <c r="AE90" s="158"/>
      <c r="AF90" s="158"/>
      <c r="AG90" s="158"/>
      <c r="AH90" s="737"/>
      <c r="AI90" s="187"/>
      <c r="AJ90" s="187"/>
      <c r="AK90" s="187"/>
      <c r="AL90" s="185"/>
      <c r="AM90" s="316"/>
      <c r="AN90" s="320"/>
      <c r="AO90" s="322"/>
      <c r="AP90" s="322"/>
      <c r="AQ90" s="322"/>
      <c r="AR90" s="323"/>
      <c r="AS90" s="323"/>
      <c r="AT90" s="323"/>
      <c r="AU90" s="323"/>
      <c r="AV90" s="323"/>
      <c r="AW90" s="323"/>
      <c r="AX90" s="323"/>
      <c r="AY90" s="323"/>
      <c r="AZ90" s="323"/>
      <c r="BA90" s="323"/>
      <c r="BB90" s="316"/>
      <c r="BC90"/>
      <c r="BD90"/>
      <c r="BE90"/>
      <c r="BF90"/>
      <c r="BG90"/>
      <c r="BH90"/>
      <c r="BI90" s="316"/>
    </row>
    <row r="91" spans="1:61" s="324" customFormat="1">
      <c r="A91" s="316"/>
      <c r="B91" s="675" t="s">
        <v>142</v>
      </c>
      <c r="C91" s="325"/>
      <c r="D91" s="326"/>
      <c r="E91" s="326"/>
      <c r="F91" s="327"/>
      <c r="G91" s="326"/>
      <c r="H91" s="326"/>
      <c r="I91" s="326"/>
      <c r="J91" s="327"/>
      <c r="K91" s="326"/>
      <c r="L91" s="326"/>
      <c r="M91" s="326"/>
      <c r="N91" s="327"/>
      <c r="O91" s="326"/>
      <c r="P91" s="326"/>
      <c r="Q91" s="326"/>
      <c r="R91" s="327"/>
      <c r="S91" s="326"/>
      <c r="T91" s="326"/>
      <c r="U91" s="326"/>
      <c r="V91" s="327"/>
      <c r="W91" s="326"/>
      <c r="X91" s="326"/>
      <c r="Y91" s="326"/>
      <c r="Z91" s="327"/>
      <c r="AA91" s="326"/>
      <c r="AB91" s="326"/>
      <c r="AC91" s="326"/>
      <c r="AD91" s="327">
        <f t="shared" ref="AD91:AE91" si="113">AD61/AD97*365</f>
        <v>66.637316094516279</v>
      </c>
      <c r="AE91" s="326">
        <f t="shared" si="113"/>
        <v>73.611417236059069</v>
      </c>
      <c r="AF91" s="326">
        <f>AF61/AF97*365</f>
        <v>75.344036697247716</v>
      </c>
      <c r="AG91" s="326">
        <f>AG61/AG97*365</f>
        <v>74.458138546536347</v>
      </c>
      <c r="AH91" s="327">
        <f>AH61/AH97*365</f>
        <v>82.047844916477615</v>
      </c>
      <c r="AI91" s="329">
        <f>AH91</f>
        <v>82.047844916477615</v>
      </c>
      <c r="AJ91" s="329">
        <f t="shared" ref="AI91:AL93" si="114">AI91</f>
        <v>82.047844916477615</v>
      </c>
      <c r="AK91" s="329">
        <f t="shared" si="114"/>
        <v>82.047844916477615</v>
      </c>
      <c r="AL91" s="328">
        <f t="shared" si="114"/>
        <v>82.047844916477615</v>
      </c>
      <c r="AM91" s="316"/>
      <c r="AN91" s="326"/>
      <c r="AO91" s="326"/>
      <c r="AP91" s="326"/>
      <c r="AQ91" s="326"/>
      <c r="AR91" s="326"/>
      <c r="AS91" s="326">
        <f t="shared" ref="AS91:AU91" si="115">AS61/AS97*365</f>
        <v>68.49444066258225</v>
      </c>
      <c r="AT91" s="326">
        <f t="shared" si="115"/>
        <v>66.637316094516279</v>
      </c>
      <c r="AU91" s="326">
        <f t="shared" si="115"/>
        <v>82.047844916477615</v>
      </c>
      <c r="AV91" s="326">
        <f t="shared" ref="AV91" si="116">AV61/AV97*365</f>
        <v>82.047844916477615</v>
      </c>
      <c r="AW91" s="329">
        <f t="shared" ref="AW91:AX91" si="117">AV91</f>
        <v>82.047844916477615</v>
      </c>
      <c r="AX91" s="329">
        <f t="shared" si="117"/>
        <v>82.047844916477615</v>
      </c>
      <c r="AY91" s="329">
        <f t="shared" ref="AY91:BA91" si="118">AX91</f>
        <v>82.047844916477615</v>
      </c>
      <c r="AZ91" s="329">
        <f t="shared" si="118"/>
        <v>82.047844916477615</v>
      </c>
      <c r="BA91" s="329">
        <f t="shared" si="118"/>
        <v>82.047844916477615</v>
      </c>
      <c r="BB91" s="316"/>
      <c r="BC91"/>
      <c r="BD91"/>
      <c r="BE91"/>
      <c r="BF91"/>
      <c r="BG91"/>
      <c r="BH91"/>
      <c r="BI91" s="316"/>
    </row>
    <row r="92" spans="1:61" s="324" customFormat="1">
      <c r="A92" s="316"/>
      <c r="B92" s="675" t="s">
        <v>143</v>
      </c>
      <c r="C92" s="325"/>
      <c r="D92" s="326"/>
      <c r="E92" s="326"/>
      <c r="F92" s="327"/>
      <c r="G92" s="326"/>
      <c r="H92" s="326"/>
      <c r="I92" s="326"/>
      <c r="J92" s="327"/>
      <c r="K92" s="326"/>
      <c r="L92" s="326"/>
      <c r="M92" s="326"/>
      <c r="N92" s="327"/>
      <c r="O92" s="326"/>
      <c r="P92" s="326"/>
      <c r="Q92" s="326"/>
      <c r="R92" s="327"/>
      <c r="S92" s="326"/>
      <c r="T92" s="326"/>
      <c r="U92" s="326"/>
      <c r="V92" s="327"/>
      <c r="W92" s="326"/>
      <c r="X92" s="326"/>
      <c r="Y92" s="326"/>
      <c r="Z92" s="327"/>
      <c r="AA92" s="326"/>
      <c r="AB92" s="326"/>
      <c r="AC92" s="326"/>
      <c r="AD92" s="327">
        <f t="shared" ref="AD92:AE92" si="119">AD73/AD98*365</f>
        <v>74.736194641880815</v>
      </c>
      <c r="AE92" s="326">
        <f t="shared" si="119"/>
        <v>71.287506819421708</v>
      </c>
      <c r="AF92" s="326">
        <f>AF73/AF98*365</f>
        <v>74.825992387166934</v>
      </c>
      <c r="AG92" s="326">
        <f>AG73/AG98*365</f>
        <v>76.638388123011666</v>
      </c>
      <c r="AH92" s="327">
        <f>AH73/AH98*365</f>
        <v>87.830188679245282</v>
      </c>
      <c r="AI92" s="329">
        <f t="shared" si="114"/>
        <v>87.830188679245282</v>
      </c>
      <c r="AJ92" s="329">
        <f t="shared" si="114"/>
        <v>87.830188679245282</v>
      </c>
      <c r="AK92" s="329">
        <f t="shared" si="114"/>
        <v>87.830188679245282</v>
      </c>
      <c r="AL92" s="328">
        <f t="shared" si="114"/>
        <v>87.830188679245282</v>
      </c>
      <c r="AM92" s="316"/>
      <c r="AN92" s="326"/>
      <c r="AO92" s="326"/>
      <c r="AP92" s="326"/>
      <c r="AQ92" s="326"/>
      <c r="AR92" s="326"/>
      <c r="AS92" s="326">
        <f t="shared" ref="AS92:AU92" si="120">AS73/AS98*365</f>
        <v>76.17033276931754</v>
      </c>
      <c r="AT92" s="326">
        <f t="shared" si="120"/>
        <v>74.736194641880815</v>
      </c>
      <c r="AU92" s="326">
        <f t="shared" si="120"/>
        <v>87.830188679245282</v>
      </c>
      <c r="AV92" s="326">
        <f t="shared" ref="AV92" si="121">AV73/AV98*365</f>
        <v>87.830188679245282</v>
      </c>
      <c r="AW92" s="329">
        <f t="shared" ref="AW92:AX93" si="122">AV92</f>
        <v>87.830188679245282</v>
      </c>
      <c r="AX92" s="329">
        <f t="shared" si="122"/>
        <v>87.830188679245282</v>
      </c>
      <c r="AY92" s="329">
        <f t="shared" ref="AY92:BA92" si="123">AX92</f>
        <v>87.830188679245282</v>
      </c>
      <c r="AZ92" s="329">
        <f t="shared" si="123"/>
        <v>87.830188679245282</v>
      </c>
      <c r="BA92" s="329">
        <f t="shared" si="123"/>
        <v>87.830188679245282</v>
      </c>
      <c r="BB92" s="316"/>
      <c r="BC92"/>
      <c r="BD92"/>
      <c r="BE92"/>
      <c r="BF92"/>
      <c r="BG92"/>
      <c r="BH92"/>
      <c r="BI92" s="316"/>
    </row>
    <row r="93" spans="1:61" s="324" customFormat="1">
      <c r="A93" s="316"/>
      <c r="B93" s="675" t="s">
        <v>144</v>
      </c>
      <c r="C93" s="325"/>
      <c r="D93" s="326"/>
      <c r="E93" s="326"/>
      <c r="F93" s="327"/>
      <c r="G93" s="326"/>
      <c r="H93" s="326"/>
      <c r="I93" s="326"/>
      <c r="J93" s="327"/>
      <c r="K93" s="326"/>
      <c r="L93" s="326"/>
      <c r="M93" s="326"/>
      <c r="N93" s="327"/>
      <c r="O93" s="326"/>
      <c r="P93" s="326"/>
      <c r="Q93" s="326"/>
      <c r="R93" s="327"/>
      <c r="S93" s="326"/>
      <c r="T93" s="326"/>
      <c r="U93" s="326"/>
      <c r="V93" s="327"/>
      <c r="W93" s="326"/>
      <c r="X93" s="326"/>
      <c r="Y93" s="326"/>
      <c r="Z93" s="327"/>
      <c r="AA93" s="326"/>
      <c r="AB93" s="326"/>
      <c r="AC93" s="326"/>
      <c r="AD93" s="327">
        <f t="shared" ref="AD93:AE93" si="124">AD62/AD98*365</f>
        <v>37.318206670311646</v>
      </c>
      <c r="AE93" s="326">
        <f t="shared" si="124"/>
        <v>40.422804146208406</v>
      </c>
      <c r="AF93" s="326">
        <f>AF62/AF98*365</f>
        <v>44.855899945622618</v>
      </c>
      <c r="AG93" s="326">
        <f>AG62/AG98*365</f>
        <v>50.124602332979848</v>
      </c>
      <c r="AH93" s="327">
        <f>AH62/AH98*365</f>
        <v>46.981132075471699</v>
      </c>
      <c r="AI93" s="329">
        <f t="shared" si="114"/>
        <v>46.981132075471699</v>
      </c>
      <c r="AJ93" s="329">
        <f t="shared" si="114"/>
        <v>46.981132075471699</v>
      </c>
      <c r="AK93" s="329">
        <f t="shared" si="114"/>
        <v>46.981132075471699</v>
      </c>
      <c r="AL93" s="328">
        <f t="shared" si="114"/>
        <v>46.981132075471699</v>
      </c>
      <c r="AM93" s="316"/>
      <c r="AN93" s="326"/>
      <c r="AO93" s="326"/>
      <c r="AP93" s="326"/>
      <c r="AQ93" s="326"/>
      <c r="AR93" s="326"/>
      <c r="AS93" s="326">
        <f t="shared" ref="AS93:AU93" si="125">AS62/AS98*365</f>
        <v>37.673434856175973</v>
      </c>
      <c r="AT93" s="326">
        <f t="shared" si="125"/>
        <v>37.318206670311646</v>
      </c>
      <c r="AU93" s="326">
        <f t="shared" si="125"/>
        <v>46.981132075471699</v>
      </c>
      <c r="AV93" s="326">
        <f t="shared" ref="AV93" si="126">AV62/AV98*365</f>
        <v>46.981132075471699</v>
      </c>
      <c r="AW93" s="329">
        <f t="shared" si="122"/>
        <v>46.981132075471699</v>
      </c>
      <c r="AX93" s="329">
        <f t="shared" si="122"/>
        <v>46.981132075471699</v>
      </c>
      <c r="AY93" s="329">
        <f t="shared" ref="AY93:BA93" si="127">AX93</f>
        <v>46.981132075471699</v>
      </c>
      <c r="AZ93" s="329">
        <f t="shared" si="127"/>
        <v>46.981132075471699</v>
      </c>
      <c r="BA93" s="329">
        <f t="shared" si="127"/>
        <v>46.981132075471699</v>
      </c>
      <c r="BB93" s="316"/>
      <c r="BC93"/>
      <c r="BD93"/>
      <c r="BE93"/>
      <c r="BF93"/>
      <c r="BG93"/>
      <c r="BH93"/>
      <c r="BI93" s="316"/>
    </row>
    <row r="94" spans="1:61" s="173" customFormat="1">
      <c r="A94" s="169"/>
      <c r="B94" s="743" t="s">
        <v>290</v>
      </c>
      <c r="C94" s="170"/>
      <c r="D94" s="171"/>
      <c r="E94" s="171"/>
      <c r="F94" s="172"/>
      <c r="G94" s="171"/>
      <c r="H94" s="171"/>
      <c r="I94" s="171"/>
      <c r="J94" s="172"/>
      <c r="K94" s="171"/>
      <c r="L94" s="171"/>
      <c r="M94" s="171"/>
      <c r="N94" s="172"/>
      <c r="O94" s="171"/>
      <c r="P94" s="171"/>
      <c r="Q94" s="171"/>
      <c r="R94" s="172"/>
      <c r="S94" s="171"/>
      <c r="T94" s="171"/>
      <c r="U94" s="171"/>
      <c r="V94" s="172"/>
      <c r="W94" s="171"/>
      <c r="X94" s="171"/>
      <c r="Y94" s="171"/>
      <c r="Z94" s="172"/>
      <c r="AA94" s="171">
        <f>AA125/AA6</f>
        <v>-1.1638316920322292E-2</v>
      </c>
      <c r="AB94" s="171">
        <f t="shared" ref="AB94:AL94" si="128">AB125/AB6</f>
        <v>-1.2216404886561954E-2</v>
      </c>
      <c r="AC94" s="171">
        <f t="shared" si="128"/>
        <v>-3.0640668523676879E-2</v>
      </c>
      <c r="AD94" s="172">
        <f t="shared" si="128"/>
        <v>-2.006980802792321E-2</v>
      </c>
      <c r="AE94" s="171">
        <f t="shared" si="128"/>
        <v>-0.11386986301369863</v>
      </c>
      <c r="AF94" s="171">
        <f t="shared" si="128"/>
        <v>5.8972198820556026E-3</v>
      </c>
      <c r="AG94" s="171">
        <f t="shared" si="128"/>
        <v>0</v>
      </c>
      <c r="AH94" s="172">
        <f t="shared" si="128"/>
        <v>-1.4740108611326609E-2</v>
      </c>
      <c r="AI94" s="171">
        <f t="shared" si="128"/>
        <v>-1.3224437814624877E-2</v>
      </c>
      <c r="AJ94" s="171">
        <f t="shared" si="128"/>
        <v>-1.2577891774482999E-2</v>
      </c>
      <c r="AK94" s="171">
        <f t="shared" si="128"/>
        <v>-1.4284558374392629E-2</v>
      </c>
      <c r="AL94" s="172">
        <f t="shared" si="128"/>
        <v>1.3520124111839034E-2</v>
      </c>
      <c r="AM94" s="171"/>
      <c r="AN94" s="171"/>
      <c r="AO94" s="171"/>
      <c r="AP94" s="171"/>
      <c r="AQ94" s="171"/>
      <c r="AR94" s="171">
        <f t="shared" ref="AR94:BA94" si="129">AR125/AR6</f>
        <v>-3.9647577092511016E-3</v>
      </c>
      <c r="AS94" s="171">
        <f t="shared" si="129"/>
        <v>-3.1086907193101882E-2</v>
      </c>
      <c r="AT94" s="171">
        <f t="shared" si="129"/>
        <v>-1.850200624164066E-2</v>
      </c>
      <c r="AU94" s="171">
        <f t="shared" si="129"/>
        <v>-2.9903072798515156E-2</v>
      </c>
      <c r="AV94" s="171">
        <f t="shared" si="129"/>
        <v>-7.2123302996494817E-3</v>
      </c>
      <c r="AW94" s="171">
        <f t="shared" si="129"/>
        <v>-3.1821301960300833E-3</v>
      </c>
      <c r="AX94" s="171">
        <f t="shared" si="129"/>
        <v>-4.2921216073180564E-3</v>
      </c>
      <c r="AY94" s="171">
        <f t="shared" si="129"/>
        <v>-5.2934888696801827E-3</v>
      </c>
      <c r="AZ94" s="171">
        <f t="shared" si="129"/>
        <v>-4.5790020001547447E-3</v>
      </c>
      <c r="BA94" s="171">
        <f t="shared" si="129"/>
        <v>-3.8727378795251986E-3</v>
      </c>
      <c r="BB94" s="169"/>
      <c r="BC94"/>
      <c r="BD94"/>
      <c r="BE94"/>
      <c r="BF94"/>
      <c r="BG94"/>
      <c r="BH94"/>
      <c r="BI94" s="169"/>
    </row>
    <row r="95" spans="1:61" s="324" customFormat="1">
      <c r="A95" s="316"/>
      <c r="B95" s="674"/>
      <c r="C95" s="317"/>
      <c r="D95" s="318"/>
      <c r="E95" s="318"/>
      <c r="F95" s="319"/>
      <c r="G95" s="318"/>
      <c r="H95" s="320"/>
      <c r="I95" s="320"/>
      <c r="J95" s="321"/>
      <c r="K95" s="320"/>
      <c r="L95" s="320"/>
      <c r="M95" s="320"/>
      <c r="N95" s="321"/>
      <c r="O95" s="320"/>
      <c r="P95" s="320"/>
      <c r="Q95" s="320"/>
      <c r="R95" s="321"/>
      <c r="S95" s="320"/>
      <c r="T95" s="320"/>
      <c r="U95" s="320"/>
      <c r="V95" s="321"/>
      <c r="W95" s="320"/>
      <c r="X95" s="320"/>
      <c r="Y95" s="320"/>
      <c r="Z95" s="321"/>
      <c r="AA95" s="320"/>
      <c r="AB95" s="320"/>
      <c r="AC95" s="320"/>
      <c r="AD95" s="321"/>
      <c r="AE95" s="330"/>
      <c r="AF95" s="330"/>
      <c r="AG95" s="330"/>
      <c r="AH95" s="396"/>
      <c r="AI95" s="233"/>
      <c r="AJ95" s="233"/>
      <c r="AK95" s="233"/>
      <c r="AL95" s="232"/>
      <c r="AM95" s="316"/>
      <c r="AN95" s="320"/>
      <c r="AO95" s="322"/>
      <c r="AP95" s="322"/>
      <c r="AQ95" s="322"/>
      <c r="AR95" s="323"/>
      <c r="AS95" s="323"/>
      <c r="AT95" s="323"/>
      <c r="AU95" s="323"/>
      <c r="AV95" s="323"/>
      <c r="AW95" s="323"/>
      <c r="AX95" s="323"/>
      <c r="AY95" s="323"/>
      <c r="AZ95" s="323"/>
      <c r="BA95" s="323"/>
      <c r="BB95" s="316"/>
      <c r="BC95"/>
      <c r="BD95"/>
      <c r="BE95"/>
      <c r="BF95"/>
      <c r="BG95"/>
      <c r="BH95"/>
      <c r="BI95" s="316"/>
    </row>
    <row r="96" spans="1:61" s="168" customFormat="1">
      <c r="A96" s="161"/>
      <c r="B96" s="655" t="s">
        <v>145</v>
      </c>
      <c r="C96" s="225"/>
      <c r="D96" s="162"/>
      <c r="E96" s="162"/>
      <c r="F96" s="226"/>
      <c r="G96" s="162"/>
      <c r="H96" s="162"/>
      <c r="I96" s="162"/>
      <c r="J96" s="226"/>
      <c r="K96" s="162"/>
      <c r="L96" s="162"/>
      <c r="M96" s="162"/>
      <c r="N96" s="226"/>
      <c r="O96" s="162"/>
      <c r="P96" s="162"/>
      <c r="Q96" s="162"/>
      <c r="R96" s="226"/>
      <c r="S96" s="162"/>
      <c r="T96" s="162"/>
      <c r="U96" s="162"/>
      <c r="V96" s="226"/>
      <c r="W96" s="162"/>
      <c r="X96" s="162"/>
      <c r="Y96" s="162"/>
      <c r="Z96" s="226"/>
      <c r="AA96" s="162"/>
      <c r="AB96" s="162"/>
      <c r="AC96" s="162"/>
      <c r="AD96" s="331"/>
      <c r="AE96" s="330"/>
      <c r="AF96" s="330"/>
      <c r="AG96" s="330"/>
      <c r="AH96" s="396"/>
      <c r="AI96" s="233"/>
      <c r="AJ96" s="233"/>
      <c r="AK96" s="233"/>
      <c r="AL96" s="232"/>
      <c r="AM96" s="161"/>
      <c r="AN96" s="162"/>
      <c r="AO96" s="332"/>
      <c r="AP96" s="332"/>
      <c r="AQ96" s="332"/>
      <c r="AR96" s="332"/>
      <c r="AS96" s="332"/>
      <c r="AT96" s="332"/>
      <c r="AU96" s="332"/>
      <c r="AV96" s="332"/>
      <c r="AW96" s="332"/>
      <c r="AX96" s="332"/>
      <c r="AY96" s="332"/>
      <c r="AZ96" s="332"/>
      <c r="BA96" s="332"/>
      <c r="BB96" s="161"/>
      <c r="BC96"/>
      <c r="BD96"/>
      <c r="BE96"/>
      <c r="BF96"/>
      <c r="BG96"/>
      <c r="BH96"/>
      <c r="BI96" s="161"/>
    </row>
    <row r="97" spans="1:61" s="168" customFormat="1">
      <c r="A97" s="161"/>
      <c r="B97" s="665" t="s">
        <v>25</v>
      </c>
      <c r="C97" s="225"/>
      <c r="D97" s="198"/>
      <c r="E97" s="162"/>
      <c r="F97" s="226">
        <f t="shared" ref="F97:AL97" si="130">SUM(C6:F6)</f>
        <v>4086</v>
      </c>
      <c r="G97" s="162">
        <f t="shared" si="130"/>
        <v>4353</v>
      </c>
      <c r="H97" s="198">
        <f t="shared" si="130"/>
        <v>4646</v>
      </c>
      <c r="I97" s="162">
        <f t="shared" si="130"/>
        <v>4851</v>
      </c>
      <c r="J97" s="197">
        <f t="shared" si="130"/>
        <v>4970</v>
      </c>
      <c r="K97" s="162">
        <f t="shared" si="130"/>
        <v>4997</v>
      </c>
      <c r="L97" s="162">
        <f t="shared" si="130"/>
        <v>4934</v>
      </c>
      <c r="M97" s="162">
        <f t="shared" si="130"/>
        <v>4838</v>
      </c>
      <c r="N97" s="226">
        <f t="shared" si="130"/>
        <v>4656</v>
      </c>
      <c r="O97" s="162">
        <f t="shared" si="130"/>
        <v>4499</v>
      </c>
      <c r="P97" s="162">
        <f t="shared" si="130"/>
        <v>4414</v>
      </c>
      <c r="Q97" s="162">
        <f t="shared" si="130"/>
        <v>4375</v>
      </c>
      <c r="R97" s="226">
        <f t="shared" si="130"/>
        <v>4424</v>
      </c>
      <c r="S97" s="162">
        <f t="shared" si="130"/>
        <v>4414</v>
      </c>
      <c r="T97" s="162">
        <f t="shared" si="130"/>
        <v>4441</v>
      </c>
      <c r="U97" s="162">
        <f t="shared" si="130"/>
        <v>4510</v>
      </c>
      <c r="V97" s="226">
        <f t="shared" si="130"/>
        <v>4535</v>
      </c>
      <c r="W97" s="162">
        <f t="shared" si="130"/>
        <v>4519</v>
      </c>
      <c r="X97" s="162">
        <f t="shared" si="130"/>
        <v>4474</v>
      </c>
      <c r="Y97" s="162">
        <f t="shared" si="130"/>
        <v>4421</v>
      </c>
      <c r="Z97" s="226">
        <f t="shared" si="130"/>
        <v>4402</v>
      </c>
      <c r="AA97" s="162">
        <f t="shared" si="130"/>
        <v>4438</v>
      </c>
      <c r="AB97" s="162">
        <f t="shared" si="130"/>
        <v>4441</v>
      </c>
      <c r="AC97" s="162">
        <f t="shared" si="130"/>
        <v>4454</v>
      </c>
      <c r="AD97" s="226">
        <f t="shared" si="130"/>
        <v>4486</v>
      </c>
      <c r="AE97" s="332">
        <f t="shared" si="130"/>
        <v>4537</v>
      </c>
      <c r="AF97" s="332">
        <f t="shared" si="130"/>
        <v>4578</v>
      </c>
      <c r="AG97" s="332">
        <f t="shared" si="130"/>
        <v>4706</v>
      </c>
      <c r="AH97" s="331">
        <f t="shared" si="130"/>
        <v>4849</v>
      </c>
      <c r="AI97" s="332">
        <f t="shared" si="130"/>
        <v>4983.9799999999996</v>
      </c>
      <c r="AJ97" s="332">
        <f t="shared" si="130"/>
        <v>5108.7299999999996</v>
      </c>
      <c r="AK97" s="332">
        <f t="shared" si="130"/>
        <v>5236.8549999999996</v>
      </c>
      <c r="AL97" s="331">
        <f t="shared" si="130"/>
        <v>5119.9350000000004</v>
      </c>
      <c r="AM97" s="161"/>
      <c r="AN97" s="162">
        <f t="shared" ref="AN97:BA97" si="131">AN6</f>
        <v>4086</v>
      </c>
      <c r="AO97" s="162">
        <f t="shared" si="131"/>
        <v>4970</v>
      </c>
      <c r="AP97" s="162">
        <f t="shared" si="131"/>
        <v>4655</v>
      </c>
      <c r="AQ97" s="162">
        <f t="shared" si="131"/>
        <v>4398</v>
      </c>
      <c r="AR97" s="162">
        <f t="shared" si="131"/>
        <v>4540</v>
      </c>
      <c r="AS97" s="162">
        <f t="shared" si="131"/>
        <v>4407</v>
      </c>
      <c r="AT97" s="162">
        <f t="shared" si="131"/>
        <v>4486</v>
      </c>
      <c r="AU97" s="162">
        <f t="shared" si="131"/>
        <v>4849</v>
      </c>
      <c r="AV97" s="162">
        <f t="shared" si="131"/>
        <v>5119.9350000000004</v>
      </c>
      <c r="AW97" s="162">
        <f t="shared" si="131"/>
        <v>5243.0331195852295</v>
      </c>
      <c r="AX97" s="162">
        <f t="shared" si="131"/>
        <v>5414.500408810025</v>
      </c>
      <c r="AY97" s="162">
        <f t="shared" si="131"/>
        <v>5634.5666352634353</v>
      </c>
      <c r="AZ97" s="162">
        <f t="shared" si="131"/>
        <v>5831.5857541977848</v>
      </c>
      <c r="BA97" s="162">
        <f t="shared" si="131"/>
        <v>6003.1180336768775</v>
      </c>
      <c r="BB97" s="161"/>
      <c r="BC97"/>
      <c r="BD97"/>
      <c r="BE97"/>
      <c r="BF97"/>
      <c r="BG97"/>
      <c r="BH97"/>
      <c r="BI97" s="161"/>
    </row>
    <row r="98" spans="1:61" s="168" customFormat="1">
      <c r="A98" s="161"/>
      <c r="B98" s="665" t="s">
        <v>146</v>
      </c>
      <c r="C98" s="225"/>
      <c r="D98" s="162"/>
      <c r="E98" s="162"/>
      <c r="F98" s="226"/>
      <c r="G98" s="162"/>
      <c r="H98" s="198"/>
      <c r="I98" s="198"/>
      <c r="J98" s="197"/>
      <c r="K98" s="198"/>
      <c r="L98" s="198"/>
      <c r="M98" s="198"/>
      <c r="N98" s="197"/>
      <c r="O98" s="198"/>
      <c r="P98" s="198"/>
      <c r="Q98" s="198"/>
      <c r="R98" s="197"/>
      <c r="S98" s="198"/>
      <c r="T98" s="198"/>
      <c r="U98" s="198"/>
      <c r="V98" s="197"/>
      <c r="W98" s="198"/>
      <c r="X98" s="198"/>
      <c r="Y98" s="198"/>
      <c r="Z98" s="197"/>
      <c r="AA98" s="198"/>
      <c r="AB98" s="198"/>
      <c r="AC98" s="198"/>
      <c r="AD98" s="226">
        <f t="shared" ref="AD98:AL98" si="132">SUM(AA8:AD8)</f>
        <v>3658</v>
      </c>
      <c r="AE98" s="332">
        <f t="shared" si="132"/>
        <v>3666</v>
      </c>
      <c r="AF98" s="332">
        <f t="shared" si="132"/>
        <v>3678</v>
      </c>
      <c r="AG98" s="332">
        <f t="shared" si="132"/>
        <v>3772</v>
      </c>
      <c r="AH98" s="331">
        <f t="shared" si="132"/>
        <v>3869</v>
      </c>
      <c r="AI98" s="332">
        <f t="shared" si="132"/>
        <v>3986.149294026377</v>
      </c>
      <c r="AJ98" s="332">
        <f t="shared" si="132"/>
        <v>4089.2928161365398</v>
      </c>
      <c r="AK98" s="332">
        <f t="shared" si="132"/>
        <v>4176.4832738557016</v>
      </c>
      <c r="AL98" s="331">
        <f t="shared" si="132"/>
        <v>4083.2375329712959</v>
      </c>
      <c r="AM98" s="161"/>
      <c r="AN98" s="162"/>
      <c r="AO98" s="162"/>
      <c r="AP98" s="162"/>
      <c r="AQ98" s="162"/>
      <c r="AR98" s="162">
        <f t="shared" ref="AR98:BA98" si="133">AR8</f>
        <v>3671</v>
      </c>
      <c r="AS98" s="162">
        <f t="shared" si="133"/>
        <v>3546</v>
      </c>
      <c r="AT98" s="162">
        <f t="shared" si="133"/>
        <v>3658</v>
      </c>
      <c r="AU98" s="162">
        <f t="shared" si="133"/>
        <v>3869</v>
      </c>
      <c r="AV98" s="162">
        <f t="shared" si="133"/>
        <v>4083.2375329712959</v>
      </c>
      <c r="AW98" s="162">
        <f t="shared" si="133"/>
        <v>4181.410432066421</v>
      </c>
      <c r="AX98" s="162">
        <f t="shared" si="133"/>
        <v>4318.1585882519048</v>
      </c>
      <c r="AY98" s="162">
        <f t="shared" si="133"/>
        <v>4493.6652451906994</v>
      </c>
      <c r="AZ98" s="162">
        <f t="shared" si="133"/>
        <v>4650.7914315867511</v>
      </c>
      <c r="BA98" s="162">
        <f t="shared" si="133"/>
        <v>4787.5914186344689</v>
      </c>
      <c r="BB98" s="161"/>
      <c r="BC98"/>
      <c r="BD98"/>
      <c r="BE98"/>
      <c r="BF98"/>
      <c r="BG98"/>
      <c r="BH98"/>
      <c r="BI98" s="161"/>
    </row>
    <row r="99" spans="1:61" s="168" customFormat="1">
      <c r="A99" s="161"/>
      <c r="B99" s="665" t="s">
        <v>27</v>
      </c>
      <c r="C99" s="225"/>
      <c r="D99" s="162"/>
      <c r="E99" s="162"/>
      <c r="F99" s="226">
        <f>SUM(C51:F51)</f>
        <v>423</v>
      </c>
      <c r="G99" s="162">
        <f t="shared" ref="G99:AL99" si="134">SUM(D51:G51)</f>
        <v>427</v>
      </c>
      <c r="H99" s="166">
        <f t="shared" si="134"/>
        <v>498</v>
      </c>
      <c r="I99" s="166">
        <f t="shared" si="134"/>
        <v>553</v>
      </c>
      <c r="J99" s="226">
        <f t="shared" si="134"/>
        <v>714</v>
      </c>
      <c r="K99" s="162">
        <f t="shared" si="134"/>
        <v>784</v>
      </c>
      <c r="L99" s="166">
        <f t="shared" si="134"/>
        <v>800</v>
      </c>
      <c r="M99" s="166">
        <f t="shared" si="134"/>
        <v>802</v>
      </c>
      <c r="N99" s="226">
        <f t="shared" si="134"/>
        <v>723</v>
      </c>
      <c r="O99" s="162">
        <f t="shared" si="134"/>
        <v>683</v>
      </c>
      <c r="P99" s="166">
        <f t="shared" si="134"/>
        <v>669</v>
      </c>
      <c r="Q99" s="166">
        <f t="shared" si="134"/>
        <v>642</v>
      </c>
      <c r="R99" s="226">
        <f t="shared" si="134"/>
        <v>671</v>
      </c>
      <c r="S99" s="162">
        <f t="shared" si="134"/>
        <v>673</v>
      </c>
      <c r="T99" s="166">
        <f t="shared" si="134"/>
        <v>669</v>
      </c>
      <c r="U99" s="166">
        <f t="shared" si="134"/>
        <v>691</v>
      </c>
      <c r="V99" s="226">
        <f t="shared" si="134"/>
        <v>712</v>
      </c>
      <c r="W99" s="162">
        <f t="shared" si="134"/>
        <v>721</v>
      </c>
      <c r="X99" s="166">
        <f t="shared" si="134"/>
        <v>726</v>
      </c>
      <c r="Y99" s="166">
        <f t="shared" si="134"/>
        <v>725</v>
      </c>
      <c r="Z99" s="226">
        <f t="shared" si="134"/>
        <v>727</v>
      </c>
      <c r="AA99" s="162">
        <f t="shared" si="134"/>
        <v>725</v>
      </c>
      <c r="AB99" s="166">
        <f t="shared" si="134"/>
        <v>738</v>
      </c>
      <c r="AC99" s="166">
        <f t="shared" si="134"/>
        <v>744</v>
      </c>
      <c r="AD99" s="226">
        <f t="shared" si="134"/>
        <v>731</v>
      </c>
      <c r="AE99" s="162">
        <f t="shared" si="134"/>
        <v>754.22222222222217</v>
      </c>
      <c r="AF99" s="162">
        <f t="shared" si="134"/>
        <v>747.55555555555554</v>
      </c>
      <c r="AG99" s="162">
        <f t="shared" si="134"/>
        <v>756.77777777777783</v>
      </c>
      <c r="AH99" s="226">
        <f t="shared" si="134"/>
        <v>777</v>
      </c>
      <c r="AI99" s="162">
        <f t="shared" si="134"/>
        <v>787.00813118437122</v>
      </c>
      <c r="AJ99" s="162">
        <f t="shared" si="134"/>
        <v>821.51476959358104</v>
      </c>
      <c r="AK99" s="162">
        <f t="shared" si="134"/>
        <v>872.24473241845465</v>
      </c>
      <c r="AL99" s="226">
        <f t="shared" si="134"/>
        <v>862.80043019623236</v>
      </c>
      <c r="AM99" s="161"/>
      <c r="AN99" s="162">
        <f>AN51</f>
        <v>423</v>
      </c>
      <c r="AO99" s="162">
        <f t="shared" ref="AO99:AX99" si="135">AO51</f>
        <v>714</v>
      </c>
      <c r="AP99" s="162">
        <f t="shared" si="135"/>
        <v>723</v>
      </c>
      <c r="AQ99" s="162">
        <f t="shared" si="135"/>
        <v>671</v>
      </c>
      <c r="AR99" s="162">
        <f t="shared" si="135"/>
        <v>688</v>
      </c>
      <c r="AS99" s="162">
        <f t="shared" si="135"/>
        <v>706</v>
      </c>
      <c r="AT99" s="162">
        <f t="shared" si="135"/>
        <v>693</v>
      </c>
      <c r="AU99" s="162">
        <f>AU51</f>
        <v>777</v>
      </c>
      <c r="AV99" s="162">
        <f t="shared" si="135"/>
        <v>862.80043019623236</v>
      </c>
      <c r="AW99" s="162">
        <f t="shared" si="135"/>
        <v>867.81556109322855</v>
      </c>
      <c r="AX99" s="162">
        <f t="shared" si="135"/>
        <v>879.95295665188723</v>
      </c>
      <c r="AY99" s="162">
        <f t="shared" ref="AY99:BA99" si="136">AY51</f>
        <v>898.81394637689175</v>
      </c>
      <c r="AZ99" s="162">
        <f t="shared" si="136"/>
        <v>912.74725506223103</v>
      </c>
      <c r="BA99" s="162">
        <f t="shared" si="136"/>
        <v>921.58576427803644</v>
      </c>
      <c r="BB99" s="161"/>
      <c r="BC99"/>
      <c r="BD99"/>
      <c r="BE99"/>
      <c r="BF99"/>
      <c r="BG99"/>
      <c r="BH99"/>
      <c r="BI99" s="161"/>
    </row>
    <row r="100" spans="1:61" s="168" customFormat="1">
      <c r="A100" s="161"/>
      <c r="B100" s="665" t="s">
        <v>147</v>
      </c>
      <c r="C100" s="225"/>
      <c r="D100" s="162"/>
      <c r="E100" s="162"/>
      <c r="F100" s="226"/>
      <c r="G100" s="162"/>
      <c r="H100" s="166"/>
      <c r="I100" s="166"/>
      <c r="J100" s="226"/>
      <c r="K100" s="162"/>
      <c r="L100" s="166"/>
      <c r="M100" s="166"/>
      <c r="N100" s="226"/>
      <c r="O100" s="162"/>
      <c r="P100" s="166"/>
      <c r="Q100" s="166"/>
      <c r="R100" s="226"/>
      <c r="S100" s="162"/>
      <c r="T100" s="166"/>
      <c r="U100" s="166"/>
      <c r="V100" s="226"/>
      <c r="W100" s="162"/>
      <c r="X100" s="166"/>
      <c r="Y100" s="166"/>
      <c r="Z100" s="226"/>
      <c r="AA100" s="162"/>
      <c r="AB100" s="166"/>
      <c r="AC100" s="166"/>
      <c r="AD100" s="226">
        <f>AA16*(1-AA25)+AB16*(1-AB25)+AC16*(1-AC25)+AD16*(1-AD25)</f>
        <v>454.37882626704959</v>
      </c>
      <c r="AE100" s="162">
        <f t="shared" ref="AE100:AL100" si="137">AB16*(1-AB25)+AC16*(1-AC25)+AD16*(1-AD25)+AE16*(1-AE25)</f>
        <v>475.93366497672702</v>
      </c>
      <c r="AF100" s="162">
        <f t="shared" si="137"/>
        <v>466.94805346593569</v>
      </c>
      <c r="AG100" s="162">
        <f t="shared" si="137"/>
        <v>484.99303097718007</v>
      </c>
      <c r="AH100" s="226">
        <f t="shared" si="137"/>
        <v>506.59739090296853</v>
      </c>
      <c r="AI100" s="162">
        <f t="shared" si="137"/>
        <v>499.16757299329112</v>
      </c>
      <c r="AJ100" s="162">
        <f t="shared" si="137"/>
        <v>513.88290299329105</v>
      </c>
      <c r="AK100" s="162">
        <f t="shared" si="137"/>
        <v>534.78002303639448</v>
      </c>
      <c r="AL100" s="226">
        <f t="shared" si="137"/>
        <v>525.99553065000009</v>
      </c>
      <c r="AM100" s="161"/>
      <c r="AN100" s="162"/>
      <c r="AO100" s="162"/>
      <c r="AP100" s="162">
        <f t="shared" ref="AP100:AU100" si="138">AP16*(1-AP25)</f>
        <v>395.64049586776861</v>
      </c>
      <c r="AQ100" s="162">
        <f t="shared" si="138"/>
        <v>280.97326203208553</v>
      </c>
      <c r="AR100" s="162">
        <f t="shared" si="138"/>
        <v>396.60569105691059</v>
      </c>
      <c r="AS100" s="162">
        <f t="shared" si="138"/>
        <v>433.11708253358927</v>
      </c>
      <c r="AT100" s="162">
        <f t="shared" si="138"/>
        <v>454.77647058823527</v>
      </c>
      <c r="AU100" s="162">
        <f t="shared" si="138"/>
        <v>506.68085106382978</v>
      </c>
      <c r="AV100" s="162">
        <f t="shared" ref="AV100:BA100" si="139">AV16*(1-AV25)</f>
        <v>525.99553065000009</v>
      </c>
      <c r="AW100" s="162">
        <f t="shared" si="139"/>
        <v>525.58683965747605</v>
      </c>
      <c r="AX100" s="162">
        <f t="shared" si="139"/>
        <v>529.29343883990293</v>
      </c>
      <c r="AY100" s="162">
        <f t="shared" si="139"/>
        <v>536.77589926494488</v>
      </c>
      <c r="AZ100" s="162">
        <f t="shared" si="139"/>
        <v>541.02423894568858</v>
      </c>
      <c r="BA100" s="162">
        <f t="shared" si="139"/>
        <v>541.99034904994369</v>
      </c>
      <c r="BB100" s="161"/>
      <c r="BC100"/>
      <c r="BD100"/>
      <c r="BE100"/>
      <c r="BF100"/>
      <c r="BG100"/>
      <c r="BH100"/>
      <c r="BI100" s="161"/>
    </row>
    <row r="101" spans="1:61" s="324" customFormat="1">
      <c r="A101" s="316"/>
      <c r="B101" s="674"/>
      <c r="C101" s="317"/>
      <c r="D101" s="318"/>
      <c r="E101" s="318"/>
      <c r="F101" s="319"/>
      <c r="G101" s="318"/>
      <c r="H101" s="320"/>
      <c r="I101" s="320"/>
      <c r="J101" s="333"/>
      <c r="K101" s="320"/>
      <c r="L101" s="320"/>
      <c r="M101" s="320"/>
      <c r="N101" s="333"/>
      <c r="O101" s="320"/>
      <c r="P101" s="320"/>
      <c r="Q101" s="320"/>
      <c r="R101" s="333"/>
      <c r="S101" s="320"/>
      <c r="T101" s="320"/>
      <c r="U101" s="320"/>
      <c r="V101" s="333"/>
      <c r="W101" s="320"/>
      <c r="X101" s="320"/>
      <c r="Y101" s="320"/>
      <c r="Z101" s="333"/>
      <c r="AA101" s="320"/>
      <c r="AB101" s="320"/>
      <c r="AC101" s="320"/>
      <c r="AD101" s="321"/>
      <c r="AE101" s="322"/>
      <c r="AF101" s="322"/>
      <c r="AG101" s="322"/>
      <c r="AH101" s="321"/>
      <c r="AI101" s="323"/>
      <c r="AJ101" s="323"/>
      <c r="AK101" s="323"/>
      <c r="AL101" s="334"/>
      <c r="AM101" s="316"/>
      <c r="AN101" s="320"/>
      <c r="AO101" s="322"/>
      <c r="AP101" s="322"/>
      <c r="AQ101" s="322"/>
      <c r="AR101" s="323"/>
      <c r="AS101" s="323"/>
      <c r="AT101" s="323"/>
      <c r="AU101" s="323"/>
      <c r="AV101" s="323"/>
      <c r="AW101" s="323"/>
      <c r="AX101" s="323"/>
      <c r="AY101" s="323"/>
      <c r="AZ101" s="323"/>
      <c r="BA101" s="323"/>
      <c r="BB101" s="316"/>
      <c r="BC101"/>
      <c r="BD101"/>
      <c r="BE101"/>
      <c r="BF101"/>
      <c r="BG101"/>
      <c r="BH101"/>
      <c r="BI101" s="316"/>
    </row>
    <row r="102" spans="1:61" s="324" customFormat="1">
      <c r="A102" s="316"/>
      <c r="B102" s="674" t="s">
        <v>148</v>
      </c>
      <c r="C102" s="317"/>
      <c r="D102" s="318"/>
      <c r="E102" s="318"/>
      <c r="F102" s="319"/>
      <c r="G102" s="318"/>
      <c r="H102" s="320"/>
      <c r="I102" s="320"/>
      <c r="J102" s="333"/>
      <c r="K102" s="320"/>
      <c r="L102" s="320"/>
      <c r="M102" s="320"/>
      <c r="N102" s="333"/>
      <c r="O102" s="320"/>
      <c r="P102" s="320"/>
      <c r="Q102" s="320"/>
      <c r="R102" s="333"/>
      <c r="S102" s="320"/>
      <c r="T102" s="320"/>
      <c r="U102" s="320"/>
      <c r="V102" s="333"/>
      <c r="W102" s="320"/>
      <c r="X102" s="320"/>
      <c r="Y102" s="320"/>
      <c r="Z102" s="333"/>
      <c r="AA102" s="320"/>
      <c r="AB102" s="320"/>
      <c r="AC102" s="320"/>
      <c r="AD102" s="321"/>
      <c r="AE102" s="322"/>
      <c r="AF102" s="322"/>
      <c r="AG102" s="322"/>
      <c r="AH102" s="321"/>
      <c r="AI102" s="323"/>
      <c r="AJ102" s="323"/>
      <c r="AK102" s="323"/>
      <c r="AL102" s="334"/>
      <c r="AM102" s="316"/>
      <c r="AN102" s="320"/>
      <c r="AO102" s="322"/>
      <c r="AP102" s="322"/>
      <c r="AQ102" s="322"/>
      <c r="AR102" s="323"/>
      <c r="AS102" s="323"/>
      <c r="AT102" s="323"/>
      <c r="AU102" s="323"/>
      <c r="AV102" s="323"/>
      <c r="AW102" s="323"/>
      <c r="AX102" s="323"/>
      <c r="AY102" s="323"/>
      <c r="AZ102" s="323"/>
      <c r="BA102" s="323"/>
      <c r="BB102" s="316"/>
      <c r="BC102"/>
      <c r="BD102"/>
      <c r="BE102"/>
      <c r="BF102"/>
      <c r="BG102"/>
      <c r="BH102"/>
      <c r="BI102" s="316"/>
    </row>
    <row r="103" spans="1:61" s="168" customFormat="1">
      <c r="A103" s="150"/>
      <c r="B103" s="665" t="s">
        <v>149</v>
      </c>
      <c r="C103" s="225"/>
      <c r="D103" s="162"/>
      <c r="E103" s="162"/>
      <c r="F103" s="226"/>
      <c r="G103" s="162"/>
      <c r="H103" s="162"/>
      <c r="I103" s="162"/>
      <c r="J103" s="226"/>
      <c r="K103" s="162"/>
      <c r="L103" s="162"/>
      <c r="M103" s="162"/>
      <c r="N103" s="226"/>
      <c r="O103" s="162"/>
      <c r="P103" s="162"/>
      <c r="Q103" s="162"/>
      <c r="R103" s="226"/>
      <c r="S103" s="162"/>
      <c r="T103" s="162"/>
      <c r="U103" s="162"/>
      <c r="V103" s="226"/>
      <c r="W103" s="162"/>
      <c r="X103" s="162"/>
      <c r="Y103" s="162"/>
      <c r="Z103" s="226"/>
      <c r="AA103" s="162"/>
      <c r="AB103" s="162"/>
      <c r="AC103" s="162"/>
      <c r="AD103" s="226">
        <f t="shared" ref="AD103:AE103" si="140">AD72+AD77</f>
        <v>8</v>
      </c>
      <c r="AE103" s="162">
        <f t="shared" si="140"/>
        <v>7</v>
      </c>
      <c r="AF103" s="162">
        <f t="shared" ref="AF103:AL103" si="141">AF72+AF77</f>
        <v>7</v>
      </c>
      <c r="AG103" s="162">
        <f t="shared" si="141"/>
        <v>789</v>
      </c>
      <c r="AH103" s="226">
        <f t="shared" ref="AH103" si="142">AH72+AH77</f>
        <v>1535</v>
      </c>
      <c r="AI103" s="162">
        <f t="shared" si="141"/>
        <v>1535</v>
      </c>
      <c r="AJ103" s="162">
        <f t="shared" si="141"/>
        <v>1535</v>
      </c>
      <c r="AK103" s="162">
        <f t="shared" si="141"/>
        <v>1535</v>
      </c>
      <c r="AL103" s="226">
        <f t="shared" si="141"/>
        <v>1535</v>
      </c>
      <c r="AM103" s="150"/>
      <c r="AN103" s="162"/>
      <c r="AO103" s="162"/>
      <c r="AP103" s="162"/>
      <c r="AQ103" s="162"/>
      <c r="AR103" s="162"/>
      <c r="AS103" s="162">
        <f t="shared" ref="AS103:AX103" si="143">AS72+AS77</f>
        <v>32</v>
      </c>
      <c r="AT103" s="162">
        <f>AT72+AT77</f>
        <v>8</v>
      </c>
      <c r="AU103" s="162">
        <f>AU72+AU77</f>
        <v>1535</v>
      </c>
      <c r="AV103" s="162">
        <f t="shared" si="143"/>
        <v>1535</v>
      </c>
      <c r="AW103" s="162">
        <f t="shared" si="143"/>
        <v>1535</v>
      </c>
      <c r="AX103" s="162">
        <f t="shared" si="143"/>
        <v>1535</v>
      </c>
      <c r="AY103" s="162">
        <f t="shared" ref="AY103:BA103" si="144">AY72+AY77</f>
        <v>1535</v>
      </c>
      <c r="AZ103" s="162">
        <f t="shared" si="144"/>
        <v>1535</v>
      </c>
      <c r="BA103" s="162">
        <f t="shared" si="144"/>
        <v>1535</v>
      </c>
      <c r="BB103" s="150"/>
      <c r="BC103"/>
      <c r="BD103"/>
      <c r="BE103"/>
      <c r="BF103"/>
      <c r="BG103"/>
      <c r="BH103"/>
      <c r="BI103" s="150"/>
    </row>
    <row r="104" spans="1:61" s="339" customFormat="1">
      <c r="A104" s="335"/>
      <c r="B104" s="676" t="s">
        <v>54</v>
      </c>
      <c r="C104" s="336"/>
      <c r="D104" s="337"/>
      <c r="E104" s="337"/>
      <c r="F104" s="338"/>
      <c r="G104" s="337"/>
      <c r="H104" s="337"/>
      <c r="I104" s="337"/>
      <c r="J104" s="338"/>
      <c r="K104" s="337"/>
      <c r="L104" s="337"/>
      <c r="M104" s="337"/>
      <c r="N104" s="338"/>
      <c r="O104" s="337"/>
      <c r="P104" s="337"/>
      <c r="Q104" s="337"/>
      <c r="R104" s="338"/>
      <c r="S104" s="337"/>
      <c r="T104" s="337"/>
      <c r="U104" s="337"/>
      <c r="V104" s="338"/>
      <c r="W104" s="337"/>
      <c r="X104" s="337"/>
      <c r="Y104" s="337"/>
      <c r="Z104" s="338"/>
      <c r="AA104" s="337"/>
      <c r="AB104" s="337"/>
      <c r="AC104" s="337"/>
      <c r="AD104" s="338">
        <f t="shared" ref="AD104:AG104" si="145">AD103/(AD103+AD82+AD84)</f>
        <v>6.7226890756302525E-3</v>
      </c>
      <c r="AE104" s="337">
        <f t="shared" si="145"/>
        <v>5.263157894736842E-3</v>
      </c>
      <c r="AF104" s="337">
        <f t="shared" si="145"/>
        <v>5.2710843373493972E-3</v>
      </c>
      <c r="AG104" s="337">
        <f t="shared" si="145"/>
        <v>0.36493987049028676</v>
      </c>
      <c r="AH104" s="338">
        <f t="shared" ref="AH104" si="146">AH103/(AH103+AH82+AH84)</f>
        <v>0.86870401810979059</v>
      </c>
      <c r="AI104" s="337">
        <f t="shared" ref="AI104:AL104" si="147">AI103/(AI103+AI82+AI84)</f>
        <v>0.84016982643097693</v>
      </c>
      <c r="AJ104" s="337">
        <f t="shared" si="147"/>
        <v>0.80379448399995823</v>
      </c>
      <c r="AK104" s="337">
        <f t="shared" si="147"/>
        <v>0.77164426747243153</v>
      </c>
      <c r="AL104" s="338">
        <f t="shared" si="147"/>
        <v>0.74914397326033122</v>
      </c>
      <c r="AM104" s="335"/>
      <c r="AN104" s="337"/>
      <c r="AO104" s="337"/>
      <c r="AP104" s="337"/>
      <c r="AQ104" s="337"/>
      <c r="AR104" s="337"/>
      <c r="AS104" s="337">
        <f t="shared" ref="AS104:AX104" si="148">AS103/(AS103+AS82+AS84)</f>
        <v>2.3289665211062592E-2</v>
      </c>
      <c r="AT104" s="337">
        <f t="shared" si="148"/>
        <v>6.7226890756302525E-3</v>
      </c>
      <c r="AU104" s="337">
        <f t="shared" si="148"/>
        <v>0.86870401810979059</v>
      </c>
      <c r="AV104" s="337">
        <f t="shared" si="148"/>
        <v>0.74914397326033122</v>
      </c>
      <c r="AW104" s="337">
        <f t="shared" si="148"/>
        <v>0.65845798969103453</v>
      </c>
      <c r="AX104" s="337">
        <f t="shared" si="148"/>
        <v>0.58641375020350561</v>
      </c>
      <c r="AY104" s="337">
        <f t="shared" ref="AY104:BA104" si="149">AY103/(AY103+AY82+AY84)</f>
        <v>0.52705080250554193</v>
      </c>
      <c r="AZ104" s="337">
        <f t="shared" si="149"/>
        <v>0.47784227931038536</v>
      </c>
      <c r="BA104" s="337">
        <f t="shared" si="149"/>
        <v>0.43682265913537066</v>
      </c>
      <c r="BB104" s="335"/>
      <c r="BC104"/>
      <c r="BD104"/>
      <c r="BE104"/>
      <c r="BF104"/>
      <c r="BG104"/>
      <c r="BH104"/>
      <c r="BI104" s="335"/>
    </row>
    <row r="105" spans="1:61" s="168" customFormat="1">
      <c r="A105" s="150"/>
      <c r="B105" s="665" t="s">
        <v>150</v>
      </c>
      <c r="C105" s="225"/>
      <c r="D105" s="162"/>
      <c r="E105" s="162"/>
      <c r="F105" s="226"/>
      <c r="G105" s="162"/>
      <c r="H105" s="162"/>
      <c r="I105" s="162"/>
      <c r="J105" s="226"/>
      <c r="K105" s="162"/>
      <c r="L105" s="162"/>
      <c r="M105" s="162"/>
      <c r="N105" s="226"/>
      <c r="O105" s="162"/>
      <c r="P105" s="162"/>
      <c r="Q105" s="162"/>
      <c r="R105" s="226"/>
      <c r="S105" s="162"/>
      <c r="T105" s="162"/>
      <c r="U105" s="162"/>
      <c r="V105" s="226"/>
      <c r="W105" s="162"/>
      <c r="X105" s="162"/>
      <c r="Y105" s="162"/>
      <c r="Z105" s="226"/>
      <c r="AA105" s="162"/>
      <c r="AB105" s="162"/>
      <c r="AC105" s="162"/>
      <c r="AD105" s="226">
        <f t="shared" ref="AD105:AE105" si="150">AD103-AD59-AD60</f>
        <v>-93</v>
      </c>
      <c r="AE105" s="162">
        <f t="shared" si="150"/>
        <v>-54</v>
      </c>
      <c r="AF105" s="162">
        <f t="shared" ref="AF105:AL105" si="151">AF103-AF59-AF60</f>
        <v>-71</v>
      </c>
      <c r="AG105" s="162">
        <f t="shared" si="151"/>
        <v>-102</v>
      </c>
      <c r="AH105" s="226">
        <f t="shared" ref="AH105" si="152">AH103-AH59-AH60</f>
        <v>1196</v>
      </c>
      <c r="AI105" s="162">
        <f t="shared" si="151"/>
        <v>1221.3267570242128</v>
      </c>
      <c r="AJ105" s="162">
        <f t="shared" si="151"/>
        <v>1202.8600326585356</v>
      </c>
      <c r="AK105" s="162">
        <f t="shared" si="151"/>
        <v>1209.0950979982883</v>
      </c>
      <c r="AL105" s="226">
        <f t="shared" si="151"/>
        <v>1187.4654493246487</v>
      </c>
      <c r="AM105" s="150"/>
      <c r="AN105" s="162"/>
      <c r="AO105" s="162"/>
      <c r="AP105" s="162"/>
      <c r="AQ105" s="162"/>
      <c r="AR105" s="162"/>
      <c r="AS105" s="162">
        <f t="shared" ref="AS105:AT105" si="153">AS103-AS59-AS60</f>
        <v>-76</v>
      </c>
      <c r="AT105" s="162">
        <f t="shared" si="153"/>
        <v>-93</v>
      </c>
      <c r="AU105" s="162">
        <f t="shared" ref="AU105:BA105" si="154">AU103-AU59-AU60</f>
        <v>1196</v>
      </c>
      <c r="AV105" s="162">
        <f t="shared" si="154"/>
        <v>1187.4654493246487</v>
      </c>
      <c r="AW105" s="162">
        <f t="shared" si="154"/>
        <v>1082.6488994633262</v>
      </c>
      <c r="AX105" s="162">
        <f t="shared" si="154"/>
        <v>906.71200611569816</v>
      </c>
      <c r="AY105" s="162">
        <f t="shared" si="154"/>
        <v>691.34388507025983</v>
      </c>
      <c r="AZ105" s="162">
        <f t="shared" si="154"/>
        <v>468.79088944215187</v>
      </c>
      <c r="BA105" s="162">
        <f t="shared" si="154"/>
        <v>241.95512042618384</v>
      </c>
      <c r="BB105" s="150"/>
      <c r="BC105"/>
      <c r="BD105"/>
      <c r="BE105"/>
      <c r="BF105"/>
      <c r="BG105"/>
      <c r="BH105"/>
      <c r="BI105" s="150"/>
    </row>
    <row r="106" spans="1:61" s="344" customFormat="1">
      <c r="A106" s="340"/>
      <c r="B106" s="677" t="s">
        <v>151</v>
      </c>
      <c r="C106" s="341"/>
      <c r="D106" s="342"/>
      <c r="E106" s="342"/>
      <c r="F106" s="343"/>
      <c r="G106" s="342"/>
      <c r="H106" s="342"/>
      <c r="I106" s="342"/>
      <c r="J106" s="343"/>
      <c r="K106" s="342"/>
      <c r="L106" s="342"/>
      <c r="M106" s="342"/>
      <c r="N106" s="343"/>
      <c r="O106" s="342"/>
      <c r="P106" s="342"/>
      <c r="Q106" s="342"/>
      <c r="R106" s="343"/>
      <c r="S106" s="342"/>
      <c r="T106" s="342"/>
      <c r="U106" s="342"/>
      <c r="V106" s="343"/>
      <c r="W106" s="342"/>
      <c r="X106" s="342"/>
      <c r="Y106" s="342"/>
      <c r="Z106" s="343"/>
      <c r="AA106" s="342"/>
      <c r="AB106" s="342"/>
      <c r="AC106" s="342"/>
      <c r="AD106" s="343">
        <f t="shared" ref="AD106:AE106" si="155">AD105/(AD99)</f>
        <v>-0.12722298221614228</v>
      </c>
      <c r="AE106" s="342">
        <f t="shared" si="155"/>
        <v>-7.1596935769004125E-2</v>
      </c>
      <c r="AF106" s="342">
        <f>AF105/(AF99)</f>
        <v>-9.4976218787158145E-2</v>
      </c>
      <c r="AG106" s="342">
        <f>AG105/(AG99)</f>
        <v>-0.13478197034209366</v>
      </c>
      <c r="AH106" s="343">
        <f>AH105/(AH99)</f>
        <v>1.5392535392535394</v>
      </c>
      <c r="AI106" s="342">
        <f>AI105/(AI99)</f>
        <v>1.5518604047790892</v>
      </c>
      <c r="AJ106" s="342">
        <f t="shared" ref="AJ106:AL106" si="156">AJ105/(AJ99)</f>
        <v>1.4641976957439407</v>
      </c>
      <c r="AK106" s="342">
        <f t="shared" si="156"/>
        <v>1.3861879046788346</v>
      </c>
      <c r="AL106" s="343">
        <f t="shared" si="156"/>
        <v>1.3762921386751925</v>
      </c>
      <c r="AM106" s="340"/>
      <c r="AN106" s="342"/>
      <c r="AO106" s="342"/>
      <c r="AP106" s="342"/>
      <c r="AQ106" s="342"/>
      <c r="AR106" s="342"/>
      <c r="AS106" s="342">
        <f t="shared" ref="AS106:AX106" si="157">AS105/(AS99)</f>
        <v>-0.10764872521246459</v>
      </c>
      <c r="AT106" s="342">
        <f t="shared" si="157"/>
        <v>-0.13419913419913421</v>
      </c>
      <c r="AU106" s="342">
        <f>AU105/(AU99)</f>
        <v>1.5392535392535394</v>
      </c>
      <c r="AV106" s="342">
        <f t="shared" si="157"/>
        <v>1.3762921386751925</v>
      </c>
      <c r="AW106" s="342">
        <f t="shared" si="157"/>
        <v>1.2475564486300084</v>
      </c>
      <c r="AX106" s="342">
        <f t="shared" si="157"/>
        <v>1.0304096364033206</v>
      </c>
      <c r="AY106" s="342">
        <f t="shared" ref="AY106:BA106" si="158">AY105/(AY99)</f>
        <v>0.7691735178977348</v>
      </c>
      <c r="AZ106" s="342">
        <f t="shared" si="158"/>
        <v>0.51360427198457004</v>
      </c>
      <c r="BA106" s="342">
        <f t="shared" si="158"/>
        <v>0.26254216352368431</v>
      </c>
      <c r="BB106" s="340"/>
      <c r="BC106"/>
      <c r="BD106"/>
      <c r="BE106"/>
      <c r="BF106"/>
      <c r="BG106"/>
      <c r="BH106"/>
      <c r="BI106" s="340"/>
    </row>
    <row r="107" spans="1:61" s="160" customFormat="1">
      <c r="A107" s="150"/>
      <c r="B107" s="194"/>
      <c r="C107" s="268"/>
      <c r="D107" s="269"/>
      <c r="E107" s="269"/>
      <c r="F107" s="270"/>
      <c r="G107" s="269"/>
      <c r="H107" s="269"/>
      <c r="I107" s="269"/>
      <c r="J107" s="270"/>
      <c r="K107" s="269"/>
      <c r="L107" s="269"/>
      <c r="M107" s="269"/>
      <c r="N107" s="270"/>
      <c r="O107" s="269"/>
      <c r="P107" s="269"/>
      <c r="Q107" s="269"/>
      <c r="R107" s="270"/>
      <c r="S107" s="269"/>
      <c r="T107" s="269"/>
      <c r="U107" s="269"/>
      <c r="V107" s="270"/>
      <c r="W107" s="269"/>
      <c r="X107" s="269"/>
      <c r="Y107" s="269"/>
      <c r="Z107" s="270"/>
      <c r="AA107" s="269"/>
      <c r="AB107" s="269"/>
      <c r="AC107" s="269"/>
      <c r="AD107" s="270"/>
      <c r="AE107" s="269"/>
      <c r="AF107" s="269"/>
      <c r="AG107" s="269"/>
      <c r="AH107" s="270"/>
      <c r="AI107" s="269"/>
      <c r="AJ107" s="269"/>
      <c r="AK107" s="269"/>
      <c r="AL107" s="270"/>
      <c r="AM107" s="150"/>
      <c r="AN107" s="269"/>
      <c r="AO107" s="269"/>
      <c r="AP107" s="269"/>
      <c r="AQ107" s="269"/>
      <c r="AR107" s="269"/>
      <c r="AS107" s="269"/>
      <c r="AT107" s="269"/>
      <c r="AU107" s="269"/>
      <c r="AV107" s="269"/>
      <c r="AW107" s="269"/>
      <c r="AX107" s="269"/>
      <c r="AY107" s="269"/>
      <c r="AZ107" s="269"/>
      <c r="BA107" s="269"/>
      <c r="BB107" s="150"/>
      <c r="BC107"/>
      <c r="BD107"/>
      <c r="BE107"/>
      <c r="BF107"/>
      <c r="BG107"/>
      <c r="BH107"/>
      <c r="BI107" s="150"/>
    </row>
    <row r="108" spans="1:61" s="349" customFormat="1">
      <c r="A108" s="236"/>
      <c r="B108" s="402" t="s">
        <v>152</v>
      </c>
      <c r="C108" s="346"/>
      <c r="D108" s="347"/>
      <c r="E108" s="347"/>
      <c r="F108" s="348"/>
      <c r="G108" s="347"/>
      <c r="H108" s="347"/>
      <c r="I108" s="347"/>
      <c r="J108" s="348"/>
      <c r="K108" s="347"/>
      <c r="L108" s="347"/>
      <c r="M108" s="347"/>
      <c r="N108" s="348"/>
      <c r="O108" s="347"/>
      <c r="P108" s="347"/>
      <c r="Q108" s="347"/>
      <c r="R108" s="348"/>
      <c r="S108" s="347"/>
      <c r="T108" s="347"/>
      <c r="U108" s="347"/>
      <c r="V108" s="348"/>
      <c r="W108" s="347"/>
      <c r="X108" s="347"/>
      <c r="Y108" s="347"/>
      <c r="Z108" s="348"/>
      <c r="AA108" s="347"/>
      <c r="AB108" s="347"/>
      <c r="AC108" s="347"/>
      <c r="AD108" s="348">
        <f>AD100/(AD103+AD82+AD84)</f>
        <v>0.38183094644289883</v>
      </c>
      <c r="AE108" s="347">
        <f t="shared" ref="AE108:AG108" si="159">AE100/(AE103+AE82+AE84)</f>
        <v>0.35784486088475714</v>
      </c>
      <c r="AF108" s="347">
        <f t="shared" si="159"/>
        <v>0.3516175101400118</v>
      </c>
      <c r="AG108" s="347">
        <f t="shared" si="159"/>
        <v>0.22432610128454211</v>
      </c>
      <c r="AH108" s="348">
        <f t="shared" ref="AH108" si="160">AH100/(AH103+AH82+AH84)</f>
        <v>0.28669914595527363</v>
      </c>
      <c r="AI108" s="347">
        <f>AI100/(AI103+AI82+AI84)</f>
        <v>0.27321533104999701</v>
      </c>
      <c r="AJ108" s="347">
        <f>AJ100/(AJ103+AJ82+AJ84)</f>
        <v>0.26909201488462081</v>
      </c>
      <c r="AK108" s="347">
        <f>AK100/(AK103+AK82+AK84)</f>
        <v>0.26883383656990795</v>
      </c>
      <c r="AL108" s="348">
        <f>AL100/(AL103+AL82+AL84)</f>
        <v>0.25670774055264978</v>
      </c>
      <c r="AM108" s="236"/>
      <c r="AN108" s="347"/>
      <c r="AO108" s="347"/>
      <c r="AP108" s="347"/>
      <c r="AQ108" s="347"/>
      <c r="AR108" s="347"/>
      <c r="AS108" s="347">
        <f t="shared" ref="AS108:AX108" si="161">AS100/(AS103+AS82+AS84)</f>
        <v>0.31522349529373311</v>
      </c>
      <c r="AT108" s="347">
        <f t="shared" si="161"/>
        <v>0.38216510133465148</v>
      </c>
      <c r="AU108" s="347">
        <f t="shared" si="161"/>
        <v>0.2867463786439331</v>
      </c>
      <c r="AV108" s="347">
        <f t="shared" si="161"/>
        <v>0.25670774055264978</v>
      </c>
      <c r="AW108" s="347">
        <f t="shared" si="161"/>
        <v>0.22545723377780183</v>
      </c>
      <c r="AX108" s="347">
        <f t="shared" si="161"/>
        <v>0.2022051794320634</v>
      </c>
      <c r="AY108" s="347">
        <f t="shared" ref="AY108:BA108" si="162">AY100/(AY103+AY82+AY84)</f>
        <v>0.18430499574802811</v>
      </c>
      <c r="AZ108" s="347">
        <f t="shared" si="162"/>
        <v>0.16841971042343609</v>
      </c>
      <c r="BA108" s="347">
        <f t="shared" si="162"/>
        <v>0.15423691563368347</v>
      </c>
      <c r="BB108" s="236"/>
      <c r="BC108"/>
      <c r="BD108"/>
      <c r="BE108"/>
      <c r="BF108"/>
      <c r="BG108"/>
      <c r="BH108"/>
      <c r="BI108" s="236"/>
    </row>
    <row r="109" spans="1:61" s="160" customFormat="1">
      <c r="A109" s="150"/>
      <c r="B109" s="194"/>
      <c r="C109" s="268"/>
      <c r="D109" s="269"/>
      <c r="E109" s="269"/>
      <c r="F109" s="270"/>
      <c r="G109" s="269"/>
      <c r="H109" s="269"/>
      <c r="I109" s="269"/>
      <c r="J109" s="270"/>
      <c r="K109" s="269"/>
      <c r="L109" s="269"/>
      <c r="M109" s="269"/>
      <c r="N109" s="270"/>
      <c r="O109" s="269"/>
      <c r="P109" s="269"/>
      <c r="Q109" s="269"/>
      <c r="R109" s="270"/>
      <c r="S109" s="269"/>
      <c r="T109" s="269"/>
      <c r="U109" s="269"/>
      <c r="V109" s="270"/>
      <c r="W109" s="269"/>
      <c r="X109" s="269"/>
      <c r="Y109" s="269"/>
      <c r="Z109" s="270"/>
      <c r="AA109" s="269"/>
      <c r="AB109" s="269"/>
      <c r="AC109" s="269"/>
      <c r="AD109" s="270"/>
      <c r="AE109" s="269"/>
      <c r="AF109" s="269"/>
      <c r="AG109" s="269"/>
      <c r="AH109" s="270"/>
      <c r="AI109" s="269"/>
      <c r="AJ109" s="269"/>
      <c r="AK109" s="269"/>
      <c r="AL109" s="270"/>
      <c r="AM109" s="150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69"/>
      <c r="BB109" s="150"/>
      <c r="BC109"/>
      <c r="BD109"/>
      <c r="BE109"/>
      <c r="BF109"/>
      <c r="BG109"/>
      <c r="BH109"/>
      <c r="BI109" s="150"/>
    </row>
    <row r="110" spans="1:61" s="160" customFormat="1">
      <c r="A110" s="350"/>
      <c r="B110" s="648" t="s">
        <v>153</v>
      </c>
      <c r="C110" s="280" t="str">
        <f>C$4</f>
        <v>1Q10</v>
      </c>
      <c r="D110" s="281" t="str">
        <f t="shared" ref="D110:AL110" si="163">D$4</f>
        <v>2Q10</v>
      </c>
      <c r="E110" s="281" t="str">
        <f t="shared" si="163"/>
        <v>3Q10</v>
      </c>
      <c r="F110" s="282" t="str">
        <f t="shared" si="163"/>
        <v>4Q10</v>
      </c>
      <c r="G110" s="281" t="str">
        <f t="shared" si="163"/>
        <v>1Q11</v>
      </c>
      <c r="H110" s="281" t="str">
        <f t="shared" si="163"/>
        <v>2Q11</v>
      </c>
      <c r="I110" s="281" t="str">
        <f t="shared" si="163"/>
        <v>3Q11</v>
      </c>
      <c r="J110" s="282" t="str">
        <f t="shared" si="163"/>
        <v>4Q11</v>
      </c>
      <c r="K110" s="281" t="str">
        <f t="shared" si="163"/>
        <v>1Q12</v>
      </c>
      <c r="L110" s="281" t="str">
        <f t="shared" si="163"/>
        <v>2Q12</v>
      </c>
      <c r="M110" s="281" t="str">
        <f t="shared" si="163"/>
        <v>3Q12</v>
      </c>
      <c r="N110" s="282" t="str">
        <f t="shared" si="163"/>
        <v>4Q12</v>
      </c>
      <c r="O110" s="281" t="str">
        <f t="shared" si="163"/>
        <v>1Q13</v>
      </c>
      <c r="P110" s="281" t="str">
        <f t="shared" si="163"/>
        <v>2Q13</v>
      </c>
      <c r="Q110" s="281" t="str">
        <f t="shared" si="163"/>
        <v>3Q13</v>
      </c>
      <c r="R110" s="282" t="str">
        <f t="shared" si="163"/>
        <v>4Q13</v>
      </c>
      <c r="S110" s="281" t="str">
        <f t="shared" si="163"/>
        <v>1Q14</v>
      </c>
      <c r="T110" s="281" t="str">
        <f t="shared" si="163"/>
        <v>2Q14</v>
      </c>
      <c r="U110" s="281" t="str">
        <f t="shared" si="163"/>
        <v>3Q14</v>
      </c>
      <c r="V110" s="282" t="str">
        <f t="shared" si="163"/>
        <v>4Q14</v>
      </c>
      <c r="W110" s="281" t="str">
        <f t="shared" si="163"/>
        <v>1Q15</v>
      </c>
      <c r="X110" s="281" t="str">
        <f t="shared" si="163"/>
        <v>2Q15</v>
      </c>
      <c r="Y110" s="281" t="str">
        <f t="shared" si="163"/>
        <v>3Q15</v>
      </c>
      <c r="Z110" s="282" t="str">
        <f t="shared" si="163"/>
        <v>4Q15</v>
      </c>
      <c r="AA110" s="281" t="str">
        <f t="shared" si="163"/>
        <v>1Q16</v>
      </c>
      <c r="AB110" s="281" t="str">
        <f t="shared" si="163"/>
        <v>2Q16</v>
      </c>
      <c r="AC110" s="281" t="str">
        <f t="shared" si="163"/>
        <v>3Q16</v>
      </c>
      <c r="AD110" s="282" t="str">
        <f t="shared" si="163"/>
        <v>4Q16</v>
      </c>
      <c r="AE110" s="281" t="str">
        <f t="shared" si="163"/>
        <v>1Q17</v>
      </c>
      <c r="AF110" s="281" t="str">
        <f t="shared" si="163"/>
        <v>2Q17</v>
      </c>
      <c r="AG110" s="281" t="str">
        <f t="shared" si="163"/>
        <v>3Q17</v>
      </c>
      <c r="AH110" s="282" t="str">
        <f t="shared" si="163"/>
        <v>4Q17</v>
      </c>
      <c r="AI110" s="281" t="str">
        <f t="shared" si="163"/>
        <v>1Q18e</v>
      </c>
      <c r="AJ110" s="281" t="str">
        <f t="shared" si="163"/>
        <v>2Q18e</v>
      </c>
      <c r="AK110" s="281" t="str">
        <f t="shared" si="163"/>
        <v>3Q18e</v>
      </c>
      <c r="AL110" s="282" t="str">
        <f t="shared" si="163"/>
        <v>4Q18e</v>
      </c>
      <c r="AM110" s="350"/>
      <c r="AN110" s="281">
        <f t="shared" ref="AN110:BA110" si="164">AN$4</f>
        <v>2010</v>
      </c>
      <c r="AO110" s="281">
        <f t="shared" si="164"/>
        <v>2011</v>
      </c>
      <c r="AP110" s="281">
        <f t="shared" si="164"/>
        <v>2012</v>
      </c>
      <c r="AQ110" s="281">
        <f t="shared" si="164"/>
        <v>2013</v>
      </c>
      <c r="AR110" s="281">
        <f t="shared" si="164"/>
        <v>2014</v>
      </c>
      <c r="AS110" s="281">
        <f t="shared" si="164"/>
        <v>2015</v>
      </c>
      <c r="AT110" s="281">
        <f t="shared" si="164"/>
        <v>2016</v>
      </c>
      <c r="AU110" s="281">
        <f t="shared" si="164"/>
        <v>2017</v>
      </c>
      <c r="AV110" s="281" t="str">
        <f t="shared" si="164"/>
        <v>2018e</v>
      </c>
      <c r="AW110" s="281" t="str">
        <f t="shared" si="164"/>
        <v>2019e</v>
      </c>
      <c r="AX110" s="281" t="str">
        <f t="shared" si="164"/>
        <v>2020e</v>
      </c>
      <c r="AY110" s="281" t="str">
        <f t="shared" si="164"/>
        <v>2021e</v>
      </c>
      <c r="AZ110" s="281" t="str">
        <f t="shared" si="164"/>
        <v>2022e</v>
      </c>
      <c r="BA110" s="281" t="str">
        <f t="shared" si="164"/>
        <v>2023e</v>
      </c>
      <c r="BB110" s="350"/>
      <c r="BC110"/>
      <c r="BD110"/>
      <c r="BE110"/>
      <c r="BF110"/>
      <c r="BG110"/>
      <c r="BH110"/>
      <c r="BI110" s="350"/>
    </row>
    <row r="111" spans="1:61" s="160" customFormat="1">
      <c r="A111" s="150"/>
      <c r="B111" s="653"/>
      <c r="C111" s="189"/>
      <c r="D111" s="352"/>
      <c r="E111" s="352"/>
      <c r="F111" s="353"/>
      <c r="G111" s="138"/>
      <c r="H111" s="138"/>
      <c r="I111" s="138"/>
      <c r="J111" s="194"/>
      <c r="K111" s="138"/>
      <c r="L111" s="138"/>
      <c r="M111" s="138"/>
      <c r="N111" s="194"/>
      <c r="O111" s="138"/>
      <c r="P111" s="138"/>
      <c r="Q111" s="138"/>
      <c r="R111" s="194"/>
      <c r="S111" s="138"/>
      <c r="T111" s="138"/>
      <c r="U111" s="138"/>
      <c r="V111" s="194"/>
      <c r="W111" s="138"/>
      <c r="X111" s="138"/>
      <c r="Y111" s="138"/>
      <c r="Z111" s="194"/>
      <c r="AA111" s="138"/>
      <c r="AB111" s="138"/>
      <c r="AC111" s="138"/>
      <c r="AD111" s="194"/>
      <c r="AE111" s="139"/>
      <c r="AF111" s="139"/>
      <c r="AG111" s="139"/>
      <c r="AH111" s="194"/>
      <c r="AI111" s="139"/>
      <c r="AJ111" s="139"/>
      <c r="AK111" s="139"/>
      <c r="AL111" s="237"/>
      <c r="AM111" s="168"/>
      <c r="AN111" s="269"/>
      <c r="AO111" s="269"/>
      <c r="AP111" s="269"/>
      <c r="AQ111" s="269"/>
      <c r="AR111" s="139"/>
      <c r="AS111" s="139"/>
      <c r="AT111" s="139"/>
      <c r="AU111" s="139"/>
      <c r="AV111" s="139"/>
      <c r="AW111" s="139"/>
      <c r="AX111" s="139"/>
      <c r="AY111" s="139"/>
      <c r="AZ111" s="139"/>
      <c r="BA111" s="139"/>
      <c r="BB111" s="150"/>
      <c r="BC111"/>
      <c r="BD111"/>
      <c r="BE111"/>
      <c r="BF111"/>
      <c r="BG111"/>
      <c r="BH111"/>
      <c r="BI111" s="150"/>
    </row>
    <row r="112" spans="1:61" s="160" customFormat="1">
      <c r="A112" s="354"/>
      <c r="B112" s="668" t="s">
        <v>154</v>
      </c>
      <c r="C112" s="189"/>
      <c r="D112" s="352"/>
      <c r="E112" s="352"/>
      <c r="F112" s="353"/>
      <c r="G112" s="138"/>
      <c r="H112" s="352"/>
      <c r="I112" s="138"/>
      <c r="J112" s="194"/>
      <c r="K112" s="138"/>
      <c r="L112" s="138"/>
      <c r="M112" s="138"/>
      <c r="N112" s="194"/>
      <c r="O112" s="138"/>
      <c r="P112" s="138"/>
      <c r="Q112" s="138"/>
      <c r="R112" s="194"/>
      <c r="S112" s="162"/>
      <c r="T112" s="138"/>
      <c r="U112" s="138"/>
      <c r="V112" s="194"/>
      <c r="W112" s="162"/>
      <c r="X112" s="138"/>
      <c r="Y112" s="138"/>
      <c r="Z112" s="194"/>
      <c r="AA112" s="162"/>
      <c r="AB112" s="138"/>
      <c r="AC112" s="138"/>
      <c r="AD112" s="194"/>
      <c r="AE112" s="167"/>
      <c r="AF112" s="167"/>
      <c r="AG112" s="167"/>
      <c r="AH112" s="175"/>
      <c r="AI112" s="166"/>
      <c r="AJ112" s="166"/>
      <c r="AK112" s="166"/>
      <c r="AL112" s="176"/>
      <c r="AM112" s="354"/>
      <c r="AN112" s="269"/>
      <c r="AO112" s="269"/>
      <c r="AP112" s="269"/>
      <c r="AQ112" s="269"/>
      <c r="AR112" s="139"/>
      <c r="AS112" s="139"/>
      <c r="AT112" s="139"/>
      <c r="AU112" s="139"/>
      <c r="AV112" s="139"/>
      <c r="AW112" s="139"/>
      <c r="AX112" s="139"/>
      <c r="AY112" s="139"/>
      <c r="AZ112" s="139"/>
      <c r="BA112" s="139"/>
      <c r="BB112" s="354"/>
      <c r="BC112"/>
      <c r="BD112"/>
      <c r="BE112"/>
      <c r="BF112"/>
      <c r="BG112"/>
      <c r="BH112"/>
      <c r="BI112" s="354"/>
    </row>
    <row r="113" spans="1:61" s="168" customFormat="1">
      <c r="A113" s="150"/>
      <c r="B113" s="226" t="s">
        <v>155</v>
      </c>
      <c r="C113" s="174"/>
      <c r="D113" s="167"/>
      <c r="E113" s="167"/>
      <c r="F113" s="175"/>
      <c r="G113" s="167"/>
      <c r="H113" s="167"/>
      <c r="I113" s="167"/>
      <c r="J113" s="175"/>
      <c r="K113" s="167"/>
      <c r="L113" s="167"/>
      <c r="M113" s="167"/>
      <c r="N113" s="175"/>
      <c r="O113" s="167"/>
      <c r="P113" s="167"/>
      <c r="Q113" s="167"/>
      <c r="R113" s="175"/>
      <c r="S113" s="167"/>
      <c r="T113" s="167"/>
      <c r="U113" s="167"/>
      <c r="V113" s="175"/>
      <c r="W113" s="167"/>
      <c r="X113" s="167"/>
      <c r="Y113" s="167"/>
      <c r="Z113" s="175"/>
      <c r="AA113" s="167">
        <v>101</v>
      </c>
      <c r="AB113" s="167">
        <f>96-AA113</f>
        <v>-5</v>
      </c>
      <c r="AC113" s="167">
        <f>180-AB113-AA113</f>
        <v>84</v>
      </c>
      <c r="AD113" s="175">
        <f>268-AC113-AB113-AA113</f>
        <v>88</v>
      </c>
      <c r="AE113" s="167">
        <v>111</v>
      </c>
      <c r="AF113" s="167">
        <f>167-AE113</f>
        <v>56</v>
      </c>
      <c r="AG113" s="167">
        <f>254-AF113-AE113</f>
        <v>87</v>
      </c>
      <c r="AH113" s="176">
        <f t="shared" ref="AH113:AH119" si="165">AU113-AG113-AF113-AE113</f>
        <v>65</v>
      </c>
      <c r="AI113" s="166">
        <f>AI29</f>
        <v>100.06600830000002</v>
      </c>
      <c r="AJ113" s="166">
        <f>AJ29</f>
        <v>122.65631750000003</v>
      </c>
      <c r="AK113" s="166">
        <f>AK29</f>
        <v>119.46569375000001</v>
      </c>
      <c r="AL113" s="176">
        <f>AL29</f>
        <v>99.571461100000008</v>
      </c>
      <c r="AM113" s="150"/>
      <c r="AN113" s="198"/>
      <c r="AO113" s="198"/>
      <c r="AP113" s="198"/>
      <c r="AQ113" s="198"/>
      <c r="AR113" s="167">
        <v>342</v>
      </c>
      <c r="AS113" s="260">
        <v>306</v>
      </c>
      <c r="AT113" s="166">
        <f>SUM(AA113:AD113)</f>
        <v>268</v>
      </c>
      <c r="AU113" s="167">
        <v>319</v>
      </c>
      <c r="AV113" s="198">
        <f>SUM(AI113:AL113)</f>
        <v>441.75948065000006</v>
      </c>
      <c r="AW113" s="166">
        <f>AW29</f>
        <v>441.35078965747601</v>
      </c>
      <c r="AX113" s="166">
        <f>AX29</f>
        <v>445.0573888399029</v>
      </c>
      <c r="AY113" s="166">
        <f>AY29</f>
        <v>452.53984926494491</v>
      </c>
      <c r="AZ113" s="166">
        <f>AZ29</f>
        <v>456.7881889456886</v>
      </c>
      <c r="BA113" s="166">
        <f>BA29</f>
        <v>457.75429904994371</v>
      </c>
      <c r="BB113" s="150"/>
      <c r="BC113"/>
      <c r="BD113"/>
      <c r="BE113"/>
      <c r="BF113"/>
      <c r="BG113"/>
      <c r="BH113"/>
      <c r="BI113" s="150"/>
    </row>
    <row r="114" spans="1:61" s="168" customFormat="1">
      <c r="A114" s="150"/>
      <c r="B114" s="226" t="s">
        <v>156</v>
      </c>
      <c r="C114" s="174"/>
      <c r="D114" s="167"/>
      <c r="E114" s="167"/>
      <c r="F114" s="175"/>
      <c r="G114" s="167"/>
      <c r="H114" s="167"/>
      <c r="I114" s="167"/>
      <c r="J114" s="175"/>
      <c r="K114" s="167"/>
      <c r="L114" s="167"/>
      <c r="M114" s="167"/>
      <c r="N114" s="175"/>
      <c r="O114" s="167"/>
      <c r="P114" s="167"/>
      <c r="Q114" s="167"/>
      <c r="R114" s="175"/>
      <c r="S114" s="167"/>
      <c r="T114" s="167"/>
      <c r="U114" s="167"/>
      <c r="V114" s="175"/>
      <c r="W114" s="167"/>
      <c r="X114" s="167"/>
      <c r="Y114" s="167"/>
      <c r="Z114" s="175"/>
      <c r="AA114" s="167">
        <f>40+4</f>
        <v>44</v>
      </c>
      <c r="AB114" s="167">
        <f>104+9-AA114</f>
        <v>69</v>
      </c>
      <c r="AC114" s="167">
        <f>145+13-AB114-AA114</f>
        <v>45</v>
      </c>
      <c r="AD114" s="175">
        <f>193+17-AC114-AB114-AA114</f>
        <v>52</v>
      </c>
      <c r="AE114" s="167">
        <f>44+4</f>
        <v>48</v>
      </c>
      <c r="AF114" s="167">
        <f>89+8-AE114</f>
        <v>49</v>
      </c>
      <c r="AG114" s="167">
        <f>131+13-AF114-AE114</f>
        <v>47</v>
      </c>
      <c r="AH114" s="176">
        <f t="shared" si="165"/>
        <v>57</v>
      </c>
      <c r="AI114" s="257">
        <f>Segments!AI71</f>
        <v>58.296593406593409</v>
      </c>
      <c r="AJ114" s="257">
        <f>Segments!AJ71</f>
        <v>58.688971742543174</v>
      </c>
      <c r="AK114" s="257">
        <f>Segments!AK71</f>
        <v>59.645310047095762</v>
      </c>
      <c r="AL114" s="258">
        <f>Segments!AL71</f>
        <v>52.440000000000012</v>
      </c>
      <c r="AM114" s="150"/>
      <c r="AN114" s="198"/>
      <c r="AO114" s="198"/>
      <c r="AP114" s="198"/>
      <c r="AQ114" s="198"/>
      <c r="AR114" s="167">
        <f>162+32</f>
        <v>194</v>
      </c>
      <c r="AS114" s="260">
        <f>166+23</f>
        <v>189</v>
      </c>
      <c r="AT114" s="166">
        <f t="shared" ref="AT114:AT124" si="166">SUM(AA114:AD114)</f>
        <v>210</v>
      </c>
      <c r="AU114" s="167">
        <v>201</v>
      </c>
      <c r="AV114" s="198">
        <f t="shared" ref="AV114:AV124" si="167">SUM(AI114:AL114)</f>
        <v>229.07087519623235</v>
      </c>
      <c r="AW114" s="257">
        <f>Segments!AW71</f>
        <v>234.57840487940194</v>
      </c>
      <c r="AX114" s="257">
        <f>Segments!AX71</f>
        <v>242.25001829055842</v>
      </c>
      <c r="AY114" s="257">
        <f>Segments!AY71</f>
        <v>252.09599545527144</v>
      </c>
      <c r="AZ114" s="257">
        <f>Segments!AZ71</f>
        <v>260.91082259754609</v>
      </c>
      <c r="BA114" s="257">
        <f>Segments!BA71</f>
        <v>268.58534373593568</v>
      </c>
      <c r="BB114" s="150"/>
      <c r="BC114"/>
      <c r="BD114"/>
      <c r="BE114"/>
      <c r="BF114"/>
      <c r="BG114"/>
      <c r="BH114"/>
      <c r="BI114" s="150"/>
    </row>
    <row r="115" spans="1:61" s="168" customFormat="1">
      <c r="A115" s="150"/>
      <c r="B115" s="226" t="s">
        <v>157</v>
      </c>
      <c r="C115" s="174"/>
      <c r="D115" s="167"/>
      <c r="E115" s="167"/>
      <c r="F115" s="175"/>
      <c r="G115" s="167"/>
      <c r="H115" s="167"/>
      <c r="I115" s="167"/>
      <c r="J115" s="175"/>
      <c r="K115" s="167"/>
      <c r="L115" s="167"/>
      <c r="M115" s="167"/>
      <c r="N115" s="175"/>
      <c r="O115" s="167"/>
      <c r="P115" s="167"/>
      <c r="Q115" s="167"/>
      <c r="R115" s="175"/>
      <c r="S115" s="167"/>
      <c r="T115" s="167"/>
      <c r="U115" s="167"/>
      <c r="V115" s="175"/>
      <c r="W115" s="167"/>
      <c r="X115" s="167"/>
      <c r="Y115" s="167"/>
      <c r="Z115" s="175"/>
      <c r="AA115" s="167">
        <v>-10</v>
      </c>
      <c r="AB115" s="167">
        <f>69-AA115</f>
        <v>79</v>
      </c>
      <c r="AC115" s="167">
        <f>31-AB115-AA115</f>
        <v>-38</v>
      </c>
      <c r="AD115" s="175">
        <f>-4-AC115-AB115-AA115</f>
        <v>-35</v>
      </c>
      <c r="AE115" s="167">
        <v>-14</v>
      </c>
      <c r="AF115" s="167">
        <f>30-AE115</f>
        <v>44</v>
      </c>
      <c r="AG115" s="167">
        <f>9-AF115-AE115</f>
        <v>-21</v>
      </c>
      <c r="AH115" s="176">
        <f t="shared" si="165"/>
        <v>1</v>
      </c>
      <c r="AI115" s="166">
        <f>$AV$115/4</f>
        <v>-43.75</v>
      </c>
      <c r="AJ115" s="166">
        <f>$AV$115/4</f>
        <v>-43.75</v>
      </c>
      <c r="AK115" s="166">
        <f>$AV$115/4</f>
        <v>-43.75</v>
      </c>
      <c r="AL115" s="176">
        <f>$AV$115/4</f>
        <v>-43.75</v>
      </c>
      <c r="AM115" s="150"/>
      <c r="AN115" s="198"/>
      <c r="AO115" s="198"/>
      <c r="AP115" s="198"/>
      <c r="AQ115" s="198"/>
      <c r="AR115" s="167">
        <v>18</v>
      </c>
      <c r="AS115" s="260">
        <v>60</v>
      </c>
      <c r="AT115" s="166">
        <f t="shared" si="166"/>
        <v>-4</v>
      </c>
      <c r="AU115" s="167">
        <v>10</v>
      </c>
      <c r="AV115" s="167">
        <f>-AVERAGE(95,100)-AVERAGE(75,80)</f>
        <v>-175</v>
      </c>
      <c r="AW115" s="167">
        <f>-AVERAGE(95,100)</f>
        <v>-97.5</v>
      </c>
      <c r="AX115" s="167">
        <f>AVERAGE(AW115,AY115)</f>
        <v>-58.75</v>
      </c>
      <c r="AY115" s="167">
        <f>-AVERAGE(15,25)</f>
        <v>-20</v>
      </c>
      <c r="AZ115" s="167">
        <f t="shared" ref="AZ115:BA115" si="168">AY115</f>
        <v>-20</v>
      </c>
      <c r="BA115" s="167">
        <f t="shared" si="168"/>
        <v>-20</v>
      </c>
      <c r="BB115" s="150"/>
      <c r="BC115"/>
      <c r="BD115"/>
      <c r="BE115"/>
      <c r="BF115"/>
      <c r="BG115"/>
      <c r="BH115"/>
      <c r="BI115" s="150"/>
    </row>
    <row r="116" spans="1:61" s="168" customFormat="1">
      <c r="A116" s="150"/>
      <c r="B116" s="226" t="s">
        <v>289</v>
      </c>
      <c r="C116" s="174"/>
      <c r="D116" s="167"/>
      <c r="E116" s="167"/>
      <c r="F116" s="175"/>
      <c r="G116" s="167"/>
      <c r="H116" s="167"/>
      <c r="I116" s="167"/>
      <c r="J116" s="175"/>
      <c r="K116" s="167"/>
      <c r="L116" s="167"/>
      <c r="M116" s="167"/>
      <c r="N116" s="175"/>
      <c r="O116" s="167"/>
      <c r="P116" s="167"/>
      <c r="Q116" s="167"/>
      <c r="R116" s="175"/>
      <c r="S116" s="167"/>
      <c r="T116" s="167"/>
      <c r="U116" s="167"/>
      <c r="V116" s="175"/>
      <c r="W116" s="167"/>
      <c r="X116" s="167"/>
      <c r="Y116" s="167"/>
      <c r="Z116" s="175"/>
      <c r="AD116" s="275"/>
      <c r="AE116" s="167">
        <f>11-11</f>
        <v>0</v>
      </c>
      <c r="AF116" s="167">
        <f>24-22-AE116</f>
        <v>2</v>
      </c>
      <c r="AG116" s="167">
        <f>35-33-AF116-AE116</f>
        <v>0</v>
      </c>
      <c r="AH116" s="176">
        <f t="shared" si="165"/>
        <v>-9</v>
      </c>
      <c r="AI116" s="167"/>
      <c r="AJ116" s="167"/>
      <c r="AK116" s="167"/>
      <c r="AL116" s="175"/>
      <c r="AM116" s="150"/>
      <c r="AN116" s="198"/>
      <c r="AO116" s="198"/>
      <c r="AP116" s="198"/>
      <c r="AQ116" s="198"/>
      <c r="AR116" s="167">
        <f>41-59</f>
        <v>-18</v>
      </c>
      <c r="AS116" s="260">
        <f>39-54</f>
        <v>-15</v>
      </c>
      <c r="AT116" s="166">
        <f t="shared" si="166"/>
        <v>0</v>
      </c>
      <c r="AU116" s="167">
        <v>-7</v>
      </c>
      <c r="AV116" s="198">
        <f t="shared" si="167"/>
        <v>0</v>
      </c>
      <c r="AW116" s="167"/>
      <c r="AX116" s="167"/>
      <c r="AY116" s="167"/>
      <c r="AZ116" s="167"/>
      <c r="BA116" s="167"/>
      <c r="BB116" s="150"/>
      <c r="BC116"/>
      <c r="BD116"/>
      <c r="BE116"/>
      <c r="BF116"/>
      <c r="BG116"/>
      <c r="BH116"/>
      <c r="BI116" s="150"/>
    </row>
    <row r="117" spans="1:61" s="168" customFormat="1">
      <c r="A117" s="150"/>
      <c r="B117" s="226" t="s">
        <v>102</v>
      </c>
      <c r="C117" s="174"/>
      <c r="D117" s="167"/>
      <c r="E117" s="167"/>
      <c r="F117" s="175"/>
      <c r="G117" s="167"/>
      <c r="H117" s="167"/>
      <c r="I117" s="167"/>
      <c r="J117" s="175"/>
      <c r="K117" s="167"/>
      <c r="L117" s="167"/>
      <c r="M117" s="167"/>
      <c r="N117" s="175"/>
      <c r="O117" s="167"/>
      <c r="P117" s="167"/>
      <c r="Q117" s="167"/>
      <c r="R117" s="175"/>
      <c r="S117" s="167"/>
      <c r="T117" s="167"/>
      <c r="U117" s="167"/>
      <c r="V117" s="175"/>
      <c r="W117" s="167"/>
      <c r="X117" s="167"/>
      <c r="Y117" s="167"/>
      <c r="Z117" s="175"/>
      <c r="AA117" s="167"/>
      <c r="AB117" s="167">
        <f>-3-AA117</f>
        <v>-3</v>
      </c>
      <c r="AC117" s="167">
        <f>0-3-AB117-AA117</f>
        <v>0</v>
      </c>
      <c r="AD117" s="175">
        <f>0-4-12-AC117-AB117-AA117</f>
        <v>-13</v>
      </c>
      <c r="AE117" s="167">
        <v>-1</v>
      </c>
      <c r="AF117" s="167">
        <f>-1-AE117</f>
        <v>0</v>
      </c>
      <c r="AG117" s="167">
        <f>-2+1-AF117-AE117</f>
        <v>0</v>
      </c>
      <c r="AH117" s="176">
        <f t="shared" si="165"/>
        <v>-4</v>
      </c>
      <c r="AI117" s="257">
        <f>AI19-Debt!$I$11</f>
        <v>-10.153750000000002</v>
      </c>
      <c r="AJ117" s="257">
        <f>AJ19-Debt!$J$11</f>
        <v>9.8462499999999995</v>
      </c>
      <c r="AK117" s="257">
        <f>AK19-Debt!$K$11</f>
        <v>-10.153750000000002</v>
      </c>
      <c r="AL117" s="258">
        <f>AL19-Debt!$L$11</f>
        <v>9.8462499999999995</v>
      </c>
      <c r="AM117" s="150"/>
      <c r="AN117" s="198"/>
      <c r="AO117" s="198"/>
      <c r="AP117" s="198"/>
      <c r="AQ117" s="198"/>
      <c r="AR117" s="167">
        <f>-9+1+1</f>
        <v>-7</v>
      </c>
      <c r="AS117" s="260">
        <f>3+1</f>
        <v>4</v>
      </c>
      <c r="AT117" s="166">
        <f t="shared" si="166"/>
        <v>-16</v>
      </c>
      <c r="AU117" s="167">
        <v>-5</v>
      </c>
      <c r="AV117" s="198">
        <f t="shared" si="167"/>
        <v>-0.61500000000000554</v>
      </c>
      <c r="AW117" s="356"/>
      <c r="AX117" s="356"/>
      <c r="AY117" s="356"/>
      <c r="AZ117" s="356"/>
      <c r="BA117" s="356"/>
      <c r="BB117" s="150"/>
      <c r="BC117"/>
      <c r="BD117"/>
      <c r="BE117"/>
      <c r="BF117"/>
      <c r="BG117"/>
      <c r="BH117"/>
      <c r="BI117" s="150"/>
    </row>
    <row r="118" spans="1:61" s="168" customFormat="1">
      <c r="A118" s="150"/>
      <c r="B118" s="226" t="s">
        <v>159</v>
      </c>
      <c r="C118" s="174"/>
      <c r="D118" s="167"/>
      <c r="E118" s="167"/>
      <c r="F118" s="175"/>
      <c r="G118" s="167"/>
      <c r="H118" s="167"/>
      <c r="I118" s="167"/>
      <c r="J118" s="175"/>
      <c r="K118" s="167"/>
      <c r="L118" s="167"/>
      <c r="M118" s="167"/>
      <c r="N118" s="175"/>
      <c r="O118" s="167"/>
      <c r="P118" s="167"/>
      <c r="Q118" s="167"/>
      <c r="R118" s="175"/>
      <c r="S118" s="167"/>
      <c r="T118" s="167"/>
      <c r="U118" s="167"/>
      <c r="V118" s="175"/>
      <c r="W118" s="167"/>
      <c r="X118" s="167"/>
      <c r="Y118" s="167"/>
      <c r="Z118" s="175"/>
      <c r="AA118" s="167">
        <v>5</v>
      </c>
      <c r="AB118" s="167">
        <f>7-AA118</f>
        <v>2</v>
      </c>
      <c r="AC118" s="167">
        <f>12-AB118-AA118</f>
        <v>5</v>
      </c>
      <c r="AD118" s="175">
        <f>19-AC118-AB118-AA118</f>
        <v>7</v>
      </c>
      <c r="AE118" s="167">
        <v>5</v>
      </c>
      <c r="AF118" s="167">
        <f>8-AE118</f>
        <v>3</v>
      </c>
      <c r="AG118" s="167">
        <f>12-AF118-AE118</f>
        <v>4</v>
      </c>
      <c r="AH118" s="176">
        <f t="shared" si="165"/>
        <v>52</v>
      </c>
      <c r="AI118" s="167">
        <v>5</v>
      </c>
      <c r="AJ118" s="167">
        <f t="shared" ref="AJ118:AL118" si="169">AI118</f>
        <v>5</v>
      </c>
      <c r="AK118" s="167">
        <f t="shared" si="169"/>
        <v>5</v>
      </c>
      <c r="AL118" s="175">
        <f t="shared" si="169"/>
        <v>5</v>
      </c>
      <c r="AM118" s="150"/>
      <c r="AN118" s="198"/>
      <c r="AO118" s="198"/>
      <c r="AP118" s="198"/>
      <c r="AQ118" s="198"/>
      <c r="AR118" s="167">
        <v>22</v>
      </c>
      <c r="AS118" s="260">
        <v>22</v>
      </c>
      <c r="AT118" s="166">
        <f t="shared" si="166"/>
        <v>19</v>
      </c>
      <c r="AU118" s="167">
        <v>64</v>
      </c>
      <c r="AV118" s="198">
        <f t="shared" si="167"/>
        <v>20</v>
      </c>
      <c r="AW118" s="167">
        <f t="shared" ref="AW118:AX118" si="170">AV118</f>
        <v>20</v>
      </c>
      <c r="AX118" s="167">
        <f t="shared" si="170"/>
        <v>20</v>
      </c>
      <c r="AY118" s="167">
        <f t="shared" ref="AY118:BA118" si="171">AX118</f>
        <v>20</v>
      </c>
      <c r="AZ118" s="167">
        <f t="shared" si="171"/>
        <v>20</v>
      </c>
      <c r="BA118" s="167">
        <f t="shared" si="171"/>
        <v>20</v>
      </c>
      <c r="BB118" s="150"/>
      <c r="BC118"/>
      <c r="BD118"/>
      <c r="BE118"/>
      <c r="BF118"/>
      <c r="BG118"/>
      <c r="BH118"/>
      <c r="BI118" s="150"/>
    </row>
    <row r="119" spans="1:61" s="168" customFormat="1">
      <c r="A119" s="150"/>
      <c r="B119" s="226" t="s">
        <v>158</v>
      </c>
      <c r="C119" s="174"/>
      <c r="D119" s="167"/>
      <c r="E119" s="167"/>
      <c r="F119" s="175"/>
      <c r="G119" s="167"/>
      <c r="H119" s="167"/>
      <c r="I119" s="167"/>
      <c r="J119" s="175"/>
      <c r="K119" s="167"/>
      <c r="L119" s="167"/>
      <c r="M119" s="167"/>
      <c r="N119" s="175"/>
      <c r="O119" s="167"/>
      <c r="P119" s="167"/>
      <c r="Q119" s="167"/>
      <c r="R119" s="175"/>
      <c r="S119" s="167"/>
      <c r="T119" s="167"/>
      <c r="U119" s="167"/>
      <c r="V119" s="175"/>
      <c r="W119" s="167"/>
      <c r="X119" s="167"/>
      <c r="Y119" s="167"/>
      <c r="Z119" s="175"/>
      <c r="AA119" s="167">
        <f>6-11</f>
        <v>-5</v>
      </c>
      <c r="AB119" s="167">
        <f>14-22-AA119</f>
        <v>-3</v>
      </c>
      <c r="AC119" s="167">
        <f>20-34-AB119-AA119</f>
        <v>-6</v>
      </c>
      <c r="AD119" s="175">
        <f>30-52-AC119-AB119-AA119</f>
        <v>-8</v>
      </c>
      <c r="AE119" s="167"/>
      <c r="AF119" s="167"/>
      <c r="AG119" s="167"/>
      <c r="AH119" s="176">
        <f t="shared" si="165"/>
        <v>-48</v>
      </c>
      <c r="AI119" s="167">
        <v>-5</v>
      </c>
      <c r="AJ119" s="167">
        <f t="shared" ref="AJ119" si="172">AI119</f>
        <v>-5</v>
      </c>
      <c r="AK119" s="167">
        <f t="shared" ref="AK119" si="173">AJ119</f>
        <v>-5</v>
      </c>
      <c r="AL119" s="175">
        <f t="shared" ref="AL119" si="174">AK119</f>
        <v>-5</v>
      </c>
      <c r="AM119" s="150"/>
      <c r="AN119" s="198"/>
      <c r="AO119" s="198"/>
      <c r="AP119" s="198"/>
      <c r="AQ119" s="198"/>
      <c r="AR119" s="167"/>
      <c r="AS119" s="260"/>
      <c r="AT119" s="166">
        <f t="shared" si="166"/>
        <v>-22</v>
      </c>
      <c r="AU119" s="167">
        <v>-48</v>
      </c>
      <c r="AV119" s="198">
        <f t="shared" ref="AV119" si="175">SUM(AI119:AL119)</f>
        <v>-20</v>
      </c>
      <c r="AW119" s="167">
        <f t="shared" ref="AW119" si="176">AV119</f>
        <v>-20</v>
      </c>
      <c r="AX119" s="167">
        <f t="shared" ref="AX119" si="177">AW119</f>
        <v>-20</v>
      </c>
      <c r="AY119" s="167">
        <f t="shared" ref="AY119" si="178">AX119</f>
        <v>-20</v>
      </c>
      <c r="AZ119" s="167">
        <f t="shared" ref="AZ119" si="179">AY119</f>
        <v>-20</v>
      </c>
      <c r="BA119" s="167">
        <f t="shared" ref="BA119" si="180">AZ119</f>
        <v>-20</v>
      </c>
      <c r="BB119" s="150"/>
      <c r="BC119"/>
      <c r="BD119"/>
      <c r="BE119"/>
      <c r="BF119"/>
      <c r="BG119"/>
      <c r="BH119"/>
      <c r="BI119" s="150"/>
    </row>
    <row r="120" spans="1:61" s="168" customFormat="1">
      <c r="A120" s="150"/>
      <c r="B120" s="226"/>
      <c r="C120" s="174"/>
      <c r="D120" s="167"/>
      <c r="E120" s="167"/>
      <c r="F120" s="175"/>
      <c r="G120" s="167"/>
      <c r="H120" s="167"/>
      <c r="I120" s="167"/>
      <c r="J120" s="175"/>
      <c r="K120" s="167"/>
      <c r="L120" s="167"/>
      <c r="M120" s="167"/>
      <c r="N120" s="175"/>
      <c r="O120" s="167"/>
      <c r="P120" s="167"/>
      <c r="Q120" s="167"/>
      <c r="R120" s="175"/>
      <c r="S120" s="167"/>
      <c r="T120" s="167"/>
      <c r="U120" s="167"/>
      <c r="V120" s="175"/>
      <c r="W120" s="167"/>
      <c r="X120" s="167"/>
      <c r="Y120" s="167"/>
      <c r="Z120" s="175"/>
      <c r="AA120" s="167"/>
      <c r="AB120" s="167"/>
      <c r="AC120" s="167"/>
      <c r="AD120" s="357"/>
      <c r="AE120" s="167"/>
      <c r="AF120" s="167"/>
      <c r="AG120" s="167"/>
      <c r="AH120" s="175"/>
      <c r="AI120" s="356"/>
      <c r="AJ120" s="356"/>
      <c r="AK120" s="356"/>
      <c r="AL120" s="355"/>
      <c r="AM120" s="150"/>
      <c r="AN120" s="198"/>
      <c r="AO120" s="198"/>
      <c r="AP120" s="198"/>
      <c r="AQ120" s="198"/>
      <c r="AR120" s="167"/>
      <c r="AS120" s="260"/>
      <c r="AT120" s="166"/>
      <c r="AU120" s="167"/>
      <c r="AV120" s="356"/>
      <c r="AW120" s="356"/>
      <c r="AX120" s="356"/>
      <c r="AY120" s="356"/>
      <c r="AZ120" s="356"/>
      <c r="BA120" s="356"/>
      <c r="BB120" s="150"/>
      <c r="BC120"/>
      <c r="BD120"/>
      <c r="BE120"/>
      <c r="BF120"/>
      <c r="BG120"/>
      <c r="BH120"/>
      <c r="BI120" s="150"/>
    </row>
    <row r="121" spans="1:61" s="168" customFormat="1">
      <c r="A121" s="150"/>
      <c r="B121" s="665" t="s">
        <v>123</v>
      </c>
      <c r="C121" s="174"/>
      <c r="D121" s="167"/>
      <c r="E121" s="167"/>
      <c r="F121" s="175"/>
      <c r="G121" s="167"/>
      <c r="H121" s="167"/>
      <c r="I121" s="167"/>
      <c r="J121" s="175"/>
      <c r="K121" s="167"/>
      <c r="L121" s="167"/>
      <c r="M121" s="167"/>
      <c r="N121" s="175"/>
      <c r="O121" s="167"/>
      <c r="P121" s="167"/>
      <c r="Q121" s="167"/>
      <c r="R121" s="175"/>
      <c r="S121" s="167"/>
      <c r="T121" s="167"/>
      <c r="U121" s="167"/>
      <c r="V121" s="175"/>
      <c r="W121" s="167"/>
      <c r="X121" s="167"/>
      <c r="Y121" s="167"/>
      <c r="Z121" s="175"/>
      <c r="AA121" s="167">
        <v>-17</v>
      </c>
      <c r="AB121" s="167">
        <f>20-AA121</f>
        <v>37</v>
      </c>
      <c r="AC121" s="167">
        <f>7-AB121-AA121</f>
        <v>-13</v>
      </c>
      <c r="AD121" s="175">
        <f>8-AC121-AB121-AA121</f>
        <v>1</v>
      </c>
      <c r="AE121" s="167">
        <v>-96</v>
      </c>
      <c r="AF121" s="167">
        <f>-126-AE121</f>
        <v>-30</v>
      </c>
      <c r="AG121" s="167">
        <f>-141-AF121-AE121</f>
        <v>-15</v>
      </c>
      <c r="AH121" s="176">
        <f>AU121-AG121-AF121-AE121</f>
        <v>-130</v>
      </c>
      <c r="AI121" s="166">
        <f t="shared" ref="AI121:AL122" si="181">AH61-AI61</f>
        <v>-30.34196741596179</v>
      </c>
      <c r="AJ121" s="166">
        <f t="shared" si="181"/>
        <v>-28.042379872138554</v>
      </c>
      <c r="AK121" s="166">
        <f t="shared" si="181"/>
        <v>-28.801041451845776</v>
      </c>
      <c r="AL121" s="176">
        <f t="shared" si="181"/>
        <v>26.282285007217752</v>
      </c>
      <c r="AM121" s="150"/>
      <c r="AN121" s="198"/>
      <c r="AO121" s="198"/>
      <c r="AP121" s="198"/>
      <c r="AQ121" s="198"/>
      <c r="AR121" s="167">
        <v>-24</v>
      </c>
      <c r="AS121" s="260">
        <v>-23</v>
      </c>
      <c r="AT121" s="166">
        <f t="shared" si="166"/>
        <v>8</v>
      </c>
      <c r="AU121" s="167">
        <v>-271</v>
      </c>
      <c r="AV121" s="166">
        <f t="shared" si="167"/>
        <v>-60.903103732728368</v>
      </c>
      <c r="AW121" s="166">
        <f t="shared" ref="AW121:BA122" si="182">AV61-AW61</f>
        <v>-27.671055959558544</v>
      </c>
      <c r="AX121" s="166">
        <f t="shared" si="182"/>
        <v>-38.5438946700408</v>
      </c>
      <c r="AY121" s="166">
        <f t="shared" si="182"/>
        <v>-49.468382518914723</v>
      </c>
      <c r="AZ121" s="166">
        <f t="shared" si="182"/>
        <v>-44.287655112072571</v>
      </c>
      <c r="BA121" s="166">
        <f t="shared" si="182"/>
        <v>-38.55850373937119</v>
      </c>
      <c r="BB121" s="150"/>
      <c r="BC121"/>
      <c r="BD121"/>
      <c r="BE121"/>
      <c r="BF121"/>
      <c r="BG121"/>
      <c r="BH121"/>
      <c r="BI121" s="150"/>
    </row>
    <row r="122" spans="1:61" s="168" customFormat="1">
      <c r="A122" s="150"/>
      <c r="B122" s="665" t="s">
        <v>124</v>
      </c>
      <c r="C122" s="174"/>
      <c r="D122" s="167"/>
      <c r="E122" s="167"/>
      <c r="F122" s="175"/>
      <c r="G122" s="167"/>
      <c r="H122" s="167"/>
      <c r="I122" s="167"/>
      <c r="J122" s="175"/>
      <c r="K122" s="167"/>
      <c r="L122" s="167"/>
      <c r="M122" s="167"/>
      <c r="N122" s="175"/>
      <c r="O122" s="167"/>
      <c r="P122" s="167"/>
      <c r="Q122" s="167"/>
      <c r="R122" s="175"/>
      <c r="S122" s="167"/>
      <c r="T122" s="167"/>
      <c r="U122" s="167"/>
      <c r="V122" s="175"/>
      <c r="W122" s="167"/>
      <c r="X122" s="167"/>
      <c r="Y122" s="167"/>
      <c r="Z122" s="175"/>
      <c r="AA122" s="167">
        <v>-23</v>
      </c>
      <c r="AB122" s="167">
        <f>-25-AA122</f>
        <v>-2</v>
      </c>
      <c r="AC122" s="167">
        <f>-45-AB122-AA122</f>
        <v>-20</v>
      </c>
      <c r="AD122" s="175">
        <f>-8-AC122-AB122-AA122</f>
        <v>37</v>
      </c>
      <c r="AE122" s="167">
        <v>-32</v>
      </c>
      <c r="AF122" s="167">
        <f>-78-AE122</f>
        <v>-46</v>
      </c>
      <c r="AG122" s="167">
        <f>-144-AF122-AE122</f>
        <v>-66</v>
      </c>
      <c r="AH122" s="176">
        <f>AU122-AG122-AF122-AE122</f>
        <v>20</v>
      </c>
      <c r="AI122" s="166">
        <f t="shared" si="181"/>
        <v>-15.078921795072574</v>
      </c>
      <c r="AJ122" s="166">
        <f t="shared" si="181"/>
        <v>-13.276162835580521</v>
      </c>
      <c r="AK122" s="166">
        <f t="shared" si="181"/>
        <v>-11.222757287191143</v>
      </c>
      <c r="AL122" s="176">
        <f t="shared" si="181"/>
        <v>12.002165665658822</v>
      </c>
      <c r="AM122" s="150"/>
      <c r="AN122" s="198"/>
      <c r="AO122" s="198"/>
      <c r="AP122" s="198"/>
      <c r="AQ122" s="198"/>
      <c r="AR122" s="167">
        <v>18</v>
      </c>
      <c r="AS122" s="260">
        <v>-25</v>
      </c>
      <c r="AT122" s="166">
        <f t="shared" si="166"/>
        <v>-8</v>
      </c>
      <c r="AU122" s="167">
        <v>-124</v>
      </c>
      <c r="AV122" s="166">
        <f t="shared" si="167"/>
        <v>-27.575676252185417</v>
      </c>
      <c r="AW122" s="166">
        <f t="shared" si="182"/>
        <v>-12.636366955123322</v>
      </c>
      <c r="AX122" s="166">
        <f t="shared" si="182"/>
        <v>-17.601597772130049</v>
      </c>
      <c r="AY122" s="166">
        <f t="shared" si="182"/>
        <v>-22.590414876071236</v>
      </c>
      <c r="AZ122" s="166">
        <f t="shared" si="182"/>
        <v>-20.224564700241331</v>
      </c>
      <c r="BA122" s="166">
        <f t="shared" si="182"/>
        <v>-17.608269203867508</v>
      </c>
      <c r="BB122" s="150"/>
      <c r="BC122"/>
      <c r="BD122"/>
      <c r="BE122"/>
      <c r="BF122"/>
      <c r="BG122"/>
      <c r="BH122"/>
      <c r="BI122" s="150"/>
    </row>
    <row r="123" spans="1:61" s="168" customFormat="1">
      <c r="A123" s="150"/>
      <c r="B123" s="665" t="s">
        <v>132</v>
      </c>
      <c r="C123" s="174"/>
      <c r="D123" s="167"/>
      <c r="E123" s="167"/>
      <c r="F123" s="175"/>
      <c r="G123" s="167"/>
      <c r="H123" s="167"/>
      <c r="I123" s="167"/>
      <c r="J123" s="175"/>
      <c r="K123" s="167"/>
      <c r="L123" s="167"/>
      <c r="M123" s="167"/>
      <c r="N123" s="175"/>
      <c r="O123" s="167"/>
      <c r="P123" s="167"/>
      <c r="Q123" s="167"/>
      <c r="R123" s="175"/>
      <c r="S123" s="167"/>
      <c r="T123" s="167"/>
      <c r="U123" s="167"/>
      <c r="V123" s="175"/>
      <c r="W123" s="167"/>
      <c r="X123" s="167"/>
      <c r="Y123" s="167"/>
      <c r="Z123" s="175"/>
      <c r="AA123" s="167">
        <v>57</v>
      </c>
      <c r="AB123" s="167">
        <f>48-AA123</f>
        <v>-9</v>
      </c>
      <c r="AC123" s="167">
        <f>24-AB123-AA123</f>
        <v>-24</v>
      </c>
      <c r="AD123" s="175">
        <f>-4-AC123-AB123-AA123</f>
        <v>-28</v>
      </c>
      <c r="AE123" s="167">
        <v>-10</v>
      </c>
      <c r="AF123" s="167">
        <f>37-AE123</f>
        <v>47</v>
      </c>
      <c r="AG123" s="167">
        <f>53-AF123-AE123</f>
        <v>16</v>
      </c>
      <c r="AH123" s="176">
        <f>AU123-AG123-AF123-AE123</f>
        <v>148</v>
      </c>
      <c r="AI123" s="166">
        <f>AI73-AH73</f>
        <v>28.189711227334442</v>
      </c>
      <c r="AJ123" s="166">
        <f>AJ73-AI73</f>
        <v>24.819493172541002</v>
      </c>
      <c r="AK123" s="166">
        <f>AK73-AJ73</f>
        <v>20.980696856174745</v>
      </c>
      <c r="AL123" s="176">
        <f>AL73-AK73</f>
        <v>-22.437783603872276</v>
      </c>
      <c r="AM123" s="150"/>
      <c r="AN123" s="198"/>
      <c r="AO123" s="198"/>
      <c r="AP123" s="198"/>
      <c r="AQ123" s="198"/>
      <c r="AR123" s="167">
        <v>36</v>
      </c>
      <c r="AS123" s="260">
        <v>52</v>
      </c>
      <c r="AT123" s="166">
        <f t="shared" si="166"/>
        <v>-4</v>
      </c>
      <c r="AU123" s="167">
        <v>201</v>
      </c>
      <c r="AV123" s="166">
        <f t="shared" si="167"/>
        <v>51.552117652177913</v>
      </c>
      <c r="AW123" s="166">
        <f>AW73-AV73</f>
        <v>23.623408906063901</v>
      </c>
      <c r="AX123" s="166">
        <f>AX73-AW73</f>
        <v>32.905798244684888</v>
      </c>
      <c r="AY123" s="166">
        <f>AY73-AX73</f>
        <v>42.232281625747646</v>
      </c>
      <c r="AZ123" s="166">
        <f>AZ73-AY73</f>
        <v>37.809376979768331</v>
      </c>
      <c r="BA123" s="166">
        <f>BA73-AZ73</f>
        <v>32.918270338957427</v>
      </c>
      <c r="BB123" s="150"/>
      <c r="BC123"/>
      <c r="BD123"/>
      <c r="BE123"/>
      <c r="BF123"/>
      <c r="BG123"/>
      <c r="BH123"/>
      <c r="BI123" s="150"/>
    </row>
    <row r="124" spans="1:61" s="168" customFormat="1">
      <c r="A124" s="150"/>
      <c r="B124" s="678" t="s">
        <v>98</v>
      </c>
      <c r="C124" s="201"/>
      <c r="D124" s="202"/>
      <c r="E124" s="202"/>
      <c r="F124" s="203"/>
      <c r="G124" s="202"/>
      <c r="H124" s="202"/>
      <c r="I124" s="202"/>
      <c r="J124" s="203"/>
      <c r="K124" s="202"/>
      <c r="L124" s="202"/>
      <c r="M124" s="202"/>
      <c r="N124" s="203"/>
      <c r="O124" s="202"/>
      <c r="P124" s="202"/>
      <c r="Q124" s="202"/>
      <c r="R124" s="203"/>
      <c r="S124" s="202"/>
      <c r="T124" s="202"/>
      <c r="U124" s="202"/>
      <c r="V124" s="203"/>
      <c r="W124" s="202"/>
      <c r="X124" s="202"/>
      <c r="Y124" s="202"/>
      <c r="Z124" s="203"/>
      <c r="AA124" s="202">
        <f>-2-37+9</f>
        <v>-30</v>
      </c>
      <c r="AB124" s="202">
        <f>-14-35-21-AA124</f>
        <v>-40</v>
      </c>
      <c r="AC124" s="202">
        <f>5-23-28-AB124-AA124</f>
        <v>24</v>
      </c>
      <c r="AD124" s="203">
        <f>19-25-73-AC124-AB124-AA124</f>
        <v>-33</v>
      </c>
      <c r="AE124" s="202">
        <f>-17-5+27</f>
        <v>5</v>
      </c>
      <c r="AF124" s="202">
        <f>-11+14+38-AE124</f>
        <v>36</v>
      </c>
      <c r="AG124" s="202">
        <f>-19+76+49-AF124-AE124</f>
        <v>65</v>
      </c>
      <c r="AH124" s="358">
        <f>AU124-AG124-AF124-AE124</f>
        <v>-57</v>
      </c>
      <c r="AI124" s="204">
        <f>AH63-AI63+AI74-AH74+AI79-AH79</f>
        <v>0</v>
      </c>
      <c r="AJ124" s="204">
        <f>AI63-AJ63+AJ74-AI74+AJ79-AI79</f>
        <v>0</v>
      </c>
      <c r="AK124" s="204">
        <f>AJ63-AK63+AK74-AJ74+AK79-AJ79</f>
        <v>0</v>
      </c>
      <c r="AL124" s="358">
        <f>AK63-AL63+AL74-AK74+AL79-AK79</f>
        <v>0</v>
      </c>
      <c r="AM124" s="150"/>
      <c r="AN124" s="359"/>
      <c r="AO124" s="359"/>
      <c r="AP124" s="359"/>
      <c r="AQ124" s="359"/>
      <c r="AR124" s="202">
        <f>64-11-101</f>
        <v>-48</v>
      </c>
      <c r="AS124" s="360">
        <f>19-59-101</f>
        <v>-141</v>
      </c>
      <c r="AT124" s="204">
        <f t="shared" si="166"/>
        <v>-79</v>
      </c>
      <c r="AU124" s="202">
        <v>49</v>
      </c>
      <c r="AV124" s="204">
        <f t="shared" si="167"/>
        <v>0</v>
      </c>
      <c r="AW124" s="204">
        <f>AV63-AW63+AW74-AV74+AW79-AV79</f>
        <v>0</v>
      </c>
      <c r="AX124" s="204">
        <f>AW63-AX63+AX74-AW74+AX79-AW79</f>
        <v>0</v>
      </c>
      <c r="AY124" s="204">
        <f>AX63-AY63+AY74-AX74+AY79-AX79</f>
        <v>0</v>
      </c>
      <c r="AZ124" s="204">
        <f>AY63-AZ63+AZ74-AY74+AZ79-AY79</f>
        <v>0</v>
      </c>
      <c r="BA124" s="204">
        <f>AZ63-BA63+BA74-AZ74+BA79-AZ79</f>
        <v>0</v>
      </c>
      <c r="BB124" s="150"/>
      <c r="BC124"/>
      <c r="BD124"/>
      <c r="BE124"/>
      <c r="BF124"/>
      <c r="BG124"/>
      <c r="BH124"/>
      <c r="BI124" s="150"/>
    </row>
    <row r="125" spans="1:61" s="162" customFormat="1">
      <c r="A125" s="161"/>
      <c r="B125" s="659" t="s">
        <v>160</v>
      </c>
      <c r="C125" s="361"/>
      <c r="D125" s="198"/>
      <c r="E125" s="198"/>
      <c r="F125" s="197"/>
      <c r="G125" s="198"/>
      <c r="H125" s="198"/>
      <c r="I125" s="198"/>
      <c r="J125" s="197"/>
      <c r="K125" s="198"/>
      <c r="L125" s="198"/>
      <c r="M125" s="198"/>
      <c r="N125" s="197"/>
      <c r="O125" s="198"/>
      <c r="P125" s="198"/>
      <c r="Q125" s="198"/>
      <c r="R125" s="197"/>
      <c r="S125" s="198"/>
      <c r="T125" s="198"/>
      <c r="U125" s="198"/>
      <c r="V125" s="197"/>
      <c r="W125" s="198"/>
      <c r="X125" s="198"/>
      <c r="Y125" s="198"/>
      <c r="Z125" s="197"/>
      <c r="AA125" s="198">
        <f t="shared" ref="AA125:AE125" si="183">SUM(AA121:AA124)</f>
        <v>-13</v>
      </c>
      <c r="AB125" s="198">
        <f t="shared" si="183"/>
        <v>-14</v>
      </c>
      <c r="AC125" s="198">
        <f t="shared" si="183"/>
        <v>-33</v>
      </c>
      <c r="AD125" s="197">
        <f t="shared" si="183"/>
        <v>-23</v>
      </c>
      <c r="AE125" s="166">
        <f t="shared" si="183"/>
        <v>-133</v>
      </c>
      <c r="AF125" s="166">
        <f>SUM(AF121:AF124)</f>
        <v>7</v>
      </c>
      <c r="AG125" s="166">
        <f>SUM(AG121:AG124)</f>
        <v>0</v>
      </c>
      <c r="AH125" s="176">
        <f>SUM(AH121:AH124)</f>
        <v>-19</v>
      </c>
      <c r="AI125" s="166">
        <f t="shared" ref="AI125:AL125" si="184">SUM(AI121:AI124)</f>
        <v>-17.231177983699922</v>
      </c>
      <c r="AJ125" s="166">
        <f t="shared" si="184"/>
        <v>-16.499049535178074</v>
      </c>
      <c r="AK125" s="166">
        <f t="shared" si="184"/>
        <v>-19.043101882862175</v>
      </c>
      <c r="AL125" s="176">
        <f t="shared" si="184"/>
        <v>15.846667069004297</v>
      </c>
      <c r="AM125" s="161"/>
      <c r="AN125" s="198"/>
      <c r="AO125" s="198"/>
      <c r="AP125" s="198"/>
      <c r="AQ125" s="198"/>
      <c r="AR125" s="198">
        <f t="shared" ref="AR125:AX125" si="185">SUM(AR121:AR124)</f>
        <v>-18</v>
      </c>
      <c r="AS125" s="198">
        <f t="shared" si="185"/>
        <v>-137</v>
      </c>
      <c r="AT125" s="166">
        <f t="shared" si="185"/>
        <v>-83</v>
      </c>
      <c r="AU125" s="198">
        <f t="shared" si="185"/>
        <v>-145</v>
      </c>
      <c r="AV125" s="166">
        <f t="shared" si="185"/>
        <v>-36.926662332735873</v>
      </c>
      <c r="AW125" s="166">
        <f t="shared" si="185"/>
        <v>-16.684014008617964</v>
      </c>
      <c r="AX125" s="166">
        <f t="shared" si="185"/>
        <v>-23.23969419748596</v>
      </c>
      <c r="AY125" s="166">
        <f t="shared" ref="AY125:BA125" si="186">SUM(AY121:AY124)</f>
        <v>-29.826515769238313</v>
      </c>
      <c r="AZ125" s="166">
        <f t="shared" si="186"/>
        <v>-26.702842832545571</v>
      </c>
      <c r="BA125" s="166">
        <f t="shared" si="186"/>
        <v>-23.248502604281271</v>
      </c>
      <c r="BB125" s="161"/>
      <c r="BC125"/>
      <c r="BD125"/>
      <c r="BE125"/>
      <c r="BF125"/>
      <c r="BG125"/>
      <c r="BH125"/>
      <c r="BI125" s="161"/>
    </row>
    <row r="126" spans="1:61" s="168" customFormat="1">
      <c r="A126" s="150"/>
      <c r="B126" s="226"/>
      <c r="C126" s="284"/>
      <c r="D126" s="285"/>
      <c r="E126" s="285"/>
      <c r="F126" s="362"/>
      <c r="G126" s="285"/>
      <c r="H126" s="285"/>
      <c r="I126" s="285"/>
      <c r="J126" s="362"/>
      <c r="K126" s="285"/>
      <c r="L126" s="285"/>
      <c r="M126" s="285"/>
      <c r="N126" s="362"/>
      <c r="O126" s="285"/>
      <c r="P126" s="285"/>
      <c r="Q126" s="285"/>
      <c r="R126" s="362"/>
      <c r="S126" s="285"/>
      <c r="T126" s="285"/>
      <c r="U126" s="285"/>
      <c r="V126" s="362"/>
      <c r="W126" s="285"/>
      <c r="X126" s="285"/>
      <c r="Y126" s="285"/>
      <c r="Z126" s="362"/>
      <c r="AA126" s="285"/>
      <c r="AB126" s="285"/>
      <c r="AC126" s="285"/>
      <c r="AD126" s="357"/>
      <c r="AE126" s="363"/>
      <c r="AF126" s="363"/>
      <c r="AG126" s="363"/>
      <c r="AH126" s="357"/>
      <c r="AI126" s="166"/>
      <c r="AJ126" s="166"/>
      <c r="AK126" s="166"/>
      <c r="AL126" s="176"/>
      <c r="AM126" s="150"/>
      <c r="AN126" s="198"/>
      <c r="AO126" s="198"/>
      <c r="AP126" s="198"/>
      <c r="AQ126" s="198"/>
      <c r="AR126" s="198"/>
      <c r="AS126" s="198"/>
      <c r="AT126" s="166"/>
      <c r="AU126" s="198"/>
      <c r="AV126" s="166"/>
      <c r="AW126" s="166"/>
      <c r="AX126" s="166"/>
      <c r="AY126" s="166"/>
      <c r="AZ126" s="166"/>
      <c r="BA126" s="166"/>
      <c r="BB126" s="150"/>
      <c r="BC126"/>
      <c r="BD126"/>
      <c r="BE126"/>
      <c r="BF126"/>
      <c r="BG126"/>
      <c r="BH126"/>
      <c r="BI126" s="150"/>
    </row>
    <row r="127" spans="1:61" s="162" customFormat="1">
      <c r="A127" s="161"/>
      <c r="B127" s="671" t="s">
        <v>161</v>
      </c>
      <c r="C127" s="292"/>
      <c r="D127" s="293"/>
      <c r="E127" s="293"/>
      <c r="F127" s="294"/>
      <c r="G127" s="293"/>
      <c r="H127" s="293"/>
      <c r="I127" s="293"/>
      <c r="J127" s="294"/>
      <c r="K127" s="293"/>
      <c r="L127" s="293"/>
      <c r="M127" s="293"/>
      <c r="N127" s="294"/>
      <c r="O127" s="293"/>
      <c r="P127" s="293"/>
      <c r="Q127" s="293"/>
      <c r="R127" s="294"/>
      <c r="S127" s="293"/>
      <c r="T127" s="293"/>
      <c r="U127" s="293"/>
      <c r="V127" s="294"/>
      <c r="W127" s="293"/>
      <c r="X127" s="293"/>
      <c r="Y127" s="293"/>
      <c r="Z127" s="294"/>
      <c r="AA127" s="293">
        <f t="shared" ref="AA127:AL127" si="187">SUM(AA113:AA124)</f>
        <v>122</v>
      </c>
      <c r="AB127" s="293">
        <f t="shared" si="187"/>
        <v>125</v>
      </c>
      <c r="AC127" s="293">
        <f t="shared" si="187"/>
        <v>57</v>
      </c>
      <c r="AD127" s="294">
        <f t="shared" si="187"/>
        <v>68</v>
      </c>
      <c r="AE127" s="293">
        <f t="shared" si="187"/>
        <v>16</v>
      </c>
      <c r="AF127" s="293">
        <f t="shared" si="187"/>
        <v>161</v>
      </c>
      <c r="AG127" s="293">
        <f t="shared" si="187"/>
        <v>117</v>
      </c>
      <c r="AH127" s="294">
        <f t="shared" si="187"/>
        <v>95</v>
      </c>
      <c r="AI127" s="293">
        <f t="shared" si="187"/>
        <v>87.227673722893513</v>
      </c>
      <c r="AJ127" s="293">
        <f t="shared" si="187"/>
        <v>130.94248970736513</v>
      </c>
      <c r="AK127" s="293">
        <f t="shared" si="187"/>
        <v>106.1641519142336</v>
      </c>
      <c r="AL127" s="294">
        <f t="shared" si="187"/>
        <v>133.95437816900431</v>
      </c>
      <c r="AM127" s="161"/>
      <c r="AN127" s="293"/>
      <c r="AO127" s="293"/>
      <c r="AP127" s="293"/>
      <c r="AQ127" s="293"/>
      <c r="AR127" s="293">
        <f t="shared" ref="AR127:BA127" si="188">SUM(AR113:AR124)</f>
        <v>533</v>
      </c>
      <c r="AS127" s="293">
        <f t="shared" si="188"/>
        <v>429</v>
      </c>
      <c r="AT127" s="293">
        <f>SUM(AT113:AT124)</f>
        <v>372</v>
      </c>
      <c r="AU127" s="293">
        <f t="shared" si="188"/>
        <v>389</v>
      </c>
      <c r="AV127" s="293">
        <f t="shared" si="188"/>
        <v>458.28869351349647</v>
      </c>
      <c r="AW127" s="293">
        <f t="shared" si="188"/>
        <v>561.74518052825999</v>
      </c>
      <c r="AX127" s="293">
        <f t="shared" si="188"/>
        <v>605.31771293297538</v>
      </c>
      <c r="AY127" s="293">
        <f t="shared" si="188"/>
        <v>654.80932895097806</v>
      </c>
      <c r="AZ127" s="293">
        <f t="shared" si="188"/>
        <v>670.99616871068918</v>
      </c>
      <c r="BA127" s="293">
        <f t="shared" si="188"/>
        <v>683.09114018159812</v>
      </c>
      <c r="BB127" s="161"/>
      <c r="BC127"/>
      <c r="BD127"/>
      <c r="BE127"/>
      <c r="BF127"/>
      <c r="BG127"/>
      <c r="BH127"/>
      <c r="BI127" s="161"/>
    </row>
    <row r="128" spans="1:61" s="173" customFormat="1">
      <c r="A128" s="169"/>
      <c r="B128" s="657" t="s">
        <v>162</v>
      </c>
      <c r="C128" s="170"/>
      <c r="D128" s="171"/>
      <c r="E128" s="171"/>
      <c r="F128" s="172"/>
      <c r="G128" s="171"/>
      <c r="H128" s="171"/>
      <c r="I128" s="171"/>
      <c r="J128" s="172"/>
      <c r="K128" s="171"/>
      <c r="L128" s="171"/>
      <c r="M128" s="171"/>
      <c r="N128" s="172"/>
      <c r="O128" s="171"/>
      <c r="P128" s="171"/>
      <c r="Q128" s="171"/>
      <c r="R128" s="172"/>
      <c r="S128" s="171"/>
      <c r="T128" s="171"/>
      <c r="U128" s="171"/>
      <c r="V128" s="172"/>
      <c r="W128" s="171"/>
      <c r="X128" s="171"/>
      <c r="Y128" s="171"/>
      <c r="Z128" s="172"/>
      <c r="AA128" s="171">
        <f t="shared" ref="AA128:AG128" si="189">AA127/AA6</f>
        <v>0.10922112802148612</v>
      </c>
      <c r="AB128" s="171">
        <f t="shared" si="189"/>
        <v>0.10907504363001745</v>
      </c>
      <c r="AC128" s="171">
        <f t="shared" si="189"/>
        <v>5.2924791086350974E-2</v>
      </c>
      <c r="AD128" s="172">
        <f t="shared" si="189"/>
        <v>5.9336823734729496E-2</v>
      </c>
      <c r="AE128" s="171">
        <f t="shared" si="189"/>
        <v>1.3698630136986301E-2</v>
      </c>
      <c r="AF128" s="171">
        <f t="shared" si="189"/>
        <v>0.13563605728727884</v>
      </c>
      <c r="AG128" s="171">
        <f t="shared" si="189"/>
        <v>9.7095435684647305E-2</v>
      </c>
      <c r="AH128" s="172">
        <f t="shared" ref="AH128" si="190">AH127/AH6</f>
        <v>7.3700543056633053E-2</v>
      </c>
      <c r="AI128" s="171">
        <f>AI127/AI6</f>
        <v>6.6944752584762249E-2</v>
      </c>
      <c r="AJ128" s="171">
        <f>AJ127/AJ6</f>
        <v>9.9822748014000484E-2</v>
      </c>
      <c r="AK128" s="171">
        <f>AK127/AK6</f>
        <v>7.9635556991455109E-2</v>
      </c>
      <c r="AL128" s="172">
        <f>AL127/AL6</f>
        <v>0.11428774330165543</v>
      </c>
      <c r="AM128" s="171"/>
      <c r="AN128" s="171"/>
      <c r="AO128" s="171"/>
      <c r="AP128" s="171"/>
      <c r="AQ128" s="171"/>
      <c r="AR128" s="171">
        <f t="shared" ref="AR128:BA128" si="191">AR127/AR6</f>
        <v>0.11740088105726872</v>
      </c>
      <c r="AS128" s="171">
        <f t="shared" si="191"/>
        <v>9.7345132743362831E-2</v>
      </c>
      <c r="AT128" s="171">
        <f t="shared" si="191"/>
        <v>8.2924654480606333E-2</v>
      </c>
      <c r="AU128" s="171">
        <f t="shared" si="191"/>
        <v>8.0222726335326872E-2</v>
      </c>
      <c r="AV128" s="171">
        <f t="shared" si="191"/>
        <v>8.9510646817488201E-2</v>
      </c>
      <c r="AW128" s="171">
        <f t="shared" si="191"/>
        <v>0.10714126112037588</v>
      </c>
      <c r="AX128" s="171">
        <f t="shared" si="191"/>
        <v>0.11179567221900154</v>
      </c>
      <c r="AY128" s="171">
        <f t="shared" si="191"/>
        <v>0.11621290000421895</v>
      </c>
      <c r="AZ128" s="171">
        <f t="shared" si="191"/>
        <v>0.1150623856002944</v>
      </c>
      <c r="BA128" s="171">
        <f t="shared" si="191"/>
        <v>0.1137893901718285</v>
      </c>
      <c r="BB128" s="169"/>
      <c r="BC128"/>
      <c r="BD128"/>
      <c r="BE128"/>
      <c r="BF128"/>
      <c r="BG128"/>
      <c r="BH128"/>
      <c r="BI128" s="169"/>
    </row>
    <row r="129" spans="1:61" s="168" customFormat="1">
      <c r="A129" s="150"/>
      <c r="B129" s="679"/>
      <c r="C129" s="364"/>
      <c r="D129" s="365"/>
      <c r="E129" s="365"/>
      <c r="F129" s="366"/>
      <c r="G129" s="365"/>
      <c r="H129" s="365"/>
      <c r="I129" s="365"/>
      <c r="J129" s="366"/>
      <c r="K129" s="365"/>
      <c r="L129" s="365"/>
      <c r="M129" s="365"/>
      <c r="N129" s="366"/>
      <c r="O129" s="365"/>
      <c r="P129" s="365"/>
      <c r="Q129" s="365"/>
      <c r="R129" s="366"/>
      <c r="S129" s="365"/>
      <c r="T129" s="365"/>
      <c r="U129" s="365"/>
      <c r="V129" s="366"/>
      <c r="W129" s="365"/>
      <c r="X129" s="365"/>
      <c r="Y129" s="365"/>
      <c r="Z129" s="366"/>
      <c r="AA129" s="365"/>
      <c r="AB129" s="365"/>
      <c r="AC129" s="365"/>
      <c r="AD129" s="366"/>
      <c r="AE129" s="365"/>
      <c r="AF129" s="365"/>
      <c r="AG129" s="365"/>
      <c r="AH129" s="366"/>
      <c r="AI129" s="687"/>
      <c r="AJ129" s="687"/>
      <c r="AK129" s="687"/>
      <c r="AL129" s="367"/>
      <c r="AM129" s="150"/>
      <c r="AN129" s="365"/>
      <c r="AO129" s="365"/>
      <c r="AP129" s="365"/>
      <c r="AQ129" s="365"/>
      <c r="AR129" s="365"/>
      <c r="AS129" s="365"/>
      <c r="AT129" s="742"/>
      <c r="AU129" s="365"/>
      <c r="AV129" s="365"/>
      <c r="AW129" s="365"/>
      <c r="AX129" s="365"/>
      <c r="AY129" s="365"/>
      <c r="AZ129" s="365"/>
      <c r="BA129" s="365"/>
      <c r="BB129" s="150"/>
      <c r="BC129"/>
      <c r="BD129"/>
      <c r="BE129"/>
      <c r="BF129"/>
      <c r="BG129"/>
      <c r="BH129"/>
      <c r="BI129" s="150"/>
    </row>
    <row r="130" spans="1:61" s="168" customFormat="1">
      <c r="A130" s="150"/>
      <c r="B130" s="226" t="s">
        <v>34</v>
      </c>
      <c r="C130" s="174"/>
      <c r="D130" s="167"/>
      <c r="E130" s="167"/>
      <c r="F130" s="175"/>
      <c r="G130" s="167"/>
      <c r="H130" s="167"/>
      <c r="I130" s="167"/>
      <c r="J130" s="175"/>
      <c r="K130" s="167"/>
      <c r="L130" s="167"/>
      <c r="M130" s="167"/>
      <c r="N130" s="175"/>
      <c r="O130" s="167"/>
      <c r="P130" s="167"/>
      <c r="Q130" s="167"/>
      <c r="R130" s="175"/>
      <c r="S130" s="167"/>
      <c r="T130" s="167"/>
      <c r="U130" s="167"/>
      <c r="V130" s="175"/>
      <c r="W130" s="167"/>
      <c r="X130" s="167"/>
      <c r="Y130" s="167"/>
      <c r="Z130" s="175"/>
      <c r="AA130" s="167">
        <v>-54</v>
      </c>
      <c r="AB130" s="167">
        <f>-83-AA130</f>
        <v>-29</v>
      </c>
      <c r="AC130" s="167">
        <f>-116-AB130-AA130</f>
        <v>-33</v>
      </c>
      <c r="AD130" s="175">
        <f>-171-AC130-AB130-AA130</f>
        <v>-55</v>
      </c>
      <c r="AE130" s="167">
        <v>-51</v>
      </c>
      <c r="AF130" s="167">
        <f>-82-AE130</f>
        <v>-31</v>
      </c>
      <c r="AG130" s="167">
        <f>-111-AF130-AE130</f>
        <v>-29</v>
      </c>
      <c r="AH130" s="176">
        <f t="shared" ref="AH130:AH133" si="192">AU130-AG130-AF130-AE130</f>
        <v>-86</v>
      </c>
      <c r="AI130" s="167">
        <f>$AV$130/4</f>
        <v>-72.5</v>
      </c>
      <c r="AJ130" s="167">
        <f>$AV$130/4</f>
        <v>-72.5</v>
      </c>
      <c r="AK130" s="167">
        <f>$AV$130/4</f>
        <v>-72.5</v>
      </c>
      <c r="AL130" s="175">
        <f>$AV$130/4</f>
        <v>-72.5</v>
      </c>
      <c r="AM130" s="150"/>
      <c r="AN130" s="198"/>
      <c r="AO130" s="198"/>
      <c r="AP130" s="198"/>
      <c r="AQ130" s="198"/>
      <c r="AR130" s="167">
        <v>-322</v>
      </c>
      <c r="AS130" s="260">
        <v>-201</v>
      </c>
      <c r="AT130" s="166">
        <f t="shared" ref="AT130:AT133" si="193">SUM(AA130:AD130)</f>
        <v>-171</v>
      </c>
      <c r="AU130" s="167">
        <v>-197</v>
      </c>
      <c r="AV130" s="167">
        <f>-AVERAGE(280,300)</f>
        <v>-290</v>
      </c>
      <c r="AW130" s="167">
        <f>-AW157*AW97-AVERAGE(90,100)*AVERAGE(0.35,0.4)</f>
        <v>-297.77665597926148</v>
      </c>
      <c r="AX130" s="166">
        <f>-AX157*AX97</f>
        <v>-270.72502044050128</v>
      </c>
      <c r="AY130" s="166">
        <f>-AY157*AY97</f>
        <v>-281.72833176317175</v>
      </c>
      <c r="AZ130" s="166">
        <f>-AZ157*AZ97</f>
        <v>-291.57928770988923</v>
      </c>
      <c r="BA130" s="166">
        <f>-BA157*BA97</f>
        <v>-300.15590168384387</v>
      </c>
      <c r="BB130" s="150"/>
      <c r="BC130"/>
      <c r="BD130"/>
      <c r="BE130"/>
      <c r="BF130"/>
      <c r="BG130"/>
      <c r="BH130"/>
      <c r="BI130" s="150"/>
    </row>
    <row r="131" spans="1:61" s="168" customFormat="1">
      <c r="A131" s="150"/>
      <c r="B131" s="226" t="s">
        <v>163</v>
      </c>
      <c r="C131" s="174"/>
      <c r="D131" s="167"/>
      <c r="E131" s="167"/>
      <c r="F131" s="175"/>
      <c r="G131" s="167"/>
      <c r="H131" s="167"/>
      <c r="I131" s="167"/>
      <c r="J131" s="175"/>
      <c r="K131" s="167"/>
      <c r="L131" s="167"/>
      <c r="M131" s="167"/>
      <c r="N131" s="175"/>
      <c r="O131" s="167"/>
      <c r="P131" s="167"/>
      <c r="Q131" s="167"/>
      <c r="R131" s="175"/>
      <c r="S131" s="167"/>
      <c r="T131" s="167"/>
      <c r="U131" s="167"/>
      <c r="V131" s="175"/>
      <c r="W131" s="167"/>
      <c r="X131" s="167"/>
      <c r="Y131" s="167"/>
      <c r="Z131" s="175"/>
      <c r="AA131" s="167"/>
      <c r="AB131" s="167">
        <f>4-AA131</f>
        <v>4</v>
      </c>
      <c r="AC131" s="167">
        <f>5-AB131-AA131</f>
        <v>1</v>
      </c>
      <c r="AD131" s="175">
        <f>9-AC131-AB131-AA131</f>
        <v>4</v>
      </c>
      <c r="AE131" s="167"/>
      <c r="AF131" s="167">
        <f>5-AE131</f>
        <v>5</v>
      </c>
      <c r="AG131" s="167">
        <f>6-AF131-AE131</f>
        <v>1</v>
      </c>
      <c r="AH131" s="176">
        <f t="shared" si="192"/>
        <v>4</v>
      </c>
      <c r="AI131" s="356"/>
      <c r="AJ131" s="356"/>
      <c r="AK131" s="356"/>
      <c r="AL131" s="355"/>
      <c r="AM131" s="150"/>
      <c r="AN131" s="198"/>
      <c r="AO131" s="198"/>
      <c r="AP131" s="198"/>
      <c r="AQ131" s="198"/>
      <c r="AR131" s="167">
        <v>1</v>
      </c>
      <c r="AS131" s="260">
        <v>20</v>
      </c>
      <c r="AT131" s="166">
        <f t="shared" si="193"/>
        <v>9</v>
      </c>
      <c r="AU131" s="167">
        <v>10</v>
      </c>
      <c r="AV131" s="166">
        <f t="shared" ref="AV131:AV133" si="194">SUM(AI131:AL131)</f>
        <v>0</v>
      </c>
      <c r="AW131" s="356"/>
      <c r="AX131" s="356"/>
      <c r="AY131" s="356"/>
      <c r="AZ131" s="356"/>
      <c r="BA131" s="356"/>
      <c r="BB131" s="150"/>
      <c r="BC131"/>
      <c r="BD131"/>
      <c r="BE131"/>
      <c r="BF131"/>
      <c r="BG131"/>
      <c r="BH131"/>
      <c r="BI131" s="150"/>
    </row>
    <row r="132" spans="1:61" s="168" customFormat="1">
      <c r="A132" s="150"/>
      <c r="B132" s="226" t="s">
        <v>164</v>
      </c>
      <c r="C132" s="174"/>
      <c r="D132" s="167"/>
      <c r="E132" s="167"/>
      <c r="F132" s="175"/>
      <c r="G132" s="167"/>
      <c r="H132" s="167"/>
      <c r="I132" s="167"/>
      <c r="J132" s="175"/>
      <c r="K132" s="167"/>
      <c r="L132" s="167"/>
      <c r="M132" s="167"/>
      <c r="N132" s="175"/>
      <c r="O132" s="167"/>
      <c r="P132" s="167"/>
      <c r="Q132" s="167"/>
      <c r="R132" s="175"/>
      <c r="S132" s="167"/>
      <c r="T132" s="167"/>
      <c r="U132" s="167"/>
      <c r="V132" s="175"/>
      <c r="W132" s="167"/>
      <c r="X132" s="167"/>
      <c r="Y132" s="167"/>
      <c r="Z132" s="175"/>
      <c r="AA132" s="167"/>
      <c r="AB132" s="167"/>
      <c r="AC132" s="167"/>
      <c r="AD132" s="175"/>
      <c r="AE132" s="167"/>
      <c r="AF132" s="167"/>
      <c r="AG132" s="167"/>
      <c r="AH132" s="176">
        <f t="shared" si="192"/>
        <v>-1</v>
      </c>
      <c r="AI132" s="356"/>
      <c r="AJ132" s="356"/>
      <c r="AK132" s="356"/>
      <c r="AL132" s="355"/>
      <c r="AM132" s="150"/>
      <c r="AN132" s="198"/>
      <c r="AO132" s="198"/>
      <c r="AP132" s="198"/>
      <c r="AQ132" s="198"/>
      <c r="AR132" s="198"/>
      <c r="AS132" s="260">
        <v>-20</v>
      </c>
      <c r="AT132" s="166">
        <f t="shared" si="193"/>
        <v>0</v>
      </c>
      <c r="AU132" s="167">
        <v>-1</v>
      </c>
      <c r="AV132" s="166">
        <f t="shared" si="194"/>
        <v>0</v>
      </c>
      <c r="AW132" s="356"/>
      <c r="AX132" s="356"/>
      <c r="AY132" s="356"/>
      <c r="AZ132" s="356"/>
      <c r="BA132" s="356"/>
      <c r="BB132" s="150"/>
      <c r="BC132"/>
      <c r="BD132"/>
      <c r="BE132"/>
      <c r="BF132"/>
      <c r="BG132"/>
      <c r="BH132"/>
      <c r="BI132" s="150"/>
    </row>
    <row r="133" spans="1:61" s="168" customFormat="1">
      <c r="A133" s="150"/>
      <c r="B133" s="226" t="s">
        <v>98</v>
      </c>
      <c r="C133" s="174"/>
      <c r="D133" s="167"/>
      <c r="E133" s="167"/>
      <c r="F133" s="175"/>
      <c r="G133" s="167"/>
      <c r="H133" s="167"/>
      <c r="I133" s="167"/>
      <c r="J133" s="175"/>
      <c r="K133" s="167"/>
      <c r="L133" s="167"/>
      <c r="M133" s="167"/>
      <c r="N133" s="175"/>
      <c r="O133" s="167"/>
      <c r="P133" s="167"/>
      <c r="Q133" s="167"/>
      <c r="R133" s="175"/>
      <c r="S133" s="167"/>
      <c r="T133" s="167"/>
      <c r="U133" s="167"/>
      <c r="V133" s="175"/>
      <c r="W133" s="167"/>
      <c r="X133" s="167"/>
      <c r="Y133" s="167"/>
      <c r="Z133" s="175"/>
      <c r="AA133" s="167"/>
      <c r="AB133" s="167"/>
      <c r="AC133" s="167"/>
      <c r="AD133" s="175"/>
      <c r="AE133" s="167"/>
      <c r="AF133" s="167"/>
      <c r="AG133" s="167"/>
      <c r="AH133" s="176">
        <f t="shared" si="192"/>
        <v>-1</v>
      </c>
      <c r="AI133" s="356"/>
      <c r="AJ133" s="356"/>
      <c r="AK133" s="356"/>
      <c r="AL133" s="355"/>
      <c r="AM133" s="150"/>
      <c r="AN133" s="198"/>
      <c r="AO133" s="198"/>
      <c r="AP133" s="198"/>
      <c r="AQ133" s="198"/>
      <c r="AR133" s="198"/>
      <c r="AS133" s="260"/>
      <c r="AT133" s="166">
        <f t="shared" si="193"/>
        <v>0</v>
      </c>
      <c r="AU133" s="167">
        <v>-1</v>
      </c>
      <c r="AV133" s="166">
        <f t="shared" si="194"/>
        <v>0</v>
      </c>
      <c r="AW133" s="356"/>
      <c r="AX133" s="356"/>
      <c r="AY133" s="356"/>
      <c r="AZ133" s="356"/>
      <c r="BA133" s="356"/>
      <c r="BB133" s="150"/>
      <c r="BC133"/>
      <c r="BD133"/>
      <c r="BE133"/>
      <c r="BF133"/>
      <c r="BG133"/>
      <c r="BH133"/>
      <c r="BI133" s="150"/>
    </row>
    <row r="134" spans="1:61" s="162" customFormat="1">
      <c r="A134" s="161"/>
      <c r="B134" s="671" t="s">
        <v>165</v>
      </c>
      <c r="C134" s="292"/>
      <c r="D134" s="293"/>
      <c r="E134" s="293"/>
      <c r="F134" s="294"/>
      <c r="G134" s="293"/>
      <c r="H134" s="293"/>
      <c r="I134" s="293"/>
      <c r="J134" s="294"/>
      <c r="K134" s="293"/>
      <c r="L134" s="293"/>
      <c r="M134" s="293"/>
      <c r="N134" s="294"/>
      <c r="O134" s="293"/>
      <c r="P134" s="293"/>
      <c r="Q134" s="293"/>
      <c r="R134" s="294"/>
      <c r="S134" s="293"/>
      <c r="T134" s="293"/>
      <c r="U134" s="293"/>
      <c r="V134" s="294"/>
      <c r="W134" s="293"/>
      <c r="X134" s="293"/>
      <c r="Y134" s="293"/>
      <c r="Z134" s="294"/>
      <c r="AA134" s="293">
        <f t="shared" ref="AA134:AL134" si="195">SUM(AA130:AA133)</f>
        <v>-54</v>
      </c>
      <c r="AB134" s="293">
        <f t="shared" si="195"/>
        <v>-25</v>
      </c>
      <c r="AC134" s="293">
        <f t="shared" si="195"/>
        <v>-32</v>
      </c>
      <c r="AD134" s="294">
        <f t="shared" si="195"/>
        <v>-51</v>
      </c>
      <c r="AE134" s="293">
        <f t="shared" si="195"/>
        <v>-51</v>
      </c>
      <c r="AF134" s="293">
        <f t="shared" si="195"/>
        <v>-26</v>
      </c>
      <c r="AG134" s="293">
        <f t="shared" si="195"/>
        <v>-28</v>
      </c>
      <c r="AH134" s="294">
        <f t="shared" ref="AH134" si="196">SUM(AH130:AH133)</f>
        <v>-84</v>
      </c>
      <c r="AI134" s="293">
        <f t="shared" si="195"/>
        <v>-72.5</v>
      </c>
      <c r="AJ134" s="293">
        <f t="shared" si="195"/>
        <v>-72.5</v>
      </c>
      <c r="AK134" s="293">
        <f t="shared" si="195"/>
        <v>-72.5</v>
      </c>
      <c r="AL134" s="294">
        <f t="shared" si="195"/>
        <v>-72.5</v>
      </c>
      <c r="AM134" s="161"/>
      <c r="AN134" s="293"/>
      <c r="AO134" s="293"/>
      <c r="AP134" s="293"/>
      <c r="AQ134" s="293"/>
      <c r="AR134" s="293">
        <f t="shared" ref="AR134:BA134" si="197">SUM(AR130:AR133)</f>
        <v>-321</v>
      </c>
      <c r="AS134" s="293">
        <f t="shared" si="197"/>
        <v>-201</v>
      </c>
      <c r="AT134" s="293">
        <f t="shared" si="197"/>
        <v>-162</v>
      </c>
      <c r="AU134" s="293">
        <f t="shared" si="197"/>
        <v>-189</v>
      </c>
      <c r="AV134" s="293">
        <f t="shared" si="197"/>
        <v>-290</v>
      </c>
      <c r="AW134" s="293">
        <f t="shared" si="197"/>
        <v>-297.77665597926148</v>
      </c>
      <c r="AX134" s="293">
        <f t="shared" si="197"/>
        <v>-270.72502044050128</v>
      </c>
      <c r="AY134" s="293">
        <f t="shared" si="197"/>
        <v>-281.72833176317175</v>
      </c>
      <c r="AZ134" s="293">
        <f t="shared" si="197"/>
        <v>-291.57928770988923</v>
      </c>
      <c r="BA134" s="293">
        <f t="shared" si="197"/>
        <v>-300.15590168384387</v>
      </c>
      <c r="BB134" s="161"/>
      <c r="BC134"/>
      <c r="BD134"/>
      <c r="BE134"/>
      <c r="BF134"/>
      <c r="BG134"/>
      <c r="BH134"/>
      <c r="BI134" s="161"/>
    </row>
    <row r="135" spans="1:61" s="168" customFormat="1">
      <c r="A135" s="150"/>
      <c r="B135" s="226"/>
      <c r="C135" s="368"/>
      <c r="D135" s="162"/>
      <c r="E135" s="162"/>
      <c r="F135" s="226"/>
      <c r="G135" s="369"/>
      <c r="H135" s="162"/>
      <c r="I135" s="162"/>
      <c r="J135" s="226"/>
      <c r="K135" s="162"/>
      <c r="L135" s="162"/>
      <c r="M135" s="162"/>
      <c r="N135" s="226"/>
      <c r="O135" s="162"/>
      <c r="P135" s="162"/>
      <c r="Q135" s="162"/>
      <c r="R135" s="226"/>
      <c r="S135" s="162"/>
      <c r="T135" s="162"/>
      <c r="U135" s="162"/>
      <c r="V135" s="226"/>
      <c r="W135" s="162"/>
      <c r="X135" s="162"/>
      <c r="Y135" s="162"/>
      <c r="Z135" s="226"/>
      <c r="AA135" s="162"/>
      <c r="AB135" s="162"/>
      <c r="AC135" s="162"/>
      <c r="AD135" s="290"/>
      <c r="AE135" s="291"/>
      <c r="AF135" s="291"/>
      <c r="AG135" s="291"/>
      <c r="AH135" s="290"/>
      <c r="AI135" s="291"/>
      <c r="AJ135" s="291"/>
      <c r="AK135" s="291"/>
      <c r="AL135" s="290"/>
      <c r="AM135" s="150"/>
      <c r="AN135" s="291"/>
      <c r="AO135" s="291"/>
      <c r="AP135" s="291"/>
      <c r="AQ135" s="291"/>
      <c r="AR135" s="291"/>
      <c r="AS135" s="370"/>
      <c r="AT135" s="291"/>
      <c r="AU135" s="291"/>
      <c r="AV135" s="291"/>
      <c r="AW135" s="291"/>
      <c r="AX135" s="291"/>
      <c r="AY135" s="291"/>
      <c r="AZ135" s="291"/>
      <c r="BA135" s="291"/>
      <c r="BB135" s="150"/>
      <c r="BC135"/>
      <c r="BD135"/>
      <c r="BE135"/>
      <c r="BF135"/>
      <c r="BG135"/>
      <c r="BH135"/>
      <c r="BI135" s="150"/>
    </row>
    <row r="136" spans="1:61" s="168" customFormat="1">
      <c r="A136" s="150"/>
      <c r="B136" s="226" t="s">
        <v>262</v>
      </c>
      <c r="C136" s="174"/>
      <c r="D136" s="167"/>
      <c r="E136" s="167"/>
      <c r="F136" s="175"/>
      <c r="G136" s="167"/>
      <c r="H136" s="167"/>
      <c r="I136" s="167"/>
      <c r="J136" s="175"/>
      <c r="K136" s="285"/>
      <c r="L136" s="167"/>
      <c r="M136" s="167"/>
      <c r="N136" s="175"/>
      <c r="O136" s="167"/>
      <c r="P136" s="167"/>
      <c r="Q136" s="167"/>
      <c r="R136" s="175"/>
      <c r="S136" s="167"/>
      <c r="T136" s="167"/>
      <c r="U136" s="167"/>
      <c r="V136" s="175"/>
      <c r="W136" s="167"/>
      <c r="X136" s="167"/>
      <c r="Y136" s="167"/>
      <c r="Z136" s="175"/>
      <c r="AA136" s="167">
        <v>51</v>
      </c>
      <c r="AB136" s="167">
        <f>0-AA136</f>
        <v>-51</v>
      </c>
      <c r="AC136" s="167">
        <f>22-AB136-AA136</f>
        <v>22</v>
      </c>
      <c r="AD136" s="175">
        <f>-2-AC136-AB136-AA136</f>
        <v>-24</v>
      </c>
      <c r="AE136" s="167">
        <v>-1</v>
      </c>
      <c r="AF136" s="167">
        <f>-1-AE136</f>
        <v>0</v>
      </c>
      <c r="AG136" s="167">
        <f>-1+796-796-AF136-AE136</f>
        <v>0</v>
      </c>
      <c r="AH136" s="176">
        <f t="shared" ref="AH136:AH140" si="198">AU136-AG136-AF136-AE136</f>
        <v>1524</v>
      </c>
      <c r="AI136" s="167"/>
      <c r="AJ136" s="167"/>
      <c r="AK136" s="167"/>
      <c r="AL136" s="175"/>
      <c r="AM136" s="150"/>
      <c r="AN136" s="198"/>
      <c r="AO136" s="198"/>
      <c r="AP136" s="198"/>
      <c r="AQ136" s="198"/>
      <c r="AR136" s="167">
        <v>8</v>
      </c>
      <c r="AS136" s="260">
        <v>-5</v>
      </c>
      <c r="AT136" s="166">
        <f t="shared" ref="AT136:AT140" si="199">SUM(AA136:AD136)</f>
        <v>-2</v>
      </c>
      <c r="AU136" s="167">
        <f>782+741</f>
        <v>1523</v>
      </c>
      <c r="AV136" s="166">
        <f t="shared" ref="AV136:AV140" si="200">SUM(AI136:AL136)</f>
        <v>0</v>
      </c>
      <c r="AW136" s="356"/>
      <c r="AX136" s="356"/>
      <c r="AY136" s="356"/>
      <c r="AZ136" s="356"/>
      <c r="BA136" s="356"/>
      <c r="BB136" s="150"/>
      <c r="BC136"/>
      <c r="BD136"/>
      <c r="BE136"/>
      <c r="BF136"/>
      <c r="BG136"/>
      <c r="BH136"/>
      <c r="BI136" s="150"/>
    </row>
    <row r="137" spans="1:61" s="168" customFormat="1">
      <c r="A137" s="150"/>
      <c r="B137" s="226" t="s">
        <v>166</v>
      </c>
      <c r="C137" s="174"/>
      <c r="D137" s="167"/>
      <c r="E137" s="167"/>
      <c r="F137" s="175"/>
      <c r="G137" s="167"/>
      <c r="H137" s="167"/>
      <c r="I137" s="167"/>
      <c r="J137" s="175"/>
      <c r="K137" s="167"/>
      <c r="L137" s="167"/>
      <c r="M137" s="167"/>
      <c r="N137" s="175"/>
      <c r="O137" s="167"/>
      <c r="P137" s="167"/>
      <c r="Q137" s="167"/>
      <c r="R137" s="175"/>
      <c r="S137" s="167"/>
      <c r="T137" s="167"/>
      <c r="U137" s="167"/>
      <c r="V137" s="175"/>
      <c r="W137" s="167"/>
      <c r="X137" s="167"/>
      <c r="Y137" s="167"/>
      <c r="Z137" s="175"/>
      <c r="AA137" s="167">
        <v>-12</v>
      </c>
      <c r="AB137" s="167">
        <f>-12-AA137</f>
        <v>0</v>
      </c>
      <c r="AC137" s="167">
        <f>-22-AB137-AA137</f>
        <v>-10</v>
      </c>
      <c r="AD137" s="175">
        <f>-13-AC137-AB137-AA137</f>
        <v>9</v>
      </c>
      <c r="AE137" s="167">
        <v>-10</v>
      </c>
      <c r="AF137" s="167">
        <f>-10-AE137</f>
        <v>0</v>
      </c>
      <c r="AG137" s="167">
        <f>-10-AF137-AE137</f>
        <v>0</v>
      </c>
      <c r="AH137" s="176">
        <f t="shared" si="198"/>
        <v>0</v>
      </c>
      <c r="AI137" s="198"/>
      <c r="AJ137" s="198"/>
      <c r="AK137" s="198"/>
      <c r="AL137" s="197"/>
      <c r="AM137" s="150"/>
      <c r="AN137" s="198"/>
      <c r="AO137" s="198"/>
      <c r="AP137" s="198"/>
      <c r="AQ137" s="198"/>
      <c r="AR137" s="167">
        <v>-9</v>
      </c>
      <c r="AS137" s="260">
        <v>-13</v>
      </c>
      <c r="AT137" s="166">
        <f t="shared" si="199"/>
        <v>-13</v>
      </c>
      <c r="AU137" s="167">
        <v>-10</v>
      </c>
      <c r="AV137" s="166">
        <f t="shared" si="200"/>
        <v>0</v>
      </c>
      <c r="AW137" s="198"/>
      <c r="AX137" s="198"/>
      <c r="AY137" s="198"/>
      <c r="AZ137" s="198"/>
      <c r="BA137" s="198"/>
      <c r="BB137" s="150"/>
      <c r="BC137"/>
      <c r="BD137"/>
      <c r="BE137"/>
      <c r="BF137"/>
      <c r="BG137"/>
      <c r="BH137"/>
      <c r="BI137" s="150"/>
    </row>
    <row r="138" spans="1:61" s="168" customFormat="1">
      <c r="A138" s="150"/>
      <c r="B138" s="226" t="s">
        <v>167</v>
      </c>
      <c r="C138" s="174"/>
      <c r="D138" s="167"/>
      <c r="E138" s="167"/>
      <c r="F138" s="175"/>
      <c r="G138" s="167"/>
      <c r="H138" s="167"/>
      <c r="I138" s="167"/>
      <c r="J138" s="175"/>
      <c r="K138" s="285"/>
      <c r="L138" s="167"/>
      <c r="M138" s="167"/>
      <c r="N138" s="175"/>
      <c r="O138" s="167"/>
      <c r="P138" s="167"/>
      <c r="Q138" s="167"/>
      <c r="R138" s="175"/>
      <c r="S138" s="167"/>
      <c r="T138" s="167"/>
      <c r="U138" s="167"/>
      <c r="V138" s="175"/>
      <c r="W138" s="167"/>
      <c r="X138" s="167"/>
      <c r="Y138" s="167"/>
      <c r="Z138" s="175"/>
      <c r="AA138" s="167"/>
      <c r="AB138" s="167"/>
      <c r="AC138" s="167"/>
      <c r="AD138" s="175"/>
      <c r="AE138" s="167"/>
      <c r="AF138" s="167"/>
      <c r="AG138" s="167"/>
      <c r="AH138" s="176">
        <f t="shared" si="198"/>
        <v>0</v>
      </c>
      <c r="AI138" s="167">
        <v>-25</v>
      </c>
      <c r="AJ138" s="167">
        <f>AI138</f>
        <v>-25</v>
      </c>
      <c r="AK138" s="167">
        <f t="shared" ref="AK138:AL138" si="201">AJ138</f>
        <v>-25</v>
      </c>
      <c r="AL138" s="175">
        <f t="shared" si="201"/>
        <v>-25</v>
      </c>
      <c r="AM138" s="150"/>
      <c r="AN138" s="198"/>
      <c r="AO138" s="198"/>
      <c r="AP138" s="198"/>
      <c r="AQ138" s="198"/>
      <c r="AR138" s="167"/>
      <c r="AS138" s="260"/>
      <c r="AT138" s="166">
        <f t="shared" si="199"/>
        <v>0</v>
      </c>
      <c r="AU138" s="167">
        <v>0</v>
      </c>
      <c r="AV138" s="166">
        <f t="shared" si="200"/>
        <v>-100</v>
      </c>
      <c r="AW138" s="167">
        <v>-100</v>
      </c>
      <c r="AX138" s="167">
        <f>AW138</f>
        <v>-100</v>
      </c>
      <c r="AY138" s="167">
        <f t="shared" ref="AY138:BA138" si="202">AX138</f>
        <v>-100</v>
      </c>
      <c r="AZ138" s="167">
        <f t="shared" si="202"/>
        <v>-100</v>
      </c>
      <c r="BA138" s="167">
        <f t="shared" si="202"/>
        <v>-100</v>
      </c>
      <c r="BB138" s="150"/>
      <c r="BC138"/>
      <c r="BD138"/>
      <c r="BE138"/>
      <c r="BF138"/>
      <c r="BG138"/>
      <c r="BH138"/>
      <c r="BI138" s="150"/>
    </row>
    <row r="139" spans="1:61" s="168" customFormat="1">
      <c r="A139" s="150"/>
      <c r="B139" s="226" t="s">
        <v>168</v>
      </c>
      <c r="C139" s="174"/>
      <c r="D139" s="167"/>
      <c r="E139" s="167"/>
      <c r="F139" s="175"/>
      <c r="G139" s="167"/>
      <c r="H139" s="167"/>
      <c r="I139" s="167"/>
      <c r="J139" s="175"/>
      <c r="K139" s="285"/>
      <c r="L139" s="167"/>
      <c r="M139" s="167"/>
      <c r="N139" s="175"/>
      <c r="O139" s="167"/>
      <c r="P139" s="167"/>
      <c r="Q139" s="167"/>
      <c r="R139" s="175"/>
      <c r="S139" s="167"/>
      <c r="T139" s="167"/>
      <c r="U139" s="167"/>
      <c r="V139" s="175"/>
      <c r="W139" s="167"/>
      <c r="X139" s="167"/>
      <c r="Y139" s="167"/>
      <c r="Z139" s="175"/>
      <c r="AA139" s="167"/>
      <c r="AB139" s="167"/>
      <c r="AC139" s="167"/>
      <c r="AD139" s="175"/>
      <c r="AE139" s="167"/>
      <c r="AF139" s="167"/>
      <c r="AG139" s="167"/>
      <c r="AH139" s="176">
        <f t="shared" si="198"/>
        <v>0</v>
      </c>
      <c r="AI139" s="198">
        <f>-AI35*AI44</f>
        <v>-15.054430747106437</v>
      </c>
      <c r="AJ139" s="198">
        <f>-AJ35*AJ44</f>
        <v>-14.975765341687705</v>
      </c>
      <c r="AK139" s="198">
        <f>-AK35*AK44</f>
        <v>-14.899217253986469</v>
      </c>
      <c r="AL139" s="197">
        <f>-AL35*AL44</f>
        <v>-14.824729495364686</v>
      </c>
      <c r="AM139" s="150"/>
      <c r="AN139" s="198"/>
      <c r="AO139" s="198"/>
      <c r="AP139" s="198"/>
      <c r="AQ139" s="198"/>
      <c r="AR139" s="167"/>
      <c r="AS139" s="260"/>
      <c r="AT139" s="166">
        <f t="shared" si="199"/>
        <v>0</v>
      </c>
      <c r="AU139" s="167">
        <v>0</v>
      </c>
      <c r="AV139" s="166">
        <f t="shared" si="200"/>
        <v>-59.754142838145299</v>
      </c>
      <c r="AW139" s="198">
        <f>-AW35*AW44</f>
        <v>-59.151974687675882</v>
      </c>
      <c r="AX139" s="198">
        <f>-AX35*AX44</f>
        <v>-58.655799144846192</v>
      </c>
      <c r="AY139" s="198">
        <f>-AY35*AY44</f>
        <v>-57.712876142367939</v>
      </c>
      <c r="AZ139" s="198">
        <f>-AZ35*AZ44</f>
        <v>-56.863885372692003</v>
      </c>
      <c r="BA139" s="198">
        <f>-BA35*BA44</f>
        <v>-56.099469481786244</v>
      </c>
      <c r="BB139" s="150"/>
      <c r="BC139"/>
      <c r="BD139"/>
      <c r="BE139"/>
      <c r="BF139"/>
      <c r="BG139"/>
      <c r="BH139"/>
      <c r="BI139" s="150"/>
    </row>
    <row r="140" spans="1:61" s="168" customFormat="1">
      <c r="A140" s="161"/>
      <c r="B140" s="226" t="s">
        <v>98</v>
      </c>
      <c r="C140" s="174"/>
      <c r="D140" s="167"/>
      <c r="E140" s="167"/>
      <c r="F140" s="175"/>
      <c r="G140" s="167"/>
      <c r="H140" s="167"/>
      <c r="I140" s="167"/>
      <c r="J140" s="175"/>
      <c r="K140" s="285"/>
      <c r="L140" s="167"/>
      <c r="M140" s="167"/>
      <c r="N140" s="175"/>
      <c r="O140" s="167"/>
      <c r="P140" s="167"/>
      <c r="Q140" s="167"/>
      <c r="R140" s="175"/>
      <c r="S140" s="167"/>
      <c r="T140" s="167"/>
      <c r="U140" s="167"/>
      <c r="V140" s="175"/>
      <c r="W140" s="167"/>
      <c r="X140" s="167"/>
      <c r="Y140" s="167"/>
      <c r="Z140" s="175"/>
      <c r="AA140" s="167">
        <v>-105</v>
      </c>
      <c r="AB140" s="167">
        <f>-160-AA140</f>
        <v>-55</v>
      </c>
      <c r="AC140" s="167">
        <f>-214-AB140-AA140</f>
        <v>-54</v>
      </c>
      <c r="AD140" s="175">
        <f>-195-AC140-AB140-AA140</f>
        <v>19</v>
      </c>
      <c r="AE140" s="167">
        <v>2</v>
      </c>
      <c r="AF140" s="167">
        <f>-117-AE140</f>
        <v>-119</v>
      </c>
      <c r="AG140" s="167">
        <f>-189-AF140-AE140</f>
        <v>-72</v>
      </c>
      <c r="AH140" s="176">
        <f t="shared" si="198"/>
        <v>-1299</v>
      </c>
      <c r="AI140" s="167"/>
      <c r="AJ140" s="167"/>
      <c r="AK140" s="167"/>
      <c r="AL140" s="175"/>
      <c r="AM140" s="161"/>
      <c r="AN140" s="198"/>
      <c r="AO140" s="198"/>
      <c r="AP140" s="198"/>
      <c r="AQ140" s="198"/>
      <c r="AR140" s="167">
        <v>-200</v>
      </c>
      <c r="AS140" s="260">
        <v>-255</v>
      </c>
      <c r="AT140" s="166">
        <f t="shared" si="199"/>
        <v>-195</v>
      </c>
      <c r="AU140" s="167">
        <f>-1328-160</f>
        <v>-1488</v>
      </c>
      <c r="AV140" s="166">
        <f t="shared" si="200"/>
        <v>0</v>
      </c>
      <c r="AW140" s="356"/>
      <c r="AX140" s="356"/>
      <c r="AY140" s="356"/>
      <c r="AZ140" s="356"/>
      <c r="BA140" s="356"/>
      <c r="BB140" s="161"/>
      <c r="BC140"/>
      <c r="BD140"/>
      <c r="BE140"/>
      <c r="BF140"/>
      <c r="BG140"/>
      <c r="BH140"/>
      <c r="BI140" s="161"/>
    </row>
    <row r="141" spans="1:61" s="162" customFormat="1">
      <c r="A141" s="161"/>
      <c r="B141" s="671" t="s">
        <v>169</v>
      </c>
      <c r="C141" s="292"/>
      <c r="D141" s="293"/>
      <c r="E141" s="293"/>
      <c r="F141" s="294"/>
      <c r="G141" s="293"/>
      <c r="H141" s="293"/>
      <c r="I141" s="293"/>
      <c r="J141" s="294"/>
      <c r="K141" s="293"/>
      <c r="L141" s="293"/>
      <c r="M141" s="293"/>
      <c r="N141" s="294"/>
      <c r="O141" s="293"/>
      <c r="P141" s="293"/>
      <c r="Q141" s="293"/>
      <c r="R141" s="294"/>
      <c r="S141" s="293"/>
      <c r="T141" s="293"/>
      <c r="U141" s="293"/>
      <c r="V141" s="294"/>
      <c r="W141" s="293"/>
      <c r="X141" s="293"/>
      <c r="Y141" s="293"/>
      <c r="Z141" s="294"/>
      <c r="AA141" s="293">
        <f t="shared" ref="AA141:AE141" si="203">SUM(AA136:AA140)</f>
        <v>-66</v>
      </c>
      <c r="AB141" s="293">
        <f t="shared" si="203"/>
        <v>-106</v>
      </c>
      <c r="AC141" s="293">
        <f t="shared" si="203"/>
        <v>-42</v>
      </c>
      <c r="AD141" s="294">
        <f t="shared" si="203"/>
        <v>4</v>
      </c>
      <c r="AE141" s="293">
        <f t="shared" si="203"/>
        <v>-9</v>
      </c>
      <c r="AF141" s="293">
        <f>SUM(AF136:AF140)</f>
        <v>-119</v>
      </c>
      <c r="AG141" s="293">
        <f>SUM(AG136:AG140)</f>
        <v>-72</v>
      </c>
      <c r="AH141" s="294">
        <f>SUM(AH136:AH140)</f>
        <v>225</v>
      </c>
      <c r="AI141" s="293">
        <f t="shared" ref="AI141:AL141" si="204">SUM(AI136:AI140)</f>
        <v>-40.054430747106437</v>
      </c>
      <c r="AJ141" s="293">
        <f t="shared" si="204"/>
        <v>-39.975765341687705</v>
      </c>
      <c r="AK141" s="293">
        <f t="shared" si="204"/>
        <v>-39.899217253986471</v>
      </c>
      <c r="AL141" s="294">
        <f t="shared" si="204"/>
        <v>-39.824729495364686</v>
      </c>
      <c r="AM141" s="161"/>
      <c r="AN141" s="293"/>
      <c r="AO141" s="293"/>
      <c r="AP141" s="293"/>
      <c r="AQ141" s="293"/>
      <c r="AR141" s="293">
        <f t="shared" ref="AR141:AX141" si="205">SUM(AR136:AR140)</f>
        <v>-201</v>
      </c>
      <c r="AS141" s="293">
        <f t="shared" si="205"/>
        <v>-273</v>
      </c>
      <c r="AT141" s="293">
        <f t="shared" si="205"/>
        <v>-210</v>
      </c>
      <c r="AU141" s="293">
        <f t="shared" si="205"/>
        <v>25</v>
      </c>
      <c r="AV141" s="293">
        <f>SUM(AV136:AV140)</f>
        <v>-159.7541428381453</v>
      </c>
      <c r="AW141" s="293">
        <f t="shared" si="205"/>
        <v>-159.15197468767587</v>
      </c>
      <c r="AX141" s="293">
        <f t="shared" si="205"/>
        <v>-158.65579914484618</v>
      </c>
      <c r="AY141" s="293">
        <f t="shared" ref="AY141:BA141" si="206">SUM(AY136:AY140)</f>
        <v>-157.71287614236795</v>
      </c>
      <c r="AZ141" s="293">
        <f t="shared" si="206"/>
        <v>-156.86388537269201</v>
      </c>
      <c r="BA141" s="293">
        <f t="shared" si="206"/>
        <v>-156.09946948178623</v>
      </c>
      <c r="BB141" s="161"/>
      <c r="BC141"/>
      <c r="BD141"/>
      <c r="BE141"/>
      <c r="BF141"/>
      <c r="BG141"/>
      <c r="BH141"/>
      <c r="BI141" s="161"/>
    </row>
    <row r="142" spans="1:61" s="168" customFormat="1">
      <c r="A142" s="161"/>
      <c r="B142" s="655"/>
      <c r="C142" s="371"/>
      <c r="D142" s="162"/>
      <c r="E142" s="162"/>
      <c r="F142" s="226"/>
      <c r="G142" s="217"/>
      <c r="H142" s="162"/>
      <c r="I142" s="162"/>
      <c r="J142" s="226"/>
      <c r="K142" s="162"/>
      <c r="L142" s="162"/>
      <c r="M142" s="162"/>
      <c r="N142" s="226"/>
      <c r="O142" s="162"/>
      <c r="P142" s="162"/>
      <c r="Q142" s="162"/>
      <c r="R142" s="226"/>
      <c r="S142" s="162"/>
      <c r="T142" s="162"/>
      <c r="U142" s="162"/>
      <c r="V142" s="226"/>
      <c r="W142" s="162"/>
      <c r="X142" s="162"/>
      <c r="Y142" s="162"/>
      <c r="Z142" s="226"/>
      <c r="AA142" s="162"/>
      <c r="AB142" s="162"/>
      <c r="AC142" s="162"/>
      <c r="AD142" s="290"/>
      <c r="AE142" s="291"/>
      <c r="AF142" s="291"/>
      <c r="AG142" s="291"/>
      <c r="AH142" s="290"/>
      <c r="AI142" s="291"/>
      <c r="AJ142" s="291"/>
      <c r="AK142" s="291"/>
      <c r="AL142" s="290"/>
      <c r="AM142" s="161"/>
      <c r="AN142" s="217"/>
      <c r="AO142" s="217"/>
      <c r="AP142" s="217"/>
      <c r="AQ142" s="217"/>
      <c r="AR142" s="217"/>
      <c r="AS142" s="297"/>
      <c r="AT142" s="217"/>
      <c r="AU142" s="217"/>
      <c r="AV142" s="291"/>
      <c r="AW142" s="291"/>
      <c r="AX142" s="291"/>
      <c r="AY142" s="291"/>
      <c r="AZ142" s="291"/>
      <c r="BA142" s="291"/>
      <c r="BB142" s="161"/>
      <c r="BC142"/>
      <c r="BD142"/>
      <c r="BE142"/>
      <c r="BF142"/>
      <c r="BG142"/>
      <c r="BH142"/>
      <c r="BI142" s="161"/>
    </row>
    <row r="143" spans="1:61" s="168" customFormat="1">
      <c r="A143" s="161"/>
      <c r="B143" s="226" t="s">
        <v>170</v>
      </c>
      <c r="C143" s="174"/>
      <c r="D143" s="167"/>
      <c r="E143" s="167"/>
      <c r="F143" s="175"/>
      <c r="G143" s="167"/>
      <c r="H143" s="167"/>
      <c r="I143" s="167"/>
      <c r="J143" s="175"/>
      <c r="K143" s="167"/>
      <c r="L143" s="167"/>
      <c r="M143" s="167"/>
      <c r="N143" s="175"/>
      <c r="O143" s="167"/>
      <c r="P143" s="167"/>
      <c r="Q143" s="167"/>
      <c r="R143" s="175"/>
      <c r="S143" s="167"/>
      <c r="T143" s="167"/>
      <c r="U143" s="167"/>
      <c r="V143" s="175"/>
      <c r="W143" s="167"/>
      <c r="X143" s="167"/>
      <c r="Y143" s="167"/>
      <c r="Z143" s="175"/>
      <c r="AA143" s="167">
        <v>0</v>
      </c>
      <c r="AB143" s="167">
        <f>-3-AA143</f>
        <v>-3</v>
      </c>
      <c r="AC143" s="167">
        <f>-4-AB143-AA143</f>
        <v>-1</v>
      </c>
      <c r="AD143" s="175">
        <f>-7-AC143-AB143-AA143</f>
        <v>-3</v>
      </c>
      <c r="AE143" s="167">
        <v>4</v>
      </c>
      <c r="AF143" s="167">
        <f>5-AE143</f>
        <v>1</v>
      </c>
      <c r="AG143" s="167">
        <f>5-AF143-AE143</f>
        <v>0</v>
      </c>
      <c r="AH143" s="176">
        <f t="shared" ref="AH143" si="207">AU143-AG143-AF143-AE143</f>
        <v>7</v>
      </c>
      <c r="AI143" s="356"/>
      <c r="AJ143" s="356"/>
      <c r="AK143" s="356"/>
      <c r="AL143" s="355"/>
      <c r="AM143" s="161"/>
      <c r="AN143" s="198"/>
      <c r="AO143" s="198"/>
      <c r="AP143" s="198"/>
      <c r="AQ143" s="198"/>
      <c r="AR143" s="167">
        <v>-7</v>
      </c>
      <c r="AS143" s="260">
        <v>-8</v>
      </c>
      <c r="AT143" s="166">
        <f t="shared" ref="AT143" si="208">SUM(AA143:AD143)</f>
        <v>-7</v>
      </c>
      <c r="AU143" s="167">
        <v>12</v>
      </c>
      <c r="AV143" s="166">
        <f>SUM(AI143:AL143)</f>
        <v>0</v>
      </c>
      <c r="AW143" s="356"/>
      <c r="AX143" s="356"/>
      <c r="AY143" s="356"/>
      <c r="AZ143" s="356"/>
      <c r="BA143" s="356"/>
      <c r="BB143" s="161"/>
      <c r="BC143"/>
      <c r="BD143"/>
      <c r="BE143"/>
      <c r="BF143"/>
      <c r="BG143"/>
      <c r="BH143"/>
      <c r="BI143" s="161"/>
    </row>
    <row r="144" spans="1:61" s="168" customFormat="1">
      <c r="A144" s="161"/>
      <c r="B144" s="226"/>
      <c r="C144" s="225"/>
      <c r="D144" s="162"/>
      <c r="E144" s="162"/>
      <c r="F144" s="226"/>
      <c r="G144" s="162"/>
      <c r="H144" s="162"/>
      <c r="I144" s="162"/>
      <c r="J144" s="226"/>
      <c r="K144" s="162"/>
      <c r="L144" s="162"/>
      <c r="M144" s="162"/>
      <c r="N144" s="226"/>
      <c r="O144" s="162"/>
      <c r="P144" s="162"/>
      <c r="Q144" s="162"/>
      <c r="R144" s="226"/>
      <c r="S144" s="162"/>
      <c r="T144" s="162"/>
      <c r="U144" s="162"/>
      <c r="V144" s="226"/>
      <c r="W144" s="162"/>
      <c r="X144" s="162"/>
      <c r="Y144" s="162"/>
      <c r="Z144" s="226"/>
      <c r="AA144" s="162"/>
      <c r="AB144" s="162"/>
      <c r="AC144" s="162"/>
      <c r="AD144" s="226"/>
      <c r="AE144" s="372"/>
      <c r="AF144" s="372"/>
      <c r="AG144" s="372"/>
      <c r="AH144" s="738"/>
      <c r="AI144" s="291"/>
      <c r="AJ144" s="291"/>
      <c r="AK144" s="291"/>
      <c r="AL144" s="290"/>
      <c r="AM144" s="161"/>
      <c r="AN144" s="162"/>
      <c r="AO144" s="162"/>
      <c r="AP144" s="162"/>
      <c r="AQ144" s="162"/>
      <c r="AR144" s="162"/>
      <c r="AS144" s="162"/>
      <c r="AT144" s="162"/>
      <c r="AU144" s="162"/>
      <c r="AV144" s="291"/>
      <c r="AW144" s="291"/>
      <c r="AX144" s="291"/>
      <c r="AY144" s="291"/>
      <c r="AZ144" s="291"/>
      <c r="BA144" s="291"/>
      <c r="BB144" s="161"/>
      <c r="BC144"/>
      <c r="BD144"/>
      <c r="BE144"/>
      <c r="BF144"/>
      <c r="BG144"/>
      <c r="BH144"/>
      <c r="BI144" s="161"/>
    </row>
    <row r="145" spans="1:61" s="168" customFormat="1">
      <c r="A145" s="161"/>
      <c r="B145" s="226" t="s">
        <v>171</v>
      </c>
      <c r="C145" s="361"/>
      <c r="D145" s="198"/>
      <c r="E145" s="198"/>
      <c r="F145" s="197"/>
      <c r="G145" s="162"/>
      <c r="H145" s="198"/>
      <c r="I145" s="198"/>
      <c r="J145" s="197"/>
      <c r="K145" s="198"/>
      <c r="L145" s="198"/>
      <c r="M145" s="198"/>
      <c r="N145" s="197"/>
      <c r="O145" s="198"/>
      <c r="P145" s="198"/>
      <c r="Q145" s="198"/>
      <c r="R145" s="197"/>
      <c r="S145" s="198"/>
      <c r="T145" s="198"/>
      <c r="U145" s="198"/>
      <c r="V145" s="197"/>
      <c r="W145" s="198"/>
      <c r="X145" s="198"/>
      <c r="Y145" s="198"/>
      <c r="Z145" s="197"/>
      <c r="AA145" s="198">
        <f t="shared" ref="AA145:AL145" si="209">AA127+AA134+AA141+AA143</f>
        <v>2</v>
      </c>
      <c r="AB145" s="198">
        <f t="shared" si="209"/>
        <v>-9</v>
      </c>
      <c r="AC145" s="198">
        <f t="shared" si="209"/>
        <v>-18</v>
      </c>
      <c r="AD145" s="226">
        <f t="shared" si="209"/>
        <v>18</v>
      </c>
      <c r="AE145" s="162">
        <f t="shared" si="209"/>
        <v>-40</v>
      </c>
      <c r="AF145" s="162">
        <f t="shared" si="209"/>
        <v>17</v>
      </c>
      <c r="AG145" s="162">
        <f t="shared" si="209"/>
        <v>17</v>
      </c>
      <c r="AH145" s="226">
        <f t="shared" ref="AH145" si="210">AH127+AH134+AH141+AH143</f>
        <v>243</v>
      </c>
      <c r="AI145" s="162">
        <f t="shared" si="209"/>
        <v>-25.326757024212924</v>
      </c>
      <c r="AJ145" s="162">
        <f t="shared" si="209"/>
        <v>18.466724365677422</v>
      </c>
      <c r="AK145" s="162">
        <f t="shared" si="209"/>
        <v>-6.2350653397528717</v>
      </c>
      <c r="AL145" s="226">
        <f t="shared" si="209"/>
        <v>21.629648673639629</v>
      </c>
      <c r="AM145" s="161"/>
      <c r="AN145" s="162"/>
      <c r="AO145" s="162"/>
      <c r="AP145" s="162"/>
      <c r="AQ145" s="162"/>
      <c r="AR145" s="162">
        <f t="shared" ref="AR145:BA145" si="211">AR127+AR134+AR141+AR143</f>
        <v>4</v>
      </c>
      <c r="AS145" s="162">
        <f t="shared" si="211"/>
        <v>-53</v>
      </c>
      <c r="AT145" s="162">
        <f t="shared" si="211"/>
        <v>-7</v>
      </c>
      <c r="AU145" s="162">
        <f t="shared" si="211"/>
        <v>237</v>
      </c>
      <c r="AV145" s="162">
        <f t="shared" si="211"/>
        <v>8.53455067535117</v>
      </c>
      <c r="AW145" s="162">
        <f t="shared" si="211"/>
        <v>104.81654986132264</v>
      </c>
      <c r="AX145" s="162">
        <f t="shared" si="211"/>
        <v>175.93689334762792</v>
      </c>
      <c r="AY145" s="162">
        <f t="shared" si="211"/>
        <v>215.36812104543836</v>
      </c>
      <c r="AZ145" s="162">
        <f t="shared" si="211"/>
        <v>222.55299562810794</v>
      </c>
      <c r="BA145" s="162">
        <f t="shared" si="211"/>
        <v>226.83576901596803</v>
      </c>
      <c r="BB145" s="161"/>
      <c r="BC145"/>
      <c r="BD145"/>
      <c r="BE145"/>
      <c r="BF145"/>
      <c r="BG145"/>
      <c r="BH145"/>
      <c r="BI145" s="161"/>
    </row>
    <row r="146" spans="1:61" s="162" customFormat="1">
      <c r="A146" s="161"/>
      <c r="B146" s="226" t="s">
        <v>172</v>
      </c>
      <c r="C146" s="174"/>
      <c r="D146" s="198"/>
      <c r="E146" s="198"/>
      <c r="F146" s="197"/>
      <c r="G146" s="198"/>
      <c r="H146" s="198"/>
      <c r="I146" s="198"/>
      <c r="J146" s="197"/>
      <c r="K146" s="198"/>
      <c r="L146" s="198"/>
      <c r="M146" s="198"/>
      <c r="N146" s="197"/>
      <c r="O146" s="198"/>
      <c r="P146" s="198"/>
      <c r="Q146" s="198"/>
      <c r="R146" s="197"/>
      <c r="S146" s="198"/>
      <c r="T146" s="198"/>
      <c r="U146" s="198"/>
      <c r="V146" s="197"/>
      <c r="W146" s="166"/>
      <c r="X146" s="198"/>
      <c r="Y146" s="198"/>
      <c r="Z146" s="197"/>
      <c r="AA146" s="166">
        <f>AS147</f>
        <v>108</v>
      </c>
      <c r="AB146" s="198">
        <f t="shared" ref="AB146:AL146" si="212">AA147</f>
        <v>110</v>
      </c>
      <c r="AC146" s="198">
        <f t="shared" si="212"/>
        <v>101</v>
      </c>
      <c r="AD146" s="197">
        <f t="shared" si="212"/>
        <v>83</v>
      </c>
      <c r="AE146" s="166">
        <f t="shared" si="212"/>
        <v>101</v>
      </c>
      <c r="AF146" s="166">
        <f t="shared" si="212"/>
        <v>61</v>
      </c>
      <c r="AG146" s="166">
        <f t="shared" si="212"/>
        <v>78</v>
      </c>
      <c r="AH146" s="176">
        <f t="shared" si="212"/>
        <v>95</v>
      </c>
      <c r="AI146" s="166">
        <f t="shared" si="212"/>
        <v>338</v>
      </c>
      <c r="AJ146" s="166">
        <f t="shared" si="212"/>
        <v>312.67324297578705</v>
      </c>
      <c r="AK146" s="166">
        <f t="shared" si="212"/>
        <v>331.13996734146446</v>
      </c>
      <c r="AL146" s="176">
        <f t="shared" si="212"/>
        <v>324.9049020017116</v>
      </c>
      <c r="AM146" s="161"/>
      <c r="AN146" s="198"/>
      <c r="AO146" s="198"/>
      <c r="AP146" s="198"/>
      <c r="AQ146" s="198"/>
      <c r="AR146" s="167">
        <v>157</v>
      </c>
      <c r="AS146" s="166">
        <f>AR147</f>
        <v>161</v>
      </c>
      <c r="AT146" s="166">
        <f>AS147</f>
        <v>108</v>
      </c>
      <c r="AU146" s="166">
        <f>AT147</f>
        <v>101</v>
      </c>
      <c r="AV146" s="166">
        <f t="shared" ref="AV146:BA146" si="213">AU59</f>
        <v>338</v>
      </c>
      <c r="AW146" s="166">
        <f t="shared" si="213"/>
        <v>346.53455067535123</v>
      </c>
      <c r="AX146" s="166">
        <f t="shared" si="213"/>
        <v>451.35110053667387</v>
      </c>
      <c r="AY146" s="166">
        <f t="shared" si="213"/>
        <v>627.28799388430184</v>
      </c>
      <c r="AZ146" s="166">
        <f t="shared" si="213"/>
        <v>842.65611492974017</v>
      </c>
      <c r="BA146" s="166">
        <f t="shared" si="213"/>
        <v>1065.2091105578481</v>
      </c>
      <c r="BB146" s="161"/>
      <c r="BC146"/>
      <c r="BD146"/>
      <c r="BE146"/>
      <c r="BF146"/>
      <c r="BG146"/>
      <c r="BH146"/>
      <c r="BI146" s="161"/>
    </row>
    <row r="147" spans="1:61" s="162" customFormat="1">
      <c r="A147" s="161"/>
      <c r="B147" s="176" t="s">
        <v>173</v>
      </c>
      <c r="C147" s="373"/>
      <c r="D147" s="166"/>
      <c r="E147" s="166"/>
      <c r="F147" s="176"/>
      <c r="G147" s="166"/>
      <c r="H147" s="166"/>
      <c r="I147" s="166"/>
      <c r="J147" s="176"/>
      <c r="K147" s="166"/>
      <c r="L147" s="166"/>
      <c r="M147" s="166"/>
      <c r="N147" s="176"/>
      <c r="O147" s="166"/>
      <c r="P147" s="166"/>
      <c r="Q147" s="166"/>
      <c r="R147" s="176"/>
      <c r="S147" s="166"/>
      <c r="T147" s="166"/>
      <c r="U147" s="166"/>
      <c r="V147" s="176"/>
      <c r="W147" s="166"/>
      <c r="X147" s="166"/>
      <c r="Y147" s="166"/>
      <c r="Z147" s="176"/>
      <c r="AA147" s="166">
        <f t="shared" ref="AA147:AE147" si="214">AA145+AA146</f>
        <v>110</v>
      </c>
      <c r="AB147" s="166">
        <f t="shared" si="214"/>
        <v>101</v>
      </c>
      <c r="AC147" s="166">
        <f t="shared" si="214"/>
        <v>83</v>
      </c>
      <c r="AD147" s="176">
        <f t="shared" si="214"/>
        <v>101</v>
      </c>
      <c r="AE147" s="166">
        <f t="shared" si="214"/>
        <v>61</v>
      </c>
      <c r="AF147" s="166">
        <f>AF145+AF146</f>
        <v>78</v>
      </c>
      <c r="AG147" s="166">
        <f>AG145+AG146</f>
        <v>95</v>
      </c>
      <c r="AH147" s="176">
        <f>AH145+AH146</f>
        <v>338</v>
      </c>
      <c r="AI147" s="166">
        <f t="shared" ref="AI147:AL147" si="215">AI145+AI146</f>
        <v>312.67324297578705</v>
      </c>
      <c r="AJ147" s="166">
        <f t="shared" si="215"/>
        <v>331.13996734146446</v>
      </c>
      <c r="AK147" s="166">
        <f t="shared" si="215"/>
        <v>324.9049020017116</v>
      </c>
      <c r="AL147" s="176">
        <f t="shared" si="215"/>
        <v>346.53455067535123</v>
      </c>
      <c r="AM147" s="161"/>
      <c r="AN147" s="166"/>
      <c r="AO147" s="166"/>
      <c r="AP147" s="166"/>
      <c r="AQ147" s="166"/>
      <c r="AR147" s="166">
        <f t="shared" ref="AR147:AX147" si="216">AR145+AR146</f>
        <v>161</v>
      </c>
      <c r="AS147" s="166">
        <f t="shared" si="216"/>
        <v>108</v>
      </c>
      <c r="AT147" s="166">
        <f t="shared" si="216"/>
        <v>101</v>
      </c>
      <c r="AU147" s="166">
        <f t="shared" si="216"/>
        <v>338</v>
      </c>
      <c r="AV147" s="166">
        <f>AV145+AV146</f>
        <v>346.53455067535117</v>
      </c>
      <c r="AW147" s="166">
        <f t="shared" si="216"/>
        <v>451.35110053667387</v>
      </c>
      <c r="AX147" s="166">
        <f t="shared" si="216"/>
        <v>627.28799388430184</v>
      </c>
      <c r="AY147" s="166">
        <f t="shared" ref="AY147:BA147" si="217">AY145+AY146</f>
        <v>842.65611492974017</v>
      </c>
      <c r="AZ147" s="166">
        <f t="shared" si="217"/>
        <v>1065.2091105578481</v>
      </c>
      <c r="BA147" s="166">
        <f t="shared" si="217"/>
        <v>1292.0448795738162</v>
      </c>
      <c r="BB147" s="161"/>
      <c r="BC147"/>
      <c r="BD147"/>
      <c r="BE147"/>
      <c r="BF147"/>
      <c r="BG147"/>
      <c r="BH147"/>
      <c r="BI147" s="161"/>
    </row>
    <row r="148" spans="1:61" s="162" customFormat="1">
      <c r="A148" s="161"/>
      <c r="B148" s="176"/>
      <c r="C148" s="373"/>
      <c r="D148" s="166"/>
      <c r="E148" s="166"/>
      <c r="F148" s="176"/>
      <c r="G148" s="166"/>
      <c r="H148" s="166"/>
      <c r="I148" s="166"/>
      <c r="J148" s="176"/>
      <c r="K148" s="166"/>
      <c r="L148" s="166"/>
      <c r="M148" s="166"/>
      <c r="N148" s="176"/>
      <c r="O148" s="166"/>
      <c r="P148" s="166"/>
      <c r="Q148" s="166"/>
      <c r="R148" s="176"/>
      <c r="S148" s="166"/>
      <c r="T148" s="166"/>
      <c r="U148" s="166"/>
      <c r="V148" s="176"/>
      <c r="W148" s="166"/>
      <c r="X148" s="166"/>
      <c r="Y148" s="166"/>
      <c r="Z148" s="176"/>
      <c r="AA148" s="166"/>
      <c r="AB148" s="166"/>
      <c r="AC148" s="166"/>
      <c r="AD148" s="176"/>
      <c r="AE148" s="166"/>
      <c r="AF148" s="166"/>
      <c r="AG148" s="166"/>
      <c r="AH148" s="176"/>
      <c r="AI148" s="166"/>
      <c r="AJ148" s="166"/>
      <c r="AK148" s="166"/>
      <c r="AL148" s="176"/>
      <c r="AM148" s="161"/>
      <c r="AN148" s="166"/>
      <c r="AO148" s="166"/>
      <c r="AP148" s="166"/>
      <c r="AQ148" s="166"/>
      <c r="AR148" s="166"/>
      <c r="AS148" s="166"/>
      <c r="AT148" s="166"/>
      <c r="AU148" s="166"/>
      <c r="AV148" s="166"/>
      <c r="AW148" s="166"/>
      <c r="AX148" s="166"/>
      <c r="AY148" s="166"/>
      <c r="AZ148" s="166"/>
      <c r="BA148" s="166"/>
      <c r="BB148" s="161"/>
      <c r="BC148"/>
      <c r="BD148"/>
      <c r="BE148"/>
      <c r="BF148"/>
      <c r="BG148"/>
      <c r="BH148"/>
      <c r="BI148" s="161"/>
    </row>
    <row r="149" spans="1:61" s="374" customFormat="1">
      <c r="A149" s="161"/>
      <c r="B149" s="680" t="s">
        <v>141</v>
      </c>
      <c r="C149" s="306"/>
      <c r="D149" s="307"/>
      <c r="E149" s="307"/>
      <c r="F149" s="308"/>
      <c r="G149" s="307"/>
      <c r="H149" s="307"/>
      <c r="I149" s="307"/>
      <c r="J149" s="308"/>
      <c r="K149" s="307"/>
      <c r="L149" s="307"/>
      <c r="M149" s="307"/>
      <c r="N149" s="308"/>
      <c r="O149" s="307"/>
      <c r="P149" s="307"/>
      <c r="Q149" s="307"/>
      <c r="R149" s="308"/>
      <c r="S149" s="307"/>
      <c r="T149" s="307"/>
      <c r="U149" s="307"/>
      <c r="V149" s="308"/>
      <c r="W149" s="307"/>
      <c r="X149" s="307"/>
      <c r="Y149" s="307"/>
      <c r="Z149" s="308"/>
      <c r="AA149" s="307"/>
      <c r="AB149" s="307"/>
      <c r="AC149" s="307"/>
      <c r="AD149" s="308">
        <f>AD147-AD59</f>
        <v>0</v>
      </c>
      <c r="AE149" s="307">
        <f>AE147-AE59</f>
        <v>0</v>
      </c>
      <c r="AF149" s="307">
        <f>AF147-AF59</f>
        <v>0</v>
      </c>
      <c r="AG149" s="307">
        <f>AG147-AG59</f>
        <v>0</v>
      </c>
      <c r="AH149" s="308">
        <f t="shared" ref="AH149" si="218">AH147-AH59</f>
        <v>0</v>
      </c>
      <c r="AI149" s="307">
        <f>AI147-AI59</f>
        <v>0</v>
      </c>
      <c r="AJ149" s="307">
        <f>AJ147-AJ59</f>
        <v>0</v>
      </c>
      <c r="AK149" s="307">
        <f>AK147-AK59</f>
        <v>0</v>
      </c>
      <c r="AL149" s="308">
        <f>AL147-AL59</f>
        <v>0</v>
      </c>
      <c r="AM149" s="206"/>
      <c r="AN149" s="307"/>
      <c r="AO149" s="307"/>
      <c r="AP149" s="307"/>
      <c r="AQ149" s="307"/>
      <c r="AR149" s="307"/>
      <c r="AS149" s="307">
        <f t="shared" ref="AS149:BA149" si="219">AS147-AS59</f>
        <v>0</v>
      </c>
      <c r="AT149" s="307">
        <f t="shared" si="219"/>
        <v>0</v>
      </c>
      <c r="AU149" s="307">
        <f t="shared" si="219"/>
        <v>0</v>
      </c>
      <c r="AV149" s="307">
        <f t="shared" si="219"/>
        <v>0</v>
      </c>
      <c r="AW149" s="307">
        <f t="shared" si="219"/>
        <v>0</v>
      </c>
      <c r="AX149" s="307">
        <f t="shared" si="219"/>
        <v>0</v>
      </c>
      <c r="AY149" s="307">
        <f t="shared" si="219"/>
        <v>0</v>
      </c>
      <c r="AZ149" s="307">
        <f t="shared" si="219"/>
        <v>0</v>
      </c>
      <c r="BA149" s="307">
        <f t="shared" si="219"/>
        <v>0</v>
      </c>
      <c r="BB149" s="206"/>
      <c r="BC149"/>
      <c r="BD149"/>
      <c r="BE149"/>
      <c r="BF149"/>
      <c r="BG149"/>
      <c r="BH149"/>
      <c r="BI149" s="206"/>
    </row>
    <row r="150" spans="1:61" s="168" customFormat="1" ht="15.75" thickBot="1">
      <c r="A150" s="161"/>
      <c r="B150" s="226"/>
      <c r="C150" s="313"/>
      <c r="D150" s="291"/>
      <c r="E150" s="291"/>
      <c r="F150" s="290"/>
      <c r="G150" s="291"/>
      <c r="H150" s="291"/>
      <c r="I150" s="291"/>
      <c r="J150" s="290"/>
      <c r="K150" s="291"/>
      <c r="L150" s="291"/>
      <c r="M150" s="291"/>
      <c r="N150" s="290"/>
      <c r="O150" s="291"/>
      <c r="P150" s="291"/>
      <c r="Q150" s="291"/>
      <c r="R150" s="290"/>
      <c r="S150" s="291"/>
      <c r="T150" s="291"/>
      <c r="U150" s="291"/>
      <c r="V150" s="290"/>
      <c r="W150" s="291"/>
      <c r="X150" s="291"/>
      <c r="Y150" s="291"/>
      <c r="Z150" s="290"/>
      <c r="AA150" s="291"/>
      <c r="AB150" s="291"/>
      <c r="AC150" s="291"/>
      <c r="AD150" s="290"/>
      <c r="AE150" s="314"/>
      <c r="AF150" s="314"/>
      <c r="AG150" s="314"/>
      <c r="AH150" s="315"/>
      <c r="AI150" s="314"/>
      <c r="AJ150" s="314"/>
      <c r="AK150" s="314"/>
      <c r="AL150" s="315"/>
      <c r="AM150" s="161"/>
      <c r="AN150" s="162"/>
      <c r="AO150" s="162"/>
      <c r="AP150" s="162"/>
      <c r="AQ150" s="162"/>
      <c r="AR150" s="162"/>
      <c r="AS150" s="162"/>
      <c r="AT150" s="162"/>
      <c r="AU150" s="162"/>
      <c r="AV150" s="314"/>
      <c r="AW150" s="314"/>
      <c r="AX150" s="314"/>
      <c r="AY150" s="314"/>
      <c r="AZ150" s="314"/>
      <c r="BA150" s="314"/>
      <c r="BB150" s="161"/>
      <c r="BC150"/>
      <c r="BD150"/>
      <c r="BE150"/>
      <c r="BF150"/>
      <c r="BG150"/>
      <c r="BH150"/>
      <c r="BI150" s="161"/>
    </row>
    <row r="151" spans="1:61" s="168" customFormat="1">
      <c r="A151" s="161"/>
      <c r="B151" s="681" t="s">
        <v>174</v>
      </c>
      <c r="C151" s="375"/>
      <c r="D151" s="376"/>
      <c r="E151" s="376"/>
      <c r="F151" s="377"/>
      <c r="G151" s="376"/>
      <c r="H151" s="376"/>
      <c r="I151" s="376"/>
      <c r="J151" s="377"/>
      <c r="K151" s="376"/>
      <c r="L151" s="376"/>
      <c r="M151" s="376"/>
      <c r="N151" s="377"/>
      <c r="O151" s="376"/>
      <c r="P151" s="376"/>
      <c r="Q151" s="376"/>
      <c r="R151" s="377"/>
      <c r="S151" s="376"/>
      <c r="T151" s="376"/>
      <c r="U151" s="376"/>
      <c r="V151" s="377"/>
      <c r="W151" s="376"/>
      <c r="X151" s="376"/>
      <c r="Y151" s="376"/>
      <c r="Z151" s="377"/>
      <c r="AA151" s="376">
        <f t="shared" ref="AA151:AL151" si="220">AA127+AA130</f>
        <v>68</v>
      </c>
      <c r="AB151" s="376">
        <f t="shared" si="220"/>
        <v>96</v>
      </c>
      <c r="AC151" s="376">
        <f t="shared" si="220"/>
        <v>24</v>
      </c>
      <c r="AD151" s="377">
        <f t="shared" si="220"/>
        <v>13</v>
      </c>
      <c r="AE151" s="376">
        <f t="shared" si="220"/>
        <v>-35</v>
      </c>
      <c r="AF151" s="376">
        <f t="shared" si="220"/>
        <v>130</v>
      </c>
      <c r="AG151" s="376">
        <f t="shared" si="220"/>
        <v>88</v>
      </c>
      <c r="AH151" s="377">
        <f t="shared" ref="AH151" si="221">AH127+AH130</f>
        <v>9</v>
      </c>
      <c r="AI151" s="376">
        <f t="shared" si="220"/>
        <v>14.727673722893513</v>
      </c>
      <c r="AJ151" s="376">
        <f t="shared" si="220"/>
        <v>58.442489707365127</v>
      </c>
      <c r="AK151" s="376">
        <f t="shared" si="220"/>
        <v>33.664151914233599</v>
      </c>
      <c r="AL151" s="377">
        <f t="shared" si="220"/>
        <v>61.454378169004315</v>
      </c>
      <c r="AM151" s="161"/>
      <c r="AN151" s="376"/>
      <c r="AO151" s="376"/>
      <c r="AP151" s="376"/>
      <c r="AQ151" s="376"/>
      <c r="AR151" s="376">
        <f t="shared" ref="AR151:BA151" si="222">AR127+AR130</f>
        <v>211</v>
      </c>
      <c r="AS151" s="376">
        <f t="shared" si="222"/>
        <v>228</v>
      </c>
      <c r="AT151" s="376">
        <f t="shared" si="222"/>
        <v>201</v>
      </c>
      <c r="AU151" s="376">
        <f t="shared" si="222"/>
        <v>192</v>
      </c>
      <c r="AV151" s="376">
        <f t="shared" si="222"/>
        <v>168.28869351349647</v>
      </c>
      <c r="AW151" s="376">
        <f t="shared" si="222"/>
        <v>263.96852454899852</v>
      </c>
      <c r="AX151" s="376">
        <f t="shared" si="222"/>
        <v>334.5926924924741</v>
      </c>
      <c r="AY151" s="376">
        <f t="shared" si="222"/>
        <v>373.0809971878063</v>
      </c>
      <c r="AZ151" s="376">
        <f t="shared" si="222"/>
        <v>379.41688100079995</v>
      </c>
      <c r="BA151" s="376">
        <f t="shared" si="222"/>
        <v>382.93523849775426</v>
      </c>
      <c r="BB151" s="161"/>
      <c r="BC151"/>
      <c r="BD151"/>
      <c r="BE151"/>
      <c r="BF151"/>
      <c r="BG151"/>
      <c r="BH151"/>
      <c r="BI151" s="161"/>
    </row>
    <row r="152" spans="1:61" s="173" customFormat="1">
      <c r="A152" s="181"/>
      <c r="B152" s="682" t="s">
        <v>93</v>
      </c>
      <c r="C152" s="378"/>
      <c r="D152" s="379"/>
      <c r="E152" s="379"/>
      <c r="F152" s="380"/>
      <c r="G152" s="379"/>
      <c r="H152" s="379"/>
      <c r="I152" s="379"/>
      <c r="J152" s="380"/>
      <c r="K152" s="379"/>
      <c r="L152" s="379"/>
      <c r="M152" s="379"/>
      <c r="N152" s="380"/>
      <c r="O152" s="379"/>
      <c r="P152" s="379"/>
      <c r="Q152" s="379"/>
      <c r="R152" s="380"/>
      <c r="S152" s="379"/>
      <c r="T152" s="379"/>
      <c r="U152" s="379"/>
      <c r="V152" s="380"/>
      <c r="W152" s="379"/>
      <c r="X152" s="379"/>
      <c r="Y152" s="379"/>
      <c r="Z152" s="380"/>
      <c r="AA152" s="379">
        <f t="shared" ref="AA152:AG152" si="223">AA151/AA6</f>
        <v>6.087735004476276E-2</v>
      </c>
      <c r="AB152" s="379">
        <f t="shared" si="223"/>
        <v>8.3769633507853408E-2</v>
      </c>
      <c r="AC152" s="379">
        <f t="shared" si="223"/>
        <v>2.2284122562674095E-2</v>
      </c>
      <c r="AD152" s="380">
        <f t="shared" si="223"/>
        <v>1.1343804537521814E-2</v>
      </c>
      <c r="AE152" s="379">
        <f t="shared" si="223"/>
        <v>-2.9965753424657533E-2</v>
      </c>
      <c r="AF152" s="379">
        <f t="shared" si="223"/>
        <v>0.10951979780960404</v>
      </c>
      <c r="AG152" s="379">
        <f t="shared" si="223"/>
        <v>7.3029045643153531E-2</v>
      </c>
      <c r="AH152" s="380">
        <f t="shared" ref="AH152" si="224">AH151/AH6</f>
        <v>6.9821567106283944E-3</v>
      </c>
      <c r="AI152" s="379">
        <f>AI151/AI6</f>
        <v>1.130306967328241E-2</v>
      </c>
      <c r="AJ152" s="379">
        <f>AJ151/AJ6</f>
        <v>4.4553070102813133E-2</v>
      </c>
      <c r="AK152" s="379">
        <f>AK151/AK6</f>
        <v>2.5252059569983009E-2</v>
      </c>
      <c r="AL152" s="380">
        <f>AL151/AL6</f>
        <v>5.243189728431874E-2</v>
      </c>
      <c r="AM152" s="181"/>
      <c r="AN152" s="379"/>
      <c r="AO152" s="379"/>
      <c r="AP152" s="379"/>
      <c r="AQ152" s="379"/>
      <c r="AR152" s="379">
        <f t="shared" ref="AR152:BA152" si="225">AR151/AR6</f>
        <v>4.6475770925110134E-2</v>
      </c>
      <c r="AS152" s="379">
        <f t="shared" si="225"/>
        <v>5.1735874744724304E-2</v>
      </c>
      <c r="AT152" s="379">
        <f t="shared" si="225"/>
        <v>4.4806063308069549E-2</v>
      </c>
      <c r="AU152" s="379">
        <f t="shared" si="225"/>
        <v>3.9595792946999379E-2</v>
      </c>
      <c r="AV152" s="379">
        <f t="shared" si="225"/>
        <v>3.286930273792469E-2</v>
      </c>
      <c r="AW152" s="379">
        <f t="shared" si="225"/>
        <v>5.0346530057754198E-2</v>
      </c>
      <c r="AX152" s="379">
        <f t="shared" si="225"/>
        <v>6.1795672219001535E-2</v>
      </c>
      <c r="AY152" s="379">
        <f t="shared" si="225"/>
        <v>6.621290000421895E-2</v>
      </c>
      <c r="AZ152" s="379">
        <f t="shared" si="225"/>
        <v>6.5062385600294412E-2</v>
      </c>
      <c r="BA152" s="379">
        <f t="shared" si="225"/>
        <v>6.3789390171828497E-2</v>
      </c>
      <c r="BB152" s="181"/>
      <c r="BC152"/>
      <c r="BD152"/>
      <c r="BE152"/>
      <c r="BF152"/>
      <c r="BG152"/>
      <c r="BH152"/>
      <c r="BI152" s="181"/>
    </row>
    <row r="153" spans="1:61" s="265" customFormat="1" ht="15.75" thickBot="1">
      <c r="A153" s="161"/>
      <c r="B153" s="683" t="s">
        <v>175</v>
      </c>
      <c r="C153" s="381"/>
      <c r="D153" s="382"/>
      <c r="E153" s="382"/>
      <c r="F153" s="383"/>
      <c r="G153" s="382"/>
      <c r="H153" s="382"/>
      <c r="I153" s="382"/>
      <c r="J153" s="383"/>
      <c r="K153" s="382"/>
      <c r="L153" s="382"/>
      <c r="M153" s="382"/>
      <c r="N153" s="383"/>
      <c r="O153" s="382"/>
      <c r="P153" s="382"/>
      <c r="Q153" s="382"/>
      <c r="R153" s="383"/>
      <c r="S153" s="382"/>
      <c r="T153" s="382"/>
      <c r="U153" s="382"/>
      <c r="V153" s="383"/>
      <c r="W153" s="382"/>
      <c r="X153" s="382"/>
      <c r="Y153" s="382"/>
      <c r="Z153" s="383"/>
      <c r="AA153" s="382">
        <f t="shared" ref="AA153:AG153" si="226">AA151/AA35</f>
        <v>0.7674077417898657</v>
      </c>
      <c r="AB153" s="382">
        <f t="shared" si="226"/>
        <v>1.0833991648798105</v>
      </c>
      <c r="AC153" s="382">
        <f t="shared" si="226"/>
        <v>0.27084979121995262</v>
      </c>
      <c r="AD153" s="383">
        <f t="shared" si="226"/>
        <v>0.14671030357747433</v>
      </c>
      <c r="AE153" s="382">
        <f t="shared" si="226"/>
        <v>-0.39495956366372015</v>
      </c>
      <c r="AF153" s="382">
        <f t="shared" si="226"/>
        <v>1.4669926650366749</v>
      </c>
      <c r="AG153" s="382">
        <f t="shared" si="226"/>
        <v>0.99304118864021074</v>
      </c>
      <c r="AH153" s="383">
        <f t="shared" ref="AH153" si="227">AH151/AH35</f>
        <v>0.10136276607726094</v>
      </c>
      <c r="AI153" s="382">
        <f>AI151/AI35</f>
        <v>0.16631014316985226</v>
      </c>
      <c r="AJ153" s="382">
        <f>AJ151/AJ35</f>
        <v>0.66342006725997582</v>
      </c>
      <c r="AK153" s="382">
        <f>AK151/AK35</f>
        <v>0.38410781773710151</v>
      </c>
      <c r="AL153" s="383">
        <f>AL151/AL35</f>
        <v>0.70471736378038607</v>
      </c>
      <c r="AM153" s="384"/>
      <c r="AN153" s="382"/>
      <c r="AO153" s="382"/>
      <c r="AP153" s="382"/>
      <c r="AQ153" s="382"/>
      <c r="AR153" s="382">
        <f t="shared" ref="AR153:BA153" si="228">AR151/AR35</f>
        <v>2.0967902216038956</v>
      </c>
      <c r="AS153" s="382">
        <f t="shared" si="228"/>
        <v>2.3862684900921014</v>
      </c>
      <c r="AT153" s="382">
        <f t="shared" si="228"/>
        <v>2.2683670014671029</v>
      </c>
      <c r="AU153" s="382">
        <f t="shared" si="228"/>
        <v>2.1655763591247461</v>
      </c>
      <c r="AV153" s="382">
        <f t="shared" si="228"/>
        <v>1.915119289705965</v>
      </c>
      <c r="AW153" s="382">
        <f t="shared" si="228"/>
        <v>3.0345326194277833</v>
      </c>
      <c r="AX153" s="382">
        <f t="shared" si="228"/>
        <v>3.878952025408962</v>
      </c>
      <c r="AY153" s="382">
        <f t="shared" si="228"/>
        <v>4.3958141587309791</v>
      </c>
      <c r="AZ153" s="382">
        <f t="shared" si="228"/>
        <v>4.5372115779560529</v>
      </c>
      <c r="BA153" s="382">
        <f t="shared" si="228"/>
        <v>4.6416831493034953</v>
      </c>
      <c r="BB153" s="384"/>
      <c r="BC153"/>
      <c r="BD153"/>
      <c r="BE153"/>
      <c r="BF153"/>
      <c r="BG153"/>
      <c r="BH153"/>
      <c r="BI153" s="384"/>
    </row>
    <row r="154" spans="1:61" s="173" customFormat="1">
      <c r="A154" s="181"/>
      <c r="B154" s="657" t="s">
        <v>26</v>
      </c>
      <c r="C154" s="378"/>
      <c r="D154" s="379"/>
      <c r="E154" s="379"/>
      <c r="F154" s="380"/>
      <c r="G154" s="379"/>
      <c r="H154" s="379"/>
      <c r="I154" s="379"/>
      <c r="J154" s="380"/>
      <c r="K154" s="379"/>
      <c r="L154" s="379"/>
      <c r="M154" s="379"/>
      <c r="N154" s="380"/>
      <c r="O154" s="379"/>
      <c r="P154" s="379"/>
      <c r="Q154" s="379"/>
      <c r="R154" s="380"/>
      <c r="S154" s="379"/>
      <c r="T154" s="379"/>
      <c r="U154" s="379"/>
      <c r="V154" s="380"/>
      <c r="W154" s="379"/>
      <c r="X154" s="379"/>
      <c r="Y154" s="379"/>
      <c r="Z154" s="380"/>
      <c r="AA154" s="379"/>
      <c r="AB154" s="379"/>
      <c r="AC154" s="379"/>
      <c r="AD154" s="380"/>
      <c r="AE154" s="379">
        <f t="shared" ref="AE154:AL154" si="229">AE153/AA153-1</f>
        <v>-1.5146671608270919</v>
      </c>
      <c r="AF154" s="379">
        <f t="shared" si="229"/>
        <v>0.35406479217603914</v>
      </c>
      <c r="AG154" s="379">
        <f t="shared" si="229"/>
        <v>2.6663908218920445</v>
      </c>
      <c r="AH154" s="380">
        <f t="shared" si="229"/>
        <v>-0.30909579214568528</v>
      </c>
      <c r="AI154" s="379">
        <f t="shared" si="229"/>
        <v>-1.4210814434448116</v>
      </c>
      <c r="AJ154" s="379">
        <f t="shared" si="229"/>
        <v>-0.54776865415111653</v>
      </c>
      <c r="AK154" s="379">
        <f t="shared" si="229"/>
        <v>-0.61320051763102867</v>
      </c>
      <c r="AL154" s="380">
        <f t="shared" si="229"/>
        <v>5.9524283033400538</v>
      </c>
      <c r="AM154" s="181"/>
      <c r="AN154" s="379"/>
      <c r="AO154" s="379"/>
      <c r="AP154" s="379"/>
      <c r="AQ154" s="379"/>
      <c r="AR154" s="379"/>
      <c r="AS154" s="379">
        <f t="shared" ref="AS154:BA154" si="230">AS153/AR153-1</f>
        <v>0.13805781117520444</v>
      </c>
      <c r="AT154" s="379">
        <f t="shared" si="230"/>
        <v>-4.9408308040160165E-2</v>
      </c>
      <c r="AU154" s="379">
        <f t="shared" si="230"/>
        <v>-4.5314819989832E-2</v>
      </c>
      <c r="AV154" s="379">
        <f t="shared" si="230"/>
        <v>-0.11565376965973506</v>
      </c>
      <c r="AW154" s="379">
        <f t="shared" si="230"/>
        <v>0.58451363094655351</v>
      </c>
      <c r="AX154" s="379">
        <f t="shared" si="230"/>
        <v>0.278270004604666</v>
      </c>
      <c r="AY154" s="379">
        <f t="shared" si="230"/>
        <v>0.13324787982329434</v>
      </c>
      <c r="AZ154" s="379">
        <f t="shared" si="230"/>
        <v>3.2166377858406481E-2</v>
      </c>
      <c r="BA154" s="379">
        <f t="shared" si="230"/>
        <v>2.3025501357489153E-2</v>
      </c>
      <c r="BB154" s="181"/>
      <c r="BC154"/>
      <c r="BD154"/>
      <c r="BE154"/>
      <c r="BF154"/>
      <c r="BG154"/>
      <c r="BH154"/>
      <c r="BI154" s="181"/>
    </row>
    <row r="155" spans="1:61" s="160" customFormat="1">
      <c r="A155" s="136"/>
      <c r="B155" s="194"/>
      <c r="C155" s="268"/>
      <c r="D155" s="269"/>
      <c r="E155" s="269"/>
      <c r="F155" s="270"/>
      <c r="G155" s="269"/>
      <c r="H155" s="138"/>
      <c r="I155" s="138"/>
      <c r="J155" s="194"/>
      <c r="K155" s="138"/>
      <c r="L155" s="138"/>
      <c r="M155" s="138"/>
      <c r="N155" s="194"/>
      <c r="O155" s="138"/>
      <c r="P155" s="138"/>
      <c r="Q155" s="138"/>
      <c r="R155" s="194"/>
      <c r="S155" s="138"/>
      <c r="T155" s="138"/>
      <c r="U155" s="138"/>
      <c r="V155" s="194"/>
      <c r="W155" s="138"/>
      <c r="X155" s="138"/>
      <c r="Y155" s="138"/>
      <c r="Z155" s="194"/>
      <c r="AA155" s="138"/>
      <c r="AB155" s="138"/>
      <c r="AC155" s="138"/>
      <c r="AD155" s="385"/>
      <c r="AE155" s="386"/>
      <c r="AF155" s="386"/>
      <c r="AG155" s="386"/>
      <c r="AH155" s="385"/>
      <c r="AI155" s="388"/>
      <c r="AJ155" s="388"/>
      <c r="AK155" s="388"/>
      <c r="AL155" s="387"/>
      <c r="AM155" s="136"/>
      <c r="AN155" s="138"/>
      <c r="AO155" s="386"/>
      <c r="AP155" s="386"/>
      <c r="AQ155" s="386"/>
      <c r="AR155" s="388"/>
      <c r="AS155" s="388"/>
      <c r="AT155" s="388"/>
      <c r="AU155" s="388"/>
      <c r="AV155" s="388"/>
      <c r="AW155" s="388"/>
      <c r="AX155" s="388"/>
      <c r="AY155" s="388"/>
      <c r="AZ155" s="388"/>
      <c r="BA155" s="388"/>
      <c r="BB155" s="136"/>
      <c r="BC155"/>
      <c r="BD155"/>
      <c r="BE155"/>
      <c r="BF155"/>
      <c r="BG155"/>
      <c r="BH155"/>
      <c r="BI155" s="136"/>
    </row>
    <row r="156" spans="1:61" s="349" customFormat="1">
      <c r="A156" s="389"/>
      <c r="B156" s="684" t="s">
        <v>176</v>
      </c>
      <c r="C156" s="346"/>
      <c r="D156" s="347"/>
      <c r="E156" s="347"/>
      <c r="F156" s="348"/>
      <c r="G156" s="347"/>
      <c r="H156" s="390"/>
      <c r="I156" s="390"/>
      <c r="J156" s="391"/>
      <c r="K156" s="390"/>
      <c r="L156" s="390"/>
      <c r="M156" s="390"/>
      <c r="N156" s="391"/>
      <c r="O156" s="390"/>
      <c r="P156" s="390"/>
      <c r="Q156" s="390"/>
      <c r="R156" s="391"/>
      <c r="S156" s="390"/>
      <c r="T156" s="390"/>
      <c r="U156" s="390"/>
      <c r="V156" s="391"/>
      <c r="W156" s="390"/>
      <c r="X156" s="390"/>
      <c r="Y156" s="390"/>
      <c r="Z156" s="391"/>
      <c r="AA156" s="390"/>
      <c r="AB156" s="390"/>
      <c r="AC156" s="390"/>
      <c r="AD156" s="391"/>
      <c r="AE156" s="392"/>
      <c r="AF156" s="392"/>
      <c r="AG156" s="392"/>
      <c r="AH156" s="393"/>
      <c r="AI156" s="392"/>
      <c r="AJ156" s="392"/>
      <c r="AK156" s="392"/>
      <c r="AL156" s="393"/>
      <c r="AM156" s="389"/>
      <c r="AN156" s="345"/>
      <c r="AO156" s="394"/>
      <c r="AP156" s="394"/>
      <c r="AQ156" s="394"/>
      <c r="AR156" s="392"/>
      <c r="AS156" s="392"/>
      <c r="AT156" s="392"/>
      <c r="AU156" s="392"/>
      <c r="AV156" s="392"/>
      <c r="AW156" s="392"/>
      <c r="AX156" s="392"/>
      <c r="AY156" s="392"/>
      <c r="AZ156" s="392"/>
      <c r="BA156" s="392"/>
      <c r="BB156" s="389"/>
      <c r="BC156"/>
      <c r="BD156"/>
      <c r="BE156"/>
      <c r="BF156"/>
      <c r="BG156"/>
      <c r="BH156"/>
      <c r="BI156" s="389"/>
    </row>
    <row r="157" spans="1:61" s="349" customFormat="1">
      <c r="A157" s="389"/>
      <c r="B157" s="685" t="s">
        <v>177</v>
      </c>
      <c r="C157" s="395"/>
      <c r="D157" s="330"/>
      <c r="E157" s="330"/>
      <c r="F157" s="396"/>
      <c r="G157" s="330"/>
      <c r="H157" s="330"/>
      <c r="I157" s="330"/>
      <c r="J157" s="396"/>
      <c r="K157" s="330"/>
      <c r="L157" s="330"/>
      <c r="M157" s="330"/>
      <c r="N157" s="396"/>
      <c r="O157" s="330"/>
      <c r="P157" s="330"/>
      <c r="Q157" s="330"/>
      <c r="R157" s="396"/>
      <c r="S157" s="330"/>
      <c r="T157" s="330"/>
      <c r="U157" s="330"/>
      <c r="V157" s="396"/>
      <c r="W157" s="330"/>
      <c r="X157" s="330"/>
      <c r="Y157" s="330"/>
      <c r="Z157" s="396"/>
      <c r="AA157" s="330">
        <f t="shared" ref="AA157:AG157" si="231">-AA130/AA6</f>
        <v>4.8343777976723366E-2</v>
      </c>
      <c r="AB157" s="330">
        <f t="shared" si="231"/>
        <v>2.530541012216405E-2</v>
      </c>
      <c r="AC157" s="330">
        <f t="shared" si="231"/>
        <v>3.0640668523676879E-2</v>
      </c>
      <c r="AD157" s="396">
        <f t="shared" si="231"/>
        <v>4.7993019197207679E-2</v>
      </c>
      <c r="AE157" s="330">
        <f t="shared" si="231"/>
        <v>4.3664383561643837E-2</v>
      </c>
      <c r="AF157" s="330">
        <f t="shared" si="231"/>
        <v>2.6116259477674809E-2</v>
      </c>
      <c r="AG157" s="330">
        <f t="shared" si="231"/>
        <v>2.4066390041493777E-2</v>
      </c>
      <c r="AH157" s="396">
        <f t="shared" ref="AH157" si="232">-AH130/AH6</f>
        <v>6.671838634600466E-2</v>
      </c>
      <c r="AI157" s="330">
        <f>-AI130/AI6</f>
        <v>5.5641682911479841E-2</v>
      </c>
      <c r="AJ157" s="330">
        <f>-AJ130/AJ6</f>
        <v>5.5269677911187344E-2</v>
      </c>
      <c r="AK157" s="330">
        <f>-AK130/AK6</f>
        <v>5.4383497421472103E-2</v>
      </c>
      <c r="AL157" s="396">
        <f>-AL130/AL6</f>
        <v>6.1855846017336694E-2</v>
      </c>
      <c r="AM157" s="389"/>
      <c r="AN157" s="330"/>
      <c r="AO157" s="330"/>
      <c r="AP157" s="330"/>
      <c r="AQ157" s="330"/>
      <c r="AR157" s="330">
        <f>-AR130/AR6</f>
        <v>7.0925110132158589E-2</v>
      </c>
      <c r="AS157" s="330">
        <f>-AS130/AS6</f>
        <v>4.5609257998638526E-2</v>
      </c>
      <c r="AT157" s="330">
        <f>-AT130/AT6</f>
        <v>3.8118591172536784E-2</v>
      </c>
      <c r="AU157" s="330">
        <f>-AU130/AU97</f>
        <v>4.0626933388327492E-2</v>
      </c>
      <c r="AV157" s="330">
        <f>-AV130/AV6</f>
        <v>5.6641344079563505E-2</v>
      </c>
      <c r="AW157" s="233">
        <v>0.05</v>
      </c>
      <c r="AX157" s="233">
        <f>-(AW130+AVERAGE(90,100)*AVERAGE(0.35,0.4))/AW6</f>
        <v>0.05</v>
      </c>
      <c r="AY157" s="233">
        <f>AX157</f>
        <v>0.05</v>
      </c>
      <c r="AZ157" s="233">
        <f>AY157</f>
        <v>0.05</v>
      </c>
      <c r="BA157" s="233">
        <f>AZ157</f>
        <v>0.05</v>
      </c>
      <c r="BB157" s="389"/>
      <c r="BC157"/>
      <c r="BD157"/>
      <c r="BE157"/>
      <c r="BF157"/>
      <c r="BG157"/>
      <c r="BH157"/>
      <c r="BI157" s="389"/>
    </row>
    <row r="158" spans="1:61" s="349" customFormat="1">
      <c r="A158" s="389"/>
      <c r="B158" s="685" t="s">
        <v>178</v>
      </c>
      <c r="C158" s="397"/>
      <c r="D158" s="398"/>
      <c r="E158" s="398"/>
      <c r="F158" s="399"/>
      <c r="G158" s="398"/>
      <c r="H158" s="398"/>
      <c r="I158" s="398"/>
      <c r="J158" s="399"/>
      <c r="K158" s="398"/>
      <c r="L158" s="398"/>
      <c r="M158" s="398"/>
      <c r="N158" s="399"/>
      <c r="O158" s="398"/>
      <c r="P158" s="398"/>
      <c r="Q158" s="398"/>
      <c r="R158" s="399"/>
      <c r="S158" s="398"/>
      <c r="T158" s="398"/>
      <c r="U158" s="398"/>
      <c r="V158" s="399"/>
      <c r="W158" s="398"/>
      <c r="X158" s="398"/>
      <c r="Y158" s="398"/>
      <c r="Z158" s="399"/>
      <c r="AA158" s="398">
        <f t="shared" ref="AA158:AL158" si="233">-AA130/AA127</f>
        <v>0.44262295081967212</v>
      </c>
      <c r="AB158" s="398">
        <f t="shared" si="233"/>
        <v>0.23200000000000001</v>
      </c>
      <c r="AC158" s="398">
        <f t="shared" si="233"/>
        <v>0.57894736842105265</v>
      </c>
      <c r="AD158" s="399">
        <f t="shared" si="233"/>
        <v>0.80882352941176472</v>
      </c>
      <c r="AE158" s="398">
        <f t="shared" si="233"/>
        <v>3.1875</v>
      </c>
      <c r="AF158" s="398">
        <f t="shared" si="233"/>
        <v>0.19254658385093168</v>
      </c>
      <c r="AG158" s="398">
        <f t="shared" si="233"/>
        <v>0.24786324786324787</v>
      </c>
      <c r="AH158" s="399">
        <f t="shared" ref="AH158" si="234">-AH130/AH127</f>
        <v>0.90526315789473688</v>
      </c>
      <c r="AI158" s="398">
        <f t="shared" si="233"/>
        <v>0.8311582426274412</v>
      </c>
      <c r="AJ158" s="398">
        <f t="shared" si="233"/>
        <v>0.55367818469028307</v>
      </c>
      <c r="AK158" s="398">
        <f t="shared" si="233"/>
        <v>0.68290471588347712</v>
      </c>
      <c r="AL158" s="399">
        <f t="shared" si="233"/>
        <v>0.54122904373106762</v>
      </c>
      <c r="AM158" s="389"/>
      <c r="AN158" s="398"/>
      <c r="AO158" s="398"/>
      <c r="AP158" s="398"/>
      <c r="AQ158" s="398"/>
      <c r="AR158" s="398">
        <f t="shared" ref="AR158:BA158" si="235">-AR130/AR127</f>
        <v>0.60412757973733588</v>
      </c>
      <c r="AS158" s="398">
        <f t="shared" si="235"/>
        <v>0.46853146853146854</v>
      </c>
      <c r="AT158" s="398">
        <f t="shared" si="235"/>
        <v>0.45967741935483869</v>
      </c>
      <c r="AU158" s="398">
        <f t="shared" si="235"/>
        <v>0.50642673521850901</v>
      </c>
      <c r="AV158" s="398">
        <f t="shared" si="235"/>
        <v>0.63278890381671526</v>
      </c>
      <c r="AW158" s="398">
        <f t="shared" si="235"/>
        <v>0.5300920529469163</v>
      </c>
      <c r="AX158" s="398">
        <f t="shared" si="235"/>
        <v>0.4472445042599929</v>
      </c>
      <c r="AY158" s="398">
        <f t="shared" si="235"/>
        <v>0.43024483511025724</v>
      </c>
      <c r="AZ158" s="398">
        <f t="shared" si="235"/>
        <v>0.43454687419475913</v>
      </c>
      <c r="BA158" s="398">
        <f t="shared" si="235"/>
        <v>0.43940827808723759</v>
      </c>
      <c r="BB158" s="389"/>
      <c r="BC158"/>
      <c r="BD158"/>
      <c r="BE158"/>
      <c r="BF158"/>
      <c r="BG158"/>
      <c r="BH158"/>
      <c r="BI158" s="389"/>
    </row>
    <row r="159" spans="1:61" s="349" customFormat="1">
      <c r="A159" s="389"/>
      <c r="B159" s="685" t="s">
        <v>179</v>
      </c>
      <c r="C159" s="400"/>
      <c r="D159" s="330"/>
      <c r="E159" s="330"/>
      <c r="F159" s="396"/>
      <c r="G159" s="330"/>
      <c r="H159" s="330"/>
      <c r="I159" s="330"/>
      <c r="J159" s="396"/>
      <c r="K159" s="330"/>
      <c r="L159" s="330"/>
      <c r="M159" s="330"/>
      <c r="N159" s="396"/>
      <c r="O159" s="330"/>
      <c r="P159" s="330"/>
      <c r="Q159" s="330"/>
      <c r="R159" s="396"/>
      <c r="S159" s="330"/>
      <c r="T159" s="330"/>
      <c r="U159" s="330"/>
      <c r="V159" s="396"/>
      <c r="W159" s="330"/>
      <c r="X159" s="330"/>
      <c r="Y159" s="330"/>
      <c r="Z159" s="396"/>
      <c r="AA159" s="330">
        <f t="shared" ref="AA159:AG159" si="236">AA114/AA6</f>
        <v>3.9391226499552373E-2</v>
      </c>
      <c r="AB159" s="330">
        <f t="shared" si="236"/>
        <v>6.0209424083769635E-2</v>
      </c>
      <c r="AC159" s="330">
        <f t="shared" si="236"/>
        <v>4.1782729805013928E-2</v>
      </c>
      <c r="AD159" s="396">
        <f t="shared" si="236"/>
        <v>4.5375218150087257E-2</v>
      </c>
      <c r="AE159" s="398">
        <f t="shared" si="236"/>
        <v>4.1095890410958902E-2</v>
      </c>
      <c r="AF159" s="398">
        <f t="shared" si="236"/>
        <v>4.1280539174389216E-2</v>
      </c>
      <c r="AG159" s="398">
        <f t="shared" si="236"/>
        <v>3.9004149377593361E-2</v>
      </c>
      <c r="AH159" s="399">
        <f t="shared" ref="AH159" si="237">AH114/AH6</f>
        <v>4.4220325833979827E-2</v>
      </c>
      <c r="AI159" s="398">
        <f>AI114/AI6</f>
        <v>4.4740973312401885E-2</v>
      </c>
      <c r="AJ159" s="398">
        <f>AJ114/AJ6</f>
        <v>4.4740973312401885E-2</v>
      </c>
      <c r="AK159" s="398">
        <f>AK114/AK6</f>
        <v>4.4740973312401885E-2</v>
      </c>
      <c r="AL159" s="399">
        <f>AL114/AL6</f>
        <v>4.4740973312401885E-2</v>
      </c>
      <c r="AM159" s="389"/>
      <c r="AN159" s="330"/>
      <c r="AO159" s="330"/>
      <c r="AP159" s="330"/>
      <c r="AQ159" s="330"/>
      <c r="AR159" s="330">
        <f t="shared" ref="AR159:BA159" si="238">AR114/AR6</f>
        <v>4.2731277533039645E-2</v>
      </c>
      <c r="AS159" s="330">
        <f t="shared" si="238"/>
        <v>4.2886317222600411E-2</v>
      </c>
      <c r="AT159" s="330">
        <f t="shared" si="238"/>
        <v>4.6812304948729379E-2</v>
      </c>
      <c r="AU159" s="398">
        <f t="shared" si="238"/>
        <v>4.1451845741389978E-2</v>
      </c>
      <c r="AV159" s="398">
        <f t="shared" si="238"/>
        <v>4.4740973312401885E-2</v>
      </c>
      <c r="AW159" s="398">
        <f t="shared" si="238"/>
        <v>4.4740973312401885E-2</v>
      </c>
      <c r="AX159" s="398">
        <f t="shared" si="238"/>
        <v>4.4740973312401885E-2</v>
      </c>
      <c r="AY159" s="398">
        <f t="shared" si="238"/>
        <v>4.4740973312401885E-2</v>
      </c>
      <c r="AZ159" s="398">
        <f t="shared" si="238"/>
        <v>4.4740973312401879E-2</v>
      </c>
      <c r="BA159" s="398">
        <f t="shared" si="238"/>
        <v>4.4740973312401885E-2</v>
      </c>
      <c r="BB159" s="389"/>
      <c r="BC159"/>
      <c r="BD159"/>
      <c r="BE159"/>
      <c r="BF159"/>
      <c r="BG159"/>
      <c r="BH159"/>
      <c r="BI159" s="389"/>
    </row>
    <row r="160" spans="1:61" s="349" customFormat="1">
      <c r="A160" s="389"/>
      <c r="B160" s="685" t="s">
        <v>180</v>
      </c>
      <c r="C160" s="400"/>
      <c r="D160" s="330"/>
      <c r="E160" s="330"/>
      <c r="F160" s="396"/>
      <c r="G160" s="330"/>
      <c r="H160" s="330"/>
      <c r="I160" s="330"/>
      <c r="J160" s="396"/>
      <c r="K160" s="330"/>
      <c r="L160" s="330"/>
      <c r="M160" s="330"/>
      <c r="N160" s="396"/>
      <c r="O160" s="330"/>
      <c r="P160" s="330"/>
      <c r="Q160" s="330"/>
      <c r="R160" s="396"/>
      <c r="S160" s="330"/>
      <c r="T160" s="330"/>
      <c r="U160" s="330"/>
      <c r="V160" s="396"/>
      <c r="W160" s="330"/>
      <c r="X160" s="330"/>
      <c r="Y160" s="330"/>
      <c r="Z160" s="396"/>
      <c r="AA160" s="330">
        <f>AA114*4/AS66</f>
        <v>0.1464226289517471</v>
      </c>
      <c r="AB160" s="330"/>
      <c r="AC160" s="330"/>
      <c r="AD160" s="396"/>
      <c r="AE160" s="398">
        <f t="shared" ref="AE160:AL160" si="239">AE114*4/AD66</f>
        <v>0.1681260945709282</v>
      </c>
      <c r="AF160" s="398">
        <f t="shared" si="239"/>
        <v>0.17162872154115585</v>
      </c>
      <c r="AG160" s="398">
        <f t="shared" si="239"/>
        <v>0.16333622936576889</v>
      </c>
      <c r="AH160" s="399">
        <f t="shared" si="239"/>
        <v>0.19338422391857507</v>
      </c>
      <c r="AI160" s="398">
        <f t="shared" si="239"/>
        <v>0.17719329302915929</v>
      </c>
      <c r="AJ160" s="398">
        <f t="shared" si="239"/>
        <v>0.17648119513644336</v>
      </c>
      <c r="AK160" s="398">
        <f t="shared" si="239"/>
        <v>0.17751389717392199</v>
      </c>
      <c r="AL160" s="399">
        <f t="shared" si="239"/>
        <v>0.15459118065667229</v>
      </c>
      <c r="AM160" s="389"/>
      <c r="AN160" s="330"/>
      <c r="AO160" s="330"/>
      <c r="AP160" s="330"/>
      <c r="AQ160" s="330"/>
      <c r="AR160" s="398"/>
      <c r="AS160" s="398"/>
      <c r="AT160" s="398">
        <f>AT114/AS66</f>
        <v>0.17470881863560733</v>
      </c>
      <c r="AU160" s="398">
        <f>AU114/AT66</f>
        <v>0.17600700525394045</v>
      </c>
      <c r="AV160" s="398">
        <f t="shared" ref="AV160:BA160" si="240">AV114/AE66</f>
        <v>0.20058745638899506</v>
      </c>
      <c r="AW160" s="398">
        <f t="shared" si="240"/>
        <v>0.20380400076403296</v>
      </c>
      <c r="AX160" s="398">
        <f t="shared" si="240"/>
        <v>0.20547075342710638</v>
      </c>
      <c r="AY160" s="398">
        <f t="shared" si="240"/>
        <v>0.19156230657695397</v>
      </c>
      <c r="AZ160" s="398">
        <f t="shared" si="240"/>
        <v>0.19614355316208928</v>
      </c>
      <c r="BA160" s="398">
        <f t="shared" si="240"/>
        <v>0.19983813921294594</v>
      </c>
      <c r="BB160" s="389"/>
      <c r="BC160"/>
      <c r="BD160"/>
      <c r="BE160"/>
      <c r="BF160"/>
      <c r="BG160"/>
      <c r="BH160"/>
      <c r="BI160" s="389"/>
    </row>
    <row r="161" spans="1:61" s="349" customFormat="1">
      <c r="A161" s="389"/>
      <c r="B161" s="685" t="s">
        <v>181</v>
      </c>
      <c r="C161" s="395"/>
      <c r="D161" s="330"/>
      <c r="E161" s="330"/>
      <c r="F161" s="396"/>
      <c r="G161" s="330"/>
      <c r="H161" s="330"/>
      <c r="I161" s="330"/>
      <c r="J161" s="396"/>
      <c r="K161" s="330"/>
      <c r="L161" s="330"/>
      <c r="M161" s="330"/>
      <c r="N161" s="396"/>
      <c r="O161" s="330"/>
      <c r="P161" s="330"/>
      <c r="Q161" s="330"/>
      <c r="R161" s="396"/>
      <c r="S161" s="330"/>
      <c r="T161" s="330"/>
      <c r="U161" s="330"/>
      <c r="V161" s="396"/>
      <c r="W161" s="330"/>
      <c r="X161" s="330"/>
      <c r="Y161" s="330"/>
      <c r="Z161" s="396"/>
      <c r="AA161" s="330">
        <f t="shared" ref="AA161:AG161" si="241">AA114/-AA130</f>
        <v>0.81481481481481477</v>
      </c>
      <c r="AB161" s="330">
        <f t="shared" si="241"/>
        <v>2.3793103448275863</v>
      </c>
      <c r="AC161" s="330">
        <f t="shared" si="241"/>
        <v>1.3636363636363635</v>
      </c>
      <c r="AD161" s="396">
        <f t="shared" si="241"/>
        <v>0.94545454545454544</v>
      </c>
      <c r="AE161" s="330">
        <f t="shared" si="241"/>
        <v>0.94117647058823528</v>
      </c>
      <c r="AF161" s="330">
        <f t="shared" si="241"/>
        <v>1.5806451612903225</v>
      </c>
      <c r="AG161" s="330">
        <f t="shared" si="241"/>
        <v>1.6206896551724137</v>
      </c>
      <c r="AH161" s="396">
        <f t="shared" ref="AH161" si="242">AH114/-AH130</f>
        <v>0.66279069767441856</v>
      </c>
      <c r="AI161" s="330">
        <f>AI114/-AI130</f>
        <v>0.80409094353921939</v>
      </c>
      <c r="AJ161" s="330">
        <f>AJ114/-AJ130</f>
        <v>0.80950305851783688</v>
      </c>
      <c r="AK161" s="330">
        <f>AK114/-AK130</f>
        <v>0.82269393168407945</v>
      </c>
      <c r="AL161" s="396">
        <f>AL114/-AL130</f>
        <v>0.72331034482758638</v>
      </c>
      <c r="AM161" s="389"/>
      <c r="AN161" s="330"/>
      <c r="AO161" s="330"/>
      <c r="AP161" s="330"/>
      <c r="AQ161" s="330"/>
      <c r="AR161" s="330">
        <f t="shared" ref="AR161:BA161" si="243">AR114/-AR130</f>
        <v>0.60248447204968947</v>
      </c>
      <c r="AS161" s="330">
        <f t="shared" si="243"/>
        <v>0.94029850746268662</v>
      </c>
      <c r="AT161" s="330">
        <f t="shared" si="243"/>
        <v>1.2280701754385965</v>
      </c>
      <c r="AU161" s="330">
        <f t="shared" si="243"/>
        <v>1.0203045685279188</v>
      </c>
      <c r="AV161" s="330">
        <f t="shared" si="243"/>
        <v>0.78989956964218055</v>
      </c>
      <c r="AW161" s="330">
        <f t="shared" si="243"/>
        <v>0.78776626766786939</v>
      </c>
      <c r="AX161" s="330">
        <f t="shared" si="243"/>
        <v>0.89481946624803754</v>
      </c>
      <c r="AY161" s="330">
        <f t="shared" si="243"/>
        <v>0.89481946624803765</v>
      </c>
      <c r="AZ161" s="330">
        <f t="shared" si="243"/>
        <v>0.89481946624803765</v>
      </c>
      <c r="BA161" s="330">
        <f t="shared" si="243"/>
        <v>0.89481946624803776</v>
      </c>
      <c r="BB161" s="389"/>
      <c r="BC161"/>
      <c r="BD161"/>
      <c r="BE161"/>
      <c r="BF161"/>
      <c r="BG161"/>
      <c r="BH161"/>
      <c r="BI161" s="389"/>
    </row>
    <row r="162" spans="1:61" s="349" customFormat="1">
      <c r="A162" s="389"/>
      <c r="B162" s="685" t="s">
        <v>182</v>
      </c>
      <c r="C162" s="395"/>
      <c r="D162" s="330"/>
      <c r="E162" s="330"/>
      <c r="F162" s="396"/>
      <c r="G162" s="330"/>
      <c r="H162" s="330"/>
      <c r="I162" s="330"/>
      <c r="J162" s="396"/>
      <c r="K162" s="330"/>
      <c r="L162" s="330"/>
      <c r="M162" s="330"/>
      <c r="N162" s="396"/>
      <c r="O162" s="330"/>
      <c r="P162" s="330"/>
      <c r="Q162" s="330"/>
      <c r="R162" s="396"/>
      <c r="S162" s="330"/>
      <c r="T162" s="330"/>
      <c r="U162" s="330"/>
      <c r="V162" s="396"/>
      <c r="W162" s="330"/>
      <c r="X162" s="330"/>
      <c r="Y162" s="330"/>
      <c r="Z162" s="396"/>
      <c r="AA162" s="330">
        <f>-(AA138+AA132)/AA127</f>
        <v>0</v>
      </c>
      <c r="AB162" s="330">
        <f t="shared" ref="AB162:AG162" si="244">-(AB138+AB132)/AB127</f>
        <v>0</v>
      </c>
      <c r="AC162" s="330">
        <f t="shared" si="244"/>
        <v>0</v>
      </c>
      <c r="AD162" s="396">
        <f t="shared" si="244"/>
        <v>0</v>
      </c>
      <c r="AE162" s="330">
        <f t="shared" si="244"/>
        <v>0</v>
      </c>
      <c r="AF162" s="330">
        <f t="shared" si="244"/>
        <v>0</v>
      </c>
      <c r="AG162" s="330">
        <f t="shared" si="244"/>
        <v>0</v>
      </c>
      <c r="AH162" s="396">
        <f t="shared" ref="AH162" si="245">-(AH138+AH132)/AH127</f>
        <v>1.0526315789473684E-2</v>
      </c>
      <c r="AI162" s="330">
        <f>-(AI138+AI132)/AI127</f>
        <v>0.28660629056118658</v>
      </c>
      <c r="AJ162" s="330">
        <f>-(AJ138+AJ132)/AJ127</f>
        <v>0.19092351196216659</v>
      </c>
      <c r="AK162" s="330">
        <f>-(AK138+AK132)/AK127</f>
        <v>0.23548438478740591</v>
      </c>
      <c r="AL162" s="396">
        <f>-(AL138+AL132)/AL127</f>
        <v>0.18663070473485088</v>
      </c>
      <c r="AM162" s="389"/>
      <c r="AN162" s="330"/>
      <c r="AO162" s="330"/>
      <c r="AP162" s="330"/>
      <c r="AQ162" s="330"/>
      <c r="AR162" s="330">
        <f t="shared" ref="AR162:AX162" si="246">-(AR138+AR132)/AR127</f>
        <v>0</v>
      </c>
      <c r="AS162" s="330">
        <f t="shared" si="246"/>
        <v>4.6620046620046623E-2</v>
      </c>
      <c r="AT162" s="330">
        <f t="shared" si="246"/>
        <v>0</v>
      </c>
      <c r="AU162" s="330">
        <f t="shared" si="246"/>
        <v>2.5706940874035988E-3</v>
      </c>
      <c r="AV162" s="330">
        <f t="shared" si="246"/>
        <v>0.21820307028162594</v>
      </c>
      <c r="AW162" s="330">
        <f t="shared" si="246"/>
        <v>0.17801665856031185</v>
      </c>
      <c r="AX162" s="330">
        <f t="shared" si="246"/>
        <v>0.16520250087423533</v>
      </c>
      <c r="AY162" s="330">
        <f t="shared" ref="AY162:BA162" si="247">-(AY138+AY132)/AY127</f>
        <v>0.15271621154237777</v>
      </c>
      <c r="AZ162" s="330">
        <f t="shared" si="247"/>
        <v>0.1490321475190369</v>
      </c>
      <c r="BA162" s="330">
        <f t="shared" si="247"/>
        <v>0.14639334946346289</v>
      </c>
      <c r="BB162" s="389"/>
      <c r="BC162"/>
      <c r="BD162"/>
      <c r="BE162"/>
      <c r="BF162"/>
      <c r="BG162"/>
      <c r="BH162"/>
      <c r="BI162" s="389"/>
    </row>
    <row r="163" spans="1:61" s="349" customFormat="1">
      <c r="A163" s="389"/>
      <c r="B163" s="402"/>
      <c r="C163" s="401"/>
      <c r="D163" s="345"/>
      <c r="E163" s="345"/>
      <c r="F163" s="402"/>
      <c r="G163" s="345"/>
      <c r="H163" s="345"/>
      <c r="I163" s="345"/>
      <c r="J163" s="402"/>
      <c r="K163" s="345"/>
      <c r="L163" s="345"/>
      <c r="M163" s="345"/>
      <c r="N163" s="402"/>
      <c r="O163" s="345"/>
      <c r="P163" s="345"/>
      <c r="Q163" s="345"/>
      <c r="R163" s="402"/>
      <c r="S163" s="345"/>
      <c r="T163" s="345"/>
      <c r="U163" s="345"/>
      <c r="V163" s="402"/>
      <c r="W163" s="345"/>
      <c r="X163" s="345"/>
      <c r="Y163" s="345"/>
      <c r="Z163" s="402"/>
      <c r="AA163" s="345"/>
      <c r="AB163" s="345"/>
      <c r="AC163" s="345"/>
      <c r="AD163" s="402"/>
      <c r="AE163" s="403"/>
      <c r="AF163" s="403"/>
      <c r="AG163" s="403"/>
      <c r="AH163" s="404"/>
      <c r="AI163" s="403"/>
      <c r="AJ163" s="403"/>
      <c r="AK163" s="403"/>
      <c r="AL163" s="404"/>
      <c r="AM163" s="389"/>
      <c r="AN163" s="345"/>
      <c r="AO163" s="345"/>
      <c r="AP163" s="345"/>
      <c r="AQ163" s="345"/>
      <c r="AR163" s="345"/>
      <c r="AS163" s="345"/>
      <c r="AT163" s="345"/>
      <c r="AU163" s="345"/>
      <c r="AV163" s="403"/>
      <c r="AW163" s="403"/>
      <c r="AX163" s="403"/>
      <c r="AY163" s="403"/>
      <c r="AZ163" s="403"/>
      <c r="BA163" s="403"/>
      <c r="BB163" s="389"/>
      <c r="BC163"/>
      <c r="BD163"/>
      <c r="BE163"/>
      <c r="BF163"/>
      <c r="BG163"/>
      <c r="BH163"/>
      <c r="BI163" s="389"/>
    </row>
    <row r="164" spans="1:61" s="160" customFormat="1" hidden="1" outlineLevel="1">
      <c r="A164" s="350"/>
      <c r="B164" s="648" t="s">
        <v>183</v>
      </c>
      <c r="C164" s="280" t="str">
        <f>C$4</f>
        <v>1Q10</v>
      </c>
      <c r="D164" s="281" t="str">
        <f t="shared" ref="D164:AL164" si="248">D$4</f>
        <v>2Q10</v>
      </c>
      <c r="E164" s="281" t="str">
        <f t="shared" si="248"/>
        <v>3Q10</v>
      </c>
      <c r="F164" s="282" t="str">
        <f t="shared" si="248"/>
        <v>4Q10</v>
      </c>
      <c r="G164" s="281" t="str">
        <f t="shared" si="248"/>
        <v>1Q11</v>
      </c>
      <c r="H164" s="281" t="str">
        <f t="shared" si="248"/>
        <v>2Q11</v>
      </c>
      <c r="I164" s="281" t="str">
        <f t="shared" si="248"/>
        <v>3Q11</v>
      </c>
      <c r="J164" s="282" t="str">
        <f t="shared" si="248"/>
        <v>4Q11</v>
      </c>
      <c r="K164" s="281" t="str">
        <f t="shared" si="248"/>
        <v>1Q12</v>
      </c>
      <c r="L164" s="281" t="str">
        <f t="shared" si="248"/>
        <v>2Q12</v>
      </c>
      <c r="M164" s="281" t="str">
        <f t="shared" si="248"/>
        <v>3Q12</v>
      </c>
      <c r="N164" s="282" t="str">
        <f t="shared" si="248"/>
        <v>4Q12</v>
      </c>
      <c r="O164" s="281" t="str">
        <f t="shared" si="248"/>
        <v>1Q13</v>
      </c>
      <c r="P164" s="281" t="str">
        <f t="shared" si="248"/>
        <v>2Q13</v>
      </c>
      <c r="Q164" s="281" t="str">
        <f t="shared" si="248"/>
        <v>3Q13</v>
      </c>
      <c r="R164" s="282" t="str">
        <f t="shared" si="248"/>
        <v>4Q13</v>
      </c>
      <c r="S164" s="281" t="str">
        <f t="shared" si="248"/>
        <v>1Q14</v>
      </c>
      <c r="T164" s="281" t="str">
        <f t="shared" si="248"/>
        <v>2Q14</v>
      </c>
      <c r="U164" s="281" t="str">
        <f t="shared" si="248"/>
        <v>3Q14</v>
      </c>
      <c r="V164" s="282" t="str">
        <f t="shared" si="248"/>
        <v>4Q14</v>
      </c>
      <c r="W164" s="281" t="str">
        <f t="shared" si="248"/>
        <v>1Q15</v>
      </c>
      <c r="X164" s="281" t="str">
        <f t="shared" si="248"/>
        <v>2Q15</v>
      </c>
      <c r="Y164" s="281" t="str">
        <f t="shared" si="248"/>
        <v>3Q15</v>
      </c>
      <c r="Z164" s="282" t="str">
        <f t="shared" si="248"/>
        <v>4Q15</v>
      </c>
      <c r="AA164" s="281" t="str">
        <f t="shared" si="248"/>
        <v>1Q16</v>
      </c>
      <c r="AB164" s="281" t="str">
        <f t="shared" si="248"/>
        <v>2Q16</v>
      </c>
      <c r="AC164" s="281" t="str">
        <f t="shared" si="248"/>
        <v>3Q16</v>
      </c>
      <c r="AD164" s="282" t="str">
        <f t="shared" si="248"/>
        <v>4Q16</v>
      </c>
      <c r="AE164" s="281" t="str">
        <f t="shared" si="248"/>
        <v>1Q17</v>
      </c>
      <c r="AF164" s="281" t="str">
        <f t="shared" si="248"/>
        <v>2Q17</v>
      </c>
      <c r="AG164" s="281" t="str">
        <f t="shared" si="248"/>
        <v>3Q17</v>
      </c>
      <c r="AH164" s="282" t="str">
        <f t="shared" si="248"/>
        <v>4Q17</v>
      </c>
      <c r="AI164" s="281" t="str">
        <f t="shared" si="248"/>
        <v>1Q18e</v>
      </c>
      <c r="AJ164" s="281" t="str">
        <f t="shared" si="248"/>
        <v>2Q18e</v>
      </c>
      <c r="AK164" s="281" t="str">
        <f t="shared" si="248"/>
        <v>3Q18e</v>
      </c>
      <c r="AL164" s="282" t="str">
        <f t="shared" si="248"/>
        <v>4Q18e</v>
      </c>
      <c r="AM164" s="389"/>
      <c r="AN164" s="281">
        <f t="shared" ref="AN164:BA164" si="249">AN$4</f>
        <v>2010</v>
      </c>
      <c r="AO164" s="281">
        <f t="shared" si="249"/>
        <v>2011</v>
      </c>
      <c r="AP164" s="281">
        <f t="shared" si="249"/>
        <v>2012</v>
      </c>
      <c r="AQ164" s="281">
        <f t="shared" si="249"/>
        <v>2013</v>
      </c>
      <c r="AR164" s="281">
        <f t="shared" si="249"/>
        <v>2014</v>
      </c>
      <c r="AS164" s="281">
        <f t="shared" si="249"/>
        <v>2015</v>
      </c>
      <c r="AT164" s="281">
        <f t="shared" si="249"/>
        <v>2016</v>
      </c>
      <c r="AU164" s="281">
        <f t="shared" si="249"/>
        <v>2017</v>
      </c>
      <c r="AV164" s="281" t="str">
        <f t="shared" si="249"/>
        <v>2018e</v>
      </c>
      <c r="AW164" s="281" t="str">
        <f t="shared" si="249"/>
        <v>2019e</v>
      </c>
      <c r="AX164" s="281" t="str">
        <f t="shared" si="249"/>
        <v>2020e</v>
      </c>
      <c r="AY164" s="281" t="str">
        <f t="shared" si="249"/>
        <v>2021e</v>
      </c>
      <c r="AZ164" s="281" t="str">
        <f t="shared" si="249"/>
        <v>2022e</v>
      </c>
      <c r="BA164" s="281" t="str">
        <f t="shared" si="249"/>
        <v>2023e</v>
      </c>
      <c r="BB164" s="350"/>
      <c r="BC164"/>
      <c r="BD164"/>
      <c r="BE164"/>
      <c r="BF164"/>
      <c r="BG164"/>
      <c r="BH164"/>
      <c r="BI164" s="350"/>
    </row>
    <row r="165" spans="1:61" s="349" customFormat="1" hidden="1" outlineLevel="1">
      <c r="A165" s="389"/>
      <c r="B165" s="402"/>
      <c r="C165" s="401"/>
      <c r="D165" s="345"/>
      <c r="E165" s="345"/>
      <c r="F165" s="402"/>
      <c r="G165" s="345"/>
      <c r="H165" s="345"/>
      <c r="I165" s="345"/>
      <c r="J165" s="402"/>
      <c r="K165" s="345"/>
      <c r="L165" s="345"/>
      <c r="M165" s="345"/>
      <c r="N165" s="402"/>
      <c r="O165" s="345"/>
      <c r="P165" s="345"/>
      <c r="Q165" s="345"/>
      <c r="R165" s="402"/>
      <c r="S165" s="345"/>
      <c r="T165" s="345"/>
      <c r="U165" s="345"/>
      <c r="V165" s="402"/>
      <c r="W165" s="345"/>
      <c r="X165" s="345"/>
      <c r="Y165" s="345"/>
      <c r="Z165" s="402"/>
      <c r="AA165" s="345"/>
      <c r="AB165" s="345"/>
      <c r="AC165" s="345"/>
      <c r="AD165" s="404"/>
      <c r="AE165" s="403"/>
      <c r="AF165" s="403"/>
      <c r="AG165" s="403"/>
      <c r="AH165" s="404"/>
      <c r="AI165" s="403"/>
      <c r="AJ165" s="403"/>
      <c r="AK165" s="403"/>
      <c r="AL165" s="404"/>
      <c r="AM165" s="389"/>
      <c r="AN165" s="345"/>
      <c r="AO165" s="403"/>
      <c r="AP165" s="403"/>
      <c r="AQ165" s="403"/>
      <c r="AR165" s="403"/>
      <c r="AS165" s="403"/>
      <c r="AT165" s="403"/>
      <c r="AU165" s="403"/>
      <c r="AV165" s="403"/>
      <c r="AW165" s="403"/>
      <c r="AX165" s="403"/>
      <c r="AY165" s="403"/>
      <c r="AZ165" s="403"/>
      <c r="BA165" s="403"/>
      <c r="BB165" s="389"/>
      <c r="BC165"/>
      <c r="BD165"/>
      <c r="BE165"/>
      <c r="BF165"/>
      <c r="BG165"/>
      <c r="BH165"/>
      <c r="BI165" s="389"/>
    </row>
    <row r="166" spans="1:61" s="349" customFormat="1" hidden="1" outlineLevel="1">
      <c r="A166" s="389"/>
      <c r="B166" s="402" t="s">
        <v>184</v>
      </c>
      <c r="C166" s="405"/>
      <c r="D166" s="406"/>
      <c r="E166" s="406"/>
      <c r="F166" s="407"/>
      <c r="G166" s="408"/>
      <c r="H166" s="406"/>
      <c r="I166" s="406"/>
      <c r="J166" s="407"/>
      <c r="K166" s="406"/>
      <c r="L166" s="406"/>
      <c r="M166" s="406"/>
      <c r="N166" s="407"/>
      <c r="O166" s="406"/>
      <c r="P166" s="406"/>
      <c r="Q166" s="406"/>
      <c r="R166" s="407"/>
      <c r="S166" s="406"/>
      <c r="T166" s="406"/>
      <c r="U166" s="406"/>
      <c r="V166" s="407"/>
      <c r="W166" s="406"/>
      <c r="X166" s="406"/>
      <c r="Y166" s="406"/>
      <c r="Z166" s="407"/>
      <c r="AA166" s="406">
        <f t="shared" ref="AA166:AG166" si="250">AA25</f>
        <v>0.13709677419354838</v>
      </c>
      <c r="AB166" s="406">
        <f t="shared" si="250"/>
        <v>-7.1942446043165471E-3</v>
      </c>
      <c r="AC166" s="406">
        <f t="shared" si="250"/>
        <v>0.1391304347826087</v>
      </c>
      <c r="AD166" s="407">
        <f t="shared" si="250"/>
        <v>0.18939393939393939</v>
      </c>
      <c r="AE166" s="406">
        <f t="shared" si="250"/>
        <v>0.20645161290322581</v>
      </c>
      <c r="AF166" s="406">
        <f t="shared" si="250"/>
        <v>0.21341463414634146</v>
      </c>
      <c r="AG166" s="406">
        <f t="shared" si="250"/>
        <v>0.18620689655172415</v>
      </c>
      <c r="AH166" s="407">
        <f t="shared" ref="AH166" si="251">AH25</f>
        <v>0.21088435374149661</v>
      </c>
      <c r="AI166" s="406">
        <f>AI25</f>
        <v>0.17</v>
      </c>
      <c r="AJ166" s="406">
        <f>AJ25</f>
        <v>0.17</v>
      </c>
      <c r="AK166" s="406">
        <f>AK25</f>
        <v>0.17</v>
      </c>
      <c r="AL166" s="407">
        <f>AL25</f>
        <v>0.17</v>
      </c>
      <c r="AM166" s="389"/>
      <c r="AN166" s="408"/>
      <c r="AO166" s="406"/>
      <c r="AP166" s="406"/>
      <c r="AQ166" s="406"/>
      <c r="AR166" s="406"/>
      <c r="AS166" s="406">
        <f t="shared" ref="AS166:BA166" si="252">AS25</f>
        <v>0.1765834932821497</v>
      </c>
      <c r="AT166" s="406">
        <f t="shared" si="252"/>
        <v>0.11176470588235295</v>
      </c>
      <c r="AU166" s="406">
        <f t="shared" si="252"/>
        <v>0.20458265139116202</v>
      </c>
      <c r="AV166" s="406">
        <f t="shared" si="252"/>
        <v>0.16999999999999998</v>
      </c>
      <c r="AW166" s="406">
        <f t="shared" si="252"/>
        <v>0.16999999999999998</v>
      </c>
      <c r="AX166" s="406">
        <f t="shared" si="252"/>
        <v>0.16999999999999998</v>
      </c>
      <c r="AY166" s="406">
        <f t="shared" si="252"/>
        <v>0.16999999999999998</v>
      </c>
      <c r="AZ166" s="406">
        <f t="shared" si="252"/>
        <v>0.16999999999999998</v>
      </c>
      <c r="BA166" s="406">
        <f t="shared" si="252"/>
        <v>0.16999999999999998</v>
      </c>
      <c r="BB166" s="389"/>
      <c r="BC166"/>
      <c r="BD166"/>
      <c r="BE166"/>
      <c r="BF166"/>
      <c r="BG166"/>
      <c r="BH166"/>
      <c r="BI166" s="389"/>
    </row>
    <row r="167" spans="1:61" s="168" customFormat="1" hidden="1" outlineLevel="1">
      <c r="A167" s="161"/>
      <c r="B167" s="226" t="s">
        <v>185</v>
      </c>
      <c r="C167" s="409"/>
      <c r="D167" s="234"/>
      <c r="E167" s="234"/>
      <c r="F167" s="235"/>
      <c r="G167" s="234"/>
      <c r="H167" s="234"/>
      <c r="I167" s="234"/>
      <c r="J167" s="235"/>
      <c r="K167" s="234"/>
      <c r="L167" s="234"/>
      <c r="M167" s="234"/>
      <c r="N167" s="235"/>
      <c r="O167" s="234"/>
      <c r="P167" s="234"/>
      <c r="Q167" s="234"/>
      <c r="R167" s="235"/>
      <c r="S167" s="234"/>
      <c r="T167" s="234"/>
      <c r="U167" s="234"/>
      <c r="V167" s="235"/>
      <c r="W167" s="234"/>
      <c r="X167" s="234"/>
      <c r="Y167" s="234"/>
      <c r="Z167" s="235"/>
      <c r="AA167" s="234">
        <v>0</v>
      </c>
      <c r="AB167" s="234">
        <v>0</v>
      </c>
      <c r="AC167" s="234">
        <v>0</v>
      </c>
      <c r="AD167" s="235">
        <v>0</v>
      </c>
      <c r="AE167" s="234">
        <v>0</v>
      </c>
      <c r="AF167" s="234">
        <v>0</v>
      </c>
      <c r="AG167" s="234">
        <v>0</v>
      </c>
      <c r="AH167" s="235">
        <v>0</v>
      </c>
      <c r="AI167" s="234">
        <v>0</v>
      </c>
      <c r="AJ167" s="234">
        <v>0</v>
      </c>
      <c r="AK167" s="234">
        <v>0</v>
      </c>
      <c r="AL167" s="235">
        <v>0</v>
      </c>
      <c r="AM167" s="389"/>
      <c r="AN167" s="234"/>
      <c r="AO167" s="234"/>
      <c r="AP167" s="234"/>
      <c r="AQ167" s="234"/>
      <c r="AR167" s="234"/>
      <c r="AS167" s="234">
        <v>0</v>
      </c>
      <c r="AT167" s="234">
        <v>0</v>
      </c>
      <c r="AU167" s="234">
        <v>0</v>
      </c>
      <c r="AV167" s="234">
        <v>0</v>
      </c>
      <c r="AW167" s="234">
        <v>0</v>
      </c>
      <c r="AX167" s="234">
        <v>0</v>
      </c>
      <c r="AY167" s="234">
        <v>0</v>
      </c>
      <c r="AZ167" s="234">
        <v>0</v>
      </c>
      <c r="BA167" s="234">
        <v>0</v>
      </c>
      <c r="BB167" s="161"/>
      <c r="BC167"/>
      <c r="BD167"/>
      <c r="BE167"/>
      <c r="BF167"/>
      <c r="BG167"/>
      <c r="BH167"/>
      <c r="BI167" s="161"/>
    </row>
    <row r="168" spans="1:61" s="168" customFormat="1" hidden="1" outlineLevel="1">
      <c r="A168" s="161"/>
      <c r="B168" s="226" t="s">
        <v>186</v>
      </c>
      <c r="C168" s="409"/>
      <c r="D168" s="234"/>
      <c r="E168" s="234"/>
      <c r="F168" s="235"/>
      <c r="G168" s="234"/>
      <c r="H168" s="234"/>
      <c r="I168" s="234"/>
      <c r="J168" s="235"/>
      <c r="K168" s="234"/>
      <c r="L168" s="234"/>
      <c r="M168" s="234"/>
      <c r="N168" s="235"/>
      <c r="O168" s="234"/>
      <c r="P168" s="234"/>
      <c r="Q168" s="234"/>
      <c r="R168" s="235"/>
      <c r="S168" s="234"/>
      <c r="T168" s="234"/>
      <c r="U168" s="234"/>
      <c r="V168" s="235"/>
      <c r="W168" s="234"/>
      <c r="X168" s="234"/>
      <c r="Y168" s="234"/>
      <c r="Z168" s="235"/>
      <c r="AA168" s="234" t="s">
        <v>187</v>
      </c>
      <c r="AB168" s="234" t="s">
        <v>187</v>
      </c>
      <c r="AC168" s="234" t="s">
        <v>187</v>
      </c>
      <c r="AD168" s="235" t="s">
        <v>187</v>
      </c>
      <c r="AE168" s="234" t="s">
        <v>187</v>
      </c>
      <c r="AF168" s="234" t="s">
        <v>187</v>
      </c>
      <c r="AG168" s="234" t="s">
        <v>187</v>
      </c>
      <c r="AH168" s="235" t="s">
        <v>187</v>
      </c>
      <c r="AI168" s="234" t="s">
        <v>187</v>
      </c>
      <c r="AJ168" s="234" t="s">
        <v>187</v>
      </c>
      <c r="AK168" s="234" t="s">
        <v>187</v>
      </c>
      <c r="AL168" s="235" t="s">
        <v>187</v>
      </c>
      <c r="AM168" s="389"/>
      <c r="AN168" s="234"/>
      <c r="AO168" s="234"/>
      <c r="AP168" s="234"/>
      <c r="AQ168" s="234"/>
      <c r="AR168" s="234"/>
      <c r="AS168" s="234" t="s">
        <v>187</v>
      </c>
      <c r="AT168" s="234" t="s">
        <v>187</v>
      </c>
      <c r="AU168" s="234" t="s">
        <v>187</v>
      </c>
      <c r="AV168" s="234" t="s">
        <v>187</v>
      </c>
      <c r="AW168" s="234" t="s">
        <v>187</v>
      </c>
      <c r="AX168" s="234" t="s">
        <v>187</v>
      </c>
      <c r="AY168" s="234" t="s">
        <v>187</v>
      </c>
      <c r="AZ168" s="234" t="s">
        <v>187</v>
      </c>
      <c r="BA168" s="234" t="s">
        <v>187</v>
      </c>
      <c r="BB168" s="161"/>
      <c r="BC168"/>
      <c r="BD168"/>
      <c r="BE168"/>
      <c r="BF168"/>
      <c r="BG168"/>
      <c r="BH168"/>
      <c r="BI168" s="161"/>
    </row>
    <row r="169" spans="1:61" s="168" customFormat="1" hidden="1" outlineLevel="1">
      <c r="A169" s="161"/>
      <c r="B169" s="226" t="s">
        <v>188</v>
      </c>
      <c r="C169" s="410"/>
      <c r="D169" s="411"/>
      <c r="E169" s="230"/>
      <c r="F169" s="412"/>
      <c r="G169" s="230"/>
      <c r="H169" s="411"/>
      <c r="I169" s="230"/>
      <c r="J169" s="412"/>
      <c r="K169" s="230"/>
      <c r="L169" s="230"/>
      <c r="M169" s="230"/>
      <c r="N169" s="231"/>
      <c r="O169" s="230"/>
      <c r="P169" s="230"/>
      <c r="Q169" s="230"/>
      <c r="R169" s="231"/>
      <c r="S169" s="230"/>
      <c r="T169" s="230"/>
      <c r="U169" s="230"/>
      <c r="V169" s="231"/>
      <c r="W169" s="230"/>
      <c r="X169" s="230"/>
      <c r="Y169" s="230"/>
      <c r="Z169" s="231"/>
      <c r="AA169" s="230">
        <f t="shared" ref="AA169:AE169" si="253">-AA139</f>
        <v>0</v>
      </c>
      <c r="AB169" s="230">
        <f t="shared" si="253"/>
        <v>0</v>
      </c>
      <c r="AC169" s="230">
        <f t="shared" si="253"/>
        <v>0</v>
      </c>
      <c r="AD169" s="412">
        <f t="shared" si="253"/>
        <v>0</v>
      </c>
      <c r="AE169" s="411">
        <f t="shared" si="253"/>
        <v>0</v>
      </c>
      <c r="AF169" s="411">
        <f>-AF139</f>
        <v>0</v>
      </c>
      <c r="AG169" s="411">
        <f>-AG139</f>
        <v>0</v>
      </c>
      <c r="AH169" s="412">
        <f>-AH139</f>
        <v>0</v>
      </c>
      <c r="AI169" s="414">
        <f t="shared" ref="AI169:AL169" si="254">-AI139</f>
        <v>15.054430747106437</v>
      </c>
      <c r="AJ169" s="414">
        <f t="shared" si="254"/>
        <v>14.975765341687705</v>
      </c>
      <c r="AK169" s="414">
        <f t="shared" si="254"/>
        <v>14.899217253986469</v>
      </c>
      <c r="AL169" s="413">
        <f t="shared" si="254"/>
        <v>14.824729495364686</v>
      </c>
      <c r="AM169" s="389"/>
      <c r="AN169" s="230"/>
      <c r="AO169" s="230"/>
      <c r="AP169" s="230"/>
      <c r="AQ169" s="230"/>
      <c r="AR169" s="230"/>
      <c r="AS169" s="230">
        <f t="shared" ref="AS169:AX169" si="255">-AS139</f>
        <v>0</v>
      </c>
      <c r="AT169" s="230">
        <f t="shared" si="255"/>
        <v>0</v>
      </c>
      <c r="AU169" s="230">
        <f t="shared" si="255"/>
        <v>0</v>
      </c>
      <c r="AV169" s="414">
        <f t="shared" si="255"/>
        <v>59.754142838145299</v>
      </c>
      <c r="AW169" s="414">
        <f t="shared" si="255"/>
        <v>59.151974687675882</v>
      </c>
      <c r="AX169" s="414">
        <f t="shared" si="255"/>
        <v>58.655799144846192</v>
      </c>
      <c r="AY169" s="414">
        <f t="shared" ref="AY169:BA169" si="256">-AY139</f>
        <v>57.712876142367939</v>
      </c>
      <c r="AZ169" s="414">
        <f t="shared" si="256"/>
        <v>56.863885372692003</v>
      </c>
      <c r="BA169" s="414">
        <f t="shared" si="256"/>
        <v>56.099469481786244</v>
      </c>
      <c r="BB169" s="161"/>
      <c r="BC169"/>
      <c r="BD169"/>
      <c r="BE169"/>
      <c r="BF169"/>
      <c r="BG169"/>
      <c r="BH169"/>
      <c r="BI169" s="161"/>
    </row>
    <row r="170" spans="1:61" s="168" customFormat="1" hidden="1" outlineLevel="1">
      <c r="A170" s="161"/>
      <c r="B170" s="226" t="s">
        <v>189</v>
      </c>
      <c r="C170" s="410"/>
      <c r="D170" s="411"/>
      <c r="E170" s="230"/>
      <c r="F170" s="412"/>
      <c r="G170" s="230"/>
      <c r="H170" s="411"/>
      <c r="I170" s="230"/>
      <c r="J170" s="412"/>
      <c r="K170" s="230"/>
      <c r="L170" s="230"/>
      <c r="M170" s="230"/>
      <c r="N170" s="231"/>
      <c r="O170" s="230"/>
      <c r="P170" s="230"/>
      <c r="Q170" s="230"/>
      <c r="R170" s="231"/>
      <c r="S170" s="230"/>
      <c r="T170" s="230"/>
      <c r="U170" s="230"/>
      <c r="V170" s="231"/>
      <c r="W170" s="230"/>
      <c r="X170" s="230"/>
      <c r="Y170" s="230"/>
      <c r="Z170" s="231"/>
      <c r="AA170" s="230">
        <f t="shared" ref="AA170:AE170" si="257">AA138</f>
        <v>0</v>
      </c>
      <c r="AB170" s="230">
        <f t="shared" si="257"/>
        <v>0</v>
      </c>
      <c r="AC170" s="230">
        <f t="shared" si="257"/>
        <v>0</v>
      </c>
      <c r="AD170" s="412">
        <f t="shared" si="257"/>
        <v>0</v>
      </c>
      <c r="AE170" s="411">
        <f t="shared" si="257"/>
        <v>0</v>
      </c>
      <c r="AF170" s="411">
        <f>AF138</f>
        <v>0</v>
      </c>
      <c r="AG170" s="411">
        <f>AG138</f>
        <v>0</v>
      </c>
      <c r="AH170" s="412">
        <f>AH138</f>
        <v>0</v>
      </c>
      <c r="AI170" s="414">
        <v>0</v>
      </c>
      <c r="AJ170" s="414">
        <v>0</v>
      </c>
      <c r="AK170" s="414">
        <v>0</v>
      </c>
      <c r="AL170" s="413">
        <v>0</v>
      </c>
      <c r="AM170" s="389"/>
      <c r="AN170" s="230"/>
      <c r="AO170" s="230"/>
      <c r="AP170" s="230"/>
      <c r="AQ170" s="230"/>
      <c r="AR170" s="230"/>
      <c r="AS170" s="230">
        <f t="shared" ref="AS170:AX170" si="258">AS138</f>
        <v>0</v>
      </c>
      <c r="AT170" s="230">
        <f t="shared" si="258"/>
        <v>0</v>
      </c>
      <c r="AU170" s="230">
        <f t="shared" si="258"/>
        <v>0</v>
      </c>
      <c r="AV170" s="414">
        <f t="shared" si="258"/>
        <v>-100</v>
      </c>
      <c r="AW170" s="414">
        <f t="shared" si="258"/>
        <v>-100</v>
      </c>
      <c r="AX170" s="414">
        <f t="shared" si="258"/>
        <v>-100</v>
      </c>
      <c r="AY170" s="414">
        <f t="shared" ref="AY170:BA170" si="259">AY138</f>
        <v>-100</v>
      </c>
      <c r="AZ170" s="414">
        <f t="shared" si="259"/>
        <v>-100</v>
      </c>
      <c r="BA170" s="414">
        <f t="shared" si="259"/>
        <v>-100</v>
      </c>
      <c r="BB170" s="161"/>
      <c r="BC170"/>
      <c r="BD170"/>
      <c r="BE170"/>
      <c r="BF170"/>
      <c r="BG170"/>
      <c r="BH170"/>
      <c r="BI170" s="161"/>
    </row>
    <row r="171" spans="1:61" s="160" customFormat="1" hidden="1" outlineLevel="1">
      <c r="A171" s="136"/>
      <c r="B171" s="194" t="s">
        <v>190</v>
      </c>
      <c r="C171" s="409"/>
      <c r="D171" s="234"/>
      <c r="E171" s="234"/>
      <c r="F171" s="235"/>
      <c r="G171" s="234"/>
      <c r="H171" s="234"/>
      <c r="I171" s="234"/>
      <c r="J171" s="235"/>
      <c r="K171" s="234"/>
      <c r="L171" s="234"/>
      <c r="M171" s="234"/>
      <c r="N171" s="235"/>
      <c r="O171" s="234"/>
      <c r="P171" s="234"/>
      <c r="Q171" s="234"/>
      <c r="R171" s="235"/>
      <c r="S171" s="234"/>
      <c r="T171" s="234"/>
      <c r="U171" s="234"/>
      <c r="V171" s="235"/>
      <c r="W171" s="234"/>
      <c r="X171" s="234"/>
      <c r="Y171" s="234"/>
      <c r="Z171" s="235"/>
      <c r="AA171" s="234" t="s">
        <v>187</v>
      </c>
      <c r="AB171" s="234" t="s">
        <v>187</v>
      </c>
      <c r="AC171" s="234" t="s">
        <v>187</v>
      </c>
      <c r="AD171" s="235" t="s">
        <v>187</v>
      </c>
      <c r="AE171" s="234" t="s">
        <v>187</v>
      </c>
      <c r="AF171" s="234" t="s">
        <v>187</v>
      </c>
      <c r="AG171" s="234" t="s">
        <v>187</v>
      </c>
      <c r="AH171" s="235" t="s">
        <v>187</v>
      </c>
      <c r="AI171" s="234" t="s">
        <v>187</v>
      </c>
      <c r="AJ171" s="234" t="s">
        <v>187</v>
      </c>
      <c r="AK171" s="234" t="s">
        <v>187</v>
      </c>
      <c r="AL171" s="235" t="s">
        <v>187</v>
      </c>
      <c r="AM171" s="389"/>
      <c r="AN171" s="234"/>
      <c r="AO171" s="234"/>
      <c r="AP171" s="234"/>
      <c r="AQ171" s="234"/>
      <c r="AR171" s="234"/>
      <c r="AS171" s="234" t="s">
        <v>187</v>
      </c>
      <c r="AT171" s="234" t="s">
        <v>187</v>
      </c>
      <c r="AU171" s="234" t="s">
        <v>187</v>
      </c>
      <c r="AV171" s="234" t="s">
        <v>187</v>
      </c>
      <c r="AW171" s="234" t="s">
        <v>187</v>
      </c>
      <c r="AX171" s="234" t="s">
        <v>187</v>
      </c>
      <c r="AY171" s="234" t="s">
        <v>187</v>
      </c>
      <c r="AZ171" s="234" t="s">
        <v>187</v>
      </c>
      <c r="BA171" s="234" t="s">
        <v>187</v>
      </c>
      <c r="BB171" s="136"/>
      <c r="BC171"/>
      <c r="BD171"/>
      <c r="BE171"/>
      <c r="BF171"/>
      <c r="BG171"/>
      <c r="BH171"/>
      <c r="BI171" s="136"/>
    </row>
    <row r="172" spans="1:61" s="168" customFormat="1" hidden="1" outlineLevel="1">
      <c r="A172" s="161"/>
      <c r="B172" s="226" t="s">
        <v>191</v>
      </c>
      <c r="C172" s="410"/>
      <c r="D172" s="411"/>
      <c r="E172" s="230"/>
      <c r="F172" s="412"/>
      <c r="G172" s="230"/>
      <c r="H172" s="411"/>
      <c r="I172" s="230"/>
      <c r="J172" s="412"/>
      <c r="K172" s="230"/>
      <c r="L172" s="230"/>
      <c r="M172" s="230"/>
      <c r="N172" s="231"/>
      <c r="O172" s="230"/>
      <c r="P172" s="230"/>
      <c r="Q172" s="230"/>
      <c r="R172" s="231"/>
      <c r="S172" s="230"/>
      <c r="T172" s="230"/>
      <c r="U172" s="230"/>
      <c r="V172" s="231"/>
      <c r="W172" s="230"/>
      <c r="X172" s="230"/>
      <c r="Y172" s="230"/>
      <c r="Z172" s="231"/>
      <c r="AA172" s="230"/>
      <c r="AB172" s="230"/>
      <c r="AC172" s="230"/>
      <c r="AD172" s="412"/>
      <c r="AE172" s="411"/>
      <c r="AF172" s="411"/>
      <c r="AG172" s="411"/>
      <c r="AH172" s="412"/>
      <c r="AI172" s="414"/>
      <c r="AJ172" s="414"/>
      <c r="AK172" s="414"/>
      <c r="AL172" s="413"/>
      <c r="AM172" s="389"/>
      <c r="AN172" s="230"/>
      <c r="AO172" s="230"/>
      <c r="AP172" s="230"/>
      <c r="AQ172" s="230"/>
      <c r="AR172" s="230"/>
      <c r="AS172" s="230">
        <f t="shared" ref="AS172:AX172" si="260">-AS149</f>
        <v>0</v>
      </c>
      <c r="AT172" s="230">
        <f t="shared" si="260"/>
        <v>0</v>
      </c>
      <c r="AU172" s="230">
        <f>-AU149</f>
        <v>0</v>
      </c>
      <c r="AV172" s="414">
        <f t="shared" si="260"/>
        <v>0</v>
      </c>
      <c r="AW172" s="414">
        <f t="shared" si="260"/>
        <v>0</v>
      </c>
      <c r="AX172" s="414">
        <f t="shared" si="260"/>
        <v>0</v>
      </c>
      <c r="AY172" s="414">
        <f t="shared" ref="AY172:BA172" si="261">-AY149</f>
        <v>0</v>
      </c>
      <c r="AZ172" s="414">
        <f t="shared" si="261"/>
        <v>0</v>
      </c>
      <c r="BA172" s="414">
        <f t="shared" si="261"/>
        <v>0</v>
      </c>
      <c r="BB172" s="161"/>
      <c r="BC172"/>
      <c r="BD172"/>
      <c r="BE172"/>
      <c r="BF172"/>
      <c r="BG172"/>
      <c r="BH172"/>
      <c r="BI172" s="161"/>
    </row>
    <row r="173" spans="1:61" customFormat="1" ht="12" collapsed="1"/>
    <row r="174" spans="1:61">
      <c r="B174" s="194"/>
      <c r="C174" s="415"/>
      <c r="D174" s="416"/>
      <c r="E174" s="416"/>
      <c r="F174" s="417"/>
      <c r="G174" s="416"/>
      <c r="H174" s="416"/>
      <c r="I174" s="416"/>
      <c r="J174" s="417"/>
      <c r="K174" s="416"/>
      <c r="L174" s="416"/>
      <c r="M174" s="416"/>
      <c r="N174" s="417"/>
      <c r="O174" s="416"/>
      <c r="P174" s="416"/>
      <c r="Q174" s="416"/>
      <c r="R174" s="417"/>
      <c r="S174" s="416"/>
      <c r="T174" s="416"/>
      <c r="U174" s="416"/>
      <c r="V174" s="417"/>
      <c r="W174" s="416"/>
      <c r="X174" s="416"/>
      <c r="Y174" s="416"/>
      <c r="Z174" s="417"/>
      <c r="AA174" s="416"/>
      <c r="AB174" s="416"/>
      <c r="AC174" s="416"/>
      <c r="AD174" s="417"/>
      <c r="AE174" s="416"/>
      <c r="AF174" s="416"/>
      <c r="AG174" s="416"/>
      <c r="AH174" s="417"/>
      <c r="AI174" s="416"/>
      <c r="AJ174" s="416"/>
      <c r="AK174" s="416"/>
      <c r="AL174" s="417"/>
    </row>
    <row r="177" spans="45:45">
      <c r="AS177" s="162"/>
    </row>
  </sheetData>
  <dataConsolidate/>
  <pageMargins left="0" right="0" top="0" bottom="0" header="0" footer="0"/>
  <pageSetup paperSize="5" scale="23" orientation="landscape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BE264"/>
  <sheetViews>
    <sheetView showGridLines="0" zoomScale="85" zoomScaleNormal="85" workbookViewId="0">
      <pane xSplit="2" ySplit="4" topLeftCell="AE39" activePane="bottomRight" state="frozen"/>
      <selection pane="topRight" activeCell="C1" sqref="C1"/>
      <selection pane="bottomLeft" activeCell="A5" sqref="A5"/>
      <selection pane="bottomRight" activeCell="AL78" sqref="AL78"/>
    </sheetView>
  </sheetViews>
  <sheetFormatPr defaultColWidth="10.42578125" defaultRowHeight="15" outlineLevelRow="1" outlineLevelCol="1"/>
  <cols>
    <col min="1" max="1" width="3.5703125" style="138" customWidth="1"/>
    <col min="2" max="2" width="42.5703125" style="138" customWidth="1"/>
    <col min="3" max="26" width="10.5703125" style="138" hidden="1" customWidth="1" outlineLevel="1"/>
    <col min="27" max="27" width="10.5703125" style="138" hidden="1" customWidth="1" outlineLevel="1" collapsed="1"/>
    <col min="28" max="30" width="10.5703125" style="138" hidden="1" customWidth="1" outlineLevel="1"/>
    <col min="31" max="31" width="10.5703125" style="138" customWidth="1" collapsed="1"/>
    <col min="32" max="38" width="10.5703125" style="138" customWidth="1"/>
    <col min="39" max="39" width="3.5703125" style="138" customWidth="1"/>
    <col min="40" max="44" width="10.5703125" style="138" hidden="1" customWidth="1" outlineLevel="1"/>
    <col min="45" max="45" width="10.5703125" style="138" customWidth="1" collapsed="1"/>
    <col min="46" max="53" width="10.5703125" style="138" customWidth="1"/>
    <col min="54" max="54" width="3.5703125" style="138" customWidth="1"/>
    <col min="55" max="16384" width="10.42578125" style="138"/>
  </cols>
  <sheetData>
    <row r="1" spans="1:53">
      <c r="A1" s="136"/>
      <c r="B1" s="137"/>
      <c r="O1" s="139"/>
      <c r="S1" s="139"/>
      <c r="AE1" s="139"/>
      <c r="AF1" s="139"/>
      <c r="AG1" s="139"/>
      <c r="AH1" s="139"/>
      <c r="AM1" s="136"/>
      <c r="AN1" s="139"/>
      <c r="AO1" s="139"/>
      <c r="AP1" s="139"/>
      <c r="AQ1" s="139"/>
      <c r="AT1" s="139"/>
    </row>
    <row r="2" spans="1:53">
      <c r="A2" s="136"/>
      <c r="B2" s="137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1"/>
      <c r="AF2" s="141"/>
      <c r="AG2" s="141"/>
      <c r="AH2" s="141"/>
      <c r="AI2" s="140"/>
      <c r="AJ2" s="140"/>
      <c r="AK2" s="140"/>
      <c r="AL2" s="140"/>
      <c r="AM2" s="136"/>
      <c r="AN2" s="140"/>
      <c r="AO2" s="140"/>
      <c r="AP2" s="140"/>
      <c r="AQ2" s="140"/>
      <c r="AR2" s="140"/>
      <c r="AS2" s="140"/>
      <c r="AT2" s="141"/>
      <c r="AU2" s="140"/>
      <c r="AV2" s="140"/>
      <c r="AW2" s="140"/>
      <c r="AX2" s="140"/>
      <c r="AY2" s="140"/>
      <c r="AZ2" s="140"/>
      <c r="BA2" s="140"/>
    </row>
    <row r="3" spans="1:53">
      <c r="A3" s="136"/>
      <c r="B3" s="137"/>
      <c r="C3" s="140"/>
      <c r="D3" s="140"/>
      <c r="E3" s="140"/>
      <c r="F3" s="140"/>
      <c r="G3" s="140"/>
      <c r="H3" s="140"/>
      <c r="I3" s="140"/>
      <c r="J3" s="140"/>
      <c r="K3" s="143"/>
      <c r="L3" s="143"/>
      <c r="M3" s="143"/>
      <c r="N3" s="143"/>
      <c r="O3" s="140"/>
      <c r="P3" s="143"/>
      <c r="Q3" s="143"/>
      <c r="R3" s="143"/>
      <c r="S3" s="140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39"/>
      <c r="AF3" s="139"/>
      <c r="AG3" s="139"/>
      <c r="AH3" s="139"/>
      <c r="AM3" s="136"/>
      <c r="AN3" s="140"/>
      <c r="AO3" s="140"/>
      <c r="AP3" s="140"/>
      <c r="AQ3" s="140"/>
      <c r="AT3" s="139"/>
    </row>
    <row r="4" spans="1:53" s="149" customFormat="1">
      <c r="A4" s="144"/>
      <c r="B4" s="648" t="s">
        <v>192</v>
      </c>
      <c r="C4" s="146" t="str">
        <f>Financials!C$4</f>
        <v>1Q10</v>
      </c>
      <c r="D4" s="146" t="str">
        <f>Financials!D$4</f>
        <v>2Q10</v>
      </c>
      <c r="E4" s="146" t="str">
        <f>Financials!E$4</f>
        <v>3Q10</v>
      </c>
      <c r="F4" s="147" t="str">
        <f>Financials!F$4</f>
        <v>4Q10</v>
      </c>
      <c r="G4" s="146" t="str">
        <f>Financials!G$4</f>
        <v>1Q11</v>
      </c>
      <c r="H4" s="146" t="str">
        <f>Financials!H$4</f>
        <v>2Q11</v>
      </c>
      <c r="I4" s="146" t="str">
        <f>Financials!I$4</f>
        <v>3Q11</v>
      </c>
      <c r="J4" s="147" t="str">
        <f>Financials!J$4</f>
        <v>4Q11</v>
      </c>
      <c r="K4" s="146" t="str">
        <f>Financials!K$4</f>
        <v>1Q12</v>
      </c>
      <c r="L4" s="146" t="str">
        <f>Financials!L$4</f>
        <v>2Q12</v>
      </c>
      <c r="M4" s="146" t="str">
        <f>Financials!M$4</f>
        <v>3Q12</v>
      </c>
      <c r="N4" s="147" t="str">
        <f>Financials!N$4</f>
        <v>4Q12</v>
      </c>
      <c r="O4" s="146" t="str">
        <f>Financials!O$4</f>
        <v>1Q13</v>
      </c>
      <c r="P4" s="146" t="str">
        <f>Financials!P$4</f>
        <v>2Q13</v>
      </c>
      <c r="Q4" s="146" t="str">
        <f>Financials!Q$4</f>
        <v>3Q13</v>
      </c>
      <c r="R4" s="147" t="str">
        <f>Financials!R$4</f>
        <v>4Q13</v>
      </c>
      <c r="S4" s="146" t="str">
        <f>Financials!S$4</f>
        <v>1Q14</v>
      </c>
      <c r="T4" s="146" t="str">
        <f>Financials!T$4</f>
        <v>2Q14</v>
      </c>
      <c r="U4" s="146" t="str">
        <f>Financials!U$4</f>
        <v>3Q14</v>
      </c>
      <c r="V4" s="147" t="str">
        <f>Financials!V$4</f>
        <v>4Q14</v>
      </c>
      <c r="W4" s="146" t="str">
        <f>Financials!W$4</f>
        <v>1Q15</v>
      </c>
      <c r="X4" s="146" t="str">
        <f>Financials!X$4</f>
        <v>2Q15</v>
      </c>
      <c r="Y4" s="146" t="str">
        <f>Financials!Y$4</f>
        <v>3Q15</v>
      </c>
      <c r="Z4" s="147" t="str">
        <f>Financials!Z$4</f>
        <v>4Q15</v>
      </c>
      <c r="AA4" s="146" t="str">
        <f>Financials!AA$4</f>
        <v>1Q16</v>
      </c>
      <c r="AB4" s="146" t="str">
        <f>Financials!AB$4</f>
        <v>2Q16</v>
      </c>
      <c r="AC4" s="146" t="str">
        <f>Financials!AC$4</f>
        <v>3Q16</v>
      </c>
      <c r="AD4" s="147" t="str">
        <f>Financials!AD$4</f>
        <v>4Q16</v>
      </c>
      <c r="AE4" s="146" t="str">
        <f>Financials!AE$4</f>
        <v>1Q17</v>
      </c>
      <c r="AF4" s="146" t="str">
        <f>Financials!AF$4</f>
        <v>2Q17</v>
      </c>
      <c r="AG4" s="146" t="str">
        <f>Financials!AG$4</f>
        <v>3Q17</v>
      </c>
      <c r="AH4" s="147" t="str">
        <f>Financials!AH$4</f>
        <v>4Q17</v>
      </c>
      <c r="AI4" s="146" t="str">
        <f>Financials!AI$4</f>
        <v>1Q18e</v>
      </c>
      <c r="AJ4" s="146" t="str">
        <f>Financials!AJ$4</f>
        <v>2Q18e</v>
      </c>
      <c r="AK4" s="146" t="str">
        <f>Financials!AK$4</f>
        <v>3Q18e</v>
      </c>
      <c r="AL4" s="147" t="str">
        <f>Financials!AL$4</f>
        <v>4Q18e</v>
      </c>
      <c r="AM4" s="144"/>
      <c r="AN4" s="148">
        <f>Financials!AN$4</f>
        <v>2010</v>
      </c>
      <c r="AO4" s="148">
        <f>Financials!AO$4</f>
        <v>2011</v>
      </c>
      <c r="AP4" s="148">
        <f>Financials!AP$4</f>
        <v>2012</v>
      </c>
      <c r="AQ4" s="148">
        <f>Financials!AQ$4</f>
        <v>2013</v>
      </c>
      <c r="AR4" s="148">
        <f>Financials!AR$4</f>
        <v>2014</v>
      </c>
      <c r="AS4" s="148">
        <f>Financials!AS$4</f>
        <v>2015</v>
      </c>
      <c r="AT4" s="148">
        <f>Financials!AT$4</f>
        <v>2016</v>
      </c>
      <c r="AU4" s="148">
        <f>Financials!AU$4</f>
        <v>2017</v>
      </c>
      <c r="AV4" s="148" t="str">
        <f>Financials!AV$4</f>
        <v>2018e</v>
      </c>
      <c r="AW4" s="148" t="str">
        <f>Financials!AW$4</f>
        <v>2019e</v>
      </c>
      <c r="AX4" s="148" t="str">
        <f>Financials!AX$4</f>
        <v>2020e</v>
      </c>
      <c r="AY4" s="148" t="str">
        <f>Financials!AY$4</f>
        <v>2021e</v>
      </c>
      <c r="AZ4" s="148" t="str">
        <f>Financials!AZ$4</f>
        <v>2022e</v>
      </c>
      <c r="BA4" s="148" t="str">
        <f>Financials!BA$4</f>
        <v>2023e</v>
      </c>
    </row>
    <row r="5" spans="1:53" s="160" customFormat="1">
      <c r="A5" s="350"/>
      <c r="B5" s="194"/>
      <c r="C5" s="418"/>
      <c r="D5" s="418"/>
      <c r="E5" s="418"/>
      <c r="F5" s="419"/>
      <c r="G5" s="418"/>
      <c r="H5" s="418"/>
      <c r="I5" s="418"/>
      <c r="J5" s="419"/>
      <c r="K5" s="418"/>
      <c r="L5" s="418"/>
      <c r="M5" s="418"/>
      <c r="N5" s="419"/>
      <c r="O5" s="420"/>
      <c r="P5" s="418"/>
      <c r="Q5" s="418"/>
      <c r="R5" s="419"/>
      <c r="S5" s="420"/>
      <c r="T5" s="418"/>
      <c r="U5" s="418"/>
      <c r="V5" s="419"/>
      <c r="W5" s="418"/>
      <c r="X5" s="418"/>
      <c r="Y5" s="418"/>
      <c r="Z5" s="419"/>
      <c r="AA5" s="418"/>
      <c r="AB5" s="418"/>
      <c r="AC5" s="418"/>
      <c r="AD5" s="419"/>
      <c r="AE5" s="418"/>
      <c r="AF5" s="418"/>
      <c r="AG5" s="418"/>
      <c r="AH5" s="419"/>
      <c r="AI5" s="418"/>
      <c r="AJ5" s="418"/>
      <c r="AK5" s="418"/>
      <c r="AL5" s="419"/>
      <c r="AM5" s="350"/>
      <c r="AN5" s="420"/>
      <c r="AO5" s="420"/>
      <c r="AP5" s="420"/>
      <c r="AQ5" s="420"/>
      <c r="AR5" s="421"/>
      <c r="AS5" s="418"/>
      <c r="AT5" s="418"/>
      <c r="AU5" s="418"/>
      <c r="AV5" s="418"/>
      <c r="AW5" s="418"/>
      <c r="AX5" s="418"/>
      <c r="AY5" s="418"/>
      <c r="AZ5" s="418"/>
      <c r="BA5" s="418"/>
    </row>
    <row r="6" spans="1:53" s="428" customFormat="1">
      <c r="A6" s="422"/>
      <c r="B6" s="649" t="s">
        <v>193</v>
      </c>
      <c r="C6" s="423">
        <v>4.752739</v>
      </c>
      <c r="D6" s="423">
        <v>5.0327830000000002</v>
      </c>
      <c r="E6" s="423">
        <v>4.2869020000000004</v>
      </c>
      <c r="F6" s="424">
        <v>4.9541339999999998</v>
      </c>
      <c r="G6" s="423">
        <v>5.3316270000000001</v>
      </c>
      <c r="H6" s="423">
        <v>5.3191090000000001</v>
      </c>
      <c r="I6" s="423">
        <v>4.5491700000000002</v>
      </c>
      <c r="J6" s="424">
        <v>4.9828330000000003</v>
      </c>
      <c r="K6" s="423">
        <v>5.2552079999999997</v>
      </c>
      <c r="L6" s="423">
        <v>5.0169969999999999</v>
      </c>
      <c r="M6" s="423">
        <v>4.3530069999999998</v>
      </c>
      <c r="N6" s="424">
        <v>4.6739579999999998</v>
      </c>
      <c r="O6" s="423">
        <v>4.820379</v>
      </c>
      <c r="P6" s="423">
        <v>5.1531580000000003</v>
      </c>
      <c r="Q6" s="423">
        <v>4.564165</v>
      </c>
      <c r="R6" s="424">
        <v>4.961271</v>
      </c>
      <c r="S6" s="423">
        <v>5.2343650000000004</v>
      </c>
      <c r="T6" s="423">
        <v>5.3533439999999999</v>
      </c>
      <c r="U6" s="423">
        <v>4.5665380000000004</v>
      </c>
      <c r="V6" s="424">
        <v>4.9950599999999996</v>
      </c>
      <c r="W6" s="423">
        <v>5.4447229999999998</v>
      </c>
      <c r="X6" s="423">
        <v>5.4799429999999996</v>
      </c>
      <c r="Y6" s="423">
        <v>4.8107889999999998</v>
      </c>
      <c r="Z6" s="424">
        <v>5.2147160000000001</v>
      </c>
      <c r="AA6" s="423">
        <v>5.5259080000000003</v>
      </c>
      <c r="AB6" s="423">
        <v>5.8989229999999999</v>
      </c>
      <c r="AC6" s="423">
        <v>4.7448290000000002</v>
      </c>
      <c r="AD6" s="425">
        <v>5.3704039999999997</v>
      </c>
      <c r="AE6" s="426">
        <v>5.854851</v>
      </c>
      <c r="AF6" s="426">
        <v>5.727468</v>
      </c>
      <c r="AG6" s="423">
        <v>5.0025630000000003</v>
      </c>
      <c r="AH6" s="424">
        <v>5.7971149999999998</v>
      </c>
      <c r="AI6" s="713">
        <v>5.9115919999999997</v>
      </c>
      <c r="AJ6" s="713">
        <v>6.0254659999999998</v>
      </c>
      <c r="AK6" s="713">
        <v>5.0789840000000002</v>
      </c>
      <c r="AL6" s="714">
        <v>5.7607160000000004</v>
      </c>
      <c r="AM6" s="422"/>
      <c r="AN6" s="427">
        <f>SUM(C6:F6)</f>
        <v>19.026558000000001</v>
      </c>
      <c r="AO6" s="427">
        <f>SUM(G6:J6)</f>
        <v>20.182739000000002</v>
      </c>
      <c r="AP6" s="427">
        <f>SUM(K6:N6)</f>
        <v>19.29917</v>
      </c>
      <c r="AQ6" s="427">
        <f>SUM(O6:R6)</f>
        <v>19.498972999999999</v>
      </c>
      <c r="AR6" s="427">
        <f>SUM(S6:V6)</f>
        <v>20.149307</v>
      </c>
      <c r="AS6" s="427">
        <f>SUM(W6:Z6)</f>
        <v>20.950170999999997</v>
      </c>
      <c r="AT6" s="427">
        <f>SUM(AA6:AD6)</f>
        <v>21.540064000000001</v>
      </c>
      <c r="AU6" s="427">
        <f>SUM(AE6:AH6)</f>
        <v>22.381996999999998</v>
      </c>
      <c r="AV6" s="427">
        <f>SUM(AI6:AL6)</f>
        <v>22.776758000000001</v>
      </c>
      <c r="AW6" s="713">
        <v>22.832283</v>
      </c>
      <c r="AX6" s="713">
        <v>22.980007000000001</v>
      </c>
      <c r="AY6" s="713">
        <v>23.387557000000001</v>
      </c>
      <c r="AZ6" s="713">
        <v>23.628457000000001</v>
      </c>
      <c r="BA6" s="713">
        <v>23.846972999999998</v>
      </c>
    </row>
    <row r="7" spans="1:53" s="349" customFormat="1">
      <c r="A7" s="236"/>
      <c r="B7" s="650" t="s">
        <v>194</v>
      </c>
      <c r="C7" s="429"/>
      <c r="D7" s="429">
        <f>D6/C6-1</f>
        <v>5.8922654915407824E-2</v>
      </c>
      <c r="E7" s="429">
        <f t="shared" ref="E7:AL7" si="0">E6/D6-1</f>
        <v>-0.14820448249010532</v>
      </c>
      <c r="F7" s="430">
        <f t="shared" si="0"/>
        <v>0.15564433243400466</v>
      </c>
      <c r="G7" s="429">
        <f t="shared" si="0"/>
        <v>7.6197575600498446E-2</v>
      </c>
      <c r="H7" s="429">
        <f t="shared" si="0"/>
        <v>-2.3478761736333009E-3</v>
      </c>
      <c r="I7" s="429">
        <f t="shared" si="0"/>
        <v>-0.14474961878013781</v>
      </c>
      <c r="J7" s="430">
        <f t="shared" si="0"/>
        <v>9.532793894270819E-2</v>
      </c>
      <c r="K7" s="429">
        <f t="shared" si="0"/>
        <v>5.4662678841534307E-2</v>
      </c>
      <c r="L7" s="429">
        <f t="shared" si="0"/>
        <v>-4.5328557880106701E-2</v>
      </c>
      <c r="M7" s="429">
        <f t="shared" si="0"/>
        <v>-0.13234809588285579</v>
      </c>
      <c r="N7" s="430">
        <f t="shared" si="0"/>
        <v>7.3730871556144884E-2</v>
      </c>
      <c r="O7" s="429">
        <f t="shared" si="0"/>
        <v>3.1326982399071612E-2</v>
      </c>
      <c r="P7" s="429">
        <f t="shared" si="0"/>
        <v>6.9035857968844372E-2</v>
      </c>
      <c r="Q7" s="429">
        <f t="shared" si="0"/>
        <v>-0.11429748515376403</v>
      </c>
      <c r="R7" s="430">
        <f t="shared" si="0"/>
        <v>8.7005180575198349E-2</v>
      </c>
      <c r="S7" s="429">
        <f t="shared" si="0"/>
        <v>5.5045168869025884E-2</v>
      </c>
      <c r="T7" s="429">
        <f t="shared" si="0"/>
        <v>2.2730359843075476E-2</v>
      </c>
      <c r="U7" s="429">
        <f t="shared" si="0"/>
        <v>-0.14697467601558944</v>
      </c>
      <c r="V7" s="430">
        <f t="shared" si="0"/>
        <v>9.3839578253810396E-2</v>
      </c>
      <c r="W7" s="429">
        <f t="shared" si="0"/>
        <v>9.0021541282787387E-2</v>
      </c>
      <c r="X7" s="429">
        <f t="shared" si="0"/>
        <v>6.4686486346503536E-3</v>
      </c>
      <c r="Y7" s="429">
        <f t="shared" si="0"/>
        <v>-0.12210966427935466</v>
      </c>
      <c r="Z7" s="430">
        <f t="shared" si="0"/>
        <v>8.3962734595094624E-2</v>
      </c>
      <c r="AA7" s="429">
        <f t="shared" si="0"/>
        <v>5.9675733060055469E-2</v>
      </c>
      <c r="AB7" s="429">
        <f t="shared" si="0"/>
        <v>6.7502933454556269E-2</v>
      </c>
      <c r="AC7" s="429">
        <f t="shared" si="0"/>
        <v>-0.19564486602045827</v>
      </c>
      <c r="AD7" s="430">
        <f t="shared" si="0"/>
        <v>0.13184352902918084</v>
      </c>
      <c r="AE7" s="429">
        <f t="shared" si="0"/>
        <v>9.0206807532543287E-2</v>
      </c>
      <c r="AF7" s="429">
        <f t="shared" si="0"/>
        <v>-2.1756830361694957E-2</v>
      </c>
      <c r="AG7" s="429">
        <f t="shared" si="0"/>
        <v>-0.1265663989742063</v>
      </c>
      <c r="AH7" s="430">
        <f t="shared" si="0"/>
        <v>0.15882898426266689</v>
      </c>
      <c r="AI7" s="429">
        <f t="shared" si="0"/>
        <v>1.9747236340835084E-2</v>
      </c>
      <c r="AJ7" s="429">
        <f t="shared" si="0"/>
        <v>1.9262831399731173E-2</v>
      </c>
      <c r="AK7" s="429">
        <f t="shared" si="0"/>
        <v>-0.15708029885157426</v>
      </c>
      <c r="AL7" s="430">
        <f t="shared" si="0"/>
        <v>0.1342260578099872</v>
      </c>
      <c r="AM7" s="236"/>
      <c r="AN7" s="431"/>
      <c r="AO7" s="431"/>
      <c r="AP7" s="431"/>
      <c r="AQ7" s="431"/>
      <c r="AR7" s="431"/>
      <c r="AS7" s="431"/>
      <c r="AT7" s="431"/>
      <c r="AU7" s="431"/>
      <c r="AV7" s="431"/>
      <c r="AW7" s="431"/>
      <c r="AX7" s="431"/>
      <c r="AY7" s="431"/>
      <c r="AZ7" s="431"/>
      <c r="BA7" s="431"/>
    </row>
    <row r="8" spans="1:53" s="160" customFormat="1">
      <c r="A8" s="350"/>
      <c r="B8" s="650" t="s">
        <v>26</v>
      </c>
      <c r="C8" s="429"/>
      <c r="D8" s="429"/>
      <c r="E8" s="429"/>
      <c r="F8" s="430"/>
      <c r="G8" s="429">
        <f>G6/C6-1</f>
        <v>0.12180092363582351</v>
      </c>
      <c r="H8" s="429">
        <f t="shared" ref="H8:AL8" si="1">H6/D6-1</f>
        <v>5.6892180727839747E-2</v>
      </c>
      <c r="I8" s="429">
        <f t="shared" si="1"/>
        <v>6.1178911950867887E-2</v>
      </c>
      <c r="J8" s="430">
        <f t="shared" si="1"/>
        <v>5.7929397953306871E-3</v>
      </c>
      <c r="K8" s="429">
        <f t="shared" si="1"/>
        <v>-1.4333148211606028E-2</v>
      </c>
      <c r="L8" s="429">
        <f t="shared" si="1"/>
        <v>-5.6797482435498203E-2</v>
      </c>
      <c r="M8" s="429">
        <f t="shared" si="1"/>
        <v>-4.3120613210761549E-2</v>
      </c>
      <c r="N8" s="430">
        <f t="shared" si="1"/>
        <v>-6.1987829012130291E-2</v>
      </c>
      <c r="O8" s="429">
        <f t="shared" si="1"/>
        <v>-8.2742490877620756E-2</v>
      </c>
      <c r="P8" s="429">
        <f t="shared" si="1"/>
        <v>2.7139940486310854E-2</v>
      </c>
      <c r="Q8" s="429">
        <f t="shared" si="1"/>
        <v>4.8508536742532193E-2</v>
      </c>
      <c r="R8" s="430">
        <f t="shared" si="1"/>
        <v>6.1471027339141671E-2</v>
      </c>
      <c r="S8" s="429">
        <f t="shared" si="1"/>
        <v>8.5882458619955138E-2</v>
      </c>
      <c r="T8" s="429">
        <f t="shared" si="1"/>
        <v>3.8847246678638481E-2</v>
      </c>
      <c r="U8" s="429">
        <f t="shared" si="1"/>
        <v>5.1991985390542617E-4</v>
      </c>
      <c r="V8" s="430">
        <f t="shared" si="1"/>
        <v>6.8105531828435151E-3</v>
      </c>
      <c r="W8" s="429">
        <f t="shared" si="1"/>
        <v>4.0187873791758699E-2</v>
      </c>
      <c r="X8" s="429">
        <f t="shared" si="1"/>
        <v>2.364858301652184E-2</v>
      </c>
      <c r="Y8" s="429">
        <f t="shared" si="1"/>
        <v>5.3487127447532368E-2</v>
      </c>
      <c r="Z8" s="430">
        <f t="shared" si="1"/>
        <v>4.3974646951187912E-2</v>
      </c>
      <c r="AA8" s="429">
        <f t="shared" si="1"/>
        <v>1.4910767728679719E-2</v>
      </c>
      <c r="AB8" s="429">
        <f t="shared" si="1"/>
        <v>7.6456999643974566E-2</v>
      </c>
      <c r="AC8" s="429">
        <f t="shared" si="1"/>
        <v>-1.371084867783634E-2</v>
      </c>
      <c r="AD8" s="430">
        <f t="shared" si="1"/>
        <v>2.9855508909785167E-2</v>
      </c>
      <c r="AE8" s="429">
        <f t="shared" si="1"/>
        <v>5.9527411603667701E-2</v>
      </c>
      <c r="AF8" s="429">
        <f t="shared" si="1"/>
        <v>-2.9065475172332267E-2</v>
      </c>
      <c r="AG8" s="429">
        <f t="shared" si="1"/>
        <v>5.4318922768344269E-2</v>
      </c>
      <c r="AH8" s="430">
        <f t="shared" si="1"/>
        <v>7.9456033475321375E-2</v>
      </c>
      <c r="AI8" s="429">
        <f t="shared" si="1"/>
        <v>9.6912799318034093E-3</v>
      </c>
      <c r="AJ8" s="429">
        <f t="shared" si="1"/>
        <v>5.2029622863017266E-2</v>
      </c>
      <c r="AK8" s="429">
        <f t="shared" si="1"/>
        <v>1.5276369333079742E-2</v>
      </c>
      <c r="AL8" s="430">
        <f t="shared" si="1"/>
        <v>-6.2788128232749152E-3</v>
      </c>
      <c r="AM8" s="350"/>
      <c r="AN8" s="420"/>
      <c r="AO8" s="429">
        <f>AO6/AN6-1</f>
        <v>6.0766692535770161E-2</v>
      </c>
      <c r="AP8" s="429">
        <f t="shared" ref="AP8:BA8" si="2">AP6/AO6-1</f>
        <v>-4.3778448504932954E-2</v>
      </c>
      <c r="AQ8" s="429">
        <f t="shared" si="2"/>
        <v>1.0352932276362026E-2</v>
      </c>
      <c r="AR8" s="429">
        <f t="shared" si="2"/>
        <v>3.3352218088614327E-2</v>
      </c>
      <c r="AS8" s="429">
        <f t="shared" si="2"/>
        <v>3.9746478625790838E-2</v>
      </c>
      <c r="AT8" s="429">
        <f t="shared" si="2"/>
        <v>2.8156953945626784E-2</v>
      </c>
      <c r="AU8" s="429">
        <f t="shared" si="2"/>
        <v>3.9086838367796695E-2</v>
      </c>
      <c r="AV8" s="429">
        <f t="shared" si="2"/>
        <v>1.763743422894759E-2</v>
      </c>
      <c r="AW8" s="429">
        <f t="shared" si="2"/>
        <v>2.437792068563871E-3</v>
      </c>
      <c r="AX8" s="429">
        <f t="shared" si="2"/>
        <v>6.4699618518218038E-3</v>
      </c>
      <c r="AY8" s="429">
        <f t="shared" si="2"/>
        <v>1.7734981542868899E-2</v>
      </c>
      <c r="AZ8" s="429">
        <f t="shared" si="2"/>
        <v>1.0300349027476452E-2</v>
      </c>
      <c r="BA8" s="429">
        <f t="shared" si="2"/>
        <v>9.2480012554352342E-3</v>
      </c>
    </row>
    <row r="9" spans="1:53" s="160" customFormat="1">
      <c r="A9" s="350"/>
      <c r="B9" s="649" t="s">
        <v>195</v>
      </c>
      <c r="C9" s="423">
        <v>4.2456670000000001</v>
      </c>
      <c r="D9" s="423">
        <v>4.0501209999999999</v>
      </c>
      <c r="E9" s="423">
        <v>3.943794</v>
      </c>
      <c r="F9" s="424">
        <v>4.8808629999999997</v>
      </c>
      <c r="G9" s="423">
        <v>4.591755</v>
      </c>
      <c r="H9" s="423">
        <v>4.0445820000000001</v>
      </c>
      <c r="I9" s="423">
        <v>4.1811109999999996</v>
      </c>
      <c r="J9" s="424">
        <v>4.7947300000000004</v>
      </c>
      <c r="K9" s="423">
        <v>4.5616859999999999</v>
      </c>
      <c r="L9" s="423">
        <v>4.5979840000000003</v>
      </c>
      <c r="M9" s="423">
        <v>4.465878</v>
      </c>
      <c r="N9" s="424">
        <v>4.9425220000000003</v>
      </c>
      <c r="O9" s="423">
        <v>5.1899430000000004</v>
      </c>
      <c r="P9" s="423">
        <v>5.0975529999999996</v>
      </c>
      <c r="Q9" s="423">
        <v>5.009309</v>
      </c>
      <c r="R9" s="424">
        <v>5.9611090000000004</v>
      </c>
      <c r="S9" s="423">
        <v>5.6546469999999998</v>
      </c>
      <c r="T9" s="423">
        <v>5.6907509999999997</v>
      </c>
      <c r="U9" s="423">
        <v>5.3100560000000003</v>
      </c>
      <c r="V9" s="424">
        <v>6.3293939999999997</v>
      </c>
      <c r="W9" s="423">
        <v>6.0583970000000003</v>
      </c>
      <c r="X9" s="423">
        <v>5.7951459999999999</v>
      </c>
      <c r="Y9" s="423">
        <v>4.9107560000000001</v>
      </c>
      <c r="Z9" s="424">
        <v>7.258699</v>
      </c>
      <c r="AA9" s="423">
        <v>6.4710729999999996</v>
      </c>
      <c r="AB9" s="423">
        <v>6.1427800000000001</v>
      </c>
      <c r="AC9" s="423">
        <v>6.3668810000000002</v>
      </c>
      <c r="AD9" s="425">
        <v>8.3881150000000009</v>
      </c>
      <c r="AE9" s="426">
        <v>6.9046900000000004</v>
      </c>
      <c r="AF9" s="426">
        <v>6.1392980000000001</v>
      </c>
      <c r="AG9" s="423">
        <v>6.3570529999999996</v>
      </c>
      <c r="AH9" s="424">
        <v>8.309564</v>
      </c>
      <c r="AI9" s="713">
        <v>6.6935789999999997</v>
      </c>
      <c r="AJ9" s="713">
        <v>6.6179410000000001</v>
      </c>
      <c r="AK9" s="713">
        <v>6.537852</v>
      </c>
      <c r="AL9" s="714">
        <v>8.4378159999999998</v>
      </c>
      <c r="AM9" s="350"/>
      <c r="AN9" s="427">
        <f>SUM(C9:F9)</f>
        <v>17.120445</v>
      </c>
      <c r="AO9" s="427">
        <f>SUM(G9:J9)</f>
        <v>17.612178</v>
      </c>
      <c r="AP9" s="427">
        <f>SUM(K9:N9)</f>
        <v>18.568069999999999</v>
      </c>
      <c r="AQ9" s="427">
        <f>SUM(O9:R9)</f>
        <v>21.257914</v>
      </c>
      <c r="AR9" s="427">
        <f>SUM(S9:V9)</f>
        <v>22.984848</v>
      </c>
      <c r="AS9" s="427">
        <f>SUM(W9:Z9)</f>
        <v>24.022998000000001</v>
      </c>
      <c r="AT9" s="427">
        <f>SUM(AA9:AD9)</f>
        <v>27.368848999999997</v>
      </c>
      <c r="AU9" s="427">
        <f>SUM(AE9:AH9)</f>
        <v>27.710605000000001</v>
      </c>
      <c r="AV9" s="427">
        <f>SUM(AI9:AL9)</f>
        <v>28.287188</v>
      </c>
      <c r="AW9" s="713">
        <v>29.648596999999999</v>
      </c>
      <c r="AX9" s="713">
        <v>30.739955999999999</v>
      </c>
      <c r="AY9" s="713">
        <v>31.537785</v>
      </c>
      <c r="AZ9" s="713">
        <v>32.212736</v>
      </c>
      <c r="BA9" s="713">
        <v>32.855561999999999</v>
      </c>
    </row>
    <row r="10" spans="1:53" s="160" customFormat="1">
      <c r="A10" s="350"/>
      <c r="B10" s="650" t="s">
        <v>194</v>
      </c>
      <c r="C10" s="429"/>
      <c r="D10" s="429">
        <f t="shared" ref="D10:AL10" si="3">D9/C9-1</f>
        <v>-4.6057780791569414E-2</v>
      </c>
      <c r="E10" s="429">
        <f t="shared" si="3"/>
        <v>-2.6252795904122328E-2</v>
      </c>
      <c r="F10" s="430">
        <f t="shared" si="3"/>
        <v>0.23760597029155162</v>
      </c>
      <c r="G10" s="429">
        <f t="shared" si="3"/>
        <v>-5.9232967612489751E-2</v>
      </c>
      <c r="H10" s="429">
        <f t="shared" si="3"/>
        <v>-0.119164241123492</v>
      </c>
      <c r="I10" s="429">
        <f t="shared" si="3"/>
        <v>3.3756022253968343E-2</v>
      </c>
      <c r="J10" s="430">
        <f t="shared" si="3"/>
        <v>0.14675979661865024</v>
      </c>
      <c r="K10" s="429">
        <f t="shared" si="3"/>
        <v>-4.8604196690950396E-2</v>
      </c>
      <c r="L10" s="429">
        <f t="shared" si="3"/>
        <v>7.957145669386323E-3</v>
      </c>
      <c r="M10" s="429">
        <f t="shared" si="3"/>
        <v>-2.8731287451196019E-2</v>
      </c>
      <c r="N10" s="430">
        <f t="shared" si="3"/>
        <v>0.10673018833026804</v>
      </c>
      <c r="O10" s="429">
        <f t="shared" si="3"/>
        <v>5.005966589526567E-2</v>
      </c>
      <c r="P10" s="429">
        <f t="shared" si="3"/>
        <v>-1.7801736936224666E-2</v>
      </c>
      <c r="Q10" s="429">
        <f t="shared" si="3"/>
        <v>-1.7311051008199296E-2</v>
      </c>
      <c r="R10" s="430">
        <f t="shared" si="3"/>
        <v>0.19000624637050745</v>
      </c>
      <c r="S10" s="429">
        <f t="shared" si="3"/>
        <v>-5.1410232559075952E-2</v>
      </c>
      <c r="T10" s="429">
        <f t="shared" si="3"/>
        <v>6.3848371083110589E-3</v>
      </c>
      <c r="U10" s="429">
        <f t="shared" si="3"/>
        <v>-6.689714591272744E-2</v>
      </c>
      <c r="V10" s="430">
        <f t="shared" si="3"/>
        <v>0.19196370057114254</v>
      </c>
      <c r="W10" s="429">
        <f t="shared" si="3"/>
        <v>-4.2815631322682624E-2</v>
      </c>
      <c r="X10" s="429">
        <f t="shared" si="3"/>
        <v>-4.3452253129004359E-2</v>
      </c>
      <c r="Y10" s="429">
        <f t="shared" si="3"/>
        <v>-0.15260875222125547</v>
      </c>
      <c r="Z10" s="430">
        <f t="shared" si="3"/>
        <v>0.47812251311203413</v>
      </c>
      <c r="AA10" s="429">
        <f t="shared" si="3"/>
        <v>-0.10850787448274135</v>
      </c>
      <c r="AB10" s="429">
        <f t="shared" si="3"/>
        <v>-5.0732390130662997E-2</v>
      </c>
      <c r="AC10" s="429">
        <f t="shared" si="3"/>
        <v>3.6482016285785956E-2</v>
      </c>
      <c r="AD10" s="430">
        <f t="shared" si="3"/>
        <v>0.31746062161362842</v>
      </c>
      <c r="AE10" s="429">
        <f t="shared" si="3"/>
        <v>-0.17684843376610837</v>
      </c>
      <c r="AF10" s="429">
        <f t="shared" si="3"/>
        <v>-0.11085103024176324</v>
      </c>
      <c r="AG10" s="429">
        <f t="shared" si="3"/>
        <v>3.5469038968299005E-2</v>
      </c>
      <c r="AH10" s="430">
        <f t="shared" si="3"/>
        <v>0.30714090318265397</v>
      </c>
      <c r="AI10" s="429">
        <f t="shared" si="3"/>
        <v>-0.19447289893910202</v>
      </c>
      <c r="AJ10" s="429">
        <f t="shared" si="3"/>
        <v>-1.130008325889631E-2</v>
      </c>
      <c r="AK10" s="429">
        <f t="shared" si="3"/>
        <v>-1.2101800242703908E-2</v>
      </c>
      <c r="AL10" s="430">
        <f t="shared" si="3"/>
        <v>0.29060982108496791</v>
      </c>
      <c r="AM10" s="350"/>
      <c r="AN10" s="431"/>
      <c r="AO10" s="431"/>
      <c r="AP10" s="431"/>
      <c r="AQ10" s="431"/>
      <c r="AR10" s="431"/>
      <c r="AS10" s="431"/>
      <c r="AT10" s="431"/>
      <c r="AU10" s="431"/>
      <c r="AV10" s="418"/>
      <c r="AW10" s="418"/>
      <c r="AX10" s="418"/>
      <c r="AY10" s="418"/>
      <c r="AZ10" s="418"/>
      <c r="BA10" s="418"/>
    </row>
    <row r="11" spans="1:53" s="160" customFormat="1">
      <c r="A11" s="350"/>
      <c r="B11" s="650" t="s">
        <v>26</v>
      </c>
      <c r="C11" s="429"/>
      <c r="D11" s="429"/>
      <c r="E11" s="429"/>
      <c r="F11" s="430"/>
      <c r="G11" s="429">
        <f t="shared" ref="G11:AL11" si="4">G9/C9-1</f>
        <v>8.1515578117643317E-2</v>
      </c>
      <c r="H11" s="429">
        <f t="shared" si="4"/>
        <v>-1.367613461424888E-3</v>
      </c>
      <c r="I11" s="429">
        <f t="shared" si="4"/>
        <v>6.0174796148074527E-2</v>
      </c>
      <c r="J11" s="430">
        <f t="shared" si="4"/>
        <v>-1.7647084132457636E-2</v>
      </c>
      <c r="K11" s="429">
        <f t="shared" si="4"/>
        <v>-6.5484765628828212E-3</v>
      </c>
      <c r="L11" s="429">
        <f t="shared" si="4"/>
        <v>0.13682551126420495</v>
      </c>
      <c r="M11" s="429">
        <f t="shared" si="4"/>
        <v>6.8107974172415098E-2</v>
      </c>
      <c r="N11" s="430">
        <f t="shared" si="4"/>
        <v>3.0823842009873426E-2</v>
      </c>
      <c r="O11" s="429">
        <f t="shared" si="4"/>
        <v>0.13772473598577384</v>
      </c>
      <c r="P11" s="429">
        <f t="shared" si="4"/>
        <v>0.10864957337824555</v>
      </c>
      <c r="Q11" s="429">
        <f t="shared" si="4"/>
        <v>0.12168514231691963</v>
      </c>
      <c r="R11" s="430">
        <f t="shared" si="4"/>
        <v>0.20608648782949279</v>
      </c>
      <c r="S11" s="429">
        <f t="shared" si="4"/>
        <v>8.9539326347129355E-2</v>
      </c>
      <c r="T11" s="429">
        <f t="shared" si="4"/>
        <v>0.11636916771635342</v>
      </c>
      <c r="U11" s="429">
        <f t="shared" si="4"/>
        <v>6.0037621955443488E-2</v>
      </c>
      <c r="V11" s="430">
        <f t="shared" si="4"/>
        <v>6.1781289354044588E-2</v>
      </c>
      <c r="W11" s="429">
        <f t="shared" si="4"/>
        <v>7.1401450877481842E-2</v>
      </c>
      <c r="X11" s="429">
        <f t="shared" si="4"/>
        <v>1.8344678936049075E-2</v>
      </c>
      <c r="Y11" s="429">
        <f t="shared" si="4"/>
        <v>-7.5196947075511056E-2</v>
      </c>
      <c r="Z11" s="430">
        <f t="shared" si="4"/>
        <v>0.14682369275794804</v>
      </c>
      <c r="AA11" s="429">
        <f t="shared" si="4"/>
        <v>6.8116368075581635E-2</v>
      </c>
      <c r="AB11" s="429">
        <f t="shared" si="4"/>
        <v>5.9987099548484135E-2</v>
      </c>
      <c r="AC11" s="429">
        <f t="shared" si="4"/>
        <v>0.29651748121877763</v>
      </c>
      <c r="AD11" s="430">
        <f t="shared" si="4"/>
        <v>0.15559482491283916</v>
      </c>
      <c r="AE11" s="429">
        <f t="shared" si="4"/>
        <v>6.7008516207435864E-2</v>
      </c>
      <c r="AF11" s="429">
        <f t="shared" si="4"/>
        <v>-5.6684432781251015E-4</v>
      </c>
      <c r="AG11" s="429">
        <f t="shared" si="4"/>
        <v>-1.5436129558571432E-3</v>
      </c>
      <c r="AH11" s="430">
        <f t="shared" si="4"/>
        <v>-9.3645592603345262E-3</v>
      </c>
      <c r="AI11" s="429">
        <f t="shared" si="4"/>
        <v>-3.0575014953604152E-2</v>
      </c>
      <c r="AJ11" s="429">
        <f t="shared" si="4"/>
        <v>7.7963799769941167E-2</v>
      </c>
      <c r="AK11" s="429">
        <f t="shared" si="4"/>
        <v>2.8440694139249878E-2</v>
      </c>
      <c r="AL11" s="430">
        <f t="shared" si="4"/>
        <v>1.543426345834753E-2</v>
      </c>
      <c r="AM11" s="350"/>
      <c r="AN11" s="420"/>
      <c r="AO11" s="429">
        <f>AO9/AN9-1</f>
        <v>2.8721975392578925E-2</v>
      </c>
      <c r="AP11" s="429">
        <f t="shared" ref="AP11:BA11" si="5">AP9/AO9-1</f>
        <v>5.4274491207163544E-2</v>
      </c>
      <c r="AQ11" s="429">
        <f t="shared" si="5"/>
        <v>0.14486395193469215</v>
      </c>
      <c r="AR11" s="429">
        <f t="shared" si="5"/>
        <v>8.123722769788233E-2</v>
      </c>
      <c r="AS11" s="429">
        <f t="shared" si="5"/>
        <v>4.5166711565810758E-2</v>
      </c>
      <c r="AT11" s="429">
        <f t="shared" si="5"/>
        <v>0.1392769961517708</v>
      </c>
      <c r="AU11" s="429">
        <f t="shared" si="5"/>
        <v>1.2487043207407122E-2</v>
      </c>
      <c r="AV11" s="429">
        <f t="shared" si="5"/>
        <v>2.0807304640227064E-2</v>
      </c>
      <c r="AW11" s="429">
        <f t="shared" si="5"/>
        <v>4.8128113688783669E-2</v>
      </c>
      <c r="AX11" s="429">
        <f t="shared" si="5"/>
        <v>3.6809802500941347E-2</v>
      </c>
      <c r="AY11" s="429">
        <f t="shared" si="5"/>
        <v>2.5954136043655929E-2</v>
      </c>
      <c r="AZ11" s="429">
        <f t="shared" si="5"/>
        <v>2.1401344450791226E-2</v>
      </c>
      <c r="BA11" s="429">
        <f t="shared" si="5"/>
        <v>1.9955647356374895E-2</v>
      </c>
    </row>
    <row r="12" spans="1:53" s="160" customFormat="1">
      <c r="A12" s="350"/>
      <c r="B12" s="649" t="s">
        <v>196</v>
      </c>
      <c r="C12" s="423">
        <v>3.3708610000000001</v>
      </c>
      <c r="D12" s="423">
        <v>3.2927650000000002</v>
      </c>
      <c r="E12" s="423">
        <v>3.3262299999999998</v>
      </c>
      <c r="F12" s="424">
        <v>3.3134709999999998</v>
      </c>
      <c r="G12" s="423">
        <v>2.8481299999999998</v>
      </c>
      <c r="H12" s="423">
        <v>2.6119330000000001</v>
      </c>
      <c r="I12" s="423">
        <v>3.3149479999999998</v>
      </c>
      <c r="J12" s="424">
        <v>3.703195</v>
      </c>
      <c r="K12" s="423">
        <v>3.825895</v>
      </c>
      <c r="L12" s="423">
        <v>3.5339930000000002</v>
      </c>
      <c r="M12" s="423">
        <v>3.2269709999999998</v>
      </c>
      <c r="N12" s="424">
        <v>3.3413740000000001</v>
      </c>
      <c r="O12" s="423">
        <v>3.337726</v>
      </c>
      <c r="P12" s="423">
        <v>3.291703</v>
      </c>
      <c r="Q12" s="423">
        <v>3.2531080000000001</v>
      </c>
      <c r="R12" s="424">
        <v>3.612581</v>
      </c>
      <c r="S12" s="423">
        <v>3.6615790000000001</v>
      </c>
      <c r="T12" s="423">
        <v>3.431403</v>
      </c>
      <c r="U12" s="423">
        <v>3.2016209999999998</v>
      </c>
      <c r="V12" s="424">
        <v>3.373796</v>
      </c>
      <c r="W12" s="423">
        <v>3.4355009999999999</v>
      </c>
      <c r="X12" s="423">
        <v>3.245762</v>
      </c>
      <c r="Y12" s="423">
        <v>3.155964</v>
      </c>
      <c r="Z12" s="424">
        <v>3.4282330000000001</v>
      </c>
      <c r="AA12" s="423">
        <v>3.3284069999999999</v>
      </c>
      <c r="AB12" s="423">
        <v>3.0989450000000001</v>
      </c>
      <c r="AC12" s="423">
        <v>3.0065360000000001</v>
      </c>
      <c r="AD12" s="425">
        <v>3.4802559999999998</v>
      </c>
      <c r="AE12" s="426">
        <v>3.4446340000000002</v>
      </c>
      <c r="AF12" s="426">
        <v>3.2970989999999998</v>
      </c>
      <c r="AG12" s="423">
        <v>3.2634799999999999</v>
      </c>
      <c r="AH12" s="424">
        <v>3.3861569999999999</v>
      </c>
      <c r="AI12" s="713">
        <v>3.3935970000000002</v>
      </c>
      <c r="AJ12" s="713">
        <v>3.1585549999999998</v>
      </c>
      <c r="AK12" s="713">
        <v>3.122207</v>
      </c>
      <c r="AL12" s="714">
        <v>3.2359900000000001</v>
      </c>
      <c r="AM12" s="350"/>
      <c r="AN12" s="427">
        <f>SUM(C12:F12)</f>
        <v>13.303326999999999</v>
      </c>
      <c r="AO12" s="427">
        <f>SUM(G12:J12)</f>
        <v>12.478206</v>
      </c>
      <c r="AP12" s="427">
        <f>SUM(K12:N12)</f>
        <v>13.928233000000001</v>
      </c>
      <c r="AQ12" s="427">
        <f>SUM(O12:R12)</f>
        <v>13.495118</v>
      </c>
      <c r="AR12" s="427">
        <f>SUM(S12:V12)</f>
        <v>13.668399000000001</v>
      </c>
      <c r="AS12" s="427">
        <f>SUM(W12:Z12)</f>
        <v>13.265459999999999</v>
      </c>
      <c r="AT12" s="427">
        <f>SUM(AA12:AD12)</f>
        <v>12.914144</v>
      </c>
      <c r="AU12" s="427">
        <f>SUM(AE12:AH12)</f>
        <v>13.391369999999998</v>
      </c>
      <c r="AV12" s="427">
        <f>SUM(AI12:AL12)</f>
        <v>12.910349</v>
      </c>
      <c r="AW12" s="713">
        <v>12.933814999999999</v>
      </c>
      <c r="AX12" s="713">
        <v>12.580867</v>
      </c>
      <c r="AY12" s="713">
        <v>12.512722</v>
      </c>
      <c r="AZ12" s="713">
        <v>12.441662000000001</v>
      </c>
      <c r="BA12" s="713">
        <v>12.518022</v>
      </c>
    </row>
    <row r="13" spans="1:53" s="160" customFormat="1">
      <c r="A13" s="350"/>
      <c r="B13" s="650" t="s">
        <v>194</v>
      </c>
      <c r="C13" s="429"/>
      <c r="D13" s="429">
        <f t="shared" ref="D13:AL13" si="6">D12/C12-1</f>
        <v>-2.3167968065132327E-2</v>
      </c>
      <c r="E13" s="429">
        <f t="shared" si="6"/>
        <v>1.0163191117495307E-2</v>
      </c>
      <c r="F13" s="430">
        <f t="shared" si="6"/>
        <v>-3.8358742480225638E-3</v>
      </c>
      <c r="G13" s="429">
        <f t="shared" si="6"/>
        <v>-0.14043913467176872</v>
      </c>
      <c r="H13" s="429">
        <f t="shared" si="6"/>
        <v>-8.2930554433961912E-2</v>
      </c>
      <c r="I13" s="429">
        <f t="shared" si="6"/>
        <v>0.26915506638187114</v>
      </c>
      <c r="J13" s="430">
        <f t="shared" si="6"/>
        <v>0.11712008755491787</v>
      </c>
      <c r="K13" s="429">
        <f t="shared" si="6"/>
        <v>3.3133550893215125E-2</v>
      </c>
      <c r="L13" s="429">
        <f t="shared" si="6"/>
        <v>-7.6296396006686029E-2</v>
      </c>
      <c r="M13" s="429">
        <f t="shared" si="6"/>
        <v>-8.6876799133444926E-2</v>
      </c>
      <c r="N13" s="430">
        <f t="shared" si="6"/>
        <v>3.5452131426033873E-2</v>
      </c>
      <c r="O13" s="429">
        <f t="shared" si="6"/>
        <v>-1.091766440991071E-3</v>
      </c>
      <c r="P13" s="429">
        <f t="shared" si="6"/>
        <v>-1.3788729212643513E-2</v>
      </c>
      <c r="Q13" s="429">
        <f t="shared" si="6"/>
        <v>-1.1724933871615995E-2</v>
      </c>
      <c r="R13" s="430">
        <f t="shared" si="6"/>
        <v>0.11050140358082183</v>
      </c>
      <c r="S13" s="429">
        <f t="shared" si="6"/>
        <v>1.3563156092555539E-2</v>
      </c>
      <c r="T13" s="429">
        <f t="shared" si="6"/>
        <v>-6.2862497299662312E-2</v>
      </c>
      <c r="U13" s="429">
        <f t="shared" si="6"/>
        <v>-6.69644457383759E-2</v>
      </c>
      <c r="V13" s="430">
        <f t="shared" si="6"/>
        <v>5.3777445862580375E-2</v>
      </c>
      <c r="W13" s="429">
        <f t="shared" si="6"/>
        <v>1.8289487568305729E-2</v>
      </c>
      <c r="X13" s="429">
        <f t="shared" si="6"/>
        <v>-5.5228917121549315E-2</v>
      </c>
      <c r="Y13" s="429">
        <f t="shared" si="6"/>
        <v>-2.7666230610870479E-2</v>
      </c>
      <c r="Z13" s="430">
        <f t="shared" si="6"/>
        <v>8.6271262916814084E-2</v>
      </c>
      <c r="AA13" s="429">
        <f t="shared" si="6"/>
        <v>-2.9118790933988503E-2</v>
      </c>
      <c r="AB13" s="429">
        <f t="shared" si="6"/>
        <v>-6.8940487145952911E-2</v>
      </c>
      <c r="AC13" s="429">
        <f t="shared" si="6"/>
        <v>-2.9819503088954424E-2</v>
      </c>
      <c r="AD13" s="430">
        <f t="shared" si="6"/>
        <v>0.15756338856411478</v>
      </c>
      <c r="AE13" s="429">
        <f t="shared" si="6"/>
        <v>-1.02354539436178E-2</v>
      </c>
      <c r="AF13" s="429">
        <f t="shared" si="6"/>
        <v>-4.2830384882690087E-2</v>
      </c>
      <c r="AG13" s="429">
        <f t="shared" si="6"/>
        <v>-1.0196539442703934E-2</v>
      </c>
      <c r="AH13" s="430">
        <f t="shared" si="6"/>
        <v>3.7590853935063118E-2</v>
      </c>
      <c r="AI13" s="429">
        <f t="shared" si="6"/>
        <v>2.1971810521486113E-3</v>
      </c>
      <c r="AJ13" s="429">
        <f t="shared" si="6"/>
        <v>-6.9260433693217105E-2</v>
      </c>
      <c r="AK13" s="429">
        <f t="shared" si="6"/>
        <v>-1.1507793912089448E-2</v>
      </c>
      <c r="AL13" s="430">
        <f t="shared" si="6"/>
        <v>3.6443131413131935E-2</v>
      </c>
      <c r="AM13" s="350"/>
      <c r="AN13" s="431"/>
      <c r="AO13" s="431"/>
      <c r="AP13" s="431"/>
      <c r="AQ13" s="431"/>
      <c r="AR13" s="431"/>
      <c r="AS13" s="431"/>
      <c r="AT13" s="431"/>
      <c r="AU13" s="431"/>
      <c r="AV13" s="418"/>
      <c r="AW13" s="418"/>
      <c r="AX13" s="418"/>
      <c r="AY13" s="418"/>
      <c r="AZ13" s="418"/>
      <c r="BA13" s="418"/>
    </row>
    <row r="14" spans="1:53" s="160" customFormat="1">
      <c r="A14" s="350"/>
      <c r="B14" s="650" t="s">
        <v>26</v>
      </c>
      <c r="C14" s="429"/>
      <c r="D14" s="429"/>
      <c r="E14" s="429"/>
      <c r="F14" s="430"/>
      <c r="G14" s="429">
        <f t="shared" ref="G14:AL14" si="7">G12/C12-1</f>
        <v>-0.15507343672729323</v>
      </c>
      <c r="H14" s="429">
        <f t="shared" si="7"/>
        <v>-0.20676604616484928</v>
      </c>
      <c r="I14" s="429">
        <f t="shared" si="7"/>
        <v>-3.3918279854370237E-3</v>
      </c>
      <c r="J14" s="430">
        <f t="shared" si="7"/>
        <v>0.11761805067857845</v>
      </c>
      <c r="K14" s="429">
        <f t="shared" si="7"/>
        <v>0.34330069203301816</v>
      </c>
      <c r="L14" s="429">
        <f t="shared" si="7"/>
        <v>0.35301824357669198</v>
      </c>
      <c r="M14" s="429">
        <f t="shared" si="7"/>
        <v>-2.6539481162298761E-2</v>
      </c>
      <c r="N14" s="430">
        <f t="shared" si="7"/>
        <v>-9.7705089794083211E-2</v>
      </c>
      <c r="O14" s="429">
        <f t="shared" si="7"/>
        <v>-0.12759602655065028</v>
      </c>
      <c r="P14" s="429">
        <f t="shared" si="7"/>
        <v>-6.8559841516381059E-2</v>
      </c>
      <c r="Q14" s="429">
        <f t="shared" si="7"/>
        <v>8.0995459829047434E-3</v>
      </c>
      <c r="R14" s="430">
        <f t="shared" si="7"/>
        <v>8.1166310625509164E-2</v>
      </c>
      <c r="S14" s="429">
        <f t="shared" si="7"/>
        <v>9.7028036453561617E-2</v>
      </c>
      <c r="T14" s="429">
        <f t="shared" si="7"/>
        <v>4.2440037877050196E-2</v>
      </c>
      <c r="U14" s="429">
        <f t="shared" si="7"/>
        <v>-1.5827018346762589E-2</v>
      </c>
      <c r="V14" s="430">
        <f t="shared" si="7"/>
        <v>-6.6098171916422088E-2</v>
      </c>
      <c r="W14" s="429">
        <f t="shared" si="7"/>
        <v>-6.1743308010014264E-2</v>
      </c>
      <c r="X14" s="429">
        <f t="shared" si="7"/>
        <v>-5.4100611324289227E-2</v>
      </c>
      <c r="Y14" s="429">
        <f t="shared" si="7"/>
        <v>-1.4260588620576886E-2</v>
      </c>
      <c r="Z14" s="430">
        <f t="shared" si="7"/>
        <v>1.6135237578087214E-2</v>
      </c>
      <c r="AA14" s="429">
        <f t="shared" si="7"/>
        <v>-3.1172745983773509E-2</v>
      </c>
      <c r="AB14" s="429">
        <f t="shared" si="7"/>
        <v>-4.5233445951982865E-2</v>
      </c>
      <c r="AC14" s="429">
        <f t="shared" si="7"/>
        <v>-4.7347815120831527E-2</v>
      </c>
      <c r="AD14" s="430">
        <f t="shared" si="7"/>
        <v>1.5174872886411173E-2</v>
      </c>
      <c r="AE14" s="429">
        <f t="shared" si="7"/>
        <v>3.4919707836211122E-2</v>
      </c>
      <c r="AF14" s="429">
        <f t="shared" si="7"/>
        <v>6.3942406205983016E-2</v>
      </c>
      <c r="AG14" s="429">
        <f t="shared" si="7"/>
        <v>8.5461807209359808E-2</v>
      </c>
      <c r="AH14" s="430">
        <f t="shared" si="7"/>
        <v>-2.7037953529855274E-2</v>
      </c>
      <c r="AI14" s="429">
        <f t="shared" si="7"/>
        <v>-1.4816378169640099E-2</v>
      </c>
      <c r="AJ14" s="429">
        <f t="shared" si="7"/>
        <v>-4.2019969676373115E-2</v>
      </c>
      <c r="AK14" s="429">
        <f t="shared" si="7"/>
        <v>-4.3289065659970372E-2</v>
      </c>
      <c r="AL14" s="430">
        <f t="shared" si="7"/>
        <v>-4.4347323529298821E-2</v>
      </c>
      <c r="AM14" s="350"/>
      <c r="AN14" s="420"/>
      <c r="AO14" s="429">
        <f>AO12/AN12-1</f>
        <v>-6.2023657691042233E-2</v>
      </c>
      <c r="AP14" s="429">
        <f t="shared" ref="AP14:BA14" si="8">AP12/AO12-1</f>
        <v>0.1162047653324525</v>
      </c>
      <c r="AQ14" s="429">
        <f t="shared" si="8"/>
        <v>-3.109619145515452E-2</v>
      </c>
      <c r="AR14" s="429">
        <f t="shared" si="8"/>
        <v>1.2840273052818096E-2</v>
      </c>
      <c r="AS14" s="429">
        <f t="shared" si="8"/>
        <v>-2.9479604743759769E-2</v>
      </c>
      <c r="AT14" s="429">
        <f t="shared" si="8"/>
        <v>-2.6483514329695201E-2</v>
      </c>
      <c r="AU14" s="429">
        <f t="shared" si="8"/>
        <v>3.6953746218099992E-2</v>
      </c>
      <c r="AV14" s="429">
        <f t="shared" si="8"/>
        <v>-3.5920223248256056E-2</v>
      </c>
      <c r="AW14" s="429">
        <f t="shared" si="8"/>
        <v>1.8176115920645053E-3</v>
      </c>
      <c r="AX14" s="429">
        <f t="shared" si="8"/>
        <v>-2.7288777518466145E-2</v>
      </c>
      <c r="AY14" s="429">
        <f t="shared" si="8"/>
        <v>-5.4165583341752033E-3</v>
      </c>
      <c r="AZ14" s="429">
        <f t="shared" si="8"/>
        <v>-5.6790201204821589E-3</v>
      </c>
      <c r="BA14" s="429">
        <f t="shared" si="8"/>
        <v>6.137443695223288E-3</v>
      </c>
    </row>
    <row r="15" spans="1:53" s="160" customFormat="1">
      <c r="A15" s="350"/>
      <c r="B15" s="649" t="s">
        <v>197</v>
      </c>
      <c r="C15" s="423">
        <v>0.54020199999999996</v>
      </c>
      <c r="D15" s="423">
        <v>0.53112700000000002</v>
      </c>
      <c r="E15" s="423">
        <v>0.510602</v>
      </c>
      <c r="F15" s="424">
        <v>0.59468699999999997</v>
      </c>
      <c r="G15" s="423">
        <v>0.56780299999999995</v>
      </c>
      <c r="H15" s="423">
        <v>0.51682300000000003</v>
      </c>
      <c r="I15" s="423">
        <v>0.58382800000000001</v>
      </c>
      <c r="J15" s="424">
        <v>0.635293</v>
      </c>
      <c r="K15" s="423">
        <v>0.49840600000000002</v>
      </c>
      <c r="L15" s="423">
        <v>0.40966399999999997</v>
      </c>
      <c r="M15" s="423">
        <v>0.390204</v>
      </c>
      <c r="N15" s="424">
        <v>0.38064900000000002</v>
      </c>
      <c r="O15" s="423">
        <v>0.47034999999999999</v>
      </c>
      <c r="P15" s="423">
        <v>0.351962</v>
      </c>
      <c r="Q15" s="423">
        <v>0.33932800000000002</v>
      </c>
      <c r="R15" s="424">
        <v>0.421649</v>
      </c>
      <c r="S15" s="423">
        <v>0.462899</v>
      </c>
      <c r="T15" s="423">
        <v>0.44616800000000001</v>
      </c>
      <c r="U15" s="423">
        <v>0.50517599999999996</v>
      </c>
      <c r="V15" s="424">
        <v>0.56660900000000003</v>
      </c>
      <c r="W15" s="423">
        <v>0.56290499999999999</v>
      </c>
      <c r="X15" s="423">
        <v>0.49840899999999999</v>
      </c>
      <c r="Y15" s="423">
        <v>0.47635100000000002</v>
      </c>
      <c r="Z15" s="424">
        <v>0.44489499999999998</v>
      </c>
      <c r="AA15" s="423">
        <v>0.54170399999999996</v>
      </c>
      <c r="AB15" s="423">
        <v>0.55259999999999998</v>
      </c>
      <c r="AC15" s="423">
        <v>0.565415</v>
      </c>
      <c r="AD15" s="425">
        <v>0.634409</v>
      </c>
      <c r="AE15" s="426">
        <v>0.65741799999999995</v>
      </c>
      <c r="AF15" s="426">
        <v>0.57358500000000001</v>
      </c>
      <c r="AG15" s="423">
        <v>0.60904000000000003</v>
      </c>
      <c r="AH15" s="424">
        <v>0.69318000000000002</v>
      </c>
      <c r="AI15" s="713">
        <v>0.65481</v>
      </c>
      <c r="AJ15" s="713">
        <v>0.55406299999999997</v>
      </c>
      <c r="AK15" s="713">
        <v>0.75114999999999998</v>
      </c>
      <c r="AL15" s="714">
        <v>0.78956300000000001</v>
      </c>
      <c r="AM15" s="350"/>
      <c r="AN15" s="427">
        <f>SUM(C15:F15)</f>
        <v>2.1766179999999999</v>
      </c>
      <c r="AO15" s="427">
        <f>SUM(G15:J15)</f>
        <v>2.303747</v>
      </c>
      <c r="AP15" s="427">
        <f>SUM(K15:N15)</f>
        <v>1.6789229999999999</v>
      </c>
      <c r="AQ15" s="427">
        <f>SUM(O15:R15)</f>
        <v>1.5832889999999999</v>
      </c>
      <c r="AR15" s="427">
        <f>SUM(S15:V15)</f>
        <v>1.9808520000000001</v>
      </c>
      <c r="AS15" s="427">
        <f>SUM(W15:Z15)</f>
        <v>1.9825599999999999</v>
      </c>
      <c r="AT15" s="427">
        <f>SUM(AA15:AD15)</f>
        <v>2.2941279999999997</v>
      </c>
      <c r="AU15" s="427">
        <f>SUM(AE15:AH15)</f>
        <v>2.533223</v>
      </c>
      <c r="AV15" s="427">
        <f>SUM(AI15:AL15)</f>
        <v>2.7495859999999999</v>
      </c>
      <c r="AW15" s="713">
        <v>2.8423029999999998</v>
      </c>
      <c r="AX15" s="713">
        <v>3.047704</v>
      </c>
      <c r="AY15" s="713">
        <v>3.3269540000000002</v>
      </c>
      <c r="AZ15" s="713">
        <v>3.403203</v>
      </c>
      <c r="BA15" s="713">
        <v>3.2327300000000001</v>
      </c>
    </row>
    <row r="16" spans="1:53" s="160" customFormat="1">
      <c r="A16" s="350"/>
      <c r="B16" s="650" t="s">
        <v>194</v>
      </c>
      <c r="C16" s="429"/>
      <c r="D16" s="429">
        <f t="shared" ref="D16:AL16" si="9">D15/C15-1</f>
        <v>-1.6799271383667436E-2</v>
      </c>
      <c r="E16" s="429">
        <f t="shared" si="9"/>
        <v>-3.8644241396125656E-2</v>
      </c>
      <c r="F16" s="430">
        <f t="shared" si="9"/>
        <v>0.16467816420617232</v>
      </c>
      <c r="G16" s="429">
        <f t="shared" si="9"/>
        <v>-4.5206974425201829E-2</v>
      </c>
      <c r="H16" s="429">
        <f t="shared" si="9"/>
        <v>-8.9784661229334706E-2</v>
      </c>
      <c r="I16" s="429">
        <f t="shared" si="9"/>
        <v>0.12964786783869919</v>
      </c>
      <c r="J16" s="430">
        <f t="shared" si="9"/>
        <v>8.8150962269709643E-2</v>
      </c>
      <c r="K16" s="429">
        <f t="shared" si="9"/>
        <v>-0.21547065684652589</v>
      </c>
      <c r="L16" s="429">
        <f t="shared" si="9"/>
        <v>-0.17805162859195123</v>
      </c>
      <c r="M16" s="429">
        <f t="shared" si="9"/>
        <v>-4.7502343383846179E-2</v>
      </c>
      <c r="N16" s="430">
        <f t="shared" si="9"/>
        <v>-2.4487191315311962E-2</v>
      </c>
      <c r="O16" s="429">
        <f t="shared" si="9"/>
        <v>0.23565279299301967</v>
      </c>
      <c r="P16" s="429">
        <f t="shared" si="9"/>
        <v>-0.2517019240990751</v>
      </c>
      <c r="Q16" s="429">
        <f t="shared" si="9"/>
        <v>-3.5895920582335483E-2</v>
      </c>
      <c r="R16" s="430">
        <f t="shared" si="9"/>
        <v>0.24260008015843071</v>
      </c>
      <c r="S16" s="429">
        <f t="shared" si="9"/>
        <v>9.7830185770629186E-2</v>
      </c>
      <c r="T16" s="429">
        <f t="shared" si="9"/>
        <v>-3.6143953648636096E-2</v>
      </c>
      <c r="U16" s="429">
        <f t="shared" si="9"/>
        <v>0.13225511466532769</v>
      </c>
      <c r="V16" s="430">
        <f t="shared" si="9"/>
        <v>0.12160712306206167</v>
      </c>
      <c r="W16" s="429">
        <f t="shared" si="9"/>
        <v>-6.5371358379412436E-3</v>
      </c>
      <c r="X16" s="429">
        <f t="shared" si="9"/>
        <v>-0.1145770600723035</v>
      </c>
      <c r="Y16" s="429">
        <f t="shared" si="9"/>
        <v>-4.4256825217843132E-2</v>
      </c>
      <c r="Z16" s="430">
        <f t="shared" si="9"/>
        <v>-6.6035339487058975E-2</v>
      </c>
      <c r="AA16" s="429">
        <f t="shared" si="9"/>
        <v>0.21759965834635131</v>
      </c>
      <c r="AB16" s="429">
        <f t="shared" si="9"/>
        <v>2.0114305967834811E-2</v>
      </c>
      <c r="AC16" s="429">
        <f t="shared" si="9"/>
        <v>2.3190372783206792E-2</v>
      </c>
      <c r="AD16" s="430">
        <f t="shared" si="9"/>
        <v>0.12202364634825758</v>
      </c>
      <c r="AE16" s="429">
        <f t="shared" si="9"/>
        <v>3.6268400984223126E-2</v>
      </c>
      <c r="AF16" s="429">
        <f t="shared" si="9"/>
        <v>-0.12751856505297987</v>
      </c>
      <c r="AG16" s="429">
        <f t="shared" si="9"/>
        <v>6.1812983254443621E-2</v>
      </c>
      <c r="AH16" s="430">
        <f t="shared" si="9"/>
        <v>0.13815184552738735</v>
      </c>
      <c r="AI16" s="429">
        <f t="shared" si="9"/>
        <v>-5.5353587812689398E-2</v>
      </c>
      <c r="AJ16" s="429">
        <f t="shared" si="9"/>
        <v>-0.15385684397000665</v>
      </c>
      <c r="AK16" s="429">
        <f t="shared" si="9"/>
        <v>0.35571225654844318</v>
      </c>
      <c r="AL16" s="430">
        <f t="shared" si="9"/>
        <v>5.1138920322172821E-2</v>
      </c>
      <c r="AM16" s="350"/>
      <c r="AN16" s="431"/>
      <c r="AO16" s="431"/>
      <c r="AP16" s="431"/>
      <c r="AQ16" s="431"/>
      <c r="AR16" s="431"/>
      <c r="AS16" s="431"/>
      <c r="AT16" s="431"/>
      <c r="AU16" s="431"/>
      <c r="AV16" s="418"/>
      <c r="AW16" s="418"/>
      <c r="AX16" s="418"/>
      <c r="AY16" s="418"/>
      <c r="AZ16" s="418"/>
      <c r="BA16" s="418"/>
    </row>
    <row r="17" spans="1:53" s="160" customFormat="1">
      <c r="A17" s="350"/>
      <c r="B17" s="650" t="s">
        <v>26</v>
      </c>
      <c r="C17" s="429"/>
      <c r="D17" s="429"/>
      <c r="E17" s="429"/>
      <c r="F17" s="430"/>
      <c r="G17" s="429">
        <f t="shared" ref="G17:AL17" si="10">G15/C15-1</f>
        <v>5.1093850078304026E-2</v>
      </c>
      <c r="H17" s="429">
        <f t="shared" si="10"/>
        <v>-2.6931411884539846E-2</v>
      </c>
      <c r="I17" s="429">
        <f t="shared" si="10"/>
        <v>0.14341111080645996</v>
      </c>
      <c r="J17" s="430">
        <f t="shared" si="10"/>
        <v>6.8281297556529896E-2</v>
      </c>
      <c r="K17" s="429">
        <f t="shared" si="10"/>
        <v>-0.12222020665618172</v>
      </c>
      <c r="L17" s="429">
        <f t="shared" si="10"/>
        <v>-0.20734177851991886</v>
      </c>
      <c r="M17" s="429">
        <f t="shared" si="10"/>
        <v>-0.33164562165569311</v>
      </c>
      <c r="N17" s="430">
        <f t="shared" si="10"/>
        <v>-0.40082922368104168</v>
      </c>
      <c r="O17" s="429">
        <f t="shared" si="10"/>
        <v>-5.6291457165443481E-2</v>
      </c>
      <c r="P17" s="429">
        <f t="shared" si="10"/>
        <v>-0.14085201531010771</v>
      </c>
      <c r="Q17" s="429">
        <f t="shared" si="10"/>
        <v>-0.13038308167010071</v>
      </c>
      <c r="R17" s="430">
        <f t="shared" si="10"/>
        <v>0.10771077817096586</v>
      </c>
      <c r="S17" s="429">
        <f t="shared" si="10"/>
        <v>-1.5841394706069933E-2</v>
      </c>
      <c r="T17" s="429">
        <f t="shared" si="10"/>
        <v>0.26765957688614117</v>
      </c>
      <c r="U17" s="429">
        <f t="shared" si="10"/>
        <v>0.48875424368162945</v>
      </c>
      <c r="V17" s="430">
        <f t="shared" si="10"/>
        <v>0.34379306010449451</v>
      </c>
      <c r="W17" s="429">
        <f t="shared" si="10"/>
        <v>0.21604280847441881</v>
      </c>
      <c r="X17" s="429">
        <f t="shared" si="10"/>
        <v>0.11708818203008731</v>
      </c>
      <c r="Y17" s="429">
        <f t="shared" si="10"/>
        <v>-5.7059321899694204E-2</v>
      </c>
      <c r="Z17" s="430">
        <f t="shared" si="10"/>
        <v>-0.21481127197061822</v>
      </c>
      <c r="AA17" s="429">
        <f t="shared" si="10"/>
        <v>-3.7663548911450517E-2</v>
      </c>
      <c r="AB17" s="429">
        <f t="shared" si="10"/>
        <v>0.10872797240820287</v>
      </c>
      <c r="AC17" s="429">
        <f t="shared" si="10"/>
        <v>0.1869713719505155</v>
      </c>
      <c r="AD17" s="430">
        <f t="shared" si="10"/>
        <v>0.42597466818013241</v>
      </c>
      <c r="AE17" s="429">
        <f t="shared" si="10"/>
        <v>0.21361112341795518</v>
      </c>
      <c r="AF17" s="429">
        <f t="shared" si="10"/>
        <v>3.7975027144408369E-2</v>
      </c>
      <c r="AG17" s="429">
        <f t="shared" si="10"/>
        <v>7.7155717481849573E-2</v>
      </c>
      <c r="AH17" s="430">
        <f t="shared" si="10"/>
        <v>9.2638975802676216E-2</v>
      </c>
      <c r="AI17" s="429">
        <f t="shared" si="10"/>
        <v>-3.9670346720046545E-3</v>
      </c>
      <c r="AJ17" s="429">
        <f t="shared" si="10"/>
        <v>-3.4035060191601962E-2</v>
      </c>
      <c r="AK17" s="429">
        <f t="shared" si="10"/>
        <v>0.23333442795218695</v>
      </c>
      <c r="AL17" s="430">
        <f t="shared" si="10"/>
        <v>0.13904469257624275</v>
      </c>
      <c r="AM17" s="350"/>
      <c r="AN17" s="420"/>
      <c r="AO17" s="429">
        <f>AO15/AN15-1</f>
        <v>5.8406665753935716E-2</v>
      </c>
      <c r="AP17" s="429">
        <f t="shared" ref="AP17:BA17" si="11">AP15/AO15-1</f>
        <v>-0.27122075470961005</v>
      </c>
      <c r="AQ17" s="429">
        <f t="shared" si="11"/>
        <v>-5.696151640069258E-2</v>
      </c>
      <c r="AR17" s="429">
        <f t="shared" si="11"/>
        <v>0.25109945183728311</v>
      </c>
      <c r="AS17" s="429">
        <f t="shared" si="11"/>
        <v>8.6225523158711681E-4</v>
      </c>
      <c r="AT17" s="429">
        <f t="shared" si="11"/>
        <v>0.15715438624808331</v>
      </c>
      <c r="AU17" s="429">
        <f t="shared" si="11"/>
        <v>0.1042204271078162</v>
      </c>
      <c r="AV17" s="429">
        <f t="shared" si="11"/>
        <v>8.5410167205966392E-2</v>
      </c>
      <c r="AW17" s="429">
        <f t="shared" si="11"/>
        <v>3.3720349172566388E-2</v>
      </c>
      <c r="AX17" s="429">
        <f t="shared" si="11"/>
        <v>7.2265694403446767E-2</v>
      </c>
      <c r="AY17" s="429">
        <f t="shared" si="11"/>
        <v>9.1626352165433467E-2</v>
      </c>
      <c r="AZ17" s="429">
        <f t="shared" si="11"/>
        <v>2.291856154308114E-2</v>
      </c>
      <c r="BA17" s="429">
        <f t="shared" si="11"/>
        <v>-5.00919281042006E-2</v>
      </c>
    </row>
    <row r="18" spans="1:53" s="160" customFormat="1">
      <c r="A18" s="350"/>
      <c r="B18" s="649" t="s">
        <v>198</v>
      </c>
      <c r="C18" s="423">
        <v>2.8970919999999998</v>
      </c>
      <c r="D18" s="423">
        <v>3.0896669999999999</v>
      </c>
      <c r="E18" s="423">
        <v>2.9810970000000001</v>
      </c>
      <c r="F18" s="424">
        <v>2.97275</v>
      </c>
      <c r="G18" s="423">
        <v>3.3808189999999998</v>
      </c>
      <c r="H18" s="423">
        <v>3.1236470000000001</v>
      </c>
      <c r="I18" s="423">
        <v>3.18221</v>
      </c>
      <c r="J18" s="424">
        <v>3.4391780000000001</v>
      </c>
      <c r="K18" s="423">
        <v>3.9644940000000002</v>
      </c>
      <c r="L18" s="423">
        <v>3.9864929999999998</v>
      </c>
      <c r="M18" s="423">
        <v>3.6666219999999998</v>
      </c>
      <c r="N18" s="424">
        <v>3.8167330000000002</v>
      </c>
      <c r="O18" s="423">
        <v>4.0147909999999998</v>
      </c>
      <c r="P18" s="423">
        <v>4.2583140000000004</v>
      </c>
      <c r="Q18" s="423">
        <v>3.883067</v>
      </c>
      <c r="R18" s="424">
        <v>4.0208149999999998</v>
      </c>
      <c r="S18" s="423">
        <v>4.2043160000000004</v>
      </c>
      <c r="T18" s="423">
        <v>4.4116999999999997</v>
      </c>
      <c r="U18" s="423">
        <v>4.176787</v>
      </c>
      <c r="V18" s="424">
        <v>4.2367670000000004</v>
      </c>
      <c r="W18" s="423">
        <v>4.2647570000000004</v>
      </c>
      <c r="X18" s="423">
        <v>4.5341509999999996</v>
      </c>
      <c r="Y18" s="423">
        <v>4.3676979999999999</v>
      </c>
      <c r="Z18" s="424">
        <v>4.3287829999999996</v>
      </c>
      <c r="AA18" s="423">
        <v>4.4552719999999999</v>
      </c>
      <c r="AB18" s="423">
        <v>4.5993849999999998</v>
      </c>
      <c r="AC18" s="423">
        <v>4.4243649999999999</v>
      </c>
      <c r="AD18" s="425">
        <v>4.3576629999999996</v>
      </c>
      <c r="AE18" s="426">
        <v>4.5276189999999996</v>
      </c>
      <c r="AF18" s="426">
        <v>4.4568909999999997</v>
      </c>
      <c r="AG18" s="423">
        <v>4.0650919999999999</v>
      </c>
      <c r="AH18" s="424">
        <v>4.1808139999999998</v>
      </c>
      <c r="AI18" s="688">
        <f>$AV$18*0.26</f>
        <v>4.3630599999999999</v>
      </c>
      <c r="AJ18" s="688">
        <f>$AV$18*0.26</f>
        <v>4.3630599999999999</v>
      </c>
      <c r="AK18" s="688">
        <f>$AV$18*0.24</f>
        <v>4.0274399999999995</v>
      </c>
      <c r="AL18" s="689">
        <f>$AV$18*0.24</f>
        <v>4.0274399999999995</v>
      </c>
      <c r="AM18" s="350"/>
      <c r="AN18" s="427">
        <f>SUM(C18:F18)</f>
        <v>11.940605999999999</v>
      </c>
      <c r="AO18" s="427">
        <f>SUM(G18:J18)</f>
        <v>13.125854</v>
      </c>
      <c r="AP18" s="427">
        <f>SUM(K18:N18)</f>
        <v>15.434342000000001</v>
      </c>
      <c r="AQ18" s="427">
        <f>SUM(O18:R18)</f>
        <v>16.176987</v>
      </c>
      <c r="AR18" s="427">
        <f>SUM(S18:V18)</f>
        <v>17.02957</v>
      </c>
      <c r="AS18" s="427">
        <f>SUM(W18:Z18)</f>
        <v>17.495389000000003</v>
      </c>
      <c r="AT18" s="427">
        <f>SUM(AA18:AD18)</f>
        <v>17.836684999999999</v>
      </c>
      <c r="AU18" s="427">
        <f>SUM(AE18:AH18)</f>
        <v>17.230415999999998</v>
      </c>
      <c r="AV18" s="762">
        <v>16.780999999999999</v>
      </c>
      <c r="AW18" s="762">
        <v>16.109760000000001</v>
      </c>
      <c r="AX18" s="762">
        <v>16</v>
      </c>
      <c r="AY18" s="762">
        <v>16.079999999999998</v>
      </c>
      <c r="AZ18" s="432">
        <f>AY18*1.005</f>
        <v>16.160399999999996</v>
      </c>
      <c r="BA18" s="432">
        <f>AZ18*1.005</f>
        <v>16.241201999999994</v>
      </c>
    </row>
    <row r="19" spans="1:53" s="160" customFormat="1">
      <c r="A19" s="350"/>
      <c r="B19" s="650" t="s">
        <v>194</v>
      </c>
      <c r="C19" s="429"/>
      <c r="D19" s="429">
        <f t="shared" ref="D19:AL19" si="12">D18/C18-1</f>
        <v>6.6471827611964018E-2</v>
      </c>
      <c r="E19" s="429">
        <f t="shared" si="12"/>
        <v>-3.5139709230800564E-2</v>
      </c>
      <c r="F19" s="430">
        <f t="shared" si="12"/>
        <v>-2.7999759819958836E-3</v>
      </c>
      <c r="G19" s="429">
        <f t="shared" si="12"/>
        <v>0.13726986796737028</v>
      </c>
      <c r="H19" s="429">
        <f t="shared" si="12"/>
        <v>-7.6067958681017789E-2</v>
      </c>
      <c r="I19" s="429">
        <f t="shared" si="12"/>
        <v>1.8748277254119872E-2</v>
      </c>
      <c r="J19" s="430">
        <f t="shared" si="12"/>
        <v>8.0751427467074866E-2</v>
      </c>
      <c r="K19" s="429">
        <f t="shared" si="12"/>
        <v>0.15274463839905938</v>
      </c>
      <c r="L19" s="429">
        <f t="shared" si="12"/>
        <v>5.5490057495357625E-3</v>
      </c>
      <c r="M19" s="429">
        <f t="shared" si="12"/>
        <v>-8.0238696016774691E-2</v>
      </c>
      <c r="N19" s="430">
        <f t="shared" si="12"/>
        <v>4.0939862358323476E-2</v>
      </c>
      <c r="O19" s="429">
        <f t="shared" si="12"/>
        <v>5.1892023885348859E-2</v>
      </c>
      <c r="P19" s="429">
        <f t="shared" si="12"/>
        <v>6.0656457583968981E-2</v>
      </c>
      <c r="Q19" s="429">
        <f t="shared" si="12"/>
        <v>-8.8121026302898309E-2</v>
      </c>
      <c r="R19" s="430">
        <f t="shared" si="12"/>
        <v>3.5474020922121596E-2</v>
      </c>
      <c r="S19" s="429">
        <f t="shared" si="12"/>
        <v>4.5637762493424994E-2</v>
      </c>
      <c r="T19" s="429">
        <f t="shared" si="12"/>
        <v>4.9326454053405966E-2</v>
      </c>
      <c r="U19" s="429">
        <f t="shared" si="12"/>
        <v>-5.3247727633338515E-2</v>
      </c>
      <c r="V19" s="430">
        <f t="shared" si="12"/>
        <v>1.436032050473246E-2</v>
      </c>
      <c r="W19" s="429">
        <f t="shared" si="12"/>
        <v>6.6064525143818553E-3</v>
      </c>
      <c r="X19" s="429">
        <f t="shared" si="12"/>
        <v>6.3167491137243958E-2</v>
      </c>
      <c r="Y19" s="429">
        <f t="shared" si="12"/>
        <v>-3.6710952061367097E-2</v>
      </c>
      <c r="Z19" s="430">
        <f t="shared" si="12"/>
        <v>-8.9097277330072444E-3</v>
      </c>
      <c r="AA19" s="429">
        <f t="shared" si="12"/>
        <v>2.9220452954098253E-2</v>
      </c>
      <c r="AB19" s="429">
        <f t="shared" si="12"/>
        <v>3.2346622159096006E-2</v>
      </c>
      <c r="AC19" s="429">
        <f t="shared" si="12"/>
        <v>-3.8052913596056892E-2</v>
      </c>
      <c r="AD19" s="430">
        <f t="shared" si="12"/>
        <v>-1.5076061762535509E-2</v>
      </c>
      <c r="AE19" s="429">
        <f t="shared" si="12"/>
        <v>3.9001639181368564E-2</v>
      </c>
      <c r="AF19" s="429">
        <f t="shared" si="12"/>
        <v>-1.562145578062113E-2</v>
      </c>
      <c r="AG19" s="429">
        <f t="shared" si="12"/>
        <v>-8.7908589193677833E-2</v>
      </c>
      <c r="AH19" s="430">
        <f t="shared" si="12"/>
        <v>2.8467252401667587E-2</v>
      </c>
      <c r="AI19" s="429">
        <f t="shared" si="12"/>
        <v>4.3591032751038483E-2</v>
      </c>
      <c r="AJ19" s="429">
        <f t="shared" si="12"/>
        <v>0</v>
      </c>
      <c r="AK19" s="429">
        <f t="shared" si="12"/>
        <v>-7.6923076923076983E-2</v>
      </c>
      <c r="AL19" s="430">
        <f t="shared" si="12"/>
        <v>0</v>
      </c>
      <c r="AM19" s="350"/>
      <c r="AN19" s="431"/>
      <c r="AO19" s="431"/>
      <c r="AP19" s="431"/>
      <c r="AQ19" s="431"/>
      <c r="AR19" s="431"/>
      <c r="AS19" s="431"/>
      <c r="AT19" s="431"/>
      <c r="AU19" s="431"/>
      <c r="AV19" s="418"/>
      <c r="AW19" s="418"/>
      <c r="AX19" s="418"/>
      <c r="AY19" s="418"/>
      <c r="AZ19" s="418"/>
      <c r="BA19" s="418"/>
    </row>
    <row r="20" spans="1:53" s="160" customFormat="1">
      <c r="A20" s="350"/>
      <c r="B20" s="650" t="s">
        <v>26</v>
      </c>
      <c r="C20" s="429"/>
      <c r="D20" s="429"/>
      <c r="E20" s="429"/>
      <c r="F20" s="430"/>
      <c r="G20" s="429">
        <f t="shared" ref="G20:AL20" si="13">G18/C18-1</f>
        <v>0.16696984424381411</v>
      </c>
      <c r="H20" s="429">
        <f t="shared" si="13"/>
        <v>1.0997948969905247E-2</v>
      </c>
      <c r="I20" s="429">
        <f t="shared" si="13"/>
        <v>6.7462749450957205E-2</v>
      </c>
      <c r="J20" s="430">
        <f t="shared" si="13"/>
        <v>0.15690118577075096</v>
      </c>
      <c r="K20" s="429">
        <f t="shared" si="13"/>
        <v>0.17264307849666016</v>
      </c>
      <c r="L20" s="429">
        <f t="shared" si="13"/>
        <v>0.27623031667790876</v>
      </c>
      <c r="M20" s="429">
        <f t="shared" si="13"/>
        <v>0.15222502600394061</v>
      </c>
      <c r="N20" s="430">
        <f t="shared" si="13"/>
        <v>0.10978059292075026</v>
      </c>
      <c r="O20" s="429">
        <f t="shared" si="13"/>
        <v>1.2686864956788835E-2</v>
      </c>
      <c r="P20" s="429">
        <f t="shared" si="13"/>
        <v>6.8185495371495763E-2</v>
      </c>
      <c r="Q20" s="429">
        <f t="shared" si="13"/>
        <v>5.9031173652479119E-2</v>
      </c>
      <c r="R20" s="430">
        <f t="shared" si="13"/>
        <v>5.3470337065757434E-2</v>
      </c>
      <c r="S20" s="429">
        <f t="shared" si="13"/>
        <v>4.7206691456666228E-2</v>
      </c>
      <c r="T20" s="429">
        <f t="shared" si="13"/>
        <v>3.6020359231376364E-2</v>
      </c>
      <c r="U20" s="429">
        <f t="shared" si="13"/>
        <v>7.5641239257524973E-2</v>
      </c>
      <c r="V20" s="430">
        <f t="shared" si="13"/>
        <v>5.3708514318614675E-2</v>
      </c>
      <c r="W20" s="429">
        <f t="shared" si="13"/>
        <v>1.4375941294612504E-2</v>
      </c>
      <c r="X20" s="429">
        <f t="shared" si="13"/>
        <v>2.7755967087517153E-2</v>
      </c>
      <c r="Y20" s="429">
        <f t="shared" si="13"/>
        <v>4.5707621671873477E-2</v>
      </c>
      <c r="Z20" s="430">
        <f t="shared" si="13"/>
        <v>2.1718447108372674E-2</v>
      </c>
      <c r="AA20" s="429">
        <f t="shared" si="13"/>
        <v>4.4671947311417659E-2</v>
      </c>
      <c r="AB20" s="429">
        <f t="shared" si="13"/>
        <v>1.4387257945313259E-2</v>
      </c>
      <c r="AC20" s="429">
        <f t="shared" si="13"/>
        <v>1.2974111305314562E-2</v>
      </c>
      <c r="AD20" s="430">
        <f t="shared" si="13"/>
        <v>6.6716210999719916E-3</v>
      </c>
      <c r="AE20" s="429">
        <f t="shared" si="13"/>
        <v>1.62385147304136E-2</v>
      </c>
      <c r="AF20" s="429">
        <f t="shared" si="13"/>
        <v>-3.0981098559916154E-2</v>
      </c>
      <c r="AG20" s="429">
        <f t="shared" si="13"/>
        <v>-8.1203291319771331E-2</v>
      </c>
      <c r="AH20" s="430">
        <f t="shared" si="13"/>
        <v>-4.0583450349418904E-2</v>
      </c>
      <c r="AI20" s="429">
        <f t="shared" si="13"/>
        <v>-3.6345593566949774E-2</v>
      </c>
      <c r="AJ20" s="429">
        <f t="shared" si="13"/>
        <v>-2.1053016553467363E-2</v>
      </c>
      <c r="AK20" s="429">
        <f t="shared" si="13"/>
        <v>-9.262274998942277E-3</v>
      </c>
      <c r="AL20" s="430">
        <f t="shared" si="13"/>
        <v>-3.6685200537503015E-2</v>
      </c>
      <c r="AM20" s="350"/>
      <c r="AN20" s="420"/>
      <c r="AO20" s="429">
        <f>AO18/AN18-1</f>
        <v>9.9261963756278604E-2</v>
      </c>
      <c r="AP20" s="429">
        <f t="shared" ref="AP20:BA20" si="14">AP18/AO18-1</f>
        <v>0.17587335650693658</v>
      </c>
      <c r="AQ20" s="429">
        <f t="shared" si="14"/>
        <v>4.8116401722859248E-2</v>
      </c>
      <c r="AR20" s="429">
        <f t="shared" si="14"/>
        <v>5.2703448423368382E-2</v>
      </c>
      <c r="AS20" s="429">
        <f t="shared" si="14"/>
        <v>2.7353538580246139E-2</v>
      </c>
      <c r="AT20" s="429">
        <f t="shared" si="14"/>
        <v>1.9507768589769325E-2</v>
      </c>
      <c r="AU20" s="429">
        <f t="shared" si="14"/>
        <v>-3.3990004308536048E-2</v>
      </c>
      <c r="AV20" s="429">
        <f t="shared" si="14"/>
        <v>-2.6082713267050472E-2</v>
      </c>
      <c r="AW20" s="429">
        <f t="shared" si="14"/>
        <v>-3.9999999999999813E-2</v>
      </c>
      <c r="AX20" s="429">
        <f t="shared" si="14"/>
        <v>-6.8132610293387685E-3</v>
      </c>
      <c r="AY20" s="429">
        <f t="shared" si="14"/>
        <v>4.9999999999998934E-3</v>
      </c>
      <c r="AZ20" s="429">
        <f t="shared" si="14"/>
        <v>4.9999999999998934E-3</v>
      </c>
      <c r="BA20" s="429">
        <f t="shared" si="14"/>
        <v>4.9999999999998934E-3</v>
      </c>
    </row>
    <row r="21" spans="1:53" s="160" customFormat="1">
      <c r="A21" s="350"/>
      <c r="B21" s="649" t="s">
        <v>199</v>
      </c>
      <c r="C21" s="423">
        <v>0.92503800000000003</v>
      </c>
      <c r="D21" s="423">
        <v>1.0521020000000001</v>
      </c>
      <c r="E21" s="423">
        <v>1.104916</v>
      </c>
      <c r="F21" s="424">
        <v>1.0935410000000001</v>
      </c>
      <c r="G21" s="423">
        <v>1.0230030000000001</v>
      </c>
      <c r="H21" s="423">
        <v>1.141062</v>
      </c>
      <c r="I21" s="423">
        <v>1.1505700000000001</v>
      </c>
      <c r="J21" s="424">
        <v>1.006966</v>
      </c>
      <c r="K21" s="423">
        <v>0.95409600000000006</v>
      </c>
      <c r="L21" s="423">
        <v>1.0290360000000001</v>
      </c>
      <c r="M21" s="423">
        <v>1.1677200000000001</v>
      </c>
      <c r="N21" s="424">
        <v>1.1400429999999999</v>
      </c>
      <c r="O21" s="423">
        <v>1.0203549999999999</v>
      </c>
      <c r="P21" s="423">
        <v>1.2506969999999999</v>
      </c>
      <c r="Q21" s="423">
        <v>1.2096370000000001</v>
      </c>
      <c r="R21" s="424">
        <v>1.053974</v>
      </c>
      <c r="S21" s="423">
        <v>0.94764599999999999</v>
      </c>
      <c r="T21" s="423">
        <v>0.95455199999999996</v>
      </c>
      <c r="U21" s="423">
        <v>0.99168500000000004</v>
      </c>
      <c r="V21" s="424">
        <v>0.948986</v>
      </c>
      <c r="W21" s="423">
        <v>0.81777200000000005</v>
      </c>
      <c r="X21" s="423">
        <v>0.80261899999999997</v>
      </c>
      <c r="Y21" s="423">
        <v>0.78278599999999998</v>
      </c>
      <c r="Z21" s="424">
        <v>0.69175600000000004</v>
      </c>
      <c r="AA21" s="423">
        <v>0.61316400000000004</v>
      </c>
      <c r="AB21" s="423">
        <v>0.68410899999999997</v>
      </c>
      <c r="AC21" s="423">
        <v>0.69073600000000002</v>
      </c>
      <c r="AD21" s="425">
        <v>0.749139</v>
      </c>
      <c r="AE21" s="426">
        <v>0.73454600000000003</v>
      </c>
      <c r="AF21" s="426">
        <v>0.79471400000000003</v>
      </c>
      <c r="AG21" s="423">
        <v>0.86344399999999999</v>
      </c>
      <c r="AH21" s="424">
        <v>0.86607699999999999</v>
      </c>
      <c r="AI21" s="713">
        <v>0.82053799999999999</v>
      </c>
      <c r="AJ21" s="713">
        <v>1.000127</v>
      </c>
      <c r="AK21" s="713">
        <v>1.0492319999999999</v>
      </c>
      <c r="AL21" s="714">
        <v>0.94681599999999999</v>
      </c>
      <c r="AM21" s="350"/>
      <c r="AN21" s="427">
        <f>SUM(C21:F21)</f>
        <v>4.1755969999999998</v>
      </c>
      <c r="AO21" s="427">
        <f>SUM(G21:J21)</f>
        <v>4.3216010000000002</v>
      </c>
      <c r="AP21" s="427">
        <f>SUM(K21:N21)</f>
        <v>4.2908950000000008</v>
      </c>
      <c r="AQ21" s="427">
        <f>SUM(O21:R21)</f>
        <v>4.5346630000000001</v>
      </c>
      <c r="AR21" s="427">
        <f>SUM(S21:V21)</f>
        <v>3.8428689999999999</v>
      </c>
      <c r="AS21" s="427">
        <f>SUM(W21:Z21)</f>
        <v>3.0949330000000002</v>
      </c>
      <c r="AT21" s="427">
        <f>SUM(AA21:AD21)</f>
        <v>2.7371480000000004</v>
      </c>
      <c r="AU21" s="427">
        <f>SUM(AE21:AH21)</f>
        <v>3.2587809999999999</v>
      </c>
      <c r="AV21" s="427">
        <f>SUM(AI21:AL21)</f>
        <v>3.816713</v>
      </c>
      <c r="AW21" s="713">
        <v>4.1040590000000003</v>
      </c>
      <c r="AX21" s="713">
        <v>4.2126159999999997</v>
      </c>
      <c r="AY21" s="713">
        <v>4.4354180000000003</v>
      </c>
      <c r="AZ21" s="713">
        <v>4.7363799999999996</v>
      </c>
      <c r="BA21" s="713">
        <v>4.8382079999999998</v>
      </c>
    </row>
    <row r="22" spans="1:53" s="160" customFormat="1">
      <c r="A22" s="350"/>
      <c r="B22" s="650" t="s">
        <v>194</v>
      </c>
      <c r="C22" s="429"/>
      <c r="D22" s="429">
        <f t="shared" ref="D22:AL22" si="15">D21/C21-1</f>
        <v>0.13736084355453504</v>
      </c>
      <c r="E22" s="429">
        <f t="shared" si="15"/>
        <v>5.0198554892966651E-2</v>
      </c>
      <c r="F22" s="430">
        <f t="shared" si="15"/>
        <v>-1.0294900245810479E-2</v>
      </c>
      <c r="G22" s="429">
        <f t="shared" si="15"/>
        <v>-6.4504211547623758E-2</v>
      </c>
      <c r="H22" s="429">
        <f t="shared" si="15"/>
        <v>0.11540435365292168</v>
      </c>
      <c r="I22" s="429">
        <f t="shared" si="15"/>
        <v>8.3325884132501304E-3</v>
      </c>
      <c r="J22" s="430">
        <f t="shared" si="15"/>
        <v>-0.12481118054529494</v>
      </c>
      <c r="K22" s="429">
        <f t="shared" si="15"/>
        <v>-5.2504255357181839E-2</v>
      </c>
      <c r="L22" s="429">
        <f t="shared" si="15"/>
        <v>7.8545555164260206E-2</v>
      </c>
      <c r="M22" s="429">
        <f t="shared" si="15"/>
        <v>0.13477079519083879</v>
      </c>
      <c r="N22" s="430">
        <f t="shared" si="15"/>
        <v>-2.3701743568663836E-2</v>
      </c>
      <c r="O22" s="429">
        <f t="shared" si="15"/>
        <v>-0.10498551370430764</v>
      </c>
      <c r="P22" s="429">
        <f t="shared" si="15"/>
        <v>0.22574692141460573</v>
      </c>
      <c r="Q22" s="429">
        <f t="shared" si="15"/>
        <v>-3.2829694162534895E-2</v>
      </c>
      <c r="R22" s="430">
        <f t="shared" si="15"/>
        <v>-0.1286857131519622</v>
      </c>
      <c r="S22" s="429">
        <f t="shared" si="15"/>
        <v>-0.1008829439815403</v>
      </c>
      <c r="T22" s="429">
        <f t="shared" si="15"/>
        <v>7.2875314199605246E-3</v>
      </c>
      <c r="U22" s="429">
        <f t="shared" si="15"/>
        <v>3.8900971345720459E-2</v>
      </c>
      <c r="V22" s="430">
        <f t="shared" si="15"/>
        <v>-4.3057019113932338E-2</v>
      </c>
      <c r="W22" s="429">
        <f t="shared" si="15"/>
        <v>-0.13826758245116355</v>
      </c>
      <c r="X22" s="429">
        <f t="shared" si="15"/>
        <v>-1.8529614611407674E-2</v>
      </c>
      <c r="Y22" s="429">
        <f t="shared" si="15"/>
        <v>-2.4710354477030849E-2</v>
      </c>
      <c r="Z22" s="430">
        <f t="shared" si="15"/>
        <v>-0.11628976501879174</v>
      </c>
      <c r="AA22" s="429">
        <f t="shared" si="15"/>
        <v>-0.11361231416857964</v>
      </c>
      <c r="AB22" s="429">
        <f t="shared" si="15"/>
        <v>0.11570313977989555</v>
      </c>
      <c r="AC22" s="429">
        <f t="shared" si="15"/>
        <v>9.6870527942185536E-3</v>
      </c>
      <c r="AD22" s="430">
        <f t="shared" si="15"/>
        <v>8.4551840355794328E-2</v>
      </c>
      <c r="AE22" s="429">
        <f t="shared" si="15"/>
        <v>-1.9479696024369275E-2</v>
      </c>
      <c r="AF22" s="429">
        <f t="shared" si="15"/>
        <v>8.1911820362509546E-2</v>
      </c>
      <c r="AG22" s="429">
        <f t="shared" si="15"/>
        <v>8.6483942651066847E-2</v>
      </c>
      <c r="AH22" s="430">
        <f t="shared" si="15"/>
        <v>3.0494160594085606E-3</v>
      </c>
      <c r="AI22" s="429">
        <f t="shared" si="15"/>
        <v>-5.2580775150477432E-2</v>
      </c>
      <c r="AJ22" s="429">
        <f t="shared" si="15"/>
        <v>0.21886737725736038</v>
      </c>
      <c r="AK22" s="429">
        <f t="shared" si="15"/>
        <v>4.9098764456913857E-2</v>
      </c>
      <c r="AL22" s="430">
        <f t="shared" si="15"/>
        <v>-9.761044268569774E-2</v>
      </c>
      <c r="AM22" s="350"/>
      <c r="AN22" s="431"/>
      <c r="AO22" s="431"/>
      <c r="AP22" s="431"/>
      <c r="AQ22" s="431"/>
      <c r="AR22" s="431"/>
      <c r="AS22" s="431"/>
      <c r="AT22" s="431"/>
      <c r="AU22" s="431"/>
      <c r="AV22" s="418"/>
      <c r="AW22" s="418"/>
      <c r="AX22" s="418"/>
      <c r="AY22" s="418"/>
      <c r="AZ22" s="418"/>
      <c r="BA22" s="418"/>
    </row>
    <row r="23" spans="1:53" s="160" customFormat="1">
      <c r="A23" s="350"/>
      <c r="B23" s="650" t="s">
        <v>26</v>
      </c>
      <c r="C23" s="429"/>
      <c r="D23" s="429"/>
      <c r="E23" s="429"/>
      <c r="F23" s="430"/>
      <c r="G23" s="429">
        <f t="shared" ref="G23:AL23" si="16">G21/C21-1</f>
        <v>0.10590375746726099</v>
      </c>
      <c r="H23" s="429">
        <f t="shared" si="16"/>
        <v>8.4554539388766337E-2</v>
      </c>
      <c r="I23" s="429">
        <f t="shared" si="16"/>
        <v>4.1318978094262437E-2</v>
      </c>
      <c r="J23" s="430">
        <f t="shared" si="16"/>
        <v>-7.9169413858282467E-2</v>
      </c>
      <c r="K23" s="429">
        <f t="shared" si="16"/>
        <v>-6.7357573731455345E-2</v>
      </c>
      <c r="L23" s="429">
        <f t="shared" si="16"/>
        <v>-9.8176961462216772E-2</v>
      </c>
      <c r="M23" s="429">
        <f t="shared" si="16"/>
        <v>1.4905655457729594E-2</v>
      </c>
      <c r="N23" s="430">
        <f t="shared" si="16"/>
        <v>0.13215639852785488</v>
      </c>
      <c r="O23" s="429">
        <f t="shared" si="16"/>
        <v>6.9446890040415044E-2</v>
      </c>
      <c r="P23" s="429">
        <f t="shared" si="16"/>
        <v>0.215406458083099</v>
      </c>
      <c r="Q23" s="429">
        <f t="shared" si="16"/>
        <v>3.5896447778577034E-2</v>
      </c>
      <c r="R23" s="430">
        <f t="shared" si="16"/>
        <v>-7.5496275140499058E-2</v>
      </c>
      <c r="S23" s="429">
        <f t="shared" si="16"/>
        <v>-7.125853256954684E-2</v>
      </c>
      <c r="T23" s="429">
        <f t="shared" si="16"/>
        <v>-0.23678396925874134</v>
      </c>
      <c r="U23" s="429">
        <f t="shared" si="16"/>
        <v>-0.18017967373683186</v>
      </c>
      <c r="V23" s="430">
        <f t="shared" si="16"/>
        <v>-9.961156537068272E-2</v>
      </c>
      <c r="W23" s="429">
        <f t="shared" si="16"/>
        <v>-0.13704906684563634</v>
      </c>
      <c r="X23" s="429">
        <f t="shared" si="16"/>
        <v>-0.15916681333232763</v>
      </c>
      <c r="Y23" s="429">
        <f t="shared" si="16"/>
        <v>-0.21065055940142285</v>
      </c>
      <c r="Z23" s="430">
        <f t="shared" si="16"/>
        <v>-0.27105773952408141</v>
      </c>
      <c r="AA23" s="429">
        <f t="shared" si="16"/>
        <v>-0.25020176772988068</v>
      </c>
      <c r="AB23" s="429">
        <f t="shared" si="16"/>
        <v>-0.14765411733337985</v>
      </c>
      <c r="AC23" s="429">
        <f t="shared" si="16"/>
        <v>-0.11759280314159937</v>
      </c>
      <c r="AD23" s="430">
        <f t="shared" si="16"/>
        <v>8.2952659608301227E-2</v>
      </c>
      <c r="AE23" s="429">
        <f t="shared" si="16"/>
        <v>0.19796008898108819</v>
      </c>
      <c r="AF23" s="429">
        <f t="shared" si="16"/>
        <v>0.16167745198499084</v>
      </c>
      <c r="AG23" s="429">
        <f t="shared" si="16"/>
        <v>0.25003474554677907</v>
      </c>
      <c r="AH23" s="430">
        <f t="shared" si="16"/>
        <v>0.15609653215224406</v>
      </c>
      <c r="AI23" s="429">
        <f t="shared" si="16"/>
        <v>0.11706822989982912</v>
      </c>
      <c r="AJ23" s="429">
        <f t="shared" si="16"/>
        <v>0.25847411773292017</v>
      </c>
      <c r="AK23" s="429">
        <f t="shared" si="16"/>
        <v>0.21517087384937517</v>
      </c>
      <c r="AL23" s="430">
        <f t="shared" si="16"/>
        <v>9.3223812663308259E-2</v>
      </c>
      <c r="AM23" s="350"/>
      <c r="AN23" s="420"/>
      <c r="AO23" s="429">
        <f>AO21/AN21-1</f>
        <v>3.4966018032870583E-2</v>
      </c>
      <c r="AP23" s="429">
        <f t="shared" ref="AP23:BA23" si="17">AP21/AO21-1</f>
        <v>-7.1052371563222749E-3</v>
      </c>
      <c r="AQ23" s="429">
        <f t="shared" si="17"/>
        <v>5.6810525543039114E-2</v>
      </c>
      <c r="AR23" s="429">
        <f t="shared" si="17"/>
        <v>-0.15255687137059581</v>
      </c>
      <c r="AS23" s="429">
        <f t="shared" si="17"/>
        <v>-0.19462958534365848</v>
      </c>
      <c r="AT23" s="429">
        <f t="shared" si="17"/>
        <v>-0.11560347186837316</v>
      </c>
      <c r="AU23" s="429">
        <f t="shared" si="17"/>
        <v>0.19057537261412216</v>
      </c>
      <c r="AV23" s="429">
        <f t="shared" si="17"/>
        <v>0.17120880476472644</v>
      </c>
      <c r="AW23" s="429">
        <f t="shared" si="17"/>
        <v>7.5286247616731972E-2</v>
      </c>
      <c r="AX23" s="429">
        <f t="shared" si="17"/>
        <v>2.6451130454021143E-2</v>
      </c>
      <c r="AY23" s="429">
        <f t="shared" si="17"/>
        <v>5.2889226077098117E-2</v>
      </c>
      <c r="AZ23" s="429">
        <f t="shared" si="17"/>
        <v>6.7854258606516726E-2</v>
      </c>
      <c r="BA23" s="429">
        <f t="shared" si="17"/>
        <v>2.1499119580776993E-2</v>
      </c>
    </row>
    <row r="24" spans="1:53" s="160" customFormat="1">
      <c r="A24" s="350"/>
      <c r="B24" s="649" t="s">
        <v>200</v>
      </c>
      <c r="C24" s="423">
        <v>1.5747420000000001</v>
      </c>
      <c r="D24" s="423">
        <v>1.580605</v>
      </c>
      <c r="E24" s="423">
        <v>1.715015</v>
      </c>
      <c r="F24" s="424">
        <v>1.754923</v>
      </c>
      <c r="G24" s="423">
        <v>1.9170940000000001</v>
      </c>
      <c r="H24" s="423">
        <v>1.6193139999999999</v>
      </c>
      <c r="I24" s="423">
        <v>1.836363</v>
      </c>
      <c r="J24" s="424">
        <v>1.484164</v>
      </c>
      <c r="K24" s="423">
        <v>2.0292620000000001</v>
      </c>
      <c r="L24" s="423">
        <v>2.0292650000000001</v>
      </c>
      <c r="M24" s="423">
        <v>2.0265240000000002</v>
      </c>
      <c r="N24" s="424">
        <v>2.1720809999999999</v>
      </c>
      <c r="O24" s="423">
        <v>2.2517879999999999</v>
      </c>
      <c r="P24" s="423">
        <v>1.997663</v>
      </c>
      <c r="Q24" s="423">
        <v>2.012121</v>
      </c>
      <c r="R24" s="424">
        <v>1.936928</v>
      </c>
      <c r="S24" s="423">
        <v>2.036546</v>
      </c>
      <c r="T24" s="423">
        <v>1.8945749999999999</v>
      </c>
      <c r="U24" s="423">
        <v>1.946345</v>
      </c>
      <c r="V24" s="424">
        <v>1.8980760000000001</v>
      </c>
      <c r="W24" s="423">
        <v>2.0698349999999999</v>
      </c>
      <c r="X24" s="423">
        <v>1.9030750000000001</v>
      </c>
      <c r="Y24" s="423">
        <v>2.0354920000000001</v>
      </c>
      <c r="Z24" s="424">
        <v>1.9707650000000001</v>
      </c>
      <c r="AA24" s="423">
        <v>2.0999439999999998</v>
      </c>
      <c r="AB24" s="423">
        <v>2.0414829999999999</v>
      </c>
      <c r="AC24" s="423">
        <v>2.1628729999999998</v>
      </c>
      <c r="AD24" s="425">
        <v>2.124463</v>
      </c>
      <c r="AE24" s="426">
        <v>2.2052339999999999</v>
      </c>
      <c r="AF24" s="426">
        <v>2.0472769999999998</v>
      </c>
      <c r="AG24" s="423">
        <v>2.2756810000000001</v>
      </c>
      <c r="AH24" s="424">
        <v>2.1362739999999998</v>
      </c>
      <c r="AI24" s="713">
        <v>2.2876180000000002</v>
      </c>
      <c r="AJ24" s="713">
        <v>2.2051500000000002</v>
      </c>
      <c r="AK24" s="713">
        <v>2.3248250000000001</v>
      </c>
      <c r="AL24" s="714">
        <v>2.2709329999999999</v>
      </c>
      <c r="AM24" s="350"/>
      <c r="AN24" s="427">
        <f>SUM(C24:F24)</f>
        <v>6.6252849999999999</v>
      </c>
      <c r="AO24" s="427">
        <f>SUM(G24:J24)</f>
        <v>6.856935</v>
      </c>
      <c r="AP24" s="427">
        <f>SUM(K24:N24)</f>
        <v>8.2571320000000004</v>
      </c>
      <c r="AQ24" s="427">
        <f>SUM(O24:R24)</f>
        <v>8.1984999999999992</v>
      </c>
      <c r="AR24" s="427">
        <f>SUM(S24:V24)</f>
        <v>7.7755419999999997</v>
      </c>
      <c r="AS24" s="427">
        <f>SUM(W24:Z24)</f>
        <v>7.9791670000000003</v>
      </c>
      <c r="AT24" s="427">
        <f>SUM(AA24:AD24)</f>
        <v>8.428763</v>
      </c>
      <c r="AU24" s="427">
        <f>SUM(AE24:AH24)</f>
        <v>8.6644660000000009</v>
      </c>
      <c r="AV24" s="427">
        <f>SUM(AI24:AL24)</f>
        <v>9.0885259999999999</v>
      </c>
      <c r="AW24" s="713">
        <v>9.63035</v>
      </c>
      <c r="AX24" s="713">
        <v>10.423813000000001</v>
      </c>
      <c r="AY24" s="713">
        <v>11.000883</v>
      </c>
      <c r="AZ24" s="713">
        <v>11.729540999999999</v>
      </c>
      <c r="BA24" s="713">
        <v>12.375771</v>
      </c>
    </row>
    <row r="25" spans="1:53" s="160" customFormat="1">
      <c r="A25" s="350"/>
      <c r="B25" s="650" t="s">
        <v>194</v>
      </c>
      <c r="C25" s="429"/>
      <c r="D25" s="429">
        <f t="shared" ref="D25:AL25" si="18">D24/C24-1</f>
        <v>3.7231495698977213E-3</v>
      </c>
      <c r="E25" s="429">
        <f t="shared" si="18"/>
        <v>8.5037058594652049E-2</v>
      </c>
      <c r="F25" s="430">
        <f t="shared" si="18"/>
        <v>2.3269767319819445E-2</v>
      </c>
      <c r="G25" s="429">
        <f t="shared" si="18"/>
        <v>9.2409182625106556E-2</v>
      </c>
      <c r="H25" s="429">
        <f t="shared" si="18"/>
        <v>-0.15532884668148783</v>
      </c>
      <c r="I25" s="429">
        <f t="shared" si="18"/>
        <v>0.13403762333926594</v>
      </c>
      <c r="J25" s="430">
        <f t="shared" si="18"/>
        <v>-0.19179160111590132</v>
      </c>
      <c r="K25" s="429">
        <f t="shared" si="18"/>
        <v>0.36727612312385971</v>
      </c>
      <c r="L25" s="429">
        <f t="shared" si="18"/>
        <v>1.4783699688880603E-6</v>
      </c>
      <c r="M25" s="429">
        <f t="shared" si="18"/>
        <v>-1.3507353647749243E-3</v>
      </c>
      <c r="N25" s="430">
        <f t="shared" si="18"/>
        <v>7.1825944326343816E-2</v>
      </c>
      <c r="O25" s="429">
        <f t="shared" si="18"/>
        <v>3.6696145309498052E-2</v>
      </c>
      <c r="P25" s="429">
        <f t="shared" si="18"/>
        <v>-0.11285476252649007</v>
      </c>
      <c r="Q25" s="429">
        <f t="shared" si="18"/>
        <v>7.2374569684676704E-3</v>
      </c>
      <c r="R25" s="430">
        <f t="shared" si="18"/>
        <v>-3.7370018999851484E-2</v>
      </c>
      <c r="S25" s="429">
        <f t="shared" si="18"/>
        <v>5.1430925671992034E-2</v>
      </c>
      <c r="T25" s="429">
        <f t="shared" si="18"/>
        <v>-6.971165885769337E-2</v>
      </c>
      <c r="U25" s="429">
        <f t="shared" si="18"/>
        <v>2.732538959925046E-2</v>
      </c>
      <c r="V25" s="430">
        <f t="shared" si="18"/>
        <v>-2.4799817093064114E-2</v>
      </c>
      <c r="W25" s="429">
        <f t="shared" si="18"/>
        <v>9.049110783762071E-2</v>
      </c>
      <c r="X25" s="429">
        <f t="shared" si="18"/>
        <v>-8.0566808465408979E-2</v>
      </c>
      <c r="Y25" s="429">
        <f t="shared" si="18"/>
        <v>6.9580547272177995E-2</v>
      </c>
      <c r="Z25" s="430">
        <f t="shared" si="18"/>
        <v>-3.1799191546810324E-2</v>
      </c>
      <c r="AA25" s="429">
        <f t="shared" si="18"/>
        <v>6.5547642666680117E-2</v>
      </c>
      <c r="AB25" s="429">
        <f t="shared" si="18"/>
        <v>-2.7839313810272937E-2</v>
      </c>
      <c r="AC25" s="429">
        <f t="shared" si="18"/>
        <v>5.9461675654413959E-2</v>
      </c>
      <c r="AD25" s="430">
        <f t="shared" si="18"/>
        <v>-1.7758786576927976E-2</v>
      </c>
      <c r="AE25" s="429">
        <f t="shared" si="18"/>
        <v>3.8019490101733888E-2</v>
      </c>
      <c r="AF25" s="429">
        <f t="shared" si="18"/>
        <v>-7.1628226301607922E-2</v>
      </c>
      <c r="AG25" s="429">
        <f t="shared" si="18"/>
        <v>0.11156477604154214</v>
      </c>
      <c r="AH25" s="430">
        <f t="shared" si="18"/>
        <v>-6.1259464749233383E-2</v>
      </c>
      <c r="AI25" s="429">
        <f t="shared" si="18"/>
        <v>7.0844844809233365E-2</v>
      </c>
      <c r="AJ25" s="429">
        <f t="shared" si="18"/>
        <v>-3.6049725085219642E-2</v>
      </c>
      <c r="AK25" s="429">
        <f t="shared" si="18"/>
        <v>5.4270684533932023E-2</v>
      </c>
      <c r="AL25" s="430">
        <f t="shared" si="18"/>
        <v>-2.3181099652662129E-2</v>
      </c>
      <c r="AM25" s="350"/>
      <c r="AN25" s="431"/>
      <c r="AO25" s="431"/>
      <c r="AP25" s="431"/>
      <c r="AQ25" s="431"/>
      <c r="AR25" s="431"/>
      <c r="AS25" s="431"/>
      <c r="AT25" s="431"/>
      <c r="AU25" s="431"/>
      <c r="AV25" s="418"/>
      <c r="AW25" s="418"/>
      <c r="AX25" s="418"/>
      <c r="AY25" s="418"/>
      <c r="AZ25" s="418"/>
      <c r="BA25" s="418"/>
    </row>
    <row r="26" spans="1:53" s="160" customFormat="1">
      <c r="A26" s="350"/>
      <c r="B26" s="650" t="s">
        <v>26</v>
      </c>
      <c r="C26" s="429"/>
      <c r="D26" s="429"/>
      <c r="E26" s="429"/>
      <c r="F26" s="430"/>
      <c r="G26" s="429">
        <f t="shared" ref="G26:AL26" si="19">G24/C24-1</f>
        <v>0.2174019617181735</v>
      </c>
      <c r="H26" s="429">
        <f t="shared" si="19"/>
        <v>2.4489989592592742E-2</v>
      </c>
      <c r="I26" s="429">
        <f t="shared" si="19"/>
        <v>7.075623245277729E-2</v>
      </c>
      <c r="J26" s="430">
        <f t="shared" si="19"/>
        <v>-0.15428540169568694</v>
      </c>
      <c r="K26" s="429">
        <f t="shared" si="19"/>
        <v>5.8509389732584793E-2</v>
      </c>
      <c r="L26" s="429">
        <f t="shared" si="19"/>
        <v>0.25316337659033405</v>
      </c>
      <c r="M26" s="429">
        <f t="shared" si="19"/>
        <v>0.10355305568670259</v>
      </c>
      <c r="N26" s="430">
        <f t="shared" si="19"/>
        <v>0.46350470702698621</v>
      </c>
      <c r="O26" s="429">
        <f t="shared" si="19"/>
        <v>0.10965858523936278</v>
      </c>
      <c r="P26" s="429">
        <f t="shared" si="19"/>
        <v>-1.5573126230433276E-2</v>
      </c>
      <c r="Q26" s="429">
        <f t="shared" si="19"/>
        <v>-7.1072437336050509E-3</v>
      </c>
      <c r="R26" s="430">
        <f t="shared" si="19"/>
        <v>-0.10826161639460041</v>
      </c>
      <c r="S26" s="429">
        <f t="shared" si="19"/>
        <v>-9.5587151188300079E-2</v>
      </c>
      <c r="T26" s="429">
        <f t="shared" si="19"/>
        <v>-5.1604299624110839E-2</v>
      </c>
      <c r="U26" s="429">
        <f t="shared" si="19"/>
        <v>-3.268988296429487E-2</v>
      </c>
      <c r="V26" s="430">
        <f t="shared" si="19"/>
        <v>-2.0058566967899649E-2</v>
      </c>
      <c r="W26" s="429">
        <f t="shared" si="19"/>
        <v>1.6345812959785766E-2</v>
      </c>
      <c r="X26" s="429">
        <f t="shared" si="19"/>
        <v>4.4864943325020334E-3</v>
      </c>
      <c r="Y26" s="429">
        <f t="shared" si="19"/>
        <v>4.5802260133738004E-2</v>
      </c>
      <c r="Z26" s="430">
        <f t="shared" si="19"/>
        <v>3.8296148310183575E-2</v>
      </c>
      <c r="AA26" s="429">
        <f t="shared" si="19"/>
        <v>1.454657013723315E-2</v>
      </c>
      <c r="AB26" s="429">
        <f t="shared" si="19"/>
        <v>7.272861027547517E-2</v>
      </c>
      <c r="AC26" s="429">
        <f t="shared" si="19"/>
        <v>6.2579956099065859E-2</v>
      </c>
      <c r="AD26" s="430">
        <f t="shared" si="19"/>
        <v>7.7989004269915396E-2</v>
      </c>
      <c r="AE26" s="429">
        <f t="shared" si="19"/>
        <v>5.0139432289622921E-2</v>
      </c>
      <c r="AF26" s="429">
        <f t="shared" si="19"/>
        <v>2.8381328671363004E-3</v>
      </c>
      <c r="AG26" s="429">
        <f t="shared" si="19"/>
        <v>5.2156552881283513E-2</v>
      </c>
      <c r="AH26" s="430">
        <f t="shared" si="19"/>
        <v>5.5595225711155827E-3</v>
      </c>
      <c r="AI26" s="429">
        <f t="shared" si="19"/>
        <v>3.735839371241334E-2</v>
      </c>
      <c r="AJ26" s="429">
        <f t="shared" si="19"/>
        <v>7.7113649007926277E-2</v>
      </c>
      <c r="AK26" s="429">
        <f t="shared" si="19"/>
        <v>2.1595293892245904E-2</v>
      </c>
      <c r="AL26" s="430">
        <f t="shared" si="19"/>
        <v>6.3034517107824151E-2</v>
      </c>
      <c r="AM26" s="350"/>
      <c r="AN26" s="420"/>
      <c r="AO26" s="429">
        <f>AO24/AN24-1</f>
        <v>3.4964533601196113E-2</v>
      </c>
      <c r="AP26" s="429">
        <f t="shared" ref="AP26:BA26" si="20">AP24/AO24-1</f>
        <v>0.20420158569389968</v>
      </c>
      <c r="AQ26" s="429">
        <f t="shared" si="20"/>
        <v>-7.1007705823282752E-3</v>
      </c>
      <c r="AR26" s="429">
        <f t="shared" si="20"/>
        <v>-5.1589681039214463E-2</v>
      </c>
      <c r="AS26" s="429">
        <f t="shared" si="20"/>
        <v>2.6187885037467495E-2</v>
      </c>
      <c r="AT26" s="429">
        <f t="shared" si="20"/>
        <v>5.6346232633055493E-2</v>
      </c>
      <c r="AU26" s="429">
        <f t="shared" si="20"/>
        <v>2.7964127120432947E-2</v>
      </c>
      <c r="AV26" s="429">
        <f t="shared" si="20"/>
        <v>4.8942427611811112E-2</v>
      </c>
      <c r="AW26" s="429">
        <f t="shared" si="20"/>
        <v>5.9616267808443313E-2</v>
      </c>
      <c r="AX26" s="429">
        <f t="shared" si="20"/>
        <v>8.2391917220038913E-2</v>
      </c>
      <c r="AY26" s="429">
        <f t="shared" si="20"/>
        <v>5.5360739875130127E-2</v>
      </c>
      <c r="AZ26" s="429">
        <f t="shared" si="20"/>
        <v>6.6236319393634169E-2</v>
      </c>
      <c r="BA26" s="429">
        <f t="shared" si="20"/>
        <v>5.5094227472328283E-2</v>
      </c>
    </row>
    <row r="27" spans="1:53" s="160" customFormat="1">
      <c r="B27" s="651" t="s">
        <v>201</v>
      </c>
      <c r="C27" s="433">
        <f t="shared" ref="C27:AU27" si="21">C6+C9+C12+C15+C18+C21+C24</f>
        <v>18.306341</v>
      </c>
      <c r="D27" s="433">
        <f t="shared" si="21"/>
        <v>18.629169999999998</v>
      </c>
      <c r="E27" s="433">
        <f t="shared" si="21"/>
        <v>17.868556000000002</v>
      </c>
      <c r="F27" s="434">
        <f t="shared" si="21"/>
        <v>19.564369000000003</v>
      </c>
      <c r="G27" s="433">
        <f t="shared" si="21"/>
        <v>19.660230999999996</v>
      </c>
      <c r="H27" s="433">
        <f t="shared" si="21"/>
        <v>18.376470000000001</v>
      </c>
      <c r="I27" s="433">
        <f t="shared" si="21"/>
        <v>18.798199999999998</v>
      </c>
      <c r="J27" s="434">
        <f t="shared" si="21"/>
        <v>20.046359000000002</v>
      </c>
      <c r="K27" s="433">
        <f t="shared" si="21"/>
        <v>21.089046999999997</v>
      </c>
      <c r="L27" s="433">
        <f t="shared" si="21"/>
        <v>20.603432000000002</v>
      </c>
      <c r="M27" s="433">
        <f t="shared" si="21"/>
        <v>19.296925999999999</v>
      </c>
      <c r="N27" s="434">
        <f t="shared" si="21"/>
        <v>20.467359999999996</v>
      </c>
      <c r="O27" s="433">
        <f t="shared" si="21"/>
        <v>21.105332000000001</v>
      </c>
      <c r="P27" s="433">
        <f t="shared" si="21"/>
        <v>21.401049999999998</v>
      </c>
      <c r="Q27" s="433">
        <f t="shared" si="21"/>
        <v>20.270735000000002</v>
      </c>
      <c r="R27" s="434">
        <f t="shared" si="21"/>
        <v>21.968327000000002</v>
      </c>
      <c r="S27" s="433">
        <f t="shared" si="21"/>
        <v>22.201998000000003</v>
      </c>
      <c r="T27" s="433">
        <f t="shared" si="21"/>
        <v>22.182492999999997</v>
      </c>
      <c r="U27" s="433">
        <f t="shared" si="21"/>
        <v>20.698208000000001</v>
      </c>
      <c r="V27" s="434">
        <f t="shared" si="21"/>
        <v>22.348688000000003</v>
      </c>
      <c r="W27" s="433">
        <f t="shared" si="21"/>
        <v>22.653890000000004</v>
      </c>
      <c r="X27" s="433">
        <f t="shared" si="21"/>
        <v>22.259105000000002</v>
      </c>
      <c r="Y27" s="433">
        <f t="shared" si="21"/>
        <v>20.539836000000001</v>
      </c>
      <c r="Z27" s="434">
        <f t="shared" si="21"/>
        <v>23.337847</v>
      </c>
      <c r="AA27" s="433">
        <f t="shared" si="21"/>
        <v>23.035472000000002</v>
      </c>
      <c r="AB27" s="433">
        <f t="shared" si="21"/>
        <v>23.018225000000001</v>
      </c>
      <c r="AC27" s="433">
        <f t="shared" si="21"/>
        <v>21.961635000000005</v>
      </c>
      <c r="AD27" s="435">
        <f t="shared" si="21"/>
        <v>25.104448999999999</v>
      </c>
      <c r="AE27" s="436">
        <f t="shared" si="21"/>
        <v>24.328992000000003</v>
      </c>
      <c r="AF27" s="436">
        <f t="shared" si="21"/>
        <v>23.036331999999998</v>
      </c>
      <c r="AG27" s="433">
        <f t="shared" si="21"/>
        <v>22.436352999999997</v>
      </c>
      <c r="AH27" s="434">
        <f t="shared" ref="AH27" si="22">AH6+AH9+AH12+AH15+AH18+AH21+AH24</f>
        <v>25.369181000000001</v>
      </c>
      <c r="AI27" s="436">
        <f t="shared" ref="AI27:AL27" si="23">AI6+AI9+AI12+AI15+AI18+AI21+AI24</f>
        <v>24.124794000000001</v>
      </c>
      <c r="AJ27" s="436">
        <f t="shared" si="23"/>
        <v>23.924361999999999</v>
      </c>
      <c r="AK27" s="436">
        <f t="shared" si="23"/>
        <v>22.891689999999997</v>
      </c>
      <c r="AL27" s="435">
        <f t="shared" si="23"/>
        <v>25.469273999999999</v>
      </c>
      <c r="AM27" s="350"/>
      <c r="AN27" s="436">
        <f t="shared" si="21"/>
        <v>74.368435999999988</v>
      </c>
      <c r="AO27" s="436">
        <f t="shared" si="21"/>
        <v>76.881259999999997</v>
      </c>
      <c r="AP27" s="436">
        <f t="shared" si="21"/>
        <v>81.456765000000004</v>
      </c>
      <c r="AQ27" s="436">
        <f t="shared" si="21"/>
        <v>84.745443999999992</v>
      </c>
      <c r="AR27" s="436">
        <f t="shared" si="21"/>
        <v>87.431386999999987</v>
      </c>
      <c r="AS27" s="436">
        <f t="shared" si="21"/>
        <v>88.790678</v>
      </c>
      <c r="AT27" s="436">
        <f t="shared" si="21"/>
        <v>93.119781000000003</v>
      </c>
      <c r="AU27" s="436">
        <f t="shared" si="21"/>
        <v>95.17085800000001</v>
      </c>
      <c r="AV27" s="436">
        <f t="shared" ref="AV27:BA27" si="24">AV6+AV9+AV12+AV15+AV18+AV21+AV24</f>
        <v>96.410119999999978</v>
      </c>
      <c r="AW27" s="436">
        <f t="shared" si="24"/>
        <v>98.101167000000004</v>
      </c>
      <c r="AX27" s="436">
        <f t="shared" si="24"/>
        <v>99.984962999999993</v>
      </c>
      <c r="AY27" s="436">
        <f t="shared" si="24"/>
        <v>102.281319</v>
      </c>
      <c r="AZ27" s="436">
        <f t="shared" si="24"/>
        <v>104.31237900000001</v>
      </c>
      <c r="BA27" s="436">
        <f t="shared" si="24"/>
        <v>105.908468</v>
      </c>
    </row>
    <row r="28" spans="1:53" s="160" customFormat="1">
      <c r="A28" s="350"/>
      <c r="B28" s="650" t="s">
        <v>194</v>
      </c>
      <c r="C28" s="429"/>
      <c r="D28" s="429">
        <f t="shared" ref="D28:AL28" si="25">D27/C27-1</f>
        <v>1.7634818448973411E-2</v>
      </c>
      <c r="E28" s="429">
        <f t="shared" si="25"/>
        <v>-4.0829194215308395E-2</v>
      </c>
      <c r="F28" s="430">
        <f t="shared" si="25"/>
        <v>9.4904870880444969E-2</v>
      </c>
      <c r="G28" s="429">
        <f t="shared" si="25"/>
        <v>4.8998258006682782E-3</v>
      </c>
      <c r="H28" s="429">
        <f t="shared" si="25"/>
        <v>-6.529735077883847E-2</v>
      </c>
      <c r="I28" s="429">
        <f t="shared" si="25"/>
        <v>2.2949456560481751E-2</v>
      </c>
      <c r="J28" s="430">
        <f t="shared" si="25"/>
        <v>6.6397793405751804E-2</v>
      </c>
      <c r="K28" s="429">
        <f t="shared" si="25"/>
        <v>5.2013834532245617E-2</v>
      </c>
      <c r="L28" s="429">
        <f t="shared" si="25"/>
        <v>-2.3026882153565076E-2</v>
      </c>
      <c r="M28" s="429">
        <f t="shared" si="25"/>
        <v>-6.3412056787432447E-2</v>
      </c>
      <c r="N28" s="430">
        <f t="shared" si="25"/>
        <v>6.065390933250181E-2</v>
      </c>
      <c r="O28" s="429">
        <f t="shared" si="25"/>
        <v>3.1170214429218301E-2</v>
      </c>
      <c r="P28" s="429">
        <f t="shared" si="25"/>
        <v>1.4011530356404567E-2</v>
      </c>
      <c r="Q28" s="429">
        <f t="shared" si="25"/>
        <v>-5.2815866511222387E-2</v>
      </c>
      <c r="R28" s="430">
        <f t="shared" si="25"/>
        <v>8.3745951984474098E-2</v>
      </c>
      <c r="S28" s="429">
        <f t="shared" si="25"/>
        <v>1.0636722587022751E-2</v>
      </c>
      <c r="T28" s="429">
        <f t="shared" si="25"/>
        <v>-8.7852453639558625E-4</v>
      </c>
      <c r="U28" s="429">
        <f t="shared" si="25"/>
        <v>-6.6912452085525098E-2</v>
      </c>
      <c r="V28" s="430">
        <f t="shared" si="25"/>
        <v>7.9740236449455049E-2</v>
      </c>
      <c r="W28" s="429">
        <f t="shared" si="25"/>
        <v>1.365637213244919E-2</v>
      </c>
      <c r="X28" s="429">
        <f t="shared" si="25"/>
        <v>-1.7426808375956671E-2</v>
      </c>
      <c r="Y28" s="429">
        <f t="shared" si="25"/>
        <v>-7.7238909650680032E-2</v>
      </c>
      <c r="Z28" s="430">
        <f t="shared" si="25"/>
        <v>0.13622362904942364</v>
      </c>
      <c r="AA28" s="429">
        <f t="shared" si="25"/>
        <v>-1.2956422244091215E-2</v>
      </c>
      <c r="AB28" s="429">
        <f t="shared" si="25"/>
        <v>-7.4871485159933027E-4</v>
      </c>
      <c r="AC28" s="429">
        <f t="shared" si="25"/>
        <v>-4.5902323050539096E-2</v>
      </c>
      <c r="AD28" s="430">
        <f t="shared" si="25"/>
        <v>0.14310473696516657</v>
      </c>
      <c r="AE28" s="429">
        <f t="shared" si="25"/>
        <v>-3.0889226049135576E-2</v>
      </c>
      <c r="AF28" s="429">
        <f t="shared" si="25"/>
        <v>-5.3132493117676427E-2</v>
      </c>
      <c r="AG28" s="429">
        <f t="shared" si="25"/>
        <v>-2.6044901592840453E-2</v>
      </c>
      <c r="AH28" s="430">
        <f t="shared" si="25"/>
        <v>0.13071767947313018</v>
      </c>
      <c r="AI28" s="429">
        <f t="shared" si="25"/>
        <v>-4.9051130188239034E-2</v>
      </c>
      <c r="AJ28" s="429">
        <f t="shared" si="25"/>
        <v>-8.3081331181523721E-3</v>
      </c>
      <c r="AK28" s="429">
        <f t="shared" si="25"/>
        <v>-4.3164035053473992E-2</v>
      </c>
      <c r="AL28" s="430">
        <f t="shared" si="25"/>
        <v>0.11259911347742357</v>
      </c>
      <c r="AM28" s="350"/>
      <c r="AN28" s="420"/>
      <c r="AO28" s="420"/>
      <c r="AP28" s="420"/>
      <c r="AQ28" s="420"/>
      <c r="AR28" s="421"/>
      <c r="AS28" s="418"/>
      <c r="AT28" s="418"/>
      <c r="AU28" s="418"/>
      <c r="AV28" s="418"/>
      <c r="AW28" s="418"/>
      <c r="AX28" s="418"/>
      <c r="AY28" s="418"/>
      <c r="AZ28" s="418"/>
      <c r="BA28" s="418"/>
    </row>
    <row r="29" spans="1:53" s="160" customFormat="1">
      <c r="A29" s="350"/>
      <c r="B29" s="650" t="s">
        <v>26</v>
      </c>
      <c r="C29" s="429"/>
      <c r="D29" s="429"/>
      <c r="E29" s="429"/>
      <c r="F29" s="430"/>
      <c r="G29" s="429">
        <f t="shared" ref="G29:AL29" si="26">G27/C27-1</f>
        <v>7.3957433656457905E-2</v>
      </c>
      <c r="H29" s="429">
        <f t="shared" si="26"/>
        <v>-1.3564748187922304E-2</v>
      </c>
      <c r="I29" s="429">
        <f t="shared" si="26"/>
        <v>5.2026811791618499E-2</v>
      </c>
      <c r="J29" s="430">
        <f t="shared" si="26"/>
        <v>2.4636112721038828E-2</v>
      </c>
      <c r="K29" s="429">
        <f t="shared" si="26"/>
        <v>7.2675443131873685E-2</v>
      </c>
      <c r="L29" s="429">
        <f t="shared" si="26"/>
        <v>0.12118551604307037</v>
      </c>
      <c r="M29" s="429">
        <f t="shared" si="26"/>
        <v>2.6530518879467335E-2</v>
      </c>
      <c r="N29" s="430">
        <f t="shared" si="26"/>
        <v>2.1001369874698694E-2</v>
      </c>
      <c r="O29" s="429">
        <f t="shared" si="26"/>
        <v>7.7220179745451922E-4</v>
      </c>
      <c r="P29" s="429">
        <f t="shared" si="26"/>
        <v>3.8712870748911943E-2</v>
      </c>
      <c r="Q29" s="429">
        <f t="shared" si="26"/>
        <v>5.0464462578132974E-2</v>
      </c>
      <c r="R29" s="430">
        <f t="shared" si="26"/>
        <v>7.3334665535760735E-2</v>
      </c>
      <c r="S29" s="429">
        <f t="shared" si="26"/>
        <v>5.1961561182738203E-2</v>
      </c>
      <c r="T29" s="429">
        <f t="shared" si="26"/>
        <v>3.6514236451015147E-2</v>
      </c>
      <c r="U29" s="429">
        <f t="shared" si="26"/>
        <v>2.1088184518222919E-2</v>
      </c>
      <c r="V29" s="430">
        <f t="shared" si="26"/>
        <v>1.731406310548822E-2</v>
      </c>
      <c r="W29" s="429">
        <f t="shared" si="26"/>
        <v>2.035366366576552E-2</v>
      </c>
      <c r="X29" s="429">
        <f t="shared" si="26"/>
        <v>3.4537146027726617E-3</v>
      </c>
      <c r="Y29" s="429">
        <f t="shared" si="26"/>
        <v>-7.6514836453475121E-3</v>
      </c>
      <c r="Z29" s="430">
        <f t="shared" si="26"/>
        <v>4.4260271564934728E-2</v>
      </c>
      <c r="AA29" s="429">
        <f t="shared" si="26"/>
        <v>1.6843994563406017E-2</v>
      </c>
      <c r="AB29" s="429">
        <f t="shared" si="26"/>
        <v>3.4103797075399012E-2</v>
      </c>
      <c r="AC29" s="429">
        <f t="shared" si="26"/>
        <v>6.922153614079507E-2</v>
      </c>
      <c r="AD29" s="430">
        <f t="shared" si="26"/>
        <v>7.5696871266659693E-2</v>
      </c>
      <c r="AE29" s="429">
        <f t="shared" si="26"/>
        <v>5.615339681340159E-2</v>
      </c>
      <c r="AF29" s="429">
        <f t="shared" si="26"/>
        <v>7.8663754481489434E-4</v>
      </c>
      <c r="AG29" s="429">
        <f t="shared" si="26"/>
        <v>2.1615785892079131E-2</v>
      </c>
      <c r="AH29" s="430">
        <f t="shared" si="26"/>
        <v>1.0545222482277961E-2</v>
      </c>
      <c r="AI29" s="429">
        <f t="shared" si="26"/>
        <v>-8.3931960682959161E-3</v>
      </c>
      <c r="AJ29" s="429">
        <f t="shared" si="26"/>
        <v>3.8549105821187091E-2</v>
      </c>
      <c r="AK29" s="429">
        <f t="shared" si="26"/>
        <v>2.0294608486504107E-2</v>
      </c>
      <c r="AL29" s="430">
        <f t="shared" si="26"/>
        <v>3.9454564969991779E-3</v>
      </c>
      <c r="AM29" s="350"/>
      <c r="AN29" s="420"/>
      <c r="AO29" s="429">
        <f>AO27/AN27-1</f>
        <v>3.378885095822115E-2</v>
      </c>
      <c r="AP29" s="429">
        <f t="shared" ref="AP29:AU29" si="27">AP27/AO27-1</f>
        <v>5.9513917956079299E-2</v>
      </c>
      <c r="AQ29" s="429">
        <f t="shared" si="27"/>
        <v>4.0373307238508627E-2</v>
      </c>
      <c r="AR29" s="429">
        <f t="shared" si="27"/>
        <v>3.1694246595722619E-2</v>
      </c>
      <c r="AS29" s="429">
        <f t="shared" si="27"/>
        <v>1.554694540074042E-2</v>
      </c>
      <c r="AT29" s="429">
        <f t="shared" si="27"/>
        <v>4.8756278221008698E-2</v>
      </c>
      <c r="AU29" s="429">
        <f t="shared" si="27"/>
        <v>2.202622233400664E-2</v>
      </c>
      <c r="AV29" s="429">
        <f t="shared" ref="AV29:BA29" si="28">AV27/AU27-1</f>
        <v>1.3021444022286444E-2</v>
      </c>
      <c r="AW29" s="429">
        <f t="shared" si="28"/>
        <v>1.7540139977006763E-2</v>
      </c>
      <c r="AX29" s="429">
        <f t="shared" si="28"/>
        <v>1.9202585021236285E-2</v>
      </c>
      <c r="AY29" s="429">
        <f t="shared" si="28"/>
        <v>2.2967013549827442E-2</v>
      </c>
      <c r="AZ29" s="429">
        <f t="shared" si="28"/>
        <v>1.9857585137321276E-2</v>
      </c>
      <c r="BA29" s="429">
        <f t="shared" si="28"/>
        <v>1.5301050702716701E-2</v>
      </c>
    </row>
    <row r="30" spans="1:53" s="160" customFormat="1" hidden="1" outlineLevel="1">
      <c r="A30" s="350"/>
      <c r="B30" s="712" t="s">
        <v>279</v>
      </c>
      <c r="C30" s="429"/>
      <c r="D30" s="429"/>
      <c r="E30" s="429"/>
      <c r="F30" s="430"/>
      <c r="G30" s="429">
        <f>(G18-G33)/(C18-C33)-1</f>
        <v>0.1824982337942751</v>
      </c>
      <c r="H30" s="429">
        <f t="shared" ref="H30:AL30" si="29">(H18-H33)/(D18-D33)-1</f>
        <v>-1.4446442532536574E-2</v>
      </c>
      <c r="I30" s="429">
        <f t="shared" si="29"/>
        <v>4.9347625655401073E-2</v>
      </c>
      <c r="J30" s="430">
        <f t="shared" si="29"/>
        <v>0.11626980614322413</v>
      </c>
      <c r="K30" s="429">
        <f t="shared" si="29"/>
        <v>0.10162122558163178</v>
      </c>
      <c r="L30" s="429">
        <f t="shared" si="29"/>
        <v>0.21700354955587842</v>
      </c>
      <c r="M30" s="429">
        <f t="shared" si="29"/>
        <v>0.15633791816876341</v>
      </c>
      <c r="N30" s="430">
        <f t="shared" si="29"/>
        <v>8.8477855755124679E-2</v>
      </c>
      <c r="O30" s="429">
        <f t="shared" si="29"/>
        <v>-3.0335110122490683E-2</v>
      </c>
      <c r="P30" s="429">
        <f t="shared" si="29"/>
        <v>2.1636696900955155E-2</v>
      </c>
      <c r="Q30" s="429">
        <f t="shared" si="29"/>
        <v>-9.9008913104681184E-4</v>
      </c>
      <c r="R30" s="430">
        <f t="shared" si="29"/>
        <v>-1.476034362383527E-3</v>
      </c>
      <c r="S30" s="429">
        <f t="shared" si="29"/>
        <v>2.5905912879226944E-2</v>
      </c>
      <c r="T30" s="429">
        <f t="shared" si="29"/>
        <v>4.4521743151681781E-2</v>
      </c>
      <c r="U30" s="429">
        <f t="shared" si="29"/>
        <v>4.7582902268936245E-2</v>
      </c>
      <c r="V30" s="430">
        <f t="shared" si="29"/>
        <v>0.10344777792555759</v>
      </c>
      <c r="W30" s="429">
        <f t="shared" si="29"/>
        <v>3.4177276721446548E-2</v>
      </c>
      <c r="X30" s="429">
        <f t="shared" si="29"/>
        <v>-7.1639610423301914E-3</v>
      </c>
      <c r="Y30" s="429">
        <f t="shared" si="29"/>
        <v>1.390919931532042E-2</v>
      </c>
      <c r="Z30" s="430">
        <f t="shared" si="29"/>
        <v>1.3251701748544509E-3</v>
      </c>
      <c r="AA30" s="429">
        <f t="shared" si="29"/>
        <v>3.7079969570662508E-2</v>
      </c>
      <c r="AB30" s="429">
        <f t="shared" si="29"/>
        <v>2.9899394723988948E-2</v>
      </c>
      <c r="AC30" s="429">
        <f t="shared" si="29"/>
        <v>6.2692582551912679E-2</v>
      </c>
      <c r="AD30" s="430">
        <f t="shared" si="29"/>
        <v>7.7767911003683299E-3</v>
      </c>
      <c r="AE30" s="429">
        <f t="shared" si="29"/>
        <v>9.0419920329281478E-2</v>
      </c>
      <c r="AF30" s="429">
        <f t="shared" si="29"/>
        <v>6.9933868921775666E-2</v>
      </c>
      <c r="AG30" s="429">
        <f t="shared" si="29"/>
        <v>2.9622283722139597E-2</v>
      </c>
      <c r="AH30" s="430">
        <f t="shared" si="29"/>
        <v>1.9516503437604804E-2</v>
      </c>
      <c r="AI30" s="429">
        <f t="shared" si="29"/>
        <v>-3.1995235389213894E-3</v>
      </c>
      <c r="AJ30" s="429">
        <f t="shared" si="29"/>
        <v>-1.4334849848717801E-2</v>
      </c>
      <c r="AK30" s="429">
        <f t="shared" si="29"/>
        <v>-4.8788414074574016E-2</v>
      </c>
      <c r="AL30" s="430">
        <f t="shared" si="29"/>
        <v>-3.6685200537502793E-2</v>
      </c>
      <c r="AM30" s="350"/>
      <c r="AN30" s="420"/>
      <c r="AO30" s="429">
        <f>(AO18-AO33)/(AN18-AN33)-1</f>
        <v>8.1277340697033074E-2</v>
      </c>
      <c r="AP30" s="429">
        <f t="shared" ref="AP30:BA30" si="30">(AP18-AP33)/(AO18-AO33)-1</f>
        <v>0.13891211310800133</v>
      </c>
      <c r="AQ30" s="429">
        <f t="shared" si="30"/>
        <v>-2.7636258635979072E-3</v>
      </c>
      <c r="AR30" s="429">
        <f t="shared" si="30"/>
        <v>5.5314660795210413E-2</v>
      </c>
      <c r="AS30" s="429">
        <f t="shared" si="30"/>
        <v>1.0045209247059095E-2</v>
      </c>
      <c r="AT30" s="429">
        <f t="shared" si="30"/>
        <v>3.3985589341871014E-2</v>
      </c>
      <c r="AU30" s="429">
        <f t="shared" si="30"/>
        <v>5.2194824508965842E-2</v>
      </c>
      <c r="AV30" s="429">
        <f t="shared" si="30"/>
        <v>-2.5403203880394409E-2</v>
      </c>
      <c r="AW30" s="429">
        <f t="shared" si="30"/>
        <v>-4.0000000000000036E-2</v>
      </c>
      <c r="AX30" s="429">
        <f t="shared" si="30"/>
        <v>-6.8132610293387685E-3</v>
      </c>
      <c r="AY30" s="429">
        <f t="shared" si="30"/>
        <v>4.9999999999998934E-3</v>
      </c>
      <c r="AZ30" s="429">
        <f t="shared" si="30"/>
        <v>4.9999999999998934E-3</v>
      </c>
      <c r="BA30" s="429">
        <f t="shared" si="30"/>
        <v>4.9999999999996714E-3</v>
      </c>
    </row>
    <row r="31" spans="1:53" s="160" customFormat="1" hidden="1" outlineLevel="1">
      <c r="A31" s="350"/>
      <c r="B31" s="712" t="s">
        <v>280</v>
      </c>
      <c r="C31" s="429"/>
      <c r="D31" s="429"/>
      <c r="E31" s="429"/>
      <c r="F31" s="430"/>
      <c r="G31" s="429">
        <f>(G6+G15)/(C6+C15)-1</f>
        <v>0.11458450037512224</v>
      </c>
      <c r="H31" s="429">
        <f t="shared" ref="H31:AL31" si="31">(H6+H15)/(D6+D15)-1</f>
        <v>4.8890438558495619E-2</v>
      </c>
      <c r="I31" s="429">
        <f t="shared" si="31"/>
        <v>6.9930947425995038E-2</v>
      </c>
      <c r="J31" s="430">
        <f t="shared" si="31"/>
        <v>1.2490040677109571E-2</v>
      </c>
      <c r="K31" s="429">
        <f t="shared" si="31"/>
        <v>-2.4716964181285328E-2</v>
      </c>
      <c r="L31" s="429">
        <f t="shared" si="31"/>
        <v>-7.0129501166223185E-2</v>
      </c>
      <c r="M31" s="429">
        <f t="shared" si="31"/>
        <v>-7.5937493059611727E-2</v>
      </c>
      <c r="N31" s="430">
        <f t="shared" si="31"/>
        <v>-0.10030373117299263</v>
      </c>
      <c r="O31" s="429">
        <f t="shared" si="31"/>
        <v>-8.0451173818751109E-2</v>
      </c>
      <c r="P31" s="429">
        <f t="shared" si="31"/>
        <v>1.4458061780531439E-2</v>
      </c>
      <c r="Q31" s="429">
        <f t="shared" si="31"/>
        <v>3.3791876431388035E-2</v>
      </c>
      <c r="R31" s="430">
        <f t="shared" si="31"/>
        <v>6.4953219904138937E-2</v>
      </c>
      <c r="S31" s="429">
        <f t="shared" si="31"/>
        <v>7.6839127462397183E-2</v>
      </c>
      <c r="T31" s="429">
        <f t="shared" si="31"/>
        <v>5.3476036852965869E-2</v>
      </c>
      <c r="U31" s="429">
        <f t="shared" si="31"/>
        <v>3.4306360792194512E-2</v>
      </c>
      <c r="V31" s="430">
        <f t="shared" si="31"/>
        <v>3.3206698223269049E-2</v>
      </c>
      <c r="W31" s="429">
        <f t="shared" si="31"/>
        <v>5.447597302845697E-2</v>
      </c>
      <c r="X31" s="429">
        <f t="shared" si="31"/>
        <v>3.0837077326505868E-2</v>
      </c>
      <c r="Y31" s="429">
        <f t="shared" si="31"/>
        <v>4.2475975577487279E-2</v>
      </c>
      <c r="Z31" s="430">
        <f t="shared" si="31"/>
        <v>1.7610181404179359E-2</v>
      </c>
      <c r="AA31" s="429">
        <f t="shared" si="31"/>
        <v>9.9846395282798817E-3</v>
      </c>
      <c r="AB31" s="429">
        <f t="shared" si="31"/>
        <v>7.914739714222252E-2</v>
      </c>
      <c r="AC31" s="429">
        <f t="shared" si="31"/>
        <v>4.3698483490128837E-3</v>
      </c>
      <c r="AD31" s="430">
        <f t="shared" si="31"/>
        <v>6.0993944636831054E-2</v>
      </c>
      <c r="AE31" s="429">
        <f t="shared" si="31"/>
        <v>7.3283690519433176E-2</v>
      </c>
      <c r="AF31" s="429">
        <f t="shared" si="31"/>
        <v>-2.3323175008443831E-2</v>
      </c>
      <c r="AG31" s="429">
        <f t="shared" si="31"/>
        <v>5.6750499600395132E-2</v>
      </c>
      <c r="AH31" s="430">
        <f t="shared" si="31"/>
        <v>8.0848812444284324E-2</v>
      </c>
      <c r="AI31" s="429">
        <f t="shared" si="31"/>
        <v>8.3124637511136079E-3</v>
      </c>
      <c r="AJ31" s="429">
        <f t="shared" si="31"/>
        <v>4.4195152778432556E-2</v>
      </c>
      <c r="AK31" s="429">
        <f t="shared" si="31"/>
        <v>3.8942704963269792E-2</v>
      </c>
      <c r="AL31" s="430">
        <f t="shared" si="31"/>
        <v>9.2421068687942309E-3</v>
      </c>
      <c r="AM31" s="350"/>
      <c r="AN31" s="420"/>
      <c r="AO31" s="429">
        <f>(AO6+AO15)/(AN6+AN15)-1</f>
        <v>6.0524423322241949E-2</v>
      </c>
      <c r="AP31" s="429">
        <f t="shared" ref="AP31:BA31" si="32">(AP6+AP15)/(AO6+AO15)-1</f>
        <v>-6.7079978614711155E-2</v>
      </c>
      <c r="AQ31" s="429">
        <f t="shared" si="32"/>
        <v>4.965608647077735E-3</v>
      </c>
      <c r="AR31" s="429">
        <f t="shared" si="32"/>
        <v>4.97051502348278E-2</v>
      </c>
      <c r="AS31" s="429">
        <f t="shared" si="32"/>
        <v>3.6265984351942393E-2</v>
      </c>
      <c r="AT31" s="429">
        <f t="shared" si="32"/>
        <v>3.9308924872489159E-2</v>
      </c>
      <c r="AU31" s="429">
        <f t="shared" si="32"/>
        <v>4.5356184090486362E-2</v>
      </c>
      <c r="AV31" s="429">
        <f t="shared" si="32"/>
        <v>2.4528139827784123E-2</v>
      </c>
      <c r="AW31" s="429">
        <f t="shared" si="32"/>
        <v>5.8074121386124666E-3</v>
      </c>
      <c r="AX31" s="429">
        <f t="shared" si="32"/>
        <v>1.3753873188062204E-2</v>
      </c>
      <c r="AY31" s="429">
        <f t="shared" si="32"/>
        <v>2.6387260869770834E-2</v>
      </c>
      <c r="AZ31" s="429">
        <f t="shared" si="32"/>
        <v>1.1871787583908944E-2</v>
      </c>
      <c r="BA31" s="429">
        <f t="shared" si="32"/>
        <v>1.7772863375757897E-3</v>
      </c>
    </row>
    <row r="32" spans="1:53" s="160" customFormat="1" hidden="1" outlineLevel="1">
      <c r="A32" s="350"/>
      <c r="B32" s="712" t="s">
        <v>281</v>
      </c>
      <c r="C32" s="429"/>
      <c r="D32" s="429"/>
      <c r="E32" s="429"/>
      <c r="F32" s="430"/>
      <c r="G32" s="429">
        <f>(G9+G12+G24)/(C9+C12+C24)-1</f>
        <v>1.8028955737346308E-2</v>
      </c>
      <c r="H32" s="429">
        <f t="shared" ref="H32:AL32" si="33">(H9+H12+H24)/(D9+D12+D24)-1</f>
        <v>-7.2579442283294826E-2</v>
      </c>
      <c r="I32" s="429">
        <f t="shared" si="33"/>
        <v>3.8662380875586599E-2</v>
      </c>
      <c r="J32" s="430">
        <f t="shared" si="33"/>
        <v>3.2999449104591516E-3</v>
      </c>
      <c r="K32" s="429">
        <f t="shared" si="33"/>
        <v>0.11326989191703851</v>
      </c>
      <c r="L32" s="429">
        <f t="shared" si="33"/>
        <v>0.22782164783733472</v>
      </c>
      <c r="M32" s="429">
        <f t="shared" si="33"/>
        <v>4.1463084288301699E-2</v>
      </c>
      <c r="N32" s="430">
        <f t="shared" si="33"/>
        <v>4.7473830377589454E-2</v>
      </c>
      <c r="O32" s="429">
        <f t="shared" si="33"/>
        <v>3.4810354730314907E-2</v>
      </c>
      <c r="P32" s="429">
        <f t="shared" si="33"/>
        <v>2.2209588158612625E-2</v>
      </c>
      <c r="Q32" s="429">
        <f t="shared" si="33"/>
        <v>5.7119425296261239E-2</v>
      </c>
      <c r="R32" s="430">
        <f t="shared" si="33"/>
        <v>0.10086489287419043</v>
      </c>
      <c r="S32" s="429">
        <f t="shared" si="33"/>
        <v>5.3185888676952953E-2</v>
      </c>
      <c r="T32" s="429">
        <f t="shared" si="33"/>
        <v>6.0634919748580041E-2</v>
      </c>
      <c r="U32" s="429">
        <f t="shared" si="33"/>
        <v>1.7858126564912258E-2</v>
      </c>
      <c r="V32" s="430">
        <f t="shared" si="33"/>
        <v>7.8751636098077782E-3</v>
      </c>
      <c r="W32" s="429">
        <f t="shared" si="33"/>
        <v>1.8582333900478254E-2</v>
      </c>
      <c r="X32" s="429">
        <f t="shared" si="33"/>
        <v>-6.6032304143998077E-3</v>
      </c>
      <c r="Y32" s="429">
        <f t="shared" si="33"/>
        <v>-3.4022686125540713E-2</v>
      </c>
      <c r="Z32" s="430">
        <f t="shared" si="33"/>
        <v>9.1061699645538896E-2</v>
      </c>
      <c r="AA32" s="429">
        <f t="shared" si="33"/>
        <v>2.9029639477148095E-2</v>
      </c>
      <c r="AB32" s="429">
        <f t="shared" si="33"/>
        <v>3.0996484552287873E-2</v>
      </c>
      <c r="AC32" s="429">
        <f t="shared" si="33"/>
        <v>0.14195683084061184</v>
      </c>
      <c r="AD32" s="430">
        <f t="shared" si="33"/>
        <v>0.10548024652509858</v>
      </c>
      <c r="AE32" s="429">
        <f t="shared" si="33"/>
        <v>5.5055942203589003E-2</v>
      </c>
      <c r="AF32" s="429">
        <f t="shared" si="33"/>
        <v>1.7766755695720393E-2</v>
      </c>
      <c r="AG32" s="429">
        <f t="shared" si="33"/>
        <v>3.1199285038777669E-2</v>
      </c>
      <c r="AH32" s="430">
        <f t="shared" si="33"/>
        <v>-1.1494383482288262E-2</v>
      </c>
      <c r="AI32" s="429">
        <f t="shared" si="33"/>
        <v>-1.4318624359376142E-2</v>
      </c>
      <c r="AJ32" s="429">
        <f t="shared" si="33"/>
        <v>4.3363474093743859E-2</v>
      </c>
      <c r="AK32" s="429">
        <f t="shared" si="33"/>
        <v>7.4536318865818796E-3</v>
      </c>
      <c r="AL32" s="430">
        <f t="shared" si="33"/>
        <v>8.150957255262048E-3</v>
      </c>
      <c r="AM32" s="350"/>
      <c r="AN32" s="420"/>
      <c r="AO32" s="429">
        <f>(AO9+AO12+AO24)/(AN9+AN12+AN24)-1</f>
        <v>-2.7460348046104421E-3</v>
      </c>
      <c r="AP32" s="429">
        <f t="shared" ref="AP32:BA32" si="34">(AP9+AP12+AP24)/(AO9+AO12+AO24)-1</f>
        <v>0.10301467340566695</v>
      </c>
      <c r="AQ32" s="429">
        <f t="shared" si="34"/>
        <v>5.3936484127043549E-2</v>
      </c>
      <c r="AR32" s="429">
        <f t="shared" si="34"/>
        <v>3.439358111836377E-2</v>
      </c>
      <c r="AS32" s="429">
        <f t="shared" si="34"/>
        <v>1.8880460595043225E-2</v>
      </c>
      <c r="AT32" s="429">
        <f t="shared" si="34"/>
        <v>7.6083757431497645E-2</v>
      </c>
      <c r="AU32" s="429">
        <f t="shared" si="34"/>
        <v>2.1651549576656715E-2</v>
      </c>
      <c r="AV32" s="429">
        <f t="shared" si="34"/>
        <v>1.0441212784333853E-2</v>
      </c>
      <c r="AW32" s="429">
        <f t="shared" si="34"/>
        <v>3.8314771231941602E-2</v>
      </c>
      <c r="AX32" s="429">
        <f t="shared" si="34"/>
        <v>2.9339072313393499E-2</v>
      </c>
      <c r="AY32" s="429">
        <f t="shared" si="34"/>
        <v>2.4314128762542797E-2</v>
      </c>
      <c r="AZ32" s="429">
        <f t="shared" si="34"/>
        <v>2.4205546853585336E-2</v>
      </c>
      <c r="BA32" s="429">
        <f t="shared" si="34"/>
        <v>2.4216399638202102E-2</v>
      </c>
    </row>
    <row r="33" spans="1:53" s="160" customFormat="1" collapsed="1">
      <c r="A33" s="350"/>
      <c r="B33" s="649" t="s">
        <v>204</v>
      </c>
      <c r="C33" s="423">
        <v>1.865219</v>
      </c>
      <c r="D33" s="423">
        <v>1.9602539999999999</v>
      </c>
      <c r="E33" s="423">
        <v>1.907327</v>
      </c>
      <c r="F33" s="424">
        <v>1.8882380000000001</v>
      </c>
      <c r="G33" s="423">
        <v>2.160631</v>
      </c>
      <c r="H33" s="423">
        <v>2.0105499999999998</v>
      </c>
      <c r="I33" s="423">
        <v>2.0554519999999998</v>
      </c>
      <c r="J33" s="424">
        <v>2.2285699999999999</v>
      </c>
      <c r="K33" s="423">
        <v>2.6203090000000002</v>
      </c>
      <c r="L33" s="423">
        <v>2.63185</v>
      </c>
      <c r="M33" s="423">
        <v>2.3637090000000001</v>
      </c>
      <c r="N33" s="424">
        <v>2.4990130000000002</v>
      </c>
      <c r="O33" s="423">
        <v>2.711382</v>
      </c>
      <c r="P33" s="423">
        <v>2.8743609999999999</v>
      </c>
      <c r="Q33" s="423">
        <v>2.5814439999999998</v>
      </c>
      <c r="R33" s="424">
        <v>2.7050399999999999</v>
      </c>
      <c r="S33" s="423">
        <v>2.8671410000000002</v>
      </c>
      <c r="T33" s="423">
        <v>2.9661309999999999</v>
      </c>
      <c r="U33" s="423">
        <v>2.8132290000000002</v>
      </c>
      <c r="V33" s="424">
        <v>2.784878</v>
      </c>
      <c r="W33" s="423">
        <v>2.8818809999999999</v>
      </c>
      <c r="X33" s="423">
        <v>3.098938</v>
      </c>
      <c r="Y33" s="423">
        <v>2.9851740000000002</v>
      </c>
      <c r="Z33" s="424">
        <v>2.8749699999999998</v>
      </c>
      <c r="AA33" s="423">
        <v>3.0211190000000001</v>
      </c>
      <c r="AB33" s="423">
        <v>3.1212599999999999</v>
      </c>
      <c r="AC33" s="423">
        <v>2.9551669999999999</v>
      </c>
      <c r="AD33" s="425">
        <v>2.892544</v>
      </c>
      <c r="AE33" s="426">
        <v>2.9637899999999999</v>
      </c>
      <c r="AF33" s="426">
        <v>2.8753950000000001</v>
      </c>
      <c r="AG33" s="423">
        <v>2.5523729999999998</v>
      </c>
      <c r="AH33" s="424">
        <v>2.6871010000000002</v>
      </c>
      <c r="AI33" s="688">
        <f>AI18*AI34</f>
        <v>2.8042345076963482</v>
      </c>
      <c r="AJ33" s="688">
        <f t="shared" ref="AJ33:AL33" si="35">AJ18*AJ34</f>
        <v>2.8042345076963482</v>
      </c>
      <c r="AK33" s="688">
        <f>AK18*AK34</f>
        <v>2.5885241609504748</v>
      </c>
      <c r="AL33" s="689">
        <f t="shared" si="35"/>
        <v>2.5885241609504748</v>
      </c>
      <c r="AM33" s="350"/>
      <c r="AN33" s="427">
        <f>SUM(C33:F33)</f>
        <v>7.6210379999999995</v>
      </c>
      <c r="AO33" s="427">
        <f>SUM(G33:J33)</f>
        <v>8.4552029999999991</v>
      </c>
      <c r="AP33" s="427">
        <f>SUM(K33:N33)</f>
        <v>10.114881</v>
      </c>
      <c r="AQ33" s="427">
        <f>SUM(O33:R33)</f>
        <v>10.872227000000001</v>
      </c>
      <c r="AR33" s="427">
        <f>SUM(S33:V33)</f>
        <v>11.431379</v>
      </c>
      <c r="AS33" s="427">
        <f>SUM(W33:Z33)</f>
        <v>11.840963</v>
      </c>
      <c r="AT33" s="427">
        <f>SUM(AA33:AD33)</f>
        <v>11.990089999999999</v>
      </c>
      <c r="AU33" s="427">
        <f>SUM(AE33:AH33)</f>
        <v>11.078659</v>
      </c>
      <c r="AV33" s="427">
        <f>SUM(AI33:AL33)</f>
        <v>10.785517337293644</v>
      </c>
      <c r="AW33" s="691">
        <f>AW18*AW34</f>
        <v>10.354096643801901</v>
      </c>
      <c r="AX33" s="691">
        <f>AX18*AX34</f>
        <v>10.283551480644677</v>
      </c>
      <c r="AY33" s="691">
        <f>AY18*AY34</f>
        <v>10.334969238047899</v>
      </c>
      <c r="AZ33" s="691">
        <f>AZ18*AZ34</f>
        <v>10.386644084238137</v>
      </c>
      <c r="BA33" s="691">
        <f>BA18*BA34</f>
        <v>10.438577304659328</v>
      </c>
    </row>
    <row r="34" spans="1:53" s="160" customFormat="1">
      <c r="A34" s="350"/>
      <c r="B34" s="650" t="s">
        <v>257</v>
      </c>
      <c r="C34" s="429">
        <f>C33/C18</f>
        <v>0.64382456615116124</v>
      </c>
      <c r="D34" s="429">
        <f t="shared" ref="D34:AG34" si="36">D33/D18</f>
        <v>0.63445478104921982</v>
      </c>
      <c r="E34" s="429">
        <f t="shared" si="36"/>
        <v>0.63980709114799017</v>
      </c>
      <c r="F34" s="430">
        <f t="shared" si="36"/>
        <v>0.63518223866790013</v>
      </c>
      <c r="G34" s="429">
        <f t="shared" si="36"/>
        <v>0.63908508559612331</v>
      </c>
      <c r="H34" s="429">
        <f t="shared" si="36"/>
        <v>0.64365467672883647</v>
      </c>
      <c r="I34" s="429">
        <f t="shared" si="36"/>
        <v>0.64591965960763109</v>
      </c>
      <c r="J34" s="430">
        <f t="shared" si="36"/>
        <v>0.64799495693447673</v>
      </c>
      <c r="K34" s="429">
        <f t="shared" si="36"/>
        <v>0.66094412048548945</v>
      </c>
      <c r="L34" s="429">
        <f t="shared" si="36"/>
        <v>0.66019180266966482</v>
      </c>
      <c r="M34" s="429">
        <f t="shared" si="36"/>
        <v>0.64465576217019371</v>
      </c>
      <c r="N34" s="430">
        <f t="shared" si="36"/>
        <v>0.65475185191104546</v>
      </c>
      <c r="O34" s="429">
        <f t="shared" si="36"/>
        <v>0.67534823107852937</v>
      </c>
      <c r="P34" s="429">
        <f t="shared" si="36"/>
        <v>0.67499977690701052</v>
      </c>
      <c r="Q34" s="429">
        <f t="shared" si="36"/>
        <v>0.66479512200021262</v>
      </c>
      <c r="R34" s="430">
        <f t="shared" si="36"/>
        <v>0.67275912967893325</v>
      </c>
      <c r="S34" s="429">
        <f t="shared" si="36"/>
        <v>0.68195183235513213</v>
      </c>
      <c r="T34" s="429">
        <f t="shared" si="36"/>
        <v>0.67233288754901743</v>
      </c>
      <c r="U34" s="429">
        <f t="shared" si="36"/>
        <v>0.67353901455831966</v>
      </c>
      <c r="V34" s="430">
        <f t="shared" si="36"/>
        <v>0.65731204949434319</v>
      </c>
      <c r="W34" s="429">
        <f t="shared" si="36"/>
        <v>0.67574330729746146</v>
      </c>
      <c r="X34" s="429">
        <f t="shared" si="36"/>
        <v>0.68346598955350191</v>
      </c>
      <c r="Y34" s="429">
        <f t="shared" si="36"/>
        <v>0.68346621034696087</v>
      </c>
      <c r="Z34" s="430">
        <f t="shared" si="36"/>
        <v>0.6641520261006385</v>
      </c>
      <c r="AA34" s="429">
        <f t="shared" si="36"/>
        <v>0.6780997882957539</v>
      </c>
      <c r="AB34" s="429">
        <f t="shared" si="36"/>
        <v>0.67862551188908948</v>
      </c>
      <c r="AC34" s="429">
        <f t="shared" si="36"/>
        <v>0.6679302001530163</v>
      </c>
      <c r="AD34" s="430">
        <f t="shared" si="36"/>
        <v>0.66378331688338454</v>
      </c>
      <c r="AE34" s="429">
        <f t="shared" si="36"/>
        <v>0.65460234176064735</v>
      </c>
      <c r="AF34" s="429">
        <f t="shared" si="36"/>
        <v>0.64515712859031116</v>
      </c>
      <c r="AG34" s="429">
        <f t="shared" si="36"/>
        <v>0.62787582667255748</v>
      </c>
      <c r="AH34" s="430">
        <f t="shared" ref="AH34" si="37">AH33/AH18</f>
        <v>0.64272196754029243</v>
      </c>
      <c r="AI34" s="449">
        <f>AH34</f>
        <v>0.64272196754029243</v>
      </c>
      <c r="AJ34" s="449">
        <f>AI34</f>
        <v>0.64272196754029243</v>
      </c>
      <c r="AK34" s="449">
        <f t="shared" ref="AK34:AL34" si="38">AJ34</f>
        <v>0.64272196754029243</v>
      </c>
      <c r="AL34" s="690">
        <f t="shared" si="38"/>
        <v>0.64272196754029243</v>
      </c>
      <c r="AM34" s="350"/>
      <c r="AN34" s="429">
        <f t="shared" ref="AN34" si="39">AN33/AN18</f>
        <v>0.63824549608286218</v>
      </c>
      <c r="AO34" s="429">
        <f t="shared" ref="AO34" si="40">AO33/AO18</f>
        <v>0.64416402925097282</v>
      </c>
      <c r="AP34" s="429">
        <f t="shared" ref="AP34" si="41">AP33/AP18</f>
        <v>0.65534902621699065</v>
      </c>
      <c r="AQ34" s="429">
        <f t="shared" ref="AQ34" si="42">AQ33/AQ18</f>
        <v>0.67207985022179961</v>
      </c>
      <c r="AR34" s="429">
        <f t="shared" ref="AR34" si="43">AR33/AR18</f>
        <v>0.67126645006303742</v>
      </c>
      <c r="AS34" s="429">
        <f t="shared" ref="AS34" si="44">AS33/AS18</f>
        <v>0.67680478553520573</v>
      </c>
      <c r="AT34" s="429">
        <f t="shared" ref="AT34" si="45">AT33/AT18</f>
        <v>0.67221515657197506</v>
      </c>
      <c r="AU34" s="429">
        <f t="shared" ref="AU34" si="46">AU33/AU18</f>
        <v>0.64297106929977788</v>
      </c>
      <c r="AV34" s="429">
        <f t="shared" ref="AV34" si="47">AV33/AV18</f>
        <v>0.64272196754029232</v>
      </c>
      <c r="AW34" s="449">
        <f>AV34</f>
        <v>0.64272196754029232</v>
      </c>
      <c r="AX34" s="449">
        <f>AW34</f>
        <v>0.64272196754029232</v>
      </c>
      <c r="AY34" s="449">
        <f>AX34</f>
        <v>0.64272196754029232</v>
      </c>
      <c r="AZ34" s="449">
        <f>AY34</f>
        <v>0.64272196754029232</v>
      </c>
      <c r="BA34" s="449">
        <f>AZ34</f>
        <v>0.64272196754029232</v>
      </c>
    </row>
    <row r="35" spans="1:53" s="160" customFormat="1">
      <c r="A35" s="350"/>
      <c r="B35" s="650" t="s">
        <v>194</v>
      </c>
      <c r="C35" s="429"/>
      <c r="D35" s="429">
        <f t="shared" ref="D35:AL35" si="48">D33/C33-1</f>
        <v>5.0951121557307744E-2</v>
      </c>
      <c r="E35" s="429">
        <f t="shared" si="48"/>
        <v>-2.7000072439592016E-2</v>
      </c>
      <c r="F35" s="430">
        <f t="shared" si="48"/>
        <v>-1.0008247143777571E-2</v>
      </c>
      <c r="G35" s="429">
        <f t="shared" si="48"/>
        <v>0.14425776835335369</v>
      </c>
      <c r="H35" s="429">
        <f t="shared" si="48"/>
        <v>-6.946165263758608E-2</v>
      </c>
      <c r="I35" s="429">
        <f t="shared" si="48"/>
        <v>2.2333192410036951E-2</v>
      </c>
      <c r="J35" s="430">
        <f t="shared" si="48"/>
        <v>8.4223810626567808E-2</v>
      </c>
      <c r="K35" s="429">
        <f t="shared" si="48"/>
        <v>0.17578043319258541</v>
      </c>
      <c r="L35" s="429">
        <f t="shared" si="48"/>
        <v>4.4044423768341279E-3</v>
      </c>
      <c r="M35" s="429">
        <f t="shared" si="48"/>
        <v>-0.10188308604213769</v>
      </c>
      <c r="N35" s="430">
        <f t="shared" si="48"/>
        <v>5.7242240901904662E-2</v>
      </c>
      <c r="O35" s="429">
        <f t="shared" si="48"/>
        <v>8.4981150558240293E-2</v>
      </c>
      <c r="P35" s="429">
        <f t="shared" si="48"/>
        <v>6.0109198925123897E-2</v>
      </c>
      <c r="Q35" s="429">
        <f t="shared" si="48"/>
        <v>-0.10190682381231864</v>
      </c>
      <c r="R35" s="430">
        <f t="shared" si="48"/>
        <v>4.7878629170340359E-2</v>
      </c>
      <c r="S35" s="429">
        <f t="shared" si="48"/>
        <v>5.9925546387484152E-2</v>
      </c>
      <c r="T35" s="429">
        <f t="shared" si="48"/>
        <v>3.4525682552758896E-2</v>
      </c>
      <c r="U35" s="429">
        <f t="shared" si="48"/>
        <v>-5.1549307835695557E-2</v>
      </c>
      <c r="V35" s="430">
        <f t="shared" si="48"/>
        <v>-1.0077743404465211E-2</v>
      </c>
      <c r="W35" s="429">
        <f t="shared" si="48"/>
        <v>3.4832046502575764E-2</v>
      </c>
      <c r="X35" s="429">
        <f t="shared" si="48"/>
        <v>7.5317821936436768E-2</v>
      </c>
      <c r="Y35" s="429">
        <f t="shared" si="48"/>
        <v>-3.6710640871162936E-2</v>
      </c>
      <c r="Z35" s="430">
        <f t="shared" si="48"/>
        <v>-3.6917111029374006E-2</v>
      </c>
      <c r="AA35" s="429">
        <f t="shared" si="48"/>
        <v>5.0834965234419993E-2</v>
      </c>
      <c r="AB35" s="429">
        <f t="shared" si="48"/>
        <v>3.3146989575716823E-2</v>
      </c>
      <c r="AC35" s="429">
        <f t="shared" si="48"/>
        <v>-5.3213445851995722E-2</v>
      </c>
      <c r="AD35" s="430">
        <f t="shared" si="48"/>
        <v>-2.1191018984713872E-2</v>
      </c>
      <c r="AE35" s="429">
        <f t="shared" si="48"/>
        <v>2.463091313390553E-2</v>
      </c>
      <c r="AF35" s="429">
        <f t="shared" si="48"/>
        <v>-2.9824987600336028E-2</v>
      </c>
      <c r="AG35" s="429">
        <f t="shared" si="48"/>
        <v>-0.11234004371573314</v>
      </c>
      <c r="AH35" s="430">
        <f t="shared" si="48"/>
        <v>5.2785388342534656E-2</v>
      </c>
      <c r="AI35" s="429">
        <f t="shared" si="48"/>
        <v>4.3591032751038483E-2</v>
      </c>
      <c r="AJ35" s="429">
        <f t="shared" si="48"/>
        <v>0</v>
      </c>
      <c r="AK35" s="429">
        <f t="shared" si="48"/>
        <v>-7.6923076923077094E-2</v>
      </c>
      <c r="AL35" s="430">
        <f t="shared" si="48"/>
        <v>0</v>
      </c>
      <c r="AM35" s="350"/>
      <c r="AN35" s="431"/>
      <c r="AO35" s="431"/>
      <c r="AP35" s="431"/>
      <c r="AQ35" s="431"/>
      <c r="AR35" s="431"/>
      <c r="AS35" s="431"/>
      <c r="AT35" s="431"/>
      <c r="AU35" s="431"/>
      <c r="AV35" s="418"/>
      <c r="AW35" s="418"/>
      <c r="AX35" s="418"/>
      <c r="AY35" s="418"/>
      <c r="AZ35" s="418"/>
      <c r="BA35" s="418"/>
    </row>
    <row r="36" spans="1:53" s="160" customFormat="1">
      <c r="A36" s="350"/>
      <c r="B36" s="650" t="s">
        <v>26</v>
      </c>
      <c r="C36" s="429"/>
      <c r="D36" s="429"/>
      <c r="E36" s="429"/>
      <c r="F36" s="430"/>
      <c r="G36" s="429">
        <f t="shared" ref="G36:AL36" si="49">G33/C33-1</f>
        <v>0.15837925734189917</v>
      </c>
      <c r="H36" s="429">
        <f t="shared" si="49"/>
        <v>2.5657899435481246E-2</v>
      </c>
      <c r="I36" s="429">
        <f t="shared" si="49"/>
        <v>7.766104081785663E-2</v>
      </c>
      <c r="J36" s="430">
        <f t="shared" si="49"/>
        <v>0.18023787255631962</v>
      </c>
      <c r="K36" s="429">
        <f t="shared" si="49"/>
        <v>0.21275173780252166</v>
      </c>
      <c r="L36" s="429">
        <f t="shared" si="49"/>
        <v>0.30901991992240951</v>
      </c>
      <c r="M36" s="429">
        <f t="shared" si="49"/>
        <v>0.14997042013143602</v>
      </c>
      <c r="N36" s="430">
        <f t="shared" si="49"/>
        <v>0.12135270599532455</v>
      </c>
      <c r="O36" s="429">
        <f t="shared" si="49"/>
        <v>3.4756587868072009E-2</v>
      </c>
      <c r="P36" s="429">
        <f t="shared" si="49"/>
        <v>9.2144689097023003E-2</v>
      </c>
      <c r="Q36" s="429">
        <f t="shared" si="49"/>
        <v>9.2115823056052815E-2</v>
      </c>
      <c r="R36" s="430">
        <f t="shared" si="49"/>
        <v>8.244334863404057E-2</v>
      </c>
      <c r="S36" s="429">
        <f t="shared" si="49"/>
        <v>5.7446350237627897E-2</v>
      </c>
      <c r="T36" s="429">
        <f t="shared" si="49"/>
        <v>3.1927096144151568E-2</v>
      </c>
      <c r="U36" s="429">
        <f t="shared" si="49"/>
        <v>8.9788893348064169E-2</v>
      </c>
      <c r="V36" s="430">
        <f t="shared" si="49"/>
        <v>2.9514535829414656E-2</v>
      </c>
      <c r="W36" s="429">
        <f t="shared" si="49"/>
        <v>5.1410098073305655E-3</v>
      </c>
      <c r="X36" s="429">
        <f t="shared" si="49"/>
        <v>4.4774489056619515E-2</v>
      </c>
      <c r="Y36" s="429">
        <f t="shared" si="49"/>
        <v>6.1120157655135898E-2</v>
      </c>
      <c r="Z36" s="430">
        <f t="shared" si="49"/>
        <v>3.2350429713617457E-2</v>
      </c>
      <c r="AA36" s="429">
        <f t="shared" si="49"/>
        <v>4.831497206165003E-2</v>
      </c>
      <c r="AB36" s="429">
        <f t="shared" si="49"/>
        <v>7.2031128083234197E-3</v>
      </c>
      <c r="AC36" s="429">
        <f t="shared" si="49"/>
        <v>-1.0052010368574948E-2</v>
      </c>
      <c r="AD36" s="430">
        <f t="shared" si="49"/>
        <v>6.1127594374899008E-3</v>
      </c>
      <c r="AE36" s="429">
        <f t="shared" si="49"/>
        <v>-1.8976081379118215E-2</v>
      </c>
      <c r="AF36" s="429">
        <f t="shared" si="49"/>
        <v>-7.8771073220430088E-2</v>
      </c>
      <c r="AG36" s="429">
        <f t="shared" si="49"/>
        <v>-0.13630160325964658</v>
      </c>
      <c r="AH36" s="430">
        <f t="shared" si="49"/>
        <v>-7.1025021572705516E-2</v>
      </c>
      <c r="AI36" s="429">
        <f t="shared" si="49"/>
        <v>-5.3834951971513445E-2</v>
      </c>
      <c r="AJ36" s="429">
        <f t="shared" si="49"/>
        <v>-2.4748075413517756E-2</v>
      </c>
      <c r="AK36" s="429">
        <f>AK33/AG33-1</f>
        <v>1.4163745248235715E-2</v>
      </c>
      <c r="AL36" s="430">
        <f t="shared" si="49"/>
        <v>-3.6685200537503238E-2</v>
      </c>
      <c r="AM36" s="350"/>
      <c r="AN36" s="420"/>
      <c r="AO36" s="429">
        <f>AO33/AN33-1</f>
        <v>0.10945556235252996</v>
      </c>
      <c r="AP36" s="429">
        <f t="shared" ref="AP36:BA36" si="50">AP33/AO33-1</f>
        <v>0.19629073364648986</v>
      </c>
      <c r="AQ36" s="429">
        <f t="shared" si="50"/>
        <v>7.4874435003239315E-2</v>
      </c>
      <c r="AR36" s="429">
        <f t="shared" si="50"/>
        <v>5.1429389765316635E-2</v>
      </c>
      <c r="AS36" s="429">
        <f t="shared" si="50"/>
        <v>3.5829797962258159E-2</v>
      </c>
      <c r="AT36" s="429">
        <f t="shared" si="50"/>
        <v>1.2594161471495058E-2</v>
      </c>
      <c r="AU36" s="429">
        <f t="shared" si="50"/>
        <v>-7.6015359350930511E-2</v>
      </c>
      <c r="AV36" s="429">
        <f t="shared" si="50"/>
        <v>-2.6460031192074407E-2</v>
      </c>
      <c r="AW36" s="429">
        <f t="shared" si="50"/>
        <v>-3.9999999999999813E-2</v>
      </c>
      <c r="AX36" s="429">
        <f t="shared" si="50"/>
        <v>-6.8132610293388796E-3</v>
      </c>
      <c r="AY36" s="429">
        <f t="shared" si="50"/>
        <v>4.9999999999998934E-3</v>
      </c>
      <c r="AZ36" s="429">
        <f t="shared" si="50"/>
        <v>4.9999999999998934E-3</v>
      </c>
      <c r="BA36" s="429">
        <f t="shared" si="50"/>
        <v>4.9999999999998934E-3</v>
      </c>
    </row>
    <row r="37" spans="1:53" s="160" customFormat="1">
      <c r="A37" s="350"/>
      <c r="B37" s="194"/>
      <c r="C37" s="418"/>
      <c r="D37" s="418"/>
      <c r="E37" s="418"/>
      <c r="F37" s="419"/>
      <c r="G37" s="418"/>
      <c r="H37" s="418"/>
      <c r="I37" s="418"/>
      <c r="J37" s="419"/>
      <c r="K37" s="418"/>
      <c r="L37" s="418"/>
      <c r="M37" s="418"/>
      <c r="N37" s="419"/>
      <c r="O37" s="420"/>
      <c r="P37" s="418"/>
      <c r="Q37" s="418"/>
      <c r="R37" s="419"/>
      <c r="S37" s="420"/>
      <c r="T37" s="418"/>
      <c r="U37" s="418"/>
      <c r="V37" s="419"/>
      <c r="W37" s="418"/>
      <c r="X37" s="418"/>
      <c r="Y37" s="418"/>
      <c r="Z37" s="419"/>
      <c r="AA37" s="418"/>
      <c r="AB37" s="418"/>
      <c r="AC37" s="418"/>
      <c r="AD37" s="419"/>
      <c r="AE37" s="418"/>
      <c r="AF37" s="418"/>
      <c r="AG37" s="418"/>
      <c r="AH37" s="419"/>
      <c r="AI37" s="418"/>
      <c r="AJ37" s="418"/>
      <c r="AK37" s="418"/>
      <c r="AL37" s="419"/>
      <c r="AM37" s="350"/>
      <c r="AN37" s="420"/>
      <c r="AO37" s="420"/>
      <c r="AP37" s="420"/>
      <c r="AQ37" s="420"/>
      <c r="AR37" s="421"/>
      <c r="AS37" s="418"/>
      <c r="AT37" s="418"/>
      <c r="AU37" s="418"/>
      <c r="AV37" s="418"/>
      <c r="AW37" s="418"/>
      <c r="AX37" s="418"/>
      <c r="AY37" s="418"/>
      <c r="AZ37" s="418"/>
      <c r="BA37" s="418"/>
    </row>
    <row r="38" spans="1:53" s="428" customFormat="1">
      <c r="A38" s="422"/>
      <c r="B38" s="652" t="s">
        <v>205</v>
      </c>
      <c r="C38" s="437"/>
      <c r="D38" s="437"/>
      <c r="E38" s="437"/>
      <c r="F38" s="438"/>
      <c r="G38" s="437"/>
      <c r="H38" s="437"/>
      <c r="I38" s="437"/>
      <c r="J38" s="438"/>
      <c r="K38" s="437"/>
      <c r="L38" s="437"/>
      <c r="M38" s="437"/>
      <c r="N38" s="438"/>
      <c r="O38" s="437"/>
      <c r="P38" s="437"/>
      <c r="Q38" s="437"/>
      <c r="R38" s="438"/>
      <c r="S38" s="437"/>
      <c r="T38" s="437"/>
      <c r="U38" s="437"/>
      <c r="V38" s="438"/>
      <c r="W38" s="437"/>
      <c r="X38" s="437"/>
      <c r="Y38" s="437"/>
      <c r="Z38" s="438"/>
      <c r="AA38" s="437"/>
      <c r="AB38" s="437"/>
      <c r="AC38" s="437"/>
      <c r="AD38" s="438"/>
      <c r="AE38" s="439"/>
      <c r="AF38" s="439"/>
      <c r="AG38" s="439"/>
      <c r="AH38" s="440"/>
      <c r="AI38" s="439"/>
      <c r="AJ38" s="439"/>
      <c r="AK38" s="439"/>
      <c r="AL38" s="440"/>
      <c r="AM38" s="422"/>
      <c r="AN38" s="441"/>
      <c r="AO38" s="441"/>
      <c r="AP38" s="441"/>
      <c r="AQ38" s="441"/>
      <c r="AR38" s="441">
        <v>4.7</v>
      </c>
      <c r="AS38" s="441">
        <v>6.1</v>
      </c>
      <c r="AT38" s="441">
        <v>6.7</v>
      </c>
      <c r="AU38" s="441">
        <v>7.1</v>
      </c>
      <c r="AV38" s="439"/>
      <c r="AW38" s="439"/>
      <c r="AX38" s="439"/>
      <c r="AY38" s="439"/>
      <c r="AZ38" s="439"/>
      <c r="BA38" s="439"/>
    </row>
    <row r="39" spans="1:53" s="160" customFormat="1">
      <c r="A39" s="350"/>
      <c r="B39" s="194"/>
      <c r="C39" s="418"/>
      <c r="D39" s="418"/>
      <c r="E39" s="418"/>
      <c r="F39" s="419"/>
      <c r="G39" s="418"/>
      <c r="H39" s="418"/>
      <c r="I39" s="418"/>
      <c r="J39" s="419"/>
      <c r="K39" s="418"/>
      <c r="L39" s="418"/>
      <c r="M39" s="418"/>
      <c r="N39" s="419"/>
      <c r="O39" s="420"/>
      <c r="P39" s="418"/>
      <c r="Q39" s="418"/>
      <c r="R39" s="419"/>
      <c r="S39" s="420"/>
      <c r="T39" s="418"/>
      <c r="U39" s="418"/>
      <c r="V39" s="419"/>
      <c r="W39" s="418"/>
      <c r="X39" s="418"/>
      <c r="Y39" s="418"/>
      <c r="Z39" s="419"/>
      <c r="AA39" s="418"/>
      <c r="AB39" s="418"/>
      <c r="AC39" s="418"/>
      <c r="AD39" s="419"/>
      <c r="AE39" s="420"/>
      <c r="AF39" s="420"/>
      <c r="AG39" s="420"/>
      <c r="AH39" s="442"/>
      <c r="AI39" s="420"/>
      <c r="AJ39" s="420"/>
      <c r="AK39" s="420"/>
      <c r="AL39" s="442"/>
      <c r="AM39" s="350"/>
      <c r="AN39" s="420"/>
      <c r="AO39" s="420"/>
      <c r="AP39" s="420"/>
      <c r="AQ39" s="420"/>
      <c r="AR39" s="421"/>
      <c r="AS39" s="418"/>
      <c r="AT39" s="418"/>
      <c r="AU39" s="418"/>
      <c r="AV39" s="418"/>
      <c r="AW39" s="418"/>
      <c r="AX39" s="418"/>
      <c r="AY39" s="418"/>
      <c r="AZ39" s="418"/>
      <c r="BA39" s="418"/>
    </row>
    <row r="40" spans="1:53" s="168" customFormat="1">
      <c r="A40" s="150"/>
      <c r="B40" s="226" t="s">
        <v>204</v>
      </c>
      <c r="C40" s="443"/>
      <c r="D40" s="443"/>
      <c r="E40" s="443"/>
      <c r="F40" s="444"/>
      <c r="G40" s="443"/>
      <c r="H40" s="443"/>
      <c r="I40" s="443"/>
      <c r="J40" s="444"/>
      <c r="K40" s="443"/>
      <c r="L40" s="443"/>
      <c r="M40" s="443"/>
      <c r="N40" s="444"/>
      <c r="O40" s="445"/>
      <c r="P40" s="443"/>
      <c r="Q40" s="443"/>
      <c r="R40" s="444"/>
      <c r="S40" s="445"/>
      <c r="T40" s="443"/>
      <c r="U40" s="443"/>
      <c r="V40" s="444"/>
      <c r="W40" s="443"/>
      <c r="X40" s="443"/>
      <c r="Y40" s="443"/>
      <c r="Z40" s="444"/>
      <c r="AA40" s="443"/>
      <c r="AB40" s="443"/>
      <c r="AC40" s="443"/>
      <c r="AD40" s="444"/>
      <c r="AE40" s="445"/>
      <c r="AF40" s="445"/>
      <c r="AG40" s="445"/>
      <c r="AH40" s="446"/>
      <c r="AI40" s="445"/>
      <c r="AJ40" s="445"/>
      <c r="AK40" s="445"/>
      <c r="AL40" s="446"/>
      <c r="AM40" s="150"/>
      <c r="AN40" s="447"/>
      <c r="AO40" s="447"/>
      <c r="AP40" s="447"/>
      <c r="AQ40" s="447"/>
      <c r="AR40" s="448">
        <v>989</v>
      </c>
      <c r="AS40" s="234">
        <v>1132</v>
      </c>
      <c r="AT40" s="234">
        <v>1297</v>
      </c>
      <c r="AU40" s="234">
        <v>1340</v>
      </c>
      <c r="AV40" s="443"/>
      <c r="AW40" s="443"/>
      <c r="AX40" s="443"/>
      <c r="AY40" s="443"/>
      <c r="AZ40" s="443"/>
      <c r="BA40" s="443"/>
    </row>
    <row r="41" spans="1:53" s="160" customFormat="1">
      <c r="A41" s="350"/>
      <c r="B41" s="650" t="s">
        <v>206</v>
      </c>
      <c r="C41" s="429"/>
      <c r="D41" s="429"/>
      <c r="E41" s="429"/>
      <c r="F41" s="430"/>
      <c r="G41" s="429"/>
      <c r="H41" s="429"/>
      <c r="I41" s="429"/>
      <c r="J41" s="430"/>
      <c r="K41" s="429"/>
      <c r="L41" s="429"/>
      <c r="M41" s="429"/>
      <c r="N41" s="430"/>
      <c r="O41" s="429"/>
      <c r="P41" s="429"/>
      <c r="Q41" s="429"/>
      <c r="R41" s="430"/>
      <c r="S41" s="429">
        <f>$AR41</f>
        <v>0.21784140969162996</v>
      </c>
      <c r="T41" s="429">
        <f t="shared" ref="T41:V49" si="51">$AR41</f>
        <v>0.21784140969162996</v>
      </c>
      <c r="U41" s="429">
        <f t="shared" si="51"/>
        <v>0.21784140969162996</v>
      </c>
      <c r="V41" s="430">
        <f t="shared" si="51"/>
        <v>0.21784140969162996</v>
      </c>
      <c r="W41" s="429">
        <f>$AS41</f>
        <v>0.25686407987292942</v>
      </c>
      <c r="X41" s="429">
        <f t="shared" ref="X41:Z49" si="52">$AS41</f>
        <v>0.25686407987292942</v>
      </c>
      <c r="Y41" s="429">
        <f t="shared" si="52"/>
        <v>0.25686407987292942</v>
      </c>
      <c r="Z41" s="430">
        <f t="shared" si="52"/>
        <v>0.25686407987292942</v>
      </c>
      <c r="AA41" s="429">
        <f>$AT41</f>
        <v>0.28912171199286668</v>
      </c>
      <c r="AB41" s="429">
        <f t="shared" ref="AB41:AD49" si="53">$AT41</f>
        <v>0.28912171199286668</v>
      </c>
      <c r="AC41" s="429">
        <f t="shared" si="53"/>
        <v>0.28912171199286668</v>
      </c>
      <c r="AD41" s="430">
        <f t="shared" si="53"/>
        <v>0.28912171199286668</v>
      </c>
      <c r="AE41" s="429">
        <f>$AU41</f>
        <v>0.27634563827593317</v>
      </c>
      <c r="AF41" s="429">
        <f t="shared" ref="AF41:AH49" si="54">$AU41</f>
        <v>0.27634563827593317</v>
      </c>
      <c r="AG41" s="429">
        <f t="shared" si="54"/>
        <v>0.27634563827593317</v>
      </c>
      <c r="AH41" s="430">
        <f t="shared" si="54"/>
        <v>0.27634563827593317</v>
      </c>
      <c r="AI41" s="429">
        <f>$AV41</f>
        <v>0.27634563827593317</v>
      </c>
      <c r="AJ41" s="429">
        <f t="shared" ref="AJ41:AL49" si="55">$AV41</f>
        <v>0.27634563827593317</v>
      </c>
      <c r="AK41" s="429">
        <f t="shared" si="55"/>
        <v>0.27634563827593317</v>
      </c>
      <c r="AL41" s="430">
        <f t="shared" si="55"/>
        <v>0.27634563827593317</v>
      </c>
      <c r="AM41" s="350"/>
      <c r="AN41" s="429"/>
      <c r="AO41" s="429"/>
      <c r="AP41" s="429"/>
      <c r="AQ41" s="429"/>
      <c r="AR41" s="429">
        <f t="shared" ref="AR41:AU41" si="56">AR40/AR$50</f>
        <v>0.21784140969162996</v>
      </c>
      <c r="AS41" s="429">
        <f t="shared" si="56"/>
        <v>0.25686407987292942</v>
      </c>
      <c r="AT41" s="429">
        <f t="shared" si="56"/>
        <v>0.28912171199286668</v>
      </c>
      <c r="AU41" s="429">
        <f t="shared" si="56"/>
        <v>0.27634563827593317</v>
      </c>
      <c r="AV41" s="449">
        <f t="shared" ref="AV41:BA49" si="57">AU41</f>
        <v>0.27634563827593317</v>
      </c>
      <c r="AW41" s="449">
        <f t="shared" si="57"/>
        <v>0.27634563827593317</v>
      </c>
      <c r="AX41" s="449">
        <f t="shared" si="57"/>
        <v>0.27634563827593317</v>
      </c>
      <c r="AY41" s="449">
        <f t="shared" si="57"/>
        <v>0.27634563827593317</v>
      </c>
      <c r="AZ41" s="449">
        <f t="shared" si="57"/>
        <v>0.27634563827593317</v>
      </c>
      <c r="BA41" s="449">
        <f t="shared" si="57"/>
        <v>0.27634563827593317</v>
      </c>
    </row>
    <row r="42" spans="1:53" s="168" customFormat="1">
      <c r="A42" s="150"/>
      <c r="B42" s="226" t="s">
        <v>198</v>
      </c>
      <c r="C42" s="443"/>
      <c r="D42" s="443"/>
      <c r="E42" s="443"/>
      <c r="F42" s="444"/>
      <c r="G42" s="443"/>
      <c r="H42" s="443"/>
      <c r="I42" s="443"/>
      <c r="J42" s="444"/>
      <c r="K42" s="443"/>
      <c r="L42" s="443"/>
      <c r="M42" s="443"/>
      <c r="N42" s="444"/>
      <c r="O42" s="445"/>
      <c r="P42" s="443"/>
      <c r="Q42" s="443"/>
      <c r="R42" s="444"/>
      <c r="S42" s="445"/>
      <c r="T42" s="443"/>
      <c r="U42" s="443"/>
      <c r="V42" s="444"/>
      <c r="W42" s="443"/>
      <c r="X42" s="443"/>
      <c r="Y42" s="443"/>
      <c r="Z42" s="444"/>
      <c r="AA42" s="443"/>
      <c r="AB42" s="443"/>
      <c r="AC42" s="443"/>
      <c r="AD42" s="444"/>
      <c r="AE42" s="445"/>
      <c r="AF42" s="445"/>
      <c r="AG42" s="445"/>
      <c r="AH42" s="446"/>
      <c r="AI42" s="445"/>
      <c r="AJ42" s="445"/>
      <c r="AK42" s="445"/>
      <c r="AL42" s="446"/>
      <c r="AM42" s="150"/>
      <c r="AN42" s="447"/>
      <c r="AO42" s="447"/>
      <c r="AP42" s="447"/>
      <c r="AQ42" s="447"/>
      <c r="AR42" s="448">
        <v>25</v>
      </c>
      <c r="AS42" s="234">
        <v>7</v>
      </c>
      <c r="AT42" s="234">
        <v>6</v>
      </c>
      <c r="AU42" s="234">
        <v>5</v>
      </c>
      <c r="AV42" s="443"/>
      <c r="AW42" s="443"/>
      <c r="AX42" s="443"/>
      <c r="AY42" s="443"/>
      <c r="AZ42" s="443"/>
      <c r="BA42" s="443"/>
    </row>
    <row r="43" spans="1:53" s="168" customFormat="1">
      <c r="A43" s="150"/>
      <c r="B43" s="650" t="s">
        <v>206</v>
      </c>
      <c r="C43" s="429"/>
      <c r="D43" s="429"/>
      <c r="E43" s="429"/>
      <c r="F43" s="430"/>
      <c r="G43" s="429"/>
      <c r="H43" s="429"/>
      <c r="I43" s="429"/>
      <c r="J43" s="430"/>
      <c r="K43" s="429"/>
      <c r="L43" s="429"/>
      <c r="M43" s="429"/>
      <c r="N43" s="430"/>
      <c r="O43" s="429"/>
      <c r="P43" s="429"/>
      <c r="Q43" s="429"/>
      <c r="R43" s="430"/>
      <c r="S43" s="429">
        <f>$AR43</f>
        <v>5.5066079295154188E-3</v>
      </c>
      <c r="T43" s="429">
        <f t="shared" si="51"/>
        <v>5.5066079295154188E-3</v>
      </c>
      <c r="U43" s="429">
        <f t="shared" si="51"/>
        <v>5.5066079295154188E-3</v>
      </c>
      <c r="V43" s="430">
        <f t="shared" si="51"/>
        <v>5.5066079295154188E-3</v>
      </c>
      <c r="W43" s="429">
        <f>$AS43</f>
        <v>1.5883821193555707E-3</v>
      </c>
      <c r="X43" s="429">
        <f t="shared" si="52"/>
        <v>1.5883821193555707E-3</v>
      </c>
      <c r="Y43" s="429">
        <f t="shared" si="52"/>
        <v>1.5883821193555707E-3</v>
      </c>
      <c r="Z43" s="430">
        <f t="shared" si="52"/>
        <v>1.5883821193555707E-3</v>
      </c>
      <c r="AA43" s="429">
        <f>$AT43</f>
        <v>1.3374944271065537E-3</v>
      </c>
      <c r="AB43" s="429">
        <f t="shared" si="53"/>
        <v>1.3374944271065537E-3</v>
      </c>
      <c r="AC43" s="429">
        <f t="shared" si="53"/>
        <v>1.3374944271065537E-3</v>
      </c>
      <c r="AD43" s="430">
        <f t="shared" si="53"/>
        <v>1.3374944271065537E-3</v>
      </c>
      <c r="AE43" s="429">
        <f>$AU43</f>
        <v>1.0311404413281089E-3</v>
      </c>
      <c r="AF43" s="429">
        <f t="shared" si="54"/>
        <v>1.0311404413281089E-3</v>
      </c>
      <c r="AG43" s="429">
        <f t="shared" si="54"/>
        <v>1.0311404413281089E-3</v>
      </c>
      <c r="AH43" s="430">
        <f t="shared" si="54"/>
        <v>1.0311404413281089E-3</v>
      </c>
      <c r="AI43" s="429">
        <f>$AV43</f>
        <v>1.0311404413281089E-3</v>
      </c>
      <c r="AJ43" s="429">
        <f t="shared" si="55"/>
        <v>1.0311404413281089E-3</v>
      </c>
      <c r="AK43" s="429">
        <f t="shared" si="55"/>
        <v>1.0311404413281089E-3</v>
      </c>
      <c r="AL43" s="430">
        <f t="shared" si="55"/>
        <v>1.0311404413281089E-3</v>
      </c>
      <c r="AM43" s="150"/>
      <c r="AN43" s="429"/>
      <c r="AO43" s="429"/>
      <c r="AP43" s="429"/>
      <c r="AQ43" s="429"/>
      <c r="AR43" s="429">
        <f t="shared" ref="AR43:AU43" si="58">AR42/AR$50</f>
        <v>5.5066079295154188E-3</v>
      </c>
      <c r="AS43" s="429">
        <f t="shared" si="58"/>
        <v>1.5883821193555707E-3</v>
      </c>
      <c r="AT43" s="429">
        <f t="shared" si="58"/>
        <v>1.3374944271065537E-3</v>
      </c>
      <c r="AU43" s="429">
        <f t="shared" si="58"/>
        <v>1.0311404413281089E-3</v>
      </c>
      <c r="AV43" s="449">
        <f t="shared" si="57"/>
        <v>1.0311404413281089E-3</v>
      </c>
      <c r="AW43" s="449">
        <f t="shared" si="57"/>
        <v>1.0311404413281089E-3</v>
      </c>
      <c r="AX43" s="449">
        <f t="shared" si="57"/>
        <v>1.0311404413281089E-3</v>
      </c>
      <c r="AY43" s="449">
        <f t="shared" si="57"/>
        <v>1.0311404413281089E-3</v>
      </c>
      <c r="AZ43" s="449">
        <f t="shared" si="57"/>
        <v>1.0311404413281089E-3</v>
      </c>
      <c r="BA43" s="449">
        <f t="shared" si="57"/>
        <v>1.0311404413281089E-3</v>
      </c>
    </row>
    <row r="44" spans="1:53" s="168" customFormat="1">
      <c r="A44" s="150"/>
      <c r="B44" s="226" t="s">
        <v>202</v>
      </c>
      <c r="C44" s="443"/>
      <c r="D44" s="443"/>
      <c r="E44" s="443"/>
      <c r="F44" s="444"/>
      <c r="G44" s="443"/>
      <c r="H44" s="443"/>
      <c r="I44" s="443"/>
      <c r="J44" s="444"/>
      <c r="K44" s="443"/>
      <c r="L44" s="443"/>
      <c r="M44" s="443"/>
      <c r="N44" s="444"/>
      <c r="O44" s="445"/>
      <c r="P44" s="443"/>
      <c r="Q44" s="443"/>
      <c r="R44" s="444"/>
      <c r="S44" s="445"/>
      <c r="T44" s="443"/>
      <c r="U44" s="443"/>
      <c r="V44" s="444"/>
      <c r="W44" s="443"/>
      <c r="X44" s="443"/>
      <c r="Y44" s="443"/>
      <c r="Z44" s="444"/>
      <c r="AA44" s="443"/>
      <c r="AB44" s="443"/>
      <c r="AC44" s="443"/>
      <c r="AD44" s="444"/>
      <c r="AE44" s="445"/>
      <c r="AF44" s="445"/>
      <c r="AG44" s="445"/>
      <c r="AH44" s="446"/>
      <c r="AI44" s="445"/>
      <c r="AJ44" s="445"/>
      <c r="AK44" s="445"/>
      <c r="AL44" s="446"/>
      <c r="AM44" s="150"/>
      <c r="AN44" s="447"/>
      <c r="AO44" s="447"/>
      <c r="AP44" s="447"/>
      <c r="AQ44" s="447"/>
      <c r="AR44" s="448">
        <v>2323</v>
      </c>
      <c r="AS44" s="234">
        <v>2087</v>
      </c>
      <c r="AT44" s="234">
        <v>1995</v>
      </c>
      <c r="AU44" s="234">
        <v>2030</v>
      </c>
      <c r="AV44" s="443"/>
      <c r="AW44" s="443"/>
      <c r="AX44" s="443"/>
      <c r="AY44" s="443"/>
      <c r="AZ44" s="443"/>
      <c r="BA44" s="443"/>
    </row>
    <row r="45" spans="1:53" s="168" customFormat="1">
      <c r="A45" s="150"/>
      <c r="B45" s="650" t="s">
        <v>206</v>
      </c>
      <c r="C45" s="429"/>
      <c r="D45" s="429"/>
      <c r="E45" s="429"/>
      <c r="F45" s="430"/>
      <c r="G45" s="429"/>
      <c r="H45" s="429"/>
      <c r="I45" s="429"/>
      <c r="J45" s="430"/>
      <c r="K45" s="429"/>
      <c r="L45" s="429"/>
      <c r="M45" s="429"/>
      <c r="N45" s="430"/>
      <c r="O45" s="429"/>
      <c r="P45" s="429"/>
      <c r="Q45" s="429"/>
      <c r="R45" s="430"/>
      <c r="S45" s="429">
        <f>$AR45</f>
        <v>0.51167400881057268</v>
      </c>
      <c r="T45" s="429">
        <f t="shared" si="51"/>
        <v>0.51167400881057268</v>
      </c>
      <c r="U45" s="429">
        <f t="shared" si="51"/>
        <v>0.51167400881057268</v>
      </c>
      <c r="V45" s="430">
        <f t="shared" si="51"/>
        <v>0.51167400881057268</v>
      </c>
      <c r="W45" s="429">
        <f>$AS45</f>
        <v>0.47356478329929658</v>
      </c>
      <c r="X45" s="429">
        <f t="shared" si="52"/>
        <v>0.47356478329929658</v>
      </c>
      <c r="Y45" s="429">
        <f t="shared" si="52"/>
        <v>0.47356478329929658</v>
      </c>
      <c r="Z45" s="430">
        <f t="shared" si="52"/>
        <v>0.47356478329929658</v>
      </c>
      <c r="AA45" s="429">
        <f>$AT45</f>
        <v>0.4447168970129291</v>
      </c>
      <c r="AB45" s="429">
        <f t="shared" si="53"/>
        <v>0.4447168970129291</v>
      </c>
      <c r="AC45" s="429">
        <f t="shared" si="53"/>
        <v>0.4447168970129291</v>
      </c>
      <c r="AD45" s="430">
        <f t="shared" si="53"/>
        <v>0.4447168970129291</v>
      </c>
      <c r="AE45" s="429">
        <f>$AU45</f>
        <v>0.41864301917921221</v>
      </c>
      <c r="AF45" s="429">
        <f t="shared" si="54"/>
        <v>0.41864301917921221</v>
      </c>
      <c r="AG45" s="429">
        <f t="shared" si="54"/>
        <v>0.41864301917921221</v>
      </c>
      <c r="AH45" s="430">
        <f t="shared" si="54"/>
        <v>0.41864301917921221</v>
      </c>
      <c r="AI45" s="429">
        <f>$AV45</f>
        <v>0.41864301917921221</v>
      </c>
      <c r="AJ45" s="429">
        <f t="shared" si="55"/>
        <v>0.41864301917921221</v>
      </c>
      <c r="AK45" s="429">
        <f t="shared" si="55"/>
        <v>0.41864301917921221</v>
      </c>
      <c r="AL45" s="430">
        <f t="shared" si="55"/>
        <v>0.41864301917921221</v>
      </c>
      <c r="AM45" s="150"/>
      <c r="AN45" s="429"/>
      <c r="AO45" s="429"/>
      <c r="AP45" s="429"/>
      <c r="AQ45" s="429"/>
      <c r="AR45" s="429">
        <f t="shared" ref="AR45:AU45" si="59">AR44/AR$50</f>
        <v>0.51167400881057268</v>
      </c>
      <c r="AS45" s="429">
        <f t="shared" si="59"/>
        <v>0.47356478329929658</v>
      </c>
      <c r="AT45" s="429">
        <f t="shared" si="59"/>
        <v>0.4447168970129291</v>
      </c>
      <c r="AU45" s="429">
        <f t="shared" si="59"/>
        <v>0.41864301917921221</v>
      </c>
      <c r="AV45" s="449">
        <f t="shared" si="57"/>
        <v>0.41864301917921221</v>
      </c>
      <c r="AW45" s="449">
        <f t="shared" si="57"/>
        <v>0.41864301917921221</v>
      </c>
      <c r="AX45" s="449">
        <f t="shared" si="57"/>
        <v>0.41864301917921221</v>
      </c>
      <c r="AY45" s="449">
        <f t="shared" si="57"/>
        <v>0.41864301917921221</v>
      </c>
      <c r="AZ45" s="449">
        <f t="shared" si="57"/>
        <v>0.41864301917921221</v>
      </c>
      <c r="BA45" s="449">
        <f t="shared" si="57"/>
        <v>0.41864301917921221</v>
      </c>
    </row>
    <row r="46" spans="1:53" s="168" customFormat="1">
      <c r="A46" s="150"/>
      <c r="B46" s="226" t="s">
        <v>203</v>
      </c>
      <c r="C46" s="443"/>
      <c r="D46" s="443"/>
      <c r="E46" s="443"/>
      <c r="F46" s="444"/>
      <c r="G46" s="443"/>
      <c r="H46" s="443"/>
      <c r="I46" s="443"/>
      <c r="J46" s="444"/>
      <c r="K46" s="443"/>
      <c r="L46" s="443"/>
      <c r="M46" s="443"/>
      <c r="N46" s="444"/>
      <c r="O46" s="445"/>
      <c r="P46" s="443"/>
      <c r="Q46" s="443"/>
      <c r="R46" s="444"/>
      <c r="S46" s="445"/>
      <c r="T46" s="443"/>
      <c r="U46" s="443"/>
      <c r="V46" s="444"/>
      <c r="W46" s="443"/>
      <c r="X46" s="443"/>
      <c r="Y46" s="443"/>
      <c r="Z46" s="444"/>
      <c r="AA46" s="443"/>
      <c r="AB46" s="443"/>
      <c r="AC46" s="443"/>
      <c r="AD46" s="444"/>
      <c r="AE46" s="445"/>
      <c r="AF46" s="445"/>
      <c r="AG46" s="445"/>
      <c r="AH46" s="446"/>
      <c r="AI46" s="445"/>
      <c r="AJ46" s="445"/>
      <c r="AK46" s="445"/>
      <c r="AL46" s="446"/>
      <c r="AM46" s="150"/>
      <c r="AN46" s="447"/>
      <c r="AO46" s="447"/>
      <c r="AP46" s="447"/>
      <c r="AQ46" s="447"/>
      <c r="AR46" s="448">
        <v>1005</v>
      </c>
      <c r="AS46" s="234">
        <v>1045</v>
      </c>
      <c r="AT46" s="234">
        <v>1071</v>
      </c>
      <c r="AU46" s="234">
        <v>1335</v>
      </c>
      <c r="AV46" s="443"/>
      <c r="AW46" s="443"/>
      <c r="AX46" s="443"/>
      <c r="AY46" s="443"/>
      <c r="AZ46" s="443"/>
      <c r="BA46" s="443"/>
    </row>
    <row r="47" spans="1:53" s="168" customFormat="1">
      <c r="A47" s="150"/>
      <c r="B47" s="650" t="s">
        <v>206</v>
      </c>
      <c r="C47" s="429"/>
      <c r="D47" s="429"/>
      <c r="E47" s="429"/>
      <c r="F47" s="430"/>
      <c r="G47" s="429"/>
      <c r="H47" s="429"/>
      <c r="I47" s="429"/>
      <c r="J47" s="430"/>
      <c r="K47" s="429"/>
      <c r="L47" s="429"/>
      <c r="M47" s="429"/>
      <c r="N47" s="430"/>
      <c r="O47" s="429"/>
      <c r="P47" s="429"/>
      <c r="Q47" s="429"/>
      <c r="R47" s="430"/>
      <c r="S47" s="429">
        <f>$AR47</f>
        <v>0.22136563876651982</v>
      </c>
      <c r="T47" s="429">
        <f t="shared" si="51"/>
        <v>0.22136563876651982</v>
      </c>
      <c r="U47" s="429">
        <f t="shared" si="51"/>
        <v>0.22136563876651982</v>
      </c>
      <c r="V47" s="430">
        <f t="shared" si="51"/>
        <v>0.22136563876651982</v>
      </c>
      <c r="W47" s="429">
        <f>$AS47</f>
        <v>0.23712275924665305</v>
      </c>
      <c r="X47" s="429">
        <f t="shared" si="52"/>
        <v>0.23712275924665305</v>
      </c>
      <c r="Y47" s="429">
        <f t="shared" si="52"/>
        <v>0.23712275924665305</v>
      </c>
      <c r="Z47" s="430">
        <f t="shared" si="52"/>
        <v>0.23712275924665305</v>
      </c>
      <c r="AA47" s="429">
        <f>$AT47</f>
        <v>0.23874275523851984</v>
      </c>
      <c r="AB47" s="429">
        <f t="shared" si="53"/>
        <v>0.23874275523851984</v>
      </c>
      <c r="AC47" s="429">
        <f t="shared" si="53"/>
        <v>0.23874275523851984</v>
      </c>
      <c r="AD47" s="430">
        <f t="shared" si="53"/>
        <v>0.23874275523851984</v>
      </c>
      <c r="AE47" s="429">
        <f>$AU47</f>
        <v>0.2753144978346051</v>
      </c>
      <c r="AF47" s="429">
        <f t="shared" si="54"/>
        <v>0.2753144978346051</v>
      </c>
      <c r="AG47" s="429">
        <f t="shared" si="54"/>
        <v>0.2753144978346051</v>
      </c>
      <c r="AH47" s="430">
        <f t="shared" si="54"/>
        <v>0.2753144978346051</v>
      </c>
      <c r="AI47" s="429">
        <f>$AV47</f>
        <v>0.2753144978346051</v>
      </c>
      <c r="AJ47" s="429">
        <f t="shared" si="55"/>
        <v>0.2753144978346051</v>
      </c>
      <c r="AK47" s="429">
        <f t="shared" si="55"/>
        <v>0.2753144978346051</v>
      </c>
      <c r="AL47" s="430">
        <f t="shared" si="55"/>
        <v>0.2753144978346051</v>
      </c>
      <c r="AM47" s="150"/>
      <c r="AN47" s="429"/>
      <c r="AO47" s="429"/>
      <c r="AP47" s="429"/>
      <c r="AQ47" s="429"/>
      <c r="AR47" s="429">
        <f t="shared" ref="AR47:AU47" si="60">AR46/AR$50</f>
        <v>0.22136563876651982</v>
      </c>
      <c r="AS47" s="429">
        <f t="shared" si="60"/>
        <v>0.23712275924665305</v>
      </c>
      <c r="AT47" s="429">
        <f t="shared" si="60"/>
        <v>0.23874275523851984</v>
      </c>
      <c r="AU47" s="429">
        <f t="shared" si="60"/>
        <v>0.2753144978346051</v>
      </c>
      <c r="AV47" s="449">
        <f t="shared" si="57"/>
        <v>0.2753144978346051</v>
      </c>
      <c r="AW47" s="449">
        <f t="shared" si="57"/>
        <v>0.2753144978346051</v>
      </c>
      <c r="AX47" s="449">
        <f t="shared" si="57"/>
        <v>0.2753144978346051</v>
      </c>
      <c r="AY47" s="449">
        <f t="shared" si="57"/>
        <v>0.2753144978346051</v>
      </c>
      <c r="AZ47" s="449">
        <f t="shared" si="57"/>
        <v>0.2753144978346051</v>
      </c>
      <c r="BA47" s="449">
        <f t="shared" si="57"/>
        <v>0.2753144978346051</v>
      </c>
    </row>
    <row r="48" spans="1:53" s="168" customFormat="1">
      <c r="A48" s="150"/>
      <c r="B48" s="226" t="s">
        <v>199</v>
      </c>
      <c r="C48" s="443"/>
      <c r="D48" s="443"/>
      <c r="E48" s="443"/>
      <c r="F48" s="444"/>
      <c r="G48" s="443"/>
      <c r="H48" s="443"/>
      <c r="I48" s="443"/>
      <c r="J48" s="444"/>
      <c r="K48" s="443"/>
      <c r="L48" s="443"/>
      <c r="M48" s="443"/>
      <c r="N48" s="444"/>
      <c r="O48" s="445"/>
      <c r="P48" s="443"/>
      <c r="Q48" s="443"/>
      <c r="R48" s="444"/>
      <c r="S48" s="445"/>
      <c r="T48" s="443"/>
      <c r="U48" s="443"/>
      <c r="V48" s="444"/>
      <c r="W48" s="443"/>
      <c r="X48" s="443"/>
      <c r="Y48" s="443"/>
      <c r="Z48" s="444"/>
      <c r="AA48" s="443"/>
      <c r="AB48" s="443"/>
      <c r="AC48" s="443"/>
      <c r="AD48" s="444"/>
      <c r="AE48" s="445"/>
      <c r="AF48" s="445"/>
      <c r="AG48" s="445"/>
      <c r="AH48" s="446"/>
      <c r="AI48" s="445"/>
      <c r="AJ48" s="445"/>
      <c r="AK48" s="445"/>
      <c r="AL48" s="446"/>
      <c r="AM48" s="150"/>
      <c r="AN48" s="447"/>
      <c r="AO48" s="447"/>
      <c r="AP48" s="447"/>
      <c r="AQ48" s="447"/>
      <c r="AR48" s="448">
        <v>198</v>
      </c>
      <c r="AS48" s="234">
        <v>136</v>
      </c>
      <c r="AT48" s="234">
        <v>117</v>
      </c>
      <c r="AU48" s="234">
        <v>139</v>
      </c>
      <c r="AV48" s="443"/>
      <c r="AW48" s="443"/>
      <c r="AX48" s="443"/>
      <c r="AY48" s="443"/>
      <c r="AZ48" s="443"/>
      <c r="BA48" s="443"/>
    </row>
    <row r="49" spans="1:57" s="168" customFormat="1">
      <c r="A49" s="150"/>
      <c r="B49" s="650" t="s">
        <v>206</v>
      </c>
      <c r="C49" s="429"/>
      <c r="D49" s="429"/>
      <c r="E49" s="429"/>
      <c r="F49" s="430"/>
      <c r="G49" s="429"/>
      <c r="H49" s="429"/>
      <c r="I49" s="429"/>
      <c r="J49" s="430"/>
      <c r="K49" s="429"/>
      <c r="L49" s="429"/>
      <c r="M49" s="429"/>
      <c r="N49" s="430"/>
      <c r="O49" s="429"/>
      <c r="P49" s="429"/>
      <c r="Q49" s="429"/>
      <c r="R49" s="430"/>
      <c r="S49" s="429">
        <f>$AR49</f>
        <v>4.3612334801762118E-2</v>
      </c>
      <c r="T49" s="429">
        <f t="shared" si="51"/>
        <v>4.3612334801762118E-2</v>
      </c>
      <c r="U49" s="429">
        <f t="shared" si="51"/>
        <v>4.3612334801762118E-2</v>
      </c>
      <c r="V49" s="430">
        <f t="shared" si="51"/>
        <v>4.3612334801762118E-2</v>
      </c>
      <c r="W49" s="429">
        <f>$AS49</f>
        <v>3.0859995461765374E-2</v>
      </c>
      <c r="X49" s="429">
        <f t="shared" si="52"/>
        <v>3.0859995461765374E-2</v>
      </c>
      <c r="Y49" s="429">
        <f t="shared" si="52"/>
        <v>3.0859995461765374E-2</v>
      </c>
      <c r="Z49" s="430">
        <f t="shared" si="52"/>
        <v>3.0859995461765374E-2</v>
      </c>
      <c r="AA49" s="429">
        <f>$AT49</f>
        <v>2.6081141328577799E-2</v>
      </c>
      <c r="AB49" s="429">
        <f t="shared" si="53"/>
        <v>2.6081141328577799E-2</v>
      </c>
      <c r="AC49" s="429">
        <f t="shared" si="53"/>
        <v>2.6081141328577799E-2</v>
      </c>
      <c r="AD49" s="430">
        <f t="shared" si="53"/>
        <v>2.6081141328577799E-2</v>
      </c>
      <c r="AE49" s="429">
        <f>$AU49</f>
        <v>2.8665704268921427E-2</v>
      </c>
      <c r="AF49" s="429">
        <f t="shared" si="54"/>
        <v>2.8665704268921427E-2</v>
      </c>
      <c r="AG49" s="429">
        <f t="shared" si="54"/>
        <v>2.8665704268921427E-2</v>
      </c>
      <c r="AH49" s="430">
        <f t="shared" si="54"/>
        <v>2.8665704268921427E-2</v>
      </c>
      <c r="AI49" s="429">
        <f>$AV49</f>
        <v>2.8665704268921427E-2</v>
      </c>
      <c r="AJ49" s="429">
        <f t="shared" si="55"/>
        <v>2.8665704268921427E-2</v>
      </c>
      <c r="AK49" s="429">
        <f t="shared" si="55"/>
        <v>2.8665704268921427E-2</v>
      </c>
      <c r="AL49" s="430">
        <f t="shared" si="55"/>
        <v>2.8665704268921427E-2</v>
      </c>
      <c r="AM49" s="150"/>
      <c r="AN49" s="429"/>
      <c r="AO49" s="429"/>
      <c r="AP49" s="429"/>
      <c r="AQ49" s="429"/>
      <c r="AR49" s="429">
        <f t="shared" ref="AR49:AU49" si="61">AR48/AR$50</f>
        <v>4.3612334801762118E-2</v>
      </c>
      <c r="AS49" s="429">
        <f t="shared" si="61"/>
        <v>3.0859995461765374E-2</v>
      </c>
      <c r="AT49" s="429">
        <f t="shared" si="61"/>
        <v>2.6081141328577799E-2</v>
      </c>
      <c r="AU49" s="429">
        <f t="shared" si="61"/>
        <v>2.8665704268921427E-2</v>
      </c>
      <c r="AV49" s="449">
        <f t="shared" si="57"/>
        <v>2.8665704268921427E-2</v>
      </c>
      <c r="AW49" s="449">
        <f t="shared" si="57"/>
        <v>2.8665704268921427E-2</v>
      </c>
      <c r="AX49" s="449">
        <f t="shared" si="57"/>
        <v>2.8665704268921427E-2</v>
      </c>
      <c r="AY49" s="449">
        <f t="shared" si="57"/>
        <v>2.8665704268921427E-2</v>
      </c>
      <c r="AZ49" s="449">
        <f t="shared" si="57"/>
        <v>2.8665704268921427E-2</v>
      </c>
      <c r="BA49" s="449">
        <f t="shared" si="57"/>
        <v>2.8665704268921427E-2</v>
      </c>
    </row>
    <row r="50" spans="1:57" s="149" customFormat="1">
      <c r="A50" s="144"/>
      <c r="B50" s="653" t="s">
        <v>207</v>
      </c>
      <c r="C50" s="418"/>
      <c r="D50" s="418"/>
      <c r="E50" s="418"/>
      <c r="F50" s="419"/>
      <c r="G50" s="418"/>
      <c r="H50" s="418"/>
      <c r="I50" s="418"/>
      <c r="J50" s="419"/>
      <c r="K50" s="418"/>
      <c r="L50" s="418"/>
      <c r="M50" s="418"/>
      <c r="N50" s="419"/>
      <c r="O50" s="420"/>
      <c r="P50" s="418"/>
      <c r="Q50" s="418"/>
      <c r="R50" s="419"/>
      <c r="S50" s="420"/>
      <c r="T50" s="418"/>
      <c r="U50" s="418"/>
      <c r="V50" s="419"/>
      <c r="W50" s="418"/>
      <c r="X50" s="418"/>
      <c r="Y50" s="418"/>
      <c r="Z50" s="419"/>
      <c r="AA50" s="418"/>
      <c r="AB50" s="418"/>
      <c r="AC50" s="418"/>
      <c r="AD50" s="419"/>
      <c r="AE50" s="420"/>
      <c r="AF50" s="420"/>
      <c r="AG50" s="420"/>
      <c r="AH50" s="442"/>
      <c r="AI50" s="420"/>
      <c r="AJ50" s="420"/>
      <c r="AK50" s="420"/>
      <c r="AL50" s="442"/>
      <c r="AM50" s="144"/>
      <c r="AN50" s="450"/>
      <c r="AO50" s="450"/>
      <c r="AP50" s="450"/>
      <c r="AQ50" s="450"/>
      <c r="AR50" s="451">
        <f t="shared" ref="AR50:AU50" si="62">AR40+AR42+AR44+AR46+AR48</f>
        <v>4540</v>
      </c>
      <c r="AS50" s="452">
        <f t="shared" si="62"/>
        <v>4407</v>
      </c>
      <c r="AT50" s="452">
        <f t="shared" si="62"/>
        <v>4486</v>
      </c>
      <c r="AU50" s="452">
        <f t="shared" si="62"/>
        <v>4849</v>
      </c>
      <c r="AV50" s="418"/>
      <c r="AW50" s="418"/>
      <c r="AX50" s="418"/>
      <c r="AY50" s="418"/>
      <c r="AZ50" s="418"/>
      <c r="BA50" s="418"/>
    </row>
    <row r="51" spans="1:57" s="168" customFormat="1">
      <c r="A51" s="150"/>
      <c r="B51" s="650" t="s">
        <v>208</v>
      </c>
      <c r="C51" s="429"/>
      <c r="D51" s="429"/>
      <c r="E51" s="429"/>
      <c r="F51" s="430"/>
      <c r="G51" s="429"/>
      <c r="H51" s="429"/>
      <c r="I51" s="429"/>
      <c r="J51" s="430"/>
      <c r="K51" s="429"/>
      <c r="L51" s="429"/>
      <c r="M51" s="429"/>
      <c r="N51" s="430"/>
      <c r="O51" s="429"/>
      <c r="P51" s="429"/>
      <c r="Q51" s="429"/>
      <c r="R51" s="430"/>
      <c r="S51" s="429">
        <f t="shared" ref="S51:AL51" si="63">S41*S36+S43*S30+S45*S31+S47*S32+S49*S23</f>
        <v>6.0639209245310743E-2</v>
      </c>
      <c r="T51" s="429">
        <f t="shared" si="63"/>
        <v>3.7658291565834758E-2</v>
      </c>
      <c r="U51" s="429">
        <f t="shared" si="63"/>
        <v>3.3470551981513399E-2</v>
      </c>
      <c r="V51" s="430">
        <f t="shared" si="63"/>
        <v>2.138913652875455E-2</v>
      </c>
      <c r="W51" s="429">
        <f t="shared" si="63"/>
        <v>2.7349690398078341E-2</v>
      </c>
      <c r="X51" s="429">
        <f t="shared" si="63"/>
        <v>1.9615269314492936E-2</v>
      </c>
      <c r="Y51" s="429">
        <f t="shared" si="63"/>
        <v>2.1268563832823568E-2</v>
      </c>
      <c r="Z51" s="430">
        <f t="shared" si="63"/>
        <v>2.9879290849075181E-2</v>
      </c>
      <c r="AA51" s="429">
        <f t="shared" si="63"/>
        <v>1.8863908046351317E-2</v>
      </c>
      <c r="AB51" s="429">
        <f t="shared" si="63"/>
        <v>4.086994966717971E-2</v>
      </c>
      <c r="AC51" s="429">
        <f t="shared" si="63"/>
        <v>2.9945152333098225E-2</v>
      </c>
      <c r="AD51" s="430">
        <f t="shared" si="63"/>
        <v>5.6248915401260896E-2</v>
      </c>
      <c r="AE51" s="429">
        <f>$AU51</f>
        <v>9.4593198131954943E-3</v>
      </c>
      <c r="AF51" s="429">
        <f t="shared" si="63"/>
        <v>-2.1933971820624447E-2</v>
      </c>
      <c r="AG51" s="429">
        <f t="shared" si="63"/>
        <v>1.8794292425772042E-3</v>
      </c>
      <c r="AH51" s="430">
        <f t="shared" ref="AH51" si="64">AH41*AH36+AH43*AH30+AH45*AH31+AH47*AH32+AH49*AH23</f>
        <v>1.5549506886361499E-2</v>
      </c>
      <c r="AI51" s="429">
        <f t="shared" si="63"/>
        <v>-1.1986680018241474E-2</v>
      </c>
      <c r="AJ51" s="429">
        <f t="shared" si="63"/>
        <v>3.099612396718595E-2</v>
      </c>
      <c r="AK51" s="429">
        <f t="shared" si="63"/>
        <v>2.83869906519593E-2</v>
      </c>
      <c r="AL51" s="430">
        <f t="shared" si="63"/>
        <v>-1.3900762803289082E-3</v>
      </c>
      <c r="AM51" s="150"/>
      <c r="AN51" s="429"/>
      <c r="AO51" s="429"/>
      <c r="AP51" s="429"/>
      <c r="AQ51" s="429"/>
      <c r="AR51" s="429">
        <f t="shared" ref="AR51:AX51" si="65">AR41*AR36+AR43*AR30+AR45*AR31+AR47*AR32+AR49*AR23</f>
        <v>3.7901076098207274E-2</v>
      </c>
      <c r="AS51" s="429">
        <f t="shared" si="65"/>
        <v>2.4864355528838675E-2</v>
      </c>
      <c r="AT51" s="429">
        <f t="shared" si="65"/>
        <v>3.6317419546529318E-2</v>
      </c>
      <c r="AU51" s="429">
        <f t="shared" si="65"/>
        <v>9.4593198131954943E-3</v>
      </c>
      <c r="AV51" s="429">
        <f t="shared" si="65"/>
        <v>1.0712664253042434E-2</v>
      </c>
      <c r="AW51" s="429">
        <f t="shared" si="65"/>
        <v>4.0429067137041363E-3</v>
      </c>
      <c r="AX51" s="429">
        <f t="shared" si="65"/>
        <v>1.2703834844049236E-2</v>
      </c>
      <c r="AY51" s="429">
        <f t="shared" ref="AY51:BA51" si="66">AY41*AY36+AY43*AY30+AY45*AY31+AY47*AY32+AY49*AY23</f>
        <v>2.064386551626024E-2</v>
      </c>
      <c r="AZ51" s="429">
        <f t="shared" si="66"/>
        <v>1.4966152978176378E-2</v>
      </c>
      <c r="BA51" s="429">
        <f t="shared" si="66"/>
        <v>9.4143457215934249E-3</v>
      </c>
    </row>
    <row r="52" spans="1:57" s="160" customFormat="1">
      <c r="A52" s="350"/>
      <c r="B52" s="194"/>
      <c r="C52" s="418"/>
      <c r="D52" s="418"/>
      <c r="E52" s="418"/>
      <c r="F52" s="419"/>
      <c r="G52" s="418"/>
      <c r="H52" s="418"/>
      <c r="I52" s="418"/>
      <c r="J52" s="419"/>
      <c r="K52" s="418"/>
      <c r="L52" s="418"/>
      <c r="M52" s="418"/>
      <c r="N52" s="419"/>
      <c r="O52" s="420"/>
      <c r="P52" s="418"/>
      <c r="Q52" s="418"/>
      <c r="R52" s="419"/>
      <c r="S52" s="420"/>
      <c r="T52" s="418"/>
      <c r="U52" s="418"/>
      <c r="V52" s="419"/>
      <c r="W52" s="418"/>
      <c r="X52" s="418"/>
      <c r="Y52" s="418"/>
      <c r="Z52" s="419"/>
      <c r="AA52" s="418"/>
      <c r="AB52" s="418"/>
      <c r="AC52" s="418"/>
      <c r="AD52" s="419"/>
      <c r="AE52" s="420"/>
      <c r="AF52" s="420"/>
      <c r="AG52" s="420"/>
      <c r="AH52" s="442"/>
      <c r="AI52" s="420"/>
      <c r="AJ52" s="420"/>
      <c r="AK52" s="420"/>
      <c r="AL52" s="442"/>
      <c r="AM52" s="350"/>
      <c r="AN52" s="420"/>
      <c r="AO52" s="420"/>
      <c r="AP52" s="420"/>
      <c r="AQ52" s="420"/>
      <c r="AR52" s="421"/>
      <c r="AS52" s="418"/>
      <c r="AT52" s="418"/>
      <c r="AU52" s="418"/>
      <c r="AV52" s="418"/>
      <c r="AW52" s="418"/>
      <c r="AX52" s="418"/>
      <c r="AY52" s="418"/>
      <c r="AZ52" s="418"/>
      <c r="BA52" s="418"/>
    </row>
    <row r="53" spans="1:57" s="283" customFormat="1">
      <c r="A53" s="279"/>
      <c r="B53" s="654" t="s">
        <v>209</v>
      </c>
      <c r="C53" s="281" t="str">
        <f>C$4</f>
        <v>1Q10</v>
      </c>
      <c r="D53" s="281" t="str">
        <f t="shared" ref="D53:AL53" si="67">D$4</f>
        <v>2Q10</v>
      </c>
      <c r="E53" s="281" t="str">
        <f t="shared" si="67"/>
        <v>3Q10</v>
      </c>
      <c r="F53" s="282" t="str">
        <f t="shared" si="67"/>
        <v>4Q10</v>
      </c>
      <c r="G53" s="281" t="str">
        <f t="shared" si="67"/>
        <v>1Q11</v>
      </c>
      <c r="H53" s="281" t="str">
        <f t="shared" si="67"/>
        <v>2Q11</v>
      </c>
      <c r="I53" s="281" t="str">
        <f t="shared" si="67"/>
        <v>3Q11</v>
      </c>
      <c r="J53" s="282" t="str">
        <f t="shared" si="67"/>
        <v>4Q11</v>
      </c>
      <c r="K53" s="281" t="str">
        <f t="shared" si="67"/>
        <v>1Q12</v>
      </c>
      <c r="L53" s="281" t="str">
        <f t="shared" si="67"/>
        <v>2Q12</v>
      </c>
      <c r="M53" s="281" t="str">
        <f t="shared" si="67"/>
        <v>3Q12</v>
      </c>
      <c r="N53" s="282" t="str">
        <f t="shared" si="67"/>
        <v>4Q12</v>
      </c>
      <c r="O53" s="281" t="str">
        <f t="shared" si="67"/>
        <v>1Q13</v>
      </c>
      <c r="P53" s="281" t="str">
        <f t="shared" si="67"/>
        <v>2Q13</v>
      </c>
      <c r="Q53" s="281" t="str">
        <f t="shared" si="67"/>
        <v>3Q13</v>
      </c>
      <c r="R53" s="282" t="str">
        <f t="shared" si="67"/>
        <v>4Q13</v>
      </c>
      <c r="S53" s="281" t="str">
        <f t="shared" si="67"/>
        <v>1Q14</v>
      </c>
      <c r="T53" s="281" t="str">
        <f t="shared" si="67"/>
        <v>2Q14</v>
      </c>
      <c r="U53" s="281" t="str">
        <f t="shared" si="67"/>
        <v>3Q14</v>
      </c>
      <c r="V53" s="282" t="str">
        <f t="shared" si="67"/>
        <v>4Q14</v>
      </c>
      <c r="W53" s="281" t="str">
        <f t="shared" si="67"/>
        <v>1Q15</v>
      </c>
      <c r="X53" s="281" t="str">
        <f t="shared" si="67"/>
        <v>2Q15</v>
      </c>
      <c r="Y53" s="281" t="str">
        <f t="shared" si="67"/>
        <v>3Q15</v>
      </c>
      <c r="Z53" s="282" t="str">
        <f t="shared" si="67"/>
        <v>4Q15</v>
      </c>
      <c r="AA53" s="281" t="str">
        <f t="shared" si="67"/>
        <v>1Q16</v>
      </c>
      <c r="AB53" s="281" t="str">
        <f t="shared" si="67"/>
        <v>2Q16</v>
      </c>
      <c r="AC53" s="281" t="str">
        <f t="shared" si="67"/>
        <v>3Q16</v>
      </c>
      <c r="AD53" s="282" t="str">
        <f t="shared" si="67"/>
        <v>4Q16</v>
      </c>
      <c r="AE53" s="281" t="str">
        <f t="shared" si="67"/>
        <v>1Q17</v>
      </c>
      <c r="AF53" s="281" t="str">
        <f t="shared" si="67"/>
        <v>2Q17</v>
      </c>
      <c r="AG53" s="281" t="str">
        <f t="shared" si="67"/>
        <v>3Q17</v>
      </c>
      <c r="AH53" s="282" t="str">
        <f t="shared" si="67"/>
        <v>4Q17</v>
      </c>
      <c r="AI53" s="281" t="str">
        <f t="shared" si="67"/>
        <v>1Q18e</v>
      </c>
      <c r="AJ53" s="281" t="str">
        <f t="shared" si="67"/>
        <v>2Q18e</v>
      </c>
      <c r="AK53" s="281" t="str">
        <f t="shared" si="67"/>
        <v>3Q18e</v>
      </c>
      <c r="AL53" s="282" t="str">
        <f t="shared" si="67"/>
        <v>4Q18e</v>
      </c>
      <c r="AM53" s="279"/>
      <c r="AN53" s="281">
        <f t="shared" ref="AN53:BA53" si="68">AN$4</f>
        <v>2010</v>
      </c>
      <c r="AO53" s="281">
        <f t="shared" si="68"/>
        <v>2011</v>
      </c>
      <c r="AP53" s="281">
        <f t="shared" si="68"/>
        <v>2012</v>
      </c>
      <c r="AQ53" s="281">
        <f t="shared" si="68"/>
        <v>2013</v>
      </c>
      <c r="AR53" s="281">
        <f t="shared" si="68"/>
        <v>2014</v>
      </c>
      <c r="AS53" s="281">
        <f t="shared" si="68"/>
        <v>2015</v>
      </c>
      <c r="AT53" s="281">
        <f t="shared" si="68"/>
        <v>2016</v>
      </c>
      <c r="AU53" s="281">
        <f t="shared" si="68"/>
        <v>2017</v>
      </c>
      <c r="AV53" s="281" t="str">
        <f t="shared" si="68"/>
        <v>2018e</v>
      </c>
      <c r="AW53" s="281" t="str">
        <f t="shared" si="68"/>
        <v>2019e</v>
      </c>
      <c r="AX53" s="281" t="str">
        <f t="shared" si="68"/>
        <v>2020e</v>
      </c>
      <c r="AY53" s="281" t="str">
        <f t="shared" si="68"/>
        <v>2021e</v>
      </c>
      <c r="AZ53" s="281" t="str">
        <f t="shared" si="68"/>
        <v>2022e</v>
      </c>
      <c r="BA53" s="281" t="str">
        <f t="shared" si="68"/>
        <v>2023e</v>
      </c>
    </row>
    <row r="54" spans="1:57" s="160" customFormat="1">
      <c r="A54" s="350"/>
      <c r="B54" s="194"/>
      <c r="C54" s="418"/>
      <c r="D54" s="418"/>
      <c r="E54" s="418"/>
      <c r="F54" s="419"/>
      <c r="G54" s="418"/>
      <c r="H54" s="418"/>
      <c r="I54" s="418"/>
      <c r="J54" s="419"/>
      <c r="K54" s="418"/>
      <c r="L54" s="418"/>
      <c r="M54" s="418"/>
      <c r="N54" s="419"/>
      <c r="O54" s="420"/>
      <c r="P54" s="418"/>
      <c r="Q54" s="418"/>
      <c r="R54" s="419"/>
      <c r="S54" s="420"/>
      <c r="T54" s="418"/>
      <c r="U54" s="418"/>
      <c r="V54" s="419"/>
      <c r="W54" s="418"/>
      <c r="X54" s="418"/>
      <c r="Y54" s="418"/>
      <c r="Z54" s="419"/>
      <c r="AA54" s="418"/>
      <c r="AB54" s="418"/>
      <c r="AC54" s="418"/>
      <c r="AD54" s="419"/>
      <c r="AE54" s="420"/>
      <c r="AF54" s="420"/>
      <c r="AG54" s="418"/>
      <c r="AH54" s="419"/>
      <c r="AI54" s="420"/>
      <c r="AJ54" s="420"/>
      <c r="AK54" s="420"/>
      <c r="AL54" s="442"/>
      <c r="AM54" s="350"/>
      <c r="AN54" s="420"/>
      <c r="AO54" s="420"/>
      <c r="AP54" s="420"/>
      <c r="AQ54" s="420"/>
      <c r="AR54" s="421"/>
      <c r="AS54" s="418"/>
      <c r="AT54" s="418"/>
      <c r="AU54" s="418"/>
      <c r="AV54" s="299"/>
      <c r="AW54" s="299"/>
      <c r="AX54" s="443"/>
      <c r="AY54" s="443"/>
      <c r="AZ54" s="418"/>
      <c r="BA54" s="418"/>
    </row>
    <row r="55" spans="1:57" s="168" customFormat="1" hidden="1" outlineLevel="1">
      <c r="A55" s="150"/>
      <c r="B55" s="226" t="s">
        <v>300</v>
      </c>
      <c r="C55" s="167"/>
      <c r="D55" s="167"/>
      <c r="E55" s="167"/>
      <c r="F55" s="175"/>
      <c r="G55" s="167"/>
      <c r="H55" s="167"/>
      <c r="I55" s="167"/>
      <c r="J55" s="175"/>
      <c r="K55" s="167"/>
      <c r="L55" s="167"/>
      <c r="M55" s="167"/>
      <c r="N55" s="175"/>
      <c r="O55" s="167"/>
      <c r="P55" s="167"/>
      <c r="Q55" s="167"/>
      <c r="R55" s="175"/>
      <c r="S55" s="167"/>
      <c r="T55" s="167"/>
      <c r="U55" s="167"/>
      <c r="V55" s="175"/>
      <c r="W55" s="167"/>
      <c r="X55" s="167"/>
      <c r="Y55" s="167"/>
      <c r="Z55" s="175"/>
      <c r="AA55" s="167"/>
      <c r="AB55" s="167"/>
      <c r="AC55" s="167"/>
      <c r="AD55" s="175">
        <v>975</v>
      </c>
      <c r="AE55" s="167"/>
      <c r="AF55" s="167"/>
      <c r="AG55" s="167"/>
      <c r="AH55" s="175">
        <v>1115</v>
      </c>
      <c r="AI55" s="198"/>
      <c r="AJ55" s="198"/>
      <c r="AK55" s="198"/>
      <c r="AL55" s="197"/>
      <c r="AM55" s="350"/>
      <c r="AN55" s="198"/>
      <c r="AO55" s="198"/>
      <c r="AP55" s="198"/>
      <c r="AQ55" s="198"/>
      <c r="AR55" s="198"/>
      <c r="AS55" s="198"/>
      <c r="AT55" s="167">
        <v>3837</v>
      </c>
      <c r="AU55" s="167">
        <v>4222</v>
      </c>
      <c r="AV55" s="198"/>
      <c r="AW55" s="198"/>
      <c r="AX55" s="198"/>
      <c r="AY55" s="198"/>
      <c r="AZ55" s="198"/>
      <c r="BA55" s="198"/>
    </row>
    <row r="56" spans="1:57" s="168" customFormat="1" hidden="1" outlineLevel="1">
      <c r="A56" s="150"/>
      <c r="B56" s="226" t="s">
        <v>301</v>
      </c>
      <c r="C56" s="167"/>
      <c r="D56" s="167"/>
      <c r="E56" s="167"/>
      <c r="F56" s="175"/>
      <c r="G56" s="167"/>
      <c r="H56" s="167"/>
      <c r="I56" s="167"/>
      <c r="J56" s="175"/>
      <c r="K56" s="167"/>
      <c r="L56" s="167"/>
      <c r="M56" s="167"/>
      <c r="N56" s="175"/>
      <c r="O56" s="167"/>
      <c r="P56" s="167"/>
      <c r="Q56" s="167"/>
      <c r="R56" s="175"/>
      <c r="S56" s="167"/>
      <c r="T56" s="167"/>
      <c r="U56" s="167"/>
      <c r="V56" s="175"/>
      <c r="W56" s="167"/>
      <c r="X56" s="167"/>
      <c r="Y56" s="167"/>
      <c r="Z56" s="175"/>
      <c r="AA56" s="167"/>
      <c r="AB56" s="167"/>
      <c r="AC56" s="167"/>
      <c r="AD56" s="175">
        <v>238</v>
      </c>
      <c r="AE56" s="167"/>
      <c r="AF56" s="167"/>
      <c r="AG56" s="167"/>
      <c r="AH56" s="175">
        <v>250</v>
      </c>
      <c r="AI56" s="198"/>
      <c r="AJ56" s="198"/>
      <c r="AK56" s="198"/>
      <c r="AL56" s="197"/>
      <c r="AM56" s="350"/>
      <c r="AN56" s="198"/>
      <c r="AO56" s="198"/>
      <c r="AP56" s="198"/>
      <c r="AQ56" s="198"/>
      <c r="AR56" s="198"/>
      <c r="AS56" s="198"/>
      <c r="AT56" s="167">
        <v>924</v>
      </c>
      <c r="AU56" s="167">
        <v>947</v>
      </c>
      <c r="AV56" s="198"/>
      <c r="AW56" s="198"/>
      <c r="AX56" s="198"/>
      <c r="AY56" s="198"/>
      <c r="AZ56" s="198"/>
      <c r="BA56" s="198"/>
    </row>
    <row r="57" spans="1:57" s="168" customFormat="1" hidden="1" outlineLevel="1">
      <c r="A57" s="150"/>
      <c r="B57" s="754" t="s">
        <v>302</v>
      </c>
      <c r="C57" s="202"/>
      <c r="D57" s="202"/>
      <c r="E57" s="202"/>
      <c r="F57" s="203"/>
      <c r="G57" s="202"/>
      <c r="H57" s="202"/>
      <c r="I57" s="202"/>
      <c r="J57" s="203"/>
      <c r="K57" s="202"/>
      <c r="L57" s="202"/>
      <c r="M57" s="202"/>
      <c r="N57" s="203"/>
      <c r="O57" s="202"/>
      <c r="P57" s="202"/>
      <c r="Q57" s="202"/>
      <c r="R57" s="203"/>
      <c r="S57" s="202"/>
      <c r="T57" s="202"/>
      <c r="U57" s="202"/>
      <c r="V57" s="203"/>
      <c r="W57" s="202"/>
      <c r="X57" s="202"/>
      <c r="Y57" s="202"/>
      <c r="Z57" s="203"/>
      <c r="AA57" s="202"/>
      <c r="AB57" s="202"/>
      <c r="AC57" s="202"/>
      <c r="AD57" s="203">
        <v>67</v>
      </c>
      <c r="AE57" s="202"/>
      <c r="AF57" s="202"/>
      <c r="AG57" s="202"/>
      <c r="AH57" s="203">
        <f>-76+5-20</f>
        <v>-91</v>
      </c>
      <c r="AI57" s="359"/>
      <c r="AJ57" s="359"/>
      <c r="AK57" s="359"/>
      <c r="AL57" s="755"/>
      <c r="AM57" s="350"/>
      <c r="AN57" s="359"/>
      <c r="AO57" s="359"/>
      <c r="AP57" s="359"/>
      <c r="AQ57" s="359"/>
      <c r="AR57" s="359"/>
      <c r="AS57" s="359"/>
      <c r="AT57" s="202">
        <v>-275</v>
      </c>
      <c r="AU57" s="202">
        <f>-320+5-81</f>
        <v>-396</v>
      </c>
      <c r="AV57" s="359"/>
      <c r="AW57" s="359"/>
      <c r="AX57" s="359"/>
      <c r="AY57" s="359"/>
      <c r="AZ57" s="359"/>
      <c r="BA57" s="359"/>
    </row>
    <row r="58" spans="1:57" s="453" customFormat="1" collapsed="1">
      <c r="A58" s="296"/>
      <c r="B58" s="655" t="s">
        <v>207</v>
      </c>
      <c r="C58" s="301">
        <v>970</v>
      </c>
      <c r="D58" s="301">
        <v>1016</v>
      </c>
      <c r="E58" s="301">
        <v>978</v>
      </c>
      <c r="F58" s="300">
        <f>4086-C58-D58-E58</f>
        <v>1122</v>
      </c>
      <c r="G58" s="301">
        <v>1237</v>
      </c>
      <c r="H58" s="301">
        <v>1309</v>
      </c>
      <c r="I58" s="301">
        <v>1183</v>
      </c>
      <c r="J58" s="300">
        <v>1241</v>
      </c>
      <c r="K58" s="301">
        <v>1264</v>
      </c>
      <c r="L58" s="301">
        <v>1246</v>
      </c>
      <c r="M58" s="301">
        <v>1087</v>
      </c>
      <c r="N58" s="300">
        <v>1059</v>
      </c>
      <c r="O58" s="301">
        <v>1107</v>
      </c>
      <c r="P58" s="301">
        <v>1161</v>
      </c>
      <c r="Q58" s="301">
        <v>1048</v>
      </c>
      <c r="R58" s="300">
        <v>1108</v>
      </c>
      <c r="S58" s="301">
        <v>1097</v>
      </c>
      <c r="T58" s="301">
        <v>1188</v>
      </c>
      <c r="U58" s="301">
        <v>1117</v>
      </c>
      <c r="V58" s="300">
        <v>1133</v>
      </c>
      <c r="W58" s="301">
        <v>1081</v>
      </c>
      <c r="X58" s="301">
        <v>1143</v>
      </c>
      <c r="Y58" s="301">
        <v>1064</v>
      </c>
      <c r="Z58" s="300">
        <v>1114</v>
      </c>
      <c r="AA58" s="301">
        <v>1117</v>
      </c>
      <c r="AB58" s="301">
        <v>1146</v>
      </c>
      <c r="AC58" s="301">
        <v>1077</v>
      </c>
      <c r="AD58" s="300">
        <v>1146</v>
      </c>
      <c r="AE58" s="301">
        <f>1168-20</f>
        <v>1148</v>
      </c>
      <c r="AF58" s="301">
        <f>1187-21</f>
        <v>1166</v>
      </c>
      <c r="AG58" s="301">
        <f>1205-20</f>
        <v>1185</v>
      </c>
      <c r="AH58" s="300">
        <f>1289+5-20</f>
        <v>1274</v>
      </c>
      <c r="AI58" s="299">
        <f>AE58*(1+AI63)</f>
        <v>1302.98</v>
      </c>
      <c r="AJ58" s="299">
        <f>AF58*(1+AJ63)</f>
        <v>1311.75</v>
      </c>
      <c r="AK58" s="299">
        <f>AG58*(1+AK63)</f>
        <v>1333.125</v>
      </c>
      <c r="AL58" s="302">
        <f>AH58*(1+AL63)</f>
        <v>1172.0800000000002</v>
      </c>
      <c r="AM58" s="350"/>
      <c r="AN58" s="299">
        <f>SUM(C58:F58)</f>
        <v>4086</v>
      </c>
      <c r="AO58" s="299">
        <f>SUM(G58:J58)</f>
        <v>4970</v>
      </c>
      <c r="AP58" s="299">
        <f>SUM(K58:N58)</f>
        <v>4656</v>
      </c>
      <c r="AQ58" s="299">
        <f>SUM(O58:R58)</f>
        <v>4424</v>
      </c>
      <c r="AR58" s="299">
        <f>SUM(S58:V58)</f>
        <v>4535</v>
      </c>
      <c r="AS58" s="299">
        <f>SUM(W58:Z58)</f>
        <v>4402</v>
      </c>
      <c r="AT58" s="219">
        <f>SUM(AA58:AD58)</f>
        <v>4486</v>
      </c>
      <c r="AU58" s="299">
        <f>SUM(AE58:AH58)</f>
        <v>4773</v>
      </c>
      <c r="AV58" s="299">
        <f>SUM(AI58:AL58)</f>
        <v>5119.9350000000004</v>
      </c>
      <c r="AW58" s="299">
        <f>AV58*(1+AW63)</f>
        <v>5243.0331195852295</v>
      </c>
      <c r="AX58" s="299">
        <f>AW58*(1+AX63)</f>
        <v>5414.500408810025</v>
      </c>
      <c r="AY58" s="299">
        <f>AX58*(1+AY63)</f>
        <v>5634.5666352634353</v>
      </c>
      <c r="AZ58" s="299">
        <f>AY58*(1+AZ63)</f>
        <v>5831.5857541977848</v>
      </c>
      <c r="BA58" s="299">
        <f>AZ58*(1+BA63)</f>
        <v>6003.1180336768775</v>
      </c>
    </row>
    <row r="59" spans="1:57" s="312" customFormat="1">
      <c r="A59" s="196"/>
      <c r="B59" s="656" t="s">
        <v>210</v>
      </c>
      <c r="C59" s="307"/>
      <c r="D59" s="307">
        <f t="shared" ref="D59:AL59" si="69">D58-C58</f>
        <v>46</v>
      </c>
      <c r="E59" s="307">
        <f t="shared" si="69"/>
        <v>-38</v>
      </c>
      <c r="F59" s="308">
        <f t="shared" si="69"/>
        <v>144</v>
      </c>
      <c r="G59" s="307">
        <f t="shared" si="69"/>
        <v>115</v>
      </c>
      <c r="H59" s="307">
        <f t="shared" si="69"/>
        <v>72</v>
      </c>
      <c r="I59" s="307">
        <f t="shared" si="69"/>
        <v>-126</v>
      </c>
      <c r="J59" s="308">
        <f t="shared" si="69"/>
        <v>58</v>
      </c>
      <c r="K59" s="307">
        <f t="shared" si="69"/>
        <v>23</v>
      </c>
      <c r="L59" s="307">
        <f t="shared" si="69"/>
        <v>-18</v>
      </c>
      <c r="M59" s="307">
        <f t="shared" si="69"/>
        <v>-159</v>
      </c>
      <c r="N59" s="308">
        <f t="shared" si="69"/>
        <v>-28</v>
      </c>
      <c r="O59" s="307">
        <f t="shared" si="69"/>
        <v>48</v>
      </c>
      <c r="P59" s="307">
        <f t="shared" si="69"/>
        <v>54</v>
      </c>
      <c r="Q59" s="307">
        <f t="shared" si="69"/>
        <v>-113</v>
      </c>
      <c r="R59" s="308">
        <f t="shared" si="69"/>
        <v>60</v>
      </c>
      <c r="S59" s="307">
        <f t="shared" si="69"/>
        <v>-11</v>
      </c>
      <c r="T59" s="307">
        <f t="shared" si="69"/>
        <v>91</v>
      </c>
      <c r="U59" s="307">
        <f t="shared" si="69"/>
        <v>-71</v>
      </c>
      <c r="V59" s="308">
        <f t="shared" si="69"/>
        <v>16</v>
      </c>
      <c r="W59" s="307">
        <f t="shared" si="69"/>
        <v>-52</v>
      </c>
      <c r="X59" s="307">
        <f t="shared" si="69"/>
        <v>62</v>
      </c>
      <c r="Y59" s="307">
        <f t="shared" si="69"/>
        <v>-79</v>
      </c>
      <c r="Z59" s="308">
        <f t="shared" si="69"/>
        <v>50</v>
      </c>
      <c r="AA59" s="307">
        <f t="shared" si="69"/>
        <v>3</v>
      </c>
      <c r="AB59" s="307">
        <f t="shared" si="69"/>
        <v>29</v>
      </c>
      <c r="AC59" s="307">
        <f t="shared" si="69"/>
        <v>-69</v>
      </c>
      <c r="AD59" s="308">
        <f t="shared" si="69"/>
        <v>69</v>
      </c>
      <c r="AE59" s="307">
        <f t="shared" si="69"/>
        <v>2</v>
      </c>
      <c r="AF59" s="307">
        <f t="shared" si="69"/>
        <v>18</v>
      </c>
      <c r="AG59" s="307">
        <f t="shared" si="69"/>
        <v>19</v>
      </c>
      <c r="AH59" s="308">
        <f t="shared" si="69"/>
        <v>89</v>
      </c>
      <c r="AI59" s="307">
        <f t="shared" si="69"/>
        <v>28.980000000000018</v>
      </c>
      <c r="AJ59" s="307">
        <f t="shared" si="69"/>
        <v>8.7699999999999818</v>
      </c>
      <c r="AK59" s="307">
        <f t="shared" si="69"/>
        <v>21.375</v>
      </c>
      <c r="AL59" s="308">
        <f t="shared" si="69"/>
        <v>-161.04499999999985</v>
      </c>
      <c r="AM59" s="196"/>
      <c r="AN59" s="307"/>
      <c r="AO59" s="307"/>
      <c r="AP59" s="307"/>
      <c r="AQ59" s="307"/>
      <c r="AR59" s="307"/>
      <c r="AS59" s="307"/>
      <c r="AT59" s="307"/>
      <c r="AU59" s="307"/>
      <c r="AV59" s="307"/>
      <c r="AW59" s="307"/>
      <c r="AX59" s="307"/>
      <c r="AY59" s="307"/>
      <c r="AZ59" s="307"/>
      <c r="BA59" s="307"/>
      <c r="BC59" s="453"/>
      <c r="BD59" s="453"/>
      <c r="BE59" s="453"/>
    </row>
    <row r="60" spans="1:57" s="312" customFormat="1">
      <c r="A60" s="196"/>
      <c r="B60" s="656" t="s">
        <v>211</v>
      </c>
      <c r="C60" s="307"/>
      <c r="D60" s="307"/>
      <c r="E60" s="307"/>
      <c r="F60" s="308"/>
      <c r="G60" s="307">
        <f t="shared" ref="G60:AL60" si="70">G58-C58</f>
        <v>267</v>
      </c>
      <c r="H60" s="307">
        <f t="shared" si="70"/>
        <v>293</v>
      </c>
      <c r="I60" s="307">
        <f t="shared" si="70"/>
        <v>205</v>
      </c>
      <c r="J60" s="308">
        <f t="shared" si="70"/>
        <v>119</v>
      </c>
      <c r="K60" s="307">
        <f t="shared" si="70"/>
        <v>27</v>
      </c>
      <c r="L60" s="307">
        <f t="shared" si="70"/>
        <v>-63</v>
      </c>
      <c r="M60" s="307">
        <f t="shared" si="70"/>
        <v>-96</v>
      </c>
      <c r="N60" s="308">
        <f t="shared" si="70"/>
        <v>-182</v>
      </c>
      <c r="O60" s="307">
        <f t="shared" si="70"/>
        <v>-157</v>
      </c>
      <c r="P60" s="307">
        <f t="shared" si="70"/>
        <v>-85</v>
      </c>
      <c r="Q60" s="307">
        <f t="shared" si="70"/>
        <v>-39</v>
      </c>
      <c r="R60" s="308">
        <f t="shared" si="70"/>
        <v>49</v>
      </c>
      <c r="S60" s="307">
        <f t="shared" si="70"/>
        <v>-10</v>
      </c>
      <c r="T60" s="307">
        <f t="shared" si="70"/>
        <v>27</v>
      </c>
      <c r="U60" s="307">
        <f t="shared" si="70"/>
        <v>69</v>
      </c>
      <c r="V60" s="308">
        <f t="shared" si="70"/>
        <v>25</v>
      </c>
      <c r="W60" s="307">
        <f t="shared" si="70"/>
        <v>-16</v>
      </c>
      <c r="X60" s="307">
        <f t="shared" si="70"/>
        <v>-45</v>
      </c>
      <c r="Y60" s="307">
        <f t="shared" si="70"/>
        <v>-53</v>
      </c>
      <c r="Z60" s="308">
        <f t="shared" si="70"/>
        <v>-19</v>
      </c>
      <c r="AA60" s="307">
        <f t="shared" si="70"/>
        <v>36</v>
      </c>
      <c r="AB60" s="307">
        <f t="shared" si="70"/>
        <v>3</v>
      </c>
      <c r="AC60" s="307">
        <f t="shared" si="70"/>
        <v>13</v>
      </c>
      <c r="AD60" s="308">
        <f t="shared" si="70"/>
        <v>32</v>
      </c>
      <c r="AE60" s="307">
        <f t="shared" si="70"/>
        <v>31</v>
      </c>
      <c r="AF60" s="307">
        <f t="shared" si="70"/>
        <v>20</v>
      </c>
      <c r="AG60" s="307">
        <f t="shared" si="70"/>
        <v>108</v>
      </c>
      <c r="AH60" s="308">
        <f t="shared" si="70"/>
        <v>128</v>
      </c>
      <c r="AI60" s="307">
        <f t="shared" si="70"/>
        <v>154.98000000000002</v>
      </c>
      <c r="AJ60" s="307">
        <f t="shared" si="70"/>
        <v>145.75</v>
      </c>
      <c r="AK60" s="307">
        <f t="shared" si="70"/>
        <v>148.125</v>
      </c>
      <c r="AL60" s="308">
        <f t="shared" si="70"/>
        <v>-101.91999999999985</v>
      </c>
      <c r="AM60" s="196"/>
      <c r="AN60" s="307"/>
      <c r="AO60" s="307">
        <f t="shared" ref="AO60:BA60" si="71">AO58-AN58</f>
        <v>884</v>
      </c>
      <c r="AP60" s="307">
        <f t="shared" si="71"/>
        <v>-314</v>
      </c>
      <c r="AQ60" s="307">
        <f t="shared" si="71"/>
        <v>-232</v>
      </c>
      <c r="AR60" s="307">
        <f t="shared" si="71"/>
        <v>111</v>
      </c>
      <c r="AS60" s="307">
        <f t="shared" si="71"/>
        <v>-133</v>
      </c>
      <c r="AT60" s="307">
        <f t="shared" si="71"/>
        <v>84</v>
      </c>
      <c r="AU60" s="307">
        <f t="shared" si="71"/>
        <v>287</v>
      </c>
      <c r="AV60" s="307">
        <f>AV58-AU58</f>
        <v>346.9350000000004</v>
      </c>
      <c r="AW60" s="307">
        <f t="shared" si="71"/>
        <v>123.09811958522914</v>
      </c>
      <c r="AX60" s="307">
        <f t="shared" si="71"/>
        <v>171.46728922479542</v>
      </c>
      <c r="AY60" s="307">
        <f t="shared" si="71"/>
        <v>220.06622645341031</v>
      </c>
      <c r="AZ60" s="307">
        <f t="shared" si="71"/>
        <v>197.01911893434954</v>
      </c>
      <c r="BA60" s="307">
        <f t="shared" si="71"/>
        <v>171.53227947909272</v>
      </c>
      <c r="BC60" s="453"/>
      <c r="BD60" s="453"/>
    </row>
    <row r="61" spans="1:57" s="312" customFormat="1">
      <c r="A61" s="196"/>
      <c r="B61" s="656" t="s">
        <v>212</v>
      </c>
      <c r="C61" s="307"/>
      <c r="D61" s="307"/>
      <c r="E61" s="307"/>
      <c r="F61" s="308"/>
      <c r="G61" s="307"/>
      <c r="H61" s="307"/>
      <c r="I61" s="307"/>
      <c r="J61" s="308"/>
      <c r="K61" s="307">
        <f t="shared" ref="K61:AL61" si="72">G60+K60</f>
        <v>294</v>
      </c>
      <c r="L61" s="307">
        <f t="shared" si="72"/>
        <v>230</v>
      </c>
      <c r="M61" s="307">
        <f t="shared" si="72"/>
        <v>109</v>
      </c>
      <c r="N61" s="308">
        <f t="shared" si="72"/>
        <v>-63</v>
      </c>
      <c r="O61" s="307">
        <f t="shared" si="72"/>
        <v>-130</v>
      </c>
      <c r="P61" s="307">
        <f t="shared" si="72"/>
        <v>-148</v>
      </c>
      <c r="Q61" s="307">
        <f t="shared" si="72"/>
        <v>-135</v>
      </c>
      <c r="R61" s="308">
        <f t="shared" si="72"/>
        <v>-133</v>
      </c>
      <c r="S61" s="307">
        <f t="shared" si="72"/>
        <v>-167</v>
      </c>
      <c r="T61" s="307">
        <f t="shared" si="72"/>
        <v>-58</v>
      </c>
      <c r="U61" s="307">
        <f t="shared" si="72"/>
        <v>30</v>
      </c>
      <c r="V61" s="308">
        <f t="shared" si="72"/>
        <v>74</v>
      </c>
      <c r="W61" s="307">
        <f t="shared" si="72"/>
        <v>-26</v>
      </c>
      <c r="X61" s="307">
        <f t="shared" si="72"/>
        <v>-18</v>
      </c>
      <c r="Y61" s="307">
        <f t="shared" si="72"/>
        <v>16</v>
      </c>
      <c r="Z61" s="308">
        <f t="shared" si="72"/>
        <v>6</v>
      </c>
      <c r="AA61" s="307">
        <f t="shared" si="72"/>
        <v>20</v>
      </c>
      <c r="AB61" s="307">
        <f t="shared" si="72"/>
        <v>-42</v>
      </c>
      <c r="AC61" s="307">
        <f t="shared" si="72"/>
        <v>-40</v>
      </c>
      <c r="AD61" s="308">
        <f t="shared" si="72"/>
        <v>13</v>
      </c>
      <c r="AE61" s="307">
        <f t="shared" si="72"/>
        <v>67</v>
      </c>
      <c r="AF61" s="307">
        <f t="shared" si="72"/>
        <v>23</v>
      </c>
      <c r="AG61" s="307">
        <f t="shared" si="72"/>
        <v>121</v>
      </c>
      <c r="AH61" s="308">
        <f t="shared" si="72"/>
        <v>160</v>
      </c>
      <c r="AI61" s="307">
        <f t="shared" si="72"/>
        <v>185.98000000000002</v>
      </c>
      <c r="AJ61" s="307">
        <f t="shared" si="72"/>
        <v>165.75</v>
      </c>
      <c r="AK61" s="307">
        <f t="shared" si="72"/>
        <v>256.125</v>
      </c>
      <c r="AL61" s="308">
        <f t="shared" si="72"/>
        <v>26.080000000000155</v>
      </c>
      <c r="AM61" s="196"/>
      <c r="AN61" s="307"/>
      <c r="AO61" s="307"/>
      <c r="AP61" s="307">
        <f t="shared" ref="AP61:AU61" si="73">AO60+AP60</f>
        <v>570</v>
      </c>
      <c r="AQ61" s="307">
        <f t="shared" si="73"/>
        <v>-546</v>
      </c>
      <c r="AR61" s="307">
        <f t="shared" si="73"/>
        <v>-121</v>
      </c>
      <c r="AS61" s="307">
        <f t="shared" si="73"/>
        <v>-22</v>
      </c>
      <c r="AT61" s="307">
        <f t="shared" si="73"/>
        <v>-49</v>
      </c>
      <c r="AU61" s="307">
        <f t="shared" si="73"/>
        <v>371</v>
      </c>
      <c r="AV61" s="307">
        <f t="shared" ref="AV61:BA61" si="74">AE60+AV60</f>
        <v>377.9350000000004</v>
      </c>
      <c r="AW61" s="307">
        <f t="shared" si="74"/>
        <v>143.09811958522914</v>
      </c>
      <c r="AX61" s="307">
        <f t="shared" si="74"/>
        <v>279.46728922479542</v>
      </c>
      <c r="AY61" s="307">
        <f t="shared" si="74"/>
        <v>348.06622645341031</v>
      </c>
      <c r="AZ61" s="307">
        <f t="shared" si="74"/>
        <v>351.99911893434955</v>
      </c>
      <c r="BA61" s="307">
        <f t="shared" si="74"/>
        <v>317.28227947909272</v>
      </c>
      <c r="BC61" s="453"/>
      <c r="BD61" s="453"/>
    </row>
    <row r="62" spans="1:57" s="173" customFormat="1">
      <c r="A62" s="169"/>
      <c r="B62" s="657" t="s">
        <v>194</v>
      </c>
      <c r="C62" s="171"/>
      <c r="D62" s="171">
        <f t="shared" ref="D62:AL62" si="75">D58/C58-1</f>
        <v>4.7422680412371188E-2</v>
      </c>
      <c r="E62" s="171">
        <f t="shared" si="75"/>
        <v>-3.7401574803149651E-2</v>
      </c>
      <c r="F62" s="172">
        <f t="shared" si="75"/>
        <v>0.14723926380368102</v>
      </c>
      <c r="G62" s="171">
        <f t="shared" si="75"/>
        <v>0.1024955436720143</v>
      </c>
      <c r="H62" s="171">
        <f t="shared" si="75"/>
        <v>5.8205335489086574E-2</v>
      </c>
      <c r="I62" s="171">
        <f t="shared" si="75"/>
        <v>-9.6256684491978661E-2</v>
      </c>
      <c r="J62" s="172">
        <f t="shared" si="75"/>
        <v>4.9027895181741332E-2</v>
      </c>
      <c r="K62" s="171">
        <f t="shared" si="75"/>
        <v>1.8533440773569776E-2</v>
      </c>
      <c r="L62" s="171">
        <f t="shared" si="75"/>
        <v>-1.4240506329113889E-2</v>
      </c>
      <c r="M62" s="171">
        <f t="shared" si="75"/>
        <v>-0.1276083467094703</v>
      </c>
      <c r="N62" s="172">
        <f t="shared" si="75"/>
        <v>-2.575896964121438E-2</v>
      </c>
      <c r="O62" s="171">
        <f t="shared" si="75"/>
        <v>4.5325779036827107E-2</v>
      </c>
      <c r="P62" s="171">
        <f t="shared" si="75"/>
        <v>4.8780487804878092E-2</v>
      </c>
      <c r="Q62" s="171">
        <f t="shared" si="75"/>
        <v>-9.7329888027562483E-2</v>
      </c>
      <c r="R62" s="172">
        <f t="shared" si="75"/>
        <v>5.7251908396946494E-2</v>
      </c>
      <c r="S62" s="171">
        <f t="shared" si="75"/>
        <v>-9.9277978339350481E-3</v>
      </c>
      <c r="T62" s="171">
        <f t="shared" si="75"/>
        <v>8.2953509571558781E-2</v>
      </c>
      <c r="U62" s="171">
        <f t="shared" si="75"/>
        <v>-5.9764309764309798E-2</v>
      </c>
      <c r="V62" s="172">
        <f t="shared" si="75"/>
        <v>1.43240823634736E-2</v>
      </c>
      <c r="W62" s="171">
        <f t="shared" si="75"/>
        <v>-4.5895851721094449E-2</v>
      </c>
      <c r="X62" s="171">
        <f t="shared" si="75"/>
        <v>5.7354301572617894E-2</v>
      </c>
      <c r="Y62" s="171">
        <f t="shared" si="75"/>
        <v>-6.9116360454943182E-2</v>
      </c>
      <c r="Z62" s="172">
        <f t="shared" si="75"/>
        <v>4.6992481203007586E-2</v>
      </c>
      <c r="AA62" s="171">
        <f t="shared" si="75"/>
        <v>2.6929982046679513E-3</v>
      </c>
      <c r="AB62" s="171">
        <f t="shared" si="75"/>
        <v>2.5962399283795845E-2</v>
      </c>
      <c r="AC62" s="171">
        <f t="shared" si="75"/>
        <v>-6.0209424083769614E-2</v>
      </c>
      <c r="AD62" s="172">
        <f t="shared" si="75"/>
        <v>6.4066852367687943E-2</v>
      </c>
      <c r="AE62" s="171">
        <f t="shared" si="75"/>
        <v>1.7452006980802626E-3</v>
      </c>
      <c r="AF62" s="171">
        <f t="shared" si="75"/>
        <v>1.5679442508710784E-2</v>
      </c>
      <c r="AG62" s="171">
        <f t="shared" si="75"/>
        <v>1.6295025728988E-2</v>
      </c>
      <c r="AH62" s="172">
        <f t="shared" si="75"/>
        <v>7.5105485232067615E-2</v>
      </c>
      <c r="AI62" s="171">
        <f t="shared" si="75"/>
        <v>2.2747252747252755E-2</v>
      </c>
      <c r="AJ62" s="171">
        <f t="shared" si="75"/>
        <v>6.7307249535679681E-3</v>
      </c>
      <c r="AK62" s="171">
        <f t="shared" si="75"/>
        <v>1.6295025728988E-2</v>
      </c>
      <c r="AL62" s="172">
        <f t="shared" si="75"/>
        <v>-0.12080262541022024</v>
      </c>
      <c r="AM62" s="169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C62" s="453"/>
      <c r="BD62" s="453"/>
    </row>
    <row r="63" spans="1:57" s="173" customFormat="1">
      <c r="A63" s="169"/>
      <c r="B63" s="657" t="s">
        <v>26</v>
      </c>
      <c r="C63" s="171"/>
      <c r="D63" s="171"/>
      <c r="E63" s="171"/>
      <c r="F63" s="172"/>
      <c r="G63" s="171">
        <f>G58/C58-1</f>
        <v>0.2752577319587628</v>
      </c>
      <c r="H63" s="171">
        <f t="shared" ref="H63:AH63" si="76">H58/D58-1</f>
        <v>0.28838582677165348</v>
      </c>
      <c r="I63" s="171">
        <f t="shared" si="76"/>
        <v>0.20961145194274033</v>
      </c>
      <c r="J63" s="172">
        <f t="shared" si="76"/>
        <v>0.10606060606060597</v>
      </c>
      <c r="K63" s="171">
        <f t="shared" si="76"/>
        <v>2.1827000808407382E-2</v>
      </c>
      <c r="L63" s="171">
        <f t="shared" si="76"/>
        <v>-4.8128342245989275E-2</v>
      </c>
      <c r="M63" s="171">
        <f t="shared" si="76"/>
        <v>-8.1149619611158075E-2</v>
      </c>
      <c r="N63" s="172">
        <f t="shared" si="76"/>
        <v>-0.14665592264302985</v>
      </c>
      <c r="O63" s="171">
        <f t="shared" si="76"/>
        <v>-0.12420886075949367</v>
      </c>
      <c r="P63" s="171">
        <f t="shared" si="76"/>
        <v>-6.8218298555377199E-2</v>
      </c>
      <c r="Q63" s="171">
        <f t="shared" si="76"/>
        <v>-3.5878564857405704E-2</v>
      </c>
      <c r="R63" s="172">
        <f t="shared" si="76"/>
        <v>4.627006610009432E-2</v>
      </c>
      <c r="S63" s="171">
        <f t="shared" si="76"/>
        <v>-9.0334236675699842E-3</v>
      </c>
      <c r="T63" s="171">
        <f t="shared" si="76"/>
        <v>2.3255813953488413E-2</v>
      </c>
      <c r="U63" s="171">
        <f t="shared" si="76"/>
        <v>6.5839694656488534E-2</v>
      </c>
      <c r="V63" s="172">
        <f t="shared" si="76"/>
        <v>2.2563176895306958E-2</v>
      </c>
      <c r="W63" s="171">
        <f t="shared" si="76"/>
        <v>-1.4585232452142161E-2</v>
      </c>
      <c r="X63" s="171">
        <f t="shared" si="76"/>
        <v>-3.7878787878787845E-2</v>
      </c>
      <c r="Y63" s="171">
        <f t="shared" si="76"/>
        <v>-4.7448522829006246E-2</v>
      </c>
      <c r="Z63" s="172">
        <f t="shared" si="76"/>
        <v>-1.6769638128861453E-2</v>
      </c>
      <c r="AA63" s="171">
        <f t="shared" si="76"/>
        <v>3.3302497687326627E-2</v>
      </c>
      <c r="AB63" s="171">
        <f t="shared" si="76"/>
        <v>2.624671916010568E-3</v>
      </c>
      <c r="AC63" s="171">
        <f t="shared" si="76"/>
        <v>1.2218045112782017E-2</v>
      </c>
      <c r="AD63" s="172">
        <f t="shared" si="76"/>
        <v>2.8725314183123851E-2</v>
      </c>
      <c r="AE63" s="171">
        <f t="shared" si="76"/>
        <v>2.7752909579230156E-2</v>
      </c>
      <c r="AF63" s="171">
        <f t="shared" si="76"/>
        <v>1.7452006980802848E-2</v>
      </c>
      <c r="AG63" s="171">
        <f t="shared" si="76"/>
        <v>0.10027855153203347</v>
      </c>
      <c r="AH63" s="172">
        <f t="shared" si="76"/>
        <v>0.11169284467713791</v>
      </c>
      <c r="AI63" s="233">
        <v>0.13500000000000001</v>
      </c>
      <c r="AJ63" s="233">
        <v>0.125</v>
      </c>
      <c r="AK63" s="233">
        <v>0.125</v>
      </c>
      <c r="AL63" s="232">
        <v>-0.08</v>
      </c>
      <c r="AM63" s="169"/>
      <c r="AN63" s="171"/>
      <c r="AO63" s="171">
        <f>AO58/AN58-1</f>
        <v>0.21634850709740583</v>
      </c>
      <c r="AP63" s="171">
        <f t="shared" ref="AP63:AU63" si="77">AP58/AO58-1</f>
        <v>-6.3179074446680028E-2</v>
      </c>
      <c r="AQ63" s="171">
        <f t="shared" si="77"/>
        <v>-4.9828178694158121E-2</v>
      </c>
      <c r="AR63" s="171">
        <f t="shared" si="77"/>
        <v>2.5090415913200825E-2</v>
      </c>
      <c r="AS63" s="171">
        <f t="shared" si="77"/>
        <v>-2.9327453142227178E-2</v>
      </c>
      <c r="AT63" s="171">
        <f t="shared" si="77"/>
        <v>1.9082235347569254E-2</v>
      </c>
      <c r="AU63" s="171">
        <f t="shared" si="77"/>
        <v>6.39768167632635E-2</v>
      </c>
      <c r="AV63" s="171">
        <f>AV58/AU58-1</f>
        <v>7.2686989314896477E-2</v>
      </c>
      <c r="AW63" s="233">
        <f>AW51+AW65</f>
        <v>2.4042906713704137E-2</v>
      </c>
      <c r="AX63" s="233">
        <f>AX51+AX65</f>
        <v>3.2703834844049234E-2</v>
      </c>
      <c r="AY63" s="233">
        <f>AY51+AY65</f>
        <v>4.0643865516260244E-2</v>
      </c>
      <c r="AZ63" s="233">
        <f>AZ51+AZ65</f>
        <v>3.4966152978176381E-2</v>
      </c>
      <c r="BA63" s="233">
        <f>BA51+BA65</f>
        <v>2.9414345721593425E-2</v>
      </c>
      <c r="BC63" s="453"/>
      <c r="BD63" s="453"/>
    </row>
    <row r="64" spans="1:57" s="173" customFormat="1">
      <c r="A64" s="169"/>
      <c r="B64" s="658" t="s">
        <v>273</v>
      </c>
      <c r="C64" s="171"/>
      <c r="D64" s="171"/>
      <c r="E64" s="171"/>
      <c r="F64" s="172"/>
      <c r="G64" s="171">
        <f>G63-G$29</f>
        <v>0.20130029830230489</v>
      </c>
      <c r="H64" s="171">
        <f t="shared" ref="H64:AL64" si="78">H63-H$29</f>
        <v>0.30195057495957578</v>
      </c>
      <c r="I64" s="171">
        <f t="shared" si="78"/>
        <v>0.15758464015112184</v>
      </c>
      <c r="J64" s="172">
        <f t="shared" si="78"/>
        <v>8.1424493339567139E-2</v>
      </c>
      <c r="K64" s="171">
        <f t="shared" si="78"/>
        <v>-5.0848442323466303E-2</v>
      </c>
      <c r="L64" s="171">
        <f t="shared" si="78"/>
        <v>-0.16931385828905965</v>
      </c>
      <c r="M64" s="171">
        <f t="shared" si="78"/>
        <v>-0.10768013849062541</v>
      </c>
      <c r="N64" s="172">
        <f t="shared" si="78"/>
        <v>-0.16765729251772854</v>
      </c>
      <c r="O64" s="171">
        <f t="shared" si="78"/>
        <v>-0.12498106255694819</v>
      </c>
      <c r="P64" s="171">
        <f t="shared" si="78"/>
        <v>-0.10693116930428914</v>
      </c>
      <c r="Q64" s="171">
        <f t="shared" si="78"/>
        <v>-8.6343027435538677E-2</v>
      </c>
      <c r="R64" s="172">
        <f t="shared" si="78"/>
        <v>-2.7064599435666414E-2</v>
      </c>
      <c r="S64" s="171">
        <f t="shared" si="78"/>
        <v>-6.0994984850308187E-2</v>
      </c>
      <c r="T64" s="171">
        <f t="shared" si="78"/>
        <v>-1.3258422497526734E-2</v>
      </c>
      <c r="U64" s="171">
        <f t="shared" si="78"/>
        <v>4.4751510138265616E-2</v>
      </c>
      <c r="V64" s="172">
        <f t="shared" si="78"/>
        <v>5.2491137898187379E-3</v>
      </c>
      <c r="W64" s="171">
        <f t="shared" si="78"/>
        <v>-3.4938896117907681E-2</v>
      </c>
      <c r="X64" s="171">
        <f t="shared" si="78"/>
        <v>-4.1332502481560507E-2</v>
      </c>
      <c r="Y64" s="171">
        <f t="shared" si="78"/>
        <v>-3.9797039183658733E-2</v>
      </c>
      <c r="Z64" s="172">
        <f t="shared" si="78"/>
        <v>-6.102990969379618E-2</v>
      </c>
      <c r="AA64" s="171">
        <f t="shared" si="78"/>
        <v>1.6458503123920609E-2</v>
      </c>
      <c r="AB64" s="171">
        <f t="shared" si="78"/>
        <v>-3.1479125159388444E-2</v>
      </c>
      <c r="AC64" s="171">
        <f t="shared" si="78"/>
        <v>-5.7003491028013054E-2</v>
      </c>
      <c r="AD64" s="172">
        <f t="shared" si="78"/>
        <v>-4.6971557083535842E-2</v>
      </c>
      <c r="AE64" s="171">
        <f t="shared" si="78"/>
        <v>-2.8400487234171434E-2</v>
      </c>
      <c r="AF64" s="171">
        <f t="shared" si="78"/>
        <v>1.6665369435987953E-2</v>
      </c>
      <c r="AG64" s="171">
        <f t="shared" si="78"/>
        <v>7.8662765639954335E-2</v>
      </c>
      <c r="AH64" s="172">
        <f t="shared" ref="AH64" si="79">AH63-AH$29</f>
        <v>0.10114762219485995</v>
      </c>
      <c r="AI64" s="171">
        <f>AI63-AI$29</f>
        <v>0.14339319606829593</v>
      </c>
      <c r="AJ64" s="171">
        <f t="shared" si="78"/>
        <v>8.6450894178812909E-2</v>
      </c>
      <c r="AK64" s="171">
        <f t="shared" si="78"/>
        <v>0.10470539151349589</v>
      </c>
      <c r="AL64" s="172">
        <f t="shared" si="78"/>
        <v>-8.394545649699918E-2</v>
      </c>
      <c r="AM64" s="169"/>
      <c r="AN64" s="171"/>
      <c r="AO64" s="171">
        <f>AO63-AO$29</f>
        <v>0.18255965613918468</v>
      </c>
      <c r="AP64" s="171">
        <f t="shared" ref="AP64" si="80">AP63-AP$29</f>
        <v>-0.12269299240275933</v>
      </c>
      <c r="AQ64" s="171">
        <f t="shared" ref="AQ64" si="81">AQ63-AQ$29</f>
        <v>-9.0201485932666747E-2</v>
      </c>
      <c r="AR64" s="171">
        <f t="shared" ref="AR64" si="82">AR63-AR$29</f>
        <v>-6.6038306825217941E-3</v>
      </c>
      <c r="AS64" s="171">
        <f t="shared" ref="AS64" si="83">AS63-AS$29</f>
        <v>-4.4874398542967597E-2</v>
      </c>
      <c r="AT64" s="171">
        <f t="shared" ref="AT64" si="84">AT63-AT$29</f>
        <v>-2.9674042873439443E-2</v>
      </c>
      <c r="AU64" s="171">
        <f t="shared" ref="AU64" si="85">AU63-AU$29</f>
        <v>4.195059442925686E-2</v>
      </c>
      <c r="AV64" s="171">
        <f t="shared" ref="AV64" si="86">AV63-AV$29</f>
        <v>5.9665545292610034E-2</v>
      </c>
      <c r="AW64" s="171">
        <f t="shared" ref="AW64" si="87">AW63-AW$29</f>
        <v>6.5027667366973733E-3</v>
      </c>
      <c r="AX64" s="171">
        <f t="shared" ref="AX64" si="88">AX63-AX$29</f>
        <v>1.350124982281295E-2</v>
      </c>
      <c r="AY64" s="171">
        <f t="shared" ref="AY64" si="89">AY63-AY$29</f>
        <v>1.7676851966432802E-2</v>
      </c>
      <c r="AZ64" s="171">
        <f t="shared" ref="AZ64" si="90">AZ63-AZ$29</f>
        <v>1.5108567840855104E-2</v>
      </c>
      <c r="BA64" s="171">
        <f t="shared" ref="BA64" si="91">BA63-BA$29</f>
        <v>1.4113295018876724E-2</v>
      </c>
      <c r="BC64" s="453"/>
      <c r="BD64" s="453"/>
    </row>
    <row r="65" spans="1:56" s="173" customFormat="1">
      <c r="A65" s="169"/>
      <c r="B65" s="658" t="s">
        <v>213</v>
      </c>
      <c r="C65" s="171"/>
      <c r="D65" s="171"/>
      <c r="E65" s="171"/>
      <c r="F65" s="172"/>
      <c r="G65" s="171"/>
      <c r="H65" s="171"/>
      <c r="I65" s="171"/>
      <c r="J65" s="172"/>
      <c r="K65" s="171"/>
      <c r="L65" s="171"/>
      <c r="M65" s="171"/>
      <c r="N65" s="172"/>
      <c r="O65" s="171"/>
      <c r="P65" s="171"/>
      <c r="Q65" s="171"/>
      <c r="R65" s="172"/>
      <c r="S65" s="171">
        <f>S63-S$51</f>
        <v>-6.9672632912880728E-2</v>
      </c>
      <c r="T65" s="171">
        <f t="shared" ref="T65:AL65" si="92">T63-T$51</f>
        <v>-1.4402477612346344E-2</v>
      </c>
      <c r="U65" s="171">
        <f t="shared" si="92"/>
        <v>3.2369142674975135E-2</v>
      </c>
      <c r="V65" s="172">
        <f t="shared" si="92"/>
        <v>1.1740403665524077E-3</v>
      </c>
      <c r="W65" s="171">
        <f t="shared" si="92"/>
        <v>-4.1934922850220505E-2</v>
      </c>
      <c r="X65" s="171">
        <f t="shared" si="92"/>
        <v>-5.7494057193280781E-2</v>
      </c>
      <c r="Y65" s="171">
        <f t="shared" si="92"/>
        <v>-6.871708666182981E-2</v>
      </c>
      <c r="Z65" s="172">
        <f t="shared" si="92"/>
        <v>-4.6648928977936634E-2</v>
      </c>
      <c r="AA65" s="171">
        <f t="shared" si="92"/>
        <v>1.4438589640975309E-2</v>
      </c>
      <c r="AB65" s="171">
        <f t="shared" si="92"/>
        <v>-3.8245277751169142E-2</v>
      </c>
      <c r="AC65" s="171">
        <f t="shared" si="92"/>
        <v>-1.7727107220316209E-2</v>
      </c>
      <c r="AD65" s="172">
        <f t="shared" si="92"/>
        <v>-2.7523601218137045E-2</v>
      </c>
      <c r="AE65" s="171">
        <f t="shared" si="92"/>
        <v>1.8293589766034662E-2</v>
      </c>
      <c r="AF65" s="171">
        <f t="shared" si="92"/>
        <v>3.9385978801427295E-2</v>
      </c>
      <c r="AG65" s="171">
        <f t="shared" si="92"/>
        <v>9.8399122289456256E-2</v>
      </c>
      <c r="AH65" s="172">
        <f t="shared" ref="AH65" si="93">AH63-AH$51</f>
        <v>9.6143337790776412E-2</v>
      </c>
      <c r="AI65" s="171">
        <f>AI63-AI$51</f>
        <v>0.14698668001824147</v>
      </c>
      <c r="AJ65" s="171">
        <f t="shared" si="92"/>
        <v>9.4003876032814043E-2</v>
      </c>
      <c r="AK65" s="171">
        <f t="shared" si="92"/>
        <v>9.6613009348040707E-2</v>
      </c>
      <c r="AL65" s="172">
        <f t="shared" si="92"/>
        <v>-7.8609923719671099E-2</v>
      </c>
      <c r="AM65" s="169"/>
      <c r="AN65" s="171"/>
      <c r="AO65" s="171"/>
      <c r="AP65" s="171"/>
      <c r="AQ65" s="171"/>
      <c r="AR65" s="171">
        <f>AR63-AR$51</f>
        <v>-1.2810660185006449E-2</v>
      </c>
      <c r="AS65" s="171">
        <f t="shared" ref="AS65:AU65" si="94">AS63-AS$51</f>
        <v>-5.419180867106585E-2</v>
      </c>
      <c r="AT65" s="171">
        <f t="shared" si="94"/>
        <v>-1.7235184198960064E-2</v>
      </c>
      <c r="AU65" s="171">
        <f t="shared" si="94"/>
        <v>5.4517496950068009E-2</v>
      </c>
      <c r="AV65" s="171">
        <f>AV63-AV$51</f>
        <v>6.1974325061854046E-2</v>
      </c>
      <c r="AW65" s="233">
        <v>0.02</v>
      </c>
      <c r="AX65" s="233">
        <f>AW65</f>
        <v>0.02</v>
      </c>
      <c r="AY65" s="233">
        <f>AX65</f>
        <v>0.02</v>
      </c>
      <c r="AZ65" s="233">
        <f>AY65</f>
        <v>0.02</v>
      </c>
      <c r="BA65" s="233">
        <f>AZ65</f>
        <v>0.02</v>
      </c>
      <c r="BC65" s="453"/>
      <c r="BD65" s="453"/>
    </row>
    <row r="66" spans="1:56" s="173" customFormat="1">
      <c r="A66" s="169"/>
      <c r="B66" s="657" t="s">
        <v>214</v>
      </c>
      <c r="C66" s="171"/>
      <c r="D66" s="171"/>
      <c r="E66" s="171"/>
      <c r="F66" s="172"/>
      <c r="G66" s="171"/>
      <c r="H66" s="171"/>
      <c r="I66" s="171"/>
      <c r="J66" s="172"/>
      <c r="K66" s="171">
        <f t="shared" ref="K66:AL66" si="95">G63+K63</f>
        <v>0.29708473276717018</v>
      </c>
      <c r="L66" s="171">
        <f t="shared" si="95"/>
        <v>0.2402574845256642</v>
      </c>
      <c r="M66" s="171">
        <f t="shared" si="95"/>
        <v>0.12846183233158226</v>
      </c>
      <c r="N66" s="172">
        <f t="shared" si="95"/>
        <v>-4.0595316582423879E-2</v>
      </c>
      <c r="O66" s="171">
        <f t="shared" si="95"/>
        <v>-0.10238185995108628</v>
      </c>
      <c r="P66" s="171">
        <f t="shared" si="95"/>
        <v>-0.11634664080136647</v>
      </c>
      <c r="Q66" s="171">
        <f t="shared" si="95"/>
        <v>-0.11702818446856378</v>
      </c>
      <c r="R66" s="172">
        <f t="shared" si="95"/>
        <v>-0.10038585654293553</v>
      </c>
      <c r="S66" s="171">
        <f t="shared" si="95"/>
        <v>-0.13324228442706365</v>
      </c>
      <c r="T66" s="171">
        <f t="shared" si="95"/>
        <v>-4.4962484601888786E-2</v>
      </c>
      <c r="U66" s="171">
        <f t="shared" si="95"/>
        <v>2.9961129799082831E-2</v>
      </c>
      <c r="V66" s="172">
        <f t="shared" si="95"/>
        <v>6.8833242995401278E-2</v>
      </c>
      <c r="W66" s="171">
        <f t="shared" si="95"/>
        <v>-2.3618656119712145E-2</v>
      </c>
      <c r="X66" s="171">
        <f t="shared" si="95"/>
        <v>-1.4622973925299432E-2</v>
      </c>
      <c r="Y66" s="171">
        <f t="shared" si="95"/>
        <v>1.8391171827482289E-2</v>
      </c>
      <c r="Z66" s="172">
        <f t="shared" si="95"/>
        <v>5.7935387664455051E-3</v>
      </c>
      <c r="AA66" s="171">
        <f t="shared" si="95"/>
        <v>1.8717265235184466E-2</v>
      </c>
      <c r="AB66" s="171">
        <f t="shared" si="95"/>
        <v>-3.5254115962777277E-2</v>
      </c>
      <c r="AC66" s="171">
        <f t="shared" si="95"/>
        <v>-3.5230477716224229E-2</v>
      </c>
      <c r="AD66" s="172">
        <f t="shared" si="95"/>
        <v>1.1955676054262399E-2</v>
      </c>
      <c r="AE66" s="171">
        <f t="shared" si="95"/>
        <v>6.1055407266556783E-2</v>
      </c>
      <c r="AF66" s="171">
        <f t="shared" si="95"/>
        <v>2.0076678896813416E-2</v>
      </c>
      <c r="AG66" s="171">
        <f t="shared" si="95"/>
        <v>0.11249659664481548</v>
      </c>
      <c r="AH66" s="172">
        <f t="shared" si="95"/>
        <v>0.14041815886026177</v>
      </c>
      <c r="AI66" s="171">
        <f t="shared" si="95"/>
        <v>0.16275290957923016</v>
      </c>
      <c r="AJ66" s="171">
        <f t="shared" si="95"/>
        <v>0.14245200698080285</v>
      </c>
      <c r="AK66" s="171">
        <f t="shared" si="95"/>
        <v>0.22527855153203347</v>
      </c>
      <c r="AL66" s="172">
        <f t="shared" si="95"/>
        <v>3.1692844677137913E-2</v>
      </c>
      <c r="AM66" s="169"/>
      <c r="AN66" s="171"/>
      <c r="AO66" s="171"/>
      <c r="AP66" s="171">
        <f t="shared" ref="AP66:BA66" si="96">AO63+AP63</f>
        <v>0.1531694326507258</v>
      </c>
      <c r="AQ66" s="171">
        <f t="shared" si="96"/>
        <v>-0.11300725314083815</v>
      </c>
      <c r="AR66" s="171">
        <f t="shared" si="96"/>
        <v>-2.4737762780957295E-2</v>
      </c>
      <c r="AS66" s="171">
        <f t="shared" si="96"/>
        <v>-4.2370372290263525E-3</v>
      </c>
      <c r="AT66" s="171">
        <f t="shared" si="96"/>
        <v>-1.0245217794657924E-2</v>
      </c>
      <c r="AU66" s="171">
        <f t="shared" si="96"/>
        <v>8.3059052110832754E-2</v>
      </c>
      <c r="AV66" s="171">
        <f>AU63+AV63</f>
        <v>0.13666380607815998</v>
      </c>
      <c r="AW66" s="171">
        <f t="shared" si="96"/>
        <v>9.6729896028600618E-2</v>
      </c>
      <c r="AX66" s="171">
        <f t="shared" si="96"/>
        <v>5.6746741557753375E-2</v>
      </c>
      <c r="AY66" s="171">
        <f t="shared" si="96"/>
        <v>7.3347700360309478E-2</v>
      </c>
      <c r="AZ66" s="171">
        <f t="shared" si="96"/>
        <v>7.5610018494436632E-2</v>
      </c>
      <c r="BA66" s="171">
        <f t="shared" si="96"/>
        <v>6.4380498699769806E-2</v>
      </c>
    </row>
    <row r="67" spans="1:56" s="160" customFormat="1">
      <c r="A67" s="136"/>
      <c r="B67" s="194"/>
      <c r="C67" s="138"/>
      <c r="D67" s="138"/>
      <c r="E67" s="138"/>
      <c r="F67" s="194"/>
      <c r="G67" s="138"/>
      <c r="H67" s="138"/>
      <c r="I67" s="138"/>
      <c r="J67" s="194"/>
      <c r="K67" s="138"/>
      <c r="L67" s="138"/>
      <c r="M67" s="138"/>
      <c r="N67" s="194"/>
      <c r="O67" s="138"/>
      <c r="P67" s="138"/>
      <c r="Q67" s="138"/>
      <c r="R67" s="194"/>
      <c r="S67" s="138"/>
      <c r="T67" s="138"/>
      <c r="U67" s="138"/>
      <c r="V67" s="194"/>
      <c r="W67" s="138"/>
      <c r="X67" s="138"/>
      <c r="Y67" s="138"/>
      <c r="Z67" s="194"/>
      <c r="AA67" s="138"/>
      <c r="AB67" s="138"/>
      <c r="AC67" s="138"/>
      <c r="AD67" s="194"/>
      <c r="AE67" s="138"/>
      <c r="AF67" s="138"/>
      <c r="AG67" s="138"/>
      <c r="AH67" s="194"/>
      <c r="AI67" s="162"/>
      <c r="AJ67" s="162"/>
      <c r="AK67" s="162"/>
      <c r="AL67" s="226"/>
      <c r="AM67" s="136"/>
      <c r="AN67" s="138"/>
      <c r="AO67" s="138"/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</row>
    <row r="68" spans="1:56" s="168" customFormat="1">
      <c r="A68" s="150"/>
      <c r="B68" s="659" t="s">
        <v>118</v>
      </c>
      <c r="C68" s="167">
        <v>128</v>
      </c>
      <c r="D68" s="167">
        <v>117</v>
      </c>
      <c r="E68" s="167">
        <v>112</v>
      </c>
      <c r="F68" s="197">
        <f>AN68-E68-D68-C68</f>
        <v>66</v>
      </c>
      <c r="G68" s="167">
        <v>132</v>
      </c>
      <c r="H68" s="167">
        <v>188</v>
      </c>
      <c r="I68" s="167">
        <v>167</v>
      </c>
      <c r="J68" s="175">
        <v>227</v>
      </c>
      <c r="K68" s="167">
        <v>202</v>
      </c>
      <c r="L68" s="167">
        <v>204</v>
      </c>
      <c r="M68" s="167">
        <v>169</v>
      </c>
      <c r="N68" s="175">
        <v>148</v>
      </c>
      <c r="O68" s="166">
        <f t="shared" ref="O68:AL68" si="97">O71+O77</f>
        <v>162</v>
      </c>
      <c r="P68" s="166">
        <f t="shared" si="97"/>
        <v>190</v>
      </c>
      <c r="Q68" s="166">
        <f t="shared" si="97"/>
        <v>142</v>
      </c>
      <c r="R68" s="176">
        <f t="shared" si="97"/>
        <v>177</v>
      </c>
      <c r="S68" s="166">
        <f t="shared" si="97"/>
        <v>164</v>
      </c>
      <c r="T68" s="166">
        <f t="shared" si="97"/>
        <v>186</v>
      </c>
      <c r="U68" s="166">
        <f t="shared" si="97"/>
        <v>164</v>
      </c>
      <c r="V68" s="176">
        <f t="shared" si="97"/>
        <v>198</v>
      </c>
      <c r="W68" s="166">
        <f t="shared" si="97"/>
        <v>173</v>
      </c>
      <c r="X68" s="166">
        <f t="shared" si="97"/>
        <v>191</v>
      </c>
      <c r="Y68" s="166">
        <f t="shared" si="97"/>
        <v>163</v>
      </c>
      <c r="Z68" s="176">
        <f t="shared" si="97"/>
        <v>200</v>
      </c>
      <c r="AA68" s="166">
        <f t="shared" si="97"/>
        <v>171</v>
      </c>
      <c r="AB68" s="166">
        <f t="shared" si="97"/>
        <v>204</v>
      </c>
      <c r="AC68" s="166">
        <f t="shared" si="97"/>
        <v>169</v>
      </c>
      <c r="AD68" s="176">
        <f t="shared" si="97"/>
        <v>187</v>
      </c>
      <c r="AE68" s="198">
        <f t="shared" si="97"/>
        <v>194.22222222222223</v>
      </c>
      <c r="AF68" s="198">
        <f t="shared" si="97"/>
        <v>197.33333333333334</v>
      </c>
      <c r="AG68" s="198">
        <f t="shared" si="97"/>
        <v>178.22222222222223</v>
      </c>
      <c r="AH68" s="197">
        <f t="shared" si="97"/>
        <v>207.22222222222223</v>
      </c>
      <c r="AI68" s="198">
        <f t="shared" si="97"/>
        <v>204.23035340659342</v>
      </c>
      <c r="AJ68" s="198">
        <f t="shared" si="97"/>
        <v>231.83997174254318</v>
      </c>
      <c r="AK68" s="198">
        <f t="shared" si="97"/>
        <v>228.95218504709575</v>
      </c>
      <c r="AL68" s="197">
        <f t="shared" si="97"/>
        <v>197.77792000000005</v>
      </c>
      <c r="AM68" s="150"/>
      <c r="AN68" s="167">
        <v>423</v>
      </c>
      <c r="AO68" s="198">
        <f>+SUM(G68:J68)</f>
        <v>714</v>
      </c>
      <c r="AP68" s="198">
        <f>+SUM(K68:N68)</f>
        <v>723</v>
      </c>
      <c r="AQ68" s="198">
        <f>+SUM(O68:R68)</f>
        <v>671</v>
      </c>
      <c r="AR68" s="198">
        <f>+SUM(S68:V68)</f>
        <v>712</v>
      </c>
      <c r="AS68" s="198">
        <f>+SUM(W68:Z68)</f>
        <v>727</v>
      </c>
      <c r="AT68" s="198">
        <f>+SUM(AA68:AD68)</f>
        <v>731</v>
      </c>
      <c r="AU68" s="198">
        <f>+SUM(AE68:AH68)</f>
        <v>777</v>
      </c>
      <c r="AV68" s="198">
        <f>+SUM(AI68:AL68)</f>
        <v>862.80043019623236</v>
      </c>
      <c r="AW68" s="198">
        <f>AW71+AW77</f>
        <v>867.81556109322855</v>
      </c>
      <c r="AX68" s="198">
        <f>AX71+AX77</f>
        <v>879.95295665188723</v>
      </c>
      <c r="AY68" s="198">
        <f>AY71+AY77</f>
        <v>898.81394637689175</v>
      </c>
      <c r="AZ68" s="198">
        <f>AZ71+AZ77</f>
        <v>912.74725506223103</v>
      </c>
      <c r="BA68" s="198">
        <f>BA71+BA77</f>
        <v>921.58576427803644</v>
      </c>
    </row>
    <row r="69" spans="1:56" s="200" customFormat="1">
      <c r="A69" s="150"/>
      <c r="B69" s="660" t="s">
        <v>28</v>
      </c>
      <c r="C69" s="454">
        <f t="shared" ref="C69:AL69" si="98">C68/C58</f>
        <v>0.13195876288659794</v>
      </c>
      <c r="D69" s="454">
        <f t="shared" si="98"/>
        <v>0.11515748031496063</v>
      </c>
      <c r="E69" s="454">
        <f t="shared" si="98"/>
        <v>0.11451942740286299</v>
      </c>
      <c r="F69" s="455">
        <f t="shared" si="98"/>
        <v>5.8823529411764705E-2</v>
      </c>
      <c r="G69" s="454">
        <f t="shared" si="98"/>
        <v>0.10670978172999192</v>
      </c>
      <c r="H69" s="454">
        <f t="shared" si="98"/>
        <v>0.14362108479755539</v>
      </c>
      <c r="I69" s="454">
        <f t="shared" si="98"/>
        <v>0.14116652578191038</v>
      </c>
      <c r="J69" s="455">
        <f t="shared" si="98"/>
        <v>0.18291700241740533</v>
      </c>
      <c r="K69" s="454">
        <f t="shared" si="98"/>
        <v>0.15981012658227847</v>
      </c>
      <c r="L69" s="454">
        <f t="shared" si="98"/>
        <v>0.1637239165329053</v>
      </c>
      <c r="M69" s="454">
        <f t="shared" si="98"/>
        <v>0.15547378104875806</v>
      </c>
      <c r="N69" s="455">
        <f t="shared" si="98"/>
        <v>0.13975448536355051</v>
      </c>
      <c r="O69" s="454">
        <f t="shared" si="98"/>
        <v>0.14634146341463414</v>
      </c>
      <c r="P69" s="454">
        <f t="shared" si="98"/>
        <v>0.16365202411714039</v>
      </c>
      <c r="Q69" s="454">
        <f t="shared" si="98"/>
        <v>0.13549618320610687</v>
      </c>
      <c r="R69" s="455">
        <f t="shared" si="98"/>
        <v>0.15974729241877256</v>
      </c>
      <c r="S69" s="454">
        <f t="shared" si="98"/>
        <v>0.14949863263445762</v>
      </c>
      <c r="T69" s="454">
        <f t="shared" si="98"/>
        <v>0.15656565656565657</v>
      </c>
      <c r="U69" s="454">
        <f t="shared" si="98"/>
        <v>0.14682184422560429</v>
      </c>
      <c r="V69" s="455">
        <f t="shared" si="98"/>
        <v>0.17475728155339806</v>
      </c>
      <c r="W69" s="454">
        <f t="shared" si="98"/>
        <v>0.16003700277520813</v>
      </c>
      <c r="X69" s="454">
        <f t="shared" si="98"/>
        <v>0.16710411198600175</v>
      </c>
      <c r="Y69" s="454">
        <f t="shared" si="98"/>
        <v>0.15319548872180452</v>
      </c>
      <c r="Z69" s="455">
        <f t="shared" si="98"/>
        <v>0.17953321364452424</v>
      </c>
      <c r="AA69" s="454">
        <f t="shared" si="98"/>
        <v>0.15308863025962399</v>
      </c>
      <c r="AB69" s="454">
        <f t="shared" si="98"/>
        <v>0.17801047120418848</v>
      </c>
      <c r="AC69" s="454">
        <f t="shared" si="98"/>
        <v>0.15691736304549675</v>
      </c>
      <c r="AD69" s="455">
        <f t="shared" si="98"/>
        <v>0.1631762652705061</v>
      </c>
      <c r="AE69" s="456">
        <f t="shared" si="98"/>
        <v>0.16918312040263261</v>
      </c>
      <c r="AF69" s="456">
        <f t="shared" si="98"/>
        <v>0.16923956546598057</v>
      </c>
      <c r="AG69" s="456">
        <f t="shared" si="98"/>
        <v>0.15039849976558839</v>
      </c>
      <c r="AH69" s="457">
        <f t="shared" ref="AH69" si="99">AH68/AH58</f>
        <v>0.16265480551194839</v>
      </c>
      <c r="AI69" s="456">
        <f t="shared" si="98"/>
        <v>0.15674097331240189</v>
      </c>
      <c r="AJ69" s="456">
        <f t="shared" si="98"/>
        <v>0.17674097331240191</v>
      </c>
      <c r="AK69" s="456">
        <f t="shared" si="98"/>
        <v>0.17174097331240187</v>
      </c>
      <c r="AL69" s="457">
        <f t="shared" si="98"/>
        <v>0.1687409733124019</v>
      </c>
      <c r="AM69" s="196"/>
      <c r="AN69" s="456">
        <f t="shared" ref="AN69:BA69" si="100">AN68/AN58</f>
        <v>0.10352422907488987</v>
      </c>
      <c r="AO69" s="456">
        <f t="shared" si="100"/>
        <v>0.14366197183098592</v>
      </c>
      <c r="AP69" s="456">
        <f t="shared" si="100"/>
        <v>0.15528350515463918</v>
      </c>
      <c r="AQ69" s="456">
        <f t="shared" si="100"/>
        <v>0.15167269439421338</v>
      </c>
      <c r="AR69" s="183">
        <f t="shared" si="100"/>
        <v>0.15700110253583241</v>
      </c>
      <c r="AS69" s="456">
        <f t="shared" si="100"/>
        <v>0.16515220354384372</v>
      </c>
      <c r="AT69" s="456">
        <f t="shared" si="100"/>
        <v>0.16295140436914846</v>
      </c>
      <c r="AU69" s="456">
        <f t="shared" si="100"/>
        <v>0.16279069767441862</v>
      </c>
      <c r="AV69" s="456">
        <f t="shared" si="100"/>
        <v>0.168517848409449</v>
      </c>
      <c r="AW69" s="456">
        <f t="shared" si="100"/>
        <v>0.165517848409449</v>
      </c>
      <c r="AX69" s="456">
        <f t="shared" si="100"/>
        <v>0.162517848409449</v>
      </c>
      <c r="AY69" s="456">
        <f t="shared" si="100"/>
        <v>0.15951784840944899</v>
      </c>
      <c r="AZ69" s="456">
        <f t="shared" si="100"/>
        <v>0.15651784840944896</v>
      </c>
      <c r="BA69" s="456">
        <f t="shared" si="100"/>
        <v>0.15351784840944899</v>
      </c>
    </row>
    <row r="70" spans="1:56" s="466" customFormat="1">
      <c r="A70" s="150"/>
      <c r="B70" s="661"/>
      <c r="C70" s="458"/>
      <c r="D70" s="458"/>
      <c r="E70" s="458"/>
      <c r="F70" s="459"/>
      <c r="G70" s="460"/>
      <c r="H70" s="460"/>
      <c r="I70" s="460"/>
      <c r="J70" s="461"/>
      <c r="K70" s="460"/>
      <c r="L70" s="460"/>
      <c r="M70" s="460"/>
      <c r="N70" s="461"/>
      <c r="O70" s="460"/>
      <c r="P70" s="460"/>
      <c r="Q70" s="460"/>
      <c r="R70" s="461"/>
      <c r="S70" s="460"/>
      <c r="T70" s="460"/>
      <c r="U70" s="460"/>
      <c r="V70" s="461"/>
      <c r="W70" s="460"/>
      <c r="X70" s="460"/>
      <c r="Y70" s="460"/>
      <c r="Z70" s="461"/>
      <c r="AA70" s="460"/>
      <c r="AB70" s="460"/>
      <c r="AC70" s="460"/>
      <c r="AD70" s="462"/>
      <c r="AE70" s="463"/>
      <c r="AF70" s="463"/>
      <c r="AG70" s="463"/>
      <c r="AH70" s="462"/>
      <c r="AI70" s="463"/>
      <c r="AJ70" s="463"/>
      <c r="AK70" s="463"/>
      <c r="AL70" s="462"/>
      <c r="AM70" s="150"/>
      <c r="AN70" s="458"/>
      <c r="AO70" s="464"/>
      <c r="AP70" s="464"/>
      <c r="AQ70" s="464"/>
      <c r="AR70" s="465"/>
      <c r="AS70" s="465"/>
      <c r="AT70" s="465"/>
      <c r="AU70" s="463"/>
      <c r="AV70" s="463"/>
      <c r="AW70" s="463"/>
      <c r="AX70" s="463"/>
      <c r="AY70" s="463"/>
      <c r="AZ70" s="463"/>
      <c r="BA70" s="463"/>
    </row>
    <row r="71" spans="1:56" s="168" customFormat="1">
      <c r="A71" s="150"/>
      <c r="B71" s="226" t="s">
        <v>215</v>
      </c>
      <c r="C71" s="167">
        <v>42</v>
      </c>
      <c r="D71" s="167">
        <v>42</v>
      </c>
      <c r="E71" s="167">
        <v>42</v>
      </c>
      <c r="F71" s="197">
        <f>AN71-E71-D71-C71</f>
        <v>44</v>
      </c>
      <c r="G71" s="167">
        <v>47</v>
      </c>
      <c r="H71" s="167">
        <v>46</v>
      </c>
      <c r="I71" s="167">
        <v>51</v>
      </c>
      <c r="J71" s="175">
        <v>51</v>
      </c>
      <c r="K71" s="167">
        <v>44</v>
      </c>
      <c r="L71" s="167">
        <v>46</v>
      </c>
      <c r="M71" s="167">
        <v>44</v>
      </c>
      <c r="N71" s="175">
        <v>48</v>
      </c>
      <c r="O71" s="167">
        <f>92-P71</f>
        <v>48</v>
      </c>
      <c r="P71" s="167">
        <v>44</v>
      </c>
      <c r="Q71" s="167">
        <v>48</v>
      </c>
      <c r="R71" s="175">
        <v>48</v>
      </c>
      <c r="S71" s="167">
        <v>51</v>
      </c>
      <c r="T71" s="167">
        <v>48</v>
      </c>
      <c r="U71" s="167">
        <v>50</v>
      </c>
      <c r="V71" s="175">
        <v>45</v>
      </c>
      <c r="W71" s="167">
        <v>44</v>
      </c>
      <c r="X71" s="167">
        <v>45</v>
      </c>
      <c r="Y71" s="167">
        <v>48</v>
      </c>
      <c r="Z71" s="175">
        <v>53</v>
      </c>
      <c r="AA71" s="167">
        <v>46</v>
      </c>
      <c r="AB71" s="467">
        <v>70</v>
      </c>
      <c r="AC71" s="467">
        <v>47</v>
      </c>
      <c r="AD71" s="175">
        <v>54</v>
      </c>
      <c r="AE71" s="167">
        <v>50</v>
      </c>
      <c r="AF71" s="167">
        <v>52</v>
      </c>
      <c r="AG71" s="167">
        <v>49</v>
      </c>
      <c r="AH71" s="175">
        <v>57</v>
      </c>
      <c r="AI71" s="198">
        <f>AI58*AI72</f>
        <v>58.296593406593409</v>
      </c>
      <c r="AJ71" s="198">
        <f>AJ58*AJ72</f>
        <v>58.688971742543174</v>
      </c>
      <c r="AK71" s="198">
        <f>AK58*AK72</f>
        <v>59.645310047095762</v>
      </c>
      <c r="AL71" s="197">
        <f>AL58*AL72</f>
        <v>52.440000000000012</v>
      </c>
      <c r="AM71" s="150"/>
      <c r="AN71" s="167">
        <v>170</v>
      </c>
      <c r="AO71" s="198">
        <f>+SUM(G71:J71)</f>
        <v>195</v>
      </c>
      <c r="AP71" s="198">
        <f>+SUM(K71:N71)</f>
        <v>182</v>
      </c>
      <c r="AQ71" s="198">
        <f>SUM(O71:R71)</f>
        <v>188</v>
      </c>
      <c r="AR71" s="198">
        <f>SUM(S71:V71)</f>
        <v>194</v>
      </c>
      <c r="AS71" s="198">
        <f>SUM(W71:Z71)</f>
        <v>190</v>
      </c>
      <c r="AT71" s="198">
        <f>SUM(AA71:AD71)</f>
        <v>217</v>
      </c>
      <c r="AU71" s="198">
        <f>SUM(AE71:AH71)</f>
        <v>208</v>
      </c>
      <c r="AV71" s="198">
        <f>SUM(AI71:AL71)</f>
        <v>229.07087519623235</v>
      </c>
      <c r="AW71" s="198">
        <f>AW58*AW72</f>
        <v>234.57840487940194</v>
      </c>
      <c r="AX71" s="198">
        <f>AX58*AX72</f>
        <v>242.25001829055842</v>
      </c>
      <c r="AY71" s="198">
        <f>AY58*AY72</f>
        <v>252.09599545527144</v>
      </c>
      <c r="AZ71" s="198">
        <f>AZ58*AZ72</f>
        <v>260.91082259754609</v>
      </c>
      <c r="BA71" s="198">
        <f>BA58*BA72</f>
        <v>268.58534373593568</v>
      </c>
    </row>
    <row r="72" spans="1:56" s="173" customFormat="1">
      <c r="A72" s="150"/>
      <c r="B72" s="657" t="s">
        <v>162</v>
      </c>
      <c r="C72" s="468">
        <f t="shared" ref="C72:AG72" si="101">C71/C58</f>
        <v>4.3298969072164947E-2</v>
      </c>
      <c r="D72" s="468">
        <f t="shared" si="101"/>
        <v>4.1338582677165357E-2</v>
      </c>
      <c r="E72" s="468">
        <f t="shared" si="101"/>
        <v>4.2944785276073622E-2</v>
      </c>
      <c r="F72" s="469">
        <f t="shared" si="101"/>
        <v>3.9215686274509803E-2</v>
      </c>
      <c r="G72" s="468">
        <f t="shared" si="101"/>
        <v>3.7995149555375911E-2</v>
      </c>
      <c r="H72" s="171">
        <f t="shared" si="101"/>
        <v>3.5141329258976318E-2</v>
      </c>
      <c r="I72" s="468">
        <f t="shared" si="101"/>
        <v>4.3110735418427727E-2</v>
      </c>
      <c r="J72" s="469">
        <f t="shared" si="101"/>
        <v>4.1095890410958902E-2</v>
      </c>
      <c r="K72" s="468">
        <f t="shared" si="101"/>
        <v>3.4810126582278479E-2</v>
      </c>
      <c r="L72" s="468">
        <f t="shared" si="101"/>
        <v>3.691813804173355E-2</v>
      </c>
      <c r="M72" s="468">
        <f t="shared" si="101"/>
        <v>4.0478380864765406E-2</v>
      </c>
      <c r="N72" s="469">
        <f t="shared" si="101"/>
        <v>4.5325779036827198E-2</v>
      </c>
      <c r="O72" s="468">
        <f t="shared" si="101"/>
        <v>4.3360433604336043E-2</v>
      </c>
      <c r="P72" s="468">
        <f t="shared" si="101"/>
        <v>3.7898363479758827E-2</v>
      </c>
      <c r="Q72" s="171">
        <f t="shared" si="101"/>
        <v>4.5801526717557252E-2</v>
      </c>
      <c r="R72" s="469">
        <f t="shared" si="101"/>
        <v>4.3321299638989168E-2</v>
      </c>
      <c r="S72" s="468">
        <f t="shared" si="101"/>
        <v>4.6490428441203283E-2</v>
      </c>
      <c r="T72" s="468">
        <f t="shared" si="101"/>
        <v>4.0404040404040407E-2</v>
      </c>
      <c r="U72" s="468">
        <f t="shared" si="101"/>
        <v>4.4762757385854966E-2</v>
      </c>
      <c r="V72" s="172">
        <f t="shared" si="101"/>
        <v>3.971756398940865E-2</v>
      </c>
      <c r="W72" s="468">
        <f t="shared" si="101"/>
        <v>4.0703052728954671E-2</v>
      </c>
      <c r="X72" s="468">
        <f t="shared" si="101"/>
        <v>3.937007874015748E-2</v>
      </c>
      <c r="Y72" s="468">
        <f t="shared" si="101"/>
        <v>4.5112781954887216E-2</v>
      </c>
      <c r="Z72" s="469">
        <f t="shared" si="101"/>
        <v>4.757630161579892E-2</v>
      </c>
      <c r="AA72" s="468">
        <f t="shared" si="101"/>
        <v>4.1181736794986573E-2</v>
      </c>
      <c r="AB72" s="468">
        <f t="shared" si="101"/>
        <v>6.1082024432809773E-2</v>
      </c>
      <c r="AC72" s="468">
        <f t="shared" si="101"/>
        <v>4.36397400185701E-2</v>
      </c>
      <c r="AD72" s="469">
        <f t="shared" si="101"/>
        <v>4.712041884816754E-2</v>
      </c>
      <c r="AE72" s="468">
        <f t="shared" si="101"/>
        <v>4.3554006968641118E-2</v>
      </c>
      <c r="AF72" s="468">
        <f t="shared" si="101"/>
        <v>4.4596912521440824E-2</v>
      </c>
      <c r="AG72" s="468">
        <f t="shared" si="101"/>
        <v>4.1350210970464138E-2</v>
      </c>
      <c r="AH72" s="469">
        <f t="shared" ref="AH72" si="102">AH71/AH58</f>
        <v>4.4740973312401885E-2</v>
      </c>
      <c r="AI72" s="233">
        <f>AH72</f>
        <v>4.4740973312401885E-2</v>
      </c>
      <c r="AJ72" s="233">
        <f>AI72</f>
        <v>4.4740973312401885E-2</v>
      </c>
      <c r="AK72" s="233">
        <f>AJ72</f>
        <v>4.4740973312401885E-2</v>
      </c>
      <c r="AL72" s="232">
        <f>AK72</f>
        <v>4.4740973312401885E-2</v>
      </c>
      <c r="AM72" s="169"/>
      <c r="AN72" s="468">
        <f t="shared" ref="AN72:AV72" si="103">AN71/AN58</f>
        <v>4.1605482134116495E-2</v>
      </c>
      <c r="AO72" s="468">
        <f t="shared" si="103"/>
        <v>3.9235412474849095E-2</v>
      </c>
      <c r="AP72" s="468">
        <f t="shared" si="103"/>
        <v>3.9089347079037801E-2</v>
      </c>
      <c r="AQ72" s="468">
        <f t="shared" si="103"/>
        <v>4.2495479204339964E-2</v>
      </c>
      <c r="AR72" s="171">
        <f t="shared" si="103"/>
        <v>4.2778390297684675E-2</v>
      </c>
      <c r="AS72" s="171">
        <f t="shared" si="103"/>
        <v>4.3162199000454336E-2</v>
      </c>
      <c r="AT72" s="171">
        <f t="shared" si="103"/>
        <v>4.8372715113687029E-2</v>
      </c>
      <c r="AU72" s="171">
        <f t="shared" si="103"/>
        <v>4.3578462183113349E-2</v>
      </c>
      <c r="AV72" s="171">
        <f t="shared" si="103"/>
        <v>4.4740973312401885E-2</v>
      </c>
      <c r="AW72" s="233">
        <f>AV72</f>
        <v>4.4740973312401885E-2</v>
      </c>
      <c r="AX72" s="233">
        <f>AW72</f>
        <v>4.4740973312401885E-2</v>
      </c>
      <c r="AY72" s="233">
        <f>AX72</f>
        <v>4.4740973312401885E-2</v>
      </c>
      <c r="AZ72" s="233">
        <f>AY72</f>
        <v>4.4740973312401885E-2</v>
      </c>
      <c r="BA72" s="233">
        <f>AZ72</f>
        <v>4.4740973312401885E-2</v>
      </c>
    </row>
    <row r="73" spans="1:56" s="160" customFormat="1">
      <c r="A73" s="150"/>
      <c r="B73" s="662"/>
      <c r="C73" s="470"/>
      <c r="D73" s="470"/>
      <c r="E73" s="470"/>
      <c r="F73" s="471"/>
      <c r="G73" s="470"/>
      <c r="H73" s="470"/>
      <c r="I73" s="470"/>
      <c r="J73" s="471"/>
      <c r="K73" s="470"/>
      <c r="L73" s="470"/>
      <c r="M73" s="470"/>
      <c r="N73" s="471"/>
      <c r="O73" s="470"/>
      <c r="P73" s="470"/>
      <c r="Q73" s="470"/>
      <c r="R73" s="471"/>
      <c r="S73" s="470"/>
      <c r="T73" s="470"/>
      <c r="U73" s="470"/>
      <c r="V73" s="471"/>
      <c r="W73" s="470"/>
      <c r="X73" s="470"/>
      <c r="Y73" s="470"/>
      <c r="Z73" s="471"/>
      <c r="AA73" s="470"/>
      <c r="AB73" s="470"/>
      <c r="AC73" s="470"/>
      <c r="AD73" s="471"/>
      <c r="AE73" s="470"/>
      <c r="AF73" s="470"/>
      <c r="AG73" s="470"/>
      <c r="AH73" s="471"/>
      <c r="AI73" s="456"/>
      <c r="AJ73" s="456"/>
      <c r="AK73" s="456"/>
      <c r="AL73" s="457"/>
      <c r="AM73" s="150"/>
      <c r="AN73" s="470"/>
      <c r="AO73" s="470"/>
      <c r="AP73" s="470"/>
      <c r="AQ73" s="470"/>
      <c r="AR73" s="470"/>
      <c r="AS73" s="470"/>
      <c r="AT73" s="470"/>
      <c r="AU73" s="470"/>
      <c r="AV73" s="470"/>
      <c r="AW73" s="470"/>
      <c r="AX73" s="470"/>
      <c r="AY73" s="470"/>
      <c r="AZ73" s="470"/>
      <c r="BA73" s="470"/>
    </row>
    <row r="74" spans="1:56" s="168" customFormat="1" hidden="1" outlineLevel="1">
      <c r="A74" s="150"/>
      <c r="B74" s="226" t="s">
        <v>300</v>
      </c>
      <c r="C74" s="167"/>
      <c r="D74" s="167"/>
      <c r="E74" s="167"/>
      <c r="F74" s="175"/>
      <c r="G74" s="167"/>
      <c r="H74" s="167"/>
      <c r="I74" s="167"/>
      <c r="J74" s="175"/>
      <c r="K74" s="167"/>
      <c r="L74" s="167"/>
      <c r="M74" s="167"/>
      <c r="N74" s="175"/>
      <c r="O74" s="167"/>
      <c r="P74" s="167"/>
      <c r="Q74" s="167"/>
      <c r="R74" s="175"/>
      <c r="S74" s="167"/>
      <c r="T74" s="167"/>
      <c r="U74" s="167"/>
      <c r="V74" s="175"/>
      <c r="W74" s="167"/>
      <c r="X74" s="167"/>
      <c r="Y74" s="167"/>
      <c r="Z74" s="175"/>
      <c r="AA74" s="167"/>
      <c r="AB74" s="167"/>
      <c r="AC74" s="167"/>
      <c r="AD74" s="175">
        <v>107</v>
      </c>
      <c r="AE74" s="167"/>
      <c r="AF74" s="167"/>
      <c r="AG74" s="167"/>
      <c r="AH74" s="175">
        <v>143</v>
      </c>
      <c r="AI74" s="198"/>
      <c r="AJ74" s="198"/>
      <c r="AK74" s="198"/>
      <c r="AL74" s="197"/>
      <c r="AM74" s="150"/>
      <c r="AN74" s="198"/>
      <c r="AO74" s="198"/>
      <c r="AP74" s="198"/>
      <c r="AQ74" s="198"/>
      <c r="AR74" s="198"/>
      <c r="AS74" s="198"/>
      <c r="AT74" s="167">
        <v>418</v>
      </c>
      <c r="AU74" s="167">
        <v>562</v>
      </c>
      <c r="AV74" s="198"/>
      <c r="AW74" s="198"/>
      <c r="AX74" s="198"/>
      <c r="AY74" s="198"/>
      <c r="AZ74" s="198"/>
      <c r="BA74" s="198"/>
    </row>
    <row r="75" spans="1:56" s="168" customFormat="1" hidden="1" outlineLevel="1">
      <c r="A75" s="150"/>
      <c r="B75" s="226" t="s">
        <v>301</v>
      </c>
      <c r="C75" s="167"/>
      <c r="D75" s="167"/>
      <c r="E75" s="167"/>
      <c r="F75" s="175"/>
      <c r="G75" s="167"/>
      <c r="H75" s="167"/>
      <c r="I75" s="167"/>
      <c r="J75" s="175"/>
      <c r="K75" s="167"/>
      <c r="L75" s="167"/>
      <c r="M75" s="167"/>
      <c r="N75" s="175"/>
      <c r="O75" s="167"/>
      <c r="P75" s="167"/>
      <c r="Q75" s="167"/>
      <c r="R75" s="175"/>
      <c r="S75" s="167"/>
      <c r="T75" s="167"/>
      <c r="U75" s="167"/>
      <c r="V75" s="175"/>
      <c r="W75" s="167"/>
      <c r="X75" s="167"/>
      <c r="Y75" s="167"/>
      <c r="Z75" s="175"/>
      <c r="AA75" s="167"/>
      <c r="AB75" s="167"/>
      <c r="AC75" s="167"/>
      <c r="AD75" s="175">
        <v>26</v>
      </c>
      <c r="AE75" s="167"/>
      <c r="AF75" s="167"/>
      <c r="AG75" s="167"/>
      <c r="AH75" s="175">
        <v>21</v>
      </c>
      <c r="AI75" s="198"/>
      <c r="AJ75" s="198"/>
      <c r="AK75" s="198"/>
      <c r="AL75" s="197"/>
      <c r="AM75" s="150"/>
      <c r="AN75" s="198"/>
      <c r="AO75" s="198"/>
      <c r="AP75" s="198"/>
      <c r="AQ75" s="198"/>
      <c r="AR75" s="198"/>
      <c r="AS75" s="198"/>
      <c r="AT75" s="167">
        <v>94</v>
      </c>
      <c r="AU75" s="167">
        <v>75</v>
      </c>
      <c r="AV75" s="198"/>
      <c r="AW75" s="198"/>
      <c r="AX75" s="198"/>
      <c r="AY75" s="198"/>
      <c r="AZ75" s="198"/>
      <c r="BA75" s="198"/>
    </row>
    <row r="76" spans="1:56" s="168" customFormat="1" hidden="1" outlineLevel="1">
      <c r="A76" s="150"/>
      <c r="B76" s="754" t="s">
        <v>302</v>
      </c>
      <c r="C76" s="202"/>
      <c r="D76" s="202"/>
      <c r="E76" s="202"/>
      <c r="F76" s="203"/>
      <c r="G76" s="202"/>
      <c r="H76" s="202"/>
      <c r="I76" s="202"/>
      <c r="J76" s="203"/>
      <c r="K76" s="202"/>
      <c r="L76" s="202"/>
      <c r="M76" s="202"/>
      <c r="N76" s="203"/>
      <c r="O76" s="202"/>
      <c r="P76" s="202"/>
      <c r="Q76" s="202"/>
      <c r="R76" s="203"/>
      <c r="S76" s="202"/>
      <c r="T76" s="202"/>
      <c r="U76" s="202"/>
      <c r="V76" s="203"/>
      <c r="W76" s="202"/>
      <c r="X76" s="202"/>
      <c r="Y76" s="202"/>
      <c r="Z76" s="203"/>
      <c r="AA76" s="202"/>
      <c r="AB76" s="202"/>
      <c r="AC76" s="202"/>
      <c r="AD76" s="203">
        <v>0</v>
      </c>
      <c r="AE76" s="202"/>
      <c r="AF76" s="202"/>
      <c r="AG76" s="202"/>
      <c r="AH76" s="203">
        <f>4-72*20/81</f>
        <v>-13.777777777777779</v>
      </c>
      <c r="AI76" s="359"/>
      <c r="AJ76" s="359"/>
      <c r="AK76" s="359"/>
      <c r="AL76" s="755"/>
      <c r="AM76" s="150"/>
      <c r="AN76" s="359"/>
      <c r="AO76" s="359"/>
      <c r="AP76" s="359"/>
      <c r="AQ76" s="359"/>
      <c r="AR76" s="359"/>
      <c r="AS76" s="359"/>
      <c r="AT76" s="204"/>
      <c r="AU76" s="202">
        <f>4-72</f>
        <v>-68</v>
      </c>
      <c r="AV76" s="359"/>
      <c r="AW76" s="359"/>
      <c r="AX76" s="359"/>
      <c r="AY76" s="359"/>
      <c r="AZ76" s="359"/>
      <c r="BA76" s="359"/>
    </row>
    <row r="77" spans="1:56" s="453" customFormat="1" collapsed="1">
      <c r="A77" s="296"/>
      <c r="B77" s="655" t="s">
        <v>96</v>
      </c>
      <c r="C77" s="219">
        <f t="shared" ref="C77:N77" si="104">C68-C71</f>
        <v>86</v>
      </c>
      <c r="D77" s="299">
        <f t="shared" si="104"/>
        <v>75</v>
      </c>
      <c r="E77" s="299">
        <f t="shared" si="104"/>
        <v>70</v>
      </c>
      <c r="F77" s="302">
        <f t="shared" si="104"/>
        <v>22</v>
      </c>
      <c r="G77" s="299">
        <f t="shared" si="104"/>
        <v>85</v>
      </c>
      <c r="H77" s="299">
        <f t="shared" si="104"/>
        <v>142</v>
      </c>
      <c r="I77" s="299">
        <f t="shared" si="104"/>
        <v>116</v>
      </c>
      <c r="J77" s="302">
        <f t="shared" si="104"/>
        <v>176</v>
      </c>
      <c r="K77" s="299">
        <f t="shared" si="104"/>
        <v>158</v>
      </c>
      <c r="L77" s="299">
        <f t="shared" si="104"/>
        <v>158</v>
      </c>
      <c r="M77" s="299">
        <f t="shared" si="104"/>
        <v>125</v>
      </c>
      <c r="N77" s="302">
        <f t="shared" si="104"/>
        <v>100</v>
      </c>
      <c r="O77" s="301">
        <v>114</v>
      </c>
      <c r="P77" s="301">
        <v>146</v>
      </c>
      <c r="Q77" s="301">
        <v>94</v>
      </c>
      <c r="R77" s="300">
        <v>129</v>
      </c>
      <c r="S77" s="301">
        <v>113</v>
      </c>
      <c r="T77" s="301">
        <v>138</v>
      </c>
      <c r="U77" s="301">
        <v>114</v>
      </c>
      <c r="V77" s="300">
        <v>153</v>
      </c>
      <c r="W77" s="301">
        <v>129</v>
      </c>
      <c r="X77" s="301">
        <v>146</v>
      </c>
      <c r="Y77" s="301">
        <v>115</v>
      </c>
      <c r="Z77" s="300">
        <v>147</v>
      </c>
      <c r="AA77" s="472">
        <v>125</v>
      </c>
      <c r="AB77" s="301">
        <v>134</v>
      </c>
      <c r="AC77" s="301">
        <v>122</v>
      </c>
      <c r="AD77" s="300">
        <v>133</v>
      </c>
      <c r="AE77" s="472">
        <f>162-72*20/81</f>
        <v>144.22222222222223</v>
      </c>
      <c r="AF77" s="472">
        <f>164-72*21/81</f>
        <v>145.33333333333334</v>
      </c>
      <c r="AG77" s="472">
        <f>147-72*20/81</f>
        <v>129.22222222222223</v>
      </c>
      <c r="AH77" s="739">
        <f>164+4-72*20/81</f>
        <v>150.22222222222223</v>
      </c>
      <c r="AI77" s="219">
        <f>AI58*AI78</f>
        <v>145.93376000000001</v>
      </c>
      <c r="AJ77" s="219">
        <f>AJ58*AJ78</f>
        <v>173.15100000000001</v>
      </c>
      <c r="AK77" s="219">
        <f>AK58*AK78</f>
        <v>169.30687499999999</v>
      </c>
      <c r="AL77" s="220">
        <f>AL58*AL78</f>
        <v>145.33792000000003</v>
      </c>
      <c r="AM77" s="150"/>
      <c r="AN77" s="301">
        <v>191</v>
      </c>
      <c r="AO77" s="299">
        <f>+SUM(G77:J77)</f>
        <v>519</v>
      </c>
      <c r="AP77" s="299">
        <f>+SUM(K77:N77)</f>
        <v>541</v>
      </c>
      <c r="AQ77" s="299">
        <f>+SUM(O77:R77)</f>
        <v>483</v>
      </c>
      <c r="AR77" s="299">
        <f>+SUM(S77:V77)</f>
        <v>518</v>
      </c>
      <c r="AS77" s="299">
        <f>+SUM(W77:Z77)</f>
        <v>537</v>
      </c>
      <c r="AT77" s="219">
        <f>+SUM(AA77:AD77)</f>
        <v>514</v>
      </c>
      <c r="AU77" s="299">
        <f>+SUM(AE77:AH77)</f>
        <v>569</v>
      </c>
      <c r="AV77" s="299">
        <f>+SUM(AI77:AL77)</f>
        <v>633.729555</v>
      </c>
      <c r="AW77" s="299">
        <f>AW58*AW78</f>
        <v>633.23715621382655</v>
      </c>
      <c r="AX77" s="299">
        <f>AX58*AX78</f>
        <v>637.70293836132885</v>
      </c>
      <c r="AY77" s="299">
        <f>AY58*AY78</f>
        <v>646.71795092162029</v>
      </c>
      <c r="AZ77" s="299">
        <f>AZ58*AZ78</f>
        <v>651.836432464685</v>
      </c>
      <c r="BA77" s="299">
        <f>BA58*BA78</f>
        <v>653.00042054210076</v>
      </c>
    </row>
    <row r="78" spans="1:56" s="200" customFormat="1">
      <c r="A78" s="196"/>
      <c r="B78" s="660" t="s">
        <v>28</v>
      </c>
      <c r="C78" s="454">
        <f t="shared" ref="C78:AC78" si="105">C77/C58</f>
        <v>8.8659793814432994E-2</v>
      </c>
      <c r="D78" s="454">
        <f t="shared" si="105"/>
        <v>7.3818897637795269E-2</v>
      </c>
      <c r="E78" s="454">
        <f t="shared" si="105"/>
        <v>7.1574642126789365E-2</v>
      </c>
      <c r="F78" s="455">
        <f t="shared" si="105"/>
        <v>1.9607843137254902E-2</v>
      </c>
      <c r="G78" s="454">
        <f t="shared" si="105"/>
        <v>6.8714632174616E-2</v>
      </c>
      <c r="H78" s="454">
        <f t="shared" si="105"/>
        <v>0.10847975553857907</v>
      </c>
      <c r="I78" s="454">
        <f t="shared" si="105"/>
        <v>9.8055790363482664E-2</v>
      </c>
      <c r="J78" s="455">
        <f t="shared" si="105"/>
        <v>0.14182111200644643</v>
      </c>
      <c r="K78" s="454">
        <f t="shared" si="105"/>
        <v>0.125</v>
      </c>
      <c r="L78" s="454">
        <f t="shared" si="105"/>
        <v>0.12680577849117175</v>
      </c>
      <c r="M78" s="454">
        <f t="shared" si="105"/>
        <v>0.11499540018399264</v>
      </c>
      <c r="N78" s="455">
        <f t="shared" si="105"/>
        <v>9.442870632672333E-2</v>
      </c>
      <c r="O78" s="454">
        <f t="shared" si="105"/>
        <v>0.10298102981029811</v>
      </c>
      <c r="P78" s="454">
        <f t="shared" si="105"/>
        <v>0.12575366063738158</v>
      </c>
      <c r="Q78" s="454">
        <f t="shared" si="105"/>
        <v>8.9694656488549615E-2</v>
      </c>
      <c r="R78" s="455">
        <f t="shared" si="105"/>
        <v>0.1164259927797834</v>
      </c>
      <c r="S78" s="454">
        <f t="shared" si="105"/>
        <v>0.10300820419325434</v>
      </c>
      <c r="T78" s="454">
        <f t="shared" si="105"/>
        <v>0.11616161616161616</v>
      </c>
      <c r="U78" s="454">
        <f t="shared" si="105"/>
        <v>0.10205908683974933</v>
      </c>
      <c r="V78" s="455">
        <f t="shared" si="105"/>
        <v>0.13503971756398941</v>
      </c>
      <c r="W78" s="454">
        <f t="shared" si="105"/>
        <v>0.11933395004625347</v>
      </c>
      <c r="X78" s="454">
        <f t="shared" si="105"/>
        <v>0.12773403324584426</v>
      </c>
      <c r="Y78" s="454">
        <f t="shared" si="105"/>
        <v>0.10808270676691729</v>
      </c>
      <c r="Z78" s="455">
        <f t="shared" si="105"/>
        <v>0.13195691202872531</v>
      </c>
      <c r="AA78" s="454">
        <f t="shared" si="105"/>
        <v>0.11190689346463742</v>
      </c>
      <c r="AB78" s="454">
        <f t="shared" si="105"/>
        <v>0.1169284467713787</v>
      </c>
      <c r="AC78" s="454">
        <f t="shared" si="105"/>
        <v>0.11327762302692665</v>
      </c>
      <c r="AD78" s="473">
        <f>AD77/AD58+0.021</f>
        <v>0.13705584642233856</v>
      </c>
      <c r="AE78" s="474">
        <f>(AE77-17)/AE58</f>
        <v>0.11082075106465351</v>
      </c>
      <c r="AF78" s="454">
        <f>AF77/AF58</f>
        <v>0.12464265294453974</v>
      </c>
      <c r="AG78" s="454">
        <f>AG77/AG58</f>
        <v>0.10904828879512424</v>
      </c>
      <c r="AH78" s="455">
        <f>AH77/AH58</f>
        <v>0.11791383219954649</v>
      </c>
      <c r="AI78" s="214">
        <v>0.112</v>
      </c>
      <c r="AJ78" s="214">
        <v>0.13200000000000001</v>
      </c>
      <c r="AK78" s="214">
        <v>0.127</v>
      </c>
      <c r="AL78" s="213">
        <v>0.124</v>
      </c>
      <c r="AM78" s="196"/>
      <c r="AN78" s="456">
        <f t="shared" ref="AN78:AV78" si="106">AN77/AN58</f>
        <v>4.6744982868330884E-2</v>
      </c>
      <c r="AO78" s="456">
        <f t="shared" si="106"/>
        <v>0.10442655935613682</v>
      </c>
      <c r="AP78" s="456">
        <f t="shared" si="106"/>
        <v>0.11619415807560138</v>
      </c>
      <c r="AQ78" s="456">
        <f t="shared" si="106"/>
        <v>0.10917721518987342</v>
      </c>
      <c r="AR78" s="183">
        <f t="shared" si="106"/>
        <v>0.11422271223814774</v>
      </c>
      <c r="AS78" s="183">
        <f t="shared" si="106"/>
        <v>0.12199000454338937</v>
      </c>
      <c r="AT78" s="183">
        <f t="shared" si="106"/>
        <v>0.11457868925546144</v>
      </c>
      <c r="AU78" s="183">
        <f t="shared" si="106"/>
        <v>0.11921223549130526</v>
      </c>
      <c r="AV78" s="183">
        <f t="shared" si="106"/>
        <v>0.12377687509704711</v>
      </c>
      <c r="AW78" s="214">
        <f>AV78-0.003</f>
        <v>0.12077687509704711</v>
      </c>
      <c r="AX78" s="214">
        <f>AW78-0.003</f>
        <v>0.11777687509704711</v>
      </c>
      <c r="AY78" s="214">
        <f>AX78-0.003</f>
        <v>0.11477687509704711</v>
      </c>
      <c r="AZ78" s="214">
        <f>AY78-0.003</f>
        <v>0.1117768750970471</v>
      </c>
      <c r="BA78" s="214">
        <f>AZ78-0.003</f>
        <v>0.1087768750970471</v>
      </c>
    </row>
    <row r="79" spans="1:56" s="312" customFormat="1">
      <c r="A79" s="196"/>
      <c r="B79" s="656" t="s">
        <v>216</v>
      </c>
      <c r="C79" s="309"/>
      <c r="D79" s="309">
        <f t="shared" ref="D79:AL79" si="107">(D78-C78)*10000</f>
        <v>-148.40896176637725</v>
      </c>
      <c r="E79" s="309">
        <f t="shared" si="107"/>
        <v>-22.442555110059047</v>
      </c>
      <c r="F79" s="310">
        <f t="shared" si="107"/>
        <v>-519.66798989534459</v>
      </c>
      <c r="G79" s="309">
        <f t="shared" si="107"/>
        <v>491.06789037361096</v>
      </c>
      <c r="H79" s="309">
        <f t="shared" si="107"/>
        <v>397.65123363963068</v>
      </c>
      <c r="I79" s="309">
        <f t="shared" si="107"/>
        <v>-104.23965175096403</v>
      </c>
      <c r="J79" s="310">
        <f t="shared" si="107"/>
        <v>437.65321642963761</v>
      </c>
      <c r="K79" s="309">
        <f t="shared" si="107"/>
        <v>-168.21112006446427</v>
      </c>
      <c r="L79" s="309">
        <f t="shared" si="107"/>
        <v>18.057784911717501</v>
      </c>
      <c r="M79" s="309">
        <f t="shared" si="107"/>
        <v>-118.10378307179111</v>
      </c>
      <c r="N79" s="310">
        <f t="shared" si="107"/>
        <v>-205.66693857269308</v>
      </c>
      <c r="O79" s="309">
        <f t="shared" si="107"/>
        <v>85.523234835747786</v>
      </c>
      <c r="P79" s="309">
        <f t="shared" si="107"/>
        <v>227.72630827083472</v>
      </c>
      <c r="Q79" s="309">
        <f t="shared" si="107"/>
        <v>-360.59004148831968</v>
      </c>
      <c r="R79" s="310">
        <f t="shared" si="107"/>
        <v>267.31336291233782</v>
      </c>
      <c r="S79" s="309">
        <f t="shared" si="107"/>
        <v>-134.17788586529062</v>
      </c>
      <c r="T79" s="309">
        <f t="shared" si="107"/>
        <v>131.53411968361826</v>
      </c>
      <c r="U79" s="309">
        <f t="shared" si="107"/>
        <v>-141.02529321866828</v>
      </c>
      <c r="V79" s="310">
        <f t="shared" si="107"/>
        <v>329.80630724240081</v>
      </c>
      <c r="W79" s="309">
        <f t="shared" si="107"/>
        <v>-157.05767517735947</v>
      </c>
      <c r="X79" s="309">
        <f t="shared" si="107"/>
        <v>84.000831995907916</v>
      </c>
      <c r="Y79" s="309">
        <f t="shared" si="107"/>
        <v>-196.51326478926964</v>
      </c>
      <c r="Z79" s="310">
        <f t="shared" si="107"/>
        <v>238.74205261808015</v>
      </c>
      <c r="AA79" s="309">
        <f t="shared" si="107"/>
        <v>-200.5001856408789</v>
      </c>
      <c r="AB79" s="309">
        <f t="shared" si="107"/>
        <v>50.215533067412835</v>
      </c>
      <c r="AC79" s="309">
        <f t="shared" si="107"/>
        <v>-36.508237444520532</v>
      </c>
      <c r="AD79" s="310">
        <f t="shared" si="107"/>
        <v>237.78223395411914</v>
      </c>
      <c r="AE79" s="309">
        <f t="shared" si="107"/>
        <v>-262.35095357685049</v>
      </c>
      <c r="AF79" s="309">
        <f t="shared" si="107"/>
        <v>138.21901879886232</v>
      </c>
      <c r="AG79" s="309">
        <f t="shared" si="107"/>
        <v>-155.94364149415506</v>
      </c>
      <c r="AH79" s="310">
        <f t="shared" si="107"/>
        <v>88.655434044222488</v>
      </c>
      <c r="AI79" s="309">
        <f t="shared" si="107"/>
        <v>-59.138321995464842</v>
      </c>
      <c r="AJ79" s="309">
        <f t="shared" si="107"/>
        <v>200.00000000000003</v>
      </c>
      <c r="AK79" s="309">
        <f t="shared" si="107"/>
        <v>-50.000000000000043</v>
      </c>
      <c r="AL79" s="310">
        <f t="shared" si="107"/>
        <v>-30.000000000000028</v>
      </c>
      <c r="AM79" s="196"/>
      <c r="AN79" s="311"/>
      <c r="AO79" s="311"/>
      <c r="AP79" s="311"/>
      <c r="AQ79" s="311"/>
      <c r="AR79" s="307"/>
      <c r="AS79" s="307"/>
      <c r="AT79" s="307"/>
      <c r="AU79" s="307"/>
      <c r="AV79" s="307"/>
      <c r="AW79" s="167"/>
      <c r="AX79" s="167"/>
      <c r="AY79" s="167"/>
      <c r="AZ79" s="167"/>
      <c r="BA79" s="167"/>
    </row>
    <row r="80" spans="1:56" s="312" customFormat="1">
      <c r="A80" s="196"/>
      <c r="B80" s="656" t="s">
        <v>217</v>
      </c>
      <c r="C80" s="309"/>
      <c r="D80" s="309"/>
      <c r="E80" s="309"/>
      <c r="F80" s="310"/>
      <c r="G80" s="309">
        <f t="shared" ref="G80:AH80" si="108">(G78-C78)*10000</f>
        <v>-199.45161639816993</v>
      </c>
      <c r="H80" s="309">
        <f t="shared" si="108"/>
        <v>346.60857900783799</v>
      </c>
      <c r="I80" s="309">
        <f t="shared" si="108"/>
        <v>264.81148236693298</v>
      </c>
      <c r="J80" s="310">
        <f t="shared" si="108"/>
        <v>1222.1326886919153</v>
      </c>
      <c r="K80" s="309">
        <f t="shared" si="108"/>
        <v>562.85367825384003</v>
      </c>
      <c r="L80" s="309">
        <f t="shared" si="108"/>
        <v>183.26022952592683</v>
      </c>
      <c r="M80" s="309">
        <f t="shared" si="108"/>
        <v>169.39609820509975</v>
      </c>
      <c r="N80" s="310">
        <f t="shared" si="108"/>
        <v>-473.92405679723095</v>
      </c>
      <c r="O80" s="309">
        <f t="shared" si="108"/>
        <v>-220.18970189701892</v>
      </c>
      <c r="P80" s="309">
        <f t="shared" si="108"/>
        <v>-10.521178537901687</v>
      </c>
      <c r="Q80" s="309">
        <f t="shared" si="108"/>
        <v>-253.00743695443023</v>
      </c>
      <c r="R80" s="310">
        <f t="shared" si="108"/>
        <v>219.97286453060067</v>
      </c>
      <c r="S80" s="309">
        <f t="shared" si="108"/>
        <v>0.27174382956227094</v>
      </c>
      <c r="T80" s="309">
        <f t="shared" si="108"/>
        <v>-95.920444757654209</v>
      </c>
      <c r="U80" s="309">
        <f t="shared" si="108"/>
        <v>123.64430351199718</v>
      </c>
      <c r="V80" s="310">
        <f t="shared" si="108"/>
        <v>186.13724784206019</v>
      </c>
      <c r="W80" s="309">
        <f t="shared" si="108"/>
        <v>163.25745852999131</v>
      </c>
      <c r="X80" s="309">
        <f t="shared" si="108"/>
        <v>115.72417084228098</v>
      </c>
      <c r="Y80" s="309">
        <f t="shared" si="108"/>
        <v>60.236199271679617</v>
      </c>
      <c r="Z80" s="310">
        <f t="shared" si="108"/>
        <v>-30.828055352641048</v>
      </c>
      <c r="AA80" s="309">
        <f t="shared" si="108"/>
        <v>-74.270565816160484</v>
      </c>
      <c r="AB80" s="309">
        <f t="shared" si="108"/>
        <v>-108.05586474465557</v>
      </c>
      <c r="AC80" s="309">
        <f t="shared" si="108"/>
        <v>51.949162600093551</v>
      </c>
      <c r="AD80" s="310">
        <f t="shared" si="108"/>
        <v>50.989343936132528</v>
      </c>
      <c r="AE80" s="309">
        <f t="shared" si="108"/>
        <v>-10.861423999839054</v>
      </c>
      <c r="AF80" s="309">
        <f t="shared" si="108"/>
        <v>77.142061731610426</v>
      </c>
      <c r="AG80" s="309">
        <f t="shared" si="108"/>
        <v>-42.293342318024116</v>
      </c>
      <c r="AH80" s="310">
        <f t="shared" si="108"/>
        <v>-191.42014222792076</v>
      </c>
      <c r="AI80" s="309">
        <f>(AI78-AE78)*10000</f>
        <v>11.792489353464886</v>
      </c>
      <c r="AJ80" s="309">
        <f>(AJ78-AF78)*10000</f>
        <v>73.573470554602622</v>
      </c>
      <c r="AK80" s="309">
        <f>(AK78-AG78)*10000</f>
        <v>179.51711204875764</v>
      </c>
      <c r="AL80" s="310">
        <f>(AL78-AH78)*10000</f>
        <v>60.861678004535122</v>
      </c>
      <c r="AM80" s="196"/>
      <c r="AN80" s="311"/>
      <c r="AO80" s="311">
        <f t="shared" ref="AO80:BA80" si="109">(AO78-AN78)*10000</f>
        <v>576.81576487805933</v>
      </c>
      <c r="AP80" s="311">
        <f t="shared" si="109"/>
        <v>117.67598719464561</v>
      </c>
      <c r="AQ80" s="311">
        <f t="shared" si="109"/>
        <v>-70.169428857279613</v>
      </c>
      <c r="AR80" s="307">
        <f t="shared" si="109"/>
        <v>50.454970482743249</v>
      </c>
      <c r="AS80" s="307">
        <f t="shared" si="109"/>
        <v>77.672923052416323</v>
      </c>
      <c r="AT80" s="307">
        <f t="shared" si="109"/>
        <v>-74.113152879279326</v>
      </c>
      <c r="AU80" s="309">
        <f t="shared" si="109"/>
        <v>46.335462358438193</v>
      </c>
      <c r="AV80" s="309">
        <f t="shared" si="109"/>
        <v>45.646396057418549</v>
      </c>
      <c r="AW80" s="309">
        <f t="shared" si="109"/>
        <v>-30.000000000000028</v>
      </c>
      <c r="AX80" s="309">
        <f t="shared" si="109"/>
        <v>-30.000000000000028</v>
      </c>
      <c r="AY80" s="309">
        <f t="shared" si="109"/>
        <v>-30.000000000000028</v>
      </c>
      <c r="AZ80" s="309">
        <f t="shared" si="109"/>
        <v>-30.000000000000028</v>
      </c>
      <c r="BA80" s="309">
        <f t="shared" si="109"/>
        <v>-30.000000000000028</v>
      </c>
    </row>
    <row r="81" spans="1:53" s="312" customFormat="1">
      <c r="A81" s="196"/>
      <c r="B81" s="656" t="s">
        <v>218</v>
      </c>
      <c r="C81" s="309"/>
      <c r="D81" s="309"/>
      <c r="E81" s="309"/>
      <c r="F81" s="310"/>
      <c r="G81" s="309"/>
      <c r="H81" s="309"/>
      <c r="I81" s="309"/>
      <c r="J81" s="310"/>
      <c r="K81" s="309">
        <f t="shared" ref="K81:AH81" si="110">G80+K80</f>
        <v>363.40206185567013</v>
      </c>
      <c r="L81" s="309">
        <f t="shared" si="110"/>
        <v>529.86880853376488</v>
      </c>
      <c r="M81" s="309">
        <f t="shared" si="110"/>
        <v>434.20758057203273</v>
      </c>
      <c r="N81" s="310">
        <f t="shared" si="110"/>
        <v>748.20863189468434</v>
      </c>
      <c r="O81" s="309">
        <f t="shared" si="110"/>
        <v>342.66397635682108</v>
      </c>
      <c r="P81" s="309">
        <f t="shared" si="110"/>
        <v>172.73905098802516</v>
      </c>
      <c r="Q81" s="309">
        <f t="shared" si="110"/>
        <v>-83.611338749330486</v>
      </c>
      <c r="R81" s="310">
        <f t="shared" si="110"/>
        <v>-253.95119226663027</v>
      </c>
      <c r="S81" s="309">
        <f t="shared" si="110"/>
        <v>-219.91795806745665</v>
      </c>
      <c r="T81" s="309">
        <f t="shared" si="110"/>
        <v>-106.4416232955559</v>
      </c>
      <c r="U81" s="309">
        <f t="shared" si="110"/>
        <v>-129.36313344243305</v>
      </c>
      <c r="V81" s="310">
        <f t="shared" si="110"/>
        <v>406.11011237266086</v>
      </c>
      <c r="W81" s="309">
        <f t="shared" si="110"/>
        <v>163.52920235955358</v>
      </c>
      <c r="X81" s="309">
        <f t="shared" si="110"/>
        <v>19.803726084626774</v>
      </c>
      <c r="Y81" s="309">
        <f t="shared" si="110"/>
        <v>183.8805027836768</v>
      </c>
      <c r="Z81" s="310">
        <f t="shared" si="110"/>
        <v>155.30919248941913</v>
      </c>
      <c r="AA81" s="309">
        <f t="shared" si="110"/>
        <v>88.986892713830827</v>
      </c>
      <c r="AB81" s="309">
        <f t="shared" si="110"/>
        <v>7.6683060976254183</v>
      </c>
      <c r="AC81" s="309">
        <f t="shared" si="110"/>
        <v>112.18536187177317</v>
      </c>
      <c r="AD81" s="310">
        <f t="shared" si="110"/>
        <v>20.16128858349148</v>
      </c>
      <c r="AE81" s="309">
        <f t="shared" si="110"/>
        <v>-85.131989815999532</v>
      </c>
      <c r="AF81" s="309">
        <f t="shared" si="110"/>
        <v>-30.91380301304514</v>
      </c>
      <c r="AG81" s="309">
        <f t="shared" si="110"/>
        <v>9.6558202820694348</v>
      </c>
      <c r="AH81" s="310">
        <f t="shared" si="110"/>
        <v>-140.43079829178822</v>
      </c>
      <c r="AI81" s="309">
        <f>AE80+AI80</f>
        <v>0.93106535362583109</v>
      </c>
      <c r="AJ81" s="309">
        <f>AF80+AJ80</f>
        <v>150.71553228621303</v>
      </c>
      <c r="AK81" s="309">
        <f>AG80+AK80</f>
        <v>137.22376973073352</v>
      </c>
      <c r="AL81" s="310">
        <f>AH80+AL80</f>
        <v>-130.55846422338564</v>
      </c>
      <c r="AM81" s="196"/>
      <c r="AN81" s="311"/>
      <c r="AO81" s="311"/>
      <c r="AP81" s="311">
        <f t="shared" ref="AP81:BA81" si="111">AO80+AP80</f>
        <v>694.49175207270491</v>
      </c>
      <c r="AQ81" s="311">
        <f t="shared" si="111"/>
        <v>47.506558337366002</v>
      </c>
      <c r="AR81" s="307">
        <f t="shared" si="111"/>
        <v>-19.714458374536363</v>
      </c>
      <c r="AS81" s="307">
        <f t="shared" si="111"/>
        <v>128.12789353515956</v>
      </c>
      <c r="AT81" s="307">
        <f t="shared" si="111"/>
        <v>3.5597701731369966</v>
      </c>
      <c r="AU81" s="307">
        <f t="shared" si="111"/>
        <v>-27.777690520841134</v>
      </c>
      <c r="AV81" s="307">
        <f t="shared" si="111"/>
        <v>91.981858415856749</v>
      </c>
      <c r="AW81" s="309">
        <f t="shared" si="111"/>
        <v>15.646396057418521</v>
      </c>
      <c r="AX81" s="309">
        <f t="shared" si="111"/>
        <v>-60.000000000000057</v>
      </c>
      <c r="AY81" s="309">
        <f t="shared" si="111"/>
        <v>-60.000000000000057</v>
      </c>
      <c r="AZ81" s="309">
        <f t="shared" si="111"/>
        <v>-60.000000000000057</v>
      </c>
      <c r="BA81" s="309">
        <f t="shared" si="111"/>
        <v>-60.000000000000057</v>
      </c>
    </row>
    <row r="82" spans="1:53" s="312" customFormat="1">
      <c r="A82" s="196"/>
      <c r="B82" s="656" t="s">
        <v>210</v>
      </c>
      <c r="C82" s="309"/>
      <c r="D82" s="309">
        <f t="shared" ref="D82:AC82" si="112">D77-C77</f>
        <v>-11</v>
      </c>
      <c r="E82" s="309">
        <f t="shared" si="112"/>
        <v>-5</v>
      </c>
      <c r="F82" s="310">
        <f t="shared" si="112"/>
        <v>-48</v>
      </c>
      <c r="G82" s="309">
        <f t="shared" si="112"/>
        <v>63</v>
      </c>
      <c r="H82" s="309">
        <f t="shared" si="112"/>
        <v>57</v>
      </c>
      <c r="I82" s="309">
        <f t="shared" si="112"/>
        <v>-26</v>
      </c>
      <c r="J82" s="310">
        <f t="shared" si="112"/>
        <v>60</v>
      </c>
      <c r="K82" s="309">
        <f t="shared" si="112"/>
        <v>-18</v>
      </c>
      <c r="L82" s="309">
        <f t="shared" si="112"/>
        <v>0</v>
      </c>
      <c r="M82" s="309">
        <f t="shared" si="112"/>
        <v>-33</v>
      </c>
      <c r="N82" s="310">
        <f t="shared" si="112"/>
        <v>-25</v>
      </c>
      <c r="O82" s="309">
        <f t="shared" si="112"/>
        <v>14</v>
      </c>
      <c r="P82" s="309">
        <f t="shared" si="112"/>
        <v>32</v>
      </c>
      <c r="Q82" s="309">
        <f t="shared" si="112"/>
        <v>-52</v>
      </c>
      <c r="R82" s="310">
        <f t="shared" si="112"/>
        <v>35</v>
      </c>
      <c r="S82" s="309">
        <f t="shared" si="112"/>
        <v>-16</v>
      </c>
      <c r="T82" s="309">
        <f t="shared" si="112"/>
        <v>25</v>
      </c>
      <c r="U82" s="309">
        <f t="shared" si="112"/>
        <v>-24</v>
      </c>
      <c r="V82" s="310">
        <f t="shared" si="112"/>
        <v>39</v>
      </c>
      <c r="W82" s="309">
        <f t="shared" si="112"/>
        <v>-24</v>
      </c>
      <c r="X82" s="309">
        <f t="shared" si="112"/>
        <v>17</v>
      </c>
      <c r="Y82" s="309">
        <f t="shared" si="112"/>
        <v>-31</v>
      </c>
      <c r="Z82" s="310">
        <f t="shared" si="112"/>
        <v>32</v>
      </c>
      <c r="AA82" s="309">
        <f t="shared" si="112"/>
        <v>-22</v>
      </c>
      <c r="AB82" s="309">
        <f t="shared" si="112"/>
        <v>9</v>
      </c>
      <c r="AC82" s="309">
        <f t="shared" si="112"/>
        <v>-12</v>
      </c>
      <c r="AD82" s="475">
        <f>(AD77+0.021*AD58)-AC77</f>
        <v>35.066000000000003</v>
      </c>
      <c r="AE82" s="447">
        <f>(AE77-17)-(AD77+0.021*AD58)</f>
        <v>-29.843777777777774</v>
      </c>
      <c r="AF82" s="447">
        <f>AF77-(AE77-17)</f>
        <v>18.111111111111114</v>
      </c>
      <c r="AG82" s="309">
        <f t="shared" ref="AG82:AL82" si="113">AG77-AF77</f>
        <v>-16.111111111111114</v>
      </c>
      <c r="AH82" s="310">
        <f t="shared" si="113"/>
        <v>21</v>
      </c>
      <c r="AI82" s="309">
        <f t="shared" si="113"/>
        <v>-4.288462222222222</v>
      </c>
      <c r="AJ82" s="309">
        <f t="shared" si="113"/>
        <v>27.217240000000004</v>
      </c>
      <c r="AK82" s="309">
        <f t="shared" si="113"/>
        <v>-3.8441250000000196</v>
      </c>
      <c r="AL82" s="310">
        <f t="shared" si="113"/>
        <v>-23.968954999999966</v>
      </c>
      <c r="AM82" s="196"/>
      <c r="AN82" s="311"/>
      <c r="AO82" s="311"/>
      <c r="AP82" s="311"/>
      <c r="AQ82" s="311"/>
      <c r="AR82" s="307"/>
      <c r="AS82" s="307"/>
      <c r="AT82" s="307"/>
      <c r="AU82" s="307"/>
      <c r="AV82" s="307"/>
      <c r="AW82" s="167"/>
      <c r="AX82" s="167"/>
      <c r="AY82" s="167"/>
      <c r="AZ82" s="167"/>
      <c r="BA82" s="167"/>
    </row>
    <row r="83" spans="1:53" s="312" customFormat="1">
      <c r="A83" s="196"/>
      <c r="B83" s="656" t="s">
        <v>211</v>
      </c>
      <c r="C83" s="309"/>
      <c r="D83" s="309"/>
      <c r="E83" s="309"/>
      <c r="F83" s="310"/>
      <c r="G83" s="309">
        <f t="shared" ref="G83:AC83" si="114">G77-C77</f>
        <v>-1</v>
      </c>
      <c r="H83" s="309">
        <f t="shared" si="114"/>
        <v>67</v>
      </c>
      <c r="I83" s="309">
        <f t="shared" si="114"/>
        <v>46</v>
      </c>
      <c r="J83" s="310">
        <f t="shared" si="114"/>
        <v>154</v>
      </c>
      <c r="K83" s="309">
        <f t="shared" si="114"/>
        <v>73</v>
      </c>
      <c r="L83" s="309">
        <f t="shared" si="114"/>
        <v>16</v>
      </c>
      <c r="M83" s="309">
        <f t="shared" si="114"/>
        <v>9</v>
      </c>
      <c r="N83" s="310">
        <f t="shared" si="114"/>
        <v>-76</v>
      </c>
      <c r="O83" s="309">
        <f t="shared" si="114"/>
        <v>-44</v>
      </c>
      <c r="P83" s="309">
        <f t="shared" si="114"/>
        <v>-12</v>
      </c>
      <c r="Q83" s="309">
        <f t="shared" si="114"/>
        <v>-31</v>
      </c>
      <c r="R83" s="310">
        <f t="shared" si="114"/>
        <v>29</v>
      </c>
      <c r="S83" s="309">
        <f t="shared" si="114"/>
        <v>-1</v>
      </c>
      <c r="T83" s="309">
        <f t="shared" si="114"/>
        <v>-8</v>
      </c>
      <c r="U83" s="309">
        <f t="shared" si="114"/>
        <v>20</v>
      </c>
      <c r="V83" s="310">
        <f t="shared" si="114"/>
        <v>24</v>
      </c>
      <c r="W83" s="309">
        <f t="shared" si="114"/>
        <v>16</v>
      </c>
      <c r="X83" s="309">
        <f t="shared" si="114"/>
        <v>8</v>
      </c>
      <c r="Y83" s="309">
        <f t="shared" si="114"/>
        <v>1</v>
      </c>
      <c r="Z83" s="310">
        <f t="shared" si="114"/>
        <v>-6</v>
      </c>
      <c r="AA83" s="309">
        <f t="shared" si="114"/>
        <v>-4</v>
      </c>
      <c r="AB83" s="309">
        <f t="shared" si="114"/>
        <v>-12</v>
      </c>
      <c r="AC83" s="309">
        <f t="shared" si="114"/>
        <v>7</v>
      </c>
      <c r="AD83" s="475">
        <f>(AD77+0.021*AD58)-Z77</f>
        <v>10.066000000000003</v>
      </c>
      <c r="AE83" s="447">
        <f>(AE77-17)-AA77</f>
        <v>2.2222222222222285</v>
      </c>
      <c r="AF83" s="309">
        <f>AF77-AB77</f>
        <v>11.333333333333343</v>
      </c>
      <c r="AG83" s="307">
        <f>AG77-AC77</f>
        <v>7.2222222222222285</v>
      </c>
      <c r="AH83" s="308">
        <f>AH77-AD77</f>
        <v>17.222222222222229</v>
      </c>
      <c r="AI83" s="167">
        <f>AI77-(AE77-17)</f>
        <v>18.711537777777778</v>
      </c>
      <c r="AJ83" s="307">
        <f>AJ77-AF77</f>
        <v>27.817666666666668</v>
      </c>
      <c r="AK83" s="307">
        <f>AK77-AG77</f>
        <v>40.084652777777762</v>
      </c>
      <c r="AL83" s="308">
        <f>AL77-AH77</f>
        <v>-4.8843022222222032</v>
      </c>
      <c r="AM83" s="196"/>
      <c r="AN83" s="311"/>
      <c r="AO83" s="311">
        <f t="shared" ref="AO83:BA83" si="115">AO77-AN77</f>
        <v>328</v>
      </c>
      <c r="AP83" s="311">
        <f t="shared" si="115"/>
        <v>22</v>
      </c>
      <c r="AQ83" s="311">
        <f t="shared" si="115"/>
        <v>-58</v>
      </c>
      <c r="AR83" s="307">
        <f t="shared" si="115"/>
        <v>35</v>
      </c>
      <c r="AS83" s="307">
        <f t="shared" si="115"/>
        <v>19</v>
      </c>
      <c r="AT83" s="307">
        <f t="shared" si="115"/>
        <v>-23</v>
      </c>
      <c r="AU83" s="307">
        <f t="shared" si="115"/>
        <v>55</v>
      </c>
      <c r="AV83" s="307">
        <f t="shared" si="115"/>
        <v>64.729555000000005</v>
      </c>
      <c r="AW83" s="307">
        <f t="shared" si="115"/>
        <v>-0.49239878617345312</v>
      </c>
      <c r="AX83" s="307">
        <f t="shared" si="115"/>
        <v>4.4657821475022956</v>
      </c>
      <c r="AY83" s="307">
        <f t="shared" si="115"/>
        <v>9.0150125602914386</v>
      </c>
      <c r="AZ83" s="307">
        <f t="shared" si="115"/>
        <v>5.1184815430647177</v>
      </c>
      <c r="BA83" s="307">
        <f t="shared" si="115"/>
        <v>1.1639880774157518</v>
      </c>
    </row>
    <row r="84" spans="1:53" s="312" customFormat="1">
      <c r="A84" s="196"/>
      <c r="B84" s="656" t="s">
        <v>212</v>
      </c>
      <c r="C84" s="309"/>
      <c r="D84" s="309"/>
      <c r="E84" s="309"/>
      <c r="F84" s="310"/>
      <c r="G84" s="309"/>
      <c r="H84" s="309"/>
      <c r="I84" s="309"/>
      <c r="J84" s="310"/>
      <c r="K84" s="309">
        <f t="shared" ref="K84:AL84" si="116">G83+K83</f>
        <v>72</v>
      </c>
      <c r="L84" s="309">
        <f t="shared" si="116"/>
        <v>83</v>
      </c>
      <c r="M84" s="309">
        <f t="shared" si="116"/>
        <v>55</v>
      </c>
      <c r="N84" s="310">
        <f t="shared" si="116"/>
        <v>78</v>
      </c>
      <c r="O84" s="309">
        <f t="shared" si="116"/>
        <v>29</v>
      </c>
      <c r="P84" s="309">
        <f t="shared" si="116"/>
        <v>4</v>
      </c>
      <c r="Q84" s="309">
        <f t="shared" si="116"/>
        <v>-22</v>
      </c>
      <c r="R84" s="310">
        <f t="shared" si="116"/>
        <v>-47</v>
      </c>
      <c r="S84" s="309">
        <f t="shared" si="116"/>
        <v>-45</v>
      </c>
      <c r="T84" s="309">
        <f t="shared" si="116"/>
        <v>-20</v>
      </c>
      <c r="U84" s="309">
        <f t="shared" si="116"/>
        <v>-11</v>
      </c>
      <c r="V84" s="310">
        <f t="shared" si="116"/>
        <v>53</v>
      </c>
      <c r="W84" s="309">
        <f t="shared" si="116"/>
        <v>15</v>
      </c>
      <c r="X84" s="309">
        <f t="shared" si="116"/>
        <v>0</v>
      </c>
      <c r="Y84" s="309">
        <f t="shared" si="116"/>
        <v>21</v>
      </c>
      <c r="Z84" s="310">
        <f t="shared" si="116"/>
        <v>18</v>
      </c>
      <c r="AA84" s="309">
        <f t="shared" si="116"/>
        <v>12</v>
      </c>
      <c r="AB84" s="309">
        <f t="shared" si="116"/>
        <v>-4</v>
      </c>
      <c r="AC84" s="309">
        <f t="shared" si="116"/>
        <v>8</v>
      </c>
      <c r="AD84" s="310">
        <f t="shared" si="116"/>
        <v>4.0660000000000025</v>
      </c>
      <c r="AE84" s="309">
        <f t="shared" si="116"/>
        <v>-1.7777777777777715</v>
      </c>
      <c r="AF84" s="309">
        <f t="shared" si="116"/>
        <v>-0.66666666666665719</v>
      </c>
      <c r="AG84" s="307">
        <f t="shared" si="116"/>
        <v>14.222222222222229</v>
      </c>
      <c r="AH84" s="308">
        <f t="shared" si="116"/>
        <v>27.288222222222231</v>
      </c>
      <c r="AI84" s="307">
        <f t="shared" si="116"/>
        <v>20.933760000000007</v>
      </c>
      <c r="AJ84" s="307">
        <f t="shared" si="116"/>
        <v>39.15100000000001</v>
      </c>
      <c r="AK84" s="307">
        <f t="shared" si="116"/>
        <v>47.306874999999991</v>
      </c>
      <c r="AL84" s="308">
        <f t="shared" si="116"/>
        <v>12.337920000000025</v>
      </c>
      <c r="AM84" s="196"/>
      <c r="AN84" s="311"/>
      <c r="AO84" s="311"/>
      <c r="AP84" s="311">
        <f t="shared" ref="AP84:BA84" si="117">AO83+AP83</f>
        <v>350</v>
      </c>
      <c r="AQ84" s="311">
        <f t="shared" si="117"/>
        <v>-36</v>
      </c>
      <c r="AR84" s="307">
        <f t="shared" si="117"/>
        <v>-23</v>
      </c>
      <c r="AS84" s="307">
        <f t="shared" si="117"/>
        <v>54</v>
      </c>
      <c r="AT84" s="307">
        <f t="shared" si="117"/>
        <v>-4</v>
      </c>
      <c r="AU84" s="307">
        <f t="shared" si="117"/>
        <v>32</v>
      </c>
      <c r="AV84" s="307">
        <f t="shared" si="117"/>
        <v>119.729555</v>
      </c>
      <c r="AW84" s="307">
        <f t="shared" si="117"/>
        <v>64.237156213826552</v>
      </c>
      <c r="AX84" s="307">
        <f t="shared" si="117"/>
        <v>3.9733833613288425</v>
      </c>
      <c r="AY84" s="307">
        <f t="shared" si="117"/>
        <v>13.480794707793734</v>
      </c>
      <c r="AZ84" s="307">
        <f t="shared" si="117"/>
        <v>14.133494103356156</v>
      </c>
      <c r="BA84" s="307">
        <f t="shared" si="117"/>
        <v>6.2824696204804695</v>
      </c>
    </row>
    <row r="85" spans="1:53" s="200" customFormat="1">
      <c r="A85" s="196"/>
      <c r="B85" s="660" t="s">
        <v>194</v>
      </c>
      <c r="C85" s="454"/>
      <c r="D85" s="454">
        <f t="shared" ref="D85:AC85" si="118">D77/C77-1</f>
        <v>-0.12790697674418605</v>
      </c>
      <c r="E85" s="454">
        <f t="shared" si="118"/>
        <v>-6.6666666666666652E-2</v>
      </c>
      <c r="F85" s="455">
        <f t="shared" si="118"/>
        <v>-0.68571428571428572</v>
      </c>
      <c r="G85" s="454">
        <f t="shared" si="118"/>
        <v>2.8636363636363638</v>
      </c>
      <c r="H85" s="454">
        <f t="shared" si="118"/>
        <v>0.67058823529411771</v>
      </c>
      <c r="I85" s="454">
        <f t="shared" si="118"/>
        <v>-0.18309859154929575</v>
      </c>
      <c r="J85" s="455">
        <f t="shared" si="118"/>
        <v>0.51724137931034475</v>
      </c>
      <c r="K85" s="454">
        <f t="shared" si="118"/>
        <v>-0.10227272727272729</v>
      </c>
      <c r="L85" s="454">
        <f t="shared" si="118"/>
        <v>0</v>
      </c>
      <c r="M85" s="454">
        <f t="shared" si="118"/>
        <v>-0.20886075949367089</v>
      </c>
      <c r="N85" s="455">
        <f t="shared" si="118"/>
        <v>-0.19999999999999996</v>
      </c>
      <c r="O85" s="454">
        <f t="shared" si="118"/>
        <v>0.1399999999999999</v>
      </c>
      <c r="P85" s="454">
        <f t="shared" si="118"/>
        <v>0.2807017543859649</v>
      </c>
      <c r="Q85" s="454">
        <f t="shared" si="118"/>
        <v>-0.35616438356164382</v>
      </c>
      <c r="R85" s="455">
        <f t="shared" si="118"/>
        <v>0.37234042553191493</v>
      </c>
      <c r="S85" s="454">
        <f t="shared" si="118"/>
        <v>-0.12403100775193798</v>
      </c>
      <c r="T85" s="454">
        <f t="shared" si="118"/>
        <v>0.22123893805309724</v>
      </c>
      <c r="U85" s="454">
        <f t="shared" si="118"/>
        <v>-0.17391304347826086</v>
      </c>
      <c r="V85" s="455">
        <f t="shared" si="118"/>
        <v>0.34210526315789469</v>
      </c>
      <c r="W85" s="454">
        <f t="shared" si="118"/>
        <v>-0.15686274509803921</v>
      </c>
      <c r="X85" s="454">
        <f t="shared" si="118"/>
        <v>0.13178294573643412</v>
      </c>
      <c r="Y85" s="454">
        <f t="shared" si="118"/>
        <v>-0.21232876712328763</v>
      </c>
      <c r="Z85" s="455">
        <f t="shared" si="118"/>
        <v>0.27826086956521734</v>
      </c>
      <c r="AA85" s="454">
        <f t="shared" si="118"/>
        <v>-0.14965986394557829</v>
      </c>
      <c r="AB85" s="454">
        <f t="shared" si="118"/>
        <v>7.2000000000000064E-2</v>
      </c>
      <c r="AC85" s="454">
        <f t="shared" si="118"/>
        <v>-8.9552238805970186E-2</v>
      </c>
      <c r="AD85" s="473">
        <f>(AD77+0.021*AD58)/AC77-1</f>
        <v>0.28742622950819685</v>
      </c>
      <c r="AE85" s="474">
        <f>(AE77-17)/(AD77+0.021*AD58)-1</f>
        <v>-0.19000788062201734</v>
      </c>
      <c r="AF85" s="474">
        <f>AF77/(AE77-17)-1</f>
        <v>0.14235807860262017</v>
      </c>
      <c r="AG85" s="454">
        <f t="shared" ref="AG85:AL85" si="119">AG77/AF77-1</f>
        <v>-0.11085626911314983</v>
      </c>
      <c r="AH85" s="455">
        <f t="shared" si="119"/>
        <v>0.16251074806534827</v>
      </c>
      <c r="AI85" s="454">
        <f t="shared" si="119"/>
        <v>-2.8547455621301787E-2</v>
      </c>
      <c r="AJ85" s="454">
        <f t="shared" si="119"/>
        <v>0.18650406869527658</v>
      </c>
      <c r="AK85" s="454">
        <f t="shared" si="119"/>
        <v>-2.2200997972867675E-2</v>
      </c>
      <c r="AL85" s="455">
        <f t="shared" si="119"/>
        <v>-0.14157106732966374</v>
      </c>
      <c r="AM85" s="196"/>
      <c r="AN85" s="456"/>
      <c r="AO85" s="456"/>
      <c r="AP85" s="456"/>
      <c r="AQ85" s="456"/>
      <c r="AR85" s="183"/>
      <c r="AS85" s="183"/>
      <c r="AT85" s="183"/>
      <c r="AU85" s="183"/>
      <c r="AV85" s="183"/>
      <c r="AW85" s="214"/>
      <c r="AX85" s="214"/>
      <c r="AY85" s="214"/>
      <c r="AZ85" s="214"/>
      <c r="BA85" s="214"/>
    </row>
    <row r="86" spans="1:53" s="200" customFormat="1">
      <c r="A86" s="196"/>
      <c r="B86" s="660" t="s">
        <v>26</v>
      </c>
      <c r="C86" s="454"/>
      <c r="D86" s="454"/>
      <c r="E86" s="454"/>
      <c r="F86" s="455"/>
      <c r="G86" s="454">
        <f t="shared" ref="G86:AC86" si="120">G77/C77-1</f>
        <v>-1.1627906976744207E-2</v>
      </c>
      <c r="H86" s="454">
        <f t="shared" si="120"/>
        <v>0.89333333333333331</v>
      </c>
      <c r="I86" s="454">
        <f t="shared" si="120"/>
        <v>0.65714285714285725</v>
      </c>
      <c r="J86" s="455">
        <f t="shared" si="120"/>
        <v>7</v>
      </c>
      <c r="K86" s="454">
        <f t="shared" si="120"/>
        <v>0.85882352941176476</v>
      </c>
      <c r="L86" s="454">
        <f t="shared" si="120"/>
        <v>0.11267605633802824</v>
      </c>
      <c r="M86" s="454">
        <f t="shared" si="120"/>
        <v>7.7586206896551824E-2</v>
      </c>
      <c r="N86" s="455">
        <f t="shared" si="120"/>
        <v>-0.43181818181818177</v>
      </c>
      <c r="O86" s="454">
        <f t="shared" si="120"/>
        <v>-0.27848101265822789</v>
      </c>
      <c r="P86" s="454">
        <f t="shared" si="120"/>
        <v>-7.5949367088607556E-2</v>
      </c>
      <c r="Q86" s="454">
        <f t="shared" si="120"/>
        <v>-0.248</v>
      </c>
      <c r="R86" s="455">
        <f t="shared" si="120"/>
        <v>0.29000000000000004</v>
      </c>
      <c r="S86" s="454">
        <f t="shared" si="120"/>
        <v>-8.7719298245614308E-3</v>
      </c>
      <c r="T86" s="454">
        <f t="shared" si="120"/>
        <v>-5.4794520547945202E-2</v>
      </c>
      <c r="U86" s="454">
        <f t="shared" si="120"/>
        <v>0.2127659574468086</v>
      </c>
      <c r="V86" s="455">
        <f t="shared" si="120"/>
        <v>0.18604651162790709</v>
      </c>
      <c r="W86" s="454">
        <f t="shared" si="120"/>
        <v>0.1415929203539823</v>
      </c>
      <c r="X86" s="454">
        <f t="shared" si="120"/>
        <v>5.7971014492753659E-2</v>
      </c>
      <c r="Y86" s="454">
        <f t="shared" si="120"/>
        <v>8.7719298245614308E-3</v>
      </c>
      <c r="Z86" s="455">
        <f t="shared" si="120"/>
        <v>-3.9215686274509776E-2</v>
      </c>
      <c r="AA86" s="454">
        <f t="shared" si="120"/>
        <v>-3.1007751937984551E-2</v>
      </c>
      <c r="AB86" s="454">
        <f t="shared" si="120"/>
        <v>-8.2191780821917804E-2</v>
      </c>
      <c r="AC86" s="454">
        <f t="shared" si="120"/>
        <v>6.0869565217391397E-2</v>
      </c>
      <c r="AD86" s="473">
        <f>(AD77+0.021*AD58)/Z77-1</f>
        <v>6.8476190476190579E-2</v>
      </c>
      <c r="AE86" s="474">
        <f>(AE77-17)/AA77-1</f>
        <v>1.7777777777777892E-2</v>
      </c>
      <c r="AF86" s="454">
        <f>AF77/AB77-1</f>
        <v>8.4577114427860867E-2</v>
      </c>
      <c r="AG86" s="183">
        <f>AG77/AC77-1</f>
        <v>5.9198542805100285E-2</v>
      </c>
      <c r="AH86" s="184">
        <f>AH77/AD77-1</f>
        <v>0.12949039264828732</v>
      </c>
      <c r="AI86" s="214">
        <f>AI77/(AE77-17)-1</f>
        <v>0.14707758951965055</v>
      </c>
      <c r="AJ86" s="183">
        <f>AJ77/AF77-1</f>
        <v>0.19140596330275228</v>
      </c>
      <c r="AK86" s="183">
        <f>AK77/AG77-1</f>
        <v>0.31019937661220975</v>
      </c>
      <c r="AL86" s="184">
        <f>AL77/AH77-1</f>
        <v>-3.2513846153846004E-2</v>
      </c>
      <c r="AM86" s="196"/>
      <c r="AN86" s="456"/>
      <c r="AO86" s="456">
        <f t="shared" ref="AO86:BA86" si="121">AO77/AN77-1</f>
        <v>1.7172774869109948</v>
      </c>
      <c r="AP86" s="456">
        <f t="shared" si="121"/>
        <v>4.2389210019267765E-2</v>
      </c>
      <c r="AQ86" s="456">
        <f t="shared" si="121"/>
        <v>-0.10720887245841038</v>
      </c>
      <c r="AR86" s="183">
        <f t="shared" si="121"/>
        <v>7.2463768115942129E-2</v>
      </c>
      <c r="AS86" s="183">
        <f t="shared" si="121"/>
        <v>3.6679536679536717E-2</v>
      </c>
      <c r="AT86" s="183">
        <f t="shared" si="121"/>
        <v>-4.2830540037243958E-2</v>
      </c>
      <c r="AU86" s="183">
        <f t="shared" si="121"/>
        <v>0.10700389105058372</v>
      </c>
      <c r="AV86" s="183">
        <f t="shared" si="121"/>
        <v>0.1137602021089632</v>
      </c>
      <c r="AW86" s="183">
        <f t="shared" si="121"/>
        <v>-7.7698567518036388E-4</v>
      </c>
      <c r="AX86" s="183">
        <f t="shared" si="121"/>
        <v>7.0523059231135665E-3</v>
      </c>
      <c r="AY86" s="183">
        <f t="shared" si="121"/>
        <v>1.4136695972354785E-2</v>
      </c>
      <c r="AZ86" s="183">
        <f t="shared" si="121"/>
        <v>7.9145499761843485E-3</v>
      </c>
      <c r="BA86" s="183">
        <f t="shared" si="121"/>
        <v>1.7857057682624244E-3</v>
      </c>
    </row>
    <row r="87" spans="1:53" s="200" customFormat="1">
      <c r="A87" s="196"/>
      <c r="B87" s="660" t="s">
        <v>214</v>
      </c>
      <c r="C87" s="454"/>
      <c r="D87" s="454"/>
      <c r="E87" s="454"/>
      <c r="F87" s="455"/>
      <c r="G87" s="454"/>
      <c r="H87" s="454"/>
      <c r="I87" s="454"/>
      <c r="J87" s="455"/>
      <c r="K87" s="454">
        <f t="shared" ref="K87:AL87" si="122">G86+K86</f>
        <v>0.84719562243502056</v>
      </c>
      <c r="L87" s="454">
        <f t="shared" si="122"/>
        <v>1.0060093896713616</v>
      </c>
      <c r="M87" s="454">
        <f t="shared" si="122"/>
        <v>0.73472906403940907</v>
      </c>
      <c r="N87" s="455">
        <f t="shared" si="122"/>
        <v>6.5681818181818183</v>
      </c>
      <c r="O87" s="454">
        <f t="shared" si="122"/>
        <v>0.58034251675353687</v>
      </c>
      <c r="P87" s="454">
        <f t="shared" si="122"/>
        <v>3.6726689249420685E-2</v>
      </c>
      <c r="Q87" s="454">
        <f t="shared" si="122"/>
        <v>-0.17041379310344817</v>
      </c>
      <c r="R87" s="455">
        <f t="shared" si="122"/>
        <v>-0.14181818181818173</v>
      </c>
      <c r="S87" s="454">
        <f t="shared" si="122"/>
        <v>-0.28725294248278932</v>
      </c>
      <c r="T87" s="454">
        <f t="shared" si="122"/>
        <v>-0.13074388763655276</v>
      </c>
      <c r="U87" s="454">
        <f t="shared" si="122"/>
        <v>-3.5234042553191403E-2</v>
      </c>
      <c r="V87" s="455">
        <f t="shared" si="122"/>
        <v>0.47604651162790712</v>
      </c>
      <c r="W87" s="454">
        <f t="shared" si="122"/>
        <v>0.13282099052942087</v>
      </c>
      <c r="X87" s="454">
        <f t="shared" si="122"/>
        <v>3.1764939448084561E-3</v>
      </c>
      <c r="Y87" s="454">
        <f t="shared" si="122"/>
        <v>0.22153788727137003</v>
      </c>
      <c r="Z87" s="455">
        <f t="shared" si="122"/>
        <v>0.14683082535339731</v>
      </c>
      <c r="AA87" s="454">
        <f t="shared" si="122"/>
        <v>0.11058516841599775</v>
      </c>
      <c r="AB87" s="454">
        <f t="shared" si="122"/>
        <v>-2.4220766329164145E-2</v>
      </c>
      <c r="AC87" s="454">
        <f t="shared" si="122"/>
        <v>6.9641495041952828E-2</v>
      </c>
      <c r="AD87" s="455">
        <f t="shared" si="122"/>
        <v>2.9260504201680804E-2</v>
      </c>
      <c r="AE87" s="454">
        <f t="shared" si="122"/>
        <v>-1.3229974160206659E-2</v>
      </c>
      <c r="AF87" s="454">
        <f t="shared" si="122"/>
        <v>2.385333605943063E-3</v>
      </c>
      <c r="AG87" s="183">
        <f t="shared" si="122"/>
        <v>0.12006810802249168</v>
      </c>
      <c r="AH87" s="184">
        <f t="shared" si="122"/>
        <v>0.1979665831244779</v>
      </c>
      <c r="AI87" s="183">
        <f>AE86+AI86</f>
        <v>0.16485536729742845</v>
      </c>
      <c r="AJ87" s="183">
        <f t="shared" si="122"/>
        <v>0.27598307773061315</v>
      </c>
      <c r="AK87" s="183">
        <f t="shared" si="122"/>
        <v>0.36939791941731004</v>
      </c>
      <c r="AL87" s="184">
        <f t="shared" si="122"/>
        <v>9.6976546494441318E-2</v>
      </c>
      <c r="AM87" s="196"/>
      <c r="AN87" s="456"/>
      <c r="AO87" s="456"/>
      <c r="AP87" s="456">
        <f t="shared" ref="AP87:BA87" si="123">AO86+AP86</f>
        <v>1.7596666969302626</v>
      </c>
      <c r="AQ87" s="456">
        <f t="shared" si="123"/>
        <v>-6.4819662439142611E-2</v>
      </c>
      <c r="AR87" s="183">
        <f t="shared" si="123"/>
        <v>-3.4745104342468247E-2</v>
      </c>
      <c r="AS87" s="183">
        <f t="shared" si="123"/>
        <v>0.10914330479547885</v>
      </c>
      <c r="AT87" s="183">
        <f t="shared" si="123"/>
        <v>-6.1510033577072409E-3</v>
      </c>
      <c r="AU87" s="183">
        <f t="shared" si="123"/>
        <v>6.4173351013339763E-2</v>
      </c>
      <c r="AV87" s="183">
        <f t="shared" si="123"/>
        <v>0.22076409315954693</v>
      </c>
      <c r="AW87" s="183">
        <f t="shared" si="123"/>
        <v>0.11298321643378284</v>
      </c>
      <c r="AX87" s="183">
        <f t="shared" si="123"/>
        <v>6.2753202479332026E-3</v>
      </c>
      <c r="AY87" s="183">
        <f t="shared" si="123"/>
        <v>2.1189001895468351E-2</v>
      </c>
      <c r="AZ87" s="183">
        <f t="shared" si="123"/>
        <v>2.2051245948539133E-2</v>
      </c>
      <c r="BA87" s="183">
        <f t="shared" si="123"/>
        <v>9.700255744446773E-3</v>
      </c>
    </row>
    <row r="88" spans="1:53" s="200" customFormat="1">
      <c r="A88" s="196"/>
      <c r="B88" s="660"/>
      <c r="C88" s="454"/>
      <c r="D88" s="454"/>
      <c r="E88" s="454"/>
      <c r="F88" s="455"/>
      <c r="G88" s="454"/>
      <c r="H88" s="454"/>
      <c r="I88" s="454"/>
      <c r="J88" s="455"/>
      <c r="K88" s="454"/>
      <c r="L88" s="454"/>
      <c r="M88" s="454"/>
      <c r="N88" s="455"/>
      <c r="O88" s="454"/>
      <c r="P88" s="454"/>
      <c r="Q88" s="454"/>
      <c r="R88" s="455"/>
      <c r="S88" s="454"/>
      <c r="T88" s="454"/>
      <c r="U88" s="454"/>
      <c r="V88" s="455"/>
      <c r="W88" s="454"/>
      <c r="X88" s="454"/>
      <c r="Y88" s="454"/>
      <c r="Z88" s="455"/>
      <c r="AA88" s="454"/>
      <c r="AB88" s="454"/>
      <c r="AC88" s="454"/>
      <c r="AD88" s="455"/>
      <c r="AE88" s="454"/>
      <c r="AF88" s="454"/>
      <c r="AG88" s="183"/>
      <c r="AH88" s="184"/>
      <c r="AI88" s="183"/>
      <c r="AJ88" s="183"/>
      <c r="AK88" s="183"/>
      <c r="AL88" s="184"/>
      <c r="AM88" s="196"/>
      <c r="AN88" s="456"/>
      <c r="AO88" s="456"/>
      <c r="AP88" s="456"/>
      <c r="AQ88" s="456"/>
      <c r="AR88" s="183"/>
      <c r="AS88" s="183"/>
      <c r="AT88" s="183"/>
      <c r="AU88" s="183"/>
      <c r="AV88" s="183"/>
      <c r="AW88" s="183"/>
      <c r="AX88" s="183"/>
      <c r="AY88" s="183"/>
      <c r="AZ88" s="183"/>
      <c r="BA88" s="183"/>
    </row>
    <row r="89" spans="1:53" s="283" customFormat="1">
      <c r="A89" s="279"/>
      <c r="B89" s="654" t="s">
        <v>245</v>
      </c>
      <c r="C89" s="281" t="str">
        <f>C$4</f>
        <v>1Q10</v>
      </c>
      <c r="D89" s="281" t="str">
        <f t="shared" ref="D89:AL89" si="124">D$4</f>
        <v>2Q10</v>
      </c>
      <c r="E89" s="281" t="str">
        <f t="shared" si="124"/>
        <v>3Q10</v>
      </c>
      <c r="F89" s="282" t="str">
        <f t="shared" si="124"/>
        <v>4Q10</v>
      </c>
      <c r="G89" s="281" t="str">
        <f t="shared" si="124"/>
        <v>1Q11</v>
      </c>
      <c r="H89" s="281" t="str">
        <f t="shared" si="124"/>
        <v>2Q11</v>
      </c>
      <c r="I89" s="281" t="str">
        <f t="shared" si="124"/>
        <v>3Q11</v>
      </c>
      <c r="J89" s="282" t="str">
        <f t="shared" si="124"/>
        <v>4Q11</v>
      </c>
      <c r="K89" s="281" t="str">
        <f t="shared" si="124"/>
        <v>1Q12</v>
      </c>
      <c r="L89" s="281" t="str">
        <f t="shared" si="124"/>
        <v>2Q12</v>
      </c>
      <c r="M89" s="281" t="str">
        <f t="shared" si="124"/>
        <v>3Q12</v>
      </c>
      <c r="N89" s="282" t="str">
        <f t="shared" si="124"/>
        <v>4Q12</v>
      </c>
      <c r="O89" s="281" t="str">
        <f t="shared" si="124"/>
        <v>1Q13</v>
      </c>
      <c r="P89" s="281" t="str">
        <f t="shared" si="124"/>
        <v>2Q13</v>
      </c>
      <c r="Q89" s="281" t="str">
        <f t="shared" si="124"/>
        <v>3Q13</v>
      </c>
      <c r="R89" s="282" t="str">
        <f t="shared" si="124"/>
        <v>4Q13</v>
      </c>
      <c r="S89" s="281" t="str">
        <f t="shared" si="124"/>
        <v>1Q14</v>
      </c>
      <c r="T89" s="281" t="str">
        <f t="shared" si="124"/>
        <v>2Q14</v>
      </c>
      <c r="U89" s="281" t="str">
        <f t="shared" si="124"/>
        <v>3Q14</v>
      </c>
      <c r="V89" s="282" t="str">
        <f t="shared" si="124"/>
        <v>4Q14</v>
      </c>
      <c r="W89" s="281" t="str">
        <f t="shared" si="124"/>
        <v>1Q15</v>
      </c>
      <c r="X89" s="281" t="str">
        <f t="shared" si="124"/>
        <v>2Q15</v>
      </c>
      <c r="Y89" s="281" t="str">
        <f t="shared" si="124"/>
        <v>3Q15</v>
      </c>
      <c r="Z89" s="282" t="str">
        <f t="shared" si="124"/>
        <v>4Q15</v>
      </c>
      <c r="AA89" s="281" t="str">
        <f t="shared" si="124"/>
        <v>1Q16</v>
      </c>
      <c r="AB89" s="281" t="str">
        <f t="shared" si="124"/>
        <v>2Q16</v>
      </c>
      <c r="AC89" s="281" t="str">
        <f t="shared" si="124"/>
        <v>3Q16</v>
      </c>
      <c r="AD89" s="282" t="str">
        <f t="shared" si="124"/>
        <v>4Q16</v>
      </c>
      <c r="AE89" s="281" t="str">
        <f t="shared" si="124"/>
        <v>1Q17</v>
      </c>
      <c r="AF89" s="281" t="str">
        <f t="shared" si="124"/>
        <v>2Q17</v>
      </c>
      <c r="AG89" s="281" t="str">
        <f t="shared" si="124"/>
        <v>3Q17</v>
      </c>
      <c r="AH89" s="282" t="str">
        <f t="shared" si="124"/>
        <v>4Q17</v>
      </c>
      <c r="AI89" s="281" t="str">
        <f t="shared" si="124"/>
        <v>1Q18e</v>
      </c>
      <c r="AJ89" s="281" t="str">
        <f t="shared" si="124"/>
        <v>2Q18e</v>
      </c>
      <c r="AK89" s="281" t="str">
        <f t="shared" si="124"/>
        <v>3Q18e</v>
      </c>
      <c r="AL89" s="282" t="str">
        <f t="shared" si="124"/>
        <v>4Q18e</v>
      </c>
      <c r="AM89" s="279"/>
      <c r="AN89" s="281">
        <f t="shared" ref="AN89:BA89" si="125">AN$4</f>
        <v>2010</v>
      </c>
      <c r="AO89" s="281">
        <f t="shared" si="125"/>
        <v>2011</v>
      </c>
      <c r="AP89" s="281">
        <f t="shared" si="125"/>
        <v>2012</v>
      </c>
      <c r="AQ89" s="281">
        <f t="shared" si="125"/>
        <v>2013</v>
      </c>
      <c r="AR89" s="281">
        <f t="shared" si="125"/>
        <v>2014</v>
      </c>
      <c r="AS89" s="281">
        <f t="shared" si="125"/>
        <v>2015</v>
      </c>
      <c r="AT89" s="281">
        <f t="shared" si="125"/>
        <v>2016</v>
      </c>
      <c r="AU89" s="281">
        <f t="shared" si="125"/>
        <v>2017</v>
      </c>
      <c r="AV89" s="281" t="str">
        <f t="shared" si="125"/>
        <v>2018e</v>
      </c>
      <c r="AW89" s="281" t="str">
        <f t="shared" si="125"/>
        <v>2019e</v>
      </c>
      <c r="AX89" s="281" t="str">
        <f t="shared" si="125"/>
        <v>2020e</v>
      </c>
      <c r="AY89" s="281" t="str">
        <f t="shared" si="125"/>
        <v>2021e</v>
      </c>
      <c r="AZ89" s="281" t="str">
        <f t="shared" si="125"/>
        <v>2022e</v>
      </c>
      <c r="BA89" s="281" t="str">
        <f t="shared" si="125"/>
        <v>2023e</v>
      </c>
    </row>
    <row r="90" spans="1:53" s="200" customFormat="1">
      <c r="A90" s="196"/>
      <c r="B90" s="660"/>
      <c r="C90" s="454"/>
      <c r="D90" s="454"/>
      <c r="E90" s="454"/>
      <c r="F90" s="455"/>
      <c r="G90" s="454"/>
      <c r="H90" s="454"/>
      <c r="I90" s="454"/>
      <c r="J90" s="455"/>
      <c r="K90" s="454"/>
      <c r="L90" s="454"/>
      <c r="M90" s="454"/>
      <c r="N90" s="455"/>
      <c r="O90" s="454"/>
      <c r="P90" s="454"/>
      <c r="Q90" s="454"/>
      <c r="R90" s="455"/>
      <c r="S90" s="454"/>
      <c r="T90" s="454"/>
      <c r="U90" s="454"/>
      <c r="V90" s="455"/>
      <c r="W90" s="454"/>
      <c r="X90" s="454"/>
      <c r="Y90" s="454"/>
      <c r="Z90" s="455"/>
      <c r="AA90" s="454"/>
      <c r="AB90" s="454"/>
      <c r="AC90" s="454"/>
      <c r="AD90" s="455"/>
      <c r="AE90" s="454"/>
      <c r="AF90" s="454"/>
      <c r="AG90" s="183"/>
      <c r="AH90" s="184"/>
      <c r="AI90" s="183"/>
      <c r="AJ90" s="183"/>
      <c r="AK90" s="183"/>
      <c r="AL90" s="184"/>
      <c r="AM90" s="196"/>
      <c r="AN90" s="456"/>
      <c r="AO90" s="456"/>
      <c r="AP90" s="456"/>
      <c r="AQ90" s="456"/>
      <c r="AR90" s="183"/>
      <c r="AS90" s="183"/>
      <c r="AT90" s="183"/>
      <c r="AU90" s="183"/>
      <c r="AV90" s="183"/>
      <c r="AW90" s="183"/>
      <c r="AX90" s="183"/>
      <c r="AY90" s="183"/>
      <c r="AZ90" s="183"/>
      <c r="BA90" s="183"/>
    </row>
    <row r="91" spans="1:53" s="751" customFormat="1">
      <c r="A91" s="745"/>
      <c r="B91" s="752" t="s">
        <v>291</v>
      </c>
      <c r="C91" s="746">
        <v>1.3838093750000005</v>
      </c>
      <c r="D91" s="746">
        <v>1.2730907692307694</v>
      </c>
      <c r="E91" s="746">
        <v>1.2910393939393938</v>
      </c>
      <c r="F91" s="747">
        <v>1.3582696969696966</v>
      </c>
      <c r="G91" s="746">
        <v>1.3679890625</v>
      </c>
      <c r="H91" s="746">
        <v>1.4396569230769229</v>
      </c>
      <c r="I91" s="746">
        <v>1.4127030303030303</v>
      </c>
      <c r="J91" s="747">
        <v>1.3475015384615385</v>
      </c>
      <c r="K91" s="746">
        <v>1.3108230769230771</v>
      </c>
      <c r="L91" s="746">
        <v>1.2828169230769231</v>
      </c>
      <c r="M91" s="746">
        <v>1.2502446153846156</v>
      </c>
      <c r="N91" s="747">
        <v>1.2974545454545454</v>
      </c>
      <c r="O91" s="746">
        <v>1.3199828125000004</v>
      </c>
      <c r="P91" s="746">
        <v>1.3058507692307686</v>
      </c>
      <c r="Q91" s="746">
        <v>1.3241787878787885</v>
      </c>
      <c r="R91" s="747">
        <v>1.3612045454545449</v>
      </c>
      <c r="S91" s="746">
        <v>1.3697796874999999</v>
      </c>
      <c r="T91" s="746">
        <v>1.3717307692307692</v>
      </c>
      <c r="U91" s="746">
        <v>1.3255590909090906</v>
      </c>
      <c r="V91" s="747">
        <v>1.2489590909090909</v>
      </c>
      <c r="W91" s="746">
        <v>1.1275171875000005</v>
      </c>
      <c r="X91" s="746">
        <v>1.1048353846153844</v>
      </c>
      <c r="Y91" s="746">
        <v>1.1116500000000002</v>
      </c>
      <c r="Z91" s="747">
        <v>1.0952621212121214</v>
      </c>
      <c r="AA91" s="746">
        <v>1.102204615384615</v>
      </c>
      <c r="AB91" s="746">
        <v>1.1292353846153846</v>
      </c>
      <c r="AC91" s="746">
        <v>1.1166287878787879</v>
      </c>
      <c r="AD91" s="747">
        <v>1.0784169230769229</v>
      </c>
      <c r="AE91" s="746">
        <v>1.064796923076923</v>
      </c>
      <c r="AF91" s="746">
        <v>1.1007861538461539</v>
      </c>
      <c r="AG91" s="748">
        <v>1.174607692307692</v>
      </c>
      <c r="AH91" s="749">
        <v>1.177509230769231</v>
      </c>
      <c r="AI91" s="748">
        <v>1.228719230769231</v>
      </c>
      <c r="AJ91" s="748">
        <v>1.2298500000000001</v>
      </c>
      <c r="AK91" s="748">
        <f t="shared" ref="AK91:AL91" si="126">AJ91</f>
        <v>1.2298500000000001</v>
      </c>
      <c r="AL91" s="749">
        <f t="shared" si="126"/>
        <v>1.2298500000000001</v>
      </c>
      <c r="AM91" s="745"/>
      <c r="AN91" s="750">
        <f>AVERAGE(C91:F91)</f>
        <v>1.3265523087849651</v>
      </c>
      <c r="AO91" s="750">
        <f>AVERAGE(G91:J91)</f>
        <v>1.3919626385853732</v>
      </c>
      <c r="AP91" s="750">
        <f>AVERAGE(K91:N91)</f>
        <v>1.2853347902097902</v>
      </c>
      <c r="AQ91" s="750">
        <f>AVERAGE(O91:R91)</f>
        <v>1.3278042287660257</v>
      </c>
      <c r="AR91" s="748">
        <f>AVERAGE(S91:V91)</f>
        <v>1.3290071596372377</v>
      </c>
      <c r="AS91" s="748">
        <f>AVERAGE(W91:Z91)</f>
        <v>1.1098161733318765</v>
      </c>
      <c r="AT91" s="748">
        <f>AVERAGE(AA91:AD91)</f>
        <v>1.1066214277389277</v>
      </c>
      <c r="AU91" s="748">
        <f>AVERAGE(AE91:AH91)</f>
        <v>1.1294249999999999</v>
      </c>
      <c r="AV91" s="748">
        <f>AVERAGE(AI91:AL91)</f>
        <v>1.2295673076923077</v>
      </c>
      <c r="AW91" s="748">
        <f>AV91</f>
        <v>1.2295673076923077</v>
      </c>
      <c r="AX91" s="748">
        <f>AW91</f>
        <v>1.2295673076923077</v>
      </c>
      <c r="AY91" s="748">
        <f>AX91</f>
        <v>1.2295673076923077</v>
      </c>
      <c r="AZ91" s="748">
        <f>AY91</f>
        <v>1.2295673076923077</v>
      </c>
      <c r="BA91" s="748">
        <f>AZ91</f>
        <v>1.2295673076923077</v>
      </c>
    </row>
    <row r="92" spans="1:53" s="173" customFormat="1">
      <c r="A92" s="169"/>
      <c r="B92" s="657" t="s">
        <v>26</v>
      </c>
      <c r="C92" s="468"/>
      <c r="D92" s="468"/>
      <c r="E92" s="468"/>
      <c r="F92" s="469"/>
      <c r="G92" s="468">
        <f>G91/C91-1</f>
        <v>-1.1432436277576508E-2</v>
      </c>
      <c r="H92" s="468">
        <f t="shared" ref="H92:AL92" si="127">H91/D91-1</f>
        <v>0.13083603924549436</v>
      </c>
      <c r="I92" s="468">
        <f t="shared" si="127"/>
        <v>9.4236966691155777E-2</v>
      </c>
      <c r="J92" s="469">
        <f t="shared" si="127"/>
        <v>-7.9278500670241225E-3</v>
      </c>
      <c r="K92" s="468">
        <f t="shared" si="127"/>
        <v>-4.1788335260847798E-2</v>
      </c>
      <c r="L92" s="468">
        <f t="shared" si="127"/>
        <v>-0.10894262201357796</v>
      </c>
      <c r="M92" s="468">
        <f t="shared" si="127"/>
        <v>-0.11499827736871693</v>
      </c>
      <c r="N92" s="469">
        <f t="shared" si="127"/>
        <v>-3.7140583204181343E-2</v>
      </c>
      <c r="O92" s="468">
        <f t="shared" si="127"/>
        <v>6.9877741231290091E-3</v>
      </c>
      <c r="P92" s="468">
        <f t="shared" si="127"/>
        <v>1.7955676869772841E-2</v>
      </c>
      <c r="Q92" s="468">
        <f t="shared" si="127"/>
        <v>5.9135765580904609E-2</v>
      </c>
      <c r="R92" s="469">
        <f t="shared" si="127"/>
        <v>4.9134669282510757E-2</v>
      </c>
      <c r="S92" s="468">
        <f t="shared" si="127"/>
        <v>3.7725396519130427E-2</v>
      </c>
      <c r="T92" s="468">
        <f t="shared" si="127"/>
        <v>5.0449868815261478E-2</v>
      </c>
      <c r="U92" s="468">
        <f t="shared" si="127"/>
        <v>1.0423841877977846E-3</v>
      </c>
      <c r="V92" s="469">
        <f t="shared" si="127"/>
        <v>-8.2460387691382642E-2</v>
      </c>
      <c r="W92" s="468">
        <f t="shared" si="127"/>
        <v>-0.17686238320715308</v>
      </c>
      <c r="X92" s="468">
        <f t="shared" si="127"/>
        <v>-0.19456834431515502</v>
      </c>
      <c r="Y92" s="468">
        <f t="shared" si="127"/>
        <v>-0.16137273123176121</v>
      </c>
      <c r="Z92" s="469">
        <f t="shared" si="127"/>
        <v>-0.12306005121840835</v>
      </c>
      <c r="AA92" s="468">
        <f t="shared" si="127"/>
        <v>-2.2449832602117636E-2</v>
      </c>
      <c r="AB92" s="468">
        <f t="shared" si="127"/>
        <v>2.2084737997864146E-2</v>
      </c>
      <c r="AC92" s="468">
        <f t="shared" si="127"/>
        <v>4.4787369035106384E-3</v>
      </c>
      <c r="AD92" s="469">
        <f t="shared" si="127"/>
        <v>-1.538006090866717E-2</v>
      </c>
      <c r="AE92" s="468">
        <f t="shared" si="127"/>
        <v>-3.3938972660388145E-2</v>
      </c>
      <c r="AF92" s="468">
        <f t="shared" si="127"/>
        <v>-2.5193357520337134E-2</v>
      </c>
      <c r="AG92" s="171">
        <f t="shared" si="127"/>
        <v>5.1923168252758556E-2</v>
      </c>
      <c r="AH92" s="172">
        <f t="shared" si="127"/>
        <v>9.1886825560544283E-2</v>
      </c>
      <c r="AI92" s="171">
        <f t="shared" si="127"/>
        <v>0.15394701481539297</v>
      </c>
      <c r="AJ92" s="171">
        <f t="shared" si="127"/>
        <v>0.11724697453987432</v>
      </c>
      <c r="AK92" s="171">
        <f t="shared" si="127"/>
        <v>4.7030432419335133E-2</v>
      </c>
      <c r="AL92" s="172">
        <f t="shared" si="127"/>
        <v>4.4450410971790477E-2</v>
      </c>
      <c r="AM92" s="169"/>
      <c r="AN92" s="753"/>
      <c r="AO92" s="753">
        <f>AO91/AN91-1</f>
        <v>4.9308519058942846E-2</v>
      </c>
      <c r="AP92" s="753">
        <f t="shared" ref="AP92:BA92" si="128">AP91/AO91-1</f>
        <v>-7.660252180615057E-2</v>
      </c>
      <c r="AQ92" s="753">
        <f t="shared" si="128"/>
        <v>3.3041538188897546E-2</v>
      </c>
      <c r="AR92" s="171">
        <f t="shared" si="128"/>
        <v>9.0595499332746243E-4</v>
      </c>
      <c r="AS92" s="171">
        <f t="shared" si="128"/>
        <v>-0.16492837131531402</v>
      </c>
      <c r="AT92" s="171">
        <f t="shared" si="128"/>
        <v>-2.8786259109538914E-3</v>
      </c>
      <c r="AU92" s="171">
        <f t="shared" si="128"/>
        <v>2.0606479948309886E-2</v>
      </c>
      <c r="AV92" s="171">
        <f t="shared" si="128"/>
        <v>8.8666629207169834E-2</v>
      </c>
      <c r="AW92" s="171">
        <f t="shared" si="128"/>
        <v>0</v>
      </c>
      <c r="AX92" s="171">
        <f t="shared" si="128"/>
        <v>0</v>
      </c>
      <c r="AY92" s="171">
        <f t="shared" si="128"/>
        <v>0</v>
      </c>
      <c r="AZ92" s="171">
        <f t="shared" si="128"/>
        <v>0</v>
      </c>
      <c r="BA92" s="171">
        <f t="shared" si="128"/>
        <v>0</v>
      </c>
    </row>
    <row r="93" spans="1:53" s="200" customFormat="1">
      <c r="A93" s="196"/>
      <c r="B93" s="660"/>
      <c r="C93" s="454"/>
      <c r="D93" s="454"/>
      <c r="E93" s="454"/>
      <c r="F93" s="455"/>
      <c r="G93" s="454"/>
      <c r="H93" s="454"/>
      <c r="I93" s="454"/>
      <c r="J93" s="455"/>
      <c r="K93" s="454"/>
      <c r="L93" s="454"/>
      <c r="M93" s="454"/>
      <c r="N93" s="455"/>
      <c r="O93" s="454"/>
      <c r="P93" s="454"/>
      <c r="Q93" s="454"/>
      <c r="R93" s="455"/>
      <c r="S93" s="454"/>
      <c r="T93" s="454"/>
      <c r="U93" s="454"/>
      <c r="V93" s="455"/>
      <c r="W93" s="454"/>
      <c r="X93" s="454"/>
      <c r="Y93" s="454"/>
      <c r="Z93" s="455"/>
      <c r="AA93" s="454"/>
      <c r="AB93" s="454"/>
      <c r="AC93" s="454"/>
      <c r="AD93" s="455"/>
      <c r="AE93" s="454"/>
      <c r="AF93" s="454"/>
      <c r="AG93" s="183"/>
      <c r="AH93" s="184"/>
      <c r="AI93" s="183"/>
      <c r="AJ93" s="183"/>
      <c r="AK93" s="183"/>
      <c r="AL93" s="184"/>
      <c r="AM93" s="196"/>
      <c r="AN93" s="456"/>
      <c r="AO93" s="456"/>
      <c r="AP93" s="456"/>
      <c r="AQ93" s="456"/>
      <c r="AR93" s="183"/>
      <c r="AS93" s="183"/>
      <c r="AT93" s="183"/>
      <c r="AU93" s="183"/>
      <c r="AV93" s="183"/>
      <c r="AW93" s="183"/>
      <c r="AX93" s="183"/>
      <c r="AY93" s="183"/>
      <c r="AZ93" s="183"/>
      <c r="BA93" s="183"/>
    </row>
    <row r="94" spans="1:53" s="283" customFormat="1">
      <c r="A94" s="279"/>
      <c r="B94" s="654" t="s">
        <v>211</v>
      </c>
      <c r="C94" s="281" t="str">
        <f>C$4</f>
        <v>1Q10</v>
      </c>
      <c r="D94" s="281" t="str">
        <f t="shared" ref="D94:AL94" si="129">D$4</f>
        <v>2Q10</v>
      </c>
      <c r="E94" s="281" t="str">
        <f t="shared" si="129"/>
        <v>3Q10</v>
      </c>
      <c r="F94" s="282" t="str">
        <f t="shared" si="129"/>
        <v>4Q10</v>
      </c>
      <c r="G94" s="281" t="str">
        <f t="shared" si="129"/>
        <v>1Q11</v>
      </c>
      <c r="H94" s="281" t="str">
        <f t="shared" si="129"/>
        <v>2Q11</v>
      </c>
      <c r="I94" s="281" t="str">
        <f t="shared" si="129"/>
        <v>3Q11</v>
      </c>
      <c r="J94" s="282" t="str">
        <f t="shared" si="129"/>
        <v>4Q11</v>
      </c>
      <c r="K94" s="281" t="str">
        <f t="shared" si="129"/>
        <v>1Q12</v>
      </c>
      <c r="L94" s="281" t="str">
        <f t="shared" si="129"/>
        <v>2Q12</v>
      </c>
      <c r="M94" s="281" t="str">
        <f t="shared" si="129"/>
        <v>3Q12</v>
      </c>
      <c r="N94" s="282" t="str">
        <f t="shared" si="129"/>
        <v>4Q12</v>
      </c>
      <c r="O94" s="281" t="str">
        <f t="shared" si="129"/>
        <v>1Q13</v>
      </c>
      <c r="P94" s="281" t="str">
        <f t="shared" si="129"/>
        <v>2Q13</v>
      </c>
      <c r="Q94" s="281" t="str">
        <f t="shared" si="129"/>
        <v>3Q13</v>
      </c>
      <c r="R94" s="282" t="str">
        <f t="shared" si="129"/>
        <v>4Q13</v>
      </c>
      <c r="S94" s="281" t="str">
        <f t="shared" si="129"/>
        <v>1Q14</v>
      </c>
      <c r="T94" s="281" t="str">
        <f t="shared" si="129"/>
        <v>2Q14</v>
      </c>
      <c r="U94" s="281" t="str">
        <f t="shared" si="129"/>
        <v>3Q14</v>
      </c>
      <c r="V94" s="282" t="str">
        <f t="shared" si="129"/>
        <v>4Q14</v>
      </c>
      <c r="W94" s="281" t="str">
        <f t="shared" si="129"/>
        <v>1Q15</v>
      </c>
      <c r="X94" s="281" t="str">
        <f t="shared" si="129"/>
        <v>2Q15</v>
      </c>
      <c r="Y94" s="281" t="str">
        <f t="shared" si="129"/>
        <v>3Q15</v>
      </c>
      <c r="Z94" s="282" t="str">
        <f t="shared" si="129"/>
        <v>4Q15</v>
      </c>
      <c r="AA94" s="281" t="str">
        <f t="shared" si="129"/>
        <v>1Q16</v>
      </c>
      <c r="AB94" s="281" t="str">
        <f t="shared" si="129"/>
        <v>2Q16</v>
      </c>
      <c r="AC94" s="281" t="str">
        <f t="shared" si="129"/>
        <v>3Q16</v>
      </c>
      <c r="AD94" s="282" t="str">
        <f t="shared" si="129"/>
        <v>4Q16</v>
      </c>
      <c r="AE94" s="281" t="str">
        <f t="shared" si="129"/>
        <v>1Q17</v>
      </c>
      <c r="AF94" s="281" t="str">
        <f t="shared" si="129"/>
        <v>2Q17</v>
      </c>
      <c r="AG94" s="281" t="str">
        <f t="shared" si="129"/>
        <v>3Q17</v>
      </c>
      <c r="AH94" s="282" t="str">
        <f t="shared" si="129"/>
        <v>4Q17</v>
      </c>
      <c r="AI94" s="281" t="str">
        <f t="shared" si="129"/>
        <v>1Q18e</v>
      </c>
      <c r="AJ94" s="281" t="str">
        <f t="shared" si="129"/>
        <v>2Q18e</v>
      </c>
      <c r="AK94" s="281" t="str">
        <f t="shared" si="129"/>
        <v>3Q18e</v>
      </c>
      <c r="AL94" s="282" t="str">
        <f t="shared" si="129"/>
        <v>4Q18e</v>
      </c>
      <c r="AM94" s="279"/>
      <c r="AN94" s="281">
        <f t="shared" ref="AN94:BA94" si="130">AN$4</f>
        <v>2010</v>
      </c>
      <c r="AO94" s="281">
        <f t="shared" si="130"/>
        <v>2011</v>
      </c>
      <c r="AP94" s="281">
        <f t="shared" si="130"/>
        <v>2012</v>
      </c>
      <c r="AQ94" s="281">
        <f t="shared" si="130"/>
        <v>2013</v>
      </c>
      <c r="AR94" s="281">
        <f t="shared" si="130"/>
        <v>2014</v>
      </c>
      <c r="AS94" s="281">
        <f t="shared" si="130"/>
        <v>2015</v>
      </c>
      <c r="AT94" s="281">
        <f t="shared" si="130"/>
        <v>2016</v>
      </c>
      <c r="AU94" s="281">
        <f t="shared" si="130"/>
        <v>2017</v>
      </c>
      <c r="AV94" s="281" t="str">
        <f t="shared" si="130"/>
        <v>2018e</v>
      </c>
      <c r="AW94" s="281" t="str">
        <f t="shared" si="130"/>
        <v>2019e</v>
      </c>
      <c r="AX94" s="281" t="str">
        <f t="shared" si="130"/>
        <v>2020e</v>
      </c>
      <c r="AY94" s="281" t="str">
        <f t="shared" si="130"/>
        <v>2021e</v>
      </c>
      <c r="AZ94" s="281" t="str">
        <f t="shared" si="130"/>
        <v>2022e</v>
      </c>
      <c r="BA94" s="281" t="str">
        <f t="shared" si="130"/>
        <v>2023e</v>
      </c>
    </row>
    <row r="95" spans="1:53" s="160" customFormat="1">
      <c r="A95" s="350"/>
      <c r="B95" s="194"/>
      <c r="C95" s="418"/>
      <c r="D95" s="418"/>
      <c r="E95" s="418"/>
      <c r="F95" s="419"/>
      <c r="G95" s="418"/>
      <c r="H95" s="418"/>
      <c r="I95" s="418"/>
      <c r="J95" s="419"/>
      <c r="K95" s="418"/>
      <c r="L95" s="418"/>
      <c r="M95" s="418"/>
      <c r="N95" s="419"/>
      <c r="O95" s="420"/>
      <c r="P95" s="418"/>
      <c r="Q95" s="418"/>
      <c r="R95" s="419"/>
      <c r="S95" s="420"/>
      <c r="T95" s="418"/>
      <c r="U95" s="418"/>
      <c r="V95" s="419"/>
      <c r="W95" s="418"/>
      <c r="X95" s="418"/>
      <c r="Y95" s="418"/>
      <c r="Z95" s="419"/>
      <c r="AA95" s="418"/>
      <c r="AB95" s="418"/>
      <c r="AC95" s="418"/>
      <c r="AD95" s="419"/>
      <c r="AE95" s="420"/>
      <c r="AF95" s="420"/>
      <c r="AG95" s="418"/>
      <c r="AH95" s="419"/>
      <c r="AI95" s="420"/>
      <c r="AJ95" s="420"/>
      <c r="AK95" s="420"/>
      <c r="AL95" s="442"/>
      <c r="AM95" s="350"/>
      <c r="AN95" s="420"/>
      <c r="AO95" s="420"/>
      <c r="AP95" s="420"/>
      <c r="AQ95" s="420"/>
      <c r="AR95" s="421"/>
      <c r="AS95" s="418"/>
      <c r="AT95" s="418"/>
      <c r="AU95" s="418"/>
      <c r="AV95" s="418"/>
      <c r="AW95" s="418"/>
      <c r="AX95" s="418"/>
      <c r="AY95" s="418"/>
      <c r="AZ95" s="418"/>
      <c r="BA95" s="418"/>
    </row>
    <row r="96" spans="1:53" s="453" customFormat="1">
      <c r="A96" s="296"/>
      <c r="B96" s="655" t="s">
        <v>292</v>
      </c>
      <c r="C96" s="301"/>
      <c r="D96" s="301"/>
      <c r="E96" s="301"/>
      <c r="F96" s="300"/>
      <c r="G96" s="301"/>
      <c r="H96" s="301"/>
      <c r="I96" s="301"/>
      <c r="J96" s="300"/>
      <c r="K96" s="301"/>
      <c r="L96" s="301"/>
      <c r="M96" s="301"/>
      <c r="N96" s="300"/>
      <c r="O96" s="301"/>
      <c r="P96" s="301"/>
      <c r="Q96" s="301"/>
      <c r="R96" s="300"/>
      <c r="S96" s="301"/>
      <c r="T96" s="301"/>
      <c r="U96" s="301"/>
      <c r="V96" s="300"/>
      <c r="W96" s="301"/>
      <c r="X96" s="301"/>
      <c r="Y96" s="301"/>
      <c r="Z96" s="300"/>
      <c r="AA96" s="301"/>
      <c r="AB96" s="301"/>
      <c r="AC96" s="301"/>
      <c r="AD96" s="300"/>
      <c r="AE96" s="301"/>
      <c r="AF96" s="301"/>
      <c r="AG96" s="301"/>
      <c r="AH96" s="300">
        <v>1146</v>
      </c>
      <c r="AI96" s="299"/>
      <c r="AJ96" s="299"/>
      <c r="AK96" s="299"/>
      <c r="AL96" s="302"/>
      <c r="AM96" s="296"/>
      <c r="AN96" s="299">
        <f>SUM(C96:F96)</f>
        <v>0</v>
      </c>
      <c r="AO96" s="299">
        <f>SUM(G96:J96)</f>
        <v>0</v>
      </c>
      <c r="AP96" s="299">
        <f>SUM(K96:N96)</f>
        <v>0</v>
      </c>
      <c r="AQ96" s="299">
        <f>SUM(O96:R96)</f>
        <v>0</v>
      </c>
      <c r="AR96" s="299">
        <f>SUM(S96:V96)</f>
        <v>0</v>
      </c>
      <c r="AS96" s="299"/>
      <c r="AT96" s="219"/>
      <c r="AU96" s="299"/>
      <c r="AV96" s="299"/>
      <c r="AW96" s="299"/>
      <c r="AX96" s="299"/>
      <c r="AY96" s="299"/>
      <c r="AZ96" s="299"/>
      <c r="BA96" s="299"/>
    </row>
    <row r="97" spans="1:53" s="168" customFormat="1">
      <c r="A97" s="150"/>
      <c r="B97" s="665" t="s">
        <v>293</v>
      </c>
      <c r="C97" s="167"/>
      <c r="D97" s="167"/>
      <c r="E97" s="167"/>
      <c r="F97" s="175"/>
      <c r="G97" s="167"/>
      <c r="H97" s="167"/>
      <c r="I97" s="167"/>
      <c r="J97" s="175"/>
      <c r="K97" s="167"/>
      <c r="L97" s="167"/>
      <c r="M97" s="167"/>
      <c r="N97" s="175"/>
      <c r="O97" s="167"/>
      <c r="P97" s="167"/>
      <c r="Q97" s="167"/>
      <c r="R97" s="175"/>
      <c r="S97" s="167"/>
      <c r="T97" s="167"/>
      <c r="U97" s="167"/>
      <c r="V97" s="175"/>
      <c r="W97" s="167"/>
      <c r="X97" s="167"/>
      <c r="Y97" s="167"/>
      <c r="Z97" s="175"/>
      <c r="AA97" s="167"/>
      <c r="AB97" s="167"/>
      <c r="AC97" s="167"/>
      <c r="AD97" s="175"/>
      <c r="AE97" s="167"/>
      <c r="AF97" s="167"/>
      <c r="AG97" s="167"/>
      <c r="AH97" s="175">
        <v>-4</v>
      </c>
      <c r="AI97" s="198"/>
      <c r="AJ97" s="198"/>
      <c r="AK97" s="198"/>
      <c r="AL97" s="197"/>
      <c r="AM97" s="150"/>
      <c r="AN97" s="198"/>
      <c r="AO97" s="198"/>
      <c r="AP97" s="198"/>
      <c r="AQ97" s="198"/>
      <c r="AR97" s="198"/>
      <c r="AS97" s="198"/>
      <c r="AT97" s="166"/>
      <c r="AU97" s="198"/>
      <c r="AV97" s="198"/>
      <c r="AW97" s="198"/>
      <c r="AX97" s="198"/>
      <c r="AY97" s="198"/>
      <c r="AZ97" s="198"/>
      <c r="BA97" s="198"/>
    </row>
    <row r="98" spans="1:53" s="168" customFormat="1">
      <c r="A98" s="150"/>
      <c r="B98" s="665" t="s">
        <v>247</v>
      </c>
      <c r="C98" s="167"/>
      <c r="D98" s="167"/>
      <c r="E98" s="167"/>
      <c r="F98" s="175"/>
      <c r="G98" s="167"/>
      <c r="H98" s="167"/>
      <c r="I98" s="167"/>
      <c r="J98" s="175"/>
      <c r="K98" s="167"/>
      <c r="L98" s="167"/>
      <c r="M98" s="167"/>
      <c r="N98" s="175"/>
      <c r="O98" s="167"/>
      <c r="P98" s="167"/>
      <c r="Q98" s="167"/>
      <c r="R98" s="175"/>
      <c r="S98" s="167"/>
      <c r="T98" s="167"/>
      <c r="U98" s="167"/>
      <c r="V98" s="175"/>
      <c r="W98" s="167"/>
      <c r="X98" s="167"/>
      <c r="Y98" s="167"/>
      <c r="Z98" s="175"/>
      <c r="AA98" s="167"/>
      <c r="AB98" s="167"/>
      <c r="AC98" s="167"/>
      <c r="AD98" s="175"/>
      <c r="AE98" s="167"/>
      <c r="AF98" s="167"/>
      <c r="AG98" s="167"/>
      <c r="AH98" s="175">
        <v>96</v>
      </c>
      <c r="AI98" s="198"/>
      <c r="AJ98" s="198"/>
      <c r="AK98" s="198"/>
      <c r="AL98" s="197"/>
      <c r="AM98" s="150"/>
      <c r="AN98" s="198"/>
      <c r="AO98" s="198"/>
      <c r="AP98" s="198"/>
      <c r="AQ98" s="198"/>
      <c r="AR98" s="198"/>
      <c r="AS98" s="198"/>
      <c r="AT98" s="166"/>
      <c r="AU98" s="198"/>
      <c r="AV98" s="198"/>
      <c r="AW98" s="198"/>
      <c r="AX98" s="198"/>
      <c r="AY98" s="198"/>
      <c r="AZ98" s="198"/>
      <c r="BA98" s="198"/>
    </row>
    <row r="99" spans="1:53" s="168" customFormat="1">
      <c r="A99" s="150"/>
      <c r="B99" s="665" t="s">
        <v>294</v>
      </c>
      <c r="C99" s="167"/>
      <c r="D99" s="167"/>
      <c r="E99" s="167"/>
      <c r="F99" s="175"/>
      <c r="G99" s="167"/>
      <c r="H99" s="167"/>
      <c r="I99" s="167"/>
      <c r="J99" s="175"/>
      <c r="K99" s="167"/>
      <c r="L99" s="167"/>
      <c r="M99" s="167"/>
      <c r="N99" s="175"/>
      <c r="O99" s="167"/>
      <c r="P99" s="167"/>
      <c r="Q99" s="167"/>
      <c r="R99" s="175"/>
      <c r="S99" s="167"/>
      <c r="T99" s="167"/>
      <c r="U99" s="167"/>
      <c r="V99" s="175"/>
      <c r="W99" s="167"/>
      <c r="X99" s="167"/>
      <c r="Y99" s="167"/>
      <c r="Z99" s="175"/>
      <c r="AA99" s="167"/>
      <c r="AB99" s="167"/>
      <c r="AC99" s="167"/>
      <c r="AD99" s="175"/>
      <c r="AE99" s="167"/>
      <c r="AF99" s="167"/>
      <c r="AG99" s="167"/>
      <c r="AH99" s="175">
        <v>51</v>
      </c>
      <c r="AI99" s="198"/>
      <c r="AJ99" s="198"/>
      <c r="AK99" s="198"/>
      <c r="AL99" s="197"/>
      <c r="AM99" s="150"/>
      <c r="AN99" s="198"/>
      <c r="AO99" s="198"/>
      <c r="AP99" s="198"/>
      <c r="AQ99" s="198"/>
      <c r="AR99" s="198"/>
      <c r="AS99" s="198"/>
      <c r="AT99" s="166"/>
      <c r="AU99" s="198"/>
      <c r="AV99" s="198"/>
      <c r="AW99" s="198"/>
      <c r="AX99" s="198"/>
      <c r="AY99" s="198"/>
      <c r="AZ99" s="198"/>
      <c r="BA99" s="198"/>
    </row>
    <row r="100" spans="1:53" s="168" customFormat="1">
      <c r="A100" s="150"/>
      <c r="B100" s="665" t="s">
        <v>295</v>
      </c>
      <c r="C100" s="167"/>
      <c r="D100" s="167"/>
      <c r="E100" s="167"/>
      <c r="F100" s="175"/>
      <c r="G100" s="167"/>
      <c r="H100" s="167"/>
      <c r="I100" s="167"/>
      <c r="J100" s="175"/>
      <c r="K100" s="167"/>
      <c r="L100" s="167"/>
      <c r="M100" s="167"/>
      <c r="N100" s="175"/>
      <c r="O100" s="167"/>
      <c r="P100" s="167"/>
      <c r="Q100" s="167"/>
      <c r="R100" s="175"/>
      <c r="S100" s="167"/>
      <c r="T100" s="167"/>
      <c r="U100" s="167"/>
      <c r="V100" s="175"/>
      <c r="W100" s="167"/>
      <c r="X100" s="167"/>
      <c r="Y100" s="167"/>
      <c r="Z100" s="175"/>
      <c r="AA100" s="167"/>
      <c r="AB100" s="167"/>
      <c r="AC100" s="167"/>
      <c r="AD100" s="175"/>
      <c r="AE100" s="167"/>
      <c r="AF100" s="167"/>
      <c r="AG100" s="167"/>
      <c r="AH100" s="175">
        <v>5</v>
      </c>
      <c r="AI100" s="198"/>
      <c r="AJ100" s="198"/>
      <c r="AK100" s="198"/>
      <c r="AL100" s="197"/>
      <c r="AM100" s="150"/>
      <c r="AN100" s="198"/>
      <c r="AO100" s="198"/>
      <c r="AP100" s="198"/>
      <c r="AQ100" s="198"/>
      <c r="AR100" s="198"/>
      <c r="AS100" s="198"/>
      <c r="AT100" s="166"/>
      <c r="AU100" s="198"/>
      <c r="AV100" s="198"/>
      <c r="AW100" s="198"/>
      <c r="AX100" s="198"/>
      <c r="AY100" s="198"/>
      <c r="AZ100" s="198"/>
      <c r="BA100" s="198"/>
    </row>
    <row r="101" spans="1:53" s="168" customFormat="1">
      <c r="A101" s="150"/>
      <c r="B101" s="665" t="s">
        <v>296</v>
      </c>
      <c r="C101" s="167"/>
      <c r="D101" s="167"/>
      <c r="E101" s="167"/>
      <c r="F101" s="175"/>
      <c r="G101" s="167"/>
      <c r="H101" s="167"/>
      <c r="I101" s="167"/>
      <c r="J101" s="175"/>
      <c r="K101" s="167"/>
      <c r="L101" s="167"/>
      <c r="M101" s="167"/>
      <c r="N101" s="175"/>
      <c r="O101" s="167"/>
      <c r="P101" s="167"/>
      <c r="Q101" s="167"/>
      <c r="R101" s="175"/>
      <c r="S101" s="167"/>
      <c r="T101" s="167"/>
      <c r="U101" s="167"/>
      <c r="V101" s="175"/>
      <c r="W101" s="167"/>
      <c r="X101" s="167"/>
      <c r="Y101" s="167"/>
      <c r="Z101" s="175"/>
      <c r="AA101" s="167"/>
      <c r="AB101" s="167"/>
      <c r="AC101" s="167"/>
      <c r="AD101" s="175"/>
      <c r="AE101" s="167"/>
      <c r="AF101" s="167"/>
      <c r="AG101" s="167"/>
      <c r="AH101" s="175">
        <v>-20</v>
      </c>
      <c r="AI101" s="198"/>
      <c r="AJ101" s="198"/>
      <c r="AK101" s="198"/>
      <c r="AL101" s="197"/>
      <c r="AM101" s="150"/>
      <c r="AN101" s="198"/>
      <c r="AO101" s="198"/>
      <c r="AP101" s="198"/>
      <c r="AQ101" s="198"/>
      <c r="AR101" s="198"/>
      <c r="AS101" s="198"/>
      <c r="AT101" s="166"/>
      <c r="AU101" s="198"/>
      <c r="AV101" s="198"/>
      <c r="AW101" s="198"/>
      <c r="AX101" s="198"/>
      <c r="AY101" s="198"/>
      <c r="AZ101" s="198"/>
      <c r="BA101" s="198"/>
    </row>
    <row r="102" spans="1:53" s="453" customFormat="1">
      <c r="A102" s="296"/>
      <c r="B102" s="655" t="s">
        <v>207</v>
      </c>
      <c r="C102" s="219"/>
      <c r="D102" s="219"/>
      <c r="E102" s="219"/>
      <c r="F102" s="220"/>
      <c r="G102" s="219"/>
      <c r="H102" s="219"/>
      <c r="I102" s="219"/>
      <c r="J102" s="220"/>
      <c r="K102" s="219"/>
      <c r="L102" s="219"/>
      <c r="M102" s="219"/>
      <c r="N102" s="220"/>
      <c r="O102" s="219"/>
      <c r="P102" s="219"/>
      <c r="Q102" s="219"/>
      <c r="R102" s="220"/>
      <c r="S102" s="219"/>
      <c r="T102" s="219"/>
      <c r="U102" s="219"/>
      <c r="V102" s="220"/>
      <c r="W102" s="219"/>
      <c r="X102" s="219"/>
      <c r="Y102" s="219"/>
      <c r="Z102" s="220"/>
      <c r="AA102" s="219"/>
      <c r="AB102" s="219"/>
      <c r="AC102" s="219"/>
      <c r="AD102" s="220"/>
      <c r="AE102" s="219"/>
      <c r="AF102" s="219"/>
      <c r="AG102" s="219"/>
      <c r="AH102" s="220">
        <f>SUM(AH96:AH101)</f>
        <v>1274</v>
      </c>
      <c r="AI102" s="219"/>
      <c r="AJ102" s="219"/>
      <c r="AK102" s="219"/>
      <c r="AL102" s="220"/>
      <c r="AM102" s="296"/>
      <c r="AN102" s="219"/>
      <c r="AO102" s="219"/>
      <c r="AP102" s="219"/>
      <c r="AQ102" s="219"/>
      <c r="AR102" s="219"/>
      <c r="AS102" s="219"/>
      <c r="AT102" s="219"/>
      <c r="AU102" s="219"/>
      <c r="AV102" s="219"/>
      <c r="AW102" s="219"/>
      <c r="AX102" s="219"/>
      <c r="AY102" s="219"/>
      <c r="AZ102" s="219"/>
      <c r="BA102" s="219"/>
    </row>
    <row r="103" spans="1:53" s="200" customFormat="1">
      <c r="A103" s="196"/>
      <c r="B103" s="660"/>
      <c r="C103" s="454"/>
      <c r="D103" s="454"/>
      <c r="E103" s="454"/>
      <c r="F103" s="455"/>
      <c r="G103" s="454"/>
      <c r="H103" s="454"/>
      <c r="I103" s="454"/>
      <c r="J103" s="455"/>
      <c r="K103" s="454"/>
      <c r="L103" s="454"/>
      <c r="M103" s="454"/>
      <c r="N103" s="455"/>
      <c r="O103" s="454"/>
      <c r="P103" s="454"/>
      <c r="Q103" s="454"/>
      <c r="R103" s="455"/>
      <c r="S103" s="454"/>
      <c r="T103" s="454"/>
      <c r="U103" s="454"/>
      <c r="V103" s="455"/>
      <c r="W103" s="454"/>
      <c r="X103" s="454"/>
      <c r="Y103" s="454"/>
      <c r="Z103" s="455"/>
      <c r="AA103" s="454"/>
      <c r="AB103" s="454"/>
      <c r="AC103" s="454"/>
      <c r="AD103" s="455"/>
      <c r="AE103" s="454"/>
      <c r="AF103" s="454"/>
      <c r="AG103" s="183"/>
      <c r="AH103" s="184"/>
      <c r="AI103" s="183"/>
      <c r="AJ103" s="183"/>
      <c r="AK103" s="183"/>
      <c r="AL103" s="184"/>
      <c r="AM103" s="196"/>
      <c r="AN103" s="456"/>
      <c r="AO103" s="456"/>
      <c r="AP103" s="456"/>
      <c r="AQ103" s="456"/>
      <c r="AR103" s="183"/>
      <c r="AS103" s="183"/>
      <c r="AT103" s="183"/>
      <c r="AU103" s="183"/>
      <c r="AV103" s="183"/>
      <c r="AW103" s="183"/>
      <c r="AX103" s="183"/>
      <c r="AY103" s="183"/>
      <c r="AZ103" s="183"/>
      <c r="BA103" s="183"/>
    </row>
    <row r="104" spans="1:53" s="453" customFormat="1">
      <c r="A104" s="296"/>
      <c r="B104" s="655" t="s">
        <v>297</v>
      </c>
      <c r="C104" s="301"/>
      <c r="D104" s="301"/>
      <c r="E104" s="301"/>
      <c r="F104" s="300"/>
      <c r="G104" s="301"/>
      <c r="H104" s="301"/>
      <c r="I104" s="301"/>
      <c r="J104" s="300"/>
      <c r="K104" s="301"/>
      <c r="L104" s="301"/>
      <c r="M104" s="301"/>
      <c r="N104" s="300"/>
      <c r="O104" s="301"/>
      <c r="P104" s="301"/>
      <c r="Q104" s="301"/>
      <c r="R104" s="300"/>
      <c r="S104" s="301"/>
      <c r="T104" s="301"/>
      <c r="U104" s="301"/>
      <c r="V104" s="300"/>
      <c r="W104" s="301"/>
      <c r="X104" s="301"/>
      <c r="Y104" s="301"/>
      <c r="Z104" s="300"/>
      <c r="AA104" s="301"/>
      <c r="AB104" s="301"/>
      <c r="AC104" s="301"/>
      <c r="AD104" s="300"/>
      <c r="AE104" s="301"/>
      <c r="AF104" s="301"/>
      <c r="AG104" s="301"/>
      <c r="AH104" s="300">
        <v>133</v>
      </c>
      <c r="AI104" s="299"/>
      <c r="AJ104" s="299"/>
      <c r="AK104" s="299"/>
      <c r="AL104" s="302"/>
      <c r="AM104" s="296"/>
      <c r="AN104" s="299">
        <f>SUM(C104:F104)</f>
        <v>0</v>
      </c>
      <c r="AO104" s="299">
        <f>SUM(G104:J104)</f>
        <v>0</v>
      </c>
      <c r="AP104" s="299">
        <f>SUM(K104:N104)</f>
        <v>0</v>
      </c>
      <c r="AQ104" s="299">
        <f>SUM(O104:R104)</f>
        <v>0</v>
      </c>
      <c r="AR104" s="299">
        <f>SUM(S104:V104)</f>
        <v>0</v>
      </c>
      <c r="AS104" s="299"/>
      <c r="AT104" s="219"/>
      <c r="AU104" s="299"/>
      <c r="AV104" s="299"/>
      <c r="AW104" s="299"/>
      <c r="AX104" s="299"/>
      <c r="AY104" s="299"/>
      <c r="AZ104" s="299"/>
      <c r="BA104" s="299"/>
    </row>
    <row r="105" spans="1:53" s="168" customFormat="1">
      <c r="A105" s="150"/>
      <c r="B105" s="665" t="s">
        <v>293</v>
      </c>
      <c r="C105" s="167"/>
      <c r="D105" s="167"/>
      <c r="E105" s="167"/>
      <c r="F105" s="175"/>
      <c r="G105" s="167"/>
      <c r="H105" s="167"/>
      <c r="I105" s="167"/>
      <c r="J105" s="175"/>
      <c r="K105" s="167"/>
      <c r="L105" s="167"/>
      <c r="M105" s="167"/>
      <c r="N105" s="175"/>
      <c r="O105" s="167"/>
      <c r="P105" s="167"/>
      <c r="Q105" s="167"/>
      <c r="R105" s="175"/>
      <c r="S105" s="167"/>
      <c r="T105" s="167"/>
      <c r="U105" s="167"/>
      <c r="V105" s="175"/>
      <c r="W105" s="167"/>
      <c r="X105" s="167"/>
      <c r="Y105" s="167"/>
      <c r="Z105" s="175"/>
      <c r="AA105" s="167"/>
      <c r="AB105" s="167"/>
      <c r="AC105" s="167"/>
      <c r="AD105" s="175"/>
      <c r="AE105" s="167"/>
      <c r="AF105" s="167"/>
      <c r="AG105" s="167"/>
      <c r="AH105" s="175">
        <v>-4</v>
      </c>
      <c r="AI105" s="198"/>
      <c r="AJ105" s="198"/>
      <c r="AK105" s="198"/>
      <c r="AL105" s="197"/>
      <c r="AM105" s="150"/>
      <c r="AN105" s="198"/>
      <c r="AO105" s="198"/>
      <c r="AP105" s="198"/>
      <c r="AQ105" s="198"/>
      <c r="AR105" s="198"/>
      <c r="AS105" s="198"/>
      <c r="AT105" s="166"/>
      <c r="AU105" s="198"/>
      <c r="AV105" s="198"/>
      <c r="AW105" s="198"/>
      <c r="AX105" s="198"/>
      <c r="AY105" s="198"/>
      <c r="AZ105" s="198"/>
      <c r="BA105" s="198"/>
    </row>
    <row r="106" spans="1:53" s="168" customFormat="1">
      <c r="A106" s="150"/>
      <c r="B106" s="665" t="s">
        <v>298</v>
      </c>
      <c r="C106" s="167"/>
      <c r="D106" s="167"/>
      <c r="E106" s="167"/>
      <c r="F106" s="175"/>
      <c r="G106" s="167"/>
      <c r="H106" s="167"/>
      <c r="I106" s="167"/>
      <c r="J106" s="175"/>
      <c r="K106" s="167"/>
      <c r="L106" s="167"/>
      <c r="M106" s="167"/>
      <c r="N106" s="175"/>
      <c r="O106" s="167"/>
      <c r="P106" s="167"/>
      <c r="Q106" s="167"/>
      <c r="R106" s="175"/>
      <c r="S106" s="167"/>
      <c r="T106" s="167"/>
      <c r="U106" s="167"/>
      <c r="V106" s="175"/>
      <c r="W106" s="167"/>
      <c r="X106" s="167"/>
      <c r="Y106" s="167"/>
      <c r="Z106" s="175"/>
      <c r="AA106" s="167"/>
      <c r="AB106" s="167"/>
      <c r="AC106" s="167"/>
      <c r="AD106" s="175"/>
      <c r="AE106" s="167"/>
      <c r="AF106" s="167"/>
      <c r="AG106" s="167"/>
      <c r="AH106" s="175">
        <v>27</v>
      </c>
      <c r="AI106" s="198"/>
      <c r="AJ106" s="198"/>
      <c r="AK106" s="198"/>
      <c r="AL106" s="197"/>
      <c r="AM106" s="150"/>
      <c r="AN106" s="198"/>
      <c r="AO106" s="198"/>
      <c r="AP106" s="198"/>
      <c r="AQ106" s="198"/>
      <c r="AR106" s="198"/>
      <c r="AS106" s="198"/>
      <c r="AT106" s="166"/>
      <c r="AU106" s="198"/>
      <c r="AV106" s="198"/>
      <c r="AW106" s="198"/>
      <c r="AX106" s="198"/>
      <c r="AY106" s="198"/>
      <c r="AZ106" s="198"/>
      <c r="BA106" s="198"/>
    </row>
    <row r="107" spans="1:53" s="168" customFormat="1">
      <c r="A107" s="150"/>
      <c r="B107" s="665" t="s">
        <v>294</v>
      </c>
      <c r="C107" s="167"/>
      <c r="D107" s="167"/>
      <c r="E107" s="167"/>
      <c r="F107" s="175"/>
      <c r="G107" s="167"/>
      <c r="H107" s="167"/>
      <c r="I107" s="167"/>
      <c r="J107" s="175"/>
      <c r="K107" s="167"/>
      <c r="L107" s="167"/>
      <c r="M107" s="167"/>
      <c r="N107" s="175"/>
      <c r="O107" s="167"/>
      <c r="P107" s="167"/>
      <c r="Q107" s="167"/>
      <c r="R107" s="175"/>
      <c r="S107" s="167"/>
      <c r="T107" s="167"/>
      <c r="U107" s="167"/>
      <c r="V107" s="175"/>
      <c r="W107" s="167"/>
      <c r="X107" s="167"/>
      <c r="Y107" s="167"/>
      <c r="Z107" s="175"/>
      <c r="AA107" s="167"/>
      <c r="AB107" s="167"/>
      <c r="AC107" s="167"/>
      <c r="AD107" s="175"/>
      <c r="AE107" s="167"/>
      <c r="AF107" s="167"/>
      <c r="AG107" s="167"/>
      <c r="AH107" s="175">
        <v>13</v>
      </c>
      <c r="AI107" s="198"/>
      <c r="AJ107" s="198"/>
      <c r="AK107" s="198"/>
      <c r="AL107" s="197"/>
      <c r="AM107" s="150"/>
      <c r="AN107" s="198"/>
      <c r="AO107" s="198"/>
      <c r="AP107" s="198"/>
      <c r="AQ107" s="198"/>
      <c r="AR107" s="198"/>
      <c r="AS107" s="198"/>
      <c r="AT107" s="166"/>
      <c r="AU107" s="198"/>
      <c r="AV107" s="198"/>
      <c r="AW107" s="198"/>
      <c r="AX107" s="198"/>
      <c r="AY107" s="198"/>
      <c r="AZ107" s="198"/>
      <c r="BA107" s="198"/>
    </row>
    <row r="108" spans="1:53" s="168" customFormat="1">
      <c r="A108" s="150"/>
      <c r="B108" s="665" t="s">
        <v>299</v>
      </c>
      <c r="C108" s="167"/>
      <c r="D108" s="167"/>
      <c r="E108" s="167"/>
      <c r="F108" s="175"/>
      <c r="G108" s="167"/>
      <c r="H108" s="167"/>
      <c r="I108" s="167"/>
      <c r="J108" s="175"/>
      <c r="K108" s="167"/>
      <c r="L108" s="167"/>
      <c r="M108" s="167"/>
      <c r="N108" s="175"/>
      <c r="O108" s="167"/>
      <c r="P108" s="167"/>
      <c r="Q108" s="167"/>
      <c r="R108" s="175"/>
      <c r="S108" s="167"/>
      <c r="T108" s="167"/>
      <c r="U108" s="167"/>
      <c r="V108" s="175"/>
      <c r="W108" s="167"/>
      <c r="X108" s="167"/>
      <c r="Y108" s="167"/>
      <c r="Z108" s="175"/>
      <c r="AA108" s="167"/>
      <c r="AB108" s="167"/>
      <c r="AC108" s="167"/>
      <c r="AD108" s="175"/>
      <c r="AE108" s="167"/>
      <c r="AF108" s="167"/>
      <c r="AG108" s="167"/>
      <c r="AH108" s="175">
        <v>-5</v>
      </c>
      <c r="AI108" s="198"/>
      <c r="AJ108" s="198"/>
      <c r="AK108" s="198"/>
      <c r="AL108" s="197"/>
      <c r="AM108" s="150"/>
      <c r="AN108" s="198"/>
      <c r="AO108" s="198"/>
      <c r="AP108" s="198"/>
      <c r="AQ108" s="198"/>
      <c r="AR108" s="198"/>
      <c r="AS108" s="198"/>
      <c r="AT108" s="166"/>
      <c r="AU108" s="198"/>
      <c r="AV108" s="198"/>
      <c r="AW108" s="198"/>
      <c r="AX108" s="198"/>
      <c r="AY108" s="198"/>
      <c r="AZ108" s="198"/>
      <c r="BA108" s="198"/>
    </row>
    <row r="109" spans="1:53" s="168" customFormat="1">
      <c r="A109" s="150"/>
      <c r="B109" s="665" t="s">
        <v>295</v>
      </c>
      <c r="C109" s="167"/>
      <c r="D109" s="167"/>
      <c r="E109" s="167"/>
      <c r="F109" s="175"/>
      <c r="G109" s="167"/>
      <c r="H109" s="167"/>
      <c r="I109" s="167"/>
      <c r="J109" s="175"/>
      <c r="K109" s="167"/>
      <c r="L109" s="167"/>
      <c r="M109" s="167"/>
      <c r="N109" s="175"/>
      <c r="O109" s="167"/>
      <c r="P109" s="167"/>
      <c r="Q109" s="167"/>
      <c r="R109" s="175"/>
      <c r="S109" s="167"/>
      <c r="T109" s="167"/>
      <c r="U109" s="167"/>
      <c r="V109" s="175"/>
      <c r="W109" s="167"/>
      <c r="X109" s="167"/>
      <c r="Y109" s="167"/>
      <c r="Z109" s="175"/>
      <c r="AA109" s="167"/>
      <c r="AB109" s="167"/>
      <c r="AC109" s="167"/>
      <c r="AD109" s="175"/>
      <c r="AE109" s="167"/>
      <c r="AF109" s="167"/>
      <c r="AG109" s="167"/>
      <c r="AH109" s="175">
        <v>4</v>
      </c>
      <c r="AI109" s="198"/>
      <c r="AJ109" s="198"/>
      <c r="AK109" s="198"/>
      <c r="AL109" s="197"/>
      <c r="AM109" s="150"/>
      <c r="AN109" s="198"/>
      <c r="AO109" s="198"/>
      <c r="AP109" s="198"/>
      <c r="AQ109" s="198"/>
      <c r="AR109" s="198"/>
      <c r="AS109" s="198"/>
      <c r="AT109" s="166"/>
      <c r="AU109" s="198"/>
      <c r="AV109" s="198"/>
      <c r="AW109" s="198"/>
      <c r="AX109" s="198"/>
      <c r="AY109" s="198"/>
      <c r="AZ109" s="198"/>
      <c r="BA109" s="198"/>
    </row>
    <row r="110" spans="1:53" s="168" customFormat="1">
      <c r="A110" s="150"/>
      <c r="B110" s="665" t="s">
        <v>296</v>
      </c>
      <c r="C110" s="167"/>
      <c r="D110" s="167"/>
      <c r="E110" s="167"/>
      <c r="F110" s="175"/>
      <c r="G110" s="167"/>
      <c r="H110" s="167"/>
      <c r="I110" s="167"/>
      <c r="J110" s="175"/>
      <c r="K110" s="167"/>
      <c r="L110" s="167"/>
      <c r="M110" s="167"/>
      <c r="N110" s="175"/>
      <c r="O110" s="167"/>
      <c r="P110" s="167"/>
      <c r="Q110" s="167"/>
      <c r="R110" s="175"/>
      <c r="S110" s="167"/>
      <c r="T110" s="167"/>
      <c r="U110" s="167"/>
      <c r="V110" s="175"/>
      <c r="W110" s="167"/>
      <c r="X110" s="167"/>
      <c r="Y110" s="167"/>
      <c r="Z110" s="175"/>
      <c r="AA110" s="167"/>
      <c r="AB110" s="167"/>
      <c r="AC110" s="167"/>
      <c r="AD110" s="175"/>
      <c r="AE110" s="167"/>
      <c r="AF110" s="167"/>
      <c r="AG110" s="167"/>
      <c r="AH110" s="175">
        <f>-20*72/81</f>
        <v>-17.777777777777779</v>
      </c>
      <c r="AI110" s="198"/>
      <c r="AJ110" s="198"/>
      <c r="AK110" s="198"/>
      <c r="AL110" s="197"/>
      <c r="AM110" s="150"/>
      <c r="AN110" s="198"/>
      <c r="AO110" s="198"/>
      <c r="AP110" s="198"/>
      <c r="AQ110" s="198"/>
      <c r="AR110" s="198"/>
      <c r="AS110" s="198"/>
      <c r="AT110" s="166"/>
      <c r="AU110" s="198"/>
      <c r="AV110" s="198"/>
      <c r="AW110" s="198"/>
      <c r="AX110" s="198"/>
      <c r="AY110" s="198"/>
      <c r="AZ110" s="198"/>
      <c r="BA110" s="198"/>
    </row>
    <row r="111" spans="1:53" s="453" customFormat="1">
      <c r="A111" s="296"/>
      <c r="B111" s="655" t="s">
        <v>96</v>
      </c>
      <c r="C111" s="219"/>
      <c r="D111" s="219"/>
      <c r="E111" s="219"/>
      <c r="F111" s="220"/>
      <c r="G111" s="219"/>
      <c r="H111" s="219"/>
      <c r="I111" s="219"/>
      <c r="J111" s="220"/>
      <c r="K111" s="219"/>
      <c r="L111" s="219"/>
      <c r="M111" s="219"/>
      <c r="N111" s="220"/>
      <c r="O111" s="219"/>
      <c r="P111" s="219"/>
      <c r="Q111" s="219"/>
      <c r="R111" s="220"/>
      <c r="S111" s="219"/>
      <c r="T111" s="219"/>
      <c r="U111" s="219"/>
      <c r="V111" s="220"/>
      <c r="W111" s="219"/>
      <c r="X111" s="219"/>
      <c r="Y111" s="219"/>
      <c r="Z111" s="220"/>
      <c r="AA111" s="219"/>
      <c r="AB111" s="219"/>
      <c r="AC111" s="219"/>
      <c r="AD111" s="220"/>
      <c r="AE111" s="219"/>
      <c r="AF111" s="219"/>
      <c r="AG111" s="219"/>
      <c r="AH111" s="220">
        <f>SUM(AH104:AH110)</f>
        <v>150.22222222222223</v>
      </c>
      <c r="AI111" s="219"/>
      <c r="AJ111" s="219"/>
      <c r="AK111" s="219"/>
      <c r="AL111" s="220"/>
      <c r="AM111" s="296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</row>
    <row r="112" spans="1:53" s="160" customFormat="1">
      <c r="A112" s="350"/>
      <c r="B112" s="194"/>
      <c r="C112" s="476"/>
      <c r="D112" s="476"/>
      <c r="E112" s="476"/>
      <c r="F112" s="477"/>
      <c r="G112" s="476"/>
      <c r="H112" s="476"/>
      <c r="I112" s="476"/>
      <c r="J112" s="477"/>
      <c r="K112" s="476"/>
      <c r="L112" s="476"/>
      <c r="M112" s="476"/>
      <c r="N112" s="477"/>
      <c r="O112" s="478"/>
      <c r="P112" s="476"/>
      <c r="Q112" s="476"/>
      <c r="R112" s="477"/>
      <c r="S112" s="478"/>
      <c r="T112" s="476"/>
      <c r="U112" s="476"/>
      <c r="V112" s="477"/>
      <c r="W112" s="476"/>
      <c r="X112" s="476"/>
      <c r="Y112" s="476"/>
      <c r="Z112" s="477"/>
      <c r="AA112" s="476"/>
      <c r="AB112" s="476"/>
      <c r="AC112" s="476"/>
      <c r="AD112" s="477"/>
      <c r="AE112" s="476"/>
      <c r="AF112" s="476"/>
      <c r="AG112" s="476"/>
      <c r="AH112" s="477"/>
      <c r="AI112" s="476"/>
      <c r="AJ112" s="476"/>
      <c r="AK112" s="476"/>
      <c r="AL112" s="477"/>
      <c r="AM112" s="350"/>
      <c r="AN112" s="420"/>
      <c r="AO112" s="420"/>
      <c r="AP112" s="420"/>
      <c r="AQ112" s="420"/>
      <c r="AR112" s="421"/>
      <c r="AS112" s="418"/>
      <c r="AT112" s="418"/>
      <c r="AU112" s="418"/>
      <c r="AV112" s="418"/>
      <c r="AW112" s="418"/>
      <c r="AX112" s="418"/>
      <c r="AY112" s="418"/>
      <c r="AZ112" s="418"/>
      <c r="BA112" s="418"/>
    </row>
    <row r="113" spans="2:53" s="160" customFormat="1">
      <c r="B113" s="138"/>
      <c r="C113" s="138"/>
      <c r="AE113" s="138"/>
      <c r="AF113" s="138"/>
      <c r="AG113" s="138"/>
      <c r="AH113" s="138"/>
      <c r="AI113" s="138"/>
      <c r="AJ113" s="138"/>
      <c r="AK113" s="138"/>
      <c r="AL113" s="138"/>
      <c r="AN113" s="138"/>
      <c r="AO113" s="138"/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</row>
    <row r="114" spans="2:53" s="160" customFormat="1">
      <c r="B114" s="138"/>
      <c r="C114" s="138"/>
      <c r="AE114" s="138"/>
      <c r="AF114" s="138"/>
      <c r="AG114" s="138"/>
      <c r="AH114" s="138"/>
      <c r="AI114" s="138"/>
      <c r="AJ114" s="138"/>
      <c r="AK114" s="138"/>
      <c r="AL114" s="138"/>
      <c r="AN114" s="138"/>
      <c r="AO114" s="138"/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</row>
    <row r="115" spans="2:53" s="168" customFormat="1">
      <c r="B115" s="162"/>
      <c r="C115" s="162"/>
      <c r="AE115" s="162"/>
      <c r="AF115" s="162"/>
      <c r="AG115" s="162"/>
      <c r="AH115" s="162"/>
      <c r="AI115" s="162"/>
      <c r="AJ115" s="162"/>
      <c r="AK115" s="162"/>
      <c r="AL115" s="162"/>
      <c r="AN115" s="162"/>
      <c r="AO115" s="162"/>
      <c r="AP115" s="162"/>
      <c r="AQ115" s="162"/>
      <c r="AR115" s="162"/>
      <c r="AS115" s="162"/>
      <c r="AT115" s="162"/>
      <c r="AU115" s="183"/>
      <c r="AV115" s="162"/>
      <c r="AW115" s="162"/>
      <c r="AX115" s="162"/>
      <c r="AY115" s="162"/>
      <c r="AZ115" s="162"/>
      <c r="BA115" s="162"/>
    </row>
    <row r="116" spans="2:53" s="168" customFormat="1">
      <c r="B116" s="162"/>
      <c r="C116" s="162"/>
      <c r="AE116" s="162"/>
      <c r="AF116" s="162"/>
      <c r="AG116" s="162"/>
      <c r="AH116" s="162"/>
      <c r="AI116" s="162"/>
      <c r="AJ116" s="162"/>
      <c r="AK116" s="162"/>
      <c r="AL116" s="162"/>
      <c r="AN116" s="162"/>
      <c r="AO116" s="162"/>
      <c r="AP116" s="162"/>
      <c r="AQ116" s="162"/>
      <c r="AR116" s="162"/>
      <c r="AS116" s="162"/>
      <c r="AT116" s="162"/>
      <c r="AU116" s="183"/>
      <c r="AV116" s="162"/>
      <c r="AW116" s="162"/>
      <c r="AX116" s="162"/>
      <c r="AY116" s="162"/>
      <c r="AZ116" s="162"/>
      <c r="BA116" s="162"/>
    </row>
    <row r="117" spans="2:53" s="162" customFormat="1"/>
    <row r="118" spans="2:53" s="188" customFormat="1"/>
    <row r="119" spans="2:53" s="160" customFormat="1">
      <c r="B119" s="138"/>
      <c r="C119" s="138"/>
      <c r="AE119" s="138"/>
      <c r="AF119" s="138"/>
      <c r="AG119" s="138"/>
      <c r="AH119" s="138"/>
      <c r="AI119" s="138"/>
      <c r="AJ119" s="138"/>
      <c r="AK119" s="138"/>
      <c r="AL119" s="138"/>
      <c r="AN119" s="138"/>
      <c r="AO119" s="138"/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</row>
    <row r="120" spans="2:53" s="168" customFormat="1">
      <c r="B120" s="162"/>
      <c r="C120" s="162"/>
      <c r="AE120" s="162"/>
      <c r="AF120" s="162"/>
      <c r="AG120" s="162"/>
      <c r="AH120" s="162"/>
      <c r="AI120" s="162"/>
      <c r="AJ120" s="162"/>
      <c r="AK120" s="162"/>
      <c r="AL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</row>
    <row r="121" spans="2:53" s="200" customFormat="1">
      <c r="B121" s="188"/>
      <c r="C121" s="188"/>
      <c r="AE121" s="188"/>
      <c r="AF121" s="188"/>
      <c r="AG121" s="188"/>
      <c r="AH121" s="188"/>
      <c r="AI121" s="188"/>
      <c r="AJ121" s="188"/>
      <c r="AK121" s="188"/>
      <c r="AL121" s="188"/>
      <c r="AN121" s="188"/>
      <c r="AO121" s="188"/>
      <c r="AP121" s="188"/>
      <c r="AQ121" s="188"/>
      <c r="AR121" s="188"/>
      <c r="AS121" s="188"/>
      <c r="AT121" s="188"/>
      <c r="AU121" s="188"/>
      <c r="AV121" s="188"/>
      <c r="AW121" s="188"/>
      <c r="AX121" s="188"/>
      <c r="AY121" s="188"/>
      <c r="AZ121" s="188"/>
      <c r="BA121" s="188"/>
    </row>
    <row r="122" spans="2:53" s="168" customFormat="1">
      <c r="B122" s="162"/>
      <c r="C122" s="162"/>
      <c r="AE122" s="162"/>
      <c r="AF122" s="162"/>
      <c r="AG122" s="162"/>
      <c r="AH122" s="162"/>
      <c r="AI122" s="162"/>
      <c r="AJ122" s="162"/>
      <c r="AK122" s="162"/>
      <c r="AL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</row>
    <row r="123" spans="2:53" s="200" customFormat="1">
      <c r="B123" s="188"/>
      <c r="C123" s="188"/>
      <c r="AE123" s="188"/>
      <c r="AF123" s="188"/>
      <c r="AG123" s="188"/>
      <c r="AH123" s="188"/>
      <c r="AI123" s="188"/>
      <c r="AJ123" s="188"/>
      <c r="AK123" s="188"/>
      <c r="AL123" s="188"/>
      <c r="AN123" s="188"/>
      <c r="AO123" s="188"/>
      <c r="AP123" s="188"/>
      <c r="AQ123" s="188"/>
      <c r="AR123" s="188"/>
      <c r="AS123" s="188"/>
      <c r="AT123" s="188"/>
      <c r="AU123" s="188"/>
      <c r="AV123" s="188"/>
      <c r="AW123" s="188"/>
      <c r="AX123" s="188"/>
      <c r="AY123" s="188"/>
      <c r="AZ123" s="188"/>
      <c r="BA123" s="188"/>
    </row>
    <row r="124" spans="2:53" s="168" customFormat="1">
      <c r="B124" s="162"/>
      <c r="C124" s="162"/>
      <c r="AE124" s="162"/>
      <c r="AF124" s="162"/>
      <c r="AG124" s="162"/>
      <c r="AH124" s="162"/>
      <c r="AI124" s="162"/>
      <c r="AJ124" s="162"/>
      <c r="AK124" s="162"/>
      <c r="AL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</row>
    <row r="125" spans="2:53" s="162" customFormat="1"/>
    <row r="126" spans="2:53" s="188" customFormat="1"/>
    <row r="127" spans="2:53" s="160" customFormat="1">
      <c r="B127" s="138"/>
      <c r="C127" s="138"/>
      <c r="AE127" s="138"/>
      <c r="AF127" s="138"/>
      <c r="AG127" s="138"/>
      <c r="AH127" s="138"/>
      <c r="AI127" s="138"/>
      <c r="AJ127" s="138"/>
      <c r="AK127" s="138"/>
      <c r="AL127" s="138"/>
      <c r="AN127" s="138"/>
      <c r="AO127" s="138"/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</row>
    <row r="128" spans="2:53" s="168" customFormat="1">
      <c r="B128" s="162"/>
      <c r="C128" s="162"/>
      <c r="AE128" s="162"/>
      <c r="AF128" s="162"/>
      <c r="AG128" s="162"/>
      <c r="AH128" s="162"/>
      <c r="AI128" s="162"/>
      <c r="AJ128" s="162"/>
      <c r="AK128" s="162"/>
      <c r="AL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</row>
    <row r="129" spans="2:53" s="200" customFormat="1">
      <c r="B129" s="188"/>
      <c r="C129" s="188"/>
      <c r="AE129" s="188"/>
      <c r="AF129" s="188"/>
      <c r="AG129" s="188"/>
      <c r="AH129" s="188"/>
      <c r="AI129" s="188"/>
      <c r="AJ129" s="188"/>
      <c r="AK129" s="188"/>
      <c r="AL129" s="188"/>
      <c r="AN129" s="188"/>
      <c r="AO129" s="188"/>
      <c r="AP129" s="188"/>
      <c r="AQ129" s="188"/>
      <c r="AR129" s="188"/>
      <c r="AS129" s="188"/>
      <c r="AT129" s="188"/>
      <c r="AU129" s="188"/>
      <c r="AV129" s="188"/>
      <c r="AW129" s="188"/>
      <c r="AX129" s="188"/>
      <c r="AY129" s="188"/>
      <c r="AZ129" s="188"/>
      <c r="BA129" s="188"/>
    </row>
    <row r="130" spans="2:53" s="168" customFormat="1">
      <c r="B130" s="162"/>
      <c r="C130" s="162"/>
      <c r="AE130" s="162"/>
      <c r="AF130" s="162"/>
      <c r="AG130" s="162"/>
      <c r="AH130" s="162"/>
      <c r="AI130" s="162"/>
      <c r="AJ130" s="162"/>
      <c r="AK130" s="162"/>
      <c r="AL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</row>
    <row r="131" spans="2:53" s="162" customFormat="1"/>
    <row r="132" spans="2:53" s="162" customFormat="1"/>
    <row r="133" spans="2:53" s="168" customFormat="1">
      <c r="B133" s="162"/>
      <c r="C133" s="162"/>
      <c r="AE133" s="162"/>
      <c r="AF133" s="162"/>
      <c r="AG133" s="162"/>
      <c r="AH133" s="162"/>
      <c r="AI133" s="162"/>
      <c r="AJ133" s="162"/>
      <c r="AK133" s="162"/>
      <c r="AL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</row>
    <row r="134" spans="2:53" s="200" customFormat="1">
      <c r="B134" s="188"/>
      <c r="C134" s="188"/>
      <c r="AE134" s="188"/>
      <c r="AF134" s="188"/>
      <c r="AG134" s="188"/>
      <c r="AH134" s="188"/>
      <c r="AI134" s="188"/>
      <c r="AJ134" s="188"/>
      <c r="AK134" s="188"/>
      <c r="AL134" s="188"/>
      <c r="AN134" s="188"/>
      <c r="AO134" s="188"/>
      <c r="AP134" s="188"/>
      <c r="AQ134" s="188"/>
      <c r="AR134" s="188"/>
      <c r="AS134" s="188"/>
      <c r="AT134" s="188"/>
      <c r="AU134" s="188"/>
      <c r="AV134" s="188"/>
      <c r="AW134" s="188"/>
      <c r="AX134" s="188"/>
      <c r="AY134" s="188"/>
      <c r="AZ134" s="188"/>
      <c r="BA134" s="188"/>
    </row>
    <row r="135" spans="2:53" s="162" customFormat="1"/>
    <row r="136" spans="2:53" s="162" customFormat="1"/>
    <row r="137" spans="2:53" s="162" customFormat="1"/>
    <row r="138" spans="2:53" s="162" customFormat="1"/>
    <row r="139" spans="2:53" s="162" customFormat="1"/>
    <row r="140" spans="2:53" s="168" customFormat="1">
      <c r="B140" s="162"/>
      <c r="C140" s="162"/>
      <c r="AE140" s="162"/>
      <c r="AF140" s="162"/>
      <c r="AG140" s="162"/>
      <c r="AH140" s="162"/>
      <c r="AI140" s="162"/>
      <c r="AJ140" s="162"/>
      <c r="AK140" s="162"/>
      <c r="AL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</row>
    <row r="141" spans="2:53" s="168" customFormat="1">
      <c r="B141" s="162"/>
      <c r="C141" s="162"/>
      <c r="AE141" s="162"/>
      <c r="AF141" s="162"/>
      <c r="AG141" s="162"/>
      <c r="AH141" s="162"/>
      <c r="AI141" s="162"/>
      <c r="AJ141" s="162"/>
      <c r="AK141" s="162"/>
      <c r="AL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</row>
    <row r="142" spans="2:53" s="162" customFormat="1"/>
    <row r="143" spans="2:53" s="162" customFormat="1"/>
    <row r="144" spans="2:53" s="168" customFormat="1">
      <c r="B144" s="162"/>
      <c r="C144" s="162"/>
      <c r="AE144" s="162"/>
      <c r="AF144" s="162"/>
      <c r="AG144" s="162"/>
      <c r="AH144" s="162"/>
      <c r="AI144" s="162"/>
      <c r="AJ144" s="162"/>
      <c r="AK144" s="162"/>
      <c r="AL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</row>
    <row r="145" spans="2:53" s="168" customFormat="1">
      <c r="B145" s="162"/>
      <c r="C145" s="162"/>
      <c r="AE145" s="162"/>
      <c r="AF145" s="162"/>
      <c r="AG145" s="162"/>
      <c r="AH145" s="162"/>
      <c r="AI145" s="162"/>
      <c r="AJ145" s="162"/>
      <c r="AK145" s="162"/>
      <c r="AL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</row>
    <row r="146" spans="2:53" s="168" customFormat="1">
      <c r="B146" s="162"/>
      <c r="C146" s="162"/>
      <c r="AE146" s="162"/>
      <c r="AF146" s="162"/>
      <c r="AG146" s="162"/>
      <c r="AH146" s="162"/>
      <c r="AI146" s="162"/>
      <c r="AJ146" s="162"/>
      <c r="AK146" s="162"/>
      <c r="AL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</row>
    <row r="147" spans="2:53" s="160" customFormat="1">
      <c r="B147" s="138"/>
      <c r="C147" s="138"/>
      <c r="AE147" s="138"/>
      <c r="AF147" s="138"/>
      <c r="AG147" s="138"/>
      <c r="AH147" s="138"/>
      <c r="AI147" s="138"/>
      <c r="AJ147" s="138"/>
      <c r="AK147" s="138"/>
      <c r="AL147" s="138"/>
      <c r="AN147" s="138"/>
      <c r="AO147" s="138"/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</row>
    <row r="148" spans="2:53" s="160" customFormat="1">
      <c r="B148" s="138"/>
      <c r="C148" s="138"/>
      <c r="AE148" s="138"/>
      <c r="AF148" s="138"/>
      <c r="AG148" s="138"/>
      <c r="AH148" s="138"/>
      <c r="AI148" s="138"/>
      <c r="AJ148" s="138"/>
      <c r="AK148" s="138"/>
      <c r="AL148" s="138"/>
      <c r="AN148" s="138"/>
      <c r="AO148" s="138"/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</row>
    <row r="149" spans="2:53" s="149" customFormat="1">
      <c r="B149" s="351"/>
      <c r="C149" s="351"/>
      <c r="AE149" s="351"/>
      <c r="AF149" s="351"/>
      <c r="AG149" s="351"/>
      <c r="AH149" s="351"/>
      <c r="AI149" s="351"/>
      <c r="AJ149" s="351"/>
      <c r="AK149" s="351"/>
      <c r="AL149" s="351"/>
      <c r="AN149" s="351"/>
      <c r="AO149" s="351"/>
      <c r="AP149" s="351"/>
      <c r="AQ149" s="351"/>
      <c r="AR149" s="351"/>
      <c r="AS149" s="351"/>
      <c r="AT149" s="351"/>
      <c r="AU149" s="351"/>
      <c r="AV149" s="351"/>
      <c r="AW149" s="351"/>
      <c r="AX149" s="351"/>
      <c r="AY149" s="351"/>
      <c r="AZ149" s="351"/>
      <c r="BA149" s="351"/>
    </row>
    <row r="150" spans="2:53" s="173" customFormat="1">
      <c r="B150" s="379"/>
      <c r="C150" s="379"/>
      <c r="AE150" s="379"/>
      <c r="AF150" s="379"/>
      <c r="AG150" s="379"/>
      <c r="AH150" s="379"/>
      <c r="AI150" s="379"/>
      <c r="AJ150" s="379"/>
      <c r="AK150" s="379"/>
      <c r="AL150" s="379"/>
      <c r="AN150" s="379"/>
      <c r="AO150" s="379"/>
      <c r="AP150" s="379"/>
      <c r="AQ150" s="379"/>
      <c r="AR150" s="379"/>
      <c r="AS150" s="379"/>
      <c r="AT150" s="379"/>
      <c r="AU150" s="379"/>
      <c r="AV150" s="379"/>
      <c r="AW150" s="379"/>
      <c r="AX150" s="379"/>
      <c r="AY150" s="379"/>
      <c r="AZ150" s="379"/>
      <c r="BA150" s="379"/>
    </row>
    <row r="151" spans="2:53" s="149" customFormat="1">
      <c r="B151" s="351"/>
      <c r="C151" s="351"/>
      <c r="AE151" s="351"/>
      <c r="AF151" s="351"/>
      <c r="AG151" s="351"/>
      <c r="AH151" s="351"/>
      <c r="AI151" s="351"/>
      <c r="AJ151" s="351"/>
      <c r="AK151" s="351"/>
      <c r="AL151" s="351"/>
      <c r="AN151" s="351"/>
      <c r="AO151" s="351"/>
      <c r="AP151" s="351"/>
      <c r="AQ151" s="351"/>
      <c r="AR151" s="351"/>
      <c r="AS151" s="351"/>
      <c r="AT151" s="351"/>
      <c r="AU151" s="351"/>
      <c r="AV151" s="351"/>
      <c r="AW151" s="351"/>
      <c r="AX151" s="351"/>
      <c r="AY151" s="351"/>
      <c r="AZ151" s="351"/>
      <c r="BA151" s="351"/>
    </row>
    <row r="152" spans="2:53" s="265" customFormat="1">
      <c r="B152" s="262"/>
      <c r="C152" s="262"/>
      <c r="AE152" s="262"/>
      <c r="AF152" s="262"/>
      <c r="AG152" s="262"/>
      <c r="AH152" s="262"/>
      <c r="AI152" s="262"/>
      <c r="AJ152" s="262"/>
      <c r="AK152" s="262"/>
      <c r="AL152" s="262"/>
      <c r="AN152" s="262"/>
      <c r="AO152" s="262"/>
      <c r="AP152" s="262"/>
      <c r="AQ152" s="262"/>
      <c r="AR152" s="262"/>
      <c r="AS152" s="262"/>
      <c r="AT152" s="262"/>
      <c r="AU152" s="262"/>
      <c r="AV152" s="262"/>
      <c r="AW152" s="262"/>
      <c r="AX152" s="262"/>
      <c r="AY152" s="262"/>
      <c r="AZ152" s="262"/>
      <c r="BA152" s="262"/>
    </row>
    <row r="153" spans="2:53" s="173" customFormat="1">
      <c r="B153" s="379"/>
      <c r="C153" s="379"/>
      <c r="AE153" s="379"/>
      <c r="AF153" s="379"/>
      <c r="AG153" s="379"/>
      <c r="AH153" s="379"/>
      <c r="AI153" s="379"/>
      <c r="AJ153" s="379"/>
      <c r="AK153" s="379"/>
      <c r="AL153" s="379"/>
      <c r="AN153" s="379"/>
      <c r="AO153" s="379"/>
      <c r="AP153" s="379"/>
      <c r="AQ153" s="379"/>
      <c r="AR153" s="379"/>
      <c r="AS153" s="379"/>
      <c r="AT153" s="379"/>
      <c r="AU153" s="379"/>
      <c r="AV153" s="379"/>
      <c r="AW153" s="379"/>
      <c r="AX153" s="379"/>
      <c r="AY153" s="379"/>
      <c r="AZ153" s="379"/>
      <c r="BA153" s="379"/>
    </row>
    <row r="154" spans="2:53" s="160" customFormat="1">
      <c r="B154" s="138"/>
      <c r="C154" s="138"/>
      <c r="AE154" s="138"/>
      <c r="AF154" s="138"/>
      <c r="AG154" s="138"/>
      <c r="AH154" s="138"/>
      <c r="AI154" s="138"/>
      <c r="AJ154" s="138"/>
      <c r="AK154" s="138"/>
      <c r="AL154" s="138"/>
      <c r="AN154" s="138"/>
      <c r="AO154" s="138"/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</row>
    <row r="155" spans="2:53" s="160" customFormat="1">
      <c r="B155" s="138"/>
      <c r="C155" s="138"/>
      <c r="AE155" s="138"/>
      <c r="AF155" s="138"/>
      <c r="AG155" s="138"/>
      <c r="AH155" s="138"/>
      <c r="AI155" s="138"/>
      <c r="AJ155" s="138"/>
      <c r="AK155" s="138"/>
      <c r="AL155" s="138"/>
      <c r="AN155" s="138"/>
      <c r="AO155" s="138"/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</row>
    <row r="156" spans="2:53" s="160" customFormat="1">
      <c r="B156" s="138"/>
      <c r="C156" s="138"/>
      <c r="AE156" s="138"/>
      <c r="AF156" s="138"/>
      <c r="AG156" s="138"/>
      <c r="AH156" s="138"/>
      <c r="AI156" s="138"/>
      <c r="AJ156" s="138"/>
      <c r="AK156" s="138"/>
      <c r="AL156" s="138"/>
      <c r="AN156" s="138"/>
      <c r="AO156" s="138"/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</row>
    <row r="157" spans="2:53" s="168" customFormat="1">
      <c r="B157" s="162"/>
      <c r="C157" s="162"/>
      <c r="AE157" s="162"/>
      <c r="AF157" s="162"/>
      <c r="AG157" s="162"/>
      <c r="AH157" s="162"/>
      <c r="AI157" s="162"/>
      <c r="AJ157" s="162"/>
      <c r="AK157" s="162"/>
      <c r="AL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</row>
    <row r="158" spans="2:53" s="168" customFormat="1">
      <c r="B158" s="162"/>
      <c r="C158" s="162"/>
      <c r="AE158" s="162"/>
      <c r="AF158" s="162"/>
      <c r="AG158" s="162"/>
      <c r="AH158" s="162"/>
      <c r="AI158" s="162"/>
      <c r="AJ158" s="162"/>
      <c r="AK158" s="162"/>
      <c r="AL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</row>
    <row r="159" spans="2:53" s="168" customFormat="1">
      <c r="B159" s="162"/>
      <c r="C159" s="162"/>
      <c r="AE159" s="162"/>
      <c r="AF159" s="162"/>
      <c r="AG159" s="162"/>
      <c r="AH159" s="162"/>
      <c r="AI159" s="162"/>
      <c r="AJ159" s="162"/>
      <c r="AK159" s="162"/>
      <c r="AL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</row>
    <row r="160" spans="2:53" s="168" customFormat="1">
      <c r="B160" s="162"/>
      <c r="C160" s="162"/>
      <c r="AE160" s="162"/>
      <c r="AF160" s="162"/>
      <c r="AG160" s="162"/>
      <c r="AH160" s="162"/>
      <c r="AI160" s="162"/>
      <c r="AJ160" s="162"/>
      <c r="AK160" s="162"/>
      <c r="AL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</row>
    <row r="161" spans="2:53" s="168" customFormat="1">
      <c r="B161" s="162"/>
      <c r="C161" s="162"/>
      <c r="AE161" s="162"/>
      <c r="AF161" s="162"/>
      <c r="AG161" s="162"/>
      <c r="AH161" s="162"/>
      <c r="AI161" s="162"/>
      <c r="AJ161" s="162"/>
      <c r="AK161" s="162"/>
      <c r="AL161" s="162"/>
      <c r="AN161" s="162"/>
      <c r="AO161" s="162"/>
      <c r="AP161" s="162"/>
      <c r="AQ161" s="162"/>
      <c r="AR161" s="162"/>
      <c r="AS161" s="162"/>
      <c r="AT161" s="162"/>
      <c r="AU161" s="162"/>
      <c r="AV161" s="162"/>
      <c r="AW161" s="162"/>
      <c r="AX161" s="162"/>
      <c r="AY161" s="162"/>
      <c r="AZ161" s="162"/>
      <c r="BA161" s="162"/>
    </row>
    <row r="162" spans="2:53" s="162" customFormat="1"/>
    <row r="163" spans="2:53" s="162" customFormat="1"/>
    <row r="164" spans="2:53" s="168" customFormat="1">
      <c r="B164" s="162"/>
      <c r="C164" s="162"/>
      <c r="AE164" s="162"/>
      <c r="AF164" s="162"/>
      <c r="AG164" s="162"/>
      <c r="AH164" s="162"/>
      <c r="AI164" s="162"/>
      <c r="AJ164" s="162"/>
      <c r="AK164" s="162"/>
      <c r="AL164" s="162"/>
      <c r="AN164" s="162"/>
      <c r="AO164" s="162"/>
      <c r="AP164" s="162"/>
      <c r="AQ164" s="162"/>
      <c r="AR164" s="162"/>
      <c r="AS164" s="162"/>
      <c r="AT164" s="162"/>
      <c r="AU164" s="162"/>
      <c r="AV164" s="162"/>
      <c r="AW164" s="162"/>
      <c r="AX164" s="162"/>
      <c r="AY164" s="162"/>
      <c r="AZ164" s="162"/>
      <c r="BA164" s="162"/>
    </row>
    <row r="165" spans="2:53" s="168" customFormat="1">
      <c r="B165" s="162"/>
      <c r="C165" s="162"/>
      <c r="AE165" s="162"/>
      <c r="AF165" s="162"/>
      <c r="AG165" s="162"/>
      <c r="AH165" s="162"/>
      <c r="AI165" s="162"/>
      <c r="AJ165" s="162"/>
      <c r="AK165" s="162"/>
      <c r="AL165" s="162"/>
      <c r="AN165" s="162"/>
      <c r="AO165" s="162"/>
      <c r="AP165" s="162"/>
      <c r="AQ165" s="162"/>
      <c r="AR165" s="162"/>
      <c r="AS165" s="162"/>
      <c r="AT165" s="162"/>
      <c r="AU165" s="162"/>
      <c r="AV165" s="162"/>
      <c r="AW165" s="162"/>
      <c r="AX165" s="162"/>
      <c r="AY165" s="162"/>
      <c r="AZ165" s="162"/>
      <c r="BA165" s="162"/>
    </row>
    <row r="166" spans="2:53" s="168" customFormat="1">
      <c r="B166" s="162"/>
      <c r="C166" s="162"/>
      <c r="AE166" s="162"/>
      <c r="AF166" s="162"/>
      <c r="AG166" s="162"/>
      <c r="AH166" s="162"/>
      <c r="AI166" s="162"/>
      <c r="AJ166" s="162"/>
      <c r="AK166" s="162"/>
      <c r="AL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2"/>
      <c r="AY166" s="162"/>
      <c r="AZ166" s="162"/>
      <c r="BA166" s="162"/>
    </row>
    <row r="167" spans="2:53" s="168" customFormat="1">
      <c r="B167" s="162"/>
      <c r="C167" s="162"/>
      <c r="AE167" s="162"/>
      <c r="AF167" s="162"/>
      <c r="AG167" s="162"/>
      <c r="AH167" s="162"/>
      <c r="AI167" s="162"/>
      <c r="AJ167" s="162"/>
      <c r="AK167" s="162"/>
      <c r="AL167" s="162"/>
      <c r="AN167" s="162"/>
      <c r="AO167" s="162"/>
      <c r="AP167" s="162"/>
      <c r="AQ167" s="162"/>
      <c r="AR167" s="162"/>
      <c r="AS167" s="162"/>
      <c r="AT167" s="162"/>
      <c r="AU167" s="162"/>
      <c r="AV167" s="162"/>
      <c r="AW167" s="162"/>
      <c r="AX167" s="162"/>
      <c r="AY167" s="162"/>
      <c r="AZ167" s="162"/>
      <c r="BA167" s="162"/>
    </row>
    <row r="168" spans="2:53" s="162" customFormat="1"/>
    <row r="169" spans="2:53" s="162" customFormat="1"/>
    <row r="170" spans="2:53" s="168" customFormat="1">
      <c r="B170" s="162"/>
      <c r="C170" s="162"/>
      <c r="AE170" s="162"/>
      <c r="AF170" s="162"/>
      <c r="AG170" s="162"/>
      <c r="AH170" s="162"/>
      <c r="AI170" s="162"/>
      <c r="AJ170" s="162"/>
      <c r="AK170" s="162"/>
      <c r="AL170" s="162"/>
      <c r="AN170" s="162"/>
      <c r="AO170" s="162"/>
      <c r="AP170" s="162"/>
      <c r="AQ170" s="162"/>
      <c r="AR170" s="162"/>
      <c r="AS170" s="162"/>
      <c r="AT170" s="162"/>
      <c r="AU170" s="162"/>
      <c r="AV170" s="162"/>
      <c r="AW170" s="162"/>
      <c r="AX170" s="162"/>
      <c r="AY170" s="162"/>
      <c r="AZ170" s="162"/>
      <c r="BA170" s="162"/>
    </row>
    <row r="171" spans="2:53" s="168" customFormat="1">
      <c r="B171" s="162"/>
      <c r="C171" s="162"/>
      <c r="AE171" s="162"/>
      <c r="AF171" s="162"/>
      <c r="AG171" s="162"/>
      <c r="AH171" s="162"/>
      <c r="AI171" s="162"/>
      <c r="AJ171" s="162"/>
      <c r="AK171" s="162"/>
      <c r="AL171" s="162"/>
      <c r="AN171" s="162"/>
      <c r="AO171" s="162"/>
      <c r="AP171" s="162"/>
      <c r="AQ171" s="162"/>
      <c r="AR171" s="162"/>
      <c r="AS171" s="162"/>
      <c r="AT171" s="162"/>
      <c r="AU171" s="162"/>
      <c r="AV171" s="162"/>
      <c r="AW171" s="162"/>
      <c r="AX171" s="162"/>
      <c r="AY171" s="162"/>
      <c r="AZ171" s="162"/>
      <c r="BA171" s="162"/>
    </row>
    <row r="172" spans="2:53" s="168" customFormat="1">
      <c r="B172" s="162"/>
      <c r="C172" s="162"/>
      <c r="AE172" s="162"/>
      <c r="AF172" s="162"/>
      <c r="AG172" s="162"/>
      <c r="AH172" s="162"/>
      <c r="AI172" s="162"/>
      <c r="AJ172" s="162"/>
      <c r="AK172" s="162"/>
      <c r="AL172" s="162"/>
      <c r="AN172" s="162"/>
      <c r="AO172" s="162"/>
      <c r="AP172" s="162"/>
      <c r="AQ172" s="162"/>
      <c r="AR172" s="162"/>
      <c r="AS172" s="162"/>
      <c r="AT172" s="162"/>
      <c r="AU172" s="162"/>
      <c r="AV172" s="162"/>
      <c r="AW172" s="162"/>
      <c r="AX172" s="162"/>
      <c r="AY172" s="162"/>
      <c r="AZ172" s="162"/>
      <c r="BA172" s="162"/>
    </row>
    <row r="173" spans="2:53" s="162" customFormat="1"/>
    <row r="174" spans="2:53" s="162" customFormat="1"/>
    <row r="175" spans="2:53" s="168" customFormat="1">
      <c r="B175" s="162"/>
      <c r="C175" s="162"/>
      <c r="AE175" s="162"/>
      <c r="AF175" s="162"/>
      <c r="AG175" s="162"/>
      <c r="AH175" s="162"/>
      <c r="AI175" s="162"/>
      <c r="AJ175" s="162"/>
      <c r="AK175" s="162"/>
      <c r="AL175" s="162"/>
      <c r="AN175" s="162"/>
      <c r="AO175" s="162"/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162"/>
      <c r="BA175" s="162"/>
    </row>
    <row r="176" spans="2:53" s="168" customFormat="1">
      <c r="B176" s="162"/>
      <c r="C176" s="162"/>
      <c r="AE176" s="162"/>
      <c r="AF176" s="162"/>
      <c r="AG176" s="162"/>
      <c r="AH176" s="162"/>
      <c r="AI176" s="162"/>
      <c r="AJ176" s="162"/>
      <c r="AK176" s="162"/>
      <c r="AL176" s="162"/>
      <c r="AN176" s="162"/>
      <c r="AO176" s="162"/>
      <c r="AP176" s="162"/>
      <c r="AQ176" s="162"/>
      <c r="AR176" s="162"/>
      <c r="AS176" s="162"/>
      <c r="AT176" s="162"/>
      <c r="AU176" s="162"/>
      <c r="AV176" s="162"/>
      <c r="AW176" s="162"/>
      <c r="AX176" s="162"/>
      <c r="AY176" s="162"/>
      <c r="AZ176" s="162"/>
      <c r="BA176" s="162"/>
    </row>
    <row r="177" spans="2:53" s="168" customFormat="1">
      <c r="B177" s="162"/>
      <c r="C177" s="162"/>
      <c r="AE177" s="162"/>
      <c r="AF177" s="162"/>
      <c r="AG177" s="162"/>
      <c r="AH177" s="162"/>
      <c r="AI177" s="162"/>
      <c r="AJ177" s="162"/>
      <c r="AK177" s="162"/>
      <c r="AL177" s="162"/>
      <c r="AN177" s="162"/>
      <c r="AO177" s="162"/>
      <c r="AP177" s="162"/>
      <c r="AQ177" s="162"/>
      <c r="AR177" s="162"/>
      <c r="AS177" s="162"/>
      <c r="AT177" s="162"/>
      <c r="AU177" s="162"/>
      <c r="AV177" s="162"/>
      <c r="AW177" s="162"/>
      <c r="AX177" s="162"/>
      <c r="AY177" s="162"/>
      <c r="AZ177" s="162"/>
      <c r="BA177" s="162"/>
    </row>
    <row r="178" spans="2:53" s="162" customFormat="1"/>
    <row r="179" spans="2:53" s="162" customFormat="1"/>
    <row r="180" spans="2:53" s="168" customFormat="1">
      <c r="B180" s="162"/>
      <c r="C180" s="162"/>
      <c r="AE180" s="162"/>
      <c r="AF180" s="162"/>
      <c r="AG180" s="162"/>
      <c r="AH180" s="162"/>
      <c r="AI180" s="162"/>
      <c r="AJ180" s="162"/>
      <c r="AK180" s="162"/>
      <c r="AL180" s="162"/>
      <c r="AN180" s="162"/>
      <c r="AO180" s="162"/>
      <c r="AP180" s="162"/>
      <c r="AQ180" s="162"/>
      <c r="AR180" s="162"/>
      <c r="AS180" s="162"/>
      <c r="AT180" s="162"/>
      <c r="AU180" s="162"/>
      <c r="AV180" s="162"/>
      <c r="AW180" s="162"/>
      <c r="AX180" s="162"/>
      <c r="AY180" s="162"/>
      <c r="AZ180" s="162"/>
      <c r="BA180" s="162"/>
    </row>
    <row r="181" spans="2:53" s="162" customFormat="1"/>
    <row r="182" spans="2:53" s="217" customFormat="1"/>
    <row r="183" spans="2:53" s="162" customFormat="1"/>
    <row r="184" spans="2:53" s="168" customFormat="1">
      <c r="B184" s="162"/>
      <c r="C184" s="162"/>
      <c r="AE184" s="162"/>
      <c r="AF184" s="162"/>
      <c r="AG184" s="162"/>
      <c r="AH184" s="162"/>
      <c r="AI184" s="162"/>
      <c r="AJ184" s="162"/>
      <c r="AK184" s="162"/>
      <c r="AL184" s="162"/>
      <c r="AN184" s="162"/>
      <c r="AO184" s="162"/>
      <c r="AP184" s="162"/>
      <c r="AQ184" s="162"/>
      <c r="AR184" s="162"/>
      <c r="AS184" s="162"/>
      <c r="AT184" s="162"/>
      <c r="AU184" s="162"/>
      <c r="AV184" s="162"/>
      <c r="AW184" s="162"/>
      <c r="AX184" s="162"/>
      <c r="AY184" s="162"/>
      <c r="AZ184" s="162"/>
      <c r="BA184" s="162"/>
    </row>
    <row r="185" spans="2:53" s="168" customFormat="1">
      <c r="B185" s="162"/>
      <c r="C185" s="162"/>
      <c r="AE185" s="162"/>
      <c r="AF185" s="162"/>
      <c r="AG185" s="162"/>
      <c r="AH185" s="162"/>
      <c r="AI185" s="162"/>
      <c r="AJ185" s="162"/>
      <c r="AK185" s="162"/>
      <c r="AL185" s="162"/>
      <c r="AN185" s="162"/>
      <c r="AO185" s="162"/>
      <c r="AP185" s="162"/>
      <c r="AQ185" s="162"/>
      <c r="AR185" s="162"/>
      <c r="AS185" s="162"/>
      <c r="AT185" s="162"/>
      <c r="AU185" s="162"/>
      <c r="AV185" s="162"/>
      <c r="AW185" s="162"/>
      <c r="AX185" s="162"/>
      <c r="AY185" s="162"/>
      <c r="AZ185" s="162"/>
      <c r="BA185" s="162"/>
    </row>
    <row r="186" spans="2:53" s="312" customFormat="1">
      <c r="B186" s="374"/>
      <c r="C186" s="374"/>
      <c r="AE186" s="374"/>
      <c r="AF186" s="374"/>
      <c r="AG186" s="374"/>
      <c r="AH186" s="374"/>
      <c r="AI186" s="374"/>
      <c r="AJ186" s="374"/>
      <c r="AK186" s="374"/>
      <c r="AL186" s="374"/>
      <c r="AN186" s="374"/>
      <c r="AO186" s="374"/>
      <c r="AP186" s="374"/>
      <c r="AQ186" s="374"/>
      <c r="AR186" s="374"/>
      <c r="AS186" s="374"/>
      <c r="AT186" s="374"/>
      <c r="AU186" s="374"/>
      <c r="AV186" s="374"/>
      <c r="AW186" s="374"/>
      <c r="AX186" s="374"/>
      <c r="AY186" s="374"/>
      <c r="AZ186" s="374"/>
      <c r="BA186" s="374"/>
    </row>
    <row r="187" spans="2:53" s="168" customFormat="1">
      <c r="B187" s="162"/>
      <c r="C187" s="162"/>
      <c r="AE187" s="162"/>
      <c r="AF187" s="162"/>
      <c r="AG187" s="162"/>
      <c r="AH187" s="162"/>
      <c r="AI187" s="162"/>
      <c r="AJ187" s="162"/>
      <c r="AK187" s="162"/>
      <c r="AL187" s="162"/>
      <c r="AN187" s="162"/>
      <c r="AO187" s="162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162"/>
      <c r="BA187" s="162"/>
    </row>
    <row r="188" spans="2:53" s="168" customFormat="1">
      <c r="B188" s="162"/>
      <c r="C188" s="162"/>
      <c r="AE188" s="162"/>
      <c r="AF188" s="162"/>
      <c r="AG188" s="162"/>
      <c r="AH188" s="162"/>
      <c r="AI188" s="162"/>
      <c r="AJ188" s="162"/>
      <c r="AK188" s="162"/>
      <c r="AL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</row>
    <row r="189" spans="2:53" s="168" customFormat="1">
      <c r="B189" s="162"/>
      <c r="C189" s="162"/>
      <c r="AE189" s="162"/>
      <c r="AF189" s="162"/>
      <c r="AG189" s="162"/>
      <c r="AH189" s="162"/>
      <c r="AI189" s="162"/>
      <c r="AJ189" s="162"/>
      <c r="AK189" s="162"/>
      <c r="AL189" s="162"/>
      <c r="AN189" s="162"/>
      <c r="AO189" s="162"/>
      <c r="AP189" s="162"/>
      <c r="AQ189" s="162"/>
      <c r="AR189" s="162"/>
      <c r="AS189" s="162"/>
      <c r="AT189" s="162"/>
      <c r="AU189" s="162"/>
      <c r="AV189" s="162"/>
      <c r="AW189" s="162"/>
      <c r="AX189" s="162"/>
      <c r="AY189" s="162"/>
      <c r="AZ189" s="162"/>
      <c r="BA189" s="162"/>
    </row>
    <row r="190" spans="2:53" s="344" customFormat="1">
      <c r="B190" s="342"/>
      <c r="C190" s="342"/>
      <c r="AE190" s="342"/>
      <c r="AF190" s="342"/>
      <c r="AG190" s="342"/>
      <c r="AH190" s="342"/>
      <c r="AI190" s="342"/>
      <c r="AJ190" s="342"/>
      <c r="AK190" s="342"/>
      <c r="AL190" s="342"/>
      <c r="AN190" s="342"/>
      <c r="AO190" s="342"/>
      <c r="AP190" s="342"/>
      <c r="AQ190" s="342"/>
      <c r="AR190" s="342"/>
      <c r="AS190" s="342"/>
      <c r="AT190" s="342"/>
      <c r="AU190" s="342"/>
      <c r="AV190" s="342"/>
      <c r="AW190" s="342"/>
      <c r="AX190" s="342"/>
      <c r="AY190" s="342"/>
      <c r="AZ190" s="342"/>
      <c r="BA190" s="342"/>
    </row>
    <row r="191" spans="2:53" s="349" customFormat="1">
      <c r="B191" s="345"/>
      <c r="C191" s="345"/>
      <c r="AE191" s="345"/>
      <c r="AF191" s="345"/>
      <c r="AG191" s="345"/>
      <c r="AH191" s="345"/>
      <c r="AI191" s="345"/>
      <c r="AJ191" s="345"/>
      <c r="AK191" s="345"/>
      <c r="AL191" s="345"/>
      <c r="AN191" s="345"/>
      <c r="AO191" s="345"/>
      <c r="AP191" s="345"/>
      <c r="AQ191" s="345"/>
      <c r="AR191" s="345"/>
      <c r="AS191" s="345"/>
      <c r="AT191" s="345"/>
      <c r="AU191" s="345"/>
      <c r="AV191" s="345"/>
      <c r="AW191" s="345"/>
      <c r="AX191" s="345"/>
      <c r="AY191" s="345"/>
      <c r="AZ191" s="345"/>
      <c r="BA191" s="345"/>
    </row>
    <row r="192" spans="2:53" s="160" customFormat="1">
      <c r="B192" s="138"/>
      <c r="C192" s="138"/>
      <c r="AE192" s="138"/>
      <c r="AF192" s="138"/>
      <c r="AG192" s="138"/>
      <c r="AH192" s="138"/>
      <c r="AI192" s="138"/>
      <c r="AJ192" s="138"/>
      <c r="AK192" s="138"/>
      <c r="AL192" s="138"/>
      <c r="AN192" s="138"/>
      <c r="AO192" s="138"/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</row>
    <row r="193" spans="2:53" s="160" customFormat="1">
      <c r="B193" s="138"/>
      <c r="C193" s="138"/>
      <c r="AE193" s="138"/>
      <c r="AF193" s="138"/>
      <c r="AG193" s="138"/>
      <c r="AH193" s="138"/>
      <c r="AI193" s="138"/>
      <c r="AJ193" s="138"/>
      <c r="AK193" s="138"/>
      <c r="AL193" s="138"/>
      <c r="AN193" s="138"/>
      <c r="AO193" s="138"/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</row>
    <row r="194" spans="2:53" s="160" customFormat="1">
      <c r="B194" s="138"/>
      <c r="C194" s="138"/>
      <c r="AE194" s="138"/>
      <c r="AF194" s="138"/>
      <c r="AG194" s="138"/>
      <c r="AH194" s="138"/>
      <c r="AI194" s="138"/>
      <c r="AJ194" s="138"/>
      <c r="AK194" s="138"/>
      <c r="AL194" s="138"/>
      <c r="AN194" s="138"/>
      <c r="AO194" s="138"/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</row>
    <row r="195" spans="2:53" s="160" customFormat="1">
      <c r="B195" s="138"/>
      <c r="C195" s="138"/>
      <c r="AE195" s="138"/>
      <c r="AF195" s="138"/>
      <c r="AG195" s="138"/>
      <c r="AH195" s="138"/>
      <c r="AI195" s="138"/>
      <c r="AJ195" s="138"/>
      <c r="AK195" s="138"/>
      <c r="AL195" s="138"/>
      <c r="AN195" s="138"/>
      <c r="AO195" s="138"/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</row>
    <row r="196" spans="2:53" s="168" customFormat="1">
      <c r="B196" s="162"/>
      <c r="C196" s="162"/>
      <c r="AE196" s="162"/>
      <c r="AF196" s="162"/>
      <c r="AG196" s="162"/>
      <c r="AH196" s="162"/>
      <c r="AI196" s="162"/>
      <c r="AJ196" s="162"/>
      <c r="AK196" s="162"/>
      <c r="AL196" s="162"/>
      <c r="AN196" s="162"/>
      <c r="AO196" s="162"/>
      <c r="AP196" s="162"/>
      <c r="AQ196" s="162"/>
      <c r="AR196" s="162"/>
      <c r="AS196" s="162"/>
      <c r="AT196" s="162"/>
      <c r="AU196" s="162"/>
      <c r="AV196" s="162"/>
      <c r="AW196" s="162"/>
      <c r="AX196" s="162"/>
      <c r="AY196" s="162"/>
      <c r="AZ196" s="162"/>
      <c r="BA196" s="162"/>
    </row>
    <row r="197" spans="2:53" s="168" customFormat="1">
      <c r="B197" s="162"/>
      <c r="C197" s="162"/>
      <c r="AE197" s="162"/>
      <c r="AF197" s="162"/>
      <c r="AG197" s="162"/>
      <c r="AH197" s="162"/>
      <c r="AI197" s="162"/>
      <c r="AJ197" s="162"/>
      <c r="AK197" s="162"/>
      <c r="AL197" s="162"/>
      <c r="AN197" s="162"/>
      <c r="AO197" s="162"/>
      <c r="AP197" s="162"/>
      <c r="AQ197" s="162"/>
      <c r="AR197" s="162"/>
      <c r="AS197" s="162"/>
      <c r="AT197" s="162"/>
      <c r="AU197" s="162"/>
      <c r="AV197" s="162"/>
      <c r="AW197" s="162"/>
      <c r="AX197" s="162"/>
      <c r="AY197" s="162"/>
      <c r="AZ197" s="162"/>
      <c r="BA197" s="162"/>
    </row>
    <row r="198" spans="2:53" s="168" customFormat="1">
      <c r="B198" s="162"/>
      <c r="C198" s="162"/>
      <c r="AE198" s="162"/>
      <c r="AF198" s="162"/>
      <c r="AG198" s="162"/>
      <c r="AH198" s="162"/>
      <c r="AI198" s="162"/>
      <c r="AJ198" s="162"/>
      <c r="AK198" s="162"/>
      <c r="AL198" s="162"/>
      <c r="AN198" s="162"/>
      <c r="AO198" s="162"/>
      <c r="AP198" s="162"/>
      <c r="AQ198" s="162"/>
      <c r="AR198" s="162"/>
      <c r="AS198" s="162"/>
      <c r="AT198" s="162"/>
      <c r="AU198" s="162"/>
      <c r="AV198" s="162"/>
      <c r="AW198" s="162"/>
      <c r="AX198" s="162"/>
      <c r="AY198" s="162"/>
      <c r="AZ198" s="162"/>
      <c r="BA198" s="162"/>
    </row>
    <row r="199" spans="2:53" s="168" customFormat="1">
      <c r="B199" s="162"/>
      <c r="C199" s="162"/>
      <c r="AE199" s="162"/>
      <c r="AF199" s="162"/>
      <c r="AG199" s="162"/>
      <c r="AH199" s="162"/>
      <c r="AI199" s="162"/>
      <c r="AJ199" s="162"/>
      <c r="AK199" s="162"/>
      <c r="AL199" s="162"/>
      <c r="AN199" s="162"/>
      <c r="AO199" s="162"/>
      <c r="AP199" s="162"/>
      <c r="AQ199" s="162"/>
      <c r="AR199" s="162"/>
      <c r="AS199" s="162"/>
      <c r="AT199" s="162"/>
      <c r="AU199" s="162"/>
      <c r="AV199" s="162"/>
      <c r="AW199" s="162"/>
      <c r="AX199" s="162"/>
      <c r="AY199" s="162"/>
      <c r="AZ199" s="162"/>
      <c r="BA199" s="162"/>
    </row>
    <row r="200" spans="2:53" s="168" customFormat="1">
      <c r="B200" s="162"/>
      <c r="C200" s="162"/>
      <c r="AE200" s="162"/>
      <c r="AF200" s="162"/>
      <c r="AG200" s="162"/>
      <c r="AH200" s="162"/>
      <c r="AI200" s="162"/>
      <c r="AJ200" s="162"/>
      <c r="AK200" s="162"/>
      <c r="AL200" s="162"/>
      <c r="AN200" s="162"/>
      <c r="AO200" s="162"/>
      <c r="AP200" s="162"/>
      <c r="AQ200" s="162"/>
      <c r="AR200" s="162"/>
      <c r="AS200" s="162"/>
      <c r="AT200" s="162"/>
      <c r="AU200" s="162"/>
      <c r="AV200" s="162"/>
      <c r="AW200" s="162"/>
      <c r="AX200" s="162"/>
      <c r="AY200" s="162"/>
      <c r="AZ200" s="162"/>
      <c r="BA200" s="162"/>
    </row>
    <row r="201" spans="2:53" s="168" customFormat="1">
      <c r="B201" s="162"/>
      <c r="C201" s="162"/>
      <c r="AE201" s="162"/>
      <c r="AF201" s="162"/>
      <c r="AG201" s="162"/>
      <c r="AH201" s="162"/>
      <c r="AI201" s="162"/>
      <c r="AJ201" s="162"/>
      <c r="AK201" s="162"/>
      <c r="AL201" s="162"/>
      <c r="AN201" s="162"/>
      <c r="AO201" s="162"/>
      <c r="AP201" s="162"/>
      <c r="AQ201" s="162"/>
      <c r="AR201" s="162"/>
      <c r="AS201" s="162"/>
      <c r="AT201" s="162"/>
      <c r="AU201" s="162"/>
      <c r="AV201" s="162"/>
      <c r="AW201" s="162"/>
      <c r="AX201" s="162"/>
      <c r="AY201" s="162"/>
      <c r="AZ201" s="162"/>
      <c r="BA201" s="162"/>
    </row>
    <row r="202" spans="2:53" s="168" customFormat="1">
      <c r="B202" s="162"/>
      <c r="C202" s="162"/>
      <c r="AE202" s="162"/>
      <c r="AF202" s="162"/>
      <c r="AG202" s="162"/>
      <c r="AH202" s="162"/>
      <c r="AI202" s="162"/>
      <c r="AJ202" s="162"/>
      <c r="AK202" s="162"/>
      <c r="AL202" s="162"/>
      <c r="AN202" s="162"/>
      <c r="AO202" s="162"/>
      <c r="AP202" s="162"/>
      <c r="AQ202" s="162"/>
      <c r="AR202" s="162"/>
      <c r="AS202" s="162"/>
      <c r="AT202" s="162"/>
      <c r="AU202" s="162"/>
      <c r="AV202" s="162"/>
      <c r="AW202" s="162"/>
      <c r="AX202" s="162"/>
      <c r="AY202" s="162"/>
      <c r="AZ202" s="162"/>
      <c r="BA202" s="162"/>
    </row>
    <row r="203" spans="2:53" s="168" customFormat="1">
      <c r="B203" s="162"/>
      <c r="C203" s="162"/>
      <c r="AE203" s="162"/>
      <c r="AF203" s="162"/>
      <c r="AG203" s="162"/>
      <c r="AH203" s="162"/>
      <c r="AI203" s="162"/>
      <c r="AJ203" s="162"/>
      <c r="AK203" s="162"/>
      <c r="AL203" s="162"/>
      <c r="AN203" s="162"/>
      <c r="AO203" s="162"/>
      <c r="AP203" s="162"/>
      <c r="AQ203" s="162"/>
      <c r="AR203" s="162"/>
      <c r="AS203" s="162"/>
      <c r="AT203" s="162"/>
      <c r="AU203" s="162"/>
      <c r="AV203" s="162"/>
      <c r="AW203" s="162"/>
      <c r="AX203" s="162"/>
      <c r="AY203" s="162"/>
      <c r="AZ203" s="162"/>
      <c r="BA203" s="162"/>
    </row>
    <row r="204" spans="2:53" s="168" customFormat="1">
      <c r="B204" s="162"/>
      <c r="C204" s="162"/>
      <c r="AE204" s="162"/>
      <c r="AF204" s="162"/>
      <c r="AG204" s="162"/>
      <c r="AH204" s="162"/>
      <c r="AI204" s="162"/>
      <c r="AJ204" s="162"/>
      <c r="AK204" s="162"/>
      <c r="AL204" s="162"/>
      <c r="AN204" s="162"/>
      <c r="AO204" s="162"/>
      <c r="AP204" s="162"/>
      <c r="AQ204" s="162"/>
      <c r="AR204" s="162"/>
      <c r="AS204" s="162"/>
      <c r="AT204" s="162"/>
      <c r="AU204" s="162"/>
      <c r="AV204" s="162"/>
      <c r="AW204" s="162"/>
      <c r="AX204" s="162"/>
      <c r="AY204" s="162"/>
      <c r="AZ204" s="162"/>
      <c r="BA204" s="162"/>
    </row>
    <row r="205" spans="2:53" s="168" customFormat="1">
      <c r="B205" s="162"/>
      <c r="C205" s="162"/>
      <c r="AE205" s="162"/>
      <c r="AF205" s="162"/>
      <c r="AG205" s="162"/>
      <c r="AH205" s="162"/>
      <c r="AI205" s="162"/>
      <c r="AJ205" s="162"/>
      <c r="AK205" s="162"/>
      <c r="AL205" s="162"/>
      <c r="AN205" s="162"/>
      <c r="AO205" s="162"/>
      <c r="AP205" s="162"/>
      <c r="AQ205" s="162"/>
      <c r="AR205" s="162"/>
      <c r="AS205" s="162"/>
      <c r="AT205" s="162"/>
      <c r="AU205" s="162"/>
      <c r="AV205" s="162"/>
      <c r="AW205" s="162"/>
      <c r="AX205" s="162"/>
      <c r="AY205" s="162"/>
      <c r="AZ205" s="162"/>
      <c r="BA205" s="162"/>
    </row>
    <row r="206" spans="2:53" s="168" customFormat="1">
      <c r="B206" s="162"/>
      <c r="C206" s="162"/>
      <c r="AE206" s="162"/>
      <c r="AF206" s="162"/>
      <c r="AG206" s="162"/>
      <c r="AH206" s="162"/>
      <c r="AI206" s="162"/>
      <c r="AJ206" s="162"/>
      <c r="AK206" s="162"/>
      <c r="AL206" s="162"/>
      <c r="AN206" s="162"/>
      <c r="AO206" s="162"/>
      <c r="AP206" s="162"/>
      <c r="AQ206" s="162"/>
      <c r="AR206" s="162"/>
      <c r="AS206" s="162"/>
      <c r="AT206" s="162"/>
      <c r="AU206" s="162"/>
      <c r="AV206" s="162"/>
      <c r="AW206" s="162"/>
      <c r="AX206" s="162"/>
      <c r="AY206" s="162"/>
      <c r="AZ206" s="162"/>
      <c r="BA206" s="162"/>
    </row>
    <row r="207" spans="2:53" s="168" customFormat="1">
      <c r="B207" s="162"/>
      <c r="C207" s="162"/>
      <c r="AE207" s="162"/>
      <c r="AF207" s="162"/>
      <c r="AG207" s="162"/>
      <c r="AH207" s="162"/>
      <c r="AI207" s="162"/>
      <c r="AJ207" s="162"/>
      <c r="AK207" s="162"/>
      <c r="AL207" s="162"/>
      <c r="AN207" s="162"/>
      <c r="AO207" s="162"/>
      <c r="AP207" s="162"/>
      <c r="AQ207" s="162"/>
      <c r="AR207" s="162"/>
      <c r="AS207" s="162"/>
      <c r="AT207" s="162"/>
      <c r="AU207" s="162"/>
      <c r="AV207" s="162"/>
      <c r="AW207" s="162"/>
      <c r="AX207" s="162"/>
      <c r="AY207" s="162"/>
      <c r="AZ207" s="162"/>
      <c r="BA207" s="162"/>
    </row>
    <row r="208" spans="2:53" s="168" customFormat="1">
      <c r="B208" s="162"/>
      <c r="C208" s="162"/>
      <c r="AE208" s="162"/>
      <c r="AF208" s="162"/>
      <c r="AG208" s="162"/>
      <c r="AH208" s="162"/>
      <c r="AI208" s="162"/>
      <c r="AJ208" s="162"/>
      <c r="AK208" s="162"/>
      <c r="AL208" s="162"/>
      <c r="AN208" s="162"/>
      <c r="AO208" s="162"/>
      <c r="AP208" s="162"/>
      <c r="AQ208" s="162"/>
      <c r="AR208" s="162"/>
      <c r="AS208" s="162"/>
      <c r="AT208" s="162"/>
      <c r="AU208" s="162"/>
      <c r="AV208" s="162"/>
      <c r="AW208" s="162"/>
      <c r="AX208" s="162"/>
      <c r="AY208" s="162"/>
      <c r="AZ208" s="162"/>
      <c r="BA208" s="162"/>
    </row>
    <row r="209" spans="2:53" s="168" customFormat="1">
      <c r="B209" s="162"/>
      <c r="C209" s="162"/>
      <c r="AE209" s="162"/>
      <c r="AF209" s="162"/>
      <c r="AG209" s="162"/>
      <c r="AH209" s="162"/>
      <c r="AI209" s="162"/>
      <c r="AJ209" s="162"/>
      <c r="AK209" s="162"/>
      <c r="AL209" s="162"/>
      <c r="AN209" s="162"/>
      <c r="AO209" s="162"/>
      <c r="AP209" s="162"/>
      <c r="AQ209" s="162"/>
      <c r="AR209" s="162"/>
      <c r="AS209" s="162"/>
      <c r="AT209" s="162"/>
      <c r="AU209" s="162"/>
      <c r="AV209" s="162"/>
      <c r="AW209" s="162"/>
      <c r="AX209" s="162"/>
      <c r="AY209" s="162"/>
      <c r="AZ209" s="162"/>
      <c r="BA209" s="162"/>
    </row>
    <row r="210" spans="2:53" s="162" customFormat="1"/>
    <row r="211" spans="2:53" s="168" customFormat="1">
      <c r="B211" s="162"/>
      <c r="C211" s="162"/>
      <c r="AE211" s="162"/>
      <c r="AF211" s="162"/>
      <c r="AG211" s="162"/>
      <c r="AH211" s="162"/>
      <c r="AI211" s="162"/>
      <c r="AJ211" s="162"/>
      <c r="AK211" s="162"/>
      <c r="AL211" s="162"/>
      <c r="AN211" s="162"/>
      <c r="AO211" s="162"/>
      <c r="AP211" s="162"/>
      <c r="AQ211" s="162"/>
      <c r="AR211" s="162"/>
      <c r="AS211" s="162"/>
      <c r="AT211" s="162"/>
      <c r="AU211" s="162"/>
      <c r="AV211" s="162"/>
      <c r="AW211" s="162"/>
      <c r="AX211" s="162"/>
      <c r="AY211" s="162"/>
      <c r="AZ211" s="162"/>
      <c r="BA211" s="162"/>
    </row>
    <row r="212" spans="2:53" s="162" customFormat="1"/>
    <row r="213" spans="2:53" s="173" customFormat="1">
      <c r="B213" s="379"/>
      <c r="C213" s="379"/>
      <c r="AE213" s="379"/>
      <c r="AF213" s="379"/>
      <c r="AG213" s="379"/>
      <c r="AH213" s="379"/>
      <c r="AI213" s="379"/>
      <c r="AJ213" s="379"/>
      <c r="AK213" s="379"/>
      <c r="AL213" s="379"/>
      <c r="AN213" s="379"/>
      <c r="AO213" s="379"/>
      <c r="AP213" s="379"/>
      <c r="AQ213" s="379"/>
      <c r="AR213" s="379"/>
      <c r="AS213" s="379"/>
      <c r="AT213" s="379"/>
      <c r="AU213" s="379"/>
      <c r="AV213" s="379"/>
      <c r="AW213" s="379"/>
      <c r="AX213" s="379"/>
      <c r="AY213" s="379"/>
      <c r="AZ213" s="379"/>
      <c r="BA213" s="379"/>
    </row>
    <row r="214" spans="2:53" s="168" customFormat="1">
      <c r="B214" s="162"/>
      <c r="C214" s="162"/>
      <c r="AE214" s="162"/>
      <c r="AF214" s="162"/>
      <c r="AG214" s="162"/>
      <c r="AH214" s="162"/>
      <c r="AI214" s="162"/>
      <c r="AJ214" s="162"/>
      <c r="AK214" s="162"/>
      <c r="AL214" s="162"/>
      <c r="AN214" s="162"/>
      <c r="AO214" s="162"/>
      <c r="AP214" s="162"/>
      <c r="AQ214" s="162"/>
      <c r="AR214" s="162"/>
      <c r="AS214" s="162"/>
      <c r="AT214" s="162"/>
      <c r="AU214" s="162"/>
      <c r="AV214" s="162"/>
      <c r="AW214" s="162"/>
      <c r="AX214" s="162"/>
      <c r="AY214" s="162"/>
      <c r="AZ214" s="162"/>
      <c r="BA214" s="162"/>
    </row>
    <row r="215" spans="2:53" s="168" customFormat="1">
      <c r="B215" s="162"/>
      <c r="C215" s="162"/>
      <c r="AE215" s="162"/>
      <c r="AF215" s="162"/>
      <c r="AG215" s="162"/>
      <c r="AH215" s="162"/>
      <c r="AI215" s="162"/>
      <c r="AJ215" s="162"/>
      <c r="AK215" s="162"/>
      <c r="AL215" s="162"/>
      <c r="AN215" s="162"/>
      <c r="AO215" s="162"/>
      <c r="AP215" s="162"/>
      <c r="AQ215" s="162"/>
      <c r="AR215" s="162"/>
      <c r="AS215" s="162"/>
      <c r="AT215" s="162"/>
      <c r="AU215" s="162"/>
      <c r="AV215" s="162"/>
      <c r="AW215" s="162"/>
      <c r="AX215" s="162"/>
      <c r="AY215" s="162"/>
      <c r="AZ215" s="162"/>
      <c r="BA215" s="162"/>
    </row>
    <row r="216" spans="2:53" s="168" customFormat="1">
      <c r="B216" s="162"/>
      <c r="C216" s="162"/>
      <c r="AE216" s="162"/>
      <c r="AF216" s="162"/>
      <c r="AG216" s="162"/>
      <c r="AH216" s="162"/>
      <c r="AI216" s="162"/>
      <c r="AJ216" s="162"/>
      <c r="AK216" s="162"/>
      <c r="AL216" s="162"/>
      <c r="AN216" s="162"/>
      <c r="AO216" s="162"/>
      <c r="AP216" s="162"/>
      <c r="AQ216" s="162"/>
      <c r="AR216" s="162"/>
      <c r="AS216" s="162"/>
      <c r="AT216" s="162"/>
      <c r="AU216" s="162"/>
      <c r="AV216" s="162"/>
      <c r="AW216" s="162"/>
      <c r="AX216" s="162"/>
      <c r="AY216" s="162"/>
      <c r="AZ216" s="162"/>
      <c r="BA216" s="162"/>
    </row>
    <row r="217" spans="2:53" s="168" customFormat="1">
      <c r="B217" s="162"/>
      <c r="C217" s="162"/>
      <c r="AE217" s="162"/>
      <c r="AF217" s="162"/>
      <c r="AG217" s="162"/>
      <c r="AH217" s="162"/>
      <c r="AI217" s="162"/>
      <c r="AJ217" s="162"/>
      <c r="AK217" s="162"/>
      <c r="AL217" s="162"/>
      <c r="AN217" s="162"/>
      <c r="AO217" s="162"/>
      <c r="AP217" s="162"/>
      <c r="AQ217" s="162"/>
      <c r="AR217" s="162"/>
      <c r="AS217" s="162"/>
      <c r="AT217" s="162"/>
      <c r="AU217" s="162"/>
      <c r="AV217" s="162"/>
      <c r="AW217" s="162"/>
      <c r="AX217" s="162"/>
      <c r="AY217" s="162"/>
      <c r="AZ217" s="162"/>
      <c r="BA217" s="162"/>
    </row>
    <row r="218" spans="2:53" s="168" customFormat="1">
      <c r="B218" s="162"/>
      <c r="C218" s="162"/>
      <c r="AE218" s="162"/>
      <c r="AF218" s="162"/>
      <c r="AG218" s="162"/>
      <c r="AH218" s="162"/>
      <c r="AI218" s="162"/>
      <c r="AJ218" s="162"/>
      <c r="AK218" s="162"/>
      <c r="AL218" s="162"/>
      <c r="AN218" s="162"/>
      <c r="AO218" s="162"/>
      <c r="AP218" s="162"/>
      <c r="AQ218" s="162"/>
      <c r="AR218" s="162"/>
      <c r="AS218" s="162"/>
      <c r="AT218" s="162"/>
      <c r="AU218" s="162"/>
      <c r="AV218" s="162"/>
      <c r="AW218" s="162"/>
      <c r="AX218" s="162"/>
      <c r="AY218" s="162"/>
      <c r="AZ218" s="162"/>
      <c r="BA218" s="162"/>
    </row>
    <row r="219" spans="2:53" s="162" customFormat="1"/>
    <row r="220" spans="2:53" s="168" customFormat="1">
      <c r="B220" s="162"/>
      <c r="C220" s="162"/>
      <c r="AE220" s="162"/>
      <c r="AF220" s="162"/>
      <c r="AG220" s="162"/>
      <c r="AH220" s="162"/>
      <c r="AI220" s="162"/>
      <c r="AJ220" s="162"/>
      <c r="AK220" s="162"/>
      <c r="AL220" s="162"/>
      <c r="AN220" s="162"/>
      <c r="AO220" s="162"/>
      <c r="AP220" s="162"/>
      <c r="AQ220" s="162"/>
      <c r="AR220" s="162"/>
      <c r="AS220" s="162"/>
      <c r="AT220" s="162"/>
      <c r="AU220" s="162"/>
      <c r="AV220" s="162"/>
      <c r="AW220" s="162"/>
      <c r="AX220" s="162"/>
      <c r="AY220" s="162"/>
      <c r="AZ220" s="162"/>
      <c r="BA220" s="162"/>
    </row>
    <row r="221" spans="2:53" s="168" customFormat="1">
      <c r="B221" s="162"/>
      <c r="C221" s="162"/>
      <c r="AE221" s="162"/>
      <c r="AF221" s="162"/>
      <c r="AG221" s="162"/>
      <c r="AH221" s="162"/>
      <c r="AI221" s="162"/>
      <c r="AJ221" s="162"/>
      <c r="AK221" s="162"/>
      <c r="AL221" s="162"/>
      <c r="AN221" s="162"/>
      <c r="AO221" s="162"/>
      <c r="AP221" s="162"/>
      <c r="AQ221" s="162"/>
      <c r="AR221" s="162"/>
      <c r="AS221" s="162"/>
      <c r="AT221" s="162"/>
      <c r="AU221" s="162"/>
      <c r="AV221" s="162"/>
      <c r="AW221" s="162"/>
      <c r="AX221" s="162"/>
      <c r="AY221" s="162"/>
      <c r="AZ221" s="162"/>
      <c r="BA221" s="162"/>
    </row>
    <row r="222" spans="2:53" s="168" customFormat="1">
      <c r="B222" s="162"/>
      <c r="C222" s="162"/>
      <c r="AE222" s="162"/>
      <c r="AF222" s="162"/>
      <c r="AG222" s="162"/>
      <c r="AH222" s="162"/>
      <c r="AI222" s="162"/>
      <c r="AJ222" s="162"/>
      <c r="AK222" s="162"/>
      <c r="AL222" s="162"/>
      <c r="AN222" s="162"/>
      <c r="AO222" s="162"/>
      <c r="AP222" s="162"/>
      <c r="AQ222" s="162"/>
      <c r="AR222" s="162"/>
      <c r="AS222" s="162"/>
      <c r="AT222" s="162"/>
      <c r="AU222" s="162"/>
      <c r="AV222" s="162"/>
      <c r="AW222" s="162"/>
      <c r="AX222" s="162"/>
      <c r="AY222" s="162"/>
      <c r="AZ222" s="162"/>
      <c r="BA222" s="162"/>
    </row>
    <row r="223" spans="2:53" s="168" customFormat="1">
      <c r="B223" s="162"/>
      <c r="C223" s="162"/>
      <c r="AE223" s="162"/>
      <c r="AF223" s="162"/>
      <c r="AG223" s="162"/>
      <c r="AH223" s="162"/>
      <c r="AI223" s="162"/>
      <c r="AJ223" s="162"/>
      <c r="AK223" s="162"/>
      <c r="AL223" s="162"/>
      <c r="AN223" s="162"/>
      <c r="AO223" s="162"/>
      <c r="AP223" s="162"/>
      <c r="AQ223" s="162"/>
      <c r="AR223" s="162"/>
      <c r="AS223" s="162"/>
      <c r="AT223" s="162"/>
      <c r="AU223" s="162"/>
      <c r="AV223" s="162"/>
      <c r="AW223" s="162"/>
      <c r="AX223" s="162"/>
      <c r="AY223" s="162"/>
      <c r="AZ223" s="162"/>
      <c r="BA223" s="162"/>
    </row>
    <row r="224" spans="2:53" s="168" customFormat="1">
      <c r="B224" s="162"/>
      <c r="C224" s="162"/>
      <c r="AE224" s="162"/>
      <c r="AF224" s="162"/>
      <c r="AG224" s="162"/>
      <c r="AH224" s="162"/>
      <c r="AI224" s="162"/>
      <c r="AJ224" s="162"/>
      <c r="AK224" s="162"/>
      <c r="AL224" s="162"/>
      <c r="AN224" s="162"/>
      <c r="AO224" s="162"/>
      <c r="AP224" s="162"/>
      <c r="AQ224" s="162"/>
      <c r="AR224" s="162"/>
      <c r="AS224" s="162"/>
      <c r="AT224" s="162"/>
      <c r="AU224" s="162"/>
      <c r="AV224" s="162"/>
      <c r="AW224" s="162"/>
      <c r="AX224" s="162"/>
      <c r="AY224" s="162"/>
      <c r="AZ224" s="162"/>
      <c r="BA224" s="162"/>
    </row>
    <row r="225" spans="2:53" s="168" customFormat="1">
      <c r="B225" s="162"/>
      <c r="C225" s="162"/>
      <c r="AE225" s="162"/>
      <c r="AF225" s="162"/>
      <c r="AG225" s="162"/>
      <c r="AH225" s="162"/>
      <c r="AI225" s="162"/>
      <c r="AJ225" s="162"/>
      <c r="AK225" s="162"/>
      <c r="AL225" s="162"/>
      <c r="AN225" s="162"/>
      <c r="AO225" s="162"/>
      <c r="AP225" s="162"/>
      <c r="AQ225" s="162"/>
      <c r="AR225" s="162"/>
      <c r="AS225" s="162"/>
      <c r="AT225" s="162"/>
      <c r="AU225" s="162"/>
      <c r="AV225" s="162"/>
      <c r="AW225" s="162"/>
      <c r="AX225" s="162"/>
      <c r="AY225" s="162"/>
      <c r="AZ225" s="162"/>
      <c r="BA225" s="162"/>
    </row>
    <row r="226" spans="2:53" s="162" customFormat="1"/>
    <row r="227" spans="2:53" s="168" customFormat="1">
      <c r="B227" s="162"/>
      <c r="C227" s="162"/>
      <c r="AE227" s="162"/>
      <c r="AF227" s="162"/>
      <c r="AG227" s="162"/>
      <c r="AH227" s="162"/>
      <c r="AI227" s="162"/>
      <c r="AJ227" s="162"/>
      <c r="AK227" s="162"/>
      <c r="AL227" s="162"/>
      <c r="AN227" s="162"/>
      <c r="AO227" s="162"/>
      <c r="AP227" s="162"/>
      <c r="AQ227" s="162"/>
      <c r="AR227" s="162"/>
      <c r="AS227" s="162"/>
      <c r="AT227" s="162"/>
      <c r="AU227" s="162"/>
      <c r="AV227" s="162"/>
      <c r="AW227" s="162"/>
      <c r="AX227" s="162"/>
      <c r="AY227" s="162"/>
      <c r="AZ227" s="162"/>
      <c r="BA227" s="162"/>
    </row>
    <row r="228" spans="2:53" s="168" customFormat="1">
      <c r="B228" s="162"/>
      <c r="C228" s="162"/>
      <c r="AE228" s="162"/>
      <c r="AF228" s="162"/>
      <c r="AG228" s="162"/>
      <c r="AH228" s="162"/>
      <c r="AI228" s="162"/>
      <c r="AJ228" s="162"/>
      <c r="AK228" s="162"/>
      <c r="AL228" s="162"/>
      <c r="AN228" s="162"/>
      <c r="AO228" s="162"/>
      <c r="AP228" s="162"/>
      <c r="AQ228" s="162"/>
      <c r="AR228" s="162"/>
      <c r="AS228" s="162"/>
      <c r="AT228" s="162"/>
      <c r="AU228" s="162"/>
      <c r="AV228" s="162"/>
      <c r="AW228" s="162"/>
      <c r="AX228" s="162"/>
      <c r="AY228" s="162"/>
      <c r="AZ228" s="162"/>
      <c r="BA228" s="162"/>
    </row>
    <row r="229" spans="2:53" s="168" customFormat="1">
      <c r="B229" s="162"/>
      <c r="C229" s="162"/>
      <c r="AE229" s="162"/>
      <c r="AF229" s="162"/>
      <c r="AG229" s="162"/>
      <c r="AH229" s="162"/>
      <c r="AI229" s="162"/>
      <c r="AJ229" s="162"/>
      <c r="AK229" s="162"/>
      <c r="AL229" s="162"/>
      <c r="AN229" s="162"/>
      <c r="AO229" s="162"/>
      <c r="AP229" s="162"/>
      <c r="AQ229" s="162"/>
      <c r="AR229" s="162"/>
      <c r="AS229" s="162"/>
      <c r="AT229" s="162"/>
      <c r="AU229" s="162"/>
      <c r="AV229" s="162"/>
      <c r="AW229" s="162"/>
      <c r="AX229" s="162"/>
      <c r="AY229" s="162"/>
      <c r="AZ229" s="162"/>
      <c r="BA229" s="162"/>
    </row>
    <row r="230" spans="2:53" s="168" customFormat="1">
      <c r="B230" s="162"/>
      <c r="C230" s="162"/>
      <c r="AE230" s="162"/>
      <c r="AF230" s="162"/>
      <c r="AG230" s="162"/>
      <c r="AH230" s="162"/>
      <c r="AI230" s="162"/>
      <c r="AJ230" s="162"/>
      <c r="AK230" s="162"/>
      <c r="AL230" s="162"/>
      <c r="AN230" s="162"/>
      <c r="AO230" s="162"/>
      <c r="AP230" s="162"/>
      <c r="AQ230" s="162"/>
      <c r="AR230" s="162"/>
      <c r="AS230" s="162"/>
      <c r="AT230" s="162"/>
      <c r="AU230" s="162"/>
      <c r="AV230" s="162"/>
      <c r="AW230" s="162"/>
      <c r="AX230" s="162"/>
      <c r="AY230" s="162"/>
      <c r="AZ230" s="162"/>
      <c r="BA230" s="162"/>
    </row>
    <row r="231" spans="2:53" s="162" customFormat="1"/>
    <row r="232" spans="2:53" s="162" customFormat="1"/>
    <row r="233" spans="2:53" s="162" customFormat="1"/>
    <row r="234" spans="2:53" s="374" customFormat="1"/>
    <row r="235" spans="2:53" s="168" customFormat="1">
      <c r="B235" s="162"/>
      <c r="C235" s="162"/>
      <c r="AE235" s="162"/>
      <c r="AF235" s="162"/>
      <c r="AG235" s="162"/>
      <c r="AH235" s="162"/>
      <c r="AI235" s="162"/>
      <c r="AJ235" s="162"/>
      <c r="AK235" s="162"/>
      <c r="AL235" s="162"/>
      <c r="AN235" s="162"/>
      <c r="AO235" s="162"/>
      <c r="AP235" s="162"/>
      <c r="AQ235" s="162"/>
      <c r="AR235" s="162"/>
      <c r="AS235" s="162"/>
      <c r="AT235" s="162"/>
      <c r="AU235" s="162"/>
      <c r="AV235" s="162"/>
      <c r="AW235" s="162"/>
      <c r="AX235" s="162"/>
      <c r="AY235" s="162"/>
      <c r="AZ235" s="162"/>
      <c r="BA235" s="162"/>
    </row>
    <row r="236" spans="2:53" s="168" customFormat="1">
      <c r="B236" s="162"/>
      <c r="C236" s="162"/>
      <c r="AE236" s="162"/>
      <c r="AF236" s="162"/>
      <c r="AG236" s="162"/>
      <c r="AH236" s="162"/>
      <c r="AI236" s="162"/>
      <c r="AJ236" s="162"/>
      <c r="AK236" s="162"/>
      <c r="AL236" s="162"/>
      <c r="AN236" s="162"/>
      <c r="AO236" s="162"/>
      <c r="AP236" s="162"/>
      <c r="AQ236" s="162"/>
      <c r="AR236" s="162"/>
      <c r="AS236" s="162"/>
      <c r="AT236" s="162"/>
      <c r="AU236" s="162"/>
      <c r="AV236" s="162"/>
      <c r="AW236" s="162"/>
      <c r="AX236" s="162"/>
      <c r="AY236" s="162"/>
      <c r="AZ236" s="162"/>
      <c r="BA236" s="162"/>
    </row>
    <row r="237" spans="2:53" s="265" customFormat="1">
      <c r="B237" s="262"/>
      <c r="C237" s="262"/>
      <c r="AE237" s="262"/>
      <c r="AF237" s="262"/>
      <c r="AG237" s="262"/>
      <c r="AH237" s="262"/>
      <c r="AI237" s="262"/>
      <c r="AJ237" s="262"/>
      <c r="AK237" s="262"/>
      <c r="AL237" s="262"/>
      <c r="AN237" s="262"/>
      <c r="AO237" s="262"/>
      <c r="AP237" s="262"/>
      <c r="AQ237" s="262"/>
      <c r="AR237" s="262"/>
      <c r="AS237" s="262"/>
      <c r="AT237" s="262"/>
      <c r="AU237" s="262"/>
      <c r="AV237" s="262"/>
      <c r="AW237" s="262"/>
      <c r="AX237" s="262"/>
      <c r="AY237" s="262"/>
      <c r="AZ237" s="262"/>
      <c r="BA237" s="262"/>
    </row>
    <row r="238" spans="2:53" s="160" customFormat="1">
      <c r="B238" s="138"/>
      <c r="C238" s="138"/>
      <c r="AE238" s="138"/>
      <c r="AF238" s="138"/>
      <c r="AG238" s="138"/>
      <c r="AH238" s="138"/>
      <c r="AI238" s="138"/>
      <c r="AJ238" s="138"/>
      <c r="AK238" s="138"/>
      <c r="AL238" s="138"/>
      <c r="AN238" s="138"/>
      <c r="AO238" s="138"/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</row>
    <row r="239" spans="2:53" s="160" customFormat="1">
      <c r="B239" s="138"/>
      <c r="C239" s="138"/>
      <c r="AE239" s="138"/>
      <c r="AF239" s="138"/>
      <c r="AG239" s="138"/>
      <c r="AH239" s="138"/>
      <c r="AI239" s="138"/>
      <c r="AJ239" s="138"/>
      <c r="AK239" s="138"/>
      <c r="AL239" s="138"/>
      <c r="AN239" s="138"/>
      <c r="AO239" s="138"/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</row>
    <row r="240" spans="2:53" s="324" customFormat="1">
      <c r="B240" s="320"/>
      <c r="C240" s="320"/>
      <c r="AE240" s="320"/>
      <c r="AF240" s="320"/>
      <c r="AG240" s="320"/>
      <c r="AH240" s="320"/>
      <c r="AI240" s="320"/>
      <c r="AJ240" s="320"/>
      <c r="AK240" s="320"/>
      <c r="AL240" s="320"/>
      <c r="AN240" s="320"/>
      <c r="AO240" s="320"/>
      <c r="AP240" s="320"/>
      <c r="AQ240" s="320"/>
      <c r="AR240" s="320"/>
      <c r="AS240" s="320"/>
      <c r="AT240" s="320"/>
      <c r="AU240" s="320"/>
      <c r="AV240" s="320"/>
      <c r="AW240" s="320"/>
      <c r="AX240" s="320"/>
      <c r="AY240" s="320"/>
      <c r="AZ240" s="320"/>
      <c r="BA240" s="320"/>
    </row>
    <row r="241" spans="2:53" s="324" customFormat="1">
      <c r="B241" s="320"/>
      <c r="C241" s="320"/>
      <c r="AE241" s="320"/>
      <c r="AF241" s="320"/>
      <c r="AG241" s="320"/>
      <c r="AH241" s="320"/>
      <c r="AI241" s="320"/>
      <c r="AJ241" s="320"/>
      <c r="AK241" s="320"/>
      <c r="AL241" s="320"/>
      <c r="AN241" s="320"/>
      <c r="AO241" s="320"/>
      <c r="AP241" s="320"/>
      <c r="AQ241" s="320"/>
      <c r="AR241" s="320"/>
      <c r="AS241" s="320"/>
      <c r="AT241" s="320"/>
      <c r="AU241" s="320"/>
      <c r="AV241" s="320"/>
      <c r="AW241" s="320"/>
      <c r="AX241" s="320"/>
      <c r="AY241" s="320"/>
      <c r="AZ241" s="320"/>
      <c r="BA241" s="320"/>
    </row>
    <row r="242" spans="2:53" s="324" customFormat="1">
      <c r="B242" s="320"/>
      <c r="C242" s="320"/>
      <c r="AE242" s="320"/>
      <c r="AF242" s="320"/>
      <c r="AG242" s="320"/>
      <c r="AH242" s="320"/>
      <c r="AI242" s="320"/>
      <c r="AJ242" s="320"/>
      <c r="AK242" s="320"/>
      <c r="AL242" s="320"/>
      <c r="AN242" s="320"/>
      <c r="AO242" s="320"/>
      <c r="AP242" s="320"/>
      <c r="AQ242" s="320"/>
      <c r="AR242" s="320"/>
      <c r="AS242" s="320"/>
      <c r="AT242" s="320"/>
      <c r="AU242" s="320"/>
      <c r="AV242" s="320"/>
      <c r="AW242" s="320"/>
      <c r="AX242" s="320"/>
      <c r="AY242" s="320"/>
      <c r="AZ242" s="320"/>
      <c r="BA242" s="320"/>
    </row>
    <row r="243" spans="2:53" s="324" customFormat="1">
      <c r="B243" s="320"/>
      <c r="C243" s="320"/>
      <c r="AE243" s="320"/>
      <c r="AF243" s="320"/>
      <c r="AG243" s="320"/>
      <c r="AH243" s="320"/>
      <c r="AI243" s="320"/>
      <c r="AJ243" s="320"/>
      <c r="AK243" s="320"/>
      <c r="AL243" s="320"/>
      <c r="AN243" s="320"/>
      <c r="AO243" s="320"/>
      <c r="AP243" s="320"/>
      <c r="AQ243" s="320"/>
      <c r="AR243" s="320"/>
      <c r="AS243" s="320"/>
      <c r="AT243" s="320"/>
      <c r="AU243" s="320"/>
      <c r="AV243" s="320"/>
      <c r="AW243" s="320"/>
      <c r="AX243" s="320"/>
      <c r="AY243" s="320"/>
      <c r="AZ243" s="320"/>
      <c r="BA243" s="320"/>
    </row>
    <row r="244" spans="2:53" s="324" customFormat="1">
      <c r="B244" s="320"/>
      <c r="C244" s="320"/>
      <c r="AE244" s="320"/>
      <c r="AF244" s="320"/>
      <c r="AG244" s="320"/>
      <c r="AH244" s="320"/>
      <c r="AI244" s="320"/>
      <c r="AJ244" s="320"/>
      <c r="AK244" s="320"/>
      <c r="AL244" s="320"/>
      <c r="AN244" s="320"/>
      <c r="AO244" s="320"/>
      <c r="AP244" s="320"/>
      <c r="AQ244" s="320"/>
      <c r="AR244" s="320"/>
      <c r="AS244" s="320"/>
      <c r="AT244" s="320"/>
      <c r="AU244" s="320"/>
      <c r="AV244" s="320"/>
      <c r="AW244" s="320"/>
      <c r="AX244" s="320"/>
      <c r="AY244" s="320"/>
      <c r="AZ244" s="320"/>
      <c r="BA244" s="320"/>
    </row>
    <row r="245" spans="2:53" s="349" customFormat="1">
      <c r="B245" s="345"/>
      <c r="C245" s="345"/>
      <c r="AE245" s="345"/>
      <c r="AF245" s="345"/>
      <c r="AG245" s="345"/>
      <c r="AH245" s="345"/>
      <c r="AI245" s="345"/>
      <c r="AJ245" s="345"/>
      <c r="AK245" s="345"/>
      <c r="AL245" s="345"/>
      <c r="AN245" s="345"/>
      <c r="AO245" s="345"/>
      <c r="AP245" s="345"/>
      <c r="AQ245" s="345"/>
      <c r="AR245" s="345"/>
      <c r="AS245" s="345"/>
      <c r="AT245" s="345"/>
      <c r="AU245" s="345"/>
      <c r="AV245" s="345"/>
      <c r="AW245" s="345"/>
      <c r="AX245" s="345"/>
      <c r="AY245" s="345"/>
      <c r="AZ245" s="345"/>
      <c r="BA245" s="345"/>
    </row>
    <row r="246" spans="2:53" s="349" customFormat="1">
      <c r="B246" s="345"/>
      <c r="C246" s="345"/>
      <c r="AE246" s="345"/>
      <c r="AF246" s="345"/>
      <c r="AG246" s="345"/>
      <c r="AH246" s="345"/>
      <c r="AI246" s="345"/>
      <c r="AJ246" s="345"/>
      <c r="AK246" s="345"/>
      <c r="AL246" s="345"/>
      <c r="AN246" s="345"/>
      <c r="AO246" s="345"/>
      <c r="AP246" s="345"/>
      <c r="AQ246" s="345"/>
      <c r="AR246" s="345"/>
      <c r="AS246" s="345"/>
      <c r="AT246" s="345"/>
      <c r="AU246" s="345"/>
      <c r="AV246" s="345"/>
      <c r="AW246" s="345"/>
      <c r="AX246" s="345"/>
      <c r="AY246" s="345"/>
      <c r="AZ246" s="345"/>
      <c r="BA246" s="345"/>
    </row>
    <row r="247" spans="2:53" s="349" customFormat="1">
      <c r="B247" s="345"/>
      <c r="C247" s="345"/>
      <c r="AE247" s="345"/>
      <c r="AF247" s="345"/>
      <c r="AG247" s="345"/>
      <c r="AH247" s="345"/>
      <c r="AI247" s="345"/>
      <c r="AJ247" s="345"/>
      <c r="AK247" s="345"/>
      <c r="AL247" s="345"/>
      <c r="AN247" s="345"/>
      <c r="AO247" s="345"/>
      <c r="AP247" s="345"/>
      <c r="AQ247" s="345"/>
      <c r="AR247" s="345"/>
      <c r="AS247" s="345"/>
      <c r="AT247" s="345"/>
      <c r="AU247" s="345"/>
      <c r="AV247" s="345"/>
      <c r="AW247" s="345"/>
      <c r="AX247" s="345"/>
      <c r="AY247" s="345"/>
      <c r="AZ247" s="345"/>
      <c r="BA247" s="345"/>
    </row>
    <row r="248" spans="2:53" s="349" customFormat="1">
      <c r="B248" s="345"/>
      <c r="C248" s="345"/>
      <c r="AE248" s="345"/>
      <c r="AF248" s="345"/>
      <c r="AG248" s="345"/>
      <c r="AH248" s="345"/>
      <c r="AI248" s="345"/>
      <c r="AJ248" s="345"/>
      <c r="AK248" s="345"/>
      <c r="AL248" s="345"/>
      <c r="AN248" s="345"/>
      <c r="AO248" s="345"/>
      <c r="AP248" s="345"/>
      <c r="AQ248" s="345"/>
      <c r="AR248" s="345"/>
      <c r="AS248" s="345"/>
      <c r="AT248" s="345"/>
      <c r="AU248" s="345"/>
      <c r="AV248" s="345"/>
      <c r="AW248" s="345"/>
      <c r="AX248" s="345"/>
      <c r="AY248" s="345"/>
      <c r="AZ248" s="345"/>
      <c r="BA248" s="345"/>
    </row>
    <row r="249" spans="2:53" s="349" customFormat="1">
      <c r="B249" s="345"/>
      <c r="C249" s="345"/>
      <c r="AE249" s="345"/>
      <c r="AF249" s="345"/>
      <c r="AG249" s="345"/>
      <c r="AH249" s="345"/>
      <c r="AI249" s="345"/>
      <c r="AJ249" s="345"/>
      <c r="AK249" s="345"/>
      <c r="AL249" s="345"/>
      <c r="AN249" s="345"/>
      <c r="AO249" s="345"/>
      <c r="AP249" s="345"/>
      <c r="AQ249" s="345"/>
      <c r="AR249" s="345"/>
      <c r="AS249" s="345"/>
      <c r="AT249" s="345"/>
      <c r="AU249" s="345"/>
      <c r="AV249" s="345"/>
      <c r="AW249" s="345"/>
      <c r="AX249" s="345"/>
      <c r="AY249" s="345"/>
      <c r="AZ249" s="345"/>
      <c r="BA249" s="345"/>
    </row>
    <row r="250" spans="2:53" s="349" customFormat="1">
      <c r="B250" s="345"/>
      <c r="C250" s="345"/>
      <c r="AE250" s="345"/>
      <c r="AF250" s="345"/>
      <c r="AG250" s="345"/>
      <c r="AH250" s="345"/>
      <c r="AI250" s="345"/>
      <c r="AJ250" s="345"/>
      <c r="AK250" s="345"/>
      <c r="AL250" s="345"/>
      <c r="AN250" s="345"/>
      <c r="AO250" s="345"/>
      <c r="AP250" s="345"/>
      <c r="AQ250" s="345"/>
      <c r="AR250" s="345"/>
      <c r="AS250" s="345"/>
      <c r="AT250" s="345"/>
      <c r="AU250" s="345"/>
      <c r="AV250" s="345"/>
      <c r="AW250" s="345"/>
      <c r="AX250" s="345"/>
      <c r="AY250" s="345"/>
      <c r="AZ250" s="345"/>
      <c r="BA250" s="345"/>
    </row>
    <row r="251" spans="2:53" s="349" customFormat="1">
      <c r="B251" s="345"/>
      <c r="C251" s="345"/>
      <c r="AE251" s="345"/>
      <c r="AF251" s="345"/>
      <c r="AG251" s="345"/>
      <c r="AH251" s="345"/>
      <c r="AI251" s="345"/>
      <c r="AJ251" s="345"/>
      <c r="AK251" s="345"/>
      <c r="AL251" s="345"/>
      <c r="AN251" s="345"/>
      <c r="AO251" s="345"/>
      <c r="AP251" s="345"/>
      <c r="AQ251" s="345"/>
      <c r="AR251" s="345"/>
      <c r="AS251" s="345"/>
      <c r="AT251" s="345"/>
      <c r="AU251" s="345"/>
      <c r="AV251" s="345"/>
      <c r="AW251" s="345"/>
      <c r="AX251" s="345"/>
      <c r="AY251" s="345"/>
      <c r="AZ251" s="345"/>
      <c r="BA251" s="345"/>
    </row>
    <row r="252" spans="2:53" s="168" customFormat="1">
      <c r="B252" s="162"/>
      <c r="C252" s="162"/>
      <c r="AE252" s="162"/>
      <c r="AF252" s="162"/>
      <c r="AG252" s="162"/>
      <c r="AH252" s="162"/>
      <c r="AI252" s="162"/>
      <c r="AJ252" s="162"/>
      <c r="AK252" s="162"/>
      <c r="AL252" s="162"/>
      <c r="AN252" s="162"/>
      <c r="AO252" s="162"/>
      <c r="AP252" s="162"/>
      <c r="AQ252" s="162"/>
      <c r="AR252" s="162"/>
      <c r="AS252" s="162"/>
      <c r="AT252" s="162"/>
      <c r="AU252" s="162"/>
      <c r="AV252" s="162"/>
      <c r="AW252" s="162"/>
      <c r="AX252" s="162"/>
      <c r="AY252" s="162"/>
      <c r="AZ252" s="162"/>
      <c r="BA252" s="162"/>
    </row>
    <row r="253" spans="2:53" s="168" customFormat="1">
      <c r="B253" s="162"/>
      <c r="C253" s="162"/>
      <c r="AE253" s="162"/>
      <c r="AF253" s="162"/>
      <c r="AG253" s="162"/>
      <c r="AH253" s="162"/>
      <c r="AI253" s="162"/>
      <c r="AJ253" s="162"/>
      <c r="AK253" s="162"/>
      <c r="AL253" s="162"/>
      <c r="AN253" s="162"/>
      <c r="AO253" s="162"/>
      <c r="AP253" s="162"/>
      <c r="AQ253" s="162"/>
      <c r="AR253" s="162"/>
      <c r="AS253" s="162"/>
      <c r="AT253" s="162"/>
      <c r="AU253" s="162"/>
      <c r="AV253" s="162"/>
      <c r="AW253" s="162"/>
      <c r="AX253" s="162"/>
      <c r="AY253" s="162"/>
      <c r="AZ253" s="162"/>
      <c r="BA253" s="162"/>
    </row>
    <row r="254" spans="2:53" s="168" customFormat="1">
      <c r="B254" s="162"/>
      <c r="C254" s="162"/>
      <c r="AE254" s="162"/>
      <c r="AF254" s="162"/>
      <c r="AG254" s="162"/>
      <c r="AH254" s="162"/>
      <c r="AI254" s="162"/>
      <c r="AJ254" s="162"/>
      <c r="AK254" s="162"/>
      <c r="AL254" s="162"/>
      <c r="AN254" s="162"/>
      <c r="AO254" s="162"/>
      <c r="AP254" s="162"/>
      <c r="AQ254" s="162"/>
      <c r="AR254" s="162"/>
      <c r="AS254" s="162"/>
      <c r="AT254" s="162"/>
      <c r="AU254" s="162"/>
      <c r="AV254" s="162"/>
      <c r="AW254" s="162"/>
      <c r="AX254" s="162"/>
      <c r="AY254" s="162"/>
      <c r="AZ254" s="162"/>
      <c r="BA254" s="162"/>
    </row>
    <row r="255" spans="2:53" s="168" customFormat="1">
      <c r="B255" s="162"/>
      <c r="C255" s="162"/>
      <c r="AE255" s="162"/>
      <c r="AF255" s="162"/>
      <c r="AG255" s="162"/>
      <c r="AH255" s="162"/>
      <c r="AI255" s="162"/>
      <c r="AJ255" s="162"/>
      <c r="AK255" s="162"/>
      <c r="AL255" s="162"/>
      <c r="AN255" s="162"/>
      <c r="AO255" s="162"/>
      <c r="AP255" s="162"/>
      <c r="AQ255" s="162"/>
      <c r="AR255" s="162"/>
      <c r="AS255" s="162"/>
      <c r="AT255" s="162"/>
      <c r="AU255" s="162"/>
      <c r="AV255" s="162"/>
      <c r="AW255" s="162"/>
      <c r="AX255" s="162"/>
      <c r="AY255" s="162"/>
      <c r="AZ255" s="162"/>
      <c r="BA255" s="162"/>
    </row>
    <row r="256" spans="2:53" s="349" customFormat="1">
      <c r="B256" s="345"/>
      <c r="C256" s="345"/>
      <c r="AE256" s="345"/>
      <c r="AF256" s="345"/>
      <c r="AG256" s="345"/>
      <c r="AH256" s="345"/>
      <c r="AI256" s="345"/>
      <c r="AJ256" s="345"/>
      <c r="AK256" s="345"/>
      <c r="AL256" s="345"/>
      <c r="AN256" s="345"/>
      <c r="AO256" s="345"/>
      <c r="AP256" s="345"/>
      <c r="AQ256" s="345"/>
      <c r="AR256" s="345"/>
      <c r="AS256" s="345"/>
      <c r="AT256" s="345"/>
      <c r="AU256" s="345"/>
      <c r="AV256" s="345"/>
      <c r="AW256" s="345"/>
      <c r="AX256" s="345"/>
      <c r="AY256" s="345"/>
      <c r="AZ256" s="345"/>
      <c r="BA256" s="345"/>
    </row>
    <row r="257" spans="2:53" s="349" customFormat="1">
      <c r="B257" s="345"/>
      <c r="C257" s="345"/>
      <c r="AE257" s="345"/>
      <c r="AF257" s="345"/>
      <c r="AG257" s="345"/>
      <c r="AH257" s="345"/>
      <c r="AI257" s="345"/>
      <c r="AJ257" s="345"/>
      <c r="AK257" s="345"/>
      <c r="AL257" s="345"/>
      <c r="AN257" s="345"/>
      <c r="AO257" s="345"/>
      <c r="AP257" s="345"/>
      <c r="AQ257" s="345"/>
      <c r="AR257" s="345"/>
      <c r="AS257" s="345"/>
      <c r="AT257" s="345"/>
      <c r="AU257" s="345"/>
      <c r="AV257" s="345"/>
      <c r="AW257" s="345"/>
      <c r="AX257" s="345"/>
      <c r="AY257" s="345"/>
      <c r="AZ257" s="345"/>
      <c r="BA257" s="345"/>
    </row>
    <row r="258" spans="2:53" s="349" customFormat="1">
      <c r="B258" s="345"/>
      <c r="C258" s="345"/>
      <c r="AE258" s="345"/>
      <c r="AF258" s="345"/>
      <c r="AG258" s="345"/>
      <c r="AH258" s="345"/>
      <c r="AI258" s="345"/>
      <c r="AJ258" s="345"/>
      <c r="AK258" s="345"/>
      <c r="AL258" s="345"/>
      <c r="AN258" s="345"/>
      <c r="AO258" s="345"/>
      <c r="AP258" s="345"/>
      <c r="AQ258" s="345"/>
      <c r="AR258" s="345"/>
      <c r="AS258" s="345"/>
      <c r="AT258" s="345"/>
      <c r="AU258" s="345"/>
      <c r="AV258" s="345"/>
      <c r="AW258" s="345"/>
      <c r="AX258" s="345"/>
      <c r="AY258" s="345"/>
      <c r="AZ258" s="345"/>
      <c r="BA258" s="345"/>
    </row>
    <row r="259" spans="2:53" s="168" customFormat="1">
      <c r="B259" s="162"/>
      <c r="C259" s="162"/>
      <c r="AE259" s="162"/>
      <c r="AF259" s="162"/>
      <c r="AG259" s="162"/>
      <c r="AH259" s="162"/>
      <c r="AI259" s="162"/>
      <c r="AJ259" s="162"/>
      <c r="AK259" s="162"/>
      <c r="AL259" s="162"/>
      <c r="AN259" s="162"/>
      <c r="AO259" s="162"/>
      <c r="AP259" s="162"/>
      <c r="AQ259" s="162"/>
      <c r="AR259" s="162"/>
      <c r="AS259" s="162"/>
      <c r="AT259" s="162"/>
      <c r="AU259" s="162"/>
      <c r="AV259" s="162"/>
      <c r="AW259" s="162"/>
      <c r="AX259" s="162"/>
      <c r="AY259" s="162"/>
      <c r="AZ259" s="162"/>
      <c r="BA259" s="162"/>
    </row>
    <row r="260" spans="2:53" s="168" customFormat="1">
      <c r="B260" s="162"/>
      <c r="C260" s="162"/>
      <c r="AE260" s="162"/>
      <c r="AF260" s="162"/>
      <c r="AG260" s="162"/>
      <c r="AH260" s="162"/>
      <c r="AI260" s="162"/>
      <c r="AJ260" s="162"/>
      <c r="AK260" s="162"/>
      <c r="AL260" s="162"/>
      <c r="AN260" s="162"/>
      <c r="AO260" s="162"/>
      <c r="AP260" s="162"/>
      <c r="AQ260" s="162"/>
      <c r="AR260" s="162"/>
      <c r="AS260" s="162"/>
      <c r="AT260" s="162"/>
      <c r="AU260" s="162"/>
      <c r="AV260" s="162"/>
      <c r="AW260" s="162"/>
      <c r="AX260" s="162"/>
      <c r="AY260" s="162"/>
      <c r="AZ260" s="162"/>
      <c r="BA260" s="162"/>
    </row>
    <row r="261" spans="2:53" s="168" customFormat="1">
      <c r="B261" s="162"/>
      <c r="C261" s="162"/>
      <c r="AE261" s="162"/>
      <c r="AF261" s="162"/>
      <c r="AG261" s="162"/>
      <c r="AH261" s="162"/>
      <c r="AI261" s="162"/>
      <c r="AJ261" s="162"/>
      <c r="AK261" s="162"/>
      <c r="AL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</row>
    <row r="262" spans="2:53" s="168" customFormat="1">
      <c r="B262" s="162"/>
      <c r="C262" s="162"/>
      <c r="AE262" s="162"/>
      <c r="AF262" s="162"/>
      <c r="AG262" s="162"/>
      <c r="AH262" s="162"/>
      <c r="AI262" s="162"/>
      <c r="AJ262" s="162"/>
      <c r="AK262" s="162"/>
      <c r="AL262" s="162"/>
      <c r="AN262" s="162"/>
      <c r="AO262" s="162"/>
      <c r="AP262" s="162"/>
      <c r="AQ262" s="162"/>
      <c r="AR262" s="162"/>
      <c r="AS262" s="162"/>
      <c r="AT262" s="162"/>
      <c r="AU262" s="162"/>
      <c r="AV262" s="162"/>
      <c r="AW262" s="162"/>
      <c r="AX262" s="162"/>
      <c r="AY262" s="162"/>
      <c r="AZ262" s="162"/>
      <c r="BA262" s="162"/>
    </row>
    <row r="263" spans="2:53" s="160" customFormat="1">
      <c r="B263" s="138"/>
      <c r="C263" s="138"/>
      <c r="AE263" s="138"/>
      <c r="AF263" s="138"/>
      <c r="AG263" s="138"/>
      <c r="AH263" s="138"/>
      <c r="AI263" s="138"/>
      <c r="AJ263" s="138"/>
      <c r="AK263" s="138"/>
      <c r="AL263" s="138"/>
      <c r="AN263" s="138"/>
      <c r="AO263" s="138"/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</row>
    <row r="264" spans="2:53" customFormat="1" ht="12"/>
  </sheetData>
  <dataConsolidate/>
  <pageMargins left="0" right="0" top="0" bottom="0" header="0" footer="0"/>
  <pageSetup scale="67" fitToHeight="0" orientation="landscape" r:id="rId1"/>
  <headerFooter alignWithMargins="0"/>
  <ignoredErrors>
    <ignoredError sqref="A4:XFD5 A112:XFD113 A77:AD77 AN77:AT77 A62:XFD62 A58:AD58 AI58:AL58 A78:AG78 AM78:XFD78 AV77:XFD77 A35:XFD37 A34:AH34 AJ34:XFD34 A39:XFD39 A38:AT38 AV38:XFD38 A66:XFD72 A63:AH63 AM63:AU63 AW63:XFD63 A118:XFD263 A117:AJ117 AL117:AT117 A114:AT116 AW114:XFD114 A79:XFD87 A73:AH73 AM73:XFD73 AW117:XFD117 AX115:XFD115 AX116:XFD116 AN58:BB58 A19:XFD20 A18:AH18 AM18:AU18 BB18:XFD18 A1:A3 C1:XFD3 A7:XFD8 A6:AH6 AM6:AV6 A10:XFD11 A9:AH9 AM9:AV9 A13:XFD14 A12:AH12 AM12:AV12 A16:XFD17 A15:AH15 AM15:AV15 BB6:XFD6 BB9:XFD9 BB12:XFD12 BB15:XFD15 A22:XFD23 A21:AH21 AM21:AV21 A25:XFD33 A24:AH24 AM24:AV24 BB21:XFD21 BB24:XFD24 A41:AD41 A40:AT40 AV40:XFD40 A43:AD43 A42:AD42 AV42:XFD42 A45:AD45 A44:AD44 AV44:XFD44 A47:AD47 A46:AD46 AV46:XFD46 A49:AD49 A48:AD48 AV48:XFD48 A52:XFD53 A50:AD50 AV50:XFD50 A51:AD51 AF51:AT51 AF41:AT41 AF43:AT43 AF42:AT42 AF45:AT45 AF44:AT44 AF47:AT47 AF46:AT46 AF49:AT49 AF48:AT48 AF50:AT50 A54:AU54 BA54:BB54 A64:AH64 AJ64:XFD64 A65:AH65 AJ65:BB65 AV41:XFD41 AV43:XFD43 AV45:XFD45 AV47:XFD47 AV49:XFD49 AV51:XFD51 BF54:XFD54 BF58:XFD58 A59:BB59 BF59:XFD59 A60:BB60 BF60:XFD60 A61:BB61 BF61:XFD61 BD65:XFD65 A265:XFD1048576" unlockedFormula="1"/>
  </ignoredError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2:AB42"/>
  <sheetViews>
    <sheetView showGridLines="0" zoomScale="85" zoomScaleNormal="85" workbookViewId="0">
      <selection activeCell="O5" sqref="O5:AB16"/>
    </sheetView>
  </sheetViews>
  <sheetFormatPr defaultRowHeight="15" outlineLevelCol="1"/>
  <cols>
    <col min="1" max="2" width="3.140625" style="480" customWidth="1"/>
    <col min="3" max="3" width="38.85546875" style="480" bestFit="1" customWidth="1"/>
    <col min="4" max="4" width="10.28515625" style="480" hidden="1" customWidth="1" outlineLevel="1"/>
    <col min="5" max="5" width="10.28515625" style="480" customWidth="1" collapsed="1"/>
    <col min="6" max="6" width="10.28515625" style="480" customWidth="1"/>
    <col min="7" max="10" width="10.28515625" style="480" hidden="1" customWidth="1" outlineLevel="1"/>
    <col min="11" max="11" width="10.28515625" style="480" customWidth="1" collapsed="1"/>
    <col min="12" max="12" width="10.28515625" style="480" customWidth="1"/>
    <col min="13" max="15" width="3.140625" style="480" customWidth="1"/>
    <col min="16" max="16" width="38.85546875" style="480" bestFit="1" customWidth="1"/>
    <col min="17" max="25" width="10.28515625" style="480" customWidth="1"/>
    <col min="26" max="27" width="10.28515625" style="480" hidden="1" customWidth="1" outlineLevel="1"/>
    <col min="28" max="28" width="3.140625" style="480" customWidth="1" collapsed="1"/>
    <col min="29" max="29" width="3.140625" style="480" customWidth="1"/>
    <col min="30" max="16384" width="9.140625" style="480"/>
  </cols>
  <sheetData>
    <row r="2" spans="2:28">
      <c r="B2" s="479" t="s">
        <v>240</v>
      </c>
      <c r="O2" s="479"/>
    </row>
    <row r="3" spans="2:28">
      <c r="B3" s="479" t="s">
        <v>219</v>
      </c>
      <c r="O3" s="479"/>
    </row>
    <row r="4" spans="2:28" ht="15.75" thickBot="1"/>
    <row r="5" spans="2:28">
      <c r="B5" s="481"/>
      <c r="C5" s="482"/>
      <c r="D5" s="482"/>
      <c r="E5" s="482"/>
      <c r="F5" s="482"/>
      <c r="G5" s="482"/>
      <c r="H5" s="482"/>
      <c r="I5" s="482"/>
      <c r="J5" s="482"/>
      <c r="K5" s="482"/>
      <c r="L5" s="482"/>
      <c r="M5" s="483"/>
      <c r="O5" s="481"/>
      <c r="P5" s="482"/>
      <c r="Q5" s="482"/>
      <c r="R5" s="482"/>
      <c r="S5" s="482"/>
      <c r="T5" s="482"/>
      <c r="U5" s="482"/>
      <c r="V5" s="482"/>
      <c r="W5" s="482"/>
      <c r="X5" s="482"/>
      <c r="Y5" s="482"/>
      <c r="Z5" s="482"/>
      <c r="AA5" s="482"/>
      <c r="AB5" s="483"/>
    </row>
    <row r="6" spans="2:28">
      <c r="B6" s="484"/>
      <c r="C6" s="767" t="s">
        <v>58</v>
      </c>
      <c r="D6" s="770" t="s">
        <v>288</v>
      </c>
      <c r="E6" s="765" t="s">
        <v>221</v>
      </c>
      <c r="F6" s="765" t="s">
        <v>222</v>
      </c>
      <c r="G6" s="771" t="s">
        <v>223</v>
      </c>
      <c r="H6" s="773"/>
      <c r="I6" s="771" t="s">
        <v>224</v>
      </c>
      <c r="J6" s="772"/>
      <c r="K6" s="771" t="s">
        <v>225</v>
      </c>
      <c r="L6" s="772"/>
      <c r="M6" s="485"/>
      <c r="O6" s="484"/>
      <c r="P6" s="767" t="s">
        <v>226</v>
      </c>
      <c r="Q6" s="765" t="s">
        <v>286</v>
      </c>
      <c r="R6" s="765"/>
      <c r="S6" s="770"/>
      <c r="T6" s="765" t="s">
        <v>287</v>
      </c>
      <c r="U6" s="765"/>
      <c r="V6" s="770"/>
      <c r="W6" s="768" t="s">
        <v>238</v>
      </c>
      <c r="X6" s="765" t="s">
        <v>221</v>
      </c>
      <c r="Y6" s="765" t="s">
        <v>222</v>
      </c>
      <c r="Z6" s="766" t="s">
        <v>225</v>
      </c>
      <c r="AA6" s="765"/>
      <c r="AB6" s="485"/>
    </row>
    <row r="7" spans="2:28">
      <c r="B7" s="484"/>
      <c r="C7" s="767"/>
      <c r="D7" s="770"/>
      <c r="E7" s="765"/>
      <c r="F7" s="765"/>
      <c r="G7" s="486" t="s">
        <v>230</v>
      </c>
      <c r="H7" s="601" t="s">
        <v>231</v>
      </c>
      <c r="I7" s="486" t="s">
        <v>230</v>
      </c>
      <c r="J7" s="487" t="s">
        <v>231</v>
      </c>
      <c r="K7" s="486" t="s">
        <v>232</v>
      </c>
      <c r="L7" s="487" t="s">
        <v>233</v>
      </c>
      <c r="M7" s="485"/>
      <c r="O7" s="484"/>
      <c r="P7" s="767"/>
      <c r="Q7" s="729" t="s">
        <v>227</v>
      </c>
      <c r="R7" s="729" t="s">
        <v>228</v>
      </c>
      <c r="S7" s="730" t="s">
        <v>229</v>
      </c>
      <c r="T7" s="729" t="s">
        <v>227</v>
      </c>
      <c r="U7" s="729" t="s">
        <v>228</v>
      </c>
      <c r="V7" s="730" t="s">
        <v>229</v>
      </c>
      <c r="W7" s="769"/>
      <c r="X7" s="765"/>
      <c r="Y7" s="765"/>
      <c r="Z7" s="722" t="s">
        <v>232</v>
      </c>
      <c r="AA7" s="717" t="s">
        <v>233</v>
      </c>
      <c r="AB7" s="485"/>
    </row>
    <row r="8" spans="2:28">
      <c r="B8" s="484"/>
      <c r="C8" s="488"/>
      <c r="D8" s="485"/>
      <c r="E8" s="488"/>
      <c r="F8" s="488"/>
      <c r="G8" s="484"/>
      <c r="H8" s="485"/>
      <c r="I8" s="484"/>
      <c r="J8" s="488"/>
      <c r="K8" s="484"/>
      <c r="L8" s="488"/>
      <c r="M8" s="485"/>
      <c r="O8" s="484"/>
      <c r="P8" s="488"/>
      <c r="Q8" s="488"/>
      <c r="R8" s="488"/>
      <c r="S8" s="485"/>
      <c r="T8" s="488"/>
      <c r="U8" s="488"/>
      <c r="V8" s="485"/>
      <c r="W8" s="731"/>
      <c r="X8" s="710"/>
      <c r="Y8" s="488"/>
      <c r="Z8" s="484"/>
      <c r="AA8" s="488"/>
      <c r="AB8" s="485"/>
    </row>
    <row r="9" spans="2:28">
      <c r="B9" s="484"/>
      <c r="C9" s="597" t="s">
        <v>207</v>
      </c>
      <c r="D9" s="598">
        <v>1289</v>
      </c>
      <c r="E9" s="578">
        <v>1246.5830000000001</v>
      </c>
      <c r="F9" s="578">
        <f>Financials!AI6</f>
        <v>1302.98</v>
      </c>
      <c r="G9" s="586">
        <f>$D9-E9</f>
        <v>42.416999999999916</v>
      </c>
      <c r="H9" s="590">
        <f>$D9-F9</f>
        <v>-13.980000000000018</v>
      </c>
      <c r="I9" s="587">
        <f>$D9/E9-1</f>
        <v>3.4026615155188233E-2</v>
      </c>
      <c r="J9" s="588">
        <f>$D9/F9-1</f>
        <v>-1.0729251408310159E-2</v>
      </c>
      <c r="K9" s="589">
        <f>F9-E9</f>
        <v>56.396999999999935</v>
      </c>
      <c r="L9" s="588">
        <f>F9/E9-1</f>
        <v>4.5241271539881334E-2</v>
      </c>
      <c r="M9" s="599"/>
      <c r="O9" s="484"/>
      <c r="P9" s="489" t="s">
        <v>207</v>
      </c>
      <c r="Q9" s="490">
        <v>4900</v>
      </c>
      <c r="R9" s="491">
        <f>AVERAGE(Q9,S9)</f>
        <v>5000</v>
      </c>
      <c r="S9" s="492">
        <v>5100</v>
      </c>
      <c r="T9" s="490">
        <f>4500*(1+0.019+0.02)</f>
        <v>4675.5</v>
      </c>
      <c r="U9" s="491">
        <f>AVERAGE(T9,V9)</f>
        <v>4698</v>
      </c>
      <c r="V9" s="492">
        <f>4500*(1+0.019+0.03)</f>
        <v>4720.5</v>
      </c>
      <c r="W9" s="733">
        <f>R9-U9</f>
        <v>302</v>
      </c>
      <c r="X9" s="490">
        <v>5039.6149999999998</v>
      </c>
      <c r="Y9" s="490">
        <f>Financials!AV6</f>
        <v>5119.9350000000004</v>
      </c>
      <c r="Z9" s="724">
        <f>Y9-X9</f>
        <v>80.320000000000618</v>
      </c>
      <c r="AA9" s="499">
        <f>Y9/X9-1</f>
        <v>1.5937725401642844E-2</v>
      </c>
      <c r="AB9" s="485"/>
    </row>
    <row r="10" spans="2:28">
      <c r="B10" s="484"/>
      <c r="C10" s="510" t="s">
        <v>90</v>
      </c>
      <c r="D10" s="511">
        <v>1032</v>
      </c>
      <c r="E10" s="512">
        <f>E9-E11</f>
        <v>990.62211261000004</v>
      </c>
      <c r="F10" s="561">
        <f>Financials!AI8</f>
        <v>1039.149294026377</v>
      </c>
      <c r="G10" s="579">
        <f>$D10-E10</f>
        <v>41.377887389999955</v>
      </c>
      <c r="H10" s="602">
        <f t="shared" ref="H10:H12" si="0">$D10-F10</f>
        <v>-7.1492940263769924</v>
      </c>
      <c r="I10" s="580"/>
      <c r="J10" s="581"/>
      <c r="K10" s="582">
        <f>F10-E10</f>
        <v>48.527181416376948</v>
      </c>
      <c r="L10" s="581">
        <f>F10/E10-1</f>
        <v>4.8986571971951998E-2</v>
      </c>
      <c r="M10" s="583"/>
      <c r="O10" s="484"/>
      <c r="P10" s="489" t="s">
        <v>96</v>
      </c>
      <c r="Q10" s="491">
        <f>Q9*Q11</f>
        <v>597.79999999999995</v>
      </c>
      <c r="R10" s="491">
        <f t="shared" ref="R10:S10" si="1">R9*R11</f>
        <v>615</v>
      </c>
      <c r="S10" s="516">
        <f t="shared" si="1"/>
        <v>632.4</v>
      </c>
      <c r="T10" s="491">
        <f>T9*T11</f>
        <v>579.76199999999994</v>
      </c>
      <c r="U10" s="491">
        <f t="shared" ref="U10:V10" si="2">U9*U11</f>
        <v>584.90099999999995</v>
      </c>
      <c r="V10" s="516">
        <f t="shared" si="2"/>
        <v>590.0625</v>
      </c>
      <c r="W10" s="733">
        <f t="shared" ref="W10:W15" si="3">R10-U10</f>
        <v>30.099000000000046</v>
      </c>
      <c r="X10" s="490">
        <v>590.22199999999998</v>
      </c>
      <c r="Y10" s="490">
        <f>Financials!AV16</f>
        <v>633.72955500000012</v>
      </c>
      <c r="Z10" s="724">
        <f>Y10-X10</f>
        <v>43.507555000000139</v>
      </c>
      <c r="AA10" s="499">
        <f t="shared" ref="AA10:AA15" si="4">Y10/X10-1</f>
        <v>7.3713882234142547E-2</v>
      </c>
      <c r="AB10" s="497"/>
    </row>
    <row r="11" spans="2:28">
      <c r="B11" s="484"/>
      <c r="C11" s="584" t="s">
        <v>91</v>
      </c>
      <c r="D11" s="577">
        <f>D9-D10</f>
        <v>257</v>
      </c>
      <c r="E11" s="585">
        <f>E9*E12</f>
        <v>255.96088739000004</v>
      </c>
      <c r="F11" s="585">
        <f>F9-F10</f>
        <v>263.83070597362303</v>
      </c>
      <c r="G11" s="586">
        <f>$D11-E11</f>
        <v>1.039112609999961</v>
      </c>
      <c r="H11" s="590">
        <f t="shared" si="0"/>
        <v>-6.8307059736230258</v>
      </c>
      <c r="I11" s="587">
        <f t="shared" ref="I11" si="5">$D11/E11-1</f>
        <v>4.0596538814803296E-3</v>
      </c>
      <c r="J11" s="588">
        <f>$D11/F11-1</f>
        <v>-2.5890488934619871E-2</v>
      </c>
      <c r="K11" s="589">
        <f>F11-E11</f>
        <v>7.8698185836229868</v>
      </c>
      <c r="L11" s="588">
        <f>F11/E11-1</f>
        <v>3.0746176354795818E-2</v>
      </c>
      <c r="M11" s="590"/>
      <c r="O11" s="484"/>
      <c r="P11" s="498" t="s">
        <v>28</v>
      </c>
      <c r="Q11" s="500">
        <v>0.122</v>
      </c>
      <c r="R11" s="499">
        <f>AVERAGE(Q11,S11)</f>
        <v>0.123</v>
      </c>
      <c r="S11" s="504">
        <v>0.124</v>
      </c>
      <c r="T11" s="500">
        <f>0.12+0.004</f>
        <v>0.124</v>
      </c>
      <c r="U11" s="499">
        <f>AVERAGE(T11,V11)</f>
        <v>0.1245</v>
      </c>
      <c r="V11" s="504">
        <f>0.12+0.005</f>
        <v>0.125</v>
      </c>
      <c r="W11" s="732">
        <f t="shared" si="3"/>
        <v>-1.5000000000000013E-3</v>
      </c>
      <c r="X11" s="499">
        <f>X10/X9</f>
        <v>0.11711648608078197</v>
      </c>
      <c r="Y11" s="499">
        <f>Y10/Y9</f>
        <v>0.12377687509704714</v>
      </c>
      <c r="Z11" s="723">
        <f>Y11-X11</f>
        <v>6.6603890162651724E-3</v>
      </c>
      <c r="AA11" s="499"/>
      <c r="AB11" s="485"/>
    </row>
    <row r="12" spans="2:28">
      <c r="B12" s="484"/>
      <c r="C12" s="591" t="s">
        <v>92</v>
      </c>
      <c r="D12" s="583">
        <f>D11/D9</f>
        <v>0.19937936384794414</v>
      </c>
      <c r="E12" s="592">
        <v>0.20533000000000001</v>
      </c>
      <c r="F12" s="594">
        <f>F11/F9</f>
        <v>0.20248254460822349</v>
      </c>
      <c r="G12" s="593">
        <f>$D12-E12</f>
        <v>-5.950636152055877E-3</v>
      </c>
      <c r="H12" s="583">
        <f t="shared" si="0"/>
        <v>-3.1031807602793504E-3</v>
      </c>
      <c r="I12" s="593"/>
      <c r="J12" s="594"/>
      <c r="K12" s="593">
        <f>F12-E12</f>
        <v>-2.8474553917765266E-3</v>
      </c>
      <c r="L12" s="594"/>
      <c r="M12" s="583"/>
      <c r="O12" s="484"/>
      <c r="P12" s="489" t="s">
        <v>234</v>
      </c>
      <c r="Q12" s="501">
        <v>4.5</v>
      </c>
      <c r="R12" s="502">
        <f>AVERAGE(Q12,S12)</f>
        <v>4.6500000000000004</v>
      </c>
      <c r="S12" s="503">
        <v>4.8</v>
      </c>
      <c r="T12" s="501"/>
      <c r="U12" s="502"/>
      <c r="V12" s="503"/>
      <c r="W12" s="735"/>
      <c r="X12" s="501">
        <v>4.7990000000000004</v>
      </c>
      <c r="Y12" s="501">
        <f>Financials!AV38</f>
        <v>5.0272070282336276</v>
      </c>
      <c r="Z12" s="725">
        <f>Y12-X12</f>
        <v>0.22820702823362726</v>
      </c>
      <c r="AA12" s="499">
        <f t="shared" si="4"/>
        <v>4.7553037764873407E-2</v>
      </c>
      <c r="AB12" s="485"/>
    </row>
    <row r="13" spans="2:28">
      <c r="B13" s="484"/>
      <c r="C13" s="528"/>
      <c r="D13" s="600"/>
      <c r="E13" s="530"/>
      <c r="F13" s="530"/>
      <c r="G13" s="595"/>
      <c r="H13" s="603"/>
      <c r="I13" s="593"/>
      <c r="J13" s="594"/>
      <c r="K13" s="595"/>
      <c r="L13" s="594"/>
      <c r="M13" s="583"/>
      <c r="O13" s="484"/>
      <c r="P13" s="498" t="s">
        <v>32</v>
      </c>
      <c r="Q13" s="500">
        <v>0.16</v>
      </c>
      <c r="R13" s="499">
        <f>AVERAGE(Q13,S13)</f>
        <v>0.16500000000000001</v>
      </c>
      <c r="S13" s="504">
        <v>0.17</v>
      </c>
      <c r="T13" s="500">
        <v>0.16</v>
      </c>
      <c r="U13" s="499">
        <f>AVERAGE(T13,V13)</f>
        <v>0.16500000000000001</v>
      </c>
      <c r="V13" s="504">
        <v>0.17</v>
      </c>
      <c r="W13" s="732">
        <f t="shared" si="3"/>
        <v>0</v>
      </c>
      <c r="X13" s="500"/>
      <c r="Y13" s="500">
        <f>Financials!AV25</f>
        <v>0.16999999999999998</v>
      </c>
      <c r="Z13" s="723"/>
      <c r="AA13" s="499"/>
      <c r="AB13" s="485"/>
    </row>
    <row r="14" spans="2:28">
      <c r="B14" s="484"/>
      <c r="C14" s="489" t="s">
        <v>241</v>
      </c>
      <c r="D14" s="492">
        <f>129-35-4</f>
        <v>90</v>
      </c>
      <c r="E14" s="491"/>
      <c r="F14" s="490">
        <f>Financials!AI12</f>
        <v>114.39694597362296</v>
      </c>
      <c r="G14" s="595"/>
      <c r="H14" s="603">
        <f>$D14-F14</f>
        <v>-24.396945973622962</v>
      </c>
      <c r="I14" s="593"/>
      <c r="J14" s="594"/>
      <c r="K14" s="596"/>
      <c r="L14" s="594"/>
      <c r="M14" s="583"/>
      <c r="O14" s="484"/>
      <c r="P14" s="489" t="s">
        <v>235</v>
      </c>
      <c r="Q14" s="490">
        <v>440</v>
      </c>
      <c r="R14" s="491">
        <f>AVERAGE(Q14,S14)</f>
        <v>460</v>
      </c>
      <c r="S14" s="492">
        <v>480</v>
      </c>
      <c r="T14" s="490"/>
      <c r="U14" s="490"/>
      <c r="V14" s="492"/>
      <c r="W14" s="734"/>
      <c r="X14" s="490">
        <f>246+X15</f>
        <v>550.33300000000008</v>
      </c>
      <c r="Y14" s="490">
        <f>Financials!AV127</f>
        <v>458.28869351349647</v>
      </c>
      <c r="Z14" s="724">
        <f>Y14-X14</f>
        <v>-92.044306486503615</v>
      </c>
      <c r="AA14" s="499">
        <f t="shared" si="4"/>
        <v>-0.16725202102454984</v>
      </c>
      <c r="AB14" s="485"/>
    </row>
    <row r="15" spans="2:28">
      <c r="B15" s="484"/>
      <c r="C15" s="591" t="s">
        <v>93</v>
      </c>
      <c r="D15" s="583">
        <f>D14/D9</f>
        <v>6.9821567106283941E-2</v>
      </c>
      <c r="E15" s="594"/>
      <c r="F15" s="594">
        <f>F14/F9</f>
        <v>8.7796394398703709E-2</v>
      </c>
      <c r="G15" s="593"/>
      <c r="H15" s="583">
        <f t="shared" ref="H15" si="6">$D15-F15</f>
        <v>-1.7974827292419768E-2</v>
      </c>
      <c r="I15" s="593"/>
      <c r="J15" s="594"/>
      <c r="K15" s="593"/>
      <c r="L15" s="594"/>
      <c r="M15" s="583"/>
      <c r="O15" s="484"/>
      <c r="P15" s="489" t="s">
        <v>34</v>
      </c>
      <c r="Q15" s="490">
        <v>280</v>
      </c>
      <c r="R15" s="491">
        <f>AVERAGE(Q15,S15)</f>
        <v>290</v>
      </c>
      <c r="S15" s="492">
        <v>300</v>
      </c>
      <c r="T15" s="490">
        <f>T9*0.05+95</f>
        <v>328.77499999999998</v>
      </c>
      <c r="U15" s="491">
        <f>AVERAGE(T15,V15)</f>
        <v>353.50249999999994</v>
      </c>
      <c r="V15" s="492">
        <f>V9*0.06+95</f>
        <v>378.22999999999996</v>
      </c>
      <c r="W15" s="733">
        <f t="shared" si="3"/>
        <v>-63.502499999999941</v>
      </c>
      <c r="X15" s="490">
        <v>304.33300000000003</v>
      </c>
      <c r="Y15" s="490">
        <f>-Financials!AV130</f>
        <v>290</v>
      </c>
      <c r="Z15" s="724">
        <f>Y15-X15</f>
        <v>-14.333000000000027</v>
      </c>
      <c r="AA15" s="499">
        <f t="shared" si="4"/>
        <v>-4.7096437126437296E-2</v>
      </c>
      <c r="AB15" s="485"/>
    </row>
    <row r="16" spans="2:28" ht="15.75" thickBot="1">
      <c r="B16" s="484"/>
      <c r="C16" s="489" t="s">
        <v>94</v>
      </c>
      <c r="D16" s="492">
        <v>3</v>
      </c>
      <c r="E16" s="490"/>
      <c r="F16" s="490">
        <f>Financials!AI14</f>
        <v>3.5</v>
      </c>
      <c r="G16" s="493"/>
      <c r="H16" s="604">
        <f t="shared" ref="G16:H19" si="7">$D16-F16</f>
        <v>-0.5</v>
      </c>
      <c r="I16" s="495"/>
      <c r="J16" s="496"/>
      <c r="K16" s="493"/>
      <c r="L16" s="496"/>
      <c r="M16" s="485"/>
      <c r="O16" s="507"/>
      <c r="P16" s="508"/>
      <c r="Q16" s="508"/>
      <c r="R16" s="508"/>
      <c r="S16" s="508"/>
      <c r="T16" s="508"/>
      <c r="U16" s="508"/>
      <c r="V16" s="508"/>
      <c r="W16" s="508"/>
      <c r="X16" s="508"/>
      <c r="Y16" s="508"/>
      <c r="Z16" s="508"/>
      <c r="AA16" s="508"/>
      <c r="AB16" s="509"/>
    </row>
    <row r="17" spans="2:28" ht="15.75" thickBot="1">
      <c r="B17" s="484"/>
      <c r="C17" s="489" t="s">
        <v>95</v>
      </c>
      <c r="D17" s="492">
        <f>19-19</f>
        <v>0</v>
      </c>
      <c r="E17" s="490"/>
      <c r="F17" s="490">
        <f>Financials!AI15</f>
        <v>0</v>
      </c>
      <c r="G17" s="493"/>
      <c r="H17" s="604">
        <f>$D17-F17</f>
        <v>0</v>
      </c>
      <c r="I17" s="495"/>
      <c r="J17" s="496"/>
      <c r="K17" s="493"/>
      <c r="L17" s="496"/>
      <c r="M17" s="485"/>
    </row>
    <row r="18" spans="2:28">
      <c r="B18" s="484"/>
      <c r="C18" s="521" t="s">
        <v>96</v>
      </c>
      <c r="D18" s="522">
        <f>D11-D14-D16-D17</f>
        <v>164</v>
      </c>
      <c r="E18" s="523">
        <v>152.167</v>
      </c>
      <c r="F18" s="566">
        <f>F11-F14-F16-F17</f>
        <v>145.93376000000006</v>
      </c>
      <c r="G18" s="524">
        <f t="shared" si="7"/>
        <v>11.832999999999998</v>
      </c>
      <c r="H18" s="605">
        <f t="shared" si="7"/>
        <v>18.066239999999937</v>
      </c>
      <c r="I18" s="525">
        <f>$D18/E18-1</f>
        <v>7.776324695893333E-2</v>
      </c>
      <c r="J18" s="526">
        <f>$D18/F18-1</f>
        <v>0.12379753663579929</v>
      </c>
      <c r="K18" s="524">
        <f>F18-E18</f>
        <v>-6.2332399999999382</v>
      </c>
      <c r="L18" s="526">
        <f>F18/E18-1</f>
        <v>-4.0963152326062402E-2</v>
      </c>
      <c r="M18" s="485"/>
      <c r="O18" s="481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Z18" s="482"/>
      <c r="AA18" s="482"/>
      <c r="AB18" s="483"/>
    </row>
    <row r="19" spans="2:28">
      <c r="B19" s="484"/>
      <c r="C19" s="505" t="s">
        <v>28</v>
      </c>
      <c r="D19" s="506">
        <f>D18/D9</f>
        <v>0.12723041117145073</v>
      </c>
      <c r="E19" s="496">
        <f>E18/E9</f>
        <v>0.1220672831251509</v>
      </c>
      <c r="F19" s="496">
        <f>F18/F9</f>
        <v>0.11200000000000004</v>
      </c>
      <c r="G19" s="495">
        <f t="shared" si="7"/>
        <v>5.163128046299828E-3</v>
      </c>
      <c r="H19" s="506">
        <f t="shared" si="7"/>
        <v>1.5230411171450686E-2</v>
      </c>
      <c r="I19" s="495"/>
      <c r="J19" s="496"/>
      <c r="K19" s="495">
        <f>F19-E19</f>
        <v>-1.0067283125150858E-2</v>
      </c>
      <c r="L19" s="496"/>
      <c r="M19" s="485"/>
      <c r="O19" s="484"/>
      <c r="P19" s="767" t="s">
        <v>285</v>
      </c>
      <c r="Q19" s="765" t="s">
        <v>286</v>
      </c>
      <c r="R19" s="765"/>
      <c r="S19" s="770"/>
      <c r="T19" s="765" t="s">
        <v>287</v>
      </c>
      <c r="U19" s="765"/>
      <c r="V19" s="770"/>
      <c r="W19" s="768" t="s">
        <v>238</v>
      </c>
      <c r="X19" s="765" t="s">
        <v>221</v>
      </c>
      <c r="Y19" s="765" t="s">
        <v>222</v>
      </c>
      <c r="Z19" s="766" t="s">
        <v>225</v>
      </c>
      <c r="AA19" s="765"/>
      <c r="AB19" s="485"/>
    </row>
    <row r="20" spans="2:28">
      <c r="B20" s="484"/>
      <c r="C20" s="505"/>
      <c r="D20" s="506"/>
      <c r="E20" s="496"/>
      <c r="F20" s="559"/>
      <c r="G20" s="495"/>
      <c r="H20" s="506"/>
      <c r="I20" s="495"/>
      <c r="J20" s="496"/>
      <c r="K20" s="495"/>
      <c r="L20" s="496"/>
      <c r="M20" s="485"/>
      <c r="O20" s="484"/>
      <c r="P20" s="767"/>
      <c r="Q20" s="729" t="s">
        <v>227</v>
      </c>
      <c r="R20" s="729" t="s">
        <v>228</v>
      </c>
      <c r="S20" s="730" t="s">
        <v>229</v>
      </c>
      <c r="T20" s="729" t="s">
        <v>227</v>
      </c>
      <c r="U20" s="729" t="s">
        <v>228</v>
      </c>
      <c r="V20" s="730" t="s">
        <v>229</v>
      </c>
      <c r="W20" s="769"/>
      <c r="X20" s="765"/>
      <c r="Y20" s="765"/>
      <c r="Z20" s="727" t="s">
        <v>232</v>
      </c>
      <c r="AA20" s="726" t="s">
        <v>233</v>
      </c>
      <c r="AB20" s="485"/>
    </row>
    <row r="21" spans="2:28">
      <c r="B21" s="484"/>
      <c r="C21" s="489" t="s">
        <v>30</v>
      </c>
      <c r="D21" s="492">
        <v>13</v>
      </c>
      <c r="E21" s="490"/>
      <c r="F21" s="490">
        <f>Financials!AI19</f>
        <v>15.733750000000001</v>
      </c>
      <c r="G21" s="493"/>
      <c r="H21" s="604">
        <f t="shared" ref="G21:H23" si="8">$D21-F21</f>
        <v>-2.7337500000000006</v>
      </c>
      <c r="I21" s="495"/>
      <c r="J21" s="496"/>
      <c r="K21" s="493"/>
      <c r="L21" s="496"/>
      <c r="M21" s="506"/>
      <c r="O21" s="484"/>
      <c r="P21" s="488"/>
      <c r="Q21" s="488"/>
      <c r="R21" s="488"/>
      <c r="S21" s="485"/>
      <c r="T21" s="488"/>
      <c r="U21" s="488"/>
      <c r="V21" s="485"/>
      <c r="W21" s="731"/>
      <c r="X21" s="710"/>
      <c r="Y21" s="488"/>
      <c r="Z21" s="484"/>
      <c r="AA21" s="488"/>
      <c r="AB21" s="485"/>
    </row>
    <row r="22" spans="2:28">
      <c r="B22" s="484"/>
      <c r="C22" s="510" t="s">
        <v>98</v>
      </c>
      <c r="D22" s="511">
        <v>-4</v>
      </c>
      <c r="E22" s="512"/>
      <c r="F22" s="561">
        <f>Financials!AI21</f>
        <v>0</v>
      </c>
      <c r="G22" s="513"/>
      <c r="H22" s="606">
        <f t="shared" si="8"/>
        <v>-4</v>
      </c>
      <c r="I22" s="514"/>
      <c r="J22" s="515"/>
      <c r="K22" s="513"/>
      <c r="L22" s="515"/>
      <c r="M22" s="506"/>
      <c r="O22" s="484"/>
      <c r="P22" s="489" t="s">
        <v>207</v>
      </c>
      <c r="Q22" s="490">
        <v>5513.9535360000009</v>
      </c>
      <c r="R22" s="491">
        <f>AVERAGE(Q22,S22)</f>
        <v>5796.6462300000003</v>
      </c>
      <c r="S22" s="492">
        <v>6079.3389240000006</v>
      </c>
      <c r="T22" s="490">
        <v>5165.1115776000015</v>
      </c>
      <c r="U22" s="491">
        <f>AVERAGE(T22,V22)</f>
        <v>5345.0789175000009</v>
      </c>
      <c r="V22" s="492">
        <v>5525.0462574000012</v>
      </c>
      <c r="W22" s="733">
        <f>R22-U22</f>
        <v>451.56731249999939</v>
      </c>
      <c r="X22" s="490">
        <v>5944</v>
      </c>
      <c r="Y22" s="490">
        <f>Financials!AZ6</f>
        <v>5831.5857541977848</v>
      </c>
      <c r="Z22" s="724">
        <f>Y22-X22</f>
        <v>-112.41424580221519</v>
      </c>
      <c r="AA22" s="499">
        <f>Y22/X22-1</f>
        <v>-1.8912221702929832E-2</v>
      </c>
      <c r="AB22" s="485"/>
    </row>
    <row r="23" spans="2:28">
      <c r="B23" s="484"/>
      <c r="C23" s="489" t="s">
        <v>99</v>
      </c>
      <c r="D23" s="516">
        <f>D18-D21+D22</f>
        <v>147</v>
      </c>
      <c r="E23" s="490">
        <v>133.286</v>
      </c>
      <c r="F23" s="491">
        <f>F18-F21+F22</f>
        <v>130.20001000000008</v>
      </c>
      <c r="G23" s="493">
        <f t="shared" si="8"/>
        <v>13.713999999999999</v>
      </c>
      <c r="H23" s="604">
        <f t="shared" si="8"/>
        <v>16.799989999999923</v>
      </c>
      <c r="I23" s="495">
        <f>$D23/E23-1</f>
        <v>0.10289152649190458</v>
      </c>
      <c r="J23" s="496">
        <f>$D23/F23-1</f>
        <v>0.12903217134929501</v>
      </c>
      <c r="K23" s="493">
        <f>F23-E23</f>
        <v>-3.0859899999999243</v>
      </c>
      <c r="L23" s="496">
        <f>F23/E23-1</f>
        <v>-2.315314436624949E-2</v>
      </c>
      <c r="M23" s="506"/>
      <c r="O23" s="484"/>
      <c r="P23" s="489" t="s">
        <v>96</v>
      </c>
      <c r="Q23" s="491">
        <f>Q22*Q24</f>
        <v>755.41163443200014</v>
      </c>
      <c r="R23" s="491">
        <f t="shared" ref="R23:S23" si="9">R22*R24</f>
        <v>811.53047220000008</v>
      </c>
      <c r="S23" s="516">
        <f t="shared" si="9"/>
        <v>869.34546613200018</v>
      </c>
      <c r="T23" s="491">
        <f>T22*T24</f>
        <v>717.95050928640023</v>
      </c>
      <c r="U23" s="491">
        <f t="shared" ref="U23:V23" si="10">U22*U24</f>
        <v>756.32866682625024</v>
      </c>
      <c r="V23" s="516">
        <f t="shared" si="10"/>
        <v>795.60666106560029</v>
      </c>
      <c r="W23" s="733">
        <f t="shared" ref="W23:W24" si="11">R23-U23</f>
        <v>55.201805373749835</v>
      </c>
      <c r="X23" s="490">
        <v>713.5</v>
      </c>
      <c r="Y23" s="490">
        <f>Financials!AZ16</f>
        <v>651.836432464685</v>
      </c>
      <c r="Z23" s="724">
        <f>Y23-X23</f>
        <v>-61.663567535314996</v>
      </c>
      <c r="AA23" s="499">
        <f t="shared" ref="AA23" si="12">Y23/X23-1</f>
        <v>-8.6424061016559195E-2</v>
      </c>
      <c r="AB23" s="497"/>
    </row>
    <row r="24" spans="2:28">
      <c r="B24" s="484"/>
      <c r="C24" s="489"/>
      <c r="D24" s="492"/>
      <c r="E24" s="490"/>
      <c r="F24" s="490"/>
      <c r="G24" s="493"/>
      <c r="H24" s="604"/>
      <c r="I24" s="495"/>
      <c r="J24" s="496"/>
      <c r="K24" s="493"/>
      <c r="L24" s="496"/>
      <c r="M24" s="506"/>
      <c r="O24" s="484"/>
      <c r="P24" s="498" t="s">
        <v>28</v>
      </c>
      <c r="Q24" s="500">
        <f>Q11+0.004+0.004+0.0035+0.0035</f>
        <v>0.13700000000000001</v>
      </c>
      <c r="R24" s="499">
        <f>AVERAGE(Q24,S24)</f>
        <v>0.14000000000000001</v>
      </c>
      <c r="S24" s="504">
        <f>S11+0.005+0.005+0.0045+0.0045</f>
        <v>0.14300000000000002</v>
      </c>
      <c r="T24" s="500">
        <f>0.12+0.004+0.004+0.004+0.0035+0.0035</f>
        <v>0.13900000000000001</v>
      </c>
      <c r="U24" s="499">
        <f>AVERAGE(T24,V24)</f>
        <v>0.14150000000000001</v>
      </c>
      <c r="V24" s="504">
        <f>0.12+0.005+0.005+0.005+0.0045+0.0045</f>
        <v>0.14400000000000002</v>
      </c>
      <c r="W24" s="732">
        <f t="shared" si="11"/>
        <v>-1.5000000000000013E-3</v>
      </c>
      <c r="X24" s="499">
        <f>X23/X22</f>
        <v>0.12003701211305517</v>
      </c>
      <c r="Y24" s="499">
        <f>Y23/Y22</f>
        <v>0.1117768750970471</v>
      </c>
      <c r="Z24" s="723">
        <f>Y24-X24</f>
        <v>-8.2601370160080706E-3</v>
      </c>
      <c r="AA24" s="499"/>
      <c r="AB24" s="485"/>
    </row>
    <row r="25" spans="2:28" ht="15.75" thickBot="1">
      <c r="B25" s="484"/>
      <c r="C25" s="489" t="s">
        <v>100</v>
      </c>
      <c r="D25" s="492">
        <f>27+4</f>
        <v>31</v>
      </c>
      <c r="E25" s="491"/>
      <c r="F25" s="490">
        <f>Financials!AI24</f>
        <v>22.134001700000006</v>
      </c>
      <c r="G25" s="493"/>
      <c r="H25" s="604">
        <f>$D25-F25</f>
        <v>8.865998299999994</v>
      </c>
      <c r="I25" s="495"/>
      <c r="J25" s="496"/>
      <c r="K25" s="493"/>
      <c r="L25" s="496"/>
      <c r="M25" s="506"/>
      <c r="O25" s="507"/>
      <c r="P25" s="508"/>
      <c r="Q25" s="508"/>
      <c r="R25" s="508"/>
      <c r="S25" s="508"/>
      <c r="T25" s="508"/>
      <c r="U25" s="508"/>
      <c r="V25" s="508"/>
      <c r="W25" s="508"/>
      <c r="X25" s="508"/>
      <c r="Y25" s="508"/>
      <c r="Z25" s="508"/>
      <c r="AA25" s="508"/>
      <c r="AB25" s="509"/>
    </row>
    <row r="26" spans="2:28">
      <c r="B26" s="484"/>
      <c r="C26" s="517" t="s">
        <v>32</v>
      </c>
      <c r="D26" s="518">
        <f>D25/D23</f>
        <v>0.21088435374149661</v>
      </c>
      <c r="E26" s="519"/>
      <c r="F26" s="515">
        <f>F25/F23</f>
        <v>0.16999999999999996</v>
      </c>
      <c r="G26" s="514"/>
      <c r="H26" s="518">
        <f>$D26-F26</f>
        <v>4.0884353741496654E-2</v>
      </c>
      <c r="I26" s="514"/>
      <c r="J26" s="515"/>
      <c r="K26" s="514"/>
      <c r="L26" s="515"/>
      <c r="M26" s="506"/>
    </row>
    <row r="27" spans="2:28" s="488" customFormat="1">
      <c r="B27" s="484"/>
      <c r="C27" s="489" t="s">
        <v>102</v>
      </c>
      <c r="D27" s="492">
        <v>3</v>
      </c>
      <c r="E27" s="490"/>
      <c r="F27" s="490">
        <f>Financials!AI27</f>
        <v>1</v>
      </c>
      <c r="G27" s="493"/>
      <c r="H27" s="604">
        <f>$D27-F27</f>
        <v>2</v>
      </c>
      <c r="I27" s="495"/>
      <c r="J27" s="496"/>
      <c r="K27" s="493"/>
      <c r="L27" s="496"/>
      <c r="M27" s="506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0"/>
      <c r="Z27" s="480"/>
      <c r="AA27" s="480"/>
      <c r="AB27" s="480"/>
    </row>
    <row r="28" spans="2:28">
      <c r="B28" s="484"/>
      <c r="C28" s="489" t="s">
        <v>103</v>
      </c>
      <c r="D28" s="492">
        <v>9</v>
      </c>
      <c r="E28" s="490"/>
      <c r="F28" s="490">
        <f>Financials!AI28</f>
        <v>9</v>
      </c>
      <c r="G28" s="493"/>
      <c r="H28" s="604">
        <f>$D28-F28</f>
        <v>0</v>
      </c>
      <c r="I28" s="495"/>
      <c r="J28" s="496"/>
      <c r="K28" s="493"/>
      <c r="L28" s="496"/>
      <c r="M28" s="506"/>
    </row>
    <row r="29" spans="2:28">
      <c r="B29" s="520"/>
      <c r="C29" s="521" t="s">
        <v>104</v>
      </c>
      <c r="D29" s="522">
        <f>D23-D25+D27-D28</f>
        <v>110</v>
      </c>
      <c r="E29" s="523">
        <v>103.533</v>
      </c>
      <c r="F29" s="566">
        <f>F23-F25+F27-F28</f>
        <v>100.06600830000008</v>
      </c>
      <c r="G29" s="524">
        <f>$D29-E29</f>
        <v>6.4669999999999987</v>
      </c>
      <c r="H29" s="605">
        <f>$D29-F29</f>
        <v>9.9339916999999218</v>
      </c>
      <c r="I29" s="525">
        <f>$D29/E29-1</f>
        <v>6.2463175992195641E-2</v>
      </c>
      <c r="J29" s="526">
        <f>$D29/F29-1</f>
        <v>9.927438766436647E-2</v>
      </c>
      <c r="K29" s="524">
        <f>F29-E29</f>
        <v>-3.4669916999999231</v>
      </c>
      <c r="L29" s="526">
        <f>F29/E29-1</f>
        <v>-3.3486827388368168E-2</v>
      </c>
      <c r="M29" s="527"/>
    </row>
    <row r="30" spans="2:28">
      <c r="B30" s="484"/>
      <c r="C30" s="528"/>
      <c r="D30" s="529"/>
      <c r="E30" s="530"/>
      <c r="F30" s="530"/>
      <c r="G30" s="531"/>
      <c r="H30" s="607"/>
      <c r="I30" s="495"/>
      <c r="J30" s="496"/>
      <c r="K30" s="531"/>
      <c r="L30" s="496"/>
      <c r="M30" s="506"/>
    </row>
    <row r="31" spans="2:28">
      <c r="B31" s="533"/>
      <c r="C31" s="534" t="s">
        <v>234</v>
      </c>
      <c r="D31" s="535">
        <f>D29/D33</f>
        <v>1.2388782520554116</v>
      </c>
      <c r="E31" s="536">
        <v>1.159</v>
      </c>
      <c r="F31" s="571">
        <f>F29/F33</f>
        <v>1.1299810465613045</v>
      </c>
      <c r="G31" s="537">
        <f>$D31-E31</f>
        <v>7.9878252055411547E-2</v>
      </c>
      <c r="H31" s="608">
        <f>$D31-F31</f>
        <v>0.10889720549410709</v>
      </c>
      <c r="I31" s="539">
        <f>$D31/E31-1</f>
        <v>6.8919975889052187E-2</v>
      </c>
      <c r="J31" s="540">
        <f>$D31/F31-1</f>
        <v>9.63708248253341E-2</v>
      </c>
      <c r="K31" s="537">
        <f>F31-E31</f>
        <v>-2.9018953438695538E-2</v>
      </c>
      <c r="L31" s="540">
        <f>F31/E31-1</f>
        <v>-2.5037923588175581E-2</v>
      </c>
      <c r="M31" s="527"/>
    </row>
    <row r="32" spans="2:28">
      <c r="B32" s="484"/>
      <c r="C32" s="528"/>
      <c r="D32" s="541"/>
      <c r="E32" s="542"/>
      <c r="F32" s="542"/>
      <c r="G32" s="543"/>
      <c r="H32" s="609"/>
      <c r="I32" s="544"/>
      <c r="J32" s="545"/>
      <c r="K32" s="543"/>
      <c r="L32" s="545"/>
      <c r="M32" s="546"/>
    </row>
    <row r="33" spans="2:28">
      <c r="B33" s="484"/>
      <c r="C33" s="489" t="s">
        <v>109</v>
      </c>
      <c r="D33" s="492">
        <v>88.79</v>
      </c>
      <c r="E33" s="491">
        <f>E29/E31</f>
        <v>89.32959447799827</v>
      </c>
      <c r="F33" s="490">
        <f>Financials!AI35</f>
        <v>88.555474982979035</v>
      </c>
      <c r="G33" s="493">
        <f>$D33-E33</f>
        <v>-0.53959447799826421</v>
      </c>
      <c r="H33" s="604">
        <f>$D33-F33</f>
        <v>0.23452501702097095</v>
      </c>
      <c r="I33" s="495">
        <f>$D33/E33-1</f>
        <v>-6.0404895057613039E-3</v>
      </c>
      <c r="J33" s="496">
        <f>$D33/F33-1</f>
        <v>2.6483401174919319E-3</v>
      </c>
      <c r="K33" s="493">
        <f>F33-E33</f>
        <v>-0.77411949501923516</v>
      </c>
      <c r="L33" s="496">
        <f>F33/E33-1</f>
        <v>-8.6658794271130546E-3</v>
      </c>
      <c r="M33" s="506"/>
      <c r="Q33" s="552"/>
      <c r="R33" s="552"/>
      <c r="S33" s="552"/>
      <c r="X33" s="552"/>
    </row>
    <row r="34" spans="2:28">
      <c r="B34" s="484"/>
      <c r="C34" s="528"/>
      <c r="D34" s="541"/>
      <c r="E34" s="542"/>
      <c r="F34" s="542"/>
      <c r="G34" s="547"/>
      <c r="H34" s="610"/>
      <c r="I34" s="544"/>
      <c r="J34" s="545"/>
      <c r="K34" s="547"/>
      <c r="L34" s="545"/>
      <c r="M34" s="506"/>
    </row>
    <row r="35" spans="2:28" s="548" customFormat="1">
      <c r="B35" s="484"/>
      <c r="C35" s="489" t="s">
        <v>174</v>
      </c>
      <c r="D35" s="492">
        <f>95-86</f>
        <v>9</v>
      </c>
      <c r="E35" s="490"/>
      <c r="F35" s="490">
        <f>Financials!AI151</f>
        <v>14.727673722893513</v>
      </c>
      <c r="G35" s="493"/>
      <c r="H35" s="604">
        <f>$D35-F35</f>
        <v>-5.7276737228935133</v>
      </c>
      <c r="I35" s="495"/>
      <c r="J35" s="496">
        <f>$D35/F35-1</f>
        <v>-0.38890552782888577</v>
      </c>
      <c r="K35" s="493"/>
      <c r="L35" s="496"/>
      <c r="M35" s="506"/>
      <c r="O35" s="480"/>
      <c r="P35" s="480"/>
      <c r="S35" s="480"/>
      <c r="T35" s="480"/>
      <c r="U35" s="480"/>
      <c r="V35" s="480"/>
      <c r="W35" s="480"/>
      <c r="X35" s="480"/>
      <c r="Y35" s="480"/>
      <c r="Z35" s="480"/>
      <c r="AA35" s="480"/>
      <c r="AB35" s="480"/>
    </row>
    <row r="36" spans="2:28" s="488" customFormat="1">
      <c r="B36" s="484"/>
      <c r="C36" s="489" t="s">
        <v>34</v>
      </c>
      <c r="D36" s="492">
        <v>86</v>
      </c>
      <c r="E36" s="490">
        <v>73.75</v>
      </c>
      <c r="F36" s="490">
        <f>-Financials!AI130</f>
        <v>72.5</v>
      </c>
      <c r="G36" s="493">
        <f>$D36-E36</f>
        <v>12.25</v>
      </c>
      <c r="H36" s="604">
        <f>$D36-F36</f>
        <v>13.5</v>
      </c>
      <c r="I36" s="495">
        <f>$D36/E36-1</f>
        <v>0.16610169491525428</v>
      </c>
      <c r="J36" s="496">
        <f>$D36/F36-1</f>
        <v>0.18620689655172407</v>
      </c>
      <c r="K36" s="493">
        <f>F36-E36</f>
        <v>-1.25</v>
      </c>
      <c r="L36" s="496">
        <f>F36/E36-1</f>
        <v>-1.6949152542372836E-2</v>
      </c>
      <c r="M36" s="506"/>
      <c r="O36" s="480"/>
      <c r="P36" s="480"/>
      <c r="S36" s="480"/>
      <c r="T36" s="480"/>
      <c r="U36" s="480"/>
      <c r="V36" s="480"/>
      <c r="W36" s="480"/>
      <c r="X36" s="480"/>
      <c r="Y36" s="480"/>
      <c r="Z36" s="480"/>
      <c r="AA36" s="480"/>
      <c r="AB36" s="480"/>
    </row>
    <row r="37" spans="2:28" ht="15.75" thickBot="1">
      <c r="B37" s="507"/>
      <c r="C37" s="508"/>
      <c r="D37" s="508"/>
      <c r="E37" s="508"/>
      <c r="F37" s="549"/>
      <c r="G37" s="550"/>
      <c r="H37" s="550"/>
      <c r="I37" s="550"/>
      <c r="J37" s="550"/>
      <c r="K37" s="550"/>
      <c r="L37" s="550"/>
      <c r="M37" s="509"/>
    </row>
    <row r="38" spans="2:28">
      <c r="F38" s="551"/>
      <c r="G38" s="552"/>
      <c r="H38" s="552"/>
      <c r="I38" s="552"/>
      <c r="J38" s="552"/>
      <c r="K38" s="552"/>
      <c r="L38" s="552"/>
    </row>
    <row r="39" spans="2:28">
      <c r="F39" s="553"/>
      <c r="G39" s="552"/>
      <c r="H39" s="552"/>
      <c r="I39" s="552"/>
      <c r="J39" s="552"/>
      <c r="K39" s="552"/>
      <c r="L39" s="552"/>
    </row>
    <row r="42" spans="2:28">
      <c r="D42" s="552"/>
      <c r="Q42" s="736"/>
      <c r="R42" s="736"/>
    </row>
  </sheetData>
  <mergeCells count="21">
    <mergeCell ref="Z6:AA6"/>
    <mergeCell ref="P6:P7"/>
    <mergeCell ref="X6:X7"/>
    <mergeCell ref="Y6:Y7"/>
    <mergeCell ref="Q6:S6"/>
    <mergeCell ref="W6:W7"/>
    <mergeCell ref="T6:V6"/>
    <mergeCell ref="K6:L6"/>
    <mergeCell ref="C6:C7"/>
    <mergeCell ref="D6:D7"/>
    <mergeCell ref="E6:E7"/>
    <mergeCell ref="F6:F7"/>
    <mergeCell ref="G6:H6"/>
    <mergeCell ref="I6:J6"/>
    <mergeCell ref="Y19:Y20"/>
    <mergeCell ref="Z19:AA19"/>
    <mergeCell ref="P19:P20"/>
    <mergeCell ref="X19:X20"/>
    <mergeCell ref="W19:W20"/>
    <mergeCell ref="T19:V19"/>
    <mergeCell ref="Q19:S19"/>
  </mergeCells>
  <conditionalFormatting sqref="L16:L17 G16:H36">
    <cfRule type="cellIs" dxfId="20" priority="17" stopIfTrue="1" operator="lessThan">
      <formula>0</formula>
    </cfRule>
  </conditionalFormatting>
  <conditionalFormatting sqref="K19 K26 L18:L36">
    <cfRule type="cellIs" dxfId="19" priority="16" stopIfTrue="1" operator="lessThan">
      <formula>0</formula>
    </cfRule>
  </conditionalFormatting>
  <conditionalFormatting sqref="G15:J15">
    <cfRule type="cellIs" dxfId="18" priority="8" stopIfTrue="1" operator="lessThan">
      <formula>0</formula>
    </cfRule>
  </conditionalFormatting>
  <conditionalFormatting sqref="G9:J14 L9:L15">
    <cfRule type="cellIs" dxfId="17" priority="10" stopIfTrue="1" operator="lessThan">
      <formula>0</formula>
    </cfRule>
  </conditionalFormatting>
  <conditionalFormatting sqref="K12 K15">
    <cfRule type="cellIs" dxfId="16" priority="9" stopIfTrue="1" operator="lessThan">
      <formula>0</formula>
    </cfRule>
  </conditionalFormatting>
  <conditionalFormatting sqref="AA9:AA15 Z11 Z13">
    <cfRule type="cellIs" dxfId="15" priority="7" operator="lessThan">
      <formula>0</formula>
    </cfRule>
  </conditionalFormatting>
  <conditionalFormatting sqref="AA22:AA24 Z24">
    <cfRule type="cellIs" dxfId="14" priority="5" operator="lessThan">
      <formula>0</formula>
    </cfRule>
  </conditionalFormatting>
  <conditionalFormatting sqref="W11 W13">
    <cfRule type="cellIs" dxfId="13" priority="4" operator="lessThan">
      <formula>0</formula>
    </cfRule>
  </conditionalFormatting>
  <conditionalFormatting sqref="W24">
    <cfRule type="cellIs" dxfId="12" priority="1" operator="lessThan">
      <formula>0</formula>
    </cfRule>
  </conditionalFormatting>
  <pageMargins left="0" right="0" top="0" bottom="0" header="0" footer="0"/>
  <pageSetup scale="67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B2:P36"/>
  <sheetViews>
    <sheetView showGridLines="0" zoomScale="85" zoomScaleNormal="85" workbookViewId="0">
      <selection activeCell="B5" sqref="B5:P36"/>
    </sheetView>
  </sheetViews>
  <sheetFormatPr defaultRowHeight="15" outlineLevelCol="1"/>
  <cols>
    <col min="1" max="2" width="3.140625" style="480" customWidth="1"/>
    <col min="3" max="3" width="38.85546875" style="488" bestFit="1" customWidth="1"/>
    <col min="4" max="4" width="10.28515625" style="488" customWidth="1"/>
    <col min="5" max="6" width="10.28515625" style="480" customWidth="1"/>
    <col min="7" max="7" width="10.28515625" style="628" hidden="1" customWidth="1" outlineLevel="1"/>
    <col min="8" max="8" width="10.28515625" style="480" customWidth="1" collapsed="1"/>
    <col min="9" max="10" width="10.28515625" style="480" customWidth="1"/>
    <col min="11" max="11" width="10.28515625" style="628" hidden="1" customWidth="1" outlineLevel="1"/>
    <col min="12" max="12" width="10.28515625" style="480" customWidth="1" collapsed="1"/>
    <col min="13" max="14" width="10.28515625" style="480" customWidth="1"/>
    <col min="15" max="15" width="10.28515625" style="640" hidden="1" customWidth="1" outlineLevel="1"/>
    <col min="16" max="16" width="3.140625" style="480" customWidth="1" collapsed="1"/>
    <col min="17" max="17" width="3.140625" style="480" customWidth="1"/>
    <col min="18" max="16384" width="9.140625" style="480"/>
  </cols>
  <sheetData>
    <row r="2" spans="2:16">
      <c r="B2" s="479" t="s">
        <v>240</v>
      </c>
    </row>
    <row r="3" spans="2:16">
      <c r="B3" s="479" t="s">
        <v>236</v>
      </c>
    </row>
    <row r="4" spans="2:16" ht="15.75" thickBot="1"/>
    <row r="5" spans="2:16">
      <c r="B5" s="481"/>
      <c r="C5" s="482"/>
      <c r="D5" s="482"/>
      <c r="E5" s="482"/>
      <c r="F5" s="482"/>
      <c r="G5" s="629"/>
      <c r="H5" s="482"/>
      <c r="I5" s="482"/>
      <c r="J5" s="482"/>
      <c r="K5" s="629"/>
      <c r="L5" s="482"/>
      <c r="M5" s="482"/>
      <c r="N5" s="482"/>
      <c r="O5" s="629"/>
      <c r="P5" s="483"/>
    </row>
    <row r="6" spans="2:16">
      <c r="B6" s="484"/>
      <c r="C6" s="554" t="s">
        <v>58</v>
      </c>
      <c r="D6" s="763" t="s">
        <v>253</v>
      </c>
      <c r="E6" s="555" t="s">
        <v>237</v>
      </c>
      <c r="F6" s="555" t="s">
        <v>238</v>
      </c>
      <c r="G6" s="630" t="s">
        <v>239</v>
      </c>
      <c r="H6" s="556" t="s">
        <v>7</v>
      </c>
      <c r="I6" s="555" t="s">
        <v>237</v>
      </c>
      <c r="J6" s="555" t="s">
        <v>238</v>
      </c>
      <c r="K6" s="630" t="s">
        <v>239</v>
      </c>
      <c r="L6" s="556" t="s">
        <v>9</v>
      </c>
      <c r="M6" s="555" t="s">
        <v>237</v>
      </c>
      <c r="N6" s="555" t="s">
        <v>238</v>
      </c>
      <c r="O6" s="641" t="s">
        <v>239</v>
      </c>
      <c r="P6" s="485"/>
    </row>
    <row r="7" spans="2:16">
      <c r="B7" s="484"/>
      <c r="E7" s="488"/>
      <c r="F7" s="488"/>
      <c r="G7" s="631"/>
      <c r="H7" s="557"/>
      <c r="I7" s="488"/>
      <c r="J7" s="488"/>
      <c r="K7" s="631"/>
      <c r="L7" s="557"/>
      <c r="M7" s="488"/>
      <c r="N7" s="488"/>
      <c r="P7" s="485"/>
    </row>
    <row r="8" spans="2:16" s="613" customFormat="1">
      <c r="B8" s="520"/>
      <c r="C8" s="576" t="s">
        <v>207</v>
      </c>
      <c r="D8" s="578">
        <f>Financials!AI6</f>
        <v>1302.98</v>
      </c>
      <c r="E8" s="578">
        <v>1274.2800000000002</v>
      </c>
      <c r="F8" s="611">
        <f>D8-E8</f>
        <v>28.699999999999818</v>
      </c>
      <c r="G8" s="632"/>
      <c r="H8" s="718">
        <f>Financials!AV6</f>
        <v>5119.9350000000004</v>
      </c>
      <c r="I8" s="578">
        <v>5000.6100000000006</v>
      </c>
      <c r="J8" s="611">
        <f>H8-I8</f>
        <v>119.32499999999982</v>
      </c>
      <c r="K8" s="632"/>
      <c r="L8" s="718">
        <f>Financials!AW6</f>
        <v>5243.0331195852295</v>
      </c>
      <c r="M8" s="578">
        <v>5105.0214200855125</v>
      </c>
      <c r="N8" s="611">
        <f>L8-M8</f>
        <v>138.011699499717</v>
      </c>
      <c r="O8" s="572"/>
      <c r="P8" s="612"/>
    </row>
    <row r="9" spans="2:16" s="552" customFormat="1">
      <c r="B9" s="615"/>
      <c r="C9" s="618" t="s">
        <v>90</v>
      </c>
      <c r="D9" s="561">
        <f>Financials!AI8</f>
        <v>1039.149294026377</v>
      </c>
      <c r="E9" s="619">
        <v>1016.2605430566332</v>
      </c>
      <c r="F9" s="620">
        <f t="shared" ref="F9:F11" si="0">D9-E9</f>
        <v>22.888750969743796</v>
      </c>
      <c r="G9" s="633"/>
      <c r="H9" s="719">
        <f>Financials!AV8</f>
        <v>4083.2375329712959</v>
      </c>
      <c r="I9" s="619">
        <v>3988.0737626066721</v>
      </c>
      <c r="J9" s="620">
        <f t="shared" ref="J9:J35" si="1">H9-I9</f>
        <v>95.163770364623815</v>
      </c>
      <c r="K9" s="633"/>
      <c r="L9" s="719">
        <f>Financials!AW8</f>
        <v>4181.410432066421</v>
      </c>
      <c r="M9" s="619">
        <v>4071.3436926671111</v>
      </c>
      <c r="N9" s="620">
        <f t="shared" ref="N9:N11" si="2">L9-M9</f>
        <v>110.06673939930988</v>
      </c>
      <c r="O9" s="642"/>
      <c r="P9" s="497"/>
    </row>
    <row r="10" spans="2:16" s="627" customFormat="1">
      <c r="B10" s="621"/>
      <c r="C10" s="622" t="s">
        <v>91</v>
      </c>
      <c r="D10" s="623">
        <f>D8-D9</f>
        <v>263.83070597362303</v>
      </c>
      <c r="E10" s="624">
        <v>258.019456943367</v>
      </c>
      <c r="F10" s="623">
        <f t="shared" si="0"/>
        <v>5.8112490302560218</v>
      </c>
      <c r="G10" s="634">
        <f>(D10-E10)*(1-D$25)/D$32</f>
        <v>5.4466837832890365E-2</v>
      </c>
      <c r="H10" s="625">
        <f>H8-H9</f>
        <v>1036.6974670287045</v>
      </c>
      <c r="I10" s="624">
        <v>1012.5362373933285</v>
      </c>
      <c r="J10" s="623">
        <f t="shared" si="1"/>
        <v>24.161229635376003</v>
      </c>
      <c r="K10" s="634">
        <f>(H10-I10)*(1-H$25)/H$32</f>
        <v>0.22821175835696217</v>
      </c>
      <c r="L10" s="625">
        <f>L8-L9</f>
        <v>1061.6226875188086</v>
      </c>
      <c r="M10" s="624">
        <v>1033.6777274184014</v>
      </c>
      <c r="N10" s="623">
        <f t="shared" si="2"/>
        <v>27.944960100407116</v>
      </c>
      <c r="O10" s="538">
        <f>(L10-M10)*(1-L$25)/L$32</f>
        <v>0.26663751402970232</v>
      </c>
      <c r="P10" s="626"/>
    </row>
    <row r="11" spans="2:16">
      <c r="B11" s="484"/>
      <c r="C11" s="505" t="s">
        <v>28</v>
      </c>
      <c r="D11" s="496">
        <f>D10/D8</f>
        <v>0.20248254460822349</v>
      </c>
      <c r="E11" s="559">
        <v>0.20248254460822343</v>
      </c>
      <c r="F11" s="496">
        <f t="shared" si="0"/>
        <v>0</v>
      </c>
      <c r="G11" s="635"/>
      <c r="H11" s="560">
        <f>H10/H8</f>
        <v>0.20248254460822343</v>
      </c>
      <c r="I11" s="559">
        <v>0.20248254460822349</v>
      </c>
      <c r="J11" s="496">
        <f t="shared" si="1"/>
        <v>0</v>
      </c>
      <c r="K11" s="635"/>
      <c r="L11" s="560">
        <f>L10/L8</f>
        <v>0.20248254460822332</v>
      </c>
      <c r="M11" s="559">
        <v>0.20248254460822354</v>
      </c>
      <c r="N11" s="496">
        <f t="shared" si="2"/>
        <v>-2.2204460492503131E-16</v>
      </c>
      <c r="O11" s="643"/>
      <c r="P11" s="485"/>
    </row>
    <row r="12" spans="2:16">
      <c r="B12" s="484"/>
      <c r="C12" s="614"/>
      <c r="D12" s="496"/>
      <c r="E12" s="559"/>
      <c r="F12" s="494"/>
      <c r="G12" s="635"/>
      <c r="H12" s="560"/>
      <c r="I12" s="559"/>
      <c r="J12" s="494"/>
      <c r="K12" s="635"/>
      <c r="L12" s="560"/>
      <c r="M12" s="559"/>
      <c r="N12" s="494"/>
      <c r="O12" s="643"/>
      <c r="P12" s="485"/>
    </row>
    <row r="13" spans="2:16" s="552" customFormat="1">
      <c r="B13" s="615"/>
      <c r="C13" s="616" t="s">
        <v>241</v>
      </c>
      <c r="D13" s="617">
        <f>Financials!AI12</f>
        <v>114.39694597362296</v>
      </c>
      <c r="E13" s="617">
        <v>114.34865694336699</v>
      </c>
      <c r="F13" s="532">
        <f t="shared" ref="F13:F18" si="3">D13-E13</f>
        <v>4.828903025597242E-2</v>
      </c>
      <c r="G13" s="635">
        <f>-(D13-E13)*(1-D$25)/D$32</f>
        <v>-4.5259646701867659E-4</v>
      </c>
      <c r="H13" s="720">
        <f>Financials!AV12</f>
        <v>388.96791202870446</v>
      </c>
      <c r="I13" s="617">
        <v>389.58187739332823</v>
      </c>
      <c r="J13" s="532">
        <f t="shared" si="1"/>
        <v>-0.61396536462376616</v>
      </c>
      <c r="K13" s="635">
        <f>-(H13-I13)*(1-H$25)/H$32</f>
        <v>5.7991301579251196E-3</v>
      </c>
      <c r="L13" s="720">
        <f>Financials!AW12</f>
        <v>415.38553130498246</v>
      </c>
      <c r="M13" s="617">
        <v>414.32362498610144</v>
      </c>
      <c r="N13" s="532">
        <f t="shared" ref="N13:N18" si="4">L13-M13</f>
        <v>1.0619063188810287</v>
      </c>
      <c r="O13" s="643">
        <f>-(L13-M13)*(1-L$25)/L$32</f>
        <v>-1.0132204876354248E-2</v>
      </c>
      <c r="P13" s="497"/>
    </row>
    <row r="14" spans="2:16">
      <c r="B14" s="484"/>
      <c r="C14" s="505" t="s">
        <v>93</v>
      </c>
      <c r="D14" s="496">
        <f>D13/D8</f>
        <v>8.7796394398703709E-2</v>
      </c>
      <c r="E14" s="559">
        <v>8.9735895520110937E-2</v>
      </c>
      <c r="F14" s="494">
        <f t="shared" si="3"/>
        <v>-1.9395011214072277E-3</v>
      </c>
      <c r="G14" s="635"/>
      <c r="H14" s="560">
        <f>H13/H8</f>
        <v>7.5971259796990473E-2</v>
      </c>
      <c r="I14" s="559">
        <v>7.7906870840423109E-2</v>
      </c>
      <c r="J14" s="494">
        <f t="shared" si="1"/>
        <v>-1.9356110434326362E-3</v>
      </c>
      <c r="K14" s="635"/>
      <c r="L14" s="560">
        <f>L13/L8</f>
        <v>7.9226188702359965E-2</v>
      </c>
      <c r="M14" s="559">
        <v>8.1160016950362027E-2</v>
      </c>
      <c r="N14" s="494">
        <f t="shared" si="4"/>
        <v>-1.9338282480020619E-3</v>
      </c>
      <c r="O14" s="643"/>
      <c r="P14" s="485"/>
    </row>
    <row r="15" spans="2:16" s="552" customFormat="1">
      <c r="B15" s="615"/>
      <c r="C15" s="616" t="s">
        <v>94</v>
      </c>
      <c r="D15" s="617">
        <f>Financials!AI14</f>
        <v>3.5</v>
      </c>
      <c r="E15" s="617">
        <v>3.5</v>
      </c>
      <c r="F15" s="532">
        <f t="shared" si="3"/>
        <v>0</v>
      </c>
      <c r="G15" s="635">
        <f t="shared" ref="G15:G16" si="5">-(D15-E15)*(1-D$25)/D$32</f>
        <v>0</v>
      </c>
      <c r="H15" s="720">
        <f>Financials!AV14</f>
        <v>14</v>
      </c>
      <c r="I15" s="617">
        <v>14</v>
      </c>
      <c r="J15" s="532">
        <f t="shared" si="1"/>
        <v>0</v>
      </c>
      <c r="K15" s="635">
        <f t="shared" ref="K15:K16" si="6">-(H15-I15)*(1-H$25)/H$32</f>
        <v>0</v>
      </c>
      <c r="L15" s="720">
        <f>Financials!AW14</f>
        <v>13</v>
      </c>
      <c r="M15" s="617">
        <v>13</v>
      </c>
      <c r="N15" s="532">
        <f t="shared" si="4"/>
        <v>0</v>
      </c>
      <c r="O15" s="643">
        <f t="shared" ref="O15:O16" si="7">-(L15-M15)*(1-L$25)/L$32</f>
        <v>0</v>
      </c>
      <c r="P15" s="497"/>
    </row>
    <row r="16" spans="2:16" s="552" customFormat="1">
      <c r="B16" s="615"/>
      <c r="C16" s="618" t="s">
        <v>157</v>
      </c>
      <c r="D16" s="619">
        <f>Financials!AI15</f>
        <v>0</v>
      </c>
      <c r="E16" s="619">
        <v>0</v>
      </c>
      <c r="F16" s="620">
        <f t="shared" si="3"/>
        <v>0</v>
      </c>
      <c r="G16" s="633">
        <f t="shared" si="5"/>
        <v>0</v>
      </c>
      <c r="H16" s="721">
        <f>Financials!AV15</f>
        <v>0</v>
      </c>
      <c r="I16" s="619">
        <v>0</v>
      </c>
      <c r="J16" s="620">
        <f t="shared" si="1"/>
        <v>0</v>
      </c>
      <c r="K16" s="633">
        <f t="shared" si="6"/>
        <v>0</v>
      </c>
      <c r="L16" s="721">
        <f>Financials!AW15</f>
        <v>0</v>
      </c>
      <c r="M16" s="619">
        <v>0</v>
      </c>
      <c r="N16" s="620">
        <f t="shared" si="4"/>
        <v>0</v>
      </c>
      <c r="O16" s="642">
        <f t="shared" si="7"/>
        <v>0</v>
      </c>
      <c r="P16" s="497"/>
    </row>
    <row r="17" spans="2:16" s="613" customFormat="1">
      <c r="B17" s="520"/>
      <c r="C17" s="576" t="s">
        <v>96</v>
      </c>
      <c r="D17" s="585">
        <f>D10-D13-D15-D16</f>
        <v>145.93376000000006</v>
      </c>
      <c r="E17" s="578">
        <v>140.17080000000001</v>
      </c>
      <c r="F17" s="611">
        <f t="shared" si="3"/>
        <v>5.7629600000000494</v>
      </c>
      <c r="G17" s="632">
        <f>(D17-E17)*(1-D$25)/D$32</f>
        <v>5.4014241365871685E-2</v>
      </c>
      <c r="H17" s="647">
        <f>H10-H13-H15-H16</f>
        <v>633.72955500000012</v>
      </c>
      <c r="I17" s="578">
        <v>608.95436000000029</v>
      </c>
      <c r="J17" s="611">
        <f t="shared" si="1"/>
        <v>24.775194999999826</v>
      </c>
      <c r="K17" s="632">
        <f>(H17-I17)*(1-H$25)/H$32</f>
        <v>0.23401088851488783</v>
      </c>
      <c r="L17" s="647">
        <f>L10-L13-L15-L16</f>
        <v>633.2371562138261</v>
      </c>
      <c r="M17" s="578">
        <v>606.35410243230001</v>
      </c>
      <c r="N17" s="611">
        <f t="shared" si="4"/>
        <v>26.883053781526087</v>
      </c>
      <c r="O17" s="572">
        <f>(L17-M17)*(1-L$25)/L$32</f>
        <v>0.25650530915334807</v>
      </c>
      <c r="P17" s="612"/>
    </row>
    <row r="18" spans="2:16">
      <c r="B18" s="484"/>
      <c r="C18" s="505" t="s">
        <v>28</v>
      </c>
      <c r="D18" s="496">
        <f>D17/D8</f>
        <v>0.11200000000000004</v>
      </c>
      <c r="E18" s="559">
        <v>0.11</v>
      </c>
      <c r="F18" s="496">
        <f t="shared" si="3"/>
        <v>2.0000000000000434E-3</v>
      </c>
      <c r="G18" s="635"/>
      <c r="H18" s="560">
        <f>H17/H8</f>
        <v>0.12377687509704714</v>
      </c>
      <c r="I18" s="559">
        <v>0.12177601532613026</v>
      </c>
      <c r="J18" s="496">
        <f t="shared" si="1"/>
        <v>2.0008597709168796E-3</v>
      </c>
      <c r="K18" s="635"/>
      <c r="L18" s="560">
        <f>L17/L8</f>
        <v>0.12077687509704703</v>
      </c>
      <c r="M18" s="559">
        <v>0.11877601532613025</v>
      </c>
      <c r="N18" s="496">
        <f t="shared" si="4"/>
        <v>2.0008597709167825E-3</v>
      </c>
      <c r="O18" s="643"/>
      <c r="P18" s="485"/>
    </row>
    <row r="19" spans="2:16">
      <c r="B19" s="484"/>
      <c r="C19" s="505"/>
      <c r="D19" s="496"/>
      <c r="E19" s="559"/>
      <c r="F19" s="496"/>
      <c r="G19" s="635"/>
      <c r="H19" s="560"/>
      <c r="I19" s="559"/>
      <c r="J19" s="496"/>
      <c r="K19" s="635"/>
      <c r="L19" s="560"/>
      <c r="M19" s="559"/>
      <c r="N19" s="496"/>
      <c r="O19" s="643"/>
      <c r="P19" s="485"/>
    </row>
    <row r="20" spans="2:16">
      <c r="B20" s="484"/>
      <c r="C20" s="489" t="s">
        <v>30</v>
      </c>
      <c r="D20" s="490">
        <f>Financials!AI19</f>
        <v>15.733750000000001</v>
      </c>
      <c r="E20" s="490">
        <v>15.733750000000001</v>
      </c>
      <c r="F20" s="558">
        <f t="shared" ref="F20:F22" si="8">D20-E20</f>
        <v>0</v>
      </c>
      <c r="G20" s="636">
        <f t="shared" ref="G20" si="9">-(D20-E20)*(1-D$25)/D$32</f>
        <v>0</v>
      </c>
      <c r="H20" s="564">
        <f>Financials!AV19</f>
        <v>62.935000000000002</v>
      </c>
      <c r="I20" s="490">
        <v>62.935000000000002</v>
      </c>
      <c r="J20" s="558">
        <f t="shared" si="1"/>
        <v>0</v>
      </c>
      <c r="K20" s="636">
        <f t="shared" ref="K20" si="10">-(H20-I20)*(1-H$25)/H$32</f>
        <v>0</v>
      </c>
      <c r="L20" s="564">
        <f>Financials!AW19</f>
        <v>62.935000000000002</v>
      </c>
      <c r="M20" s="490">
        <v>62.935000000000002</v>
      </c>
      <c r="N20" s="558">
        <f t="shared" ref="N20:N22" si="11">L20-M20</f>
        <v>0</v>
      </c>
      <c r="O20" s="644">
        <f t="shared" ref="O20" si="12">-(L20-M20)*(1-L$25)/L$32</f>
        <v>0</v>
      </c>
      <c r="P20" s="506"/>
    </row>
    <row r="21" spans="2:16">
      <c r="B21" s="484"/>
      <c r="C21" s="510" t="s">
        <v>98</v>
      </c>
      <c r="D21" s="561">
        <f>Financials!AI21</f>
        <v>0</v>
      </c>
      <c r="E21" s="561">
        <v>0</v>
      </c>
      <c r="F21" s="562">
        <f t="shared" si="8"/>
        <v>0</v>
      </c>
      <c r="G21" s="637">
        <f t="shared" ref="G21:G22" si="13">(D21-E21)*(1-D$25)/D$32</f>
        <v>0</v>
      </c>
      <c r="H21" s="719">
        <f>Financials!AV21</f>
        <v>0</v>
      </c>
      <c r="I21" s="561">
        <v>0</v>
      </c>
      <c r="J21" s="562">
        <f t="shared" si="1"/>
        <v>0</v>
      </c>
      <c r="K21" s="637">
        <f t="shared" ref="K21:K22" si="14">(H21-I21)*(1-H$25)/H$32</f>
        <v>0</v>
      </c>
      <c r="L21" s="719">
        <f>Financials!AW21</f>
        <v>0</v>
      </c>
      <c r="M21" s="561">
        <v>0</v>
      </c>
      <c r="N21" s="562">
        <f t="shared" si="11"/>
        <v>0</v>
      </c>
      <c r="O21" s="645">
        <f t="shared" ref="O21:O22" si="15">(L21-M21)*(1-L$25)/L$32</f>
        <v>0</v>
      </c>
      <c r="P21" s="506"/>
    </row>
    <row r="22" spans="2:16">
      <c r="B22" s="484"/>
      <c r="C22" s="489" t="s">
        <v>99</v>
      </c>
      <c r="D22" s="491">
        <f>D17-D20+D21</f>
        <v>130.20001000000008</v>
      </c>
      <c r="E22" s="490">
        <v>124.43705000000001</v>
      </c>
      <c r="F22" s="558">
        <f t="shared" si="8"/>
        <v>5.7629600000000636</v>
      </c>
      <c r="G22" s="636">
        <f t="shared" si="13"/>
        <v>5.4014241365871823E-2</v>
      </c>
      <c r="H22" s="563">
        <f>H17-H20+H21</f>
        <v>570.79455500000017</v>
      </c>
      <c r="I22" s="490">
        <v>546.01936000000023</v>
      </c>
      <c r="J22" s="558">
        <f t="shared" si="1"/>
        <v>24.77519499999994</v>
      </c>
      <c r="K22" s="636">
        <f t="shared" si="14"/>
        <v>0.23401088851488891</v>
      </c>
      <c r="L22" s="563">
        <f>L17-L20+L21</f>
        <v>570.30215621382604</v>
      </c>
      <c r="M22" s="490">
        <v>543.41910243229995</v>
      </c>
      <c r="N22" s="558">
        <f t="shared" si="11"/>
        <v>26.883053781526087</v>
      </c>
      <c r="O22" s="644">
        <f t="shared" si="15"/>
        <v>0.25650530915334807</v>
      </c>
      <c r="P22" s="506"/>
    </row>
    <row r="23" spans="2:16">
      <c r="B23" s="484"/>
      <c r="C23" s="489"/>
      <c r="D23" s="490"/>
      <c r="E23" s="490"/>
      <c r="F23" s="558"/>
      <c r="G23" s="636"/>
      <c r="H23" s="564"/>
      <c r="I23" s="490"/>
      <c r="J23" s="558"/>
      <c r="K23" s="636"/>
      <c r="L23" s="564"/>
      <c r="M23" s="490"/>
      <c r="N23" s="558"/>
      <c r="O23" s="644"/>
      <c r="P23" s="506"/>
    </row>
    <row r="24" spans="2:16" s="488" customFormat="1">
      <c r="B24" s="484"/>
      <c r="C24" s="489" t="s">
        <v>100</v>
      </c>
      <c r="D24" s="490">
        <f>Financials!AI24</f>
        <v>22.134001700000006</v>
      </c>
      <c r="E24" s="490">
        <v>21.154298500000003</v>
      </c>
      <c r="F24" s="558">
        <f t="shared" ref="F24:F28" si="16">D24-E24</f>
        <v>0.97970320000000299</v>
      </c>
      <c r="G24" s="636">
        <f>G30-G22-G26-G27-G32</f>
        <v>-8.3266726846886741E-17</v>
      </c>
      <c r="H24" s="564">
        <f>Financials!AV24</f>
        <v>97.035074350000016</v>
      </c>
      <c r="I24" s="490">
        <v>92.8232912</v>
      </c>
      <c r="J24" s="558">
        <f t="shared" si="1"/>
        <v>4.2117831500000165</v>
      </c>
      <c r="K24" s="636">
        <f>K30-K22-K26-K27-K32</f>
        <v>-8.3266726846886741E-17</v>
      </c>
      <c r="L24" s="564">
        <f>Financials!AW24</f>
        <v>96.951366556350493</v>
      </c>
      <c r="M24" s="490">
        <v>92.381247413490911</v>
      </c>
      <c r="N24" s="558">
        <f t="shared" ref="N24:N28" si="17">L24-M24</f>
        <v>4.570119142859582</v>
      </c>
      <c r="O24" s="644">
        <f>O30-O22-O26-O27-O32</f>
        <v>-1.8318679906315083E-15</v>
      </c>
      <c r="P24" s="506"/>
    </row>
    <row r="25" spans="2:16">
      <c r="B25" s="484"/>
      <c r="C25" s="517" t="s">
        <v>32</v>
      </c>
      <c r="D25" s="515">
        <f>D24/D22</f>
        <v>0.16999999999999996</v>
      </c>
      <c r="E25" s="519">
        <v>0.17</v>
      </c>
      <c r="F25" s="515">
        <f t="shared" si="16"/>
        <v>0</v>
      </c>
      <c r="G25" s="633"/>
      <c r="H25" s="565">
        <f>H24/H22</f>
        <v>0.16999999999999998</v>
      </c>
      <c r="I25" s="519">
        <v>0.16999999999999993</v>
      </c>
      <c r="J25" s="515">
        <f t="shared" si="1"/>
        <v>0</v>
      </c>
      <c r="K25" s="633"/>
      <c r="L25" s="565">
        <f>L24/L22</f>
        <v>0.17000000000000012</v>
      </c>
      <c r="M25" s="519">
        <v>0.16999999999999985</v>
      </c>
      <c r="N25" s="515">
        <f t="shared" si="17"/>
        <v>2.7755575615628914E-16</v>
      </c>
      <c r="O25" s="642"/>
      <c r="P25" s="506"/>
    </row>
    <row r="26" spans="2:16">
      <c r="B26" s="484"/>
      <c r="C26" s="489" t="s">
        <v>102</v>
      </c>
      <c r="D26" s="490">
        <f>Financials!AI27</f>
        <v>1</v>
      </c>
      <c r="E26" s="490">
        <v>1</v>
      </c>
      <c r="F26" s="558">
        <f t="shared" si="16"/>
        <v>0</v>
      </c>
      <c r="G26" s="636">
        <f>(D26-E26)/D32</f>
        <v>0</v>
      </c>
      <c r="H26" s="564">
        <f>Financials!AV27</f>
        <v>4</v>
      </c>
      <c r="I26" s="490">
        <v>4</v>
      </c>
      <c r="J26" s="558">
        <f t="shared" si="1"/>
        <v>0</v>
      </c>
      <c r="K26" s="636">
        <f>(H26-I26)/H32</f>
        <v>0</v>
      </c>
      <c r="L26" s="564">
        <f>Financials!AW27</f>
        <v>4</v>
      </c>
      <c r="M26" s="490">
        <v>4</v>
      </c>
      <c r="N26" s="558">
        <f t="shared" si="17"/>
        <v>0</v>
      </c>
      <c r="O26" s="644">
        <f>(L26-M26)/L32</f>
        <v>0</v>
      </c>
      <c r="P26" s="506"/>
    </row>
    <row r="27" spans="2:16">
      <c r="B27" s="484"/>
      <c r="C27" s="489" t="s">
        <v>103</v>
      </c>
      <c r="D27" s="490">
        <f>Financials!AI28</f>
        <v>9</v>
      </c>
      <c r="E27" s="490">
        <v>9</v>
      </c>
      <c r="F27" s="558">
        <f t="shared" si="16"/>
        <v>0</v>
      </c>
      <c r="G27" s="636">
        <f>(D27-E27)/D32</f>
        <v>0</v>
      </c>
      <c r="H27" s="564">
        <f>Financials!AV28</f>
        <v>36</v>
      </c>
      <c r="I27" s="490">
        <v>36</v>
      </c>
      <c r="J27" s="558">
        <f t="shared" si="1"/>
        <v>0</v>
      </c>
      <c r="K27" s="636">
        <f>(H27-I27)/H32</f>
        <v>0</v>
      </c>
      <c r="L27" s="564">
        <f>Financials!AW28</f>
        <v>36</v>
      </c>
      <c r="M27" s="490">
        <v>36</v>
      </c>
      <c r="N27" s="558">
        <f t="shared" si="17"/>
        <v>0</v>
      </c>
      <c r="O27" s="644">
        <f>(L27-M27)/L32</f>
        <v>0</v>
      </c>
      <c r="P27" s="506"/>
    </row>
    <row r="28" spans="2:16">
      <c r="B28" s="520"/>
      <c r="C28" s="521" t="s">
        <v>104</v>
      </c>
      <c r="D28" s="566">
        <f>D22-D24+D26-D27</f>
        <v>100.06600830000008</v>
      </c>
      <c r="E28" s="523">
        <v>95.282751500000018</v>
      </c>
      <c r="F28" s="567">
        <f t="shared" si="16"/>
        <v>4.7832568000000606</v>
      </c>
      <c r="G28" s="638"/>
      <c r="H28" s="568">
        <f>H22-H24+H26-H27</f>
        <v>441.75948065000017</v>
      </c>
      <c r="I28" s="523">
        <v>421.19606880000026</v>
      </c>
      <c r="J28" s="567">
        <f t="shared" si="1"/>
        <v>20.563411849999909</v>
      </c>
      <c r="K28" s="638"/>
      <c r="L28" s="568">
        <f>L22-L24+L26-L27</f>
        <v>441.35078965747556</v>
      </c>
      <c r="M28" s="523">
        <v>419.03785501880907</v>
      </c>
      <c r="N28" s="567">
        <f t="shared" si="17"/>
        <v>22.312934638666491</v>
      </c>
      <c r="O28" s="646"/>
      <c r="P28" s="527"/>
    </row>
    <row r="29" spans="2:16">
      <c r="B29" s="484"/>
      <c r="C29" s="528"/>
      <c r="D29" s="530"/>
      <c r="E29" s="530"/>
      <c r="F29" s="569"/>
      <c r="G29" s="636"/>
      <c r="H29" s="570"/>
      <c r="I29" s="530"/>
      <c r="J29" s="569"/>
      <c r="K29" s="636"/>
      <c r="L29" s="570"/>
      <c r="M29" s="530"/>
      <c r="N29" s="569"/>
      <c r="O29" s="644"/>
      <c r="P29" s="506"/>
    </row>
    <row r="30" spans="2:16">
      <c r="B30" s="533"/>
      <c r="C30" s="534" t="s">
        <v>234</v>
      </c>
      <c r="D30" s="571">
        <f>D28/D32</f>
        <v>1.1299810465613045</v>
      </c>
      <c r="E30" s="536">
        <v>1.0759668051954328</v>
      </c>
      <c r="F30" s="572">
        <f t="shared" ref="F30" si="18">D30-E30</f>
        <v>5.401424136587174E-2</v>
      </c>
      <c r="G30" s="632">
        <f>D30-E30</f>
        <v>5.401424136587174E-2</v>
      </c>
      <c r="H30" s="573">
        <f>H28/H32</f>
        <v>5.0272070282336276</v>
      </c>
      <c r="I30" s="536">
        <v>4.7931961397187388</v>
      </c>
      <c r="J30" s="572">
        <f t="shared" si="1"/>
        <v>0.23401088851488883</v>
      </c>
      <c r="K30" s="632">
        <f>H30-I30</f>
        <v>0.23401088851488883</v>
      </c>
      <c r="L30" s="573">
        <f>L28/L32</f>
        <v>5.0736858499097934</v>
      </c>
      <c r="M30" s="536">
        <v>4.8171805407564472</v>
      </c>
      <c r="N30" s="572">
        <f t="shared" ref="N30" si="19">L30-M30</f>
        <v>0.25650530915334624</v>
      </c>
      <c r="O30" s="572">
        <f>L30-M30</f>
        <v>0.25650530915334624</v>
      </c>
      <c r="P30" s="527"/>
    </row>
    <row r="31" spans="2:16">
      <c r="B31" s="484"/>
      <c r="C31" s="528"/>
      <c r="D31" s="542"/>
      <c r="E31" s="542"/>
      <c r="F31" s="528"/>
      <c r="G31" s="631"/>
      <c r="H31" s="574"/>
      <c r="I31" s="542"/>
      <c r="J31" s="528"/>
      <c r="K31" s="631"/>
      <c r="L31" s="574"/>
      <c r="M31" s="542"/>
      <c r="N31" s="528"/>
      <c r="P31" s="546"/>
    </row>
    <row r="32" spans="2:16" s="548" customFormat="1">
      <c r="B32" s="484"/>
      <c r="C32" s="489" t="s">
        <v>109</v>
      </c>
      <c r="D32" s="490">
        <f>Financials!AI35</f>
        <v>88.555474982979035</v>
      </c>
      <c r="E32" s="490">
        <v>88.555474982979035</v>
      </c>
      <c r="F32" s="558">
        <f t="shared" ref="F32" si="20">D32-E32</f>
        <v>0</v>
      </c>
      <c r="G32" s="636">
        <f>D28/D32-D28/E32</f>
        <v>0</v>
      </c>
      <c r="H32" s="564">
        <f>Financials!AV35</f>
        <v>87.87373946786073</v>
      </c>
      <c r="I32" s="490">
        <v>87.87373946786073</v>
      </c>
      <c r="J32" s="558">
        <f t="shared" si="1"/>
        <v>0</v>
      </c>
      <c r="K32" s="636">
        <f>H28/H32-H28/I32</f>
        <v>0</v>
      </c>
      <c r="L32" s="564">
        <f>Financials!AW35</f>
        <v>86.988198070111579</v>
      </c>
      <c r="M32" s="490">
        <v>86.988198070111579</v>
      </c>
      <c r="N32" s="558">
        <f t="shared" ref="N32" si="21">L32-M32</f>
        <v>0</v>
      </c>
      <c r="O32" s="644">
        <f>L28/L32-L28/M32</f>
        <v>0</v>
      </c>
      <c r="P32" s="506"/>
    </row>
    <row r="33" spans="2:16" s="488" customFormat="1">
      <c r="B33" s="484"/>
      <c r="C33" s="528"/>
      <c r="D33" s="542"/>
      <c r="E33" s="542"/>
      <c r="F33" s="575"/>
      <c r="G33" s="631"/>
      <c r="H33" s="574"/>
      <c r="I33" s="542"/>
      <c r="J33" s="575"/>
      <c r="K33" s="631"/>
      <c r="L33" s="574"/>
      <c r="M33" s="542"/>
      <c r="N33" s="575"/>
      <c r="O33" s="640"/>
      <c r="P33" s="506"/>
    </row>
    <row r="34" spans="2:16">
      <c r="B34" s="484"/>
      <c r="C34" s="489" t="s">
        <v>174</v>
      </c>
      <c r="D34" s="490">
        <f>Financials!AI151</f>
        <v>14.727673722893513</v>
      </c>
      <c r="E34" s="490">
        <v>12.55018459197845</v>
      </c>
      <c r="F34" s="558">
        <f t="shared" ref="F34:F35" si="22">D34-E34</f>
        <v>2.1774891309150632</v>
      </c>
      <c r="G34" s="636"/>
      <c r="H34" s="564">
        <f>Financials!AV151</f>
        <v>168.28869351349647</v>
      </c>
      <c r="I34" s="490">
        <v>158.55919201588642</v>
      </c>
      <c r="J34" s="558">
        <f t="shared" si="1"/>
        <v>9.7295014976100447</v>
      </c>
      <c r="K34" s="636"/>
      <c r="L34" s="564">
        <f>Financials!AW151</f>
        <v>263.96852454899852</v>
      </c>
      <c r="M34" s="490">
        <v>244.91408533186257</v>
      </c>
      <c r="N34" s="558">
        <f t="shared" ref="N34:N35" si="23">L34-M34</f>
        <v>19.05443921713595</v>
      </c>
      <c r="O34" s="644"/>
      <c r="P34" s="506"/>
    </row>
    <row r="35" spans="2:16">
      <c r="B35" s="484"/>
      <c r="C35" s="489" t="s">
        <v>34</v>
      </c>
      <c r="D35" s="490">
        <f>-Financials!AI130</f>
        <v>72.5</v>
      </c>
      <c r="E35" s="490">
        <v>72.5</v>
      </c>
      <c r="F35" s="558">
        <f t="shared" si="22"/>
        <v>0</v>
      </c>
      <c r="G35" s="636"/>
      <c r="H35" s="564">
        <f>-Financials!AV130</f>
        <v>290</v>
      </c>
      <c r="I35" s="490">
        <v>290</v>
      </c>
      <c r="J35" s="558">
        <f t="shared" si="1"/>
        <v>0</v>
      </c>
      <c r="K35" s="636"/>
      <c r="L35" s="564">
        <f>-Financials!AW130</f>
        <v>297.77665597926148</v>
      </c>
      <c r="M35" s="490">
        <v>290.87607100427567</v>
      </c>
      <c r="N35" s="558">
        <f t="shared" si="23"/>
        <v>6.9005849749858044</v>
      </c>
      <c r="O35" s="644"/>
      <c r="P35" s="506"/>
    </row>
    <row r="36" spans="2:16" ht="15.75" thickBot="1">
      <c r="B36" s="507"/>
      <c r="C36" s="508"/>
      <c r="D36" s="508"/>
      <c r="E36" s="508"/>
      <c r="F36" s="508"/>
      <c r="G36" s="639"/>
      <c r="H36" s="508"/>
      <c r="I36" s="508"/>
      <c r="J36" s="508"/>
      <c r="K36" s="639"/>
      <c r="L36" s="508"/>
      <c r="M36" s="508"/>
      <c r="N36" s="508"/>
      <c r="O36" s="639"/>
      <c r="P36" s="509"/>
    </row>
  </sheetData>
  <conditionalFormatting sqref="F25 F18">
    <cfRule type="cellIs" dxfId="11" priority="12" stopIfTrue="1" operator="lessThan">
      <formula>0</formula>
    </cfRule>
  </conditionalFormatting>
  <conditionalFormatting sqref="N25 N18">
    <cfRule type="cellIs" dxfId="10" priority="8" stopIfTrue="1" operator="lessThan">
      <formula>0</formula>
    </cfRule>
  </conditionalFormatting>
  <conditionalFormatting sqref="N11">
    <cfRule type="cellIs" dxfId="9" priority="7" stopIfTrue="1" operator="lessThan">
      <formula>0</formula>
    </cfRule>
  </conditionalFormatting>
  <conditionalFormatting sqref="J25 J18">
    <cfRule type="cellIs" dxfId="8" priority="16" stopIfTrue="1" operator="lessThan">
      <formula>0</formula>
    </cfRule>
  </conditionalFormatting>
  <conditionalFormatting sqref="J11">
    <cfRule type="cellIs" dxfId="7" priority="15" stopIfTrue="1" operator="lessThan">
      <formula>0</formula>
    </cfRule>
  </conditionalFormatting>
  <conditionalFormatting sqref="F11">
    <cfRule type="cellIs" dxfId="6" priority="11" stopIfTrue="1" operator="lessThan">
      <formula>0</formula>
    </cfRule>
  </conditionalFormatting>
  <conditionalFormatting sqref="G6">
    <cfRule type="cellIs" dxfId="5" priority="6" stopIfTrue="1" operator="lessThan">
      <formula>0</formula>
    </cfRule>
  </conditionalFormatting>
  <conditionalFormatting sqref="G8:G35">
    <cfRule type="cellIs" dxfId="4" priority="5" stopIfTrue="1" operator="lessThan">
      <formula>0</formula>
    </cfRule>
  </conditionalFormatting>
  <conditionalFormatting sqref="K6">
    <cfRule type="cellIs" dxfId="3" priority="4" stopIfTrue="1" operator="lessThan">
      <formula>0</formula>
    </cfRule>
  </conditionalFormatting>
  <conditionalFormatting sqref="K8:K35">
    <cfRule type="cellIs" dxfId="2" priority="3" stopIfTrue="1" operator="lessThan">
      <formula>0</formula>
    </cfRule>
  </conditionalFormatting>
  <conditionalFormatting sqref="O6">
    <cfRule type="cellIs" dxfId="1" priority="2" stopIfTrue="1" operator="lessThan">
      <formula>0</formula>
    </cfRule>
  </conditionalFormatting>
  <conditionalFormatting sqref="O8:O35">
    <cfRule type="cellIs" dxfId="0" priority="1" stopIfTrue="1" operator="lessThan">
      <formula>0</formula>
    </cfRule>
  </conditionalFormatting>
  <pageMargins left="0" right="0" top="0" bottom="0" header="0" footer="0"/>
  <pageSetup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B2:L11"/>
  <sheetViews>
    <sheetView zoomScale="85" zoomScaleNormal="85" workbookViewId="0">
      <selection activeCell="F30" sqref="F30"/>
    </sheetView>
  </sheetViews>
  <sheetFormatPr defaultRowHeight="15"/>
  <cols>
    <col min="1" max="1" width="3.140625" style="693" customWidth="1"/>
    <col min="2" max="2" width="38.85546875" style="693" bestFit="1" customWidth="1"/>
    <col min="3" max="4" width="10.28515625" style="698" customWidth="1"/>
    <col min="5" max="5" width="10.28515625" style="696" customWidth="1"/>
    <col min="6" max="7" width="10.28515625" style="697" customWidth="1"/>
    <col min="8" max="8" width="3.140625" style="693" customWidth="1"/>
    <col min="9" max="12" width="10.28515625" style="697" customWidth="1"/>
    <col min="13" max="13" width="3.140625" style="693" customWidth="1"/>
    <col min="14" max="256" width="9.140625" style="693"/>
    <col min="257" max="257" width="3.140625" style="693" customWidth="1"/>
    <col min="258" max="258" width="38.85546875" style="693" bestFit="1" customWidth="1"/>
    <col min="259" max="263" width="10.28515625" style="693" customWidth="1"/>
    <col min="264" max="264" width="3.140625" style="693" customWidth="1"/>
    <col min="265" max="268" width="10.28515625" style="693" customWidth="1"/>
    <col min="269" max="269" width="3.140625" style="693" customWidth="1"/>
    <col min="270" max="512" width="9.140625" style="693"/>
    <col min="513" max="513" width="3.140625" style="693" customWidth="1"/>
    <col min="514" max="514" width="38.85546875" style="693" bestFit="1" customWidth="1"/>
    <col min="515" max="519" width="10.28515625" style="693" customWidth="1"/>
    <col min="520" max="520" width="3.140625" style="693" customWidth="1"/>
    <col min="521" max="524" width="10.28515625" style="693" customWidth="1"/>
    <col min="525" max="525" width="3.140625" style="693" customWidth="1"/>
    <col min="526" max="768" width="9.140625" style="693"/>
    <col min="769" max="769" width="3.140625" style="693" customWidth="1"/>
    <col min="770" max="770" width="38.85546875" style="693" bestFit="1" customWidth="1"/>
    <col min="771" max="775" width="10.28515625" style="693" customWidth="1"/>
    <col min="776" max="776" width="3.140625" style="693" customWidth="1"/>
    <col min="777" max="780" width="10.28515625" style="693" customWidth="1"/>
    <col min="781" max="781" width="3.140625" style="693" customWidth="1"/>
    <col min="782" max="1024" width="9.140625" style="693"/>
    <col min="1025" max="1025" width="3.140625" style="693" customWidth="1"/>
    <col min="1026" max="1026" width="38.85546875" style="693" bestFit="1" customWidth="1"/>
    <col min="1027" max="1031" width="10.28515625" style="693" customWidth="1"/>
    <col min="1032" max="1032" width="3.140625" style="693" customWidth="1"/>
    <col min="1033" max="1036" width="10.28515625" style="693" customWidth="1"/>
    <col min="1037" max="1037" width="3.140625" style="693" customWidth="1"/>
    <col min="1038" max="1280" width="9.140625" style="693"/>
    <col min="1281" max="1281" width="3.140625" style="693" customWidth="1"/>
    <col min="1282" max="1282" width="38.85546875" style="693" bestFit="1" customWidth="1"/>
    <col min="1283" max="1287" width="10.28515625" style="693" customWidth="1"/>
    <col min="1288" max="1288" width="3.140625" style="693" customWidth="1"/>
    <col min="1289" max="1292" width="10.28515625" style="693" customWidth="1"/>
    <col min="1293" max="1293" width="3.140625" style="693" customWidth="1"/>
    <col min="1294" max="1536" width="9.140625" style="693"/>
    <col min="1537" max="1537" width="3.140625" style="693" customWidth="1"/>
    <col min="1538" max="1538" width="38.85546875" style="693" bestFit="1" customWidth="1"/>
    <col min="1539" max="1543" width="10.28515625" style="693" customWidth="1"/>
    <col min="1544" max="1544" width="3.140625" style="693" customWidth="1"/>
    <col min="1545" max="1548" width="10.28515625" style="693" customWidth="1"/>
    <col min="1549" max="1549" width="3.140625" style="693" customWidth="1"/>
    <col min="1550" max="1792" width="9.140625" style="693"/>
    <col min="1793" max="1793" width="3.140625" style="693" customWidth="1"/>
    <col min="1794" max="1794" width="38.85546875" style="693" bestFit="1" customWidth="1"/>
    <col min="1795" max="1799" width="10.28515625" style="693" customWidth="1"/>
    <col min="1800" max="1800" width="3.140625" style="693" customWidth="1"/>
    <col min="1801" max="1804" width="10.28515625" style="693" customWidth="1"/>
    <col min="1805" max="1805" width="3.140625" style="693" customWidth="1"/>
    <col min="1806" max="2048" width="9.140625" style="693"/>
    <col min="2049" max="2049" width="3.140625" style="693" customWidth="1"/>
    <col min="2050" max="2050" width="38.85546875" style="693" bestFit="1" customWidth="1"/>
    <col min="2051" max="2055" width="10.28515625" style="693" customWidth="1"/>
    <col min="2056" max="2056" width="3.140625" style="693" customWidth="1"/>
    <col min="2057" max="2060" width="10.28515625" style="693" customWidth="1"/>
    <col min="2061" max="2061" width="3.140625" style="693" customWidth="1"/>
    <col min="2062" max="2304" width="9.140625" style="693"/>
    <col min="2305" max="2305" width="3.140625" style="693" customWidth="1"/>
    <col min="2306" max="2306" width="38.85546875" style="693" bestFit="1" customWidth="1"/>
    <col min="2307" max="2311" width="10.28515625" style="693" customWidth="1"/>
    <col min="2312" max="2312" width="3.140625" style="693" customWidth="1"/>
    <col min="2313" max="2316" width="10.28515625" style="693" customWidth="1"/>
    <col min="2317" max="2317" width="3.140625" style="693" customWidth="1"/>
    <col min="2318" max="2560" width="9.140625" style="693"/>
    <col min="2561" max="2561" width="3.140625" style="693" customWidth="1"/>
    <col min="2562" max="2562" width="38.85546875" style="693" bestFit="1" customWidth="1"/>
    <col min="2563" max="2567" width="10.28515625" style="693" customWidth="1"/>
    <col min="2568" max="2568" width="3.140625" style="693" customWidth="1"/>
    <col min="2569" max="2572" width="10.28515625" style="693" customWidth="1"/>
    <col min="2573" max="2573" width="3.140625" style="693" customWidth="1"/>
    <col min="2574" max="2816" width="9.140625" style="693"/>
    <col min="2817" max="2817" width="3.140625" style="693" customWidth="1"/>
    <col min="2818" max="2818" width="38.85546875" style="693" bestFit="1" customWidth="1"/>
    <col min="2819" max="2823" width="10.28515625" style="693" customWidth="1"/>
    <col min="2824" max="2824" width="3.140625" style="693" customWidth="1"/>
    <col min="2825" max="2828" width="10.28515625" style="693" customWidth="1"/>
    <col min="2829" max="2829" width="3.140625" style="693" customWidth="1"/>
    <col min="2830" max="3072" width="9.140625" style="693"/>
    <col min="3073" max="3073" width="3.140625" style="693" customWidth="1"/>
    <col min="3074" max="3074" width="38.85546875" style="693" bestFit="1" customWidth="1"/>
    <col min="3075" max="3079" width="10.28515625" style="693" customWidth="1"/>
    <col min="3080" max="3080" width="3.140625" style="693" customWidth="1"/>
    <col min="3081" max="3084" width="10.28515625" style="693" customWidth="1"/>
    <col min="3085" max="3085" width="3.140625" style="693" customWidth="1"/>
    <col min="3086" max="3328" width="9.140625" style="693"/>
    <col min="3329" max="3329" width="3.140625" style="693" customWidth="1"/>
    <col min="3330" max="3330" width="38.85546875" style="693" bestFit="1" customWidth="1"/>
    <col min="3331" max="3335" width="10.28515625" style="693" customWidth="1"/>
    <col min="3336" max="3336" width="3.140625" style="693" customWidth="1"/>
    <col min="3337" max="3340" width="10.28515625" style="693" customWidth="1"/>
    <col min="3341" max="3341" width="3.140625" style="693" customWidth="1"/>
    <col min="3342" max="3584" width="9.140625" style="693"/>
    <col min="3585" max="3585" width="3.140625" style="693" customWidth="1"/>
    <col min="3586" max="3586" width="38.85546875" style="693" bestFit="1" customWidth="1"/>
    <col min="3587" max="3591" width="10.28515625" style="693" customWidth="1"/>
    <col min="3592" max="3592" width="3.140625" style="693" customWidth="1"/>
    <col min="3593" max="3596" width="10.28515625" style="693" customWidth="1"/>
    <col min="3597" max="3597" width="3.140625" style="693" customWidth="1"/>
    <col min="3598" max="3840" width="9.140625" style="693"/>
    <col min="3841" max="3841" width="3.140625" style="693" customWidth="1"/>
    <col min="3842" max="3842" width="38.85546875" style="693" bestFit="1" customWidth="1"/>
    <col min="3843" max="3847" width="10.28515625" style="693" customWidth="1"/>
    <col min="3848" max="3848" width="3.140625" style="693" customWidth="1"/>
    <col min="3849" max="3852" width="10.28515625" style="693" customWidth="1"/>
    <col min="3853" max="3853" width="3.140625" style="693" customWidth="1"/>
    <col min="3854" max="4096" width="9.140625" style="693"/>
    <col min="4097" max="4097" width="3.140625" style="693" customWidth="1"/>
    <col min="4098" max="4098" width="38.85546875" style="693" bestFit="1" customWidth="1"/>
    <col min="4099" max="4103" width="10.28515625" style="693" customWidth="1"/>
    <col min="4104" max="4104" width="3.140625" style="693" customWidth="1"/>
    <col min="4105" max="4108" width="10.28515625" style="693" customWidth="1"/>
    <col min="4109" max="4109" width="3.140625" style="693" customWidth="1"/>
    <col min="4110" max="4352" width="9.140625" style="693"/>
    <col min="4353" max="4353" width="3.140625" style="693" customWidth="1"/>
    <col min="4354" max="4354" width="38.85546875" style="693" bestFit="1" customWidth="1"/>
    <col min="4355" max="4359" width="10.28515625" style="693" customWidth="1"/>
    <col min="4360" max="4360" width="3.140625" style="693" customWidth="1"/>
    <col min="4361" max="4364" width="10.28515625" style="693" customWidth="1"/>
    <col min="4365" max="4365" width="3.140625" style="693" customWidth="1"/>
    <col min="4366" max="4608" width="9.140625" style="693"/>
    <col min="4609" max="4609" width="3.140625" style="693" customWidth="1"/>
    <col min="4610" max="4610" width="38.85546875" style="693" bestFit="1" customWidth="1"/>
    <col min="4611" max="4615" width="10.28515625" style="693" customWidth="1"/>
    <col min="4616" max="4616" width="3.140625" style="693" customWidth="1"/>
    <col min="4617" max="4620" width="10.28515625" style="693" customWidth="1"/>
    <col min="4621" max="4621" width="3.140625" style="693" customWidth="1"/>
    <col min="4622" max="4864" width="9.140625" style="693"/>
    <col min="4865" max="4865" width="3.140625" style="693" customWidth="1"/>
    <col min="4866" max="4866" width="38.85546875" style="693" bestFit="1" customWidth="1"/>
    <col min="4867" max="4871" width="10.28515625" style="693" customWidth="1"/>
    <col min="4872" max="4872" width="3.140625" style="693" customWidth="1"/>
    <col min="4873" max="4876" width="10.28515625" style="693" customWidth="1"/>
    <col min="4877" max="4877" width="3.140625" style="693" customWidth="1"/>
    <col min="4878" max="5120" width="9.140625" style="693"/>
    <col min="5121" max="5121" width="3.140625" style="693" customWidth="1"/>
    <col min="5122" max="5122" width="38.85546875" style="693" bestFit="1" customWidth="1"/>
    <col min="5123" max="5127" width="10.28515625" style="693" customWidth="1"/>
    <col min="5128" max="5128" width="3.140625" style="693" customWidth="1"/>
    <col min="5129" max="5132" width="10.28515625" style="693" customWidth="1"/>
    <col min="5133" max="5133" width="3.140625" style="693" customWidth="1"/>
    <col min="5134" max="5376" width="9.140625" style="693"/>
    <col min="5377" max="5377" width="3.140625" style="693" customWidth="1"/>
    <col min="5378" max="5378" width="38.85546875" style="693" bestFit="1" customWidth="1"/>
    <col min="5379" max="5383" width="10.28515625" style="693" customWidth="1"/>
    <col min="5384" max="5384" width="3.140625" style="693" customWidth="1"/>
    <col min="5385" max="5388" width="10.28515625" style="693" customWidth="1"/>
    <col min="5389" max="5389" width="3.140625" style="693" customWidth="1"/>
    <col min="5390" max="5632" width="9.140625" style="693"/>
    <col min="5633" max="5633" width="3.140625" style="693" customWidth="1"/>
    <col min="5634" max="5634" width="38.85546875" style="693" bestFit="1" customWidth="1"/>
    <col min="5635" max="5639" width="10.28515625" style="693" customWidth="1"/>
    <col min="5640" max="5640" width="3.140625" style="693" customWidth="1"/>
    <col min="5641" max="5644" width="10.28515625" style="693" customWidth="1"/>
    <col min="5645" max="5645" width="3.140625" style="693" customWidth="1"/>
    <col min="5646" max="5888" width="9.140625" style="693"/>
    <col min="5889" max="5889" width="3.140625" style="693" customWidth="1"/>
    <col min="5890" max="5890" width="38.85546875" style="693" bestFit="1" customWidth="1"/>
    <col min="5891" max="5895" width="10.28515625" style="693" customWidth="1"/>
    <col min="5896" max="5896" width="3.140625" style="693" customWidth="1"/>
    <col min="5897" max="5900" width="10.28515625" style="693" customWidth="1"/>
    <col min="5901" max="5901" width="3.140625" style="693" customWidth="1"/>
    <col min="5902" max="6144" width="9.140625" style="693"/>
    <col min="6145" max="6145" width="3.140625" style="693" customWidth="1"/>
    <col min="6146" max="6146" width="38.85546875" style="693" bestFit="1" customWidth="1"/>
    <col min="6147" max="6151" width="10.28515625" style="693" customWidth="1"/>
    <col min="6152" max="6152" width="3.140625" style="693" customWidth="1"/>
    <col min="6153" max="6156" width="10.28515625" style="693" customWidth="1"/>
    <col min="6157" max="6157" width="3.140625" style="693" customWidth="1"/>
    <col min="6158" max="6400" width="9.140625" style="693"/>
    <col min="6401" max="6401" width="3.140625" style="693" customWidth="1"/>
    <col min="6402" max="6402" width="38.85546875" style="693" bestFit="1" customWidth="1"/>
    <col min="6403" max="6407" width="10.28515625" style="693" customWidth="1"/>
    <col min="6408" max="6408" width="3.140625" style="693" customWidth="1"/>
    <col min="6409" max="6412" width="10.28515625" style="693" customWidth="1"/>
    <col min="6413" max="6413" width="3.140625" style="693" customWidth="1"/>
    <col min="6414" max="6656" width="9.140625" style="693"/>
    <col min="6657" max="6657" width="3.140625" style="693" customWidth="1"/>
    <col min="6658" max="6658" width="38.85546875" style="693" bestFit="1" customWidth="1"/>
    <col min="6659" max="6663" width="10.28515625" style="693" customWidth="1"/>
    <col min="6664" max="6664" width="3.140625" style="693" customWidth="1"/>
    <col min="6665" max="6668" width="10.28515625" style="693" customWidth="1"/>
    <col min="6669" max="6669" width="3.140625" style="693" customWidth="1"/>
    <col min="6670" max="6912" width="9.140625" style="693"/>
    <col min="6913" max="6913" width="3.140625" style="693" customWidth="1"/>
    <col min="6914" max="6914" width="38.85546875" style="693" bestFit="1" customWidth="1"/>
    <col min="6915" max="6919" width="10.28515625" style="693" customWidth="1"/>
    <col min="6920" max="6920" width="3.140625" style="693" customWidth="1"/>
    <col min="6921" max="6924" width="10.28515625" style="693" customWidth="1"/>
    <col min="6925" max="6925" width="3.140625" style="693" customWidth="1"/>
    <col min="6926" max="7168" width="9.140625" style="693"/>
    <col min="7169" max="7169" width="3.140625" style="693" customWidth="1"/>
    <col min="7170" max="7170" width="38.85546875" style="693" bestFit="1" customWidth="1"/>
    <col min="7171" max="7175" width="10.28515625" style="693" customWidth="1"/>
    <col min="7176" max="7176" width="3.140625" style="693" customWidth="1"/>
    <col min="7177" max="7180" width="10.28515625" style="693" customWidth="1"/>
    <col min="7181" max="7181" width="3.140625" style="693" customWidth="1"/>
    <col min="7182" max="7424" width="9.140625" style="693"/>
    <col min="7425" max="7425" width="3.140625" style="693" customWidth="1"/>
    <col min="7426" max="7426" width="38.85546875" style="693" bestFit="1" customWidth="1"/>
    <col min="7427" max="7431" width="10.28515625" style="693" customWidth="1"/>
    <col min="7432" max="7432" width="3.140625" style="693" customWidth="1"/>
    <col min="7433" max="7436" width="10.28515625" style="693" customWidth="1"/>
    <col min="7437" max="7437" width="3.140625" style="693" customWidth="1"/>
    <col min="7438" max="7680" width="9.140625" style="693"/>
    <col min="7681" max="7681" width="3.140625" style="693" customWidth="1"/>
    <col min="7682" max="7682" width="38.85546875" style="693" bestFit="1" customWidth="1"/>
    <col min="7683" max="7687" width="10.28515625" style="693" customWidth="1"/>
    <col min="7688" max="7688" width="3.140625" style="693" customWidth="1"/>
    <col min="7689" max="7692" width="10.28515625" style="693" customWidth="1"/>
    <col min="7693" max="7693" width="3.140625" style="693" customWidth="1"/>
    <col min="7694" max="7936" width="9.140625" style="693"/>
    <col min="7937" max="7937" width="3.140625" style="693" customWidth="1"/>
    <col min="7938" max="7938" width="38.85546875" style="693" bestFit="1" customWidth="1"/>
    <col min="7939" max="7943" width="10.28515625" style="693" customWidth="1"/>
    <col min="7944" max="7944" width="3.140625" style="693" customWidth="1"/>
    <col min="7945" max="7948" width="10.28515625" style="693" customWidth="1"/>
    <col min="7949" max="7949" width="3.140625" style="693" customWidth="1"/>
    <col min="7950" max="8192" width="9.140625" style="693"/>
    <col min="8193" max="8193" width="3.140625" style="693" customWidth="1"/>
    <col min="8194" max="8194" width="38.85546875" style="693" bestFit="1" customWidth="1"/>
    <col min="8195" max="8199" width="10.28515625" style="693" customWidth="1"/>
    <col min="8200" max="8200" width="3.140625" style="693" customWidth="1"/>
    <col min="8201" max="8204" width="10.28515625" style="693" customWidth="1"/>
    <col min="8205" max="8205" width="3.140625" style="693" customWidth="1"/>
    <col min="8206" max="8448" width="9.140625" style="693"/>
    <col min="8449" max="8449" width="3.140625" style="693" customWidth="1"/>
    <col min="8450" max="8450" width="38.85546875" style="693" bestFit="1" customWidth="1"/>
    <col min="8451" max="8455" width="10.28515625" style="693" customWidth="1"/>
    <col min="8456" max="8456" width="3.140625" style="693" customWidth="1"/>
    <col min="8457" max="8460" width="10.28515625" style="693" customWidth="1"/>
    <col min="8461" max="8461" width="3.140625" style="693" customWidth="1"/>
    <col min="8462" max="8704" width="9.140625" style="693"/>
    <col min="8705" max="8705" width="3.140625" style="693" customWidth="1"/>
    <col min="8706" max="8706" width="38.85546875" style="693" bestFit="1" customWidth="1"/>
    <col min="8707" max="8711" width="10.28515625" style="693" customWidth="1"/>
    <col min="8712" max="8712" width="3.140625" style="693" customWidth="1"/>
    <col min="8713" max="8716" width="10.28515625" style="693" customWidth="1"/>
    <col min="8717" max="8717" width="3.140625" style="693" customWidth="1"/>
    <col min="8718" max="8960" width="9.140625" style="693"/>
    <col min="8961" max="8961" width="3.140625" style="693" customWidth="1"/>
    <col min="8962" max="8962" width="38.85546875" style="693" bestFit="1" customWidth="1"/>
    <col min="8963" max="8967" width="10.28515625" style="693" customWidth="1"/>
    <col min="8968" max="8968" width="3.140625" style="693" customWidth="1"/>
    <col min="8969" max="8972" width="10.28515625" style="693" customWidth="1"/>
    <col min="8973" max="8973" width="3.140625" style="693" customWidth="1"/>
    <col min="8974" max="9216" width="9.140625" style="693"/>
    <col min="9217" max="9217" width="3.140625" style="693" customWidth="1"/>
    <col min="9218" max="9218" width="38.85546875" style="693" bestFit="1" customWidth="1"/>
    <col min="9219" max="9223" width="10.28515625" style="693" customWidth="1"/>
    <col min="9224" max="9224" width="3.140625" style="693" customWidth="1"/>
    <col min="9225" max="9228" width="10.28515625" style="693" customWidth="1"/>
    <col min="9229" max="9229" width="3.140625" style="693" customWidth="1"/>
    <col min="9230" max="9472" width="9.140625" style="693"/>
    <col min="9473" max="9473" width="3.140625" style="693" customWidth="1"/>
    <col min="9474" max="9474" width="38.85546875" style="693" bestFit="1" customWidth="1"/>
    <col min="9475" max="9479" width="10.28515625" style="693" customWidth="1"/>
    <col min="9480" max="9480" width="3.140625" style="693" customWidth="1"/>
    <col min="9481" max="9484" width="10.28515625" style="693" customWidth="1"/>
    <col min="9485" max="9485" width="3.140625" style="693" customWidth="1"/>
    <col min="9486" max="9728" width="9.140625" style="693"/>
    <col min="9729" max="9729" width="3.140625" style="693" customWidth="1"/>
    <col min="9730" max="9730" width="38.85546875" style="693" bestFit="1" customWidth="1"/>
    <col min="9731" max="9735" width="10.28515625" style="693" customWidth="1"/>
    <col min="9736" max="9736" width="3.140625" style="693" customWidth="1"/>
    <col min="9737" max="9740" width="10.28515625" style="693" customWidth="1"/>
    <col min="9741" max="9741" width="3.140625" style="693" customWidth="1"/>
    <col min="9742" max="9984" width="9.140625" style="693"/>
    <col min="9985" max="9985" width="3.140625" style="693" customWidth="1"/>
    <col min="9986" max="9986" width="38.85546875" style="693" bestFit="1" customWidth="1"/>
    <col min="9987" max="9991" width="10.28515625" style="693" customWidth="1"/>
    <col min="9992" max="9992" width="3.140625" style="693" customWidth="1"/>
    <col min="9993" max="9996" width="10.28515625" style="693" customWidth="1"/>
    <col min="9997" max="9997" width="3.140625" style="693" customWidth="1"/>
    <col min="9998" max="10240" width="9.140625" style="693"/>
    <col min="10241" max="10241" width="3.140625" style="693" customWidth="1"/>
    <col min="10242" max="10242" width="38.85546875" style="693" bestFit="1" customWidth="1"/>
    <col min="10243" max="10247" width="10.28515625" style="693" customWidth="1"/>
    <col min="10248" max="10248" width="3.140625" style="693" customWidth="1"/>
    <col min="10249" max="10252" width="10.28515625" style="693" customWidth="1"/>
    <col min="10253" max="10253" width="3.140625" style="693" customWidth="1"/>
    <col min="10254" max="10496" width="9.140625" style="693"/>
    <col min="10497" max="10497" width="3.140625" style="693" customWidth="1"/>
    <col min="10498" max="10498" width="38.85546875" style="693" bestFit="1" customWidth="1"/>
    <col min="10499" max="10503" width="10.28515625" style="693" customWidth="1"/>
    <col min="10504" max="10504" width="3.140625" style="693" customWidth="1"/>
    <col min="10505" max="10508" width="10.28515625" style="693" customWidth="1"/>
    <col min="10509" max="10509" width="3.140625" style="693" customWidth="1"/>
    <col min="10510" max="10752" width="9.140625" style="693"/>
    <col min="10753" max="10753" width="3.140625" style="693" customWidth="1"/>
    <col min="10754" max="10754" width="38.85546875" style="693" bestFit="1" customWidth="1"/>
    <col min="10755" max="10759" width="10.28515625" style="693" customWidth="1"/>
    <col min="10760" max="10760" width="3.140625" style="693" customWidth="1"/>
    <col min="10761" max="10764" width="10.28515625" style="693" customWidth="1"/>
    <col min="10765" max="10765" width="3.140625" style="693" customWidth="1"/>
    <col min="10766" max="11008" width="9.140625" style="693"/>
    <col min="11009" max="11009" width="3.140625" style="693" customWidth="1"/>
    <col min="11010" max="11010" width="38.85546875" style="693" bestFit="1" customWidth="1"/>
    <col min="11011" max="11015" width="10.28515625" style="693" customWidth="1"/>
    <col min="11016" max="11016" width="3.140625" style="693" customWidth="1"/>
    <col min="11017" max="11020" width="10.28515625" style="693" customWidth="1"/>
    <col min="11021" max="11021" width="3.140625" style="693" customWidth="1"/>
    <col min="11022" max="11264" width="9.140625" style="693"/>
    <col min="11265" max="11265" width="3.140625" style="693" customWidth="1"/>
    <col min="11266" max="11266" width="38.85546875" style="693" bestFit="1" customWidth="1"/>
    <col min="11267" max="11271" width="10.28515625" style="693" customWidth="1"/>
    <col min="11272" max="11272" width="3.140625" style="693" customWidth="1"/>
    <col min="11273" max="11276" width="10.28515625" style="693" customWidth="1"/>
    <col min="11277" max="11277" width="3.140625" style="693" customWidth="1"/>
    <col min="11278" max="11520" width="9.140625" style="693"/>
    <col min="11521" max="11521" width="3.140625" style="693" customWidth="1"/>
    <col min="11522" max="11522" width="38.85546875" style="693" bestFit="1" customWidth="1"/>
    <col min="11523" max="11527" width="10.28515625" style="693" customWidth="1"/>
    <col min="11528" max="11528" width="3.140625" style="693" customWidth="1"/>
    <col min="11529" max="11532" width="10.28515625" style="693" customWidth="1"/>
    <col min="11533" max="11533" width="3.140625" style="693" customWidth="1"/>
    <col min="11534" max="11776" width="9.140625" style="693"/>
    <col min="11777" max="11777" width="3.140625" style="693" customWidth="1"/>
    <col min="11778" max="11778" width="38.85546875" style="693" bestFit="1" customWidth="1"/>
    <col min="11779" max="11783" width="10.28515625" style="693" customWidth="1"/>
    <col min="11784" max="11784" width="3.140625" style="693" customWidth="1"/>
    <col min="11785" max="11788" width="10.28515625" style="693" customWidth="1"/>
    <col min="11789" max="11789" width="3.140625" style="693" customWidth="1"/>
    <col min="11790" max="12032" width="9.140625" style="693"/>
    <col min="12033" max="12033" width="3.140625" style="693" customWidth="1"/>
    <col min="12034" max="12034" width="38.85546875" style="693" bestFit="1" customWidth="1"/>
    <col min="12035" max="12039" width="10.28515625" style="693" customWidth="1"/>
    <col min="12040" max="12040" width="3.140625" style="693" customWidth="1"/>
    <col min="12041" max="12044" width="10.28515625" style="693" customWidth="1"/>
    <col min="12045" max="12045" width="3.140625" style="693" customWidth="1"/>
    <col min="12046" max="12288" width="9.140625" style="693"/>
    <col min="12289" max="12289" width="3.140625" style="693" customWidth="1"/>
    <col min="12290" max="12290" width="38.85546875" style="693" bestFit="1" customWidth="1"/>
    <col min="12291" max="12295" width="10.28515625" style="693" customWidth="1"/>
    <col min="12296" max="12296" width="3.140625" style="693" customWidth="1"/>
    <col min="12297" max="12300" width="10.28515625" style="693" customWidth="1"/>
    <col min="12301" max="12301" width="3.140625" style="693" customWidth="1"/>
    <col min="12302" max="12544" width="9.140625" style="693"/>
    <col min="12545" max="12545" width="3.140625" style="693" customWidth="1"/>
    <col min="12546" max="12546" width="38.85546875" style="693" bestFit="1" customWidth="1"/>
    <col min="12547" max="12551" width="10.28515625" style="693" customWidth="1"/>
    <col min="12552" max="12552" width="3.140625" style="693" customWidth="1"/>
    <col min="12553" max="12556" width="10.28515625" style="693" customWidth="1"/>
    <col min="12557" max="12557" width="3.140625" style="693" customWidth="1"/>
    <col min="12558" max="12800" width="9.140625" style="693"/>
    <col min="12801" max="12801" width="3.140625" style="693" customWidth="1"/>
    <col min="12802" max="12802" width="38.85546875" style="693" bestFit="1" customWidth="1"/>
    <col min="12803" max="12807" width="10.28515625" style="693" customWidth="1"/>
    <col min="12808" max="12808" width="3.140625" style="693" customWidth="1"/>
    <col min="12809" max="12812" width="10.28515625" style="693" customWidth="1"/>
    <col min="12813" max="12813" width="3.140625" style="693" customWidth="1"/>
    <col min="12814" max="13056" width="9.140625" style="693"/>
    <col min="13057" max="13057" width="3.140625" style="693" customWidth="1"/>
    <col min="13058" max="13058" width="38.85546875" style="693" bestFit="1" customWidth="1"/>
    <col min="13059" max="13063" width="10.28515625" style="693" customWidth="1"/>
    <col min="13064" max="13064" width="3.140625" style="693" customWidth="1"/>
    <col min="13065" max="13068" width="10.28515625" style="693" customWidth="1"/>
    <col min="13069" max="13069" width="3.140625" style="693" customWidth="1"/>
    <col min="13070" max="13312" width="9.140625" style="693"/>
    <col min="13313" max="13313" width="3.140625" style="693" customWidth="1"/>
    <col min="13314" max="13314" width="38.85546875" style="693" bestFit="1" customWidth="1"/>
    <col min="13315" max="13319" width="10.28515625" style="693" customWidth="1"/>
    <col min="13320" max="13320" width="3.140625" style="693" customWidth="1"/>
    <col min="13321" max="13324" width="10.28515625" style="693" customWidth="1"/>
    <col min="13325" max="13325" width="3.140625" style="693" customWidth="1"/>
    <col min="13326" max="13568" width="9.140625" style="693"/>
    <col min="13569" max="13569" width="3.140625" style="693" customWidth="1"/>
    <col min="13570" max="13570" width="38.85546875" style="693" bestFit="1" customWidth="1"/>
    <col min="13571" max="13575" width="10.28515625" style="693" customWidth="1"/>
    <col min="13576" max="13576" width="3.140625" style="693" customWidth="1"/>
    <col min="13577" max="13580" width="10.28515625" style="693" customWidth="1"/>
    <col min="13581" max="13581" width="3.140625" style="693" customWidth="1"/>
    <col min="13582" max="13824" width="9.140625" style="693"/>
    <col min="13825" max="13825" width="3.140625" style="693" customWidth="1"/>
    <col min="13826" max="13826" width="38.85546875" style="693" bestFit="1" customWidth="1"/>
    <col min="13827" max="13831" width="10.28515625" style="693" customWidth="1"/>
    <col min="13832" max="13832" width="3.140625" style="693" customWidth="1"/>
    <col min="13833" max="13836" width="10.28515625" style="693" customWidth="1"/>
    <col min="13837" max="13837" width="3.140625" style="693" customWidth="1"/>
    <col min="13838" max="14080" width="9.140625" style="693"/>
    <col min="14081" max="14081" width="3.140625" style="693" customWidth="1"/>
    <col min="14082" max="14082" width="38.85546875" style="693" bestFit="1" customWidth="1"/>
    <col min="14083" max="14087" width="10.28515625" style="693" customWidth="1"/>
    <col min="14088" max="14088" width="3.140625" style="693" customWidth="1"/>
    <col min="14089" max="14092" width="10.28515625" style="693" customWidth="1"/>
    <col min="14093" max="14093" width="3.140625" style="693" customWidth="1"/>
    <col min="14094" max="14336" width="9.140625" style="693"/>
    <col min="14337" max="14337" width="3.140625" style="693" customWidth="1"/>
    <col min="14338" max="14338" width="38.85546875" style="693" bestFit="1" customWidth="1"/>
    <col min="14339" max="14343" width="10.28515625" style="693" customWidth="1"/>
    <col min="14344" max="14344" width="3.140625" style="693" customWidth="1"/>
    <col min="14345" max="14348" width="10.28515625" style="693" customWidth="1"/>
    <col min="14349" max="14349" width="3.140625" style="693" customWidth="1"/>
    <col min="14350" max="14592" width="9.140625" style="693"/>
    <col min="14593" max="14593" width="3.140625" style="693" customWidth="1"/>
    <col min="14594" max="14594" width="38.85546875" style="693" bestFit="1" customWidth="1"/>
    <col min="14595" max="14599" width="10.28515625" style="693" customWidth="1"/>
    <col min="14600" max="14600" width="3.140625" style="693" customWidth="1"/>
    <col min="14601" max="14604" width="10.28515625" style="693" customWidth="1"/>
    <col min="14605" max="14605" width="3.140625" style="693" customWidth="1"/>
    <col min="14606" max="14848" width="9.140625" style="693"/>
    <col min="14849" max="14849" width="3.140625" style="693" customWidth="1"/>
    <col min="14850" max="14850" width="38.85546875" style="693" bestFit="1" customWidth="1"/>
    <col min="14851" max="14855" width="10.28515625" style="693" customWidth="1"/>
    <col min="14856" max="14856" width="3.140625" style="693" customWidth="1"/>
    <col min="14857" max="14860" width="10.28515625" style="693" customWidth="1"/>
    <col min="14861" max="14861" width="3.140625" style="693" customWidth="1"/>
    <col min="14862" max="15104" width="9.140625" style="693"/>
    <col min="15105" max="15105" width="3.140625" style="693" customWidth="1"/>
    <col min="15106" max="15106" width="38.85546875" style="693" bestFit="1" customWidth="1"/>
    <col min="15107" max="15111" width="10.28515625" style="693" customWidth="1"/>
    <col min="15112" max="15112" width="3.140625" style="693" customWidth="1"/>
    <col min="15113" max="15116" width="10.28515625" style="693" customWidth="1"/>
    <col min="15117" max="15117" width="3.140625" style="693" customWidth="1"/>
    <col min="15118" max="15360" width="9.140625" style="693"/>
    <col min="15361" max="15361" width="3.140625" style="693" customWidth="1"/>
    <col min="15362" max="15362" width="38.85546875" style="693" bestFit="1" customWidth="1"/>
    <col min="15363" max="15367" width="10.28515625" style="693" customWidth="1"/>
    <col min="15368" max="15368" width="3.140625" style="693" customWidth="1"/>
    <col min="15369" max="15372" width="10.28515625" style="693" customWidth="1"/>
    <col min="15373" max="15373" width="3.140625" style="693" customWidth="1"/>
    <col min="15374" max="15616" width="9.140625" style="693"/>
    <col min="15617" max="15617" width="3.140625" style="693" customWidth="1"/>
    <col min="15618" max="15618" width="38.85546875" style="693" bestFit="1" customWidth="1"/>
    <col min="15619" max="15623" width="10.28515625" style="693" customWidth="1"/>
    <col min="15624" max="15624" width="3.140625" style="693" customWidth="1"/>
    <col min="15625" max="15628" width="10.28515625" style="693" customWidth="1"/>
    <col min="15629" max="15629" width="3.140625" style="693" customWidth="1"/>
    <col min="15630" max="15872" width="9.140625" style="693"/>
    <col min="15873" max="15873" width="3.140625" style="693" customWidth="1"/>
    <col min="15874" max="15874" width="38.85546875" style="693" bestFit="1" customWidth="1"/>
    <col min="15875" max="15879" width="10.28515625" style="693" customWidth="1"/>
    <col min="15880" max="15880" width="3.140625" style="693" customWidth="1"/>
    <col min="15881" max="15884" width="10.28515625" style="693" customWidth="1"/>
    <col min="15885" max="15885" width="3.140625" style="693" customWidth="1"/>
    <col min="15886" max="16128" width="9.140625" style="693"/>
    <col min="16129" max="16129" width="3.140625" style="693" customWidth="1"/>
    <col min="16130" max="16130" width="38.85546875" style="693" bestFit="1" customWidth="1"/>
    <col min="16131" max="16135" width="10.28515625" style="693" customWidth="1"/>
    <col min="16136" max="16136" width="3.140625" style="693" customWidth="1"/>
    <col min="16137" max="16140" width="10.28515625" style="693" customWidth="1"/>
    <col min="16141" max="16141" width="3.140625" style="693" customWidth="1"/>
    <col min="16142" max="16384" width="9.140625" style="693"/>
  </cols>
  <sheetData>
    <row r="2" spans="2:12">
      <c r="B2" s="479" t="s">
        <v>240</v>
      </c>
      <c r="C2" s="695"/>
      <c r="D2" s="695"/>
    </row>
    <row r="3" spans="2:12">
      <c r="B3" s="694" t="s">
        <v>261</v>
      </c>
      <c r="C3" s="695"/>
      <c r="D3" s="695"/>
    </row>
    <row r="5" spans="2:12" s="699" customFormat="1" ht="15.75" thickBot="1">
      <c r="B5" s="700" t="s">
        <v>262</v>
      </c>
      <c r="C5" s="700" t="s">
        <v>246</v>
      </c>
      <c r="D5" s="700" t="s">
        <v>263</v>
      </c>
      <c r="E5" s="701" t="s">
        <v>233</v>
      </c>
      <c r="F5" s="702" t="s">
        <v>232</v>
      </c>
      <c r="G5" s="702" t="s">
        <v>264</v>
      </c>
      <c r="H5" s="693"/>
      <c r="I5" s="702" t="s">
        <v>265</v>
      </c>
      <c r="J5" s="702" t="s">
        <v>266</v>
      </c>
      <c r="K5" s="702" t="s">
        <v>267</v>
      </c>
      <c r="L5" s="702" t="s">
        <v>268</v>
      </c>
    </row>
    <row r="7" spans="2:12">
      <c r="B7" s="693" t="s">
        <v>269</v>
      </c>
      <c r="C7" s="703">
        <v>42985</v>
      </c>
      <c r="D7" s="698">
        <v>2022</v>
      </c>
      <c r="E7" s="704">
        <f>E8</f>
        <v>3.1400000000000004E-2</v>
      </c>
      <c r="F7" s="705">
        <v>0</v>
      </c>
      <c r="G7" s="697">
        <f>E7*F7</f>
        <v>0</v>
      </c>
      <c r="I7" s="697">
        <f t="shared" ref="I7:L8" si="0">$G7/4</f>
        <v>0</v>
      </c>
      <c r="J7" s="697">
        <f t="shared" si="0"/>
        <v>0</v>
      </c>
      <c r="K7" s="697">
        <f t="shared" si="0"/>
        <v>0</v>
      </c>
      <c r="L7" s="697">
        <f t="shared" si="0"/>
        <v>0</v>
      </c>
    </row>
    <row r="8" spans="2:12">
      <c r="B8" s="693" t="s">
        <v>272</v>
      </c>
      <c r="C8" s="703">
        <v>42985</v>
      </c>
      <c r="D8" s="698">
        <v>2022</v>
      </c>
      <c r="E8" s="704">
        <f>((F9+F8)*0.041-G9)/F8</f>
        <v>3.1400000000000004E-2</v>
      </c>
      <c r="F8" s="705">
        <v>750</v>
      </c>
      <c r="G8" s="697">
        <f>E8*F8</f>
        <v>23.550000000000004</v>
      </c>
      <c r="I8" s="697">
        <f t="shared" si="0"/>
        <v>5.8875000000000011</v>
      </c>
      <c r="J8" s="697">
        <f t="shared" si="0"/>
        <v>5.8875000000000011</v>
      </c>
      <c r="K8" s="697">
        <f t="shared" si="0"/>
        <v>5.8875000000000011</v>
      </c>
      <c r="L8" s="697">
        <f t="shared" si="0"/>
        <v>5.8875000000000011</v>
      </c>
    </row>
    <row r="9" spans="2:12">
      <c r="B9" s="693" t="s">
        <v>271</v>
      </c>
      <c r="C9" s="703">
        <v>43006</v>
      </c>
      <c r="D9" s="698">
        <v>2025</v>
      </c>
      <c r="E9" s="704">
        <v>0.05</v>
      </c>
      <c r="F9" s="705">
        <v>800</v>
      </c>
      <c r="G9" s="697">
        <f>E9*F9</f>
        <v>40</v>
      </c>
      <c r="I9" s="697">
        <f>$G9/2</f>
        <v>20</v>
      </c>
      <c r="K9" s="697">
        <f>$G9/2</f>
        <v>20</v>
      </c>
    </row>
    <row r="11" spans="2:12" s="699" customFormat="1" ht="15.75" thickBot="1">
      <c r="B11" s="706" t="s">
        <v>270</v>
      </c>
      <c r="C11" s="707"/>
      <c r="D11" s="707"/>
      <c r="E11" s="708">
        <f>G11/F11</f>
        <v>4.1000000000000002E-2</v>
      </c>
      <c r="F11" s="709">
        <f>SUM(F6:F10)</f>
        <v>1550</v>
      </c>
      <c r="G11" s="709">
        <f>SUM(G6:G10)</f>
        <v>63.550000000000004</v>
      </c>
      <c r="I11" s="709">
        <f>SUM(I6:I10)</f>
        <v>25.887500000000003</v>
      </c>
      <c r="J11" s="709">
        <f t="shared" ref="J11:L11" si="1">SUM(J6:J10)</f>
        <v>5.8875000000000011</v>
      </c>
      <c r="K11" s="709">
        <f t="shared" si="1"/>
        <v>25.887500000000003</v>
      </c>
      <c r="L11" s="709">
        <f t="shared" si="1"/>
        <v>5.8875000000000011</v>
      </c>
    </row>
  </sheetData>
  <pageMargins left="0.7" right="0.7" top="0.75" bottom="0.75" header="0.3" footer="0.3"/>
  <pageSetup scale="96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/>
  <cols>
    <col min="1" max="1" width="29.5703125" style="728" bestFit="1" customWidth="1"/>
    <col min="2" max="2" width="19.85546875" style="795" customWidth="1"/>
    <col min="3" max="3" width="12" style="728" bestFit="1" customWidth="1"/>
    <col min="4" max="256" width="9.140625" style="728"/>
    <col min="257" max="257" width="29.5703125" style="728" bestFit="1" customWidth="1"/>
    <col min="258" max="258" width="19.85546875" style="728" customWidth="1"/>
    <col min="259" max="259" width="12" style="728" bestFit="1" customWidth="1"/>
    <col min="260" max="512" width="9.140625" style="728"/>
    <col min="513" max="513" width="29.5703125" style="728" bestFit="1" customWidth="1"/>
    <col min="514" max="514" width="19.85546875" style="728" customWidth="1"/>
    <col min="515" max="515" width="12" style="728" bestFit="1" customWidth="1"/>
    <col min="516" max="768" width="9.140625" style="728"/>
    <col min="769" max="769" width="29.5703125" style="728" bestFit="1" customWidth="1"/>
    <col min="770" max="770" width="19.85546875" style="728" customWidth="1"/>
    <col min="771" max="771" width="12" style="728" bestFit="1" customWidth="1"/>
    <col min="772" max="1024" width="9.140625" style="728"/>
    <col min="1025" max="1025" width="29.5703125" style="728" bestFit="1" customWidth="1"/>
    <col min="1026" max="1026" width="19.85546875" style="728" customWidth="1"/>
    <col min="1027" max="1027" width="12" style="728" bestFit="1" customWidth="1"/>
    <col min="1028" max="1280" width="9.140625" style="728"/>
    <col min="1281" max="1281" width="29.5703125" style="728" bestFit="1" customWidth="1"/>
    <col min="1282" max="1282" width="19.85546875" style="728" customWidth="1"/>
    <col min="1283" max="1283" width="12" style="728" bestFit="1" customWidth="1"/>
    <col min="1284" max="1536" width="9.140625" style="728"/>
    <col min="1537" max="1537" width="29.5703125" style="728" bestFit="1" customWidth="1"/>
    <col min="1538" max="1538" width="19.85546875" style="728" customWidth="1"/>
    <col min="1539" max="1539" width="12" style="728" bestFit="1" customWidth="1"/>
    <col min="1540" max="1792" width="9.140625" style="728"/>
    <col min="1793" max="1793" width="29.5703125" style="728" bestFit="1" customWidth="1"/>
    <col min="1794" max="1794" width="19.85546875" style="728" customWidth="1"/>
    <col min="1795" max="1795" width="12" style="728" bestFit="1" customWidth="1"/>
    <col min="1796" max="2048" width="9.140625" style="728"/>
    <col min="2049" max="2049" width="29.5703125" style="728" bestFit="1" customWidth="1"/>
    <col min="2050" max="2050" width="19.85546875" style="728" customWidth="1"/>
    <col min="2051" max="2051" width="12" style="728" bestFit="1" customWidth="1"/>
    <col min="2052" max="2304" width="9.140625" style="728"/>
    <col min="2305" max="2305" width="29.5703125" style="728" bestFit="1" customWidth="1"/>
    <col min="2306" max="2306" width="19.85546875" style="728" customWidth="1"/>
    <col min="2307" max="2307" width="12" style="728" bestFit="1" customWidth="1"/>
    <col min="2308" max="2560" width="9.140625" style="728"/>
    <col min="2561" max="2561" width="29.5703125" style="728" bestFit="1" customWidth="1"/>
    <col min="2562" max="2562" width="19.85546875" style="728" customWidth="1"/>
    <col min="2563" max="2563" width="12" style="728" bestFit="1" customWidth="1"/>
    <col min="2564" max="2816" width="9.140625" style="728"/>
    <col min="2817" max="2817" width="29.5703125" style="728" bestFit="1" customWidth="1"/>
    <col min="2818" max="2818" width="19.85546875" style="728" customWidth="1"/>
    <col min="2819" max="2819" width="12" style="728" bestFit="1" customWidth="1"/>
    <col min="2820" max="3072" width="9.140625" style="728"/>
    <col min="3073" max="3073" width="29.5703125" style="728" bestFit="1" customWidth="1"/>
    <col min="3074" max="3074" width="19.85546875" style="728" customWidth="1"/>
    <col min="3075" max="3075" width="12" style="728" bestFit="1" customWidth="1"/>
    <col min="3076" max="3328" width="9.140625" style="728"/>
    <col min="3329" max="3329" width="29.5703125" style="728" bestFit="1" customWidth="1"/>
    <col min="3330" max="3330" width="19.85546875" style="728" customWidth="1"/>
    <col min="3331" max="3331" width="12" style="728" bestFit="1" customWidth="1"/>
    <col min="3332" max="3584" width="9.140625" style="728"/>
    <col min="3585" max="3585" width="29.5703125" style="728" bestFit="1" customWidth="1"/>
    <col min="3586" max="3586" width="19.85546875" style="728" customWidth="1"/>
    <col min="3587" max="3587" width="12" style="728" bestFit="1" customWidth="1"/>
    <col min="3588" max="3840" width="9.140625" style="728"/>
    <col min="3841" max="3841" width="29.5703125" style="728" bestFit="1" customWidth="1"/>
    <col min="3842" max="3842" width="19.85546875" style="728" customWidth="1"/>
    <col min="3843" max="3843" width="12" style="728" bestFit="1" customWidth="1"/>
    <col min="3844" max="4096" width="9.140625" style="728"/>
    <col min="4097" max="4097" width="29.5703125" style="728" bestFit="1" customWidth="1"/>
    <col min="4098" max="4098" width="19.85546875" style="728" customWidth="1"/>
    <col min="4099" max="4099" width="12" style="728" bestFit="1" customWidth="1"/>
    <col min="4100" max="4352" width="9.140625" style="728"/>
    <col min="4353" max="4353" width="29.5703125" style="728" bestFit="1" customWidth="1"/>
    <col min="4354" max="4354" width="19.85546875" style="728" customWidth="1"/>
    <col min="4355" max="4355" width="12" style="728" bestFit="1" customWidth="1"/>
    <col min="4356" max="4608" width="9.140625" style="728"/>
    <col min="4609" max="4609" width="29.5703125" style="728" bestFit="1" customWidth="1"/>
    <col min="4610" max="4610" width="19.85546875" style="728" customWidth="1"/>
    <col min="4611" max="4611" width="12" style="728" bestFit="1" customWidth="1"/>
    <col min="4612" max="4864" width="9.140625" style="728"/>
    <col min="4865" max="4865" width="29.5703125" style="728" bestFit="1" customWidth="1"/>
    <col min="4866" max="4866" width="19.85546875" style="728" customWidth="1"/>
    <col min="4867" max="4867" width="12" style="728" bestFit="1" customWidth="1"/>
    <col min="4868" max="5120" width="9.140625" style="728"/>
    <col min="5121" max="5121" width="29.5703125" style="728" bestFit="1" customWidth="1"/>
    <col min="5122" max="5122" width="19.85546875" style="728" customWidth="1"/>
    <col min="5123" max="5123" width="12" style="728" bestFit="1" customWidth="1"/>
    <col min="5124" max="5376" width="9.140625" style="728"/>
    <col min="5377" max="5377" width="29.5703125" style="728" bestFit="1" customWidth="1"/>
    <col min="5378" max="5378" width="19.85546875" style="728" customWidth="1"/>
    <col min="5379" max="5379" width="12" style="728" bestFit="1" customWidth="1"/>
    <col min="5380" max="5632" width="9.140625" style="728"/>
    <col min="5633" max="5633" width="29.5703125" style="728" bestFit="1" customWidth="1"/>
    <col min="5634" max="5634" width="19.85546875" style="728" customWidth="1"/>
    <col min="5635" max="5635" width="12" style="728" bestFit="1" customWidth="1"/>
    <col min="5636" max="5888" width="9.140625" style="728"/>
    <col min="5889" max="5889" width="29.5703125" style="728" bestFit="1" customWidth="1"/>
    <col min="5890" max="5890" width="19.85546875" style="728" customWidth="1"/>
    <col min="5891" max="5891" width="12" style="728" bestFit="1" customWidth="1"/>
    <col min="5892" max="6144" width="9.140625" style="728"/>
    <col min="6145" max="6145" width="29.5703125" style="728" bestFit="1" customWidth="1"/>
    <col min="6146" max="6146" width="19.85546875" style="728" customWidth="1"/>
    <col min="6147" max="6147" width="12" style="728" bestFit="1" customWidth="1"/>
    <col min="6148" max="6400" width="9.140625" style="728"/>
    <col min="6401" max="6401" width="29.5703125" style="728" bestFit="1" customWidth="1"/>
    <col min="6402" max="6402" width="19.85546875" style="728" customWidth="1"/>
    <col min="6403" max="6403" width="12" style="728" bestFit="1" customWidth="1"/>
    <col min="6404" max="6656" width="9.140625" style="728"/>
    <col min="6657" max="6657" width="29.5703125" style="728" bestFit="1" customWidth="1"/>
    <col min="6658" max="6658" width="19.85546875" style="728" customWidth="1"/>
    <col min="6659" max="6659" width="12" style="728" bestFit="1" customWidth="1"/>
    <col min="6660" max="6912" width="9.140625" style="728"/>
    <col min="6913" max="6913" width="29.5703125" style="728" bestFit="1" customWidth="1"/>
    <col min="6914" max="6914" width="19.85546875" style="728" customWidth="1"/>
    <col min="6915" max="6915" width="12" style="728" bestFit="1" customWidth="1"/>
    <col min="6916" max="7168" width="9.140625" style="728"/>
    <col min="7169" max="7169" width="29.5703125" style="728" bestFit="1" customWidth="1"/>
    <col min="7170" max="7170" width="19.85546875" style="728" customWidth="1"/>
    <col min="7171" max="7171" width="12" style="728" bestFit="1" customWidth="1"/>
    <col min="7172" max="7424" width="9.140625" style="728"/>
    <col min="7425" max="7425" width="29.5703125" style="728" bestFit="1" customWidth="1"/>
    <col min="7426" max="7426" width="19.85546875" style="728" customWidth="1"/>
    <col min="7427" max="7427" width="12" style="728" bestFit="1" customWidth="1"/>
    <col min="7428" max="7680" width="9.140625" style="728"/>
    <col min="7681" max="7681" width="29.5703125" style="728" bestFit="1" customWidth="1"/>
    <col min="7682" max="7682" width="19.85546875" style="728" customWidth="1"/>
    <col min="7683" max="7683" width="12" style="728" bestFit="1" customWidth="1"/>
    <col min="7684" max="7936" width="9.140625" style="728"/>
    <col min="7937" max="7937" width="29.5703125" style="728" bestFit="1" customWidth="1"/>
    <col min="7938" max="7938" width="19.85546875" style="728" customWidth="1"/>
    <col min="7939" max="7939" width="12" style="728" bestFit="1" customWidth="1"/>
    <col min="7940" max="8192" width="9.140625" style="728"/>
    <col min="8193" max="8193" width="29.5703125" style="728" bestFit="1" customWidth="1"/>
    <col min="8194" max="8194" width="19.85546875" style="728" customWidth="1"/>
    <col min="8195" max="8195" width="12" style="728" bestFit="1" customWidth="1"/>
    <col min="8196" max="8448" width="9.140625" style="728"/>
    <col min="8449" max="8449" width="29.5703125" style="728" bestFit="1" customWidth="1"/>
    <col min="8450" max="8450" width="19.85546875" style="728" customWidth="1"/>
    <col min="8451" max="8451" width="12" style="728" bestFit="1" customWidth="1"/>
    <col min="8452" max="8704" width="9.140625" style="728"/>
    <col min="8705" max="8705" width="29.5703125" style="728" bestFit="1" customWidth="1"/>
    <col min="8706" max="8706" width="19.85546875" style="728" customWidth="1"/>
    <col min="8707" max="8707" width="12" style="728" bestFit="1" customWidth="1"/>
    <col min="8708" max="8960" width="9.140625" style="728"/>
    <col min="8961" max="8961" width="29.5703125" style="728" bestFit="1" customWidth="1"/>
    <col min="8962" max="8962" width="19.85546875" style="728" customWidth="1"/>
    <col min="8963" max="8963" width="12" style="728" bestFit="1" customWidth="1"/>
    <col min="8964" max="9216" width="9.140625" style="728"/>
    <col min="9217" max="9217" width="29.5703125" style="728" bestFit="1" customWidth="1"/>
    <col min="9218" max="9218" width="19.85546875" style="728" customWidth="1"/>
    <col min="9219" max="9219" width="12" style="728" bestFit="1" customWidth="1"/>
    <col min="9220" max="9472" width="9.140625" style="728"/>
    <col min="9473" max="9473" width="29.5703125" style="728" bestFit="1" customWidth="1"/>
    <col min="9474" max="9474" width="19.85546875" style="728" customWidth="1"/>
    <col min="9475" max="9475" width="12" style="728" bestFit="1" customWidth="1"/>
    <col min="9476" max="9728" width="9.140625" style="728"/>
    <col min="9729" max="9729" width="29.5703125" style="728" bestFit="1" customWidth="1"/>
    <col min="9730" max="9730" width="19.85546875" style="728" customWidth="1"/>
    <col min="9731" max="9731" width="12" style="728" bestFit="1" customWidth="1"/>
    <col min="9732" max="9984" width="9.140625" style="728"/>
    <col min="9985" max="9985" width="29.5703125" style="728" bestFit="1" customWidth="1"/>
    <col min="9986" max="9986" width="19.85546875" style="728" customWidth="1"/>
    <col min="9987" max="9987" width="12" style="728" bestFit="1" customWidth="1"/>
    <col min="9988" max="10240" width="9.140625" style="728"/>
    <col min="10241" max="10241" width="29.5703125" style="728" bestFit="1" customWidth="1"/>
    <col min="10242" max="10242" width="19.85546875" style="728" customWidth="1"/>
    <col min="10243" max="10243" width="12" style="728" bestFit="1" customWidth="1"/>
    <col min="10244" max="10496" width="9.140625" style="728"/>
    <col min="10497" max="10497" width="29.5703125" style="728" bestFit="1" customWidth="1"/>
    <col min="10498" max="10498" width="19.85546875" style="728" customWidth="1"/>
    <col min="10499" max="10499" width="12" style="728" bestFit="1" customWidth="1"/>
    <col min="10500" max="10752" width="9.140625" style="728"/>
    <col min="10753" max="10753" width="29.5703125" style="728" bestFit="1" customWidth="1"/>
    <col min="10754" max="10754" width="19.85546875" style="728" customWidth="1"/>
    <col min="10755" max="10755" width="12" style="728" bestFit="1" customWidth="1"/>
    <col min="10756" max="11008" width="9.140625" style="728"/>
    <col min="11009" max="11009" width="29.5703125" style="728" bestFit="1" customWidth="1"/>
    <col min="11010" max="11010" width="19.85546875" style="728" customWidth="1"/>
    <col min="11011" max="11011" width="12" style="728" bestFit="1" customWidth="1"/>
    <col min="11012" max="11264" width="9.140625" style="728"/>
    <col min="11265" max="11265" width="29.5703125" style="728" bestFit="1" customWidth="1"/>
    <col min="11266" max="11266" width="19.85546875" style="728" customWidth="1"/>
    <col min="11267" max="11267" width="12" style="728" bestFit="1" customWidth="1"/>
    <col min="11268" max="11520" width="9.140625" style="728"/>
    <col min="11521" max="11521" width="29.5703125" style="728" bestFit="1" customWidth="1"/>
    <col min="11522" max="11522" width="19.85546875" style="728" customWidth="1"/>
    <col min="11523" max="11523" width="12" style="728" bestFit="1" customWidth="1"/>
    <col min="11524" max="11776" width="9.140625" style="728"/>
    <col min="11777" max="11777" width="29.5703125" style="728" bestFit="1" customWidth="1"/>
    <col min="11778" max="11778" width="19.85546875" style="728" customWidth="1"/>
    <col min="11779" max="11779" width="12" style="728" bestFit="1" customWidth="1"/>
    <col min="11780" max="12032" width="9.140625" style="728"/>
    <col min="12033" max="12033" width="29.5703125" style="728" bestFit="1" customWidth="1"/>
    <col min="12034" max="12034" width="19.85546875" style="728" customWidth="1"/>
    <col min="12035" max="12035" width="12" style="728" bestFit="1" customWidth="1"/>
    <col min="12036" max="12288" width="9.140625" style="728"/>
    <col min="12289" max="12289" width="29.5703125" style="728" bestFit="1" customWidth="1"/>
    <col min="12290" max="12290" width="19.85546875" style="728" customWidth="1"/>
    <col min="12291" max="12291" width="12" style="728" bestFit="1" customWidth="1"/>
    <col min="12292" max="12544" width="9.140625" style="728"/>
    <col min="12545" max="12545" width="29.5703125" style="728" bestFit="1" customWidth="1"/>
    <col min="12546" max="12546" width="19.85546875" style="728" customWidth="1"/>
    <col min="12547" max="12547" width="12" style="728" bestFit="1" customWidth="1"/>
    <col min="12548" max="12800" width="9.140625" style="728"/>
    <col min="12801" max="12801" width="29.5703125" style="728" bestFit="1" customWidth="1"/>
    <col min="12802" max="12802" width="19.85546875" style="728" customWidth="1"/>
    <col min="12803" max="12803" width="12" style="728" bestFit="1" customWidth="1"/>
    <col min="12804" max="13056" width="9.140625" style="728"/>
    <col min="13057" max="13057" width="29.5703125" style="728" bestFit="1" customWidth="1"/>
    <col min="13058" max="13058" width="19.85546875" style="728" customWidth="1"/>
    <col min="13059" max="13059" width="12" style="728" bestFit="1" customWidth="1"/>
    <col min="13060" max="13312" width="9.140625" style="728"/>
    <col min="13313" max="13313" width="29.5703125" style="728" bestFit="1" customWidth="1"/>
    <col min="13314" max="13314" width="19.85546875" style="728" customWidth="1"/>
    <col min="13315" max="13315" width="12" style="728" bestFit="1" customWidth="1"/>
    <col min="13316" max="13568" width="9.140625" style="728"/>
    <col min="13569" max="13569" width="29.5703125" style="728" bestFit="1" customWidth="1"/>
    <col min="13570" max="13570" width="19.85546875" style="728" customWidth="1"/>
    <col min="13571" max="13571" width="12" style="728" bestFit="1" customWidth="1"/>
    <col min="13572" max="13824" width="9.140625" style="728"/>
    <col min="13825" max="13825" width="29.5703125" style="728" bestFit="1" customWidth="1"/>
    <col min="13826" max="13826" width="19.85546875" style="728" customWidth="1"/>
    <col min="13827" max="13827" width="12" style="728" bestFit="1" customWidth="1"/>
    <col min="13828" max="14080" width="9.140625" style="728"/>
    <col min="14081" max="14081" width="29.5703125" style="728" bestFit="1" customWidth="1"/>
    <col min="14082" max="14082" width="19.85546875" style="728" customWidth="1"/>
    <col min="14083" max="14083" width="12" style="728" bestFit="1" customWidth="1"/>
    <col min="14084" max="14336" width="9.140625" style="728"/>
    <col min="14337" max="14337" width="29.5703125" style="728" bestFit="1" customWidth="1"/>
    <col min="14338" max="14338" width="19.85546875" style="728" customWidth="1"/>
    <col min="14339" max="14339" width="12" style="728" bestFit="1" customWidth="1"/>
    <col min="14340" max="14592" width="9.140625" style="728"/>
    <col min="14593" max="14593" width="29.5703125" style="728" bestFit="1" customWidth="1"/>
    <col min="14594" max="14594" width="19.85546875" style="728" customWidth="1"/>
    <col min="14595" max="14595" width="12" style="728" bestFit="1" customWidth="1"/>
    <col min="14596" max="14848" width="9.140625" style="728"/>
    <col min="14849" max="14849" width="29.5703125" style="728" bestFit="1" customWidth="1"/>
    <col min="14850" max="14850" width="19.85546875" style="728" customWidth="1"/>
    <col min="14851" max="14851" width="12" style="728" bestFit="1" customWidth="1"/>
    <col min="14852" max="15104" width="9.140625" style="728"/>
    <col min="15105" max="15105" width="29.5703125" style="728" bestFit="1" customWidth="1"/>
    <col min="15106" max="15106" width="19.85546875" style="728" customWidth="1"/>
    <col min="15107" max="15107" width="12" style="728" bestFit="1" customWidth="1"/>
    <col min="15108" max="15360" width="9.140625" style="728"/>
    <col min="15361" max="15361" width="29.5703125" style="728" bestFit="1" customWidth="1"/>
    <col min="15362" max="15362" width="19.85546875" style="728" customWidth="1"/>
    <col min="15363" max="15363" width="12" style="728" bestFit="1" customWidth="1"/>
    <col min="15364" max="15616" width="9.140625" style="728"/>
    <col min="15617" max="15617" width="29.5703125" style="728" bestFit="1" customWidth="1"/>
    <col min="15618" max="15618" width="19.85546875" style="728" customWidth="1"/>
    <col min="15619" max="15619" width="12" style="728" bestFit="1" customWidth="1"/>
    <col min="15620" max="15872" width="9.140625" style="728"/>
    <col min="15873" max="15873" width="29.5703125" style="728" bestFit="1" customWidth="1"/>
    <col min="15874" max="15874" width="19.85546875" style="728" customWidth="1"/>
    <col min="15875" max="15875" width="12" style="728" bestFit="1" customWidth="1"/>
    <col min="15876" max="16128" width="9.140625" style="728"/>
    <col min="16129" max="16129" width="29.5703125" style="728" bestFit="1" customWidth="1"/>
    <col min="16130" max="16130" width="19.85546875" style="728" customWidth="1"/>
    <col min="16131" max="16131" width="12" style="728" bestFit="1" customWidth="1"/>
    <col min="16132" max="16384" width="9.140625" style="728"/>
  </cols>
  <sheetData>
    <row r="1" spans="1:2">
      <c r="A1" s="728" t="s">
        <v>599</v>
      </c>
      <c r="B1" s="794">
        <v>6.1</v>
      </c>
    </row>
    <row r="2" spans="1:2">
      <c r="A2" s="728" t="s">
        <v>600</v>
      </c>
      <c r="B2" s="798">
        <v>43200.797060185185</v>
      </c>
    </row>
    <row r="3" spans="1:2">
      <c r="A3" s="728" t="s">
        <v>601</v>
      </c>
      <c r="B3" s="795" t="s">
        <v>304</v>
      </c>
    </row>
    <row r="4" spans="1:2">
      <c r="A4" s="728" t="s">
        <v>602</v>
      </c>
      <c r="B4" s="795" t="s">
        <v>603</v>
      </c>
    </row>
    <row r="5" spans="1:2">
      <c r="A5" s="728" t="s">
        <v>604</v>
      </c>
      <c r="B5" s="795" t="s">
        <v>605</v>
      </c>
    </row>
    <row r="6" spans="1:2">
      <c r="A6" s="728" t="s">
        <v>606</v>
      </c>
    </row>
    <row r="7" spans="1:2">
      <c r="A7" s="728" t="s">
        <v>607</v>
      </c>
      <c r="B7" s="795" t="s">
        <v>244</v>
      </c>
    </row>
    <row r="8" spans="1:2">
      <c r="A8" s="728" t="s">
        <v>608</v>
      </c>
      <c r="B8" s="795" t="s">
        <v>609</v>
      </c>
    </row>
    <row r="9" spans="1:2">
      <c r="A9" s="728" t="s">
        <v>610</v>
      </c>
      <c r="B9" s="795" t="s">
        <v>648</v>
      </c>
    </row>
    <row r="10" spans="1:2">
      <c r="A10" s="728" t="s">
        <v>611</v>
      </c>
    </row>
    <row r="11" spans="1:2">
      <c r="A11" s="728" t="s">
        <v>612</v>
      </c>
    </row>
    <row r="12" spans="1:2">
      <c r="A12" s="728" t="s">
        <v>613</v>
      </c>
    </row>
    <row r="13" spans="1:2">
      <c r="A13" s="728" t="s">
        <v>614</v>
      </c>
    </row>
    <row r="14" spans="1:2">
      <c r="A14" s="728" t="s">
        <v>615</v>
      </c>
    </row>
    <row r="15" spans="1:2">
      <c r="A15" s="728" t="s">
        <v>616</v>
      </c>
    </row>
    <row r="16" spans="1:2">
      <c r="A16" s="728" t="s">
        <v>617</v>
      </c>
    </row>
    <row r="17" spans="1:4">
      <c r="A17" s="728" t="s">
        <v>618</v>
      </c>
      <c r="B17" s="795" t="s">
        <v>649</v>
      </c>
    </row>
    <row r="18" spans="1:4">
      <c r="A18" s="728" t="s">
        <v>619</v>
      </c>
      <c r="B18" s="795" t="s">
        <v>651</v>
      </c>
    </row>
    <row r="19" spans="1:4">
      <c r="A19" s="728" t="s">
        <v>620</v>
      </c>
      <c r="B19" s="795" t="s">
        <v>274</v>
      </c>
    </row>
    <row r="20" spans="1:4">
      <c r="A20" s="728" t="s">
        <v>621</v>
      </c>
      <c r="B20" s="796"/>
    </row>
    <row r="21" spans="1:4">
      <c r="A21" s="728" t="s">
        <v>622</v>
      </c>
      <c r="B21" s="795" t="s">
        <v>274</v>
      </c>
    </row>
    <row r="22" spans="1:4">
      <c r="A22" s="728" t="s">
        <v>623</v>
      </c>
      <c r="B22" s="796" t="s">
        <v>284</v>
      </c>
    </row>
    <row r="23" spans="1:4">
      <c r="A23" s="728" t="s">
        <v>10</v>
      </c>
      <c r="B23" s="794">
        <v>49.56</v>
      </c>
    </row>
    <row r="24" spans="1:4">
      <c r="A24" s="728" t="s">
        <v>245</v>
      </c>
      <c r="B24" s="795" t="s">
        <v>243</v>
      </c>
      <c r="D24" s="728" t="s">
        <v>624</v>
      </c>
    </row>
    <row r="25" spans="1:4">
      <c r="A25" s="728" t="s">
        <v>625</v>
      </c>
      <c r="B25" s="795" t="s">
        <v>652</v>
      </c>
    </row>
    <row r="26" spans="1:4">
      <c r="A26" s="728" t="s">
        <v>626</v>
      </c>
      <c r="B26" s="795">
        <v>0</v>
      </c>
    </row>
    <row r="27" spans="1:4">
      <c r="A27" s="728" t="s">
        <v>627</v>
      </c>
      <c r="B27" s="795" t="s">
        <v>628</v>
      </c>
    </row>
    <row r="28" spans="1:4">
      <c r="A28" s="728" t="s">
        <v>629</v>
      </c>
      <c r="B28" s="795" t="s">
        <v>630</v>
      </c>
    </row>
    <row r="29" spans="1:4">
      <c r="A29" s="728" t="s">
        <v>631</v>
      </c>
    </row>
    <row r="30" spans="1:4">
      <c r="A30" s="728" t="s">
        <v>632</v>
      </c>
    </row>
    <row r="31" spans="1:4">
      <c r="A31" s="728" t="s">
        <v>633</v>
      </c>
    </row>
    <row r="32" spans="1:4">
      <c r="A32" s="728" t="s">
        <v>634</v>
      </c>
      <c r="B32" s="794"/>
    </row>
    <row r="33" spans="1:2">
      <c r="A33" s="728" t="s">
        <v>635</v>
      </c>
      <c r="B33" s="794"/>
    </row>
    <row r="34" spans="1:2">
      <c r="A34" s="728" t="s">
        <v>636</v>
      </c>
      <c r="B34" s="794"/>
    </row>
    <row r="35" spans="1:2">
      <c r="A35" s="728" t="s">
        <v>637</v>
      </c>
      <c r="B35" s="795">
        <v>1000000</v>
      </c>
    </row>
    <row r="36" spans="1:2">
      <c r="A36" s="728" t="s">
        <v>638</v>
      </c>
      <c r="B36" s="795" t="s">
        <v>650</v>
      </c>
    </row>
    <row r="37" spans="1:2">
      <c r="A37" s="728" t="s">
        <v>639</v>
      </c>
      <c r="B37" s="795" t="s">
        <v>640</v>
      </c>
    </row>
    <row r="38" spans="1:2">
      <c r="A38" s="728" t="s">
        <v>641</v>
      </c>
      <c r="B38" s="795" t="s">
        <v>642</v>
      </c>
    </row>
    <row r="39" spans="1:2">
      <c r="A39" s="728" t="s">
        <v>643</v>
      </c>
      <c r="B39" s="795" t="s">
        <v>242</v>
      </c>
    </row>
    <row r="40" spans="1:2">
      <c r="A40" s="728" t="s">
        <v>644</v>
      </c>
      <c r="B40" s="795">
        <v>1500000223</v>
      </c>
    </row>
    <row r="41" spans="1:2">
      <c r="A41" s="728" t="s">
        <v>645</v>
      </c>
      <c r="B41" s="795">
        <v>1</v>
      </c>
    </row>
    <row r="42" spans="1:2">
      <c r="A42" s="797" t="s">
        <v>646</v>
      </c>
    </row>
    <row r="43" spans="1:2">
      <c r="A43" s="728" t="s">
        <v>647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3"/>
  <sheetViews>
    <sheetView workbookViewId="0">
      <selection activeCell="E11" sqref="E11"/>
    </sheetView>
  </sheetViews>
  <sheetFormatPr defaultRowHeight="12.75"/>
  <cols>
    <col min="1" max="1" width="28.5703125" style="728" bestFit="1" customWidth="1"/>
    <col min="2" max="256" width="9.140625" style="728"/>
    <col min="257" max="257" width="28.5703125" style="728" bestFit="1" customWidth="1"/>
    <col min="258" max="512" width="9.140625" style="728"/>
    <col min="513" max="513" width="28.5703125" style="728" bestFit="1" customWidth="1"/>
    <col min="514" max="768" width="9.140625" style="728"/>
    <col min="769" max="769" width="28.5703125" style="728" bestFit="1" customWidth="1"/>
    <col min="770" max="1024" width="9.140625" style="728"/>
    <col min="1025" max="1025" width="28.5703125" style="728" bestFit="1" customWidth="1"/>
    <col min="1026" max="1280" width="9.140625" style="728"/>
    <col min="1281" max="1281" width="28.5703125" style="728" bestFit="1" customWidth="1"/>
    <col min="1282" max="1536" width="9.140625" style="728"/>
    <col min="1537" max="1537" width="28.5703125" style="728" bestFit="1" customWidth="1"/>
    <col min="1538" max="1792" width="9.140625" style="728"/>
    <col min="1793" max="1793" width="28.5703125" style="728" bestFit="1" customWidth="1"/>
    <col min="1794" max="2048" width="9.140625" style="728"/>
    <col min="2049" max="2049" width="28.5703125" style="728" bestFit="1" customWidth="1"/>
    <col min="2050" max="2304" width="9.140625" style="728"/>
    <col min="2305" max="2305" width="28.5703125" style="728" bestFit="1" customWidth="1"/>
    <col min="2306" max="2560" width="9.140625" style="728"/>
    <col min="2561" max="2561" width="28.5703125" style="728" bestFit="1" customWidth="1"/>
    <col min="2562" max="2816" width="9.140625" style="728"/>
    <col min="2817" max="2817" width="28.5703125" style="728" bestFit="1" customWidth="1"/>
    <col min="2818" max="3072" width="9.140625" style="728"/>
    <col min="3073" max="3073" width="28.5703125" style="728" bestFit="1" customWidth="1"/>
    <col min="3074" max="3328" width="9.140625" style="728"/>
    <col min="3329" max="3329" width="28.5703125" style="728" bestFit="1" customWidth="1"/>
    <col min="3330" max="3584" width="9.140625" style="728"/>
    <col min="3585" max="3585" width="28.5703125" style="728" bestFit="1" customWidth="1"/>
    <col min="3586" max="3840" width="9.140625" style="728"/>
    <col min="3841" max="3841" width="28.5703125" style="728" bestFit="1" customWidth="1"/>
    <col min="3842" max="4096" width="9.140625" style="728"/>
    <col min="4097" max="4097" width="28.5703125" style="728" bestFit="1" customWidth="1"/>
    <col min="4098" max="4352" width="9.140625" style="728"/>
    <col min="4353" max="4353" width="28.5703125" style="728" bestFit="1" customWidth="1"/>
    <col min="4354" max="4608" width="9.140625" style="728"/>
    <col min="4609" max="4609" width="28.5703125" style="728" bestFit="1" customWidth="1"/>
    <col min="4610" max="4864" width="9.140625" style="728"/>
    <col min="4865" max="4865" width="28.5703125" style="728" bestFit="1" customWidth="1"/>
    <col min="4866" max="5120" width="9.140625" style="728"/>
    <col min="5121" max="5121" width="28.5703125" style="728" bestFit="1" customWidth="1"/>
    <col min="5122" max="5376" width="9.140625" style="728"/>
    <col min="5377" max="5377" width="28.5703125" style="728" bestFit="1" customWidth="1"/>
    <col min="5378" max="5632" width="9.140625" style="728"/>
    <col min="5633" max="5633" width="28.5703125" style="728" bestFit="1" customWidth="1"/>
    <col min="5634" max="5888" width="9.140625" style="728"/>
    <col min="5889" max="5889" width="28.5703125" style="728" bestFit="1" customWidth="1"/>
    <col min="5890" max="6144" width="9.140625" style="728"/>
    <col min="6145" max="6145" width="28.5703125" style="728" bestFit="1" customWidth="1"/>
    <col min="6146" max="6400" width="9.140625" style="728"/>
    <col min="6401" max="6401" width="28.5703125" style="728" bestFit="1" customWidth="1"/>
    <col min="6402" max="6656" width="9.140625" style="728"/>
    <col min="6657" max="6657" width="28.5703125" style="728" bestFit="1" customWidth="1"/>
    <col min="6658" max="6912" width="9.140625" style="728"/>
    <col min="6913" max="6913" width="28.5703125" style="728" bestFit="1" customWidth="1"/>
    <col min="6914" max="7168" width="9.140625" style="728"/>
    <col min="7169" max="7169" width="28.5703125" style="728" bestFit="1" customWidth="1"/>
    <col min="7170" max="7424" width="9.140625" style="728"/>
    <col min="7425" max="7425" width="28.5703125" style="728" bestFit="1" customWidth="1"/>
    <col min="7426" max="7680" width="9.140625" style="728"/>
    <col min="7681" max="7681" width="28.5703125" style="728" bestFit="1" customWidth="1"/>
    <col min="7682" max="7936" width="9.140625" style="728"/>
    <col min="7937" max="7937" width="28.5703125" style="728" bestFit="1" customWidth="1"/>
    <col min="7938" max="8192" width="9.140625" style="728"/>
    <col min="8193" max="8193" width="28.5703125" style="728" bestFit="1" customWidth="1"/>
    <col min="8194" max="8448" width="9.140625" style="728"/>
    <col min="8449" max="8449" width="28.5703125" style="728" bestFit="1" customWidth="1"/>
    <col min="8450" max="8704" width="9.140625" style="728"/>
    <col min="8705" max="8705" width="28.5703125" style="728" bestFit="1" customWidth="1"/>
    <col min="8706" max="8960" width="9.140625" style="728"/>
    <col min="8961" max="8961" width="28.5703125" style="728" bestFit="1" customWidth="1"/>
    <col min="8962" max="9216" width="9.140625" style="728"/>
    <col min="9217" max="9217" width="28.5703125" style="728" bestFit="1" customWidth="1"/>
    <col min="9218" max="9472" width="9.140625" style="728"/>
    <col min="9473" max="9473" width="28.5703125" style="728" bestFit="1" customWidth="1"/>
    <col min="9474" max="9728" width="9.140625" style="728"/>
    <col min="9729" max="9729" width="28.5703125" style="728" bestFit="1" customWidth="1"/>
    <col min="9730" max="9984" width="9.140625" style="728"/>
    <col min="9985" max="9985" width="28.5703125" style="728" bestFit="1" customWidth="1"/>
    <col min="9986" max="10240" width="9.140625" style="728"/>
    <col min="10241" max="10241" width="28.5703125" style="728" bestFit="1" customWidth="1"/>
    <col min="10242" max="10496" width="9.140625" style="728"/>
    <col min="10497" max="10497" width="28.5703125" style="728" bestFit="1" customWidth="1"/>
    <col min="10498" max="10752" width="9.140625" style="728"/>
    <col min="10753" max="10753" width="28.5703125" style="728" bestFit="1" customWidth="1"/>
    <col min="10754" max="11008" width="9.140625" style="728"/>
    <col min="11009" max="11009" width="28.5703125" style="728" bestFit="1" customWidth="1"/>
    <col min="11010" max="11264" width="9.140625" style="728"/>
    <col min="11265" max="11265" width="28.5703125" style="728" bestFit="1" customWidth="1"/>
    <col min="11266" max="11520" width="9.140625" style="728"/>
    <col min="11521" max="11521" width="28.5703125" style="728" bestFit="1" customWidth="1"/>
    <col min="11522" max="11776" width="9.140625" style="728"/>
    <col min="11777" max="11777" width="28.5703125" style="728" bestFit="1" customWidth="1"/>
    <col min="11778" max="12032" width="9.140625" style="728"/>
    <col min="12033" max="12033" width="28.5703125" style="728" bestFit="1" customWidth="1"/>
    <col min="12034" max="12288" width="9.140625" style="728"/>
    <col min="12289" max="12289" width="28.5703125" style="728" bestFit="1" customWidth="1"/>
    <col min="12290" max="12544" width="9.140625" style="728"/>
    <col min="12545" max="12545" width="28.5703125" style="728" bestFit="1" customWidth="1"/>
    <col min="12546" max="12800" width="9.140625" style="728"/>
    <col min="12801" max="12801" width="28.5703125" style="728" bestFit="1" customWidth="1"/>
    <col min="12802" max="13056" width="9.140625" style="728"/>
    <col min="13057" max="13057" width="28.5703125" style="728" bestFit="1" customWidth="1"/>
    <col min="13058" max="13312" width="9.140625" style="728"/>
    <col min="13313" max="13313" width="28.5703125" style="728" bestFit="1" customWidth="1"/>
    <col min="13314" max="13568" width="9.140625" style="728"/>
    <col min="13569" max="13569" width="28.5703125" style="728" bestFit="1" customWidth="1"/>
    <col min="13570" max="13824" width="9.140625" style="728"/>
    <col min="13825" max="13825" width="28.5703125" style="728" bestFit="1" customWidth="1"/>
    <col min="13826" max="14080" width="9.140625" style="728"/>
    <col min="14081" max="14081" width="28.5703125" style="728" bestFit="1" customWidth="1"/>
    <col min="14082" max="14336" width="9.140625" style="728"/>
    <col min="14337" max="14337" width="28.5703125" style="728" bestFit="1" customWidth="1"/>
    <col min="14338" max="14592" width="9.140625" style="728"/>
    <col min="14593" max="14593" width="28.5703125" style="728" bestFit="1" customWidth="1"/>
    <col min="14594" max="14848" width="9.140625" style="728"/>
    <col min="14849" max="14849" width="28.5703125" style="728" bestFit="1" customWidth="1"/>
    <col min="14850" max="15104" width="9.140625" style="728"/>
    <col min="15105" max="15105" width="28.5703125" style="728" bestFit="1" customWidth="1"/>
    <col min="15106" max="15360" width="9.140625" style="728"/>
    <col min="15361" max="15361" width="28.5703125" style="728" bestFit="1" customWidth="1"/>
    <col min="15362" max="15616" width="9.140625" style="728"/>
    <col min="15617" max="15617" width="28.5703125" style="728" bestFit="1" customWidth="1"/>
    <col min="15618" max="15872" width="9.140625" style="728"/>
    <col min="15873" max="15873" width="28.5703125" style="728" bestFit="1" customWidth="1"/>
    <col min="15874" max="16128" width="9.140625" style="728"/>
    <col min="16129" max="16129" width="28.5703125" style="728" bestFit="1" customWidth="1"/>
    <col min="16130" max="16384" width="9.140625" style="728"/>
  </cols>
  <sheetData>
    <row r="1" spans="1:1">
      <c r="A1" s="799" t="s">
        <v>653</v>
      </c>
    </row>
    <row r="2" spans="1:1">
      <c r="A2" s="799" t="s">
        <v>658</v>
      </c>
    </row>
    <row r="3" spans="1:1">
      <c r="A3" s="799" t="s">
        <v>659</v>
      </c>
    </row>
    <row r="4" spans="1:1">
      <c r="A4" s="799" t="s">
        <v>660</v>
      </c>
    </row>
    <row r="5" spans="1:1">
      <c r="A5" s="799" t="s">
        <v>661</v>
      </c>
    </row>
    <row r="6" spans="1:1">
      <c r="A6" s="799" t="s">
        <v>654</v>
      </c>
    </row>
    <row r="7" spans="1:1">
      <c r="A7" s="799" t="s">
        <v>662</v>
      </c>
    </row>
    <row r="8" spans="1:1">
      <c r="A8" s="799" t="s">
        <v>663</v>
      </c>
    </row>
    <row r="9" spans="1:1">
      <c r="A9" s="799" t="s">
        <v>664</v>
      </c>
    </row>
    <row r="10" spans="1:1">
      <c r="A10" s="799" t="s">
        <v>655</v>
      </c>
    </row>
    <row r="11" spans="1:1">
      <c r="A11" s="799" t="s">
        <v>665</v>
      </c>
    </row>
    <row r="12" spans="1:1">
      <c r="A12" s="799" t="s">
        <v>656</v>
      </c>
    </row>
    <row r="13" spans="1:1">
      <c r="A13" s="799" t="s">
        <v>657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"/>
  <sheetViews>
    <sheetView workbookViewId="0"/>
  </sheetViews>
  <sheetFormatPr defaultRowHeight="12"/>
  <sheetData>
    <row r="1" spans="1:12">
      <c r="A1" t="s">
        <v>278</v>
      </c>
    </row>
    <row r="2" spans="1:12">
      <c r="A2" s="686" t="s">
        <v>276</v>
      </c>
      <c r="B2" s="686" t="s">
        <v>283</v>
      </c>
      <c r="C2" s="686" t="s">
        <v>275</v>
      </c>
      <c r="D2" s="686" t="s">
        <v>243</v>
      </c>
      <c r="E2" s="686" t="s">
        <v>251</v>
      </c>
      <c r="F2" s="686" t="s">
        <v>252</v>
      </c>
      <c r="G2" s="686" t="s">
        <v>250</v>
      </c>
      <c r="H2" s="686" t="s">
        <v>252</v>
      </c>
      <c r="I2" s="686" t="s">
        <v>249</v>
      </c>
      <c r="J2" s="686" t="s">
        <v>252</v>
      </c>
      <c r="K2" s="686" t="s">
        <v>277</v>
      </c>
      <c r="L2" s="686" t="s">
        <v>284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112</vt:i4>
      </vt:variant>
    </vt:vector>
  </HeadingPairs>
  <TitlesOfParts>
    <vt:vector size="122" baseType="lpstr">
      <vt:lpstr>ImportantDisclosures</vt:lpstr>
      <vt:lpstr>Valuation</vt:lpstr>
      <vt:lpstr>DCF</vt:lpstr>
      <vt:lpstr>Financials</vt:lpstr>
      <vt:lpstr>Segments</vt:lpstr>
      <vt:lpstr>Earnings</vt:lpstr>
      <vt:lpstr>Changes</vt:lpstr>
      <vt:lpstr>Debt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Linking_11</vt:lpstr>
      <vt:lpstr>Linking_2</vt:lpstr>
      <vt:lpstr>Linking_3</vt:lpstr>
      <vt:lpstr>Linking_5</vt:lpstr>
      <vt:lpstr>Changes!Linking_6</vt:lpstr>
      <vt:lpstr>Earnings!Linking_6</vt:lpstr>
      <vt:lpstr>Linking_7</vt:lpstr>
      <vt:lpstr>Linking_8</vt:lpstr>
      <vt:lpstr>Linking_9</vt:lpstr>
      <vt:lpstr>Financials!Linking_Range_10</vt:lpstr>
      <vt:lpstr>Financials!Linking_Range_12</vt:lpstr>
      <vt:lpstr>Financials!Linking_Range_13</vt:lpstr>
      <vt:lpstr>Financials!Linking_Range_14</vt:lpstr>
      <vt:lpstr>Financials!Linking_Range_15</vt:lpstr>
      <vt:lpstr>Financials!Linking_Range_16</vt:lpstr>
      <vt:lpstr>Financials!Linking_Range_17</vt:lpstr>
      <vt:lpstr>Financials!Linking_Range_18</vt:lpstr>
      <vt:lpstr>Changes!Linking_Range_19</vt:lpstr>
      <vt:lpstr>Earnings!Linking_Range_19</vt:lpstr>
      <vt:lpstr>Financials!Linking_Range_19</vt:lpstr>
      <vt:lpstr>Changes!Linking_Range_20</vt:lpstr>
      <vt:lpstr>Earnings!Linking_Range_20</vt:lpstr>
      <vt:lpstr>Changes!Linking_Range_21</vt:lpstr>
      <vt:lpstr>Earnings!Linking_Range_21</vt:lpstr>
      <vt:lpstr>Changes!Linking_Range_22</vt:lpstr>
      <vt:lpstr>Earnings!Linking_Range_22</vt:lpstr>
      <vt:lpstr>Changes!Linking_Range_27</vt:lpstr>
      <vt:lpstr>Earnings!Linking_Range_27</vt:lpstr>
      <vt:lpstr>Financials!Linking_Range_3</vt:lpstr>
      <vt:lpstr>Financials!Linking_Range_4</vt:lpstr>
      <vt:lpstr>Financials!Linking_Range_5</vt:lpstr>
      <vt:lpstr>Financials!Linking_Range_8</vt:lpstr>
      <vt:lpstr>Financials!Linking_Range_9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Changes!Print_Area</vt:lpstr>
      <vt:lpstr>DCF!Print_Area</vt:lpstr>
      <vt:lpstr>Debt!Print_Area</vt:lpstr>
      <vt:lpstr>Earnings!Print_Area</vt:lpstr>
      <vt:lpstr>Financials!Print_Area</vt:lpstr>
      <vt:lpstr>Segments!Print_Area</vt:lpstr>
      <vt:lpstr>Valuation!Print_Area</vt:lpstr>
      <vt:lpstr>Financials!Print_Titles</vt:lpstr>
      <vt:lpstr>Segments!Print_Titles</vt:lpstr>
      <vt:lpstr>Valuation!Print_Titles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2017-11-29T18:28:12Z</dcterms:created>
  <dc:creator>Sinkevicius, Armintas (Research)</dc:creator>
  <cp:lastModifiedBy>Sinkevicius, Armintas (Research)</cp:lastModifiedBy>
  <cp:lastPrinted>2018-04-04T21:43:06Z</cp:lastPrinted>
  <dcterms:modified xsi:type="dcterms:W3CDTF">2018-04-10T23:07:47Z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ERModPubTicket" pid="2">
    <vt:lpwstr>NA</vt:lpwstr>
  </property>
  <property fmtid="{D5CDD505-2E9C-101B-9397-08002B2CF9AE}" name="ERCompanyUploadState" pid="3">
    <vt:lpwstr>P</vt:lpwstr>
  </property>
  <property fmtid="{D5CDD505-2E9C-101B-9397-08002B2CF9AE}" name="ModelId" pid="4">
    <vt:lpwstr>760735</vt:lpwstr>
  </property>
  <property fmtid="{D5CDD505-2E9C-101B-9397-08002B2CF9AE}" name="ERModPubCompanyName" pid="5">
    <vt:lpwstr>Delphi Technologies PLC</vt:lpwstr>
  </property>
  <property fmtid="{D5CDD505-2E9C-101B-9397-08002B2CF9AE}" name="MSDH34TAG" pid="6">
    <vt:lpwstr>.TEZUF76X5TAHATHESADREYAK-00-INB160+*94600-06=fe20f3d0/-3d13/-11e8/-b3f7/-7a79cfe26848,MD=20180410191311/-0400,ZZ=000Z-2372.</vt:lpwstr>
  </property>
</Properties>
</file>